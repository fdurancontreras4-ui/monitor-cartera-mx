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namedSheetViews/namedSheetView2.xml" ContentType="application/vnd.ms-excel.namedsheetviews+xml"/>
  <Override PartName="/xl/tables/table7.xml" ContentType="application/vnd.openxmlformats-officedocument.spreadsheetml.table+xml"/>
  <Override PartName="/xl/tables/table8.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hidePivotFieldList="1"/>
  <mc:AlternateContent xmlns:mc="http://schemas.openxmlformats.org/markup-compatibility/2006">
    <mc:Choice Requires="x15">
      <x15ac:absPath xmlns:x15ac="http://schemas.microsoft.com/office/spreadsheetml/2010/11/ac" url="https://geovictoria365-my.sharepoint.com/personal/fduran_geovictoria_com/Documents/PostVenta/"/>
    </mc:Choice>
  </mc:AlternateContent>
  <xr:revisionPtr revIDLastSave="0" documentId="8_{D1EDEC50-D5E3-4043-B1BA-06514496BD2D}" xr6:coauthVersionLast="47" xr6:coauthVersionMax="47" xr10:uidLastSave="{00000000-0000-0000-0000-000000000000}"/>
  <bookViews>
    <workbookView xWindow="-118" yWindow="-118" windowWidth="25370" windowHeight="13667" tabRatio="513" firstSheet="3" xr2:uid="{00000000-000D-0000-FFFF-FFFF00000000}"/>
  </bookViews>
  <sheets>
    <sheet name="MARE MX" sheetId="3" r:id="rId1"/>
    <sheet name="Hoja1" sheetId="32" r:id="rId2"/>
    <sheet name="Semáforo" sheetId="27" state="hidden" r:id="rId3"/>
    <sheet name="Resumen MARE" sheetId="8" r:id="rId4"/>
    <sheet name="Ventas 2026" sheetId="24" r:id="rId5"/>
    <sheet name="Detalle Fuga 2026" sheetId="4" r:id="rId6"/>
    <sheet name="OKRs" sheetId="31" r:id="rId7"/>
    <sheet name="Semáforo KAM" sheetId="29" r:id="rId8"/>
    <sheet name="RAMs" sheetId="25" r:id="rId9"/>
    <sheet name="Disminuciones menor al 100" sheetId="22" r:id="rId10"/>
    <sheet name="Cuentas fugadas" sheetId="23" r:id="rId11"/>
    <sheet name="Modificaciones BI" sheetId="5" r:id="rId12"/>
    <sheet name="Etapas" sheetId="7" r:id="rId13"/>
    <sheet name="Toques" sheetId="9" state="hidden" r:id="rId14"/>
    <sheet name="Info general" sheetId="10" r:id="rId15"/>
    <sheet name="Histórico Cross" sheetId="21" r:id="rId16"/>
    <sheet name="Cuentas para reasignar" sheetId="18" r:id="rId17"/>
  </sheets>
  <externalReferences>
    <externalReference r:id="rId18"/>
  </externalReferences>
  <definedNames>
    <definedName name="_xlnm._FilterDatabase" localSheetId="16" hidden="1">'Cuentas para reasignar'!$A$2:$E$65</definedName>
    <definedName name="_xlnm._FilterDatabase" localSheetId="5" hidden="1">'Detalle Fuga 2026'!$A$1:$O$117</definedName>
    <definedName name="_xlnm._FilterDatabase" localSheetId="0" hidden="1">'MARE MX'!$A$2:$CN$561</definedName>
    <definedName name="_xlnm._FilterDatabase" localSheetId="4" hidden="1">'Ventas 2026'!$A$5:$R$277</definedName>
  </definedNames>
  <calcPr calcId="191028"/>
  <pivotCaches>
    <pivotCache cacheId="26"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24" l="1"/>
  <c r="L36" i="29"/>
  <c r="G36" i="29"/>
  <c r="B36" i="29"/>
  <c r="M26" i="29"/>
  <c r="M17" i="29"/>
  <c r="M8" i="29"/>
  <c r="N11" i="8"/>
  <c r="N10" i="8"/>
  <c r="N9" i="8"/>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AD1" i="3"/>
  <c r="AC1" i="3"/>
  <c r="L232" i="24"/>
  <c r="M232" i="24" s="1"/>
  <c r="L217" i="24"/>
  <c r="M217" i="24" s="1"/>
  <c r="I215" i="24"/>
  <c r="L275" i="24"/>
  <c r="M275" i="24" s="1"/>
  <c r="I275" i="24"/>
  <c r="L278" i="24"/>
  <c r="M278" i="24" s="1"/>
  <c r="AX1" i="22"/>
  <c r="M172" i="24"/>
  <c r="M171" i="24"/>
  <c r="M170" i="24"/>
  <c r="L273" i="24"/>
  <c r="M277" i="24"/>
  <c r="K277" i="24"/>
  <c r="I277" i="24"/>
  <c r="K276" i="24"/>
  <c r="M276" i="24"/>
  <c r="I276" i="24"/>
  <c r="L274" i="24"/>
  <c r="M274" i="24" s="1"/>
  <c r="I274" i="24"/>
  <c r="M272" i="24"/>
  <c r="I273" i="24"/>
  <c r="I272" i="24"/>
  <c r="L271" i="24"/>
  <c r="M271" i="24" s="1"/>
  <c r="I271" i="24"/>
  <c r="L58" i="24"/>
  <c r="L510" i="3"/>
  <c r="L509" i="3"/>
  <c r="L507" i="3"/>
  <c r="L506" i="3"/>
  <c r="L505" i="3"/>
  <c r="L501" i="3"/>
  <c r="L500" i="3"/>
  <c r="L496" i="3"/>
  <c r="L493" i="3"/>
  <c r="L492" i="3"/>
  <c r="L490" i="3"/>
  <c r="L488" i="3"/>
  <c r="L487" i="3"/>
  <c r="L486" i="3"/>
  <c r="L485" i="3"/>
  <c r="L484" i="3"/>
  <c r="L483" i="3"/>
  <c r="L480" i="3"/>
  <c r="L479" i="3"/>
  <c r="L478" i="3"/>
  <c r="L475" i="3"/>
  <c r="L474" i="3"/>
  <c r="L472" i="3"/>
  <c r="L470" i="3"/>
  <c r="L469" i="3"/>
  <c r="L466" i="3"/>
  <c r="L465" i="3"/>
  <c r="L464" i="3"/>
  <c r="L463" i="3"/>
  <c r="L461" i="3"/>
  <c r="L457" i="3"/>
  <c r="L456" i="3"/>
  <c r="L455" i="3"/>
  <c r="L454" i="3"/>
  <c r="L453" i="3"/>
  <c r="L450" i="3"/>
  <c r="L440" i="3"/>
  <c r="L436" i="3"/>
  <c r="L426" i="3"/>
  <c r="L424" i="3"/>
  <c r="L418" i="3"/>
  <c r="L416" i="3"/>
  <c r="L415" i="3"/>
  <c r="L414" i="3"/>
  <c r="L412" i="3"/>
  <c r="L409" i="3"/>
  <c r="L408" i="3"/>
  <c r="L407" i="3"/>
  <c r="L405" i="3"/>
  <c r="L404" i="3"/>
  <c r="L399" i="3"/>
  <c r="L396" i="3"/>
  <c r="L390" i="3"/>
  <c r="L389" i="3"/>
  <c r="L388" i="3"/>
  <c r="L387" i="3"/>
  <c r="L385" i="3"/>
  <c r="L384" i="3"/>
  <c r="L383" i="3"/>
  <c r="L381" i="3"/>
  <c r="L376" i="3"/>
  <c r="L375" i="3"/>
  <c r="L374" i="3"/>
  <c r="L372" i="3"/>
  <c r="L371" i="3"/>
  <c r="L370" i="3"/>
  <c r="L369" i="3"/>
  <c r="L368" i="3"/>
  <c r="L366" i="3"/>
  <c r="L365" i="3"/>
  <c r="L364" i="3"/>
  <c r="L363" i="3"/>
  <c r="L362" i="3"/>
  <c r="L361" i="3"/>
  <c r="L360" i="3"/>
  <c r="L359" i="3"/>
  <c r="L356" i="3"/>
  <c r="L355" i="3"/>
  <c r="L354" i="3"/>
  <c r="L353" i="3"/>
  <c r="L352" i="3"/>
  <c r="L351" i="3"/>
  <c r="L347" i="3"/>
  <c r="L345" i="3"/>
  <c r="L342" i="3"/>
  <c r="L340" i="3"/>
  <c r="L339" i="3"/>
  <c r="L337" i="3"/>
  <c r="L336" i="3"/>
  <c r="L335" i="3"/>
  <c r="L333" i="3"/>
  <c r="L332" i="3"/>
  <c r="L331" i="3"/>
  <c r="L330" i="3"/>
  <c r="L329" i="3"/>
  <c r="L328" i="3"/>
  <c r="L325" i="3"/>
  <c r="L324" i="3"/>
  <c r="L322" i="3"/>
  <c r="L321" i="3"/>
  <c r="L320" i="3"/>
  <c r="L317" i="3"/>
  <c r="L316" i="3"/>
  <c r="L312" i="3"/>
  <c r="L310" i="3"/>
  <c r="L309" i="3"/>
  <c r="L308" i="3"/>
  <c r="L306" i="3"/>
  <c r="L305" i="3"/>
  <c r="L304" i="3"/>
  <c r="L303" i="3"/>
  <c r="L302" i="3"/>
  <c r="L301" i="3"/>
  <c r="L300" i="3"/>
  <c r="L298" i="3"/>
  <c r="L297" i="3"/>
  <c r="L296" i="3"/>
  <c r="L295" i="3"/>
  <c r="L294" i="3"/>
  <c r="L293" i="3"/>
  <c r="L292" i="3"/>
  <c r="L290" i="3"/>
  <c r="L289" i="3"/>
  <c r="L288" i="3"/>
  <c r="L286" i="3"/>
  <c r="L285" i="3"/>
  <c r="L284" i="3"/>
  <c r="L283" i="3"/>
  <c r="L282" i="3"/>
  <c r="L281" i="3"/>
  <c r="L279" i="3"/>
  <c r="L278" i="3"/>
  <c r="L277" i="3"/>
  <c r="L274" i="3"/>
  <c r="L268" i="3"/>
  <c r="L267" i="3"/>
  <c r="L265" i="3"/>
  <c r="L263" i="3"/>
  <c r="L262" i="3"/>
  <c r="L260" i="3"/>
  <c r="L258" i="3"/>
  <c r="L257" i="3"/>
  <c r="L256" i="3"/>
  <c r="L254" i="3"/>
  <c r="L251" i="3"/>
  <c r="L248" i="3"/>
  <c r="L247" i="3"/>
  <c r="L246" i="3"/>
  <c r="L245" i="3"/>
  <c r="L244" i="3"/>
  <c r="L243" i="3"/>
  <c r="L242" i="3"/>
  <c r="L241" i="3"/>
  <c r="L240" i="3"/>
  <c r="L237" i="3"/>
  <c r="L236" i="3"/>
  <c r="L235" i="3"/>
  <c r="L234" i="3"/>
  <c r="L233" i="3"/>
  <c r="L232" i="3"/>
  <c r="L229" i="3"/>
  <c r="L228" i="3"/>
  <c r="L227" i="3"/>
  <c r="L226" i="3"/>
  <c r="L225" i="3"/>
  <c r="L223" i="3"/>
  <c r="L222" i="3"/>
  <c r="L221" i="3"/>
  <c r="L220" i="3"/>
  <c r="L218" i="3"/>
  <c r="L217" i="3"/>
  <c r="L216" i="3"/>
  <c r="L215" i="3"/>
  <c r="L214" i="3"/>
  <c r="L212" i="3"/>
  <c r="L211" i="3"/>
  <c r="L210" i="3"/>
  <c r="L209" i="3"/>
  <c r="L208" i="3"/>
  <c r="L206" i="3"/>
  <c r="L205" i="3"/>
  <c r="L204" i="3"/>
  <c r="L203" i="3"/>
  <c r="L202" i="3"/>
  <c r="L200" i="3"/>
  <c r="L199" i="3"/>
  <c r="L197" i="3"/>
  <c r="L195" i="3"/>
  <c r="L193" i="3"/>
  <c r="L192" i="3"/>
  <c r="L190" i="3"/>
  <c r="L189" i="3"/>
  <c r="L188" i="3"/>
  <c r="L187" i="3"/>
  <c r="L186" i="3"/>
  <c r="L185" i="3"/>
  <c r="L184" i="3"/>
  <c r="L182" i="3"/>
  <c r="L181" i="3"/>
  <c r="L180" i="3"/>
  <c r="L179" i="3"/>
  <c r="L177" i="3"/>
  <c r="L175" i="3"/>
  <c r="L172" i="3"/>
  <c r="L171" i="3"/>
  <c r="L170" i="3"/>
  <c r="L168" i="3"/>
  <c r="L163" i="3"/>
  <c r="L162" i="3"/>
  <c r="L161" i="3"/>
  <c r="L158" i="3"/>
  <c r="L154" i="3"/>
  <c r="L153" i="3"/>
  <c r="L152" i="3"/>
  <c r="L151" i="3"/>
  <c r="L150" i="3"/>
  <c r="L149" i="3"/>
  <c r="L147" i="3"/>
  <c r="L146" i="3"/>
  <c r="L144" i="3"/>
  <c r="L139" i="3"/>
  <c r="L137" i="3"/>
  <c r="L136" i="3"/>
  <c r="L134" i="3"/>
  <c r="L133" i="3"/>
  <c r="L132" i="3"/>
  <c r="L131" i="3"/>
  <c r="L130" i="3"/>
  <c r="L129" i="3"/>
  <c r="L127" i="3"/>
  <c r="L125" i="3"/>
  <c r="L124" i="3"/>
  <c r="L122" i="3"/>
  <c r="L121" i="3"/>
  <c r="L120" i="3"/>
  <c r="L119" i="3"/>
  <c r="L118" i="3"/>
  <c r="L117" i="3"/>
  <c r="L116" i="3"/>
  <c r="L115" i="3"/>
  <c r="L114" i="3"/>
  <c r="L113" i="3"/>
  <c r="L112" i="3"/>
  <c r="L111" i="3"/>
  <c r="L110" i="3"/>
  <c r="L109" i="3"/>
  <c r="L108" i="3"/>
  <c r="L107" i="3"/>
  <c r="L106" i="3"/>
  <c r="L105" i="3"/>
  <c r="L103" i="3"/>
  <c r="L102" i="3"/>
  <c r="L101" i="3"/>
  <c r="L100" i="3"/>
  <c r="L99" i="3"/>
  <c r="L97" i="3"/>
  <c r="L95" i="3"/>
  <c r="L93" i="3"/>
  <c r="L92" i="3"/>
  <c r="L91" i="3"/>
  <c r="L90" i="3"/>
  <c r="L89" i="3"/>
  <c r="L88" i="3"/>
  <c r="L86" i="3"/>
  <c r="L84" i="3"/>
  <c r="L83" i="3"/>
  <c r="L82" i="3"/>
  <c r="L81" i="3"/>
  <c r="L79" i="3"/>
  <c r="L78" i="3"/>
  <c r="L77" i="3"/>
  <c r="L76" i="3"/>
  <c r="L74" i="3"/>
  <c r="L73" i="3"/>
  <c r="L72" i="3"/>
  <c r="L71" i="3"/>
  <c r="L69" i="3"/>
  <c r="L68" i="3"/>
  <c r="L66" i="3"/>
  <c r="L65" i="3"/>
  <c r="L64" i="3"/>
  <c r="L63" i="3"/>
  <c r="L62" i="3"/>
  <c r="L61" i="3"/>
  <c r="L60" i="3"/>
  <c r="L59" i="3"/>
  <c r="L58" i="3"/>
  <c r="L57" i="3"/>
  <c r="L56" i="3"/>
  <c r="L55" i="3"/>
  <c r="L54" i="3"/>
  <c r="L53" i="3"/>
  <c r="L52" i="3"/>
  <c r="L51" i="3"/>
  <c r="L50" i="3"/>
  <c r="L48" i="3"/>
  <c r="L47" i="3"/>
  <c r="L46" i="3"/>
  <c r="L44" i="3"/>
  <c r="L41" i="3"/>
  <c r="L40" i="3"/>
  <c r="L39" i="3"/>
  <c r="L38" i="3"/>
  <c r="L37" i="3"/>
  <c r="L36" i="3"/>
  <c r="L35" i="3"/>
  <c r="L33" i="3"/>
  <c r="L32" i="3"/>
  <c r="L31" i="3"/>
  <c r="L29" i="3"/>
  <c r="L28" i="3"/>
  <c r="L27" i="3"/>
  <c r="L26" i="3"/>
  <c r="L25" i="3"/>
  <c r="L24" i="3"/>
  <c r="L22" i="3"/>
  <c r="L21" i="3"/>
  <c r="L20" i="3"/>
  <c r="L18" i="3"/>
  <c r="L17" i="3"/>
  <c r="L16" i="3"/>
  <c r="L15" i="3"/>
  <c r="L14" i="3"/>
  <c r="L13" i="3"/>
  <c r="L11" i="3"/>
  <c r="L10" i="3"/>
  <c r="L9" i="3"/>
  <c r="L8" i="3"/>
  <c r="L6" i="3"/>
  <c r="L5" i="3"/>
  <c r="L4" i="3"/>
  <c r="L3" i="3"/>
  <c r="L25" i="29"/>
  <c r="K25" i="29"/>
  <c r="J25" i="29"/>
  <c r="M25" i="29" s="1"/>
  <c r="H25" i="29"/>
  <c r="G25" i="29"/>
  <c r="F25" i="29"/>
  <c r="I25" i="29" s="1"/>
  <c r="D25" i="29"/>
  <c r="C25" i="29"/>
  <c r="B25" i="29"/>
  <c r="E25" i="29" s="1"/>
  <c r="L24" i="29"/>
  <c r="K24" i="29"/>
  <c r="J24" i="29"/>
  <c r="M24" i="29" s="1"/>
  <c r="H24" i="29"/>
  <c r="G24" i="29"/>
  <c r="F24" i="29"/>
  <c r="I24" i="29" s="1"/>
  <c r="D24" i="29"/>
  <c r="C24" i="29"/>
  <c r="B24" i="29"/>
  <c r="E24" i="29" s="1"/>
  <c r="J23" i="29"/>
  <c r="F23" i="29"/>
  <c r="C23" i="29"/>
  <c r="J22" i="29"/>
  <c r="F22" i="29"/>
  <c r="C22" i="29"/>
  <c r="B22" i="29"/>
  <c r="L16" i="29"/>
  <c r="K16" i="29"/>
  <c r="J16" i="29"/>
  <c r="M16" i="29" s="1"/>
  <c r="H16" i="29"/>
  <c r="G16" i="29"/>
  <c r="F16" i="29"/>
  <c r="I16" i="29" s="1"/>
  <c r="D16" i="29"/>
  <c r="C16" i="29"/>
  <c r="B16" i="29"/>
  <c r="E16" i="29" s="1"/>
  <c r="L15" i="29"/>
  <c r="K15" i="29"/>
  <c r="J15" i="29"/>
  <c r="M15" i="29" s="1"/>
  <c r="H15" i="29"/>
  <c r="G15" i="29"/>
  <c r="F15" i="29"/>
  <c r="I15" i="29" s="1"/>
  <c r="D15" i="29"/>
  <c r="C15" i="29"/>
  <c r="B15" i="29"/>
  <c r="E15" i="29" s="1"/>
  <c r="J14" i="29"/>
  <c r="G14" i="29"/>
  <c r="F14" i="29"/>
  <c r="J13" i="29"/>
  <c r="G13" i="29"/>
  <c r="F13" i="29"/>
  <c r="B13" i="29"/>
  <c r="L7" i="29"/>
  <c r="L35" i="29" s="1"/>
  <c r="K7" i="29"/>
  <c r="J7" i="29"/>
  <c r="M7" i="29" s="1"/>
  <c r="H7" i="29"/>
  <c r="G7" i="29"/>
  <c r="G35" i="29" s="1"/>
  <c r="F7" i="29"/>
  <c r="I7" i="29" s="1"/>
  <c r="D7" i="29"/>
  <c r="C7" i="29"/>
  <c r="B7" i="29"/>
  <c r="B35" i="29" s="1"/>
  <c r="L6" i="29"/>
  <c r="L34" i="29" s="1"/>
  <c r="K6" i="29"/>
  <c r="J6" i="29"/>
  <c r="M6" i="29" s="1"/>
  <c r="D6" i="29"/>
  <c r="C6" i="29"/>
  <c r="B5" i="29"/>
  <c r="L4" i="29"/>
  <c r="B4" i="29"/>
  <c r="M71" i="24"/>
  <c r="L71" i="24" s="1"/>
  <c r="L231" i="24"/>
  <c r="M231" i="24" s="1"/>
  <c r="L230" i="24"/>
  <c r="M230" i="24" s="1"/>
  <c r="L229" i="24"/>
  <c r="M229" i="24" s="1"/>
  <c r="L228" i="24"/>
  <c r="M228" i="24" s="1"/>
  <c r="L227" i="24"/>
  <c r="M227" i="24" s="1"/>
  <c r="L226" i="24"/>
  <c r="M226" i="24" s="1"/>
  <c r="L225" i="24"/>
  <c r="M225" i="24" s="1"/>
  <c r="L267" i="24"/>
  <c r="M267" i="24" s="1"/>
  <c r="L268" i="24"/>
  <c r="M268" i="24" s="1"/>
  <c r="L279" i="24"/>
  <c r="M279" i="24" s="1"/>
  <c r="L224" i="24"/>
  <c r="M224" i="24" s="1"/>
  <c r="L216" i="24"/>
  <c r="M216" i="24" s="1"/>
  <c r="I216" i="24"/>
  <c r="L161" i="24"/>
  <c r="M161" i="24" s="1"/>
  <c r="I161" i="24"/>
  <c r="M121" i="24"/>
  <c r="M120" i="24"/>
  <c r="M109" i="24"/>
  <c r="M113" i="24"/>
  <c r="I109" i="24"/>
  <c r="I113" i="24"/>
  <c r="I251" i="24"/>
  <c r="M251" i="24"/>
  <c r="I126" i="24"/>
  <c r="L126" i="24"/>
  <c r="M126" i="24" s="1"/>
  <c r="L264" i="24"/>
  <c r="M264" i="24" s="1"/>
  <c r="I264" i="24"/>
  <c r="L263" i="24"/>
  <c r="M263" i="24" s="1"/>
  <c r="I263" i="24"/>
  <c r="L125" i="24"/>
  <c r="M125" i="24" s="1"/>
  <c r="I125" i="24"/>
  <c r="L262" i="24"/>
  <c r="M262" i="24" s="1"/>
  <c r="I262" i="24"/>
  <c r="L261" i="24"/>
  <c r="M261" i="24" s="1"/>
  <c r="I261" i="24"/>
  <c r="L260" i="24"/>
  <c r="M260" i="24" s="1"/>
  <c r="I260" i="24"/>
  <c r="L259" i="24"/>
  <c r="M259" i="24" s="1"/>
  <c r="I259" i="24"/>
  <c r="M258" i="24"/>
  <c r="I258" i="24"/>
  <c r="M257" i="24"/>
  <c r="I257" i="24"/>
  <c r="L256" i="24"/>
  <c r="M256" i="24" s="1"/>
  <c r="I256" i="24"/>
  <c r="L255" i="24"/>
  <c r="M255" i="24" s="1"/>
  <c r="I255" i="24"/>
  <c r="L127" i="24"/>
  <c r="M127" i="24" s="1"/>
  <c r="L22" i="29" s="1"/>
  <c r="I127" i="24"/>
  <c r="M154" i="24"/>
  <c r="I154" i="24"/>
  <c r="M100" i="24"/>
  <c r="I100" i="24"/>
  <c r="L153" i="24"/>
  <c r="M153" i="24" s="1"/>
  <c r="I153" i="24"/>
  <c r="L99" i="24"/>
  <c r="M99" i="24" s="1"/>
  <c r="I99" i="24"/>
  <c r="L98" i="24"/>
  <c r="M98" i="24" s="1"/>
  <c r="I98" i="24"/>
  <c r="L97" i="24"/>
  <c r="M97" i="24" s="1"/>
  <c r="I97" i="24"/>
  <c r="L158" i="24"/>
  <c r="M158" i="24" s="1"/>
  <c r="I158" i="24"/>
  <c r="L96" i="24"/>
  <c r="M96" i="24" s="1"/>
  <c r="I96" i="24"/>
  <c r="M152" i="24"/>
  <c r="I152" i="24"/>
  <c r="L151" i="24"/>
  <c r="M151" i="24" s="1"/>
  <c r="I151" i="24"/>
  <c r="M95" i="24"/>
  <c r="I95" i="24"/>
  <c r="L150" i="24"/>
  <c r="M150" i="24" s="1"/>
  <c r="I150" i="24"/>
  <c r="L149" i="24"/>
  <c r="M149" i="24" s="1"/>
  <c r="I149" i="24"/>
  <c r="M148" i="24"/>
  <c r="I148" i="24"/>
  <c r="L147" i="24"/>
  <c r="M147" i="24" s="1"/>
  <c r="I147" i="24"/>
  <c r="L146" i="24"/>
  <c r="M146" i="24" s="1"/>
  <c r="I146" i="24"/>
  <c r="L104" i="24"/>
  <c r="M104" i="24" s="1"/>
  <c r="I104" i="24"/>
  <c r="L145" i="24"/>
  <c r="M145" i="24" s="1"/>
  <c r="I145" i="24"/>
  <c r="M103" i="24"/>
  <c r="I103" i="24"/>
  <c r="L110" i="24"/>
  <c r="M110" i="24" s="1"/>
  <c r="I110" i="24"/>
  <c r="M144" i="24"/>
  <c r="I144" i="24"/>
  <c r="M84" i="24"/>
  <c r="I84" i="24"/>
  <c r="L83" i="24"/>
  <c r="M83" i="24" s="1"/>
  <c r="I83" i="24"/>
  <c r="L82" i="24"/>
  <c r="M82" i="24" s="1"/>
  <c r="I82" i="24"/>
  <c r="L81" i="24"/>
  <c r="M81" i="24" s="1"/>
  <c r="I81" i="24"/>
  <c r="M80" i="24"/>
  <c r="I80" i="24"/>
  <c r="M64" i="24"/>
  <c r="I64" i="24"/>
  <c r="M63" i="24"/>
  <c r="I63" i="24"/>
  <c r="L62" i="24"/>
  <c r="M62" i="24" s="1"/>
  <c r="I62" i="24"/>
  <c r="L61" i="24"/>
  <c r="M61" i="24" s="1"/>
  <c r="I61" i="24"/>
  <c r="L60" i="24"/>
  <c r="M60" i="24" s="1"/>
  <c r="I60" i="24"/>
  <c r="L79" i="24"/>
  <c r="M79" i="24" s="1"/>
  <c r="I79" i="24"/>
  <c r="L73" i="24"/>
  <c r="M73" i="24" s="1"/>
  <c r="I73" i="24"/>
  <c r="L72" i="24"/>
  <c r="M72" i="24" s="1"/>
  <c r="I72" i="24"/>
  <c r="L78" i="24"/>
  <c r="M78" i="24" s="1"/>
  <c r="I78" i="24"/>
  <c r="L77" i="24"/>
  <c r="M77" i="24" s="1"/>
  <c r="I77" i="24"/>
  <c r="L76" i="24"/>
  <c r="M76" i="24" s="1"/>
  <c r="I76" i="24"/>
  <c r="L75" i="24"/>
  <c r="M75" i="24" s="1"/>
  <c r="I75" i="24"/>
  <c r="L74" i="24"/>
  <c r="M74" i="24" s="1"/>
  <c r="I74" i="24"/>
  <c r="L36" i="24"/>
  <c r="M36" i="24" s="1"/>
  <c r="I36" i="24"/>
  <c r="L254" i="24"/>
  <c r="M254" i="24" s="1"/>
  <c r="I254" i="24"/>
  <c r="L160" i="24"/>
  <c r="M160" i="24" s="1"/>
  <c r="I160" i="24"/>
  <c r="L253" i="24"/>
  <c r="M253" i="24" s="1"/>
  <c r="I253" i="24"/>
  <c r="L252" i="24"/>
  <c r="M252" i="24" s="1"/>
  <c r="I252" i="24"/>
  <c r="L221" i="24"/>
  <c r="M221" i="24" s="1"/>
  <c r="I221" i="24"/>
  <c r="L250" i="24"/>
  <c r="M250" i="24" s="1"/>
  <c r="I250" i="24"/>
  <c r="L249" i="24"/>
  <c r="M249" i="24" s="1"/>
  <c r="I249" i="24"/>
  <c r="L248" i="24"/>
  <c r="M248" i="24" s="1"/>
  <c r="I248" i="24"/>
  <c r="L233" i="24"/>
  <c r="M233" i="24" s="1"/>
  <c r="I233" i="24"/>
  <c r="M247" i="24"/>
  <c r="I247" i="24"/>
  <c r="M246" i="24"/>
  <c r="I246" i="24"/>
  <c r="L245" i="24"/>
  <c r="M245" i="24" s="1"/>
  <c r="I245" i="24"/>
  <c r="L244" i="24"/>
  <c r="M244" i="24" s="1"/>
  <c r="I244" i="24"/>
  <c r="L220" i="24"/>
  <c r="M220" i="24" s="1"/>
  <c r="I220" i="24"/>
  <c r="L243" i="24"/>
  <c r="M243" i="24" s="1"/>
  <c r="I243" i="24"/>
  <c r="L219" i="24"/>
  <c r="M219" i="24" s="1"/>
  <c r="I219" i="24"/>
  <c r="L242" i="24"/>
  <c r="M242" i="24" s="1"/>
  <c r="I242" i="24"/>
  <c r="M241" i="24"/>
  <c r="I241" i="24"/>
  <c r="M240" i="24"/>
  <c r="I240" i="24"/>
  <c r="M239" i="24"/>
  <c r="I239" i="24"/>
  <c r="M218" i="24"/>
  <c r="I217" i="24"/>
  <c r="L215" i="24"/>
  <c r="M215" i="24" s="1"/>
  <c r="L214" i="24"/>
  <c r="I214" i="24"/>
  <c r="L213" i="24"/>
  <c r="M213" i="24" s="1"/>
  <c r="I213" i="24"/>
  <c r="L212" i="24"/>
  <c r="M212" i="24" s="1"/>
  <c r="I212" i="24"/>
  <c r="L211" i="24"/>
  <c r="M211" i="24" s="1"/>
  <c r="I211" i="24"/>
  <c r="L210" i="24"/>
  <c r="M210" i="24" s="1"/>
  <c r="I210" i="24"/>
  <c r="L209" i="24"/>
  <c r="M209" i="24" s="1"/>
  <c r="I209" i="24"/>
  <c r="L208" i="24"/>
  <c r="M208" i="24" s="1"/>
  <c r="I208" i="24"/>
  <c r="L207" i="24"/>
  <c r="M207" i="24" s="1"/>
  <c r="I207" i="24"/>
  <c r="M238" i="24"/>
  <c r="I238" i="24"/>
  <c r="M237" i="24"/>
  <c r="I237" i="24"/>
  <c r="M236" i="24"/>
  <c r="I236" i="24"/>
  <c r="M235" i="24"/>
  <c r="I235" i="24"/>
  <c r="M234" i="24"/>
  <c r="I234" i="24"/>
  <c r="L206" i="24"/>
  <c r="M206" i="24" s="1"/>
  <c r="I206" i="24"/>
  <c r="L205" i="24"/>
  <c r="M205" i="24" s="1"/>
  <c r="I205" i="24"/>
  <c r="L204" i="24"/>
  <c r="M204" i="24" s="1"/>
  <c r="I204" i="24"/>
  <c r="L203" i="24"/>
  <c r="M203" i="24" s="1"/>
  <c r="I203" i="24"/>
  <c r="M202" i="24"/>
  <c r="I202" i="24"/>
  <c r="L201" i="24"/>
  <c r="M201" i="24" s="1"/>
  <c r="I201" i="24"/>
  <c r="L200" i="24"/>
  <c r="M200" i="24" s="1"/>
  <c r="I200" i="24"/>
  <c r="L199" i="24"/>
  <c r="M199" i="24" s="1"/>
  <c r="I199" i="24"/>
  <c r="L198" i="24"/>
  <c r="M198" i="24" s="1"/>
  <c r="I198" i="24"/>
  <c r="L143" i="24"/>
  <c r="M143" i="24" s="1"/>
  <c r="I143" i="24"/>
  <c r="L197" i="24"/>
  <c r="M197" i="24" s="1"/>
  <c r="I197" i="24"/>
  <c r="M196" i="24"/>
  <c r="I196" i="24"/>
  <c r="M195" i="24"/>
  <c r="I195" i="24"/>
  <c r="L194" i="24"/>
  <c r="M194" i="24" s="1"/>
  <c r="I194" i="24"/>
  <c r="L193" i="24"/>
  <c r="M193" i="24" s="1"/>
  <c r="I193" i="24"/>
  <c r="L192" i="24"/>
  <c r="M192" i="24" s="1"/>
  <c r="I192" i="24"/>
  <c r="L191" i="24"/>
  <c r="M191" i="24" s="1"/>
  <c r="I191" i="24"/>
  <c r="L157" i="24"/>
  <c r="M157" i="24" s="1"/>
  <c r="I157" i="24"/>
  <c r="L190" i="24"/>
  <c r="M190" i="24" s="1"/>
  <c r="I190" i="24"/>
  <c r="L189" i="24"/>
  <c r="M189" i="24" s="1"/>
  <c r="I189" i="24"/>
  <c r="L188" i="24"/>
  <c r="M188" i="24" s="1"/>
  <c r="I188" i="24"/>
  <c r="L187" i="24"/>
  <c r="M187" i="24" s="1"/>
  <c r="I187" i="24"/>
  <c r="L142" i="24"/>
  <c r="M142" i="24" s="1"/>
  <c r="I142" i="24"/>
  <c r="L186" i="24"/>
  <c r="M186" i="24" s="1"/>
  <c r="I186" i="24"/>
  <c r="L185" i="24"/>
  <c r="M185" i="24" s="1"/>
  <c r="I185" i="24"/>
  <c r="L184" i="24"/>
  <c r="M184" i="24" s="1"/>
  <c r="I184" i="24"/>
  <c r="L183" i="24"/>
  <c r="M183" i="24" s="1"/>
  <c r="I183" i="24"/>
  <c r="L182" i="24"/>
  <c r="M182" i="24" s="1"/>
  <c r="I182" i="24"/>
  <c r="L181" i="24"/>
  <c r="M181" i="24" s="1"/>
  <c r="I181" i="24"/>
  <c r="L180" i="24"/>
  <c r="M180" i="24" s="1"/>
  <c r="I180" i="24"/>
  <c r="L179" i="24"/>
  <c r="M179" i="24" s="1"/>
  <c r="I179" i="24"/>
  <c r="L178" i="24"/>
  <c r="M178" i="24" s="1"/>
  <c r="I178" i="24"/>
  <c r="L177" i="24"/>
  <c r="M177" i="24" s="1"/>
  <c r="I177" i="24"/>
  <c r="L176" i="24"/>
  <c r="M176" i="24" s="1"/>
  <c r="I176" i="24"/>
  <c r="L175" i="24"/>
  <c r="M175" i="24" s="1"/>
  <c r="I175" i="24"/>
  <c r="L174" i="24"/>
  <c r="M174" i="24" s="1"/>
  <c r="I174" i="24"/>
  <c r="L173" i="24"/>
  <c r="M173" i="24" s="1"/>
  <c r="I173" i="24"/>
  <c r="L94" i="24"/>
  <c r="M94" i="24" s="1"/>
  <c r="K22" i="29" s="1"/>
  <c r="I94" i="24"/>
  <c r="I172" i="24"/>
  <c r="I171" i="24"/>
  <c r="I170" i="24"/>
  <c r="I169" i="24"/>
  <c r="L168" i="24"/>
  <c r="M168" i="24" s="1"/>
  <c r="I168" i="24"/>
  <c r="L167" i="24"/>
  <c r="M167" i="24" s="1"/>
  <c r="I167" i="24"/>
  <c r="L166" i="24"/>
  <c r="M166" i="24" s="1"/>
  <c r="I166" i="24"/>
  <c r="L132" i="24"/>
  <c r="M132" i="24" s="1"/>
  <c r="I132" i="24"/>
  <c r="L93" i="24"/>
  <c r="M93" i="24" s="1"/>
  <c r="I93" i="24"/>
  <c r="L92" i="24"/>
  <c r="I92" i="24"/>
  <c r="L59" i="24"/>
  <c r="M59" i="24" s="1"/>
  <c r="H22" i="29" s="1"/>
  <c r="I59" i="24"/>
  <c r="L124" i="24"/>
  <c r="M124" i="24" s="1"/>
  <c r="I124" i="24"/>
  <c r="L123" i="24"/>
  <c r="M123" i="24" s="1"/>
  <c r="I123" i="24"/>
  <c r="L122" i="24"/>
  <c r="M122" i="24" s="1"/>
  <c r="I122" i="24"/>
  <c r="L115" i="24"/>
  <c r="M115" i="24" s="1"/>
  <c r="I115" i="24"/>
  <c r="L108" i="24"/>
  <c r="M108" i="24" s="1"/>
  <c r="I108" i="24"/>
  <c r="L107" i="24"/>
  <c r="M107" i="24" s="1"/>
  <c r="I107" i="24"/>
  <c r="L106" i="24"/>
  <c r="I121" i="24"/>
  <c r="L91" i="24"/>
  <c r="M91" i="24" s="1"/>
  <c r="I91" i="24"/>
  <c r="L131" i="24"/>
  <c r="M131" i="24" s="1"/>
  <c r="I131" i="24"/>
  <c r="L165" i="24"/>
  <c r="M165" i="24" s="1"/>
  <c r="I165" i="24"/>
  <c r="L164" i="24"/>
  <c r="M164" i="24" s="1"/>
  <c r="I164" i="24"/>
  <c r="L90" i="24"/>
  <c r="M90" i="24" s="1"/>
  <c r="I90" i="24"/>
  <c r="L89" i="24"/>
  <c r="M89" i="24" s="1"/>
  <c r="I89" i="24"/>
  <c r="L102" i="24"/>
  <c r="M102" i="24" s="1"/>
  <c r="J4" i="29" s="1"/>
  <c r="I102" i="24"/>
  <c r="L141" i="24"/>
  <c r="M141" i="24" s="1"/>
  <c r="I141" i="24"/>
  <c r="L140" i="24"/>
  <c r="M140" i="24" s="1"/>
  <c r="I140" i="24"/>
  <c r="M163" i="24"/>
  <c r="I163" i="24"/>
  <c r="I120" i="24"/>
  <c r="L139" i="24"/>
  <c r="M139" i="24" s="1"/>
  <c r="I139" i="24"/>
  <c r="L114" i="24"/>
  <c r="M114" i="24" s="1"/>
  <c r="I114" i="24"/>
  <c r="L88" i="24"/>
  <c r="M88" i="24" s="1"/>
  <c r="I88" i="24"/>
  <c r="L87" i="24"/>
  <c r="M87" i="24" s="1"/>
  <c r="I87" i="24"/>
  <c r="L101" i="24"/>
  <c r="I101" i="24"/>
  <c r="L138" i="24"/>
  <c r="M138" i="24" s="1"/>
  <c r="I138" i="24"/>
  <c r="L159" i="24"/>
  <c r="M159" i="24" s="1"/>
  <c r="I159" i="24"/>
  <c r="L130" i="24"/>
  <c r="M130" i="24" s="1"/>
  <c r="I130" i="24"/>
  <c r="L162" i="24"/>
  <c r="M162" i="24" s="1"/>
  <c r="I162" i="24"/>
  <c r="L137" i="24"/>
  <c r="M137" i="24" s="1"/>
  <c r="I137" i="24"/>
  <c r="L129" i="24"/>
  <c r="M129" i="24" s="1"/>
  <c r="I129" i="24"/>
  <c r="M136" i="24"/>
  <c r="I136" i="24"/>
  <c r="M135" i="24"/>
  <c r="I135" i="24"/>
  <c r="L119" i="24"/>
  <c r="M119" i="24" s="1"/>
  <c r="I119" i="24"/>
  <c r="L86" i="24"/>
  <c r="I86" i="24"/>
  <c r="L118" i="24"/>
  <c r="M118" i="24" s="1"/>
  <c r="L13" i="29" s="1"/>
  <c r="I118" i="24"/>
  <c r="L85" i="24"/>
  <c r="M85" i="24" s="1"/>
  <c r="K13" i="29" s="1"/>
  <c r="I85" i="24"/>
  <c r="L112" i="24"/>
  <c r="M112" i="24" s="1"/>
  <c r="I112" i="24"/>
  <c r="L111" i="24"/>
  <c r="M111" i="24" s="1"/>
  <c r="I111" i="24"/>
  <c r="L105" i="24"/>
  <c r="M105" i="24" s="1"/>
  <c r="I105" i="24"/>
  <c r="L134" i="24"/>
  <c r="M134" i="24" s="1"/>
  <c r="I134" i="24"/>
  <c r="L133" i="24"/>
  <c r="M133" i="24" s="1"/>
  <c r="I133" i="24"/>
  <c r="L117" i="24"/>
  <c r="M117" i="24" s="1"/>
  <c r="I117" i="24"/>
  <c r="L128" i="24"/>
  <c r="M128" i="24" s="1"/>
  <c r="I128" i="24"/>
  <c r="L156" i="24"/>
  <c r="M156" i="24" s="1"/>
  <c r="I156" i="24"/>
  <c r="L155" i="24"/>
  <c r="M155" i="24" s="1"/>
  <c r="I155" i="24"/>
  <c r="L116" i="24"/>
  <c r="M116" i="24" s="1"/>
  <c r="I116" i="24"/>
  <c r="I71" i="24"/>
  <c r="L70" i="24"/>
  <c r="I70" i="24"/>
  <c r="I58" i="24"/>
  <c r="L69" i="24"/>
  <c r="M69" i="24" s="1"/>
  <c r="G22" i="29" s="1"/>
  <c r="I69" i="24"/>
  <c r="L57" i="24"/>
  <c r="M57" i="24" s="1"/>
  <c r="I57" i="24"/>
  <c r="L56" i="24"/>
  <c r="M56" i="24" s="1"/>
  <c r="I56" i="24"/>
  <c r="L55" i="24"/>
  <c r="M55" i="24" s="1"/>
  <c r="H4" i="29" s="1"/>
  <c r="I55" i="24"/>
  <c r="M54" i="24"/>
  <c r="H6" i="29" s="1"/>
  <c r="I54" i="24"/>
  <c r="M53" i="24"/>
  <c r="I53" i="24"/>
  <c r="L52" i="24"/>
  <c r="M52" i="24" s="1"/>
  <c r="I52" i="24"/>
  <c r="M51" i="24"/>
  <c r="I51" i="24"/>
  <c r="L50" i="24"/>
  <c r="M50" i="24" s="1"/>
  <c r="I50" i="24"/>
  <c r="L49" i="24"/>
  <c r="M49" i="24" s="1"/>
  <c r="I49" i="24"/>
  <c r="L48" i="24"/>
  <c r="M48" i="24" s="1"/>
  <c r="I48" i="24"/>
  <c r="L47" i="24"/>
  <c r="M47" i="24" s="1"/>
  <c r="I47" i="24"/>
  <c r="L46" i="24"/>
  <c r="M46" i="24" s="1"/>
  <c r="I46" i="24"/>
  <c r="L68" i="24"/>
  <c r="M68" i="24" s="1"/>
  <c r="I68" i="24"/>
  <c r="M67" i="24"/>
  <c r="G6" i="29" s="1"/>
  <c r="I67" i="24"/>
  <c r="L66" i="24"/>
  <c r="M66" i="24" s="1"/>
  <c r="I66" i="24"/>
  <c r="L65" i="24"/>
  <c r="M65" i="24" s="1"/>
  <c r="G5" i="29" s="1"/>
  <c r="I65" i="24"/>
  <c r="L45" i="24"/>
  <c r="I45" i="24"/>
  <c r="M35" i="24"/>
  <c r="F6" i="29" s="1"/>
  <c r="I35" i="24"/>
  <c r="L34" i="24"/>
  <c r="M34" i="24" s="1"/>
  <c r="I34" i="24"/>
  <c r="L33" i="24"/>
  <c r="M33" i="24" s="1"/>
  <c r="I33" i="24"/>
  <c r="L32" i="24"/>
  <c r="M32" i="24" s="1"/>
  <c r="I32" i="24"/>
  <c r="L31" i="24"/>
  <c r="M31" i="24" s="1"/>
  <c r="I31" i="24"/>
  <c r="L44" i="24"/>
  <c r="M44" i="24" s="1"/>
  <c r="I44" i="24"/>
  <c r="L43" i="24"/>
  <c r="M43" i="24" s="1"/>
  <c r="I43" i="24"/>
  <c r="L42" i="24"/>
  <c r="M42" i="24" s="1"/>
  <c r="I42" i="24"/>
  <c r="L41" i="24"/>
  <c r="M41" i="24" s="1"/>
  <c r="I41" i="24"/>
  <c r="L40" i="24"/>
  <c r="M40" i="24" s="1"/>
  <c r="I40" i="24"/>
  <c r="L39" i="24"/>
  <c r="M39" i="24" s="1"/>
  <c r="I39" i="24"/>
  <c r="L38" i="24"/>
  <c r="M38" i="24" s="1"/>
  <c r="I38" i="24"/>
  <c r="L37" i="24"/>
  <c r="I37" i="24"/>
  <c r="L30" i="24"/>
  <c r="M30" i="24" s="1"/>
  <c r="I30" i="24"/>
  <c r="M29" i="24"/>
  <c r="I29" i="24"/>
  <c r="L28" i="24"/>
  <c r="M28" i="24" s="1"/>
  <c r="D22" i="29" s="1"/>
  <c r="I28" i="24"/>
  <c r="L27" i="24"/>
  <c r="M27" i="24" s="1"/>
  <c r="I27" i="24"/>
  <c r="L26" i="24"/>
  <c r="M26" i="24" s="1"/>
  <c r="I26" i="24"/>
  <c r="M8" i="24"/>
  <c r="B23" i="29" s="1"/>
  <c r="K8" i="24"/>
  <c r="I8" i="24"/>
  <c r="L25" i="24"/>
  <c r="M25" i="24" s="1"/>
  <c r="I25" i="24"/>
  <c r="L24" i="24"/>
  <c r="M24" i="24" s="1"/>
  <c r="I24" i="24"/>
  <c r="L23" i="24"/>
  <c r="M23" i="24" s="1"/>
  <c r="I23" i="24"/>
  <c r="L22" i="24"/>
  <c r="M22" i="24" s="1"/>
  <c r="I22" i="24"/>
  <c r="L21" i="24"/>
  <c r="M21" i="24" s="1"/>
  <c r="I21" i="24"/>
  <c r="L13" i="24"/>
  <c r="M13" i="24" s="1"/>
  <c r="C4" i="29" s="1"/>
  <c r="I13" i="24"/>
  <c r="L12" i="24"/>
  <c r="M12" i="24" s="1"/>
  <c r="C5" i="29" s="1"/>
  <c r="I12" i="24"/>
  <c r="L7" i="24"/>
  <c r="M7" i="24" s="1"/>
  <c r="B6" i="29" s="1"/>
  <c r="I7" i="24"/>
  <c r="L20" i="24"/>
  <c r="M20" i="24" s="1"/>
  <c r="I20" i="24"/>
  <c r="L19" i="24"/>
  <c r="M19" i="24" s="1"/>
  <c r="I19" i="24"/>
  <c r="L18" i="24"/>
  <c r="M18" i="24" s="1"/>
  <c r="I18" i="24"/>
  <c r="L17" i="24"/>
  <c r="M17" i="24" s="1"/>
  <c r="I17" i="24"/>
  <c r="L16" i="24"/>
  <c r="M16" i="24" s="1"/>
  <c r="I16" i="24"/>
  <c r="L15" i="24"/>
  <c r="M15" i="24" s="1"/>
  <c r="I15" i="24"/>
  <c r="L14" i="24"/>
  <c r="M14" i="24" s="1"/>
  <c r="I14" i="24"/>
  <c r="L11" i="24"/>
  <c r="M11" i="24" s="1"/>
  <c r="C13" i="29" s="1"/>
  <c r="I11" i="24"/>
  <c r="M10" i="24"/>
  <c r="I10" i="24"/>
  <c r="L9" i="24"/>
  <c r="M9" i="24" s="1"/>
  <c r="I9" i="24"/>
  <c r="L6" i="24"/>
  <c r="M6" i="24" s="1"/>
  <c r="B14" i="29" s="1"/>
  <c r="I6" i="24"/>
  <c r="H508" i="3"/>
  <c r="H510" i="3"/>
  <c r="H505" i="3"/>
  <c r="H7" i="3"/>
  <c r="H498" i="3"/>
  <c r="H479" i="3"/>
  <c r="H491" i="3"/>
  <c r="H487" i="3"/>
  <c r="H486" i="3"/>
  <c r="H483" i="3"/>
  <c r="H482" i="3"/>
  <c r="H478" i="3"/>
  <c r="H475" i="3"/>
  <c r="H476" i="3"/>
  <c r="H493" i="3"/>
  <c r="H495" i="3"/>
  <c r="H490" i="3"/>
  <c r="H496" i="3"/>
  <c r="H485" i="3"/>
  <c r="H480" i="3"/>
  <c r="H477" i="3"/>
  <c r="H497" i="3"/>
  <c r="H288" i="3"/>
  <c r="H484" i="3"/>
  <c r="H381" i="3"/>
  <c r="H481" i="3"/>
  <c r="H489" i="3"/>
  <c r="H500" i="3"/>
  <c r="H456" i="3"/>
  <c r="H473" i="3"/>
  <c r="H458" i="3"/>
  <c r="H471" i="3"/>
  <c r="H463" i="3"/>
  <c r="H468" i="3"/>
  <c r="H470" i="3"/>
  <c r="H461" i="3"/>
  <c r="H469" i="3"/>
  <c r="H474" i="3"/>
  <c r="H106" i="3"/>
  <c r="H472" i="3"/>
  <c r="H462" i="3"/>
  <c r="H465" i="3"/>
  <c r="H464" i="3"/>
  <c r="H460" i="3"/>
  <c r="H466" i="3"/>
  <c r="H451" i="3"/>
  <c r="H450" i="3"/>
  <c r="H452" i="3"/>
  <c r="H446" i="3"/>
  <c r="H442" i="3"/>
  <c r="H441" i="3"/>
  <c r="H440" i="3"/>
  <c r="H439" i="3"/>
  <c r="H437" i="3"/>
  <c r="H349" i="3"/>
  <c r="H429" i="3"/>
  <c r="H428" i="3"/>
  <c r="H427" i="3"/>
  <c r="H426" i="3"/>
  <c r="H425" i="3"/>
  <c r="H424" i="3"/>
  <c r="H423" i="3"/>
  <c r="H499" i="3"/>
  <c r="H420" i="3"/>
  <c r="H422" i="3"/>
  <c r="H421" i="3"/>
  <c r="H418" i="3"/>
  <c r="H417" i="3"/>
  <c r="H415" i="3"/>
  <c r="H410" i="3"/>
  <c r="H412" i="3"/>
  <c r="H488" i="3"/>
  <c r="H409" i="3"/>
  <c r="H405" i="3"/>
  <c r="H413" i="3"/>
  <c r="H394" i="3"/>
  <c r="H401" i="3"/>
  <c r="H400" i="3"/>
  <c r="H403" i="3"/>
  <c r="H398" i="3"/>
  <c r="H393" i="3"/>
  <c r="H397" i="3"/>
  <c r="H384" i="3"/>
  <c r="H383" i="3"/>
  <c r="H390" i="3"/>
  <c r="H388" i="3"/>
  <c r="H387" i="3"/>
  <c r="H386" i="3"/>
  <c r="H385" i="3"/>
  <c r="H372" i="3"/>
  <c r="H367" i="3"/>
  <c r="H382" i="3"/>
  <c r="H352" i="3"/>
  <c r="H501" i="3"/>
  <c r="H371" i="3"/>
  <c r="H379" i="3"/>
  <c r="H378" i="3"/>
  <c r="H377" i="3"/>
  <c r="H376" i="3"/>
  <c r="H375" i="3"/>
  <c r="H374" i="3"/>
  <c r="H373" i="3"/>
  <c r="H370" i="3"/>
  <c r="H380" i="3"/>
  <c r="H369" i="3"/>
  <c r="H368" i="3"/>
  <c r="H366" i="3"/>
  <c r="H365" i="3"/>
  <c r="H361" i="3"/>
  <c r="H363" i="3"/>
  <c r="H360" i="3"/>
  <c r="H336" i="3"/>
  <c r="H357" i="3"/>
  <c r="H353" i="3"/>
  <c r="H355" i="3"/>
  <c r="H494" i="3"/>
  <c r="H354" i="3"/>
  <c r="H356" i="3"/>
  <c r="H341" i="3"/>
  <c r="H346" i="3"/>
  <c r="H364" i="3"/>
  <c r="H348" i="3"/>
  <c r="H345" i="3"/>
  <c r="H344" i="3"/>
  <c r="H303" i="3"/>
  <c r="H347" i="3"/>
  <c r="H339" i="3"/>
  <c r="H330" i="3"/>
  <c r="H340" i="3"/>
  <c r="H338" i="3"/>
  <c r="H331" i="3"/>
  <c r="H337" i="3"/>
  <c r="H492" i="3"/>
  <c r="H335" i="3"/>
  <c r="H333" i="3"/>
  <c r="H334" i="3"/>
  <c r="H298" i="3"/>
  <c r="H317" i="3"/>
  <c r="H327" i="3"/>
  <c r="H350" i="3"/>
  <c r="H325" i="3"/>
  <c r="H323" i="3"/>
  <c r="H305" i="3"/>
  <c r="H326" i="3"/>
  <c r="H322" i="3"/>
  <c r="H321" i="3"/>
  <c r="H320" i="3"/>
  <c r="H332" i="3"/>
  <c r="H318" i="3"/>
  <c r="H315" i="3"/>
  <c r="H302" i="3"/>
  <c r="H314" i="3"/>
  <c r="H311" i="3"/>
  <c r="H310" i="3"/>
  <c r="H316" i="3"/>
  <c r="H312" i="3"/>
  <c r="H329" i="3"/>
  <c r="H301" i="3"/>
  <c r="H300" i="3"/>
  <c r="H299" i="3"/>
  <c r="H304" i="3"/>
  <c r="H319" i="3"/>
  <c r="H295" i="3"/>
  <c r="H292" i="3"/>
  <c r="H297" i="3"/>
  <c r="H296" i="3"/>
  <c r="H309" i="3"/>
  <c r="H313" i="3"/>
  <c r="H289" i="3"/>
  <c r="H343" i="3"/>
  <c r="H290" i="3"/>
  <c r="H287" i="3"/>
  <c r="H286" i="3"/>
  <c r="H293" i="3"/>
  <c r="H457" i="3"/>
  <c r="H284" i="3"/>
  <c r="H282" i="3"/>
  <c r="H281" i="3"/>
  <c r="H216" i="3"/>
  <c r="H283" i="3"/>
  <c r="H274" i="3"/>
  <c r="H285" i="3"/>
  <c r="H511" i="3"/>
  <c r="H273" i="3"/>
  <c r="H280" i="3"/>
  <c r="H188" i="3"/>
  <c r="H271" i="3"/>
  <c r="H264" i="3"/>
  <c r="H278" i="3"/>
  <c r="H256" i="3"/>
  <c r="H268" i="3"/>
  <c r="H275" i="3"/>
  <c r="H260" i="3"/>
  <c r="H258" i="3"/>
  <c r="H144" i="3"/>
  <c r="H270" i="3"/>
  <c r="H241" i="3"/>
  <c r="H263" i="3"/>
  <c r="H247" i="3"/>
  <c r="H254" i="3"/>
  <c r="H251" i="3"/>
  <c r="H249" i="3"/>
  <c r="H248" i="3"/>
  <c r="H359" i="3"/>
  <c r="H267" i="3"/>
  <c r="H342" i="3"/>
  <c r="H265" i="3"/>
  <c r="H242" i="3"/>
  <c r="H235" i="3"/>
  <c r="H194" i="3"/>
  <c r="H246" i="3"/>
  <c r="H239" i="3"/>
  <c r="H243" i="3"/>
  <c r="H245" i="3"/>
  <c r="H227" i="3"/>
  <c r="H215" i="3"/>
  <c r="H219" i="3"/>
  <c r="H234" i="3"/>
  <c r="H244" i="3"/>
  <c r="H233" i="3"/>
  <c r="H224" i="3"/>
  <c r="H229" i="3"/>
  <c r="H232" i="3"/>
  <c r="H221" i="3"/>
  <c r="H467" i="3"/>
  <c r="H225" i="3"/>
  <c r="H237" i="3"/>
  <c r="H257" i="3"/>
  <c r="H240" i="3"/>
  <c r="H203" i="3"/>
  <c r="H228" i="3"/>
  <c r="H230" i="3"/>
  <c r="H220" i="3"/>
  <c r="H459" i="3"/>
  <c r="H210" i="3"/>
  <c r="H209" i="3"/>
  <c r="H212" i="3"/>
  <c r="H223" i="3"/>
  <c r="H222" i="3"/>
  <c r="H160" i="3"/>
  <c r="H214" i="3"/>
  <c r="H277" i="3"/>
  <c r="H207" i="3"/>
  <c r="H205" i="3"/>
  <c r="H208" i="3"/>
  <c r="H198" i="3"/>
  <c r="H218" i="3"/>
  <c r="H201" i="3"/>
  <c r="H186" i="3"/>
  <c r="H204" i="3"/>
  <c r="H200" i="3"/>
  <c r="H199" i="3"/>
  <c r="H206" i="3"/>
  <c r="H217" i="3"/>
  <c r="H195" i="3"/>
  <c r="H197" i="3"/>
  <c r="H193" i="3"/>
  <c r="H202" i="3"/>
  <c r="H189" i="3"/>
  <c r="H196" i="3"/>
  <c r="H187" i="3"/>
  <c r="H190" i="3"/>
  <c r="H191" i="3"/>
  <c r="H162" i="3"/>
  <c r="H504" i="3"/>
  <c r="H180" i="3"/>
  <c r="H157" i="3"/>
  <c r="H182" i="3"/>
  <c r="H181" i="3"/>
  <c r="H177" i="3"/>
  <c r="H176" i="3"/>
  <c r="H119" i="3"/>
  <c r="H185" i="3"/>
  <c r="H183" i="3"/>
  <c r="H170" i="3"/>
  <c r="H174" i="3"/>
  <c r="H175" i="3"/>
  <c r="H192" i="3"/>
  <c r="H172" i="3"/>
  <c r="H171" i="3"/>
  <c r="H164" i="3"/>
  <c r="H165" i="3"/>
  <c r="H168" i="3"/>
  <c r="H166" i="3"/>
  <c r="H159" i="3"/>
  <c r="H163" i="3"/>
  <c r="H139" i="3"/>
  <c r="H184" i="3"/>
  <c r="H161" i="3"/>
  <c r="H150" i="3"/>
  <c r="H137" i="3"/>
  <c r="H146" i="3"/>
  <c r="H158" i="3"/>
  <c r="H155" i="3"/>
  <c r="H153" i="3"/>
  <c r="H154" i="3"/>
  <c r="H152" i="3"/>
  <c r="H149" i="3"/>
  <c r="H148" i="3"/>
  <c r="H211" i="3"/>
  <c r="H143" i="3"/>
  <c r="H131" i="3"/>
  <c r="H136" i="3"/>
  <c r="H173" i="3"/>
  <c r="H151" i="3"/>
  <c r="H133" i="3"/>
  <c r="H142" i="3"/>
  <c r="H129" i="3"/>
  <c r="H389" i="3"/>
  <c r="H134" i="3"/>
  <c r="H128" i="3"/>
  <c r="H127" i="3"/>
  <c r="H125" i="3"/>
  <c r="H130" i="3"/>
  <c r="H116" i="3"/>
  <c r="H122" i="3"/>
  <c r="H126" i="3"/>
  <c r="H115" i="3"/>
  <c r="H120" i="3"/>
  <c r="H114" i="3"/>
  <c r="H117" i="3"/>
  <c r="H506" i="3"/>
  <c r="H113" i="3"/>
  <c r="H121" i="3"/>
  <c r="H112" i="3"/>
  <c r="H103" i="3"/>
  <c r="H104" i="3"/>
  <c r="H110" i="3"/>
  <c r="H118" i="3"/>
  <c r="H109" i="3"/>
  <c r="H111" i="3"/>
  <c r="H100" i="3"/>
  <c r="H108" i="3"/>
  <c r="H90" i="3"/>
  <c r="H107" i="3"/>
  <c r="H105" i="3"/>
  <c r="H102" i="3"/>
  <c r="H101" i="3"/>
  <c r="H98" i="3"/>
  <c r="H95" i="3"/>
  <c r="H89" i="3"/>
  <c r="H97" i="3"/>
  <c r="H93" i="3"/>
  <c r="H92" i="3"/>
  <c r="H88" i="3"/>
  <c r="H94" i="3"/>
  <c r="H81" i="3"/>
  <c r="H86" i="3"/>
  <c r="H71" i="3"/>
  <c r="H78" i="3"/>
  <c r="H83" i="3"/>
  <c r="H84" i="3"/>
  <c r="H76" i="3"/>
  <c r="H85" i="3"/>
  <c r="H99" i="3"/>
  <c r="H79" i="3"/>
  <c r="H74" i="3"/>
  <c r="H72" i="3"/>
  <c r="H77" i="3"/>
  <c r="H64" i="3"/>
  <c r="H70" i="3"/>
  <c r="H66" i="3"/>
  <c r="H67" i="3"/>
  <c r="H454" i="3"/>
  <c r="H69" i="3"/>
  <c r="H57" i="3"/>
  <c r="H58" i="3"/>
  <c r="H62" i="3"/>
  <c r="H61" i="3"/>
  <c r="H59" i="3"/>
  <c r="H51" i="3"/>
  <c r="H37" i="3"/>
  <c r="H54" i="3"/>
  <c r="H60" i="3"/>
  <c r="H53" i="3"/>
  <c r="H55" i="3"/>
  <c r="H50" i="3"/>
  <c r="H52" i="3"/>
  <c r="H48" i="3"/>
  <c r="H49" i="3"/>
  <c r="H47" i="3"/>
  <c r="H19" i="3"/>
  <c r="H32" i="3"/>
  <c r="H45" i="3"/>
  <c r="H43" i="3"/>
  <c r="H35" i="3"/>
  <c r="H44" i="3"/>
  <c r="H40" i="3"/>
  <c r="H41" i="3"/>
  <c r="H42" i="3"/>
  <c r="H39" i="3"/>
  <c r="H38" i="3"/>
  <c r="H453" i="3"/>
  <c r="H36" i="3"/>
  <c r="H46" i="3"/>
  <c r="H29" i="3"/>
  <c r="H30" i="3"/>
  <c r="H27" i="3"/>
  <c r="H26" i="3"/>
  <c r="H14" i="3"/>
  <c r="H23" i="3"/>
  <c r="H25" i="3"/>
  <c r="H24" i="3"/>
  <c r="H455" i="3"/>
  <c r="H17" i="3"/>
  <c r="H22" i="3"/>
  <c r="H21" i="3"/>
  <c r="H16" i="3"/>
  <c r="H15" i="3"/>
  <c r="H11" i="3"/>
  <c r="H12" i="3"/>
  <c r="H20" i="3"/>
  <c r="H10" i="3"/>
  <c r="H507" i="3"/>
  <c r="H6" i="3"/>
  <c r="H5" i="3"/>
  <c r="H3" i="3"/>
  <c r="H4" i="3"/>
  <c r="H509" i="3"/>
  <c r="AQ1" i="22"/>
  <c r="D11" i="31"/>
  <c r="B11" i="31"/>
  <c r="N4" i="31"/>
  <c r="CJ24" i="23"/>
  <c r="BJ24" i="23"/>
  <c r="BK24" i="23" s="1"/>
  <c r="BH24" i="23"/>
  <c r="E24" i="23"/>
  <c r="C24" i="23"/>
  <c r="D24" i="23" s="1"/>
  <c r="BJ446" i="3"/>
  <c r="BJ508" i="3"/>
  <c r="BJ510" i="3"/>
  <c r="BJ505" i="3"/>
  <c r="BJ507" i="3"/>
  <c r="BJ7" i="3"/>
  <c r="BJ413" i="3"/>
  <c r="BJ251" i="3"/>
  <c r="BJ214" i="3"/>
  <c r="BJ195" i="3"/>
  <c r="BJ193" i="3"/>
  <c r="BJ504" i="3"/>
  <c r="BJ163" i="3"/>
  <c r="BJ143" i="3"/>
  <c r="BJ133" i="3"/>
  <c r="BJ506" i="3"/>
  <c r="BJ101" i="3"/>
  <c r="BJ89" i="3"/>
  <c r="BJ78" i="3"/>
  <c r="BJ286" i="3"/>
  <c r="BJ85" i="3"/>
  <c r="BJ73" i="3"/>
  <c r="BJ64" i="3"/>
  <c r="BJ67" i="3"/>
  <c r="BJ62" i="3"/>
  <c r="BJ54" i="3"/>
  <c r="BJ53" i="3"/>
  <c r="BJ50" i="3"/>
  <c r="BJ48" i="3"/>
  <c r="BJ19" i="3"/>
  <c r="BJ156" i="3"/>
  <c r="BJ252" i="3"/>
  <c r="BJ259" i="3"/>
  <c r="BJ269" i="3"/>
  <c r="BJ272" i="3"/>
  <c r="BJ253" i="3"/>
  <c r="BJ123" i="3"/>
  <c r="BJ80" i="3"/>
  <c r="BJ44" i="3"/>
  <c r="BJ135" i="3"/>
  <c r="BJ65" i="3"/>
  <c r="BJ40" i="3"/>
  <c r="BJ41" i="3"/>
  <c r="BJ31" i="3"/>
  <c r="BJ39" i="3"/>
  <c r="BJ38" i="3"/>
  <c r="BJ56" i="3"/>
  <c r="BJ82" i="3"/>
  <c r="BJ30" i="3"/>
  <c r="BJ26" i="3"/>
  <c r="BJ25" i="3"/>
  <c r="BJ23" i="3"/>
  <c r="BJ455" i="3"/>
  <c r="BJ22" i="3"/>
  <c r="BJ21" i="3"/>
  <c r="BJ15" i="3"/>
  <c r="BJ36" i="3"/>
  <c r="BJ262" i="3"/>
  <c r="BJ18" i="3"/>
  <c r="BJ11" i="3"/>
  <c r="BJ502" i="3"/>
  <c r="BJ392" i="3"/>
  <c r="BJ63" i="3"/>
  <c r="BJ28" i="3"/>
  <c r="BJ12" i="3"/>
  <c r="BJ10" i="3"/>
  <c r="BJ276" i="3"/>
  <c r="BJ266" i="3"/>
  <c r="BJ255" i="3"/>
  <c r="BJ231" i="3"/>
  <c r="BJ213" i="3"/>
  <c r="BJ169" i="3"/>
  <c r="BJ140" i="3"/>
  <c r="BJ75" i="3"/>
  <c r="BJ34" i="3"/>
  <c r="BJ68" i="3"/>
  <c r="BJ9" i="3"/>
  <c r="BJ145" i="3"/>
  <c r="BJ87" i="3"/>
  <c r="BJ503" i="3"/>
  <c r="BJ33" i="3"/>
  <c r="BJ5" i="3"/>
  <c r="BJ13" i="3"/>
  <c r="BJ8" i="3"/>
  <c r="BJ4" i="3"/>
  <c r="BJ498" i="3"/>
  <c r="BJ479" i="3"/>
  <c r="BJ491" i="3"/>
  <c r="BJ487" i="3"/>
  <c r="BJ486" i="3"/>
  <c r="BJ483" i="3"/>
  <c r="BJ482" i="3"/>
  <c r="BJ478" i="3"/>
  <c r="BJ475" i="3"/>
  <c r="BJ476" i="3"/>
  <c r="BJ493" i="3"/>
  <c r="BJ495" i="3"/>
  <c r="BJ490" i="3"/>
  <c r="BJ496" i="3"/>
  <c r="BJ485" i="3"/>
  <c r="BJ480" i="3"/>
  <c r="BJ477" i="3"/>
  <c r="BJ497" i="3"/>
  <c r="BJ288" i="3"/>
  <c r="BJ484" i="3"/>
  <c r="BJ311" i="3"/>
  <c r="BJ327" i="3"/>
  <c r="BJ381" i="3"/>
  <c r="BJ481" i="3"/>
  <c r="BJ489" i="3"/>
  <c r="BJ422" i="3"/>
  <c r="BJ500" i="3"/>
  <c r="BJ442" i="3"/>
  <c r="BJ441" i="3"/>
  <c r="BJ440" i="3"/>
  <c r="BJ437" i="3"/>
  <c r="BJ429" i="3"/>
  <c r="BJ428" i="3"/>
  <c r="BJ426" i="3"/>
  <c r="BJ425" i="3"/>
  <c r="BJ424" i="3"/>
  <c r="BJ423" i="3"/>
  <c r="BJ499" i="3"/>
  <c r="BJ420" i="3"/>
  <c r="BJ421" i="3"/>
  <c r="BJ418" i="3"/>
  <c r="BJ417" i="3"/>
  <c r="BJ415" i="3"/>
  <c r="BJ412" i="3"/>
  <c r="BJ488" i="3"/>
  <c r="BJ405" i="3"/>
  <c r="BJ409" i="3"/>
  <c r="BJ394" i="3"/>
  <c r="BJ401" i="3"/>
  <c r="BJ400" i="3"/>
  <c r="BJ403" i="3"/>
  <c r="BJ398" i="3"/>
  <c r="BJ393" i="3"/>
  <c r="BJ397" i="3"/>
  <c r="BJ384" i="3"/>
  <c r="BJ383" i="3"/>
  <c r="BJ438" i="3"/>
  <c r="BJ436" i="3"/>
  <c r="BJ435" i="3"/>
  <c r="BJ434" i="3"/>
  <c r="BJ432" i="3"/>
  <c r="BJ431" i="3"/>
  <c r="BJ390" i="3"/>
  <c r="BJ388" i="3"/>
  <c r="BJ387" i="3"/>
  <c r="BJ386" i="3"/>
  <c r="BJ385" i="3"/>
  <c r="BJ372" i="3"/>
  <c r="BJ367" i="3"/>
  <c r="BJ382" i="3"/>
  <c r="BJ501" i="3"/>
  <c r="BJ371" i="3"/>
  <c r="BJ379" i="3"/>
  <c r="BJ378" i="3"/>
  <c r="BJ377" i="3"/>
  <c r="BJ376" i="3"/>
  <c r="BJ375" i="3"/>
  <c r="BJ374" i="3"/>
  <c r="BJ373" i="3"/>
  <c r="BJ370" i="3"/>
  <c r="BJ380" i="3"/>
  <c r="BJ369" i="3"/>
  <c r="BJ368" i="3"/>
  <c r="BJ366" i="3"/>
  <c r="BJ365" i="3"/>
  <c r="BJ361" i="3"/>
  <c r="BJ360" i="3"/>
  <c r="BJ336" i="3"/>
  <c r="BJ357" i="3"/>
  <c r="BJ494" i="3"/>
  <c r="BJ354" i="3"/>
  <c r="BJ356" i="3"/>
  <c r="BJ341" i="3"/>
  <c r="BJ346" i="3"/>
  <c r="BJ348" i="3"/>
  <c r="BJ345" i="3"/>
  <c r="BJ344" i="3"/>
  <c r="BJ347" i="3"/>
  <c r="BJ339" i="3"/>
  <c r="BJ330" i="3"/>
  <c r="BJ338" i="3"/>
  <c r="BJ331" i="3"/>
  <c r="BJ337" i="3"/>
  <c r="BJ492" i="3"/>
  <c r="BJ335" i="3"/>
  <c r="BJ333" i="3"/>
  <c r="BJ298" i="3"/>
  <c r="BJ317" i="3"/>
  <c r="BJ350" i="3"/>
  <c r="BJ325" i="3"/>
  <c r="BJ323" i="3"/>
  <c r="BJ305" i="3"/>
  <c r="BJ326" i="3"/>
  <c r="BJ322" i="3"/>
  <c r="BJ321" i="3"/>
  <c r="BJ332" i="3"/>
  <c r="BJ318" i="3"/>
  <c r="BJ315" i="3"/>
  <c r="BJ314" i="3"/>
  <c r="BJ310" i="3"/>
  <c r="BJ316" i="3"/>
  <c r="BJ312" i="3"/>
  <c r="BJ329" i="3"/>
  <c r="BJ301" i="3"/>
  <c r="BJ299" i="3"/>
  <c r="BJ304" i="3"/>
  <c r="BJ319" i="3"/>
  <c r="BJ297" i="3"/>
  <c r="BJ309" i="3"/>
  <c r="BJ313" i="3"/>
  <c r="BJ343" i="3"/>
  <c r="BJ216" i="3"/>
  <c r="BJ273" i="3"/>
  <c r="BJ359" i="3"/>
  <c r="BJ220" i="3"/>
  <c r="BJ445" i="3"/>
  <c r="BJ430" i="3"/>
  <c r="BJ131" i="3"/>
  <c r="BJ108" i="3"/>
  <c r="BJ93" i="3"/>
  <c r="BJ211" i="3"/>
  <c r="BJ456" i="3"/>
  <c r="BJ473" i="3"/>
  <c r="BJ458" i="3"/>
  <c r="BJ471" i="3"/>
  <c r="BJ463" i="3"/>
  <c r="BJ239" i="3"/>
  <c r="BJ468" i="3"/>
  <c r="BJ470" i="3"/>
  <c r="BJ461" i="3"/>
  <c r="BJ469" i="3"/>
  <c r="BJ474" i="3"/>
  <c r="BJ106" i="3"/>
  <c r="BJ472" i="3"/>
  <c r="BJ462" i="3"/>
  <c r="BJ465" i="3"/>
  <c r="BJ464" i="3"/>
  <c r="BJ460" i="3"/>
  <c r="BJ171" i="3"/>
  <c r="BJ466" i="3"/>
  <c r="BJ410" i="3"/>
  <c r="BJ363" i="3"/>
  <c r="BJ364" i="3"/>
  <c r="BJ340" i="3"/>
  <c r="BJ302" i="3"/>
  <c r="BJ300" i="3"/>
  <c r="BJ292" i="3"/>
  <c r="BJ296" i="3"/>
  <c r="BJ289" i="3"/>
  <c r="BJ290" i="3"/>
  <c r="BJ287" i="3"/>
  <c r="BJ293" i="3"/>
  <c r="BJ457" i="3"/>
  <c r="BJ284" i="3"/>
  <c r="BJ282" i="3"/>
  <c r="BJ281" i="3"/>
  <c r="BJ274" i="3"/>
  <c r="BJ285" i="3"/>
  <c r="BJ188" i="3"/>
  <c r="BJ271" i="3"/>
  <c r="BJ264" i="3"/>
  <c r="BJ278" i="3"/>
  <c r="BJ256" i="3"/>
  <c r="BJ268" i="3"/>
  <c r="BJ275" i="3"/>
  <c r="BJ260" i="3"/>
  <c r="BJ404" i="3"/>
  <c r="BJ396" i="3"/>
  <c r="BJ351" i="3"/>
  <c r="BJ258" i="3"/>
  <c r="BJ144" i="3"/>
  <c r="BJ270" i="3"/>
  <c r="BJ241" i="3"/>
  <c r="BJ295" i="3"/>
  <c r="BJ263" i="3"/>
  <c r="BJ247" i="3"/>
  <c r="BJ254" i="3"/>
  <c r="BJ249" i="3"/>
  <c r="BJ248" i="3"/>
  <c r="BJ267" i="3"/>
  <c r="BJ342" i="3"/>
  <c r="BJ265" i="3"/>
  <c r="BJ235" i="3"/>
  <c r="BJ194" i="3"/>
  <c r="BJ246" i="3"/>
  <c r="BJ243" i="3"/>
  <c r="BJ245" i="3"/>
  <c r="BJ215" i="3"/>
  <c r="BJ219" i="3"/>
  <c r="BJ234" i="3"/>
  <c r="BJ244" i="3"/>
  <c r="BJ224" i="3"/>
  <c r="BJ229" i="3"/>
  <c r="BJ232" i="3"/>
  <c r="BJ221" i="3"/>
  <c r="BJ467" i="3"/>
  <c r="BJ225" i="3"/>
  <c r="BJ237" i="3"/>
  <c r="BJ257" i="3"/>
  <c r="BJ240" i="3"/>
  <c r="BJ203" i="3"/>
  <c r="BJ228" i="3"/>
  <c r="BJ230" i="3"/>
  <c r="BJ459" i="3"/>
  <c r="BJ210" i="3"/>
  <c r="BJ209" i="3"/>
  <c r="BJ212" i="3"/>
  <c r="BJ223" i="3"/>
  <c r="BJ222" i="3"/>
  <c r="BJ277" i="3"/>
  <c r="BJ207" i="3"/>
  <c r="BJ205" i="3"/>
  <c r="BJ414" i="3"/>
  <c r="BJ306" i="3"/>
  <c r="BJ308" i="3"/>
  <c r="BJ208" i="3"/>
  <c r="BJ198" i="3"/>
  <c r="BJ218" i="3"/>
  <c r="BJ201" i="3"/>
  <c r="BJ186" i="3"/>
  <c r="BJ204" i="3"/>
  <c r="BJ200" i="3"/>
  <c r="BJ199" i="3"/>
  <c r="BJ197" i="3"/>
  <c r="BJ202" i="3"/>
  <c r="BJ189" i="3"/>
  <c r="BJ196" i="3"/>
  <c r="BJ187" i="3"/>
  <c r="BJ190" i="3"/>
  <c r="BJ191" i="3"/>
  <c r="BJ162" i="3"/>
  <c r="BJ406" i="3"/>
  <c r="BJ411" i="3"/>
  <c r="BJ402" i="3"/>
  <c r="BJ391" i="3"/>
  <c r="BJ307" i="3"/>
  <c r="BJ180" i="3"/>
  <c r="BJ157" i="3"/>
  <c r="BJ177" i="3"/>
  <c r="BJ176" i="3"/>
  <c r="BJ119" i="3"/>
  <c r="BJ185" i="3"/>
  <c r="BJ183" i="3"/>
  <c r="BJ174" i="3"/>
  <c r="BJ175" i="3"/>
  <c r="BJ192" i="3"/>
  <c r="BJ164" i="3"/>
  <c r="BJ165" i="3"/>
  <c r="BJ168" i="3"/>
  <c r="BJ166" i="3"/>
  <c r="BJ159" i="3"/>
  <c r="BJ139" i="3"/>
  <c r="BJ184" i="3"/>
  <c r="BJ161" i="3"/>
  <c r="BJ137" i="3"/>
  <c r="BJ146" i="3"/>
  <c r="BJ155" i="3"/>
  <c r="BJ153" i="3"/>
  <c r="BJ152" i="3"/>
  <c r="BJ136" i="3"/>
  <c r="BJ173" i="3"/>
  <c r="BJ151" i="3"/>
  <c r="BJ129" i="3"/>
  <c r="BJ389" i="3"/>
  <c r="BJ128" i="3"/>
  <c r="BJ116" i="3"/>
  <c r="BJ122" i="3"/>
  <c r="BJ126" i="3"/>
  <c r="BJ103" i="3"/>
  <c r="BJ104" i="3"/>
  <c r="BJ110" i="3"/>
  <c r="BJ118" i="3"/>
  <c r="BJ109" i="3"/>
  <c r="BJ102" i="3"/>
  <c r="BJ96" i="3"/>
  <c r="BJ138" i="3"/>
  <c r="BJ98" i="3"/>
  <c r="BJ92" i="3"/>
  <c r="BJ94" i="3"/>
  <c r="BJ81" i="3"/>
  <c r="BJ250" i="3"/>
  <c r="BJ226" i="3"/>
  <c r="BJ167" i="3"/>
  <c r="BJ76" i="3"/>
  <c r="BJ70" i="3"/>
  <c r="BJ69" i="3"/>
  <c r="BJ43" i="3"/>
  <c r="BJ46" i="3"/>
  <c r="BJ451" i="3"/>
  <c r="BJ450" i="3"/>
  <c r="BJ452" i="3"/>
  <c r="BJ74" i="3"/>
  <c r="BJ154" i="3"/>
  <c r="BJ3" i="3"/>
  <c r="BJ349" i="3"/>
  <c r="BJ352" i="3"/>
  <c r="BJ447" i="3"/>
  <c r="BJ280" i="3"/>
  <c r="BJ242" i="3"/>
  <c r="BJ358" i="3"/>
  <c r="BJ291" i="3"/>
  <c r="BJ233" i="3"/>
  <c r="BJ206" i="3"/>
  <c r="BJ217" i="3"/>
  <c r="BJ182" i="3"/>
  <c r="BJ181" i="3"/>
  <c r="BJ178" i="3"/>
  <c r="BJ170" i="3"/>
  <c r="BJ172" i="3"/>
  <c r="BJ449" i="3"/>
  <c r="BJ448" i="3"/>
  <c r="BJ444" i="3"/>
  <c r="BJ433" i="3"/>
  <c r="BJ443" i="3"/>
  <c r="BJ408" i="3"/>
  <c r="BJ419" i="3"/>
  <c r="BJ399" i="3"/>
  <c r="BJ261" i="3"/>
  <c r="BJ150" i="3"/>
  <c r="BJ158" i="3"/>
  <c r="BJ149" i="3"/>
  <c r="BJ148" i="3"/>
  <c r="BJ142" i="3"/>
  <c r="BJ134" i="3"/>
  <c r="BJ127" i="3"/>
  <c r="BJ125" i="3"/>
  <c r="BJ130" i="3"/>
  <c r="BJ115" i="3"/>
  <c r="BJ120" i="3"/>
  <c r="BJ114" i="3"/>
  <c r="BJ117" i="3"/>
  <c r="BJ113" i="3"/>
  <c r="BJ121" i="3"/>
  <c r="BJ112" i="3"/>
  <c r="BJ111" i="3"/>
  <c r="BJ100" i="3"/>
  <c r="BJ416" i="3"/>
  <c r="BJ407" i="3"/>
  <c r="BJ362" i="3"/>
  <c r="BJ324" i="3"/>
  <c r="BJ179" i="3"/>
  <c r="BJ90" i="3"/>
  <c r="BJ107" i="3"/>
  <c r="BJ105" i="3"/>
  <c r="BJ95" i="3"/>
  <c r="BJ395" i="3"/>
  <c r="BJ238" i="3"/>
  <c r="BJ141" i="3"/>
  <c r="BJ97" i="3"/>
  <c r="BJ88" i="3"/>
  <c r="BJ86" i="3"/>
  <c r="BJ71" i="3"/>
  <c r="BJ83" i="3"/>
  <c r="BJ84" i="3"/>
  <c r="BJ328" i="3"/>
  <c r="BJ294" i="3"/>
  <c r="BJ91" i="3"/>
  <c r="BJ99" i="3"/>
  <c r="BJ79" i="3"/>
  <c r="BJ72" i="3"/>
  <c r="BJ77" i="3"/>
  <c r="BJ66" i="3"/>
  <c r="BJ454" i="3"/>
  <c r="BJ57" i="3"/>
  <c r="BJ58" i="3"/>
  <c r="BJ61" i="3"/>
  <c r="BJ59" i="3"/>
  <c r="BJ51" i="3"/>
  <c r="BJ37" i="3"/>
  <c r="BJ60" i="3"/>
  <c r="BJ52" i="3"/>
  <c r="BJ49" i="3"/>
  <c r="BJ47" i="3"/>
  <c r="BJ55" i="3"/>
  <c r="BJ32" i="3"/>
  <c r="BJ45" i="3"/>
  <c r="BJ35" i="3"/>
  <c r="BJ42" i="3"/>
  <c r="BJ453" i="3"/>
  <c r="BJ29" i="3"/>
  <c r="BJ279" i="3"/>
  <c r="BJ236" i="3"/>
  <c r="BJ147" i="3"/>
  <c r="BJ132" i="3"/>
  <c r="BJ124" i="3"/>
  <c r="BJ27" i="3"/>
  <c r="BJ24" i="3"/>
  <c r="BJ17" i="3"/>
  <c r="BJ16" i="3"/>
  <c r="BJ14" i="3"/>
  <c r="BJ20" i="3"/>
  <c r="CL23" i="23"/>
  <c r="CJ23" i="23"/>
  <c r="BJ23" i="23"/>
  <c r="BK23" i="23" s="1"/>
  <c r="BH23" i="23"/>
  <c r="C23" i="23"/>
  <c r="S473" i="3"/>
  <c r="CI22" i="23"/>
  <c r="BI22" i="23"/>
  <c r="BJ22" i="23" s="1"/>
  <c r="BG22" i="23"/>
  <c r="D22" i="23"/>
  <c r="C22" i="23"/>
  <c r="CI21" i="23"/>
  <c r="BI21" i="23"/>
  <c r="BJ21" i="23" s="1"/>
  <c r="BG21" i="23"/>
  <c r="D21" i="23"/>
  <c r="C21" i="23"/>
  <c r="CI20" i="23"/>
  <c r="BI20" i="23"/>
  <c r="BJ20" i="23" s="1"/>
  <c r="BG20" i="23"/>
  <c r="D20" i="23"/>
  <c r="C20" i="23"/>
  <c r="F9" i="8"/>
  <c r="J9" i="8"/>
  <c r="W5" i="4"/>
  <c r="W6" i="4"/>
  <c r="W7" i="4"/>
  <c r="W8" i="4"/>
  <c r="W9" i="4"/>
  <c r="W10" i="4"/>
  <c r="W11" i="4"/>
  <c r="W12" i="4"/>
  <c r="W13" i="4"/>
  <c r="W14" i="4"/>
  <c r="W15" i="4"/>
  <c r="W16" i="4"/>
  <c r="C40" i="4"/>
  <c r="D40" i="4"/>
  <c r="C41" i="4"/>
  <c r="D41" i="4"/>
  <c r="C42" i="4"/>
  <c r="D42" i="4"/>
  <c r="C43" i="4"/>
  <c r="D43" i="4"/>
  <c r="C44" i="4"/>
  <c r="D44" i="4"/>
  <c r="C46" i="4"/>
  <c r="D46" i="4"/>
  <c r="C47" i="4"/>
  <c r="D47" i="4"/>
  <c r="C48" i="4"/>
  <c r="D48" i="4"/>
  <c r="C49" i="4"/>
  <c r="D49" i="4"/>
  <c r="AJ1" i="22"/>
  <c r="CI19" i="23"/>
  <c r="BI19" i="23"/>
  <c r="BJ19" i="23" s="1"/>
  <c r="BG19" i="23"/>
  <c r="D19" i="23"/>
  <c r="C19" i="23"/>
  <c r="CK18" i="23"/>
  <c r="CI18" i="23"/>
  <c r="BI18" i="23"/>
  <c r="BJ18" i="23" s="1"/>
  <c r="BG18" i="23"/>
  <c r="D18" i="23"/>
  <c r="C18" i="23"/>
  <c r="AB1" i="3"/>
  <c r="L27" i="29"/>
  <c r="K27" i="29"/>
  <c r="J27" i="29"/>
  <c r="L9" i="29"/>
  <c r="K9" i="29"/>
  <c r="J9" i="29"/>
  <c r="J18" i="29"/>
  <c r="K18" i="29"/>
  <c r="L18" i="29"/>
  <c r="D1" i="22"/>
  <c r="AB1" i="22"/>
  <c r="CE17" i="23"/>
  <c r="CC17" i="23"/>
  <c r="BC17" i="23"/>
  <c r="BD17" i="23" s="1"/>
  <c r="BA17" i="23"/>
  <c r="D17" i="23"/>
  <c r="C17" i="23"/>
  <c r="AA1" i="3"/>
  <c r="Z1" i="3"/>
  <c r="Y1" i="3"/>
  <c r="X1" i="3"/>
  <c r="W1" i="3"/>
  <c r="V1" i="3"/>
  <c r="BJ561" i="3"/>
  <c r="BJ560" i="3"/>
  <c r="BJ559" i="3"/>
  <c r="BJ558" i="3"/>
  <c r="BJ557" i="3"/>
  <c r="BJ556" i="3"/>
  <c r="BJ555" i="3"/>
  <c r="BJ554" i="3"/>
  <c r="BJ553" i="3"/>
  <c r="BJ552" i="3"/>
  <c r="BJ551" i="3"/>
  <c r="BJ550" i="3"/>
  <c r="BJ549" i="3"/>
  <c r="BJ548" i="3"/>
  <c r="BJ547" i="3"/>
  <c r="BJ546" i="3"/>
  <c r="BJ545" i="3"/>
  <c r="BJ544" i="3"/>
  <c r="BJ543" i="3"/>
  <c r="BJ542" i="3"/>
  <c r="BJ541" i="3"/>
  <c r="BJ540" i="3"/>
  <c r="BJ539" i="3"/>
  <c r="BJ538" i="3"/>
  <c r="BJ537" i="3"/>
  <c r="BJ536" i="3"/>
  <c r="BJ535" i="3"/>
  <c r="BJ534" i="3"/>
  <c r="BJ533" i="3"/>
  <c r="BJ532" i="3"/>
  <c r="BJ531" i="3"/>
  <c r="BJ530" i="3"/>
  <c r="BJ529" i="3"/>
  <c r="BJ528" i="3"/>
  <c r="BJ527" i="3"/>
  <c r="BJ526" i="3"/>
  <c r="BJ525" i="3"/>
  <c r="BJ524" i="3"/>
  <c r="BJ523" i="3"/>
  <c r="BJ522" i="3"/>
  <c r="BJ521" i="3"/>
  <c r="BJ520" i="3"/>
  <c r="BJ519" i="3"/>
  <c r="BJ518" i="3"/>
  <c r="BJ517" i="3"/>
  <c r="BJ516" i="3"/>
  <c r="BJ515" i="3"/>
  <c r="BJ514" i="3"/>
  <c r="BJ513" i="3"/>
  <c r="BJ512" i="3"/>
  <c r="BJ334" i="3"/>
  <c r="BJ283" i="3"/>
  <c r="BJ320" i="3"/>
  <c r="BJ509" i="3"/>
  <c r="BJ439" i="3"/>
  <c r="BJ353" i="3"/>
  <c r="BJ511" i="3"/>
  <c r="BJ427" i="3"/>
  <c r="BJ6" i="3"/>
  <c r="BJ355" i="3"/>
  <c r="BJ160" i="3"/>
  <c r="BJ227" i="3"/>
  <c r="BJ303" i="3"/>
  <c r="CC16" i="23"/>
  <c r="CA16" i="23"/>
  <c r="BA16" i="23"/>
  <c r="BB16" i="23" s="1"/>
  <c r="D16" i="23"/>
  <c r="C16" i="23"/>
  <c r="D71" i="3"/>
  <c r="CB15" i="23"/>
  <c r="BZ15" i="23"/>
  <c r="AZ15" i="23"/>
  <c r="BA15" i="23" s="1"/>
  <c r="D15" i="23"/>
  <c r="C15" i="23"/>
  <c r="BH48" i="8"/>
  <c r="BF48" i="8"/>
  <c r="BH47" i="8"/>
  <c r="BF47" i="8"/>
  <c r="BH46" i="8"/>
  <c r="BF46" i="8"/>
  <c r="BH45" i="8"/>
  <c r="BF45" i="8"/>
  <c r="BH44" i="8"/>
  <c r="BF44" i="8"/>
  <c r="BH43" i="8"/>
  <c r="BF43" i="8"/>
  <c r="BH42" i="8"/>
  <c r="BF42" i="8"/>
  <c r="AG35" i="8"/>
  <c r="AF35" i="8"/>
  <c r="AE35" i="8"/>
  <c r="AD35" i="8"/>
  <c r="AC35" i="8"/>
  <c r="AB35" i="8"/>
  <c r="AA35" i="8"/>
  <c r="Z35" i="8"/>
  <c r="Y35" i="8"/>
  <c r="X35" i="8"/>
  <c r="W35" i="8"/>
  <c r="V35" i="8"/>
  <c r="U35" i="8"/>
  <c r="T35" i="8"/>
  <c r="S35" i="8"/>
  <c r="R35" i="8"/>
  <c r="Q35" i="8"/>
  <c r="N35" i="8"/>
  <c r="M35" i="8"/>
  <c r="AG34" i="8"/>
  <c r="AF34" i="8"/>
  <c r="AE34" i="8"/>
  <c r="AD34" i="8"/>
  <c r="AC34" i="8"/>
  <c r="AB34" i="8"/>
  <c r="AA34" i="8"/>
  <c r="Z34" i="8"/>
  <c r="Y34" i="8"/>
  <c r="X34" i="8"/>
  <c r="W34" i="8"/>
  <c r="V34" i="8"/>
  <c r="U34" i="8"/>
  <c r="T34" i="8"/>
  <c r="S34" i="8"/>
  <c r="R34" i="8"/>
  <c r="Q34" i="8"/>
  <c r="N34" i="8"/>
  <c r="M34" i="8"/>
  <c r="AG33" i="8"/>
  <c r="AF33" i="8"/>
  <c r="AE33" i="8"/>
  <c r="AD33" i="8"/>
  <c r="AC33" i="8"/>
  <c r="AB33" i="8"/>
  <c r="AA33" i="8"/>
  <c r="Z33" i="8"/>
  <c r="Y33" i="8"/>
  <c r="X33" i="8"/>
  <c r="W33" i="8"/>
  <c r="V33" i="8"/>
  <c r="U33" i="8"/>
  <c r="T33" i="8"/>
  <c r="S33" i="8"/>
  <c r="R33" i="8"/>
  <c r="Q33" i="8"/>
  <c r="N33" i="8"/>
  <c r="M33" i="8"/>
  <c r="AG32" i="8"/>
  <c r="AF32" i="8"/>
  <c r="AE32" i="8"/>
  <c r="AD32" i="8"/>
  <c r="AC32" i="8"/>
  <c r="AB32" i="8"/>
  <c r="AA32" i="8"/>
  <c r="Z32" i="8"/>
  <c r="Y32" i="8"/>
  <c r="X32" i="8"/>
  <c r="W32" i="8"/>
  <c r="V32" i="8"/>
  <c r="U32" i="8"/>
  <c r="T32" i="8"/>
  <c r="S32" i="8"/>
  <c r="R32" i="8"/>
  <c r="Q32" i="8"/>
  <c r="N32" i="8"/>
  <c r="M32" i="8"/>
  <c r="AG31" i="8"/>
  <c r="AF31" i="8"/>
  <c r="AE31" i="8"/>
  <c r="AD31" i="8"/>
  <c r="AC31" i="8"/>
  <c r="AB31" i="8"/>
  <c r="AA31" i="8"/>
  <c r="Z31" i="8"/>
  <c r="Y31" i="8"/>
  <c r="X31" i="8"/>
  <c r="W31" i="8"/>
  <c r="V31" i="8"/>
  <c r="U31" i="8"/>
  <c r="T31" i="8"/>
  <c r="S31" i="8"/>
  <c r="R31" i="8"/>
  <c r="Q31" i="8"/>
  <c r="N31" i="8"/>
  <c r="M31" i="8"/>
  <c r="AG30" i="8"/>
  <c r="AF30" i="8"/>
  <c r="AE30" i="8"/>
  <c r="AD30" i="8"/>
  <c r="AC30" i="8"/>
  <c r="AB30" i="8"/>
  <c r="AA30" i="8"/>
  <c r="Z30" i="8"/>
  <c r="Y30" i="8"/>
  <c r="X30" i="8"/>
  <c r="W30" i="8"/>
  <c r="V30" i="8"/>
  <c r="U30" i="8"/>
  <c r="T30" i="8"/>
  <c r="S30" i="8"/>
  <c r="R30" i="8"/>
  <c r="Q30" i="8"/>
  <c r="N30" i="8"/>
  <c r="M30" i="8"/>
  <c r="AG29" i="8"/>
  <c r="AF29" i="8"/>
  <c r="AE29" i="8"/>
  <c r="AD29" i="8"/>
  <c r="AC29" i="8"/>
  <c r="AB29" i="8"/>
  <c r="AA29" i="8"/>
  <c r="Z29" i="8"/>
  <c r="Y29" i="8"/>
  <c r="X29" i="8"/>
  <c r="W29" i="8"/>
  <c r="V29" i="8"/>
  <c r="U29" i="8"/>
  <c r="T29" i="8"/>
  <c r="S29" i="8"/>
  <c r="R29" i="8"/>
  <c r="Q29" i="8"/>
  <c r="N29" i="8"/>
  <c r="M29" i="8"/>
  <c r="D22" i="3"/>
  <c r="S1" i="22"/>
  <c r="T27" i="22"/>
  <c r="T26" i="22"/>
  <c r="T25" i="22"/>
  <c r="T24" i="22"/>
  <c r="T23" i="22"/>
  <c r="T22" i="22"/>
  <c r="T21" i="22"/>
  <c r="T20" i="22"/>
  <c r="T19" i="22"/>
  <c r="T18" i="22"/>
  <c r="T17" i="22"/>
  <c r="T16" i="22"/>
  <c r="T15" i="22"/>
  <c r="T14" i="22"/>
  <c r="T13" i="22"/>
  <c r="T12" i="22"/>
  <c r="T11" i="22"/>
  <c r="T10" i="22"/>
  <c r="T9" i="22"/>
  <c r="T8" i="22"/>
  <c r="T7" i="22"/>
  <c r="T6" i="22"/>
  <c r="T5" i="22"/>
  <c r="T4" i="22"/>
  <c r="H27" i="29"/>
  <c r="B27" i="29"/>
  <c r="C27" i="29"/>
  <c r="D27" i="29"/>
  <c r="F27" i="29"/>
  <c r="G27" i="29"/>
  <c r="H18" i="29"/>
  <c r="G18" i="29"/>
  <c r="F18" i="29"/>
  <c r="D18" i="29"/>
  <c r="C18" i="29"/>
  <c r="B18" i="29"/>
  <c r="F88" i="27"/>
  <c r="G88" i="27" s="1"/>
  <c r="J92" i="27"/>
  <c r="J91" i="27"/>
  <c r="J90" i="27"/>
  <c r="J89" i="27"/>
  <c r="J88" i="27"/>
  <c r="H92" i="27"/>
  <c r="H90" i="27"/>
  <c r="H91" i="27"/>
  <c r="H89" i="27"/>
  <c r="H88" i="27"/>
  <c r="F92" i="27"/>
  <c r="F91" i="27"/>
  <c r="F90" i="27"/>
  <c r="F89" i="27"/>
  <c r="K88" i="27"/>
  <c r="D83" i="27"/>
  <c r="I54" i="4"/>
  <c r="D161" i="3"/>
  <c r="Q10" i="8"/>
  <c r="Q12" i="8" s="1"/>
  <c r="P10" i="8"/>
  <c r="P12" i="8" s="1"/>
  <c r="O10" i="8"/>
  <c r="O12" i="8" s="1"/>
  <c r="M10" i="8"/>
  <c r="M12" i="8" s="1"/>
  <c r="L10" i="8"/>
  <c r="L12" i="8" s="1"/>
  <c r="K10" i="8"/>
  <c r="K12" i="8" s="1"/>
  <c r="I10" i="8"/>
  <c r="I12" i="8" s="1"/>
  <c r="H10" i="8"/>
  <c r="H12" i="8" s="1"/>
  <c r="G10" i="8"/>
  <c r="G12" i="8" s="1"/>
  <c r="E10" i="8"/>
  <c r="E12" i="8" s="1"/>
  <c r="D10" i="8"/>
  <c r="D12" i="8" s="1"/>
  <c r="C10" i="8"/>
  <c r="C12" i="8" s="1"/>
  <c r="E15" i="8" s="1"/>
  <c r="Q11" i="8"/>
  <c r="P11" i="8"/>
  <c r="O11" i="8"/>
  <c r="M11" i="8"/>
  <c r="L11" i="8"/>
  <c r="K11" i="8"/>
  <c r="I11" i="8"/>
  <c r="H11" i="8"/>
  <c r="G11" i="8"/>
  <c r="E11" i="8"/>
  <c r="D11" i="8"/>
  <c r="C11" i="8"/>
  <c r="R11" i="8"/>
  <c r="J11" i="8"/>
  <c r="F11" i="8"/>
  <c r="B11" i="8" s="1"/>
  <c r="Q4" i="8"/>
  <c r="P4" i="8"/>
  <c r="O4" i="8"/>
  <c r="Q3" i="8"/>
  <c r="P3" i="8"/>
  <c r="O3" i="8"/>
  <c r="C3" i="8"/>
  <c r="M3" i="8"/>
  <c r="BZ14" i="23"/>
  <c r="BX14" i="23"/>
  <c r="AX14" i="23"/>
  <c r="AY14" i="23" s="1"/>
  <c r="D14" i="23"/>
  <c r="C14" i="23"/>
  <c r="K33" i="22"/>
  <c r="K32" i="22"/>
  <c r="K31" i="22"/>
  <c r="K30" i="22"/>
  <c r="K29" i="22"/>
  <c r="K28" i="22"/>
  <c r="K27" i="22"/>
  <c r="K26" i="22"/>
  <c r="K25" i="22"/>
  <c r="K24" i="22"/>
  <c r="K23" i="22"/>
  <c r="K22" i="22"/>
  <c r="K21" i="22"/>
  <c r="K20" i="22"/>
  <c r="K19" i="22"/>
  <c r="K18" i="22"/>
  <c r="K17" i="22"/>
  <c r="K16" i="22"/>
  <c r="K15" i="22"/>
  <c r="K14" i="22"/>
  <c r="K13" i="22"/>
  <c r="K12" i="22"/>
  <c r="K11" i="22"/>
  <c r="K10" i="22"/>
  <c r="K9" i="22"/>
  <c r="K8" i="22"/>
  <c r="K7" i="22"/>
  <c r="K6" i="22"/>
  <c r="K5" i="22"/>
  <c r="K4" i="22"/>
  <c r="BY13" i="23"/>
  <c r="BW13" i="23"/>
  <c r="AX13" i="23"/>
  <c r="AY13" i="23" s="1"/>
  <c r="D13" i="23"/>
  <c r="BY12" i="23"/>
  <c r="BW12" i="23"/>
  <c r="AX12" i="23"/>
  <c r="AY12" i="23" s="1"/>
  <c r="D12" i="23"/>
  <c r="BY11" i="23"/>
  <c r="BW11" i="23"/>
  <c r="AX11" i="23"/>
  <c r="AY11" i="23" s="1"/>
  <c r="D11" i="23"/>
  <c r="BY10" i="23"/>
  <c r="BW10" i="23"/>
  <c r="AX10" i="23"/>
  <c r="AY10" i="23" s="1"/>
  <c r="D10" i="23"/>
  <c r="BY9" i="23"/>
  <c r="BW9" i="23"/>
  <c r="AX9" i="23"/>
  <c r="AY9" i="23" s="1"/>
  <c r="D9" i="23"/>
  <c r="BY8" i="23"/>
  <c r="BW8" i="23"/>
  <c r="AX8" i="23"/>
  <c r="AY8" i="23" s="1"/>
  <c r="D8" i="23"/>
  <c r="BY7" i="23"/>
  <c r="BW7" i="23"/>
  <c r="AX7" i="23"/>
  <c r="AY7" i="23" s="1"/>
  <c r="D7" i="23"/>
  <c r="BY6" i="23"/>
  <c r="BW6" i="23"/>
  <c r="AX6" i="23"/>
  <c r="AY6" i="23" s="1"/>
  <c r="D6" i="23"/>
  <c r="BY5" i="23"/>
  <c r="BW5" i="23"/>
  <c r="AX5" i="23"/>
  <c r="AY5" i="23" s="1"/>
  <c r="D5" i="23"/>
  <c r="BY4" i="23"/>
  <c r="BW4" i="23"/>
  <c r="AX4" i="23"/>
  <c r="AY4" i="23" s="1"/>
  <c r="D4" i="23"/>
  <c r="BY3" i="23"/>
  <c r="BW3" i="23"/>
  <c r="AX3" i="23"/>
  <c r="AY3" i="23" s="1"/>
  <c r="D3" i="23"/>
  <c r="D32" i="3"/>
  <c r="BL32" i="3"/>
  <c r="BM32" i="3" s="1"/>
  <c r="CL129" i="3"/>
  <c r="CN129" i="3"/>
  <c r="D454" i="3"/>
  <c r="BL454" i="3"/>
  <c r="BM454" i="3" s="1"/>
  <c r="CL192" i="3"/>
  <c r="CN192" i="3"/>
  <c r="D41" i="3"/>
  <c r="BL41" i="3"/>
  <c r="BM41" i="3" s="1"/>
  <c r="CL117" i="3"/>
  <c r="CN117" i="3"/>
  <c r="D52" i="3"/>
  <c r="BL52" i="3"/>
  <c r="BM52" i="3" s="1"/>
  <c r="CL153" i="3"/>
  <c r="CN153" i="3"/>
  <c r="D455" i="3"/>
  <c r="BL455" i="3"/>
  <c r="BM455" i="3" s="1"/>
  <c r="CL250" i="3"/>
  <c r="CN250" i="3"/>
  <c r="D500" i="3"/>
  <c r="BL500" i="3"/>
  <c r="BM500" i="3" s="1"/>
  <c r="CL253" i="3"/>
  <c r="CN253" i="3"/>
  <c r="D462" i="3"/>
  <c r="BL462" i="3"/>
  <c r="CL82" i="3"/>
  <c r="CN82" i="3"/>
  <c r="D472" i="3"/>
  <c r="BL472" i="3"/>
  <c r="BM472" i="3" s="1"/>
  <c r="CL56" i="3"/>
  <c r="CN56" i="3"/>
  <c r="D106" i="3"/>
  <c r="BL106" i="3"/>
  <c r="BM106" i="3" s="1"/>
  <c r="CL36" i="3"/>
  <c r="CN36" i="3"/>
  <c r="D474" i="3"/>
  <c r="BL474" i="3"/>
  <c r="BM474" i="3" s="1"/>
  <c r="CL38" i="3"/>
  <c r="CN38" i="3"/>
  <c r="D46" i="3"/>
  <c r="BL46" i="3"/>
  <c r="BM46" i="3" s="1"/>
  <c r="CL109" i="3"/>
  <c r="CN109" i="3"/>
  <c r="D43" i="3"/>
  <c r="BL43" i="3"/>
  <c r="BM43" i="3" s="1"/>
  <c r="CL128" i="3"/>
  <c r="CN128" i="3"/>
  <c r="D69" i="3"/>
  <c r="BL69" i="3"/>
  <c r="BM69" i="3" s="1"/>
  <c r="CL171" i="3"/>
  <c r="CN171" i="3"/>
  <c r="D94" i="3"/>
  <c r="BL94" i="3"/>
  <c r="BM94" i="3" s="1"/>
  <c r="CL190" i="3"/>
  <c r="CN190" i="3"/>
  <c r="D81" i="3"/>
  <c r="BL81" i="3"/>
  <c r="BM81" i="3" s="1"/>
  <c r="CL191" i="3"/>
  <c r="CN191" i="3"/>
  <c r="D118" i="3"/>
  <c r="BL118" i="3"/>
  <c r="BM118" i="3" s="1"/>
  <c r="CL205" i="3"/>
  <c r="CN205" i="3"/>
  <c r="D126" i="3"/>
  <c r="BL126" i="3"/>
  <c r="BM126" i="3" s="1"/>
  <c r="CL203" i="3"/>
  <c r="CN203" i="3"/>
  <c r="D103" i="3"/>
  <c r="BL103" i="3"/>
  <c r="BM103" i="3" s="1"/>
  <c r="CL222" i="3"/>
  <c r="CN222" i="3"/>
  <c r="D110" i="3"/>
  <c r="BL110" i="3"/>
  <c r="BM110" i="3" s="1"/>
  <c r="CL207" i="3"/>
  <c r="CN207" i="3"/>
  <c r="D109" i="3"/>
  <c r="BL109" i="3"/>
  <c r="BM109" i="3" s="1"/>
  <c r="CL414" i="3"/>
  <c r="CN414" i="3"/>
  <c r="D122" i="3"/>
  <c r="BL122" i="3"/>
  <c r="BM122" i="3" s="1"/>
  <c r="CL240" i="3"/>
  <c r="CN240" i="3"/>
  <c r="D129" i="3"/>
  <c r="BL129" i="3"/>
  <c r="BM129" i="3" s="1"/>
  <c r="CL224" i="3"/>
  <c r="CN224" i="3"/>
  <c r="D116" i="3"/>
  <c r="BL116" i="3"/>
  <c r="BM116" i="3" s="1"/>
  <c r="CL257" i="3"/>
  <c r="CN257" i="3"/>
  <c r="D469" i="3"/>
  <c r="BL469" i="3"/>
  <c r="BM469" i="3" s="1"/>
  <c r="CL39" i="3"/>
  <c r="CN39" i="3"/>
  <c r="D139" i="3"/>
  <c r="BL139" i="3"/>
  <c r="BM139" i="3" s="1"/>
  <c r="CL263" i="3"/>
  <c r="CN263" i="3"/>
  <c r="D155" i="3"/>
  <c r="BL155" i="3"/>
  <c r="BM155" i="3" s="1"/>
  <c r="CL342" i="3"/>
  <c r="CN342" i="3"/>
  <c r="D180" i="3"/>
  <c r="BL180" i="3"/>
  <c r="BM180" i="3" s="1"/>
  <c r="CL457" i="3"/>
  <c r="CN457" i="3"/>
  <c r="D96" i="3"/>
  <c r="BL96" i="3"/>
  <c r="BM96" i="3" s="1"/>
  <c r="CL443" i="3"/>
  <c r="CN443" i="3"/>
  <c r="BL161" i="3"/>
  <c r="BM161" i="3" s="1"/>
  <c r="CL254" i="3"/>
  <c r="CN254" i="3"/>
  <c r="D136" i="3"/>
  <c r="BL136" i="3"/>
  <c r="BM136" i="3" s="1"/>
  <c r="CL245" i="3"/>
  <c r="CN245" i="3"/>
  <c r="D176" i="3"/>
  <c r="BL176" i="3"/>
  <c r="BM176" i="3" s="1"/>
  <c r="CL188" i="3"/>
  <c r="CN188" i="3"/>
  <c r="D186" i="3"/>
  <c r="BL186" i="3"/>
  <c r="BM186" i="3" s="1"/>
  <c r="CL464" i="3"/>
  <c r="CN464" i="3"/>
  <c r="D224" i="3"/>
  <c r="BL224" i="3"/>
  <c r="BM224" i="3" s="1"/>
  <c r="CL297" i="3"/>
  <c r="CN297" i="3"/>
  <c r="D146" i="3"/>
  <c r="BL146" i="3"/>
  <c r="BM146" i="3" s="1"/>
  <c r="CL267" i="3"/>
  <c r="CN267" i="3"/>
  <c r="D184" i="3"/>
  <c r="BL184" i="3"/>
  <c r="BM184" i="3" s="1"/>
  <c r="CL247" i="3"/>
  <c r="CN247" i="3"/>
  <c r="D465" i="3"/>
  <c r="BL465" i="3"/>
  <c r="BM465" i="3" s="1"/>
  <c r="CL30" i="3"/>
  <c r="CN30" i="3"/>
  <c r="D192" i="3"/>
  <c r="BL192" i="3"/>
  <c r="BM192" i="3" s="1"/>
  <c r="CL260" i="3"/>
  <c r="CN260" i="3"/>
  <c r="D190" i="3"/>
  <c r="BL190" i="3"/>
  <c r="BM190" i="3" s="1"/>
  <c r="CL290" i="3"/>
  <c r="CN290" i="3"/>
  <c r="D138" i="3"/>
  <c r="BL138" i="3"/>
  <c r="BM138" i="3" s="1"/>
  <c r="CL408" i="3"/>
  <c r="CN408" i="3"/>
  <c r="D187" i="3"/>
  <c r="BL187" i="3"/>
  <c r="BM187" i="3" s="1"/>
  <c r="CL289" i="3"/>
  <c r="CN289" i="3"/>
  <c r="D202" i="3"/>
  <c r="BL202" i="3"/>
  <c r="BM202" i="3" s="1"/>
  <c r="CL295" i="3"/>
  <c r="CN295" i="3"/>
  <c r="D167" i="3"/>
  <c r="BL167" i="3"/>
  <c r="BM167" i="3" s="1"/>
  <c r="CL433" i="3"/>
  <c r="CN433" i="3"/>
  <c r="D200" i="3"/>
  <c r="BL200" i="3"/>
  <c r="BM200" i="3" s="1"/>
  <c r="CL466" i="3"/>
  <c r="CN466" i="3"/>
  <c r="D197" i="3"/>
  <c r="BL197" i="3"/>
  <c r="BM197" i="3" s="1"/>
  <c r="CL302" i="3"/>
  <c r="CN302" i="3"/>
  <c r="D204" i="3"/>
  <c r="BL204" i="3"/>
  <c r="BM204" i="3" s="1"/>
  <c r="CL460" i="3"/>
  <c r="CN460" i="3"/>
  <c r="D189" i="3"/>
  <c r="BL189" i="3"/>
  <c r="BM189" i="3" s="1"/>
  <c r="CL292" i="3"/>
  <c r="CN292" i="3"/>
  <c r="D240" i="3"/>
  <c r="BL240" i="3"/>
  <c r="BM240" i="3"/>
  <c r="CL131" i="3"/>
  <c r="CN131" i="3"/>
  <c r="D340" i="3"/>
  <c r="BL340" i="3"/>
  <c r="BM340" i="3" s="1"/>
  <c r="CL394" i="3"/>
  <c r="CN394" i="3"/>
  <c r="D207" i="3"/>
  <c r="BL207" i="3"/>
  <c r="BM207" i="3" s="1"/>
  <c r="CL469" i="3"/>
  <c r="CN469" i="3"/>
  <c r="D230" i="3"/>
  <c r="BL230" i="3"/>
  <c r="BM230" i="3" s="1"/>
  <c r="CL445" i="3"/>
  <c r="CN445" i="3"/>
  <c r="D203" i="3"/>
  <c r="BL203" i="3"/>
  <c r="BM203" i="3" s="1"/>
  <c r="CL108" i="3"/>
  <c r="CN108" i="3"/>
  <c r="D226" i="3"/>
  <c r="BL226" i="3"/>
  <c r="BM226" i="3" s="1"/>
  <c r="CL444" i="3"/>
  <c r="CN444" i="3"/>
  <c r="D208" i="3"/>
  <c r="BL208" i="3"/>
  <c r="BM208" i="3" s="1"/>
  <c r="CL106" i="3"/>
  <c r="CN106" i="3"/>
  <c r="D464" i="3"/>
  <c r="BL464" i="3"/>
  <c r="BM464" i="3" s="1"/>
  <c r="CL26" i="3"/>
  <c r="CN26" i="3"/>
  <c r="D221" i="3"/>
  <c r="BL221" i="3"/>
  <c r="BM221" i="3" s="1"/>
  <c r="CL343" i="3"/>
  <c r="CN343" i="3"/>
  <c r="D199" i="3"/>
  <c r="BL199" i="3"/>
  <c r="BM199" i="3" s="1"/>
  <c r="CL410" i="3"/>
  <c r="CN410" i="3"/>
  <c r="D76" i="3"/>
  <c r="BL76" i="3"/>
  <c r="BM76" i="3" s="1"/>
  <c r="CL307" i="3"/>
  <c r="CN307" i="3"/>
  <c r="D162" i="3"/>
  <c r="BL162" i="3"/>
  <c r="BM162" i="3" s="1"/>
  <c r="CL293" i="3"/>
  <c r="CN293" i="3"/>
  <c r="D232" i="3"/>
  <c r="BL232" i="3"/>
  <c r="BM232" i="3" s="1"/>
  <c r="CL313" i="3"/>
  <c r="CN313" i="3"/>
  <c r="D229" i="3"/>
  <c r="BL229" i="3"/>
  <c r="BM229" i="3" s="1"/>
  <c r="CL309" i="3"/>
  <c r="CN309" i="3"/>
  <c r="D225" i="3"/>
  <c r="BL225" i="3"/>
  <c r="BM225" i="3" s="1"/>
  <c r="CL273" i="3"/>
  <c r="CN273" i="3"/>
  <c r="D237" i="3"/>
  <c r="BL237" i="3"/>
  <c r="BM237" i="3" s="1"/>
  <c r="CL359" i="3"/>
  <c r="CN359" i="3"/>
  <c r="D246" i="3"/>
  <c r="BL246" i="3"/>
  <c r="BM246" i="3" s="1"/>
  <c r="CL316" i="3"/>
  <c r="CN316" i="3"/>
  <c r="D219" i="3"/>
  <c r="BL219" i="3"/>
  <c r="BM219" i="3" s="1"/>
  <c r="CL299" i="3"/>
  <c r="CN299" i="3"/>
  <c r="D248" i="3"/>
  <c r="BL248" i="3"/>
  <c r="BM248" i="3" s="1"/>
  <c r="CL322" i="3"/>
  <c r="CN322" i="3"/>
  <c r="D254" i="3"/>
  <c r="BL254" i="3"/>
  <c r="BM254" i="3" s="1"/>
  <c r="CL323" i="3"/>
  <c r="CN323" i="3"/>
  <c r="D205" i="3"/>
  <c r="BL205" i="3"/>
  <c r="BM205" i="3" s="1"/>
  <c r="CL474" i="3"/>
  <c r="CN474" i="3"/>
  <c r="D215" i="3"/>
  <c r="BL215" i="3"/>
  <c r="BM215" i="3" s="1"/>
  <c r="CL301" i="3"/>
  <c r="CN301" i="3"/>
  <c r="D300" i="3"/>
  <c r="BL300" i="3"/>
  <c r="BM300" i="3" s="1"/>
  <c r="CL378" i="3"/>
  <c r="CN378" i="3"/>
  <c r="D281" i="3"/>
  <c r="BL281" i="3"/>
  <c r="BM281" i="3" s="1"/>
  <c r="CL354" i="3"/>
  <c r="CN354" i="3"/>
  <c r="D250" i="3"/>
  <c r="BL250" i="3"/>
  <c r="BM250" i="3" s="1"/>
  <c r="CL448" i="3"/>
  <c r="CN448" i="3"/>
  <c r="D295" i="3"/>
  <c r="BL295" i="3"/>
  <c r="BM295" i="3" s="1"/>
  <c r="CL327" i="3"/>
  <c r="CN327" i="3"/>
  <c r="D306" i="3"/>
  <c r="BL306" i="3"/>
  <c r="BM306" i="3" s="1"/>
  <c r="CL294" i="3"/>
  <c r="CN294" i="3"/>
  <c r="D364" i="3"/>
  <c r="BL364" i="3"/>
  <c r="BM364" i="3" s="1"/>
  <c r="CL418" i="3"/>
  <c r="CN418" i="3"/>
  <c r="D307" i="3"/>
  <c r="BL307" i="3"/>
  <c r="BM307" i="3" s="1"/>
  <c r="CL105" i="3"/>
  <c r="CN105" i="3"/>
  <c r="D308" i="3"/>
  <c r="BL308" i="3"/>
  <c r="BM308" i="3" s="1"/>
  <c r="CL91" i="3"/>
  <c r="CN91" i="3"/>
  <c r="D302" i="3"/>
  <c r="BL302" i="3"/>
  <c r="BM302" i="3" s="1"/>
  <c r="CL385" i="3"/>
  <c r="CN385" i="3"/>
  <c r="D460" i="3"/>
  <c r="BL460" i="3"/>
  <c r="BM460" i="3" s="1"/>
  <c r="CL23" i="3"/>
  <c r="CN23" i="3"/>
  <c r="D461" i="3"/>
  <c r="BL461" i="3"/>
  <c r="BM461" i="3" s="1"/>
  <c r="CL31" i="3"/>
  <c r="CN31" i="3"/>
  <c r="D339" i="3"/>
  <c r="BL339" i="3"/>
  <c r="BM339" i="3" s="1"/>
  <c r="CL409" i="3"/>
  <c r="CN409" i="3"/>
  <c r="D363" i="3"/>
  <c r="BL363" i="3"/>
  <c r="BM363" i="3" s="1"/>
  <c r="CL428" i="3"/>
  <c r="CN428" i="3"/>
  <c r="D391" i="3"/>
  <c r="BL391" i="3"/>
  <c r="BM391" i="3" s="1"/>
  <c r="CL107" i="3"/>
  <c r="CN107" i="3"/>
  <c r="D351" i="3"/>
  <c r="BL351" i="3"/>
  <c r="BM351" i="3" s="1"/>
  <c r="CL100" i="3"/>
  <c r="CN100" i="3"/>
  <c r="D396" i="3"/>
  <c r="BL396" i="3"/>
  <c r="BM396" i="3" s="1"/>
  <c r="CL111" i="3"/>
  <c r="CN111" i="3"/>
  <c r="D411" i="3"/>
  <c r="BL411" i="3"/>
  <c r="BM411" i="3" s="1"/>
  <c r="CL179" i="3"/>
  <c r="CN179" i="3"/>
  <c r="D406" i="3"/>
  <c r="BL406" i="3"/>
  <c r="BM406" i="3" s="1"/>
  <c r="CL324" i="3"/>
  <c r="CN324" i="3"/>
  <c r="D402" i="3"/>
  <c r="BL402" i="3"/>
  <c r="BM402" i="3" s="1"/>
  <c r="CL90" i="3"/>
  <c r="CN90" i="3"/>
  <c r="D410" i="3"/>
  <c r="BL410" i="3"/>
  <c r="BM410" i="3"/>
  <c r="CL145" i="3"/>
  <c r="CN145" i="3"/>
  <c r="D414" i="3"/>
  <c r="BL414" i="3"/>
  <c r="BM414" i="3" s="1"/>
  <c r="CL328" i="3"/>
  <c r="CN328" i="3"/>
  <c r="D404" i="3"/>
  <c r="BL404" i="3"/>
  <c r="BM404" i="3" s="1"/>
  <c r="CL112" i="3"/>
  <c r="CN112" i="3"/>
  <c r="D228" i="3"/>
  <c r="BL228" i="3"/>
  <c r="BM228" i="3" s="1"/>
  <c r="CL93" i="3"/>
  <c r="CN93" i="3"/>
  <c r="D211" i="3"/>
  <c r="BL211" i="3"/>
  <c r="BM211" i="3" s="1"/>
  <c r="CL246" i="3"/>
  <c r="CN246" i="3"/>
  <c r="D171" i="3"/>
  <c r="BL171" i="3"/>
  <c r="BM171" i="3" s="1"/>
  <c r="CL25" i="3"/>
  <c r="CN25" i="3"/>
  <c r="D288" i="3"/>
  <c r="BL288" i="3"/>
  <c r="BM288" i="3" s="1"/>
  <c r="CL53" i="3"/>
  <c r="CN53" i="3"/>
  <c r="D497" i="3"/>
  <c r="BL497" i="3"/>
  <c r="BM497" i="3" s="1"/>
  <c r="CL54" i="3"/>
  <c r="CN54" i="3"/>
  <c r="D477" i="3"/>
  <c r="BL477" i="3"/>
  <c r="BM477" i="3" s="1"/>
  <c r="CL62" i="3"/>
  <c r="CN62" i="3"/>
  <c r="D327" i="3"/>
  <c r="BL327" i="3"/>
  <c r="BM327" i="3" s="1"/>
  <c r="CL156" i="3"/>
  <c r="CN156" i="3"/>
  <c r="D332" i="3"/>
  <c r="BL332" i="3"/>
  <c r="BM332" i="3" s="1"/>
  <c r="CL388" i="3"/>
  <c r="CN388" i="3"/>
  <c r="D480" i="3"/>
  <c r="BL480" i="3"/>
  <c r="BM480" i="3" s="1"/>
  <c r="CL67" i="3"/>
  <c r="CN67" i="3"/>
  <c r="D485" i="3"/>
  <c r="BL485" i="3"/>
  <c r="BM485" i="3" s="1"/>
  <c r="CL64" i="3"/>
  <c r="CN64" i="3"/>
  <c r="D496" i="3"/>
  <c r="BL496" i="3"/>
  <c r="BM496" i="3" s="1"/>
  <c r="CL73" i="3"/>
  <c r="CN73" i="3"/>
  <c r="D358" i="3"/>
  <c r="BL358" i="3"/>
  <c r="BM358" i="3" s="1"/>
  <c r="CL178" i="3"/>
  <c r="CN178" i="3"/>
  <c r="D422" i="3"/>
  <c r="BL422" i="3"/>
  <c r="BM422" i="3" s="1"/>
  <c r="CL272" i="3"/>
  <c r="CN272" i="3"/>
  <c r="D490" i="3"/>
  <c r="BL490" i="3"/>
  <c r="BM490" i="3" s="1"/>
  <c r="CL85" i="3"/>
  <c r="CN85" i="3"/>
  <c r="U1" i="3"/>
  <c r="Y37" i="8"/>
  <c r="AG37" i="8"/>
  <c r="AF37" i="8"/>
  <c r="AE37" i="8"/>
  <c r="AD37" i="8"/>
  <c r="AC37" i="8"/>
  <c r="AB37" i="8"/>
  <c r="AA37" i="8"/>
  <c r="Z37" i="8"/>
  <c r="X37" i="8"/>
  <c r="W37" i="8"/>
  <c r="V37" i="8"/>
  <c r="U37" i="8"/>
  <c r="T37" i="8"/>
  <c r="S37" i="8"/>
  <c r="R37" i="8"/>
  <c r="Q37" i="8"/>
  <c r="BH41" i="8"/>
  <c r="BH40" i="8"/>
  <c r="BH39" i="8"/>
  <c r="BH38" i="8"/>
  <c r="BH37" i="8"/>
  <c r="BH36" i="8"/>
  <c r="BH35" i="8"/>
  <c r="BH34" i="8"/>
  <c r="BH33" i="8"/>
  <c r="BF41" i="8"/>
  <c r="BF40" i="8"/>
  <c r="BF39" i="8"/>
  <c r="BF38" i="8"/>
  <c r="BF37" i="8"/>
  <c r="BF36" i="8"/>
  <c r="BF35" i="8"/>
  <c r="BF34" i="8"/>
  <c r="BF33" i="8"/>
  <c r="CN186" i="3"/>
  <c r="CN458" i="3"/>
  <c r="CN332" i="3"/>
  <c r="CN213" i="3"/>
  <c r="CN265" i="3"/>
  <c r="CN389" i="3"/>
  <c r="CN278" i="3"/>
  <c r="CN243" i="3"/>
  <c r="CN13" i="3"/>
  <c r="CN151" i="3"/>
  <c r="CN502" i="3"/>
  <c r="CN214" i="3"/>
  <c r="CN251" i="3"/>
  <c r="CN390" i="3"/>
  <c r="CN447" i="3"/>
  <c r="CN215" i="3"/>
  <c r="CN69" i="3"/>
  <c r="CN416" i="3"/>
  <c r="CN9" i="3"/>
  <c r="CN132" i="3"/>
  <c r="CN124" i="3"/>
  <c r="CN27" i="3"/>
  <c r="CN305" i="3"/>
  <c r="CN454" i="3"/>
  <c r="CN125" i="3"/>
  <c r="CN261" i="3"/>
  <c r="CN234" i="3"/>
  <c r="CN14" i="3"/>
  <c r="CN24" i="3"/>
  <c r="CN470" i="3"/>
  <c r="CN340" i="3"/>
  <c r="CN300" i="3"/>
  <c r="CN17" i="3"/>
  <c r="CN241" i="3"/>
  <c r="CN84" i="3"/>
  <c r="CN239" i="3"/>
  <c r="CN16" i="3"/>
  <c r="CN419" i="3"/>
  <c r="CN217" i="3"/>
  <c r="CN51" i="3"/>
  <c r="CN183" i="3"/>
  <c r="CN210" i="3"/>
  <c r="CN197" i="3"/>
  <c r="CN505" i="3"/>
  <c r="CN58" i="3"/>
  <c r="CN182" i="3"/>
  <c r="CN411" i="3"/>
  <c r="CN407" i="3"/>
  <c r="CN57" i="3"/>
  <c r="CN20" i="3"/>
  <c r="CN37" i="3"/>
  <c r="CN119" i="3"/>
  <c r="CN180" i="3"/>
  <c r="CN97" i="3"/>
  <c r="CN399" i="3"/>
  <c r="CN127" i="3"/>
  <c r="CN161" i="3"/>
  <c r="CN7" i="3"/>
  <c r="CN181" i="3"/>
  <c r="CN146" i="3"/>
  <c r="CN155" i="3"/>
  <c r="CN126" i="3"/>
  <c r="CN152" i="3"/>
  <c r="CN172" i="3"/>
  <c r="CN122" i="3"/>
  <c r="CN61" i="3"/>
  <c r="CN103" i="3"/>
  <c r="CN104" i="3"/>
  <c r="CN81" i="3"/>
  <c r="CN3" i="3"/>
  <c r="CN96" i="3"/>
  <c r="CN110" i="3"/>
  <c r="CN98" i="3"/>
  <c r="CN92" i="3"/>
  <c r="CN167" i="3"/>
  <c r="CN226" i="3"/>
  <c r="CN449" i="3"/>
  <c r="CN70" i="3"/>
  <c r="CN413" i="3"/>
  <c r="CN43" i="3"/>
  <c r="CN46" i="3"/>
  <c r="CN233" i="3"/>
  <c r="CN451" i="3"/>
  <c r="CN362" i="3"/>
  <c r="CN206" i="3"/>
  <c r="CN450" i="3"/>
  <c r="CN147" i="3"/>
  <c r="CN242" i="3"/>
  <c r="CN352" i="3"/>
  <c r="CN349" i="3"/>
  <c r="CN280" i="3"/>
  <c r="CN452" i="3"/>
  <c r="CN286" i="3"/>
  <c r="CN392" i="3"/>
  <c r="CN158" i="3"/>
  <c r="CN154" i="3"/>
  <c r="CN149" i="3"/>
  <c r="CN148" i="3"/>
  <c r="CN63" i="3"/>
  <c r="CN11" i="3"/>
  <c r="CN142" i="3"/>
  <c r="CN134" i="3"/>
  <c r="CN12" i="3"/>
  <c r="CN10" i="3"/>
  <c r="CN507" i="3"/>
  <c r="CN266" i="3"/>
  <c r="CN479" i="3"/>
  <c r="CN276" i="3"/>
  <c r="CN195" i="3"/>
  <c r="CN255" i="3"/>
  <c r="CN455" i="3"/>
  <c r="CN75" i="3"/>
  <c r="CN140" i="3"/>
  <c r="CN193" i="3"/>
  <c r="CN34" i="3"/>
  <c r="CN68" i="3"/>
  <c r="CN504" i="3"/>
  <c r="CN269" i="3"/>
  <c r="CN33" i="3"/>
  <c r="CN503" i="3"/>
  <c r="CN4" i="3"/>
  <c r="CN509" i="3"/>
  <c r="CN8" i="3"/>
  <c r="CN163" i="3"/>
  <c r="CN5" i="3"/>
  <c r="CN491" i="3"/>
  <c r="CN477" i="3"/>
  <c r="CN476" i="3"/>
  <c r="CN143" i="3"/>
  <c r="CN486" i="3"/>
  <c r="CN483" i="3"/>
  <c r="CN321" i="3"/>
  <c r="CN482" i="3"/>
  <c r="CN478" i="3"/>
  <c r="CN475" i="3"/>
  <c r="CN500" i="3"/>
  <c r="CN356" i="3"/>
  <c r="CN495" i="3"/>
  <c r="CN252" i="3"/>
  <c r="CN133" i="3"/>
  <c r="CN493" i="3"/>
  <c r="CN485" i="3"/>
  <c r="CN506" i="3"/>
  <c r="CN384" i="3"/>
  <c r="CN441" i="3"/>
  <c r="CN497" i="3"/>
  <c r="CN87" i="3"/>
  <c r="CN484" i="3"/>
  <c r="CN381" i="3"/>
  <c r="CN481" i="3"/>
  <c r="CN442" i="3"/>
  <c r="CN425" i="3"/>
  <c r="CN440" i="3"/>
  <c r="CN437" i="3"/>
  <c r="CN421" i="3"/>
  <c r="CN101" i="3"/>
  <c r="CN405" i="3"/>
  <c r="CN429" i="3"/>
  <c r="CN489" i="3"/>
  <c r="CN426" i="3"/>
  <c r="CN424" i="3"/>
  <c r="CN499" i="3"/>
  <c r="CN420" i="3"/>
  <c r="CN288" i="3"/>
  <c r="CN259" i="3"/>
  <c r="CN208" i="3"/>
  <c r="CN417" i="3"/>
  <c r="CN412" i="3"/>
  <c r="CN436" i="3"/>
  <c r="CN488" i="3"/>
  <c r="CN422" i="3"/>
  <c r="CN496" i="3"/>
  <c r="CN369" i="3"/>
  <c r="CN403" i="3"/>
  <c r="CN398" i="3"/>
  <c r="CN415" i="3"/>
  <c r="CN397" i="3"/>
  <c r="CN401" i="3"/>
  <c r="CN438" i="3"/>
  <c r="CN89" i="3"/>
  <c r="CN435" i="3"/>
  <c r="CN432" i="3"/>
  <c r="CN461" i="3"/>
  <c r="CN375" i="3"/>
  <c r="CN434" i="3"/>
  <c r="CN387" i="3"/>
  <c r="CN386" i="3"/>
  <c r="CN372" i="3"/>
  <c r="CN501" i="3"/>
  <c r="CN48" i="3"/>
  <c r="CN371" i="3"/>
  <c r="CN50" i="3"/>
  <c r="CN367" i="3"/>
  <c r="CN379" i="3"/>
  <c r="CN400" i="3"/>
  <c r="CN382" i="3"/>
  <c r="CN377" i="3"/>
  <c r="CN376" i="3"/>
  <c r="CN498" i="3"/>
  <c r="CN373" i="3"/>
  <c r="CN368" i="3"/>
  <c r="CN374" i="3"/>
  <c r="CN319" i="3"/>
  <c r="CN336" i="3"/>
  <c r="CN357" i="3"/>
  <c r="CN370" i="3"/>
  <c r="CN360" i="3"/>
  <c r="CN494" i="3"/>
  <c r="CN346" i="3"/>
  <c r="CN341" i="3"/>
  <c r="CN330" i="3"/>
  <c r="CN347" i="3"/>
  <c r="CN331" i="3"/>
  <c r="CN135" i="3"/>
  <c r="CN41" i="3"/>
  <c r="CN298" i="3"/>
  <c r="CN333" i="3"/>
  <c r="CN271" i="3"/>
  <c r="CN19" i="3"/>
  <c r="CN350" i="3"/>
  <c r="CN337" i="3"/>
  <c r="CN326" i="3"/>
  <c r="CN338" i="3"/>
  <c r="CN40" i="3"/>
  <c r="CN310" i="3"/>
  <c r="CN318" i="3"/>
  <c r="CN312" i="3"/>
  <c r="CN317" i="3"/>
  <c r="CN471" i="3"/>
  <c r="CN216" i="3"/>
  <c r="CN329" i="3"/>
  <c r="CN65" i="3"/>
  <c r="CN315" i="3"/>
  <c r="CN462" i="3"/>
  <c r="CN78" i="3"/>
  <c r="CN304" i="3"/>
  <c r="CN282" i="3"/>
  <c r="CN211" i="3"/>
  <c r="CN468" i="3"/>
  <c r="CN465" i="3"/>
  <c r="CN277" i="3"/>
  <c r="CN159" i="3"/>
  <c r="CN287" i="3"/>
  <c r="CN472" i="3"/>
  <c r="CN463" i="3"/>
  <c r="CN296" i="3"/>
  <c r="CN396" i="3"/>
  <c r="CN270" i="3"/>
  <c r="CN285" i="3"/>
  <c r="CN275" i="3"/>
  <c r="CN235" i="3"/>
  <c r="CN219" i="3"/>
  <c r="CN456" i="3"/>
  <c r="CN44" i="3"/>
  <c r="CN229" i="3"/>
  <c r="CN80" i="3"/>
  <c r="CN200" i="3"/>
  <c r="CN123" i="3"/>
  <c r="CN189" i="3"/>
  <c r="CN168" i="3"/>
  <c r="CN170" i="3"/>
  <c r="CN32" i="3"/>
  <c r="CN42" i="3"/>
  <c r="CN52" i="3"/>
  <c r="CN29" i="3"/>
  <c r="CN49" i="3"/>
  <c r="CN345" i="3"/>
  <c r="CN99" i="3"/>
  <c r="CN21" i="3"/>
  <c r="CN279" i="3"/>
  <c r="CN45" i="3"/>
  <c r="CN130" i="3"/>
  <c r="CN115" i="3"/>
  <c r="CN88" i="3"/>
  <c r="CN453" i="3"/>
  <c r="CN490" i="3"/>
  <c r="CN120" i="3"/>
  <c r="CN395" i="3"/>
  <c r="CN114" i="3"/>
  <c r="CN291" i="3"/>
  <c r="CN86" i="3"/>
  <c r="CN314" i="3"/>
  <c r="CN238" i="3"/>
  <c r="CN79" i="3"/>
  <c r="CN363" i="3"/>
  <c r="CN236" i="3"/>
  <c r="CN364" i="3"/>
  <c r="CN249" i="3"/>
  <c r="CN281" i="3"/>
  <c r="CN274" i="3"/>
  <c r="CN404" i="3"/>
  <c r="CN284" i="3"/>
  <c r="CN256" i="3"/>
  <c r="CN113" i="3"/>
  <c r="CN150" i="3"/>
  <c r="CN71" i="3"/>
  <c r="CN18" i="3"/>
  <c r="CN74" i="3"/>
  <c r="CN83" i="3"/>
  <c r="CN194" i="3"/>
  <c r="CN244" i="3"/>
  <c r="CN66" i="3"/>
  <c r="CN15" i="3"/>
  <c r="CN72" i="3"/>
  <c r="CN232" i="3"/>
  <c r="CN467" i="3"/>
  <c r="CN225" i="3"/>
  <c r="CN77" i="3"/>
  <c r="CN230" i="3"/>
  <c r="CN459" i="3"/>
  <c r="CN228" i="3"/>
  <c r="CN306" i="3"/>
  <c r="CN212" i="3"/>
  <c r="CN223" i="3"/>
  <c r="CN201" i="3"/>
  <c r="CN308" i="3"/>
  <c r="CN218" i="3"/>
  <c r="CN198" i="3"/>
  <c r="CN199" i="3"/>
  <c r="CN202" i="3"/>
  <c r="CN187" i="3"/>
  <c r="CN391" i="3"/>
  <c r="CN162" i="3"/>
  <c r="CN141" i="3"/>
  <c r="CN177" i="3"/>
  <c r="CN406" i="3"/>
  <c r="CN185" i="3"/>
  <c r="CN262" i="3"/>
  <c r="CN237" i="3"/>
  <c r="CN176" i="3"/>
  <c r="CN175" i="3"/>
  <c r="CN165" i="3"/>
  <c r="CN157" i="3"/>
  <c r="CN173" i="3"/>
  <c r="CN402" i="3"/>
  <c r="CN137" i="3"/>
  <c r="CN121" i="3"/>
  <c r="CN184" i="3"/>
  <c r="CN118" i="3"/>
  <c r="CN116" i="3"/>
  <c r="CN358" i="3"/>
  <c r="CN55" i="3"/>
  <c r="CN102" i="3"/>
  <c r="CN94" i="3"/>
  <c r="CN76" i="3"/>
  <c r="CN59" i="3"/>
  <c r="CN95" i="3"/>
  <c r="CN60" i="3"/>
  <c r="CN47" i="3"/>
  <c r="CN35" i="3"/>
  <c r="CN361" i="3"/>
  <c r="CN473" i="3"/>
  <c r="CN351" i="3"/>
  <c r="CN209" i="3"/>
  <c r="CN204" i="3"/>
  <c r="CL157" i="3"/>
  <c r="CL165" i="3"/>
  <c r="CL175" i="3"/>
  <c r="CL176" i="3"/>
  <c r="CL218" i="3"/>
  <c r="CL185" i="3"/>
  <c r="CL262" i="3"/>
  <c r="CL391" i="3"/>
  <c r="CL406" i="3"/>
  <c r="CL177" i="3"/>
  <c r="CL141" i="3"/>
  <c r="CL237" i="3"/>
  <c r="CL162" i="3"/>
  <c r="CL202" i="3"/>
  <c r="CL201" i="3"/>
  <c r="CL187" i="3"/>
  <c r="CL199" i="3"/>
  <c r="CL95" i="3"/>
  <c r="CL308" i="3"/>
  <c r="CL223" i="3"/>
  <c r="CL212" i="3"/>
  <c r="CL459" i="3"/>
  <c r="CL15" i="3"/>
  <c r="CL306" i="3"/>
  <c r="CL230" i="3"/>
  <c r="CL77" i="3"/>
  <c r="CL72" i="3"/>
  <c r="CL225" i="3"/>
  <c r="CL467" i="3"/>
  <c r="CL232" i="3"/>
  <c r="CL59" i="3"/>
  <c r="CL66" i="3"/>
  <c r="CL18" i="3"/>
  <c r="CL83" i="3"/>
  <c r="CL244" i="3"/>
  <c r="CL71" i="3"/>
  <c r="CL74" i="3"/>
  <c r="CL113" i="3"/>
  <c r="CL150" i="3"/>
  <c r="CL76" i="3"/>
  <c r="CL281" i="3"/>
  <c r="CL284" i="3"/>
  <c r="CL256" i="3"/>
  <c r="CL363" i="3"/>
  <c r="CL274" i="3"/>
  <c r="CL364" i="3"/>
  <c r="CL249" i="3"/>
  <c r="CL236" i="3"/>
  <c r="CL79" i="3"/>
  <c r="CL404" i="3"/>
  <c r="CL94" i="3"/>
  <c r="CL238" i="3"/>
  <c r="CL194" i="3"/>
  <c r="CL102" i="3"/>
  <c r="CL314" i="3"/>
  <c r="CL291" i="3"/>
  <c r="CL114" i="3"/>
  <c r="CL120" i="3"/>
  <c r="CL395" i="3"/>
  <c r="CL115" i="3"/>
  <c r="CL453" i="3"/>
  <c r="CL490" i="3"/>
  <c r="CL45" i="3"/>
  <c r="CL88" i="3"/>
  <c r="CL99" i="3"/>
  <c r="CL279" i="3"/>
  <c r="CL345" i="3"/>
  <c r="CL29" i="3"/>
  <c r="CL49" i="3"/>
  <c r="CL198" i="3"/>
  <c r="CL42" i="3"/>
  <c r="CL52" i="3"/>
  <c r="CL130" i="3"/>
  <c r="CL55" i="3"/>
  <c r="CL32" i="3"/>
  <c r="CL358" i="3"/>
  <c r="CL170" i="3"/>
  <c r="CL116" i="3"/>
  <c r="CL118" i="3"/>
  <c r="CL184" i="3"/>
  <c r="CL121" i="3"/>
  <c r="CL137" i="3"/>
  <c r="CL402" i="3"/>
  <c r="CL228" i="3"/>
  <c r="CL168" i="3"/>
  <c r="CL189" i="3"/>
  <c r="CL80" i="3"/>
  <c r="CL229" i="3"/>
  <c r="CL455" i="3"/>
  <c r="CL235" i="3"/>
  <c r="CL200" i="3"/>
  <c r="CL456" i="3"/>
  <c r="CL86" i="3"/>
  <c r="CL44" i="3"/>
  <c r="CL219" i="3"/>
  <c r="CL270" i="3"/>
  <c r="CL123" i="3"/>
  <c r="CL285" i="3"/>
  <c r="CL275" i="3"/>
  <c r="CL396" i="3"/>
  <c r="CL135" i="3"/>
  <c r="CL296" i="3"/>
  <c r="CL287" i="3"/>
  <c r="CL304" i="3"/>
  <c r="CL463" i="3"/>
  <c r="CL472" i="3"/>
  <c r="CL465" i="3"/>
  <c r="CL277" i="3"/>
  <c r="CL282" i="3"/>
  <c r="CL468" i="3"/>
  <c r="CL462" i="3"/>
  <c r="CL211" i="3"/>
  <c r="CL318" i="3"/>
  <c r="CL65" i="3"/>
  <c r="CL329" i="3"/>
  <c r="CL315" i="3"/>
  <c r="CL317" i="3"/>
  <c r="CL471" i="3"/>
  <c r="CL312" i="3"/>
  <c r="CL350" i="3"/>
  <c r="CL216" i="3"/>
  <c r="CL40" i="3"/>
  <c r="CL310" i="3"/>
  <c r="CL326" i="3"/>
  <c r="CL78" i="3"/>
  <c r="CL19" i="3"/>
  <c r="CL337" i="3"/>
  <c r="CL41" i="3"/>
  <c r="CL338" i="3"/>
  <c r="CL298" i="3"/>
  <c r="CL331" i="3"/>
  <c r="CL341" i="3"/>
  <c r="CL347" i="3"/>
  <c r="CL21" i="3"/>
  <c r="CL330" i="3"/>
  <c r="CL346" i="3"/>
  <c r="CL494" i="3"/>
  <c r="CL357" i="3"/>
  <c r="CL336" i="3"/>
  <c r="CL360" i="3"/>
  <c r="CL370" i="3"/>
  <c r="CL374" i="3"/>
  <c r="CL368" i="3"/>
  <c r="CL319" i="3"/>
  <c r="CL373" i="3"/>
  <c r="CL498" i="3"/>
  <c r="CL376" i="3"/>
  <c r="CL377" i="3"/>
  <c r="CL382" i="3"/>
  <c r="CL400" i="3"/>
  <c r="CL379" i="3"/>
  <c r="CL504" i="3"/>
  <c r="CL50" i="3"/>
  <c r="CL367" i="3"/>
  <c r="CL48" i="3"/>
  <c r="CL372" i="3"/>
  <c r="CL386" i="3"/>
  <c r="CL501" i="3"/>
  <c r="CL496" i="3"/>
  <c r="CL434" i="3"/>
  <c r="CL438" i="3"/>
  <c r="CL375" i="3"/>
  <c r="CL89" i="3"/>
  <c r="CL432" i="3"/>
  <c r="CL387" i="3"/>
  <c r="CL435" i="3"/>
  <c r="CL461" i="3"/>
  <c r="CL333" i="3"/>
  <c r="CL371" i="3"/>
  <c r="CL401" i="3"/>
  <c r="CL397" i="3"/>
  <c r="CL271" i="3"/>
  <c r="CL398" i="3"/>
  <c r="CL369" i="3"/>
  <c r="CL415" i="3"/>
  <c r="CL488" i="3"/>
  <c r="CL412" i="3"/>
  <c r="CL403" i="3"/>
  <c r="CL417" i="3"/>
  <c r="CL208" i="3"/>
  <c r="CL405" i="3"/>
  <c r="CL259" i="3"/>
  <c r="CL420" i="3"/>
  <c r="CL422" i="3"/>
  <c r="CL499" i="3"/>
  <c r="CL424" i="3"/>
  <c r="CL426" i="3"/>
  <c r="CL436" i="3"/>
  <c r="CL101" i="3"/>
  <c r="CL421" i="3"/>
  <c r="CL437" i="3"/>
  <c r="CL440" i="3"/>
  <c r="CL425" i="3"/>
  <c r="CL442" i="3"/>
  <c r="CL252" i="3"/>
  <c r="CL489" i="3"/>
  <c r="CL481" i="3"/>
  <c r="CL381" i="3"/>
  <c r="CL484" i="3"/>
  <c r="CL87" i="3"/>
  <c r="CL497" i="3"/>
  <c r="CL506" i="3"/>
  <c r="CL288" i="3"/>
  <c r="CL321" i="3"/>
  <c r="CL133" i="3"/>
  <c r="CL495" i="3"/>
  <c r="CL493" i="3"/>
  <c r="CL500" i="3"/>
  <c r="CL475" i="3"/>
  <c r="CL478" i="3"/>
  <c r="CL482" i="3"/>
  <c r="CL483" i="3"/>
  <c r="CL8" i="3"/>
  <c r="CL486" i="3"/>
  <c r="CL143" i="3"/>
  <c r="CL485" i="3"/>
  <c r="CL477" i="3"/>
  <c r="CL384" i="3"/>
  <c r="CL429" i="3"/>
  <c r="CL173" i="3"/>
  <c r="CL491" i="3"/>
  <c r="CL476" i="3"/>
  <c r="CL441" i="3"/>
  <c r="CL5" i="3"/>
  <c r="CL163" i="3"/>
  <c r="CL356" i="3"/>
  <c r="CL4" i="3"/>
  <c r="CL503" i="3"/>
  <c r="CL33" i="3"/>
  <c r="CL269" i="3"/>
  <c r="CL509" i="3"/>
  <c r="CL68" i="3"/>
  <c r="CL193" i="3"/>
  <c r="CL34" i="3"/>
  <c r="CL140" i="3"/>
  <c r="CL159" i="3"/>
  <c r="CL75" i="3"/>
  <c r="CL255" i="3"/>
  <c r="CL195" i="3"/>
  <c r="CL276" i="3"/>
  <c r="CL479" i="3"/>
  <c r="CL266" i="3"/>
  <c r="CL12" i="3"/>
  <c r="CL507" i="3"/>
  <c r="CL10" i="3"/>
  <c r="CL134" i="3"/>
  <c r="CL142" i="3"/>
  <c r="CL11" i="3"/>
  <c r="CL63" i="3"/>
  <c r="CL148" i="3"/>
  <c r="CL149" i="3"/>
  <c r="CL154" i="3"/>
  <c r="CL158" i="3"/>
  <c r="CL392" i="3"/>
  <c r="CL147" i="3"/>
  <c r="CL450" i="3"/>
  <c r="CL206" i="3"/>
  <c r="CL362" i="3"/>
  <c r="CL286" i="3"/>
  <c r="CL451" i="3"/>
  <c r="CL233" i="3"/>
  <c r="CL46" i="3"/>
  <c r="CL43" i="3"/>
  <c r="CL70" i="3"/>
  <c r="CL449" i="3"/>
  <c r="CL226" i="3"/>
  <c r="CL167" i="3"/>
  <c r="CL92" i="3"/>
  <c r="CL98" i="3"/>
  <c r="CL81" i="3"/>
  <c r="CL110" i="3"/>
  <c r="CL96" i="3"/>
  <c r="CL3" i="3"/>
  <c r="CL104" i="3"/>
  <c r="CL122" i="3"/>
  <c r="CL103" i="3"/>
  <c r="CL61" i="3"/>
  <c r="CL126" i="3"/>
  <c r="CL146" i="3"/>
  <c r="CL155" i="3"/>
  <c r="CL152" i="3"/>
  <c r="CL161" i="3"/>
  <c r="CL181" i="3"/>
  <c r="CL127" i="3"/>
  <c r="CL7" i="3"/>
  <c r="CL399" i="3"/>
  <c r="CL183" i="3"/>
  <c r="CL97" i="3"/>
  <c r="CL180" i="3"/>
  <c r="CL407" i="3"/>
  <c r="CL119" i="3"/>
  <c r="CL20" i="3"/>
  <c r="CL57" i="3"/>
  <c r="CL37" i="3"/>
  <c r="CL411" i="3"/>
  <c r="CL182" i="3"/>
  <c r="CL197" i="3"/>
  <c r="CL505" i="3"/>
  <c r="CL58" i="3"/>
  <c r="CL210" i="3"/>
  <c r="CL217" i="3"/>
  <c r="CL419" i="3"/>
  <c r="CL51" i="3"/>
  <c r="CL16" i="3"/>
  <c r="CL452" i="3"/>
  <c r="CL239" i="3"/>
  <c r="CL234" i="3"/>
  <c r="CL84" i="3"/>
  <c r="CL172" i="3"/>
  <c r="CL241" i="3"/>
  <c r="CL17" i="3"/>
  <c r="CL300" i="3"/>
  <c r="CL132" i="3"/>
  <c r="CL470" i="3"/>
  <c r="CL340" i="3"/>
  <c r="CL24" i="3"/>
  <c r="CL14" i="3"/>
  <c r="CL261" i="3"/>
  <c r="CL454" i="3"/>
  <c r="CL125" i="3"/>
  <c r="CL280" i="3"/>
  <c r="CL349" i="3"/>
  <c r="CL352" i="3"/>
  <c r="CL305" i="3"/>
  <c r="CL27" i="3"/>
  <c r="CL124" i="3"/>
  <c r="CL9" i="3"/>
  <c r="CL242" i="3"/>
  <c r="CL413" i="3"/>
  <c r="CL416" i="3"/>
  <c r="CL204" i="3"/>
  <c r="CL209" i="3"/>
  <c r="CL351" i="3"/>
  <c r="CL473" i="3"/>
  <c r="CL361" i="3"/>
  <c r="CL35" i="3"/>
  <c r="CL47" i="3"/>
  <c r="CL60" i="3"/>
  <c r="CL69" i="3"/>
  <c r="CL215" i="3"/>
  <c r="CL447" i="3"/>
  <c r="CL390" i="3"/>
  <c r="CL251" i="3"/>
  <c r="CL214" i="3"/>
  <c r="CL502" i="3"/>
  <c r="CL151" i="3"/>
  <c r="CL13" i="3"/>
  <c r="CL243" i="3"/>
  <c r="CL278" i="3"/>
  <c r="CL389" i="3"/>
  <c r="CL265" i="3"/>
  <c r="CL213" i="3"/>
  <c r="CL332" i="3"/>
  <c r="CL458" i="3"/>
  <c r="CL186" i="3"/>
  <c r="CL144" i="3"/>
  <c r="CL348" i="3"/>
  <c r="CL383" i="3"/>
  <c r="CL166" i="3"/>
  <c r="CL423" i="3"/>
  <c r="CL258" i="3"/>
  <c r="CL28" i="3"/>
  <c r="CL196" i="3"/>
  <c r="CL325" i="3"/>
  <c r="CL492" i="3"/>
  <c r="CL366" i="3"/>
  <c r="CL311" i="3"/>
  <c r="CL164" i="3"/>
  <c r="CL220" i="3"/>
  <c r="CL248" i="3"/>
  <c r="CL22" i="3"/>
  <c r="CL136" i="3"/>
  <c r="CL339" i="3"/>
  <c r="CL139" i="3"/>
  <c r="CL344" i="3"/>
  <c r="CL169" i="3"/>
  <c r="CL380" i="3"/>
  <c r="CL487" i="3"/>
  <c r="CL335" i="3"/>
  <c r="CL264" i="3"/>
  <c r="CL393" i="3"/>
  <c r="CL174" i="3"/>
  <c r="CL231" i="3"/>
  <c r="CL221" i="3"/>
  <c r="CL480" i="3"/>
  <c r="CL138" i="3"/>
  <c r="CL268" i="3"/>
  <c r="CL365" i="3"/>
  <c r="CL430" i="3"/>
  <c r="CL510" i="3"/>
  <c r="CL431" i="3"/>
  <c r="CL508" i="3"/>
  <c r="CL6" i="3"/>
  <c r="CL160" i="3"/>
  <c r="CL227" i="3"/>
  <c r="CL511" i="3"/>
  <c r="CL283" i="3"/>
  <c r="CL320" i="3"/>
  <c r="CL334" i="3"/>
  <c r="CL303" i="3"/>
  <c r="CL355" i="3"/>
  <c r="CL353" i="3"/>
  <c r="CL427" i="3"/>
  <c r="CL439" i="3"/>
  <c r="CL446" i="3"/>
  <c r="CL512" i="3"/>
  <c r="CL513" i="3"/>
  <c r="CL514" i="3"/>
  <c r="CL515" i="3"/>
  <c r="CL516" i="3"/>
  <c r="CL517" i="3"/>
  <c r="CL518" i="3"/>
  <c r="CL519" i="3"/>
  <c r="CL520" i="3"/>
  <c r="CL521" i="3"/>
  <c r="CL522" i="3"/>
  <c r="CL523" i="3"/>
  <c r="CL524" i="3"/>
  <c r="CL525" i="3"/>
  <c r="CL526" i="3"/>
  <c r="CL527" i="3"/>
  <c r="CL528" i="3"/>
  <c r="CL529" i="3"/>
  <c r="CL530" i="3"/>
  <c r="CL531" i="3"/>
  <c r="CL532" i="3"/>
  <c r="CL533" i="3"/>
  <c r="CL534" i="3"/>
  <c r="CL535" i="3"/>
  <c r="CL536" i="3"/>
  <c r="CL537" i="3"/>
  <c r="CL538" i="3"/>
  <c r="CL539" i="3"/>
  <c r="CL540" i="3"/>
  <c r="CL541" i="3"/>
  <c r="CL542" i="3"/>
  <c r="CL543" i="3"/>
  <c r="CL544" i="3"/>
  <c r="CL545" i="3"/>
  <c r="CL546" i="3"/>
  <c r="CL547" i="3"/>
  <c r="CL548" i="3"/>
  <c r="CL549" i="3"/>
  <c r="CL550" i="3"/>
  <c r="CL551" i="3"/>
  <c r="CL552" i="3"/>
  <c r="CL553" i="3"/>
  <c r="CL554" i="3"/>
  <c r="CL555" i="3"/>
  <c r="CL556" i="3"/>
  <c r="CL557" i="3"/>
  <c r="CL558" i="3"/>
  <c r="CL559" i="3"/>
  <c r="CL560" i="3"/>
  <c r="CL561" i="3"/>
  <c r="AG28" i="8"/>
  <c r="AF28" i="8"/>
  <c r="AE28" i="8"/>
  <c r="AD28" i="8"/>
  <c r="AC28" i="8"/>
  <c r="AB28" i="8"/>
  <c r="AA28" i="8"/>
  <c r="Z28" i="8"/>
  <c r="Y28" i="8"/>
  <c r="X28" i="8"/>
  <c r="W28" i="8"/>
  <c r="V28" i="8"/>
  <c r="U28" i="8"/>
  <c r="T28" i="8"/>
  <c r="S28" i="8"/>
  <c r="R28" i="8"/>
  <c r="Q28" i="8"/>
  <c r="AG27" i="8"/>
  <c r="AF27" i="8"/>
  <c r="AE27" i="8"/>
  <c r="AD27" i="8"/>
  <c r="AC27" i="8"/>
  <c r="AB27" i="8"/>
  <c r="AA27" i="8"/>
  <c r="Z27" i="8"/>
  <c r="Y27" i="8"/>
  <c r="X27" i="8"/>
  <c r="W27" i="8"/>
  <c r="V27" i="8"/>
  <c r="U27" i="8"/>
  <c r="T27" i="8"/>
  <c r="S27" i="8"/>
  <c r="R27" i="8"/>
  <c r="Q27" i="8"/>
  <c r="AG26" i="8"/>
  <c r="AF26" i="8"/>
  <c r="AE26" i="8"/>
  <c r="AD26" i="8"/>
  <c r="AC26" i="8"/>
  <c r="AB26" i="8"/>
  <c r="AA26" i="8"/>
  <c r="Z26" i="8"/>
  <c r="Y26" i="8"/>
  <c r="X26" i="8"/>
  <c r="W26" i="8"/>
  <c r="V26" i="8"/>
  <c r="U26" i="8"/>
  <c r="T26" i="8"/>
  <c r="S26" i="8"/>
  <c r="R26" i="8"/>
  <c r="Q26" i="8"/>
  <c r="AG25" i="8"/>
  <c r="AF25" i="8"/>
  <c r="AE25" i="8"/>
  <c r="AD25" i="8"/>
  <c r="AC25" i="8"/>
  <c r="AB25" i="8"/>
  <c r="AA25" i="8"/>
  <c r="Z25" i="8"/>
  <c r="Y25" i="8"/>
  <c r="X25" i="8"/>
  <c r="W25" i="8"/>
  <c r="V25" i="8"/>
  <c r="U25" i="8"/>
  <c r="T25" i="8"/>
  <c r="S25" i="8"/>
  <c r="R25" i="8"/>
  <c r="Q25" i="8"/>
  <c r="AG24" i="8"/>
  <c r="AF24" i="8"/>
  <c r="AE24" i="8"/>
  <c r="AD24" i="8"/>
  <c r="AC24" i="8"/>
  <c r="AB24" i="8"/>
  <c r="AA24" i="8"/>
  <c r="Z24" i="8"/>
  <c r="Y24" i="8"/>
  <c r="X24" i="8"/>
  <c r="W24" i="8"/>
  <c r="V24" i="8"/>
  <c r="U24" i="8"/>
  <c r="T24" i="8"/>
  <c r="S24" i="8"/>
  <c r="R24" i="8"/>
  <c r="Q24" i="8"/>
  <c r="AG23" i="8"/>
  <c r="AF23" i="8"/>
  <c r="AE23" i="8"/>
  <c r="AD23" i="8"/>
  <c r="AC23" i="8"/>
  <c r="AB23" i="8"/>
  <c r="AA23" i="8"/>
  <c r="Z23" i="8"/>
  <c r="Y23" i="8"/>
  <c r="X23" i="8"/>
  <c r="W23" i="8"/>
  <c r="V23" i="8"/>
  <c r="U23" i="8"/>
  <c r="T23" i="8"/>
  <c r="S23" i="8"/>
  <c r="R23" i="8"/>
  <c r="Q23" i="8"/>
  <c r="AG22" i="8"/>
  <c r="AF22" i="8"/>
  <c r="AE22" i="8"/>
  <c r="AD22" i="8"/>
  <c r="AC22" i="8"/>
  <c r="AB22" i="8"/>
  <c r="AA22" i="8"/>
  <c r="Z22" i="8"/>
  <c r="Y22" i="8"/>
  <c r="X22" i="8"/>
  <c r="W22" i="8"/>
  <c r="V22" i="8"/>
  <c r="U22" i="8"/>
  <c r="T22" i="8"/>
  <c r="S22" i="8"/>
  <c r="R22" i="8"/>
  <c r="Q22" i="8"/>
  <c r="AG21" i="8"/>
  <c r="AF21" i="8"/>
  <c r="AE21" i="8"/>
  <c r="AD21" i="8"/>
  <c r="AC21" i="8"/>
  <c r="AB21" i="8"/>
  <c r="AA21" i="8"/>
  <c r="Z21" i="8"/>
  <c r="Y21" i="8"/>
  <c r="X21" i="8"/>
  <c r="W21" i="8"/>
  <c r="V21" i="8"/>
  <c r="U21" i="8"/>
  <c r="T21" i="8"/>
  <c r="S21" i="8"/>
  <c r="R21" i="8"/>
  <c r="Q21" i="8"/>
  <c r="AG20" i="8"/>
  <c r="AF20" i="8"/>
  <c r="AE20" i="8"/>
  <c r="AD20" i="8"/>
  <c r="AC20" i="8"/>
  <c r="AB20" i="8"/>
  <c r="AA20" i="8"/>
  <c r="Z20" i="8"/>
  <c r="Y20" i="8"/>
  <c r="X20" i="8"/>
  <c r="W20" i="8"/>
  <c r="V20" i="8"/>
  <c r="U20" i="8"/>
  <c r="T20" i="8"/>
  <c r="S20" i="8"/>
  <c r="R20" i="8"/>
  <c r="Q20" i="8"/>
  <c r="N20" i="8"/>
  <c r="M20" i="8"/>
  <c r="M21" i="8"/>
  <c r="N21" i="8"/>
  <c r="M22" i="8"/>
  <c r="N22" i="8"/>
  <c r="M23" i="8"/>
  <c r="N23" i="8"/>
  <c r="M24" i="8"/>
  <c r="N24" i="8"/>
  <c r="M25" i="8"/>
  <c r="N25" i="8"/>
  <c r="M26" i="8"/>
  <c r="N26" i="8"/>
  <c r="M27" i="8"/>
  <c r="N27" i="8"/>
  <c r="M28" i="8"/>
  <c r="N28" i="8"/>
  <c r="BL558" i="3"/>
  <c r="BM558" i="3" s="1"/>
  <c r="BL557" i="3"/>
  <c r="BM557" i="3" s="1"/>
  <c r="BL556" i="3"/>
  <c r="BM556" i="3" s="1"/>
  <c r="BL555" i="3"/>
  <c r="BM555" i="3" s="1"/>
  <c r="BL554" i="3"/>
  <c r="BM554" i="3" s="1"/>
  <c r="BL553" i="3"/>
  <c r="BM553" i="3" s="1"/>
  <c r="BL552" i="3"/>
  <c r="BM552" i="3" s="1"/>
  <c r="BL551" i="3"/>
  <c r="BL550" i="3"/>
  <c r="BM550" i="3" s="1"/>
  <c r="BL549" i="3"/>
  <c r="BM549" i="3" s="1"/>
  <c r="BL548" i="3"/>
  <c r="BM548" i="3" s="1"/>
  <c r="BL547" i="3"/>
  <c r="BM547" i="3" s="1"/>
  <c r="BL546" i="3"/>
  <c r="BM546" i="3" s="1"/>
  <c r="BL545" i="3"/>
  <c r="BM545" i="3" s="1"/>
  <c r="BL544" i="3"/>
  <c r="BM544" i="3" s="1"/>
  <c r="BL543" i="3"/>
  <c r="BM543" i="3" s="1"/>
  <c r="BL542" i="3"/>
  <c r="BL541" i="3"/>
  <c r="BM541" i="3" s="1"/>
  <c r="BL540" i="3"/>
  <c r="BM540" i="3" s="1"/>
  <c r="BL539" i="3"/>
  <c r="BM539" i="3" s="1"/>
  <c r="BL538" i="3"/>
  <c r="BM538" i="3" s="1"/>
  <c r="BL537" i="3"/>
  <c r="BM537" i="3" s="1"/>
  <c r="BL536" i="3"/>
  <c r="BM536" i="3" s="1"/>
  <c r="BL535" i="3"/>
  <c r="BM535" i="3" s="1"/>
  <c r="BL534" i="3"/>
  <c r="BM534" i="3" s="1"/>
  <c r="BL533" i="3"/>
  <c r="BL532" i="3"/>
  <c r="BM532" i="3" s="1"/>
  <c r="BL531" i="3"/>
  <c r="BM531" i="3" s="1"/>
  <c r="BL530" i="3"/>
  <c r="BM530" i="3" s="1"/>
  <c r="BL529" i="3"/>
  <c r="BM529" i="3" s="1"/>
  <c r="BL528" i="3"/>
  <c r="BM528" i="3" s="1"/>
  <c r="BL527" i="3"/>
  <c r="BM527" i="3" s="1"/>
  <c r="BL526" i="3"/>
  <c r="BM526" i="3" s="1"/>
  <c r="BL525" i="3"/>
  <c r="BM525" i="3" s="1"/>
  <c r="BL524" i="3"/>
  <c r="BL523" i="3"/>
  <c r="BM523" i="3" s="1"/>
  <c r="BL522" i="3"/>
  <c r="BM522" i="3" s="1"/>
  <c r="BL521" i="3"/>
  <c r="BM521" i="3" s="1"/>
  <c r="BL520" i="3"/>
  <c r="BM520" i="3" s="1"/>
  <c r="BL519" i="3"/>
  <c r="BM519" i="3" s="1"/>
  <c r="BL518" i="3"/>
  <c r="BM518" i="3" s="1"/>
  <c r="BL517" i="3"/>
  <c r="BM517" i="3" s="1"/>
  <c r="BL516" i="3"/>
  <c r="BM516" i="3" s="1"/>
  <c r="BL515" i="3"/>
  <c r="BL514" i="3"/>
  <c r="BM514" i="3" s="1"/>
  <c r="BL513" i="3"/>
  <c r="BM513" i="3" s="1"/>
  <c r="BL512" i="3"/>
  <c r="BM512" i="3" s="1"/>
  <c r="BL334" i="3"/>
  <c r="BM334" i="3" s="1"/>
  <c r="BL283" i="3"/>
  <c r="BM283" i="3" s="1"/>
  <c r="BL320" i="3"/>
  <c r="BM320" i="3" s="1"/>
  <c r="BL509" i="3"/>
  <c r="BM509" i="3" s="1"/>
  <c r="BL439" i="3"/>
  <c r="BM439" i="3" s="1"/>
  <c r="BL353" i="3"/>
  <c r="BL511" i="3"/>
  <c r="BM511" i="3" s="1"/>
  <c r="BL427" i="3"/>
  <c r="BM427" i="3" s="1"/>
  <c r="BL6" i="3"/>
  <c r="BM6" i="3" s="1"/>
  <c r="BL355" i="3"/>
  <c r="BM355" i="3" s="1"/>
  <c r="BL160" i="3"/>
  <c r="BM160" i="3" s="1"/>
  <c r="BL227" i="3"/>
  <c r="BM227" i="3" s="1"/>
  <c r="BL303" i="3"/>
  <c r="BM303" i="3" s="1"/>
  <c r="BL446" i="3"/>
  <c r="BM446" i="3" s="1"/>
  <c r="BL322" i="3"/>
  <c r="BL508" i="3"/>
  <c r="BM508" i="3" s="1"/>
  <c r="BL220" i="3"/>
  <c r="BM220" i="3" s="1"/>
  <c r="BL290" i="3"/>
  <c r="BM290" i="3" s="1"/>
  <c r="BL174" i="3"/>
  <c r="BM174" i="3" s="1"/>
  <c r="BL27" i="3"/>
  <c r="BM27" i="3" s="1"/>
  <c r="BL379" i="3"/>
  <c r="BL128" i="3"/>
  <c r="BM128" i="3" s="1"/>
  <c r="BL499" i="3"/>
  <c r="BM499" i="3" s="1"/>
  <c r="BL70" i="3"/>
  <c r="BM70" i="3" s="1"/>
  <c r="BL335" i="3"/>
  <c r="BM335" i="3" s="1"/>
  <c r="BL185" i="3"/>
  <c r="BM185" i="3" s="1"/>
  <c r="BL258" i="3"/>
  <c r="BL383" i="3"/>
  <c r="BM383" i="3" s="1"/>
  <c r="BL309" i="3"/>
  <c r="BM309" i="3" s="1"/>
  <c r="BL421" i="3"/>
  <c r="BM421" i="3" s="1"/>
  <c r="BL188" i="3"/>
  <c r="BM188" i="3" s="1"/>
  <c r="BL51" i="3"/>
  <c r="BM51" i="3" s="1"/>
  <c r="BL264" i="3"/>
  <c r="BM264" i="3" s="1"/>
  <c r="BL49" i="3"/>
  <c r="BM49" i="3" s="1"/>
  <c r="BL451" i="3"/>
  <c r="BM451" i="3" s="1"/>
  <c r="BL137" i="3"/>
  <c r="BM137" i="3" s="1"/>
  <c r="BL257" i="3"/>
  <c r="BM257" i="3" s="1"/>
  <c r="BL57" i="3"/>
  <c r="BL235" i="3"/>
  <c r="BM235" i="3" s="1"/>
  <c r="BL343" i="3"/>
  <c r="BM343" i="3" s="1"/>
  <c r="BL260" i="3"/>
  <c r="BL247" i="3"/>
  <c r="BL92" i="3"/>
  <c r="BM92" i="3" s="1"/>
  <c r="BL349" i="3"/>
  <c r="BM349" i="3" s="1"/>
  <c r="BL168" i="3"/>
  <c r="BM168" i="3" s="1"/>
  <c r="BL494" i="3"/>
  <c r="BM494" i="3" s="1"/>
  <c r="BL61" i="3"/>
  <c r="BL317" i="3"/>
  <c r="BL273" i="3"/>
  <c r="BM273" i="3" s="1"/>
  <c r="BL166" i="3"/>
  <c r="BM166" i="3" s="1"/>
  <c r="BL102" i="3"/>
  <c r="BM102" i="3" s="1"/>
  <c r="BL209" i="3"/>
  <c r="BM209" i="3" s="1"/>
  <c r="BL267" i="3"/>
  <c r="BM267" i="3" s="1"/>
  <c r="BL420" i="3"/>
  <c r="BL153" i="3"/>
  <c r="BM153" i="3" s="1"/>
  <c r="BL45" i="3"/>
  <c r="BM45" i="3" s="1"/>
  <c r="BL183" i="3"/>
  <c r="BM183" i="3" s="1"/>
  <c r="BL131" i="3"/>
  <c r="BM131" i="3" s="1"/>
  <c r="BL403" i="3"/>
  <c r="BL19" i="3"/>
  <c r="BM19" i="3" s="1"/>
  <c r="BL441" i="3"/>
  <c r="BM441" i="3" s="1"/>
  <c r="BL479" i="3"/>
  <c r="BM479" i="3" s="1"/>
  <c r="BL498" i="3"/>
  <c r="BM498" i="3" s="1"/>
  <c r="BL321" i="3"/>
  <c r="BM321" i="3" s="1"/>
  <c r="BL291" i="3"/>
  <c r="BL173" i="3"/>
  <c r="BM173" i="3" s="1"/>
  <c r="BL36" i="3"/>
  <c r="BM36" i="3" s="1"/>
  <c r="BL287" i="3"/>
  <c r="BM287" i="3" s="1"/>
  <c r="BL430" i="3"/>
  <c r="BL210" i="3"/>
  <c r="BM210" i="3" s="1"/>
  <c r="BL113" i="3"/>
  <c r="BM113" i="3" s="1"/>
  <c r="BL445" i="3"/>
  <c r="BM445" i="3" s="1"/>
  <c r="BL165" i="3"/>
  <c r="BM165" i="3" s="1"/>
  <c r="BL101" i="3"/>
  <c r="BL133" i="3"/>
  <c r="BL507" i="3"/>
  <c r="BM507" i="3" s="1"/>
  <c r="BL272" i="3"/>
  <c r="BM272" i="3" s="1"/>
  <c r="BL286" i="3"/>
  <c r="BM286" i="3" s="1"/>
  <c r="BL276" i="3"/>
  <c r="BM276" i="3" s="1"/>
  <c r="BL266" i="3"/>
  <c r="BM266" i="3" s="1"/>
  <c r="BL255" i="3"/>
  <c r="BL259" i="3"/>
  <c r="BM259" i="3" s="1"/>
  <c r="BL252" i="3"/>
  <c r="BM252" i="3" s="1"/>
  <c r="BL269" i="3"/>
  <c r="BM269" i="3" s="1"/>
  <c r="BL262" i="3"/>
  <c r="BM262" i="3" s="1"/>
  <c r="BL251" i="3"/>
  <c r="BL82" i="3"/>
  <c r="BM82" i="3" s="1"/>
  <c r="BL502" i="3"/>
  <c r="BM502" i="3" s="1"/>
  <c r="BL231" i="3"/>
  <c r="BM231" i="3" s="1"/>
  <c r="BL214" i="3"/>
  <c r="BM214" i="3" s="1"/>
  <c r="BL213" i="3"/>
  <c r="BM213" i="3" s="1"/>
  <c r="BL413" i="3"/>
  <c r="BM413" i="3" s="1"/>
  <c r="BL195" i="3"/>
  <c r="BM195" i="3" s="1"/>
  <c r="BL193" i="3"/>
  <c r="BM193" i="3" s="1"/>
  <c r="BL169" i="3"/>
  <c r="BL253" i="3"/>
  <c r="BL163" i="3"/>
  <c r="BM163" i="3" s="1"/>
  <c r="BL504" i="3"/>
  <c r="BM504" i="3" s="1"/>
  <c r="BL143" i="3"/>
  <c r="BM143" i="3" s="1"/>
  <c r="BL156" i="3"/>
  <c r="BM156" i="3" s="1"/>
  <c r="BL140" i="3"/>
  <c r="BM140" i="3" s="1"/>
  <c r="BL123" i="3"/>
  <c r="BL135" i="3"/>
  <c r="BM135" i="3" s="1"/>
  <c r="BL145" i="3"/>
  <c r="BM145" i="3" s="1"/>
  <c r="BL506" i="3"/>
  <c r="BM506" i="3" s="1"/>
  <c r="BL63" i="3"/>
  <c r="BM63" i="3" s="1"/>
  <c r="BL510" i="3"/>
  <c r="BM510" i="3" s="1"/>
  <c r="BL89" i="3"/>
  <c r="BL87" i="3"/>
  <c r="BM87" i="3" s="1"/>
  <c r="BL78" i="3"/>
  <c r="BM78" i="3" s="1"/>
  <c r="BL80" i="3"/>
  <c r="BM80" i="3" s="1"/>
  <c r="BL392" i="3"/>
  <c r="BM392" i="3" s="1"/>
  <c r="BL75" i="3"/>
  <c r="BM75" i="3" s="1"/>
  <c r="BL73" i="3"/>
  <c r="BM73" i="3" s="1"/>
  <c r="BL68" i="3"/>
  <c r="BM68" i="3" s="1"/>
  <c r="BL85" i="3"/>
  <c r="BM85" i="3" s="1"/>
  <c r="BL67" i="3"/>
  <c r="BM67" i="3" s="1"/>
  <c r="BL64" i="3"/>
  <c r="BM64" i="3" s="1"/>
  <c r="BL65" i="3"/>
  <c r="BM65" i="3" s="1"/>
  <c r="BL505" i="3"/>
  <c r="BM505" i="3" s="1"/>
  <c r="BL56" i="3"/>
  <c r="BM56" i="3" s="1"/>
  <c r="BL503" i="3"/>
  <c r="BM503" i="3" s="1"/>
  <c r="BL54" i="3"/>
  <c r="BM54" i="3" s="1"/>
  <c r="BL48" i="3"/>
  <c r="BM48" i="3" s="1"/>
  <c r="BL50" i="3"/>
  <c r="BM50" i="3" s="1"/>
  <c r="BL53" i="3"/>
  <c r="BM53" i="3" s="1"/>
  <c r="BL40" i="3"/>
  <c r="BM40" i="3" s="1"/>
  <c r="BL28" i="3"/>
  <c r="BM28" i="3" s="1"/>
  <c r="BL31" i="3"/>
  <c r="BM31" i="3" s="1"/>
  <c r="BL44" i="3"/>
  <c r="BM44" i="3" s="1"/>
  <c r="BL39" i="3"/>
  <c r="BM39" i="3" s="1"/>
  <c r="BL34" i="3"/>
  <c r="BM34" i="3" s="1"/>
  <c r="BL30" i="3"/>
  <c r="BM30" i="3" s="1"/>
  <c r="BL38" i="3"/>
  <c r="BM38" i="3" s="1"/>
  <c r="BL23" i="3"/>
  <c r="BM23" i="3" s="1"/>
  <c r="BL26" i="3"/>
  <c r="BM26" i="3" s="1"/>
  <c r="BL25" i="3"/>
  <c r="BM25" i="3" s="1"/>
  <c r="BL21" i="3"/>
  <c r="BM21" i="3" s="1"/>
  <c r="BL22" i="3"/>
  <c r="BM22" i="3" s="1"/>
  <c r="BL33" i="3"/>
  <c r="BM33" i="3" s="1"/>
  <c r="BL18" i="3"/>
  <c r="BM18" i="3" s="1"/>
  <c r="BL15" i="3"/>
  <c r="BM15" i="3" s="1"/>
  <c r="BL11" i="3"/>
  <c r="BM11" i="3" s="1"/>
  <c r="BL12" i="3"/>
  <c r="BM12" i="3" s="1"/>
  <c r="BL13" i="3"/>
  <c r="BM13" i="3" s="1"/>
  <c r="BL10" i="3"/>
  <c r="BM10" i="3" s="1"/>
  <c r="BL7" i="3"/>
  <c r="BM7" i="3" s="1"/>
  <c r="BL9" i="3"/>
  <c r="BM9" i="3" s="1"/>
  <c r="BL8" i="3"/>
  <c r="BM8" i="3" s="1"/>
  <c r="BL5" i="3"/>
  <c r="BM5" i="3" s="1"/>
  <c r="BL4" i="3"/>
  <c r="BM4" i="3" s="1"/>
  <c r="BL440" i="3"/>
  <c r="BM440" i="3" s="1"/>
  <c r="BL438" i="3"/>
  <c r="BM438" i="3" s="1"/>
  <c r="BL436" i="3"/>
  <c r="BM436" i="3" s="1"/>
  <c r="BL435" i="3"/>
  <c r="BM435" i="3" s="1"/>
  <c r="BL434" i="3"/>
  <c r="BM434" i="3" s="1"/>
  <c r="BL437" i="3"/>
  <c r="BM437" i="3" s="1"/>
  <c r="BL442" i="3"/>
  <c r="BM442" i="3" s="1"/>
  <c r="BL432" i="3"/>
  <c r="BM432" i="3" s="1"/>
  <c r="BL431" i="3"/>
  <c r="BM431" i="3" s="1"/>
  <c r="BL428" i="3"/>
  <c r="BL426" i="3"/>
  <c r="BL429" i="3"/>
  <c r="BM429" i="3" s="1"/>
  <c r="BL424" i="3"/>
  <c r="BM424" i="3" s="1"/>
  <c r="BL397" i="3"/>
  <c r="BM397" i="3" s="1"/>
  <c r="BL425" i="3"/>
  <c r="BM425" i="3" s="1"/>
  <c r="BL491" i="3"/>
  <c r="BM491" i="3" s="1"/>
  <c r="BL423" i="3"/>
  <c r="BM423" i="3" s="1"/>
  <c r="BL417" i="3"/>
  <c r="BM417" i="3" s="1"/>
  <c r="BL59" i="3"/>
  <c r="BL418" i="3"/>
  <c r="BM418" i="3" s="1"/>
  <c r="BL415" i="3"/>
  <c r="BM415" i="3" s="1"/>
  <c r="BL487" i="3"/>
  <c r="BM487" i="3" s="1"/>
  <c r="BL409" i="3"/>
  <c r="BL400" i="3"/>
  <c r="BM400" i="3" s="1"/>
  <c r="BL489" i="3"/>
  <c r="BM489" i="3" s="1"/>
  <c r="BL405" i="3"/>
  <c r="BM405" i="3" s="1"/>
  <c r="BL488" i="3"/>
  <c r="BM488" i="3" s="1"/>
  <c r="BL401" i="3"/>
  <c r="BL216" i="3"/>
  <c r="BL483" i="3"/>
  <c r="BM483" i="3" s="1"/>
  <c r="BL394" i="3"/>
  <c r="BL368" i="3"/>
  <c r="BM368" i="3" s="1"/>
  <c r="BL372" i="3"/>
  <c r="BM372" i="3" s="1"/>
  <c r="BL384" i="3"/>
  <c r="BM384" i="3" s="1"/>
  <c r="BL447" i="3"/>
  <c r="BL361" i="3"/>
  <c r="BM361" i="3" s="1"/>
  <c r="BL298" i="3"/>
  <c r="BM298" i="3" s="1"/>
  <c r="BL378" i="3"/>
  <c r="BM378" i="3" s="1"/>
  <c r="BL371" i="3"/>
  <c r="BM371" i="3" s="1"/>
  <c r="BL482" i="3"/>
  <c r="BM482" i="3" s="1"/>
  <c r="BL390" i="3"/>
  <c r="BM390" i="3" s="1"/>
  <c r="BL398" i="3"/>
  <c r="BM398" i="3" s="1"/>
  <c r="BL388" i="3"/>
  <c r="BM388" i="3" s="1"/>
  <c r="BL387" i="3"/>
  <c r="BM387" i="3" s="1"/>
  <c r="BL386" i="3"/>
  <c r="BM386" i="3" s="1"/>
  <c r="BL385" i="3"/>
  <c r="BM385" i="3" s="1"/>
  <c r="BL380" i="3"/>
  <c r="BM380" i="3" s="1"/>
  <c r="BL367" i="3"/>
  <c r="BM367" i="3" s="1"/>
  <c r="BL382" i="3"/>
  <c r="BM382" i="3" s="1"/>
  <c r="BL478" i="3"/>
  <c r="BM478" i="3" s="1"/>
  <c r="BL359" i="3"/>
  <c r="BM359" i="3" s="1"/>
  <c r="BL376" i="3"/>
  <c r="BM376" i="3" s="1"/>
  <c r="BL475" i="3"/>
  <c r="BM475" i="3" s="1"/>
  <c r="BL377" i="3"/>
  <c r="BM377" i="3" s="1"/>
  <c r="BL412" i="3"/>
  <c r="BM412" i="3" s="1"/>
  <c r="BL375" i="3"/>
  <c r="BM375" i="3" s="1"/>
  <c r="BL374" i="3"/>
  <c r="BM374" i="3" s="1"/>
  <c r="BL373" i="3"/>
  <c r="BM373" i="3" s="1"/>
  <c r="BL370" i="3"/>
  <c r="BM370" i="3" s="1"/>
  <c r="BL381" i="3"/>
  <c r="BM381" i="3" s="1"/>
  <c r="BL369" i="3"/>
  <c r="BM369" i="3" s="1"/>
  <c r="BL336" i="3"/>
  <c r="BM336" i="3" s="1"/>
  <c r="BL366" i="3"/>
  <c r="BM366" i="3" s="1"/>
  <c r="BL365" i="3"/>
  <c r="BM365" i="3" s="1"/>
  <c r="BL346" i="3"/>
  <c r="BM346" i="3" s="1"/>
  <c r="BL476" i="3"/>
  <c r="BM476" i="3" s="1"/>
  <c r="BL325" i="3"/>
  <c r="BM325" i="3" s="1"/>
  <c r="BL360" i="3"/>
  <c r="BM360" i="3" s="1"/>
  <c r="BL357" i="3"/>
  <c r="BM357" i="3" s="1"/>
  <c r="BL354" i="3"/>
  <c r="BM354" i="3" s="1"/>
  <c r="BL341" i="3"/>
  <c r="BM341" i="3" s="1"/>
  <c r="BL356" i="3"/>
  <c r="BM356" i="3" s="1"/>
  <c r="BL481" i="3"/>
  <c r="BM481" i="3" s="1"/>
  <c r="BL330" i="3"/>
  <c r="BM330" i="3" s="1"/>
  <c r="BL108" i="3"/>
  <c r="BM108" i="3" s="1"/>
  <c r="BL348" i="3"/>
  <c r="BM348" i="3" s="1"/>
  <c r="BL337" i="3"/>
  <c r="BM337" i="3" s="1"/>
  <c r="BL344" i="3"/>
  <c r="BM344" i="3" s="1"/>
  <c r="BL347" i="3"/>
  <c r="BM347" i="3" s="1"/>
  <c r="BL345" i="3"/>
  <c r="BM345" i="3" s="1"/>
  <c r="BL313" i="3"/>
  <c r="BM313" i="3" s="1"/>
  <c r="BL492" i="3"/>
  <c r="BM492" i="3" s="1"/>
  <c r="BL119" i="3"/>
  <c r="BM119" i="3" s="1"/>
  <c r="BL333" i="3"/>
  <c r="BL338" i="3"/>
  <c r="BM338" i="3" s="1"/>
  <c r="BL329" i="3"/>
  <c r="BM329" i="3" s="1"/>
  <c r="BL144" i="3"/>
  <c r="BM144" i="3" s="1"/>
  <c r="BL277" i="3"/>
  <c r="BM277" i="3" s="1"/>
  <c r="BL323" i="3"/>
  <c r="BM323" i="3" s="1"/>
  <c r="BL318" i="3"/>
  <c r="BM318" i="3" s="1"/>
  <c r="BL326" i="3"/>
  <c r="BM326" i="3" s="1"/>
  <c r="BL493" i="3"/>
  <c r="BM493" i="3" s="1"/>
  <c r="BL319" i="3"/>
  <c r="BM319" i="3" s="1"/>
  <c r="BL350" i="3"/>
  <c r="BM350" i="3" s="1"/>
  <c r="BL305" i="3"/>
  <c r="BM305" i="3" s="1"/>
  <c r="BL501" i="3"/>
  <c r="BM501" i="3" s="1"/>
  <c r="BL312" i="3"/>
  <c r="BM312" i="3" s="1"/>
  <c r="BL315" i="3"/>
  <c r="BM315" i="3" s="1"/>
  <c r="BL314" i="3"/>
  <c r="BM314" i="3" s="1"/>
  <c r="BL311" i="3"/>
  <c r="BM311" i="3" s="1"/>
  <c r="BL310" i="3"/>
  <c r="BM310" i="3" s="1"/>
  <c r="BL484" i="3"/>
  <c r="BM484" i="3" s="1"/>
  <c r="BL486" i="3"/>
  <c r="BM486" i="3" s="1"/>
  <c r="BL301" i="3"/>
  <c r="BM301" i="3" s="1"/>
  <c r="BL331" i="3"/>
  <c r="BM331" i="3" s="1"/>
  <c r="BL316" i="3"/>
  <c r="BM316" i="3" s="1"/>
  <c r="BL299" i="3"/>
  <c r="BM299" i="3" s="1"/>
  <c r="BL304" i="3"/>
  <c r="BM304" i="3" s="1"/>
  <c r="BL393" i="3"/>
  <c r="BM393" i="3" s="1"/>
  <c r="BL297" i="3"/>
  <c r="BM297" i="3" s="1"/>
  <c r="BL244" i="3"/>
  <c r="BM244" i="3" s="1"/>
  <c r="BL289" i="3"/>
  <c r="BM289" i="3" s="1"/>
  <c r="BL292" i="3"/>
  <c r="BM292" i="3" s="1"/>
  <c r="BL296" i="3"/>
  <c r="BM296" i="3" s="1"/>
  <c r="BL293" i="3"/>
  <c r="BM293" i="3" s="1"/>
  <c r="BL457" i="3"/>
  <c r="BM457" i="3" s="1"/>
  <c r="BL284" i="3"/>
  <c r="BM284" i="3" s="1"/>
  <c r="BL282" i="3"/>
  <c r="BM282" i="3" s="1"/>
  <c r="BL285" i="3"/>
  <c r="BL278" i="3"/>
  <c r="BM278" i="3" s="1"/>
  <c r="BL271" i="3"/>
  <c r="BM271" i="3" s="1"/>
  <c r="BL274" i="3"/>
  <c r="BM274" i="3" s="1"/>
  <c r="BL268" i="3"/>
  <c r="BM268" i="3" s="1"/>
  <c r="BL270" i="3"/>
  <c r="BM270" i="3" s="1"/>
  <c r="BL256" i="3"/>
  <c r="BM256" i="3" s="1"/>
  <c r="BL470" i="3"/>
  <c r="BM470" i="3" s="1"/>
  <c r="BL275" i="3"/>
  <c r="BM275" i="3" s="1"/>
  <c r="BL456" i="3"/>
  <c r="BM456" i="3" s="1"/>
  <c r="BL495" i="3"/>
  <c r="BM495" i="3" s="1"/>
  <c r="BL249" i="3"/>
  <c r="BM249" i="3" s="1"/>
  <c r="BL194" i="3"/>
  <c r="BM194" i="3" s="1"/>
  <c r="BL468" i="3"/>
  <c r="BM468" i="3" s="1"/>
  <c r="BL467" i="3"/>
  <c r="BM467" i="3" s="1"/>
  <c r="BL263" i="3"/>
  <c r="BM263" i="3" s="1"/>
  <c r="BL243" i="3"/>
  <c r="BM243" i="3" s="1"/>
  <c r="BL212" i="3"/>
  <c r="BM212" i="3" s="1"/>
  <c r="BL241" i="3"/>
  <c r="BM241" i="3" s="1"/>
  <c r="BL265" i="3"/>
  <c r="BM265" i="3" s="1"/>
  <c r="BL245" i="3"/>
  <c r="BM245" i="3" s="1"/>
  <c r="BL239" i="3"/>
  <c r="BM239" i="3" s="1"/>
  <c r="BL342" i="3"/>
  <c r="BM342" i="3" s="1"/>
  <c r="BL218" i="3"/>
  <c r="BM218" i="3" s="1"/>
  <c r="BL222" i="3"/>
  <c r="BL157" i="3"/>
  <c r="BM157" i="3" s="1"/>
  <c r="BL104" i="3"/>
  <c r="BM104" i="3" s="1"/>
  <c r="BL201" i="3"/>
  <c r="BM201" i="3" s="1"/>
  <c r="BL198" i="3"/>
  <c r="BM198" i="3" s="1"/>
  <c r="BL223" i="3"/>
  <c r="BM223" i="3" s="1"/>
  <c r="BL234" i="3"/>
  <c r="BM234" i="3" s="1"/>
  <c r="BL191" i="3"/>
  <c r="BM191" i="3" s="1"/>
  <c r="BL196" i="3"/>
  <c r="BM196" i="3" s="1"/>
  <c r="BL463" i="3"/>
  <c r="BM463" i="3" s="1"/>
  <c r="BL164" i="3"/>
  <c r="BM164" i="3" s="1"/>
  <c r="BL175" i="3"/>
  <c r="BM175" i="3" s="1"/>
  <c r="BL177" i="3"/>
  <c r="BM177" i="3" s="1"/>
  <c r="BL473" i="3"/>
  <c r="BM473" i="3" s="1"/>
  <c r="BL159" i="3"/>
  <c r="BM159" i="3" s="1"/>
  <c r="BL151" i="3"/>
  <c r="BM151" i="3" s="1"/>
  <c r="BL471" i="3"/>
  <c r="BM471" i="3" s="1"/>
  <c r="BL154" i="3"/>
  <c r="BM154" i="3" s="1"/>
  <c r="BL459" i="3"/>
  <c r="BM459" i="3" s="1"/>
  <c r="BL98" i="3"/>
  <c r="BM98" i="3" s="1"/>
  <c r="BL152" i="3"/>
  <c r="BM152" i="3" s="1"/>
  <c r="BL466" i="3"/>
  <c r="BM466" i="3" s="1"/>
  <c r="BL389" i="3"/>
  <c r="BM389" i="3" s="1"/>
  <c r="BL458" i="3"/>
  <c r="BM458" i="3" s="1"/>
  <c r="BL93" i="3"/>
  <c r="BM93" i="3" s="1"/>
  <c r="BL62" i="3"/>
  <c r="BM62" i="3" s="1"/>
  <c r="BL79" i="3"/>
  <c r="BM79" i="3" s="1"/>
  <c r="BL444" i="3"/>
  <c r="BM444" i="3" s="1"/>
  <c r="BL443" i="3"/>
  <c r="BM443" i="3" s="1"/>
  <c r="BL399" i="3"/>
  <c r="BM399" i="3" s="1"/>
  <c r="BL449" i="3"/>
  <c r="BM449" i="3" s="1"/>
  <c r="BL419" i="3"/>
  <c r="BM419" i="3" s="1"/>
  <c r="BL433" i="3"/>
  <c r="BM433" i="3" s="1"/>
  <c r="BL448" i="3"/>
  <c r="BM448" i="3" s="1"/>
  <c r="BL416" i="3"/>
  <c r="BM416" i="3" s="1"/>
  <c r="BL407" i="3"/>
  <c r="BM407" i="3" s="1"/>
  <c r="BL395" i="3"/>
  <c r="BM395" i="3" s="1"/>
  <c r="BL352" i="3"/>
  <c r="BM352" i="3" s="1"/>
  <c r="BL362" i="3"/>
  <c r="BM362" i="3" s="1"/>
  <c r="BL261" i="3"/>
  <c r="BM261" i="3" s="1"/>
  <c r="BL324" i="3"/>
  <c r="BM324" i="3" s="1"/>
  <c r="BL328" i="3"/>
  <c r="BM328" i="3" s="1"/>
  <c r="BL408" i="3"/>
  <c r="BM408" i="3" s="1"/>
  <c r="BL279" i="3"/>
  <c r="BM279" i="3" s="1"/>
  <c r="BL280" i="3"/>
  <c r="BM280" i="3" s="1"/>
  <c r="BL294" i="3"/>
  <c r="BM294" i="3" s="1"/>
  <c r="BL242" i="3"/>
  <c r="BM242" i="3" s="1"/>
  <c r="BL238" i="3"/>
  <c r="BM238" i="3" s="1"/>
  <c r="BL233" i="3"/>
  <c r="BM233" i="3" s="1"/>
  <c r="BL236" i="3"/>
  <c r="BM236" i="3" s="1"/>
  <c r="BL150" i="3"/>
  <c r="BM150" i="3" s="1"/>
  <c r="BL217" i="3"/>
  <c r="BM217" i="3" s="1"/>
  <c r="BL206" i="3"/>
  <c r="BM206" i="3" s="1"/>
  <c r="BL181" i="3"/>
  <c r="BM181" i="3" s="1"/>
  <c r="BL172" i="3"/>
  <c r="BM172" i="3" s="1"/>
  <c r="BL170" i="3"/>
  <c r="BM170" i="3" s="1"/>
  <c r="BL179" i="3"/>
  <c r="BM179" i="3" s="1"/>
  <c r="BL147" i="3"/>
  <c r="BM147" i="3" s="1"/>
  <c r="BL148" i="3"/>
  <c r="BM148" i="3" s="1"/>
  <c r="BL107" i="3"/>
  <c r="BM107" i="3" s="1"/>
  <c r="BL141" i="3"/>
  <c r="BM141" i="3" s="1"/>
  <c r="BL178" i="3"/>
  <c r="BM178" i="3" s="1"/>
  <c r="BL127" i="3"/>
  <c r="BM127" i="3" s="1"/>
  <c r="BL158" i="3"/>
  <c r="BM158" i="3" s="1"/>
  <c r="BL142" i="3"/>
  <c r="BM142" i="3" s="1"/>
  <c r="BL149" i="3"/>
  <c r="BM149" i="3" s="1"/>
  <c r="BL132" i="3"/>
  <c r="BM132" i="3" s="1"/>
  <c r="BL134" i="3"/>
  <c r="BM134" i="3" s="1"/>
  <c r="BL182" i="3"/>
  <c r="BM182" i="3" s="1"/>
  <c r="BL452" i="3"/>
  <c r="BM452" i="3" s="1"/>
  <c r="BL124" i="3"/>
  <c r="BM124" i="3" s="1"/>
  <c r="BL114" i="3"/>
  <c r="BM114" i="3" s="1"/>
  <c r="BL121" i="3"/>
  <c r="BL120" i="3"/>
  <c r="BM120" i="3" s="1"/>
  <c r="BL125" i="3"/>
  <c r="BM125" i="3" s="1"/>
  <c r="BL115" i="3"/>
  <c r="BM115" i="3" s="1"/>
  <c r="BL117" i="3"/>
  <c r="BM117" i="3" s="1"/>
  <c r="BL105" i="3"/>
  <c r="BM105" i="3" s="1"/>
  <c r="BL112" i="3"/>
  <c r="BM112" i="3" s="1"/>
  <c r="BL100" i="3"/>
  <c r="BM100" i="3" s="1"/>
  <c r="BL111" i="3"/>
  <c r="BM111" i="3" s="1"/>
  <c r="BL450" i="3"/>
  <c r="BM450" i="3" s="1"/>
  <c r="BL95" i="3"/>
  <c r="BM95" i="3" s="1"/>
  <c r="BL97" i="3"/>
  <c r="BM97" i="3" s="1"/>
  <c r="BL88" i="3"/>
  <c r="BM88" i="3" s="1"/>
  <c r="BL84" i="3"/>
  <c r="BM84" i="3" s="1"/>
  <c r="BL86" i="3"/>
  <c r="BL71" i="3"/>
  <c r="BM71" i="3" s="1"/>
  <c r="BL90" i="3"/>
  <c r="BM90" i="3" s="1"/>
  <c r="BL91" i="3"/>
  <c r="BM91" i="3" s="1"/>
  <c r="BL77" i="3"/>
  <c r="BM77" i="3" s="1"/>
  <c r="BL74" i="3"/>
  <c r="BM74" i="3" s="1"/>
  <c r="BL72" i="3"/>
  <c r="BM72" i="3" s="1"/>
  <c r="BL99" i="3"/>
  <c r="BM99" i="3" s="1"/>
  <c r="BL58" i="3"/>
  <c r="BM58" i="3" s="1"/>
  <c r="BL83" i="3"/>
  <c r="BM83" i="3" s="1"/>
  <c r="BL130" i="3"/>
  <c r="BL47" i="3"/>
  <c r="BM47" i="3" s="1"/>
  <c r="BL60" i="3"/>
  <c r="BM60" i="3" s="1"/>
  <c r="BL37" i="3"/>
  <c r="BM37" i="3" s="1"/>
  <c r="BL24" i="3"/>
  <c r="BM24" i="3" s="1"/>
  <c r="BL453" i="3"/>
  <c r="BM453" i="3" s="1"/>
  <c r="BL35" i="3"/>
  <c r="BM35" i="3" s="1"/>
  <c r="BL42" i="3"/>
  <c r="BM42" i="3" s="1"/>
  <c r="BL55" i="3"/>
  <c r="BM55" i="3" s="1"/>
  <c r="BL29" i="3"/>
  <c r="BM29" i="3" s="1"/>
  <c r="BL17" i="3"/>
  <c r="BM17" i="3" s="1"/>
  <c r="BL66" i="3"/>
  <c r="BM66" i="3" s="1"/>
  <c r="BL16" i="3"/>
  <c r="BM16" i="3" s="1"/>
  <c r="BL14" i="3"/>
  <c r="BM14" i="3" s="1"/>
  <c r="BL20" i="3"/>
  <c r="BM20" i="3" s="1"/>
  <c r="BL3" i="3"/>
  <c r="BM3" i="3" s="1"/>
  <c r="D133" i="3"/>
  <c r="D507" i="3"/>
  <c r="D272" i="3"/>
  <c r="D286" i="3"/>
  <c r="D276" i="3"/>
  <c r="D266" i="3"/>
  <c r="D255" i="3"/>
  <c r="D259" i="3"/>
  <c r="D252" i="3"/>
  <c r="D269" i="3"/>
  <c r="D262" i="3"/>
  <c r="D251" i="3"/>
  <c r="D82" i="3"/>
  <c r="D502" i="3"/>
  <c r="D231" i="3"/>
  <c r="D214" i="3"/>
  <c r="D213" i="3"/>
  <c r="D413" i="3"/>
  <c r="D195" i="3"/>
  <c r="D193" i="3"/>
  <c r="D169" i="3"/>
  <c r="D253" i="3"/>
  <c r="D163" i="3"/>
  <c r="D504" i="3"/>
  <c r="D143" i="3"/>
  <c r="D156" i="3"/>
  <c r="D140" i="3"/>
  <c r="D123" i="3"/>
  <c r="D135" i="3"/>
  <c r="D145" i="3"/>
  <c r="D506" i="3"/>
  <c r="D63" i="3"/>
  <c r="D510" i="3"/>
  <c r="D89" i="3"/>
  <c r="D87" i="3"/>
  <c r="D78" i="3"/>
  <c r="D80" i="3"/>
  <c r="D392" i="3"/>
  <c r="D75" i="3"/>
  <c r="D73" i="3"/>
  <c r="D68" i="3"/>
  <c r="D85" i="3"/>
  <c r="D67" i="3"/>
  <c r="D64" i="3"/>
  <c r="D65" i="3"/>
  <c r="D505" i="3"/>
  <c r="D56" i="3"/>
  <c r="D503" i="3"/>
  <c r="D54" i="3"/>
  <c r="D48" i="3"/>
  <c r="D50" i="3"/>
  <c r="D53" i="3"/>
  <c r="D40" i="3"/>
  <c r="D28" i="3"/>
  <c r="D31" i="3"/>
  <c r="D44" i="3"/>
  <c r="D39" i="3"/>
  <c r="D34" i="3"/>
  <c r="D30" i="3"/>
  <c r="D38" i="3"/>
  <c r="D23" i="3"/>
  <c r="D26" i="3"/>
  <c r="D25" i="3"/>
  <c r="D21" i="3"/>
  <c r="D33" i="3"/>
  <c r="D18" i="3"/>
  <c r="D15" i="3"/>
  <c r="D11" i="3"/>
  <c r="D12" i="3"/>
  <c r="D13" i="3"/>
  <c r="D10" i="3"/>
  <c r="D7" i="3"/>
  <c r="D9" i="3"/>
  <c r="D8" i="3"/>
  <c r="D5" i="3"/>
  <c r="D4" i="3"/>
  <c r="D440" i="3"/>
  <c r="D438" i="3"/>
  <c r="D436" i="3"/>
  <c r="D435" i="3"/>
  <c r="D434" i="3"/>
  <c r="D437" i="3"/>
  <c r="D442" i="3"/>
  <c r="D432" i="3"/>
  <c r="D431" i="3"/>
  <c r="D428" i="3"/>
  <c r="D426" i="3"/>
  <c r="D429" i="3"/>
  <c r="D424" i="3"/>
  <c r="D397" i="3"/>
  <c r="D425" i="3"/>
  <c r="D491" i="3"/>
  <c r="D423" i="3"/>
  <c r="D417" i="3"/>
  <c r="D59" i="3"/>
  <c r="D418" i="3"/>
  <c r="D415" i="3"/>
  <c r="D487" i="3"/>
  <c r="D409" i="3"/>
  <c r="D400" i="3"/>
  <c r="D489" i="3"/>
  <c r="D405" i="3"/>
  <c r="D488" i="3"/>
  <c r="D401" i="3"/>
  <c r="D216" i="3"/>
  <c r="D483" i="3"/>
  <c r="D394" i="3"/>
  <c r="D368" i="3"/>
  <c r="D372" i="3"/>
  <c r="D384" i="3"/>
  <c r="D447" i="3"/>
  <c r="D361" i="3"/>
  <c r="D298" i="3"/>
  <c r="D378" i="3"/>
  <c r="D371" i="3"/>
  <c r="D482" i="3"/>
  <c r="D390" i="3"/>
  <c r="D398" i="3"/>
  <c r="D388" i="3"/>
  <c r="D387" i="3"/>
  <c r="D386" i="3"/>
  <c r="D385" i="3"/>
  <c r="D380" i="3"/>
  <c r="D367" i="3"/>
  <c r="D382" i="3"/>
  <c r="D478" i="3"/>
  <c r="D359" i="3"/>
  <c r="D376" i="3"/>
  <c r="D475" i="3"/>
  <c r="D377" i="3"/>
  <c r="D412" i="3"/>
  <c r="D375" i="3"/>
  <c r="D374" i="3"/>
  <c r="D373" i="3"/>
  <c r="D370" i="3"/>
  <c r="D381" i="3"/>
  <c r="D369" i="3"/>
  <c r="D336" i="3"/>
  <c r="D366" i="3"/>
  <c r="D365" i="3"/>
  <c r="D346" i="3"/>
  <c r="D476" i="3"/>
  <c r="D325" i="3"/>
  <c r="D360" i="3"/>
  <c r="D357" i="3"/>
  <c r="D354" i="3"/>
  <c r="D341" i="3"/>
  <c r="D356" i="3"/>
  <c r="D481" i="3"/>
  <c r="D330" i="3"/>
  <c r="D108" i="3"/>
  <c r="D348" i="3"/>
  <c r="D337" i="3"/>
  <c r="D344" i="3"/>
  <c r="D347" i="3"/>
  <c r="D345" i="3"/>
  <c r="D313" i="3"/>
  <c r="D492" i="3"/>
  <c r="D119" i="3"/>
  <c r="D333" i="3"/>
  <c r="D338" i="3"/>
  <c r="D329" i="3"/>
  <c r="D144" i="3"/>
  <c r="D277" i="3"/>
  <c r="D323" i="3"/>
  <c r="D318" i="3"/>
  <c r="D326" i="3"/>
  <c r="D493" i="3"/>
  <c r="D319" i="3"/>
  <c r="D350" i="3"/>
  <c r="D305" i="3"/>
  <c r="D501" i="3"/>
  <c r="D312" i="3"/>
  <c r="D315" i="3"/>
  <c r="D314" i="3"/>
  <c r="D311" i="3"/>
  <c r="D310" i="3"/>
  <c r="D484" i="3"/>
  <c r="D486" i="3"/>
  <c r="D301" i="3"/>
  <c r="D331" i="3"/>
  <c r="D316" i="3"/>
  <c r="D299" i="3"/>
  <c r="D304" i="3"/>
  <c r="D393" i="3"/>
  <c r="D297" i="3"/>
  <c r="D244" i="3"/>
  <c r="D289" i="3"/>
  <c r="D292" i="3"/>
  <c r="D296" i="3"/>
  <c r="D293" i="3"/>
  <c r="D457" i="3"/>
  <c r="D284" i="3"/>
  <c r="D282" i="3"/>
  <c r="D285" i="3"/>
  <c r="D278" i="3"/>
  <c r="D271" i="3"/>
  <c r="D274" i="3"/>
  <c r="D268" i="3"/>
  <c r="D270" i="3"/>
  <c r="D256" i="3"/>
  <c r="D470" i="3"/>
  <c r="D275" i="3"/>
  <c r="D456" i="3"/>
  <c r="D495" i="3"/>
  <c r="D249" i="3"/>
  <c r="D194" i="3"/>
  <c r="D468" i="3"/>
  <c r="D467" i="3"/>
  <c r="D263" i="3"/>
  <c r="D243" i="3"/>
  <c r="D212" i="3"/>
  <c r="D241" i="3"/>
  <c r="D265" i="3"/>
  <c r="D245" i="3"/>
  <c r="D239" i="3"/>
  <c r="D342" i="3"/>
  <c r="D218" i="3"/>
  <c r="D222" i="3"/>
  <c r="D157" i="3"/>
  <c r="D104" i="3"/>
  <c r="D201" i="3"/>
  <c r="D198" i="3"/>
  <c r="D223" i="3"/>
  <c r="D234" i="3"/>
  <c r="D191" i="3"/>
  <c r="D196" i="3"/>
  <c r="D463" i="3"/>
  <c r="D164" i="3"/>
  <c r="D175" i="3"/>
  <c r="D177" i="3"/>
  <c r="D473" i="3"/>
  <c r="D159" i="3"/>
  <c r="D151" i="3"/>
  <c r="D471" i="3"/>
  <c r="D154" i="3"/>
  <c r="D459" i="3"/>
  <c r="D98" i="3"/>
  <c r="D152" i="3"/>
  <c r="D466" i="3"/>
  <c r="D389" i="3"/>
  <c r="D458" i="3"/>
  <c r="D93" i="3"/>
  <c r="D62" i="3"/>
  <c r="D79" i="3"/>
  <c r="D444" i="3"/>
  <c r="D443" i="3"/>
  <c r="D399" i="3"/>
  <c r="D449" i="3"/>
  <c r="D419" i="3"/>
  <c r="D433" i="3"/>
  <c r="D448" i="3"/>
  <c r="D416" i="3"/>
  <c r="D407" i="3"/>
  <c r="D395" i="3"/>
  <c r="D352" i="3"/>
  <c r="D362" i="3"/>
  <c r="D261" i="3"/>
  <c r="D324" i="3"/>
  <c r="D328" i="3"/>
  <c r="D408" i="3"/>
  <c r="D279" i="3"/>
  <c r="D280" i="3"/>
  <c r="D294" i="3"/>
  <c r="D242" i="3"/>
  <c r="D238" i="3"/>
  <c r="D233" i="3"/>
  <c r="D236" i="3"/>
  <c r="D150" i="3"/>
  <c r="D217" i="3"/>
  <c r="D206" i="3"/>
  <c r="D181" i="3"/>
  <c r="D172" i="3"/>
  <c r="D170" i="3"/>
  <c r="D179" i="3"/>
  <c r="D147" i="3"/>
  <c r="D148" i="3"/>
  <c r="D107" i="3"/>
  <c r="D141" i="3"/>
  <c r="D178" i="3"/>
  <c r="D127" i="3"/>
  <c r="D158" i="3"/>
  <c r="D142" i="3"/>
  <c r="D149" i="3"/>
  <c r="D132" i="3"/>
  <c r="D134" i="3"/>
  <c r="D182" i="3"/>
  <c r="D452" i="3"/>
  <c r="D124" i="3"/>
  <c r="D114" i="3"/>
  <c r="D121" i="3"/>
  <c r="D120" i="3"/>
  <c r="D125" i="3"/>
  <c r="D115" i="3"/>
  <c r="D117" i="3"/>
  <c r="D105" i="3"/>
  <c r="D112" i="3"/>
  <c r="D100" i="3"/>
  <c r="D111" i="3"/>
  <c r="D450" i="3"/>
  <c r="D95" i="3"/>
  <c r="D97" i="3"/>
  <c r="D88" i="3"/>
  <c r="D84" i="3"/>
  <c r="D86" i="3"/>
  <c r="D90" i="3"/>
  <c r="D91" i="3"/>
  <c r="D77" i="3"/>
  <c r="D74" i="3"/>
  <c r="D72" i="3"/>
  <c r="D99" i="3"/>
  <c r="D58" i="3"/>
  <c r="D130" i="3"/>
  <c r="D47" i="3"/>
  <c r="D37" i="3"/>
  <c r="D24" i="3"/>
  <c r="D453" i="3"/>
  <c r="D35" i="3"/>
  <c r="D42" i="3"/>
  <c r="D55" i="3"/>
  <c r="D29" i="3"/>
  <c r="D17" i="3"/>
  <c r="D66" i="3"/>
  <c r="D14" i="3"/>
  <c r="D20" i="3"/>
  <c r="BM551" i="3"/>
  <c r="BM542" i="3"/>
  <c r="BM533" i="3"/>
  <c r="BM524" i="3"/>
  <c r="BM515" i="3"/>
  <c r="BM353" i="3"/>
  <c r="BM322" i="3"/>
  <c r="BM379" i="3"/>
  <c r="BM258" i="3"/>
  <c r="BM57" i="3"/>
  <c r="BM260" i="3"/>
  <c r="BM247" i="3"/>
  <c r="BM61" i="3"/>
  <c r="BM317" i="3"/>
  <c r="BM420" i="3"/>
  <c r="BM403" i="3"/>
  <c r="BM291" i="3"/>
  <c r="BM430" i="3"/>
  <c r="BM101" i="3"/>
  <c r="BM133" i="3"/>
  <c r="BM255" i="3"/>
  <c r="BM251" i="3"/>
  <c r="BM169" i="3"/>
  <c r="BM253" i="3"/>
  <c r="BM123" i="3"/>
  <c r="BM89" i="3"/>
  <c r="BM428" i="3"/>
  <c r="BM426" i="3"/>
  <c r="BM59" i="3"/>
  <c r="BM409" i="3"/>
  <c r="BM401" i="3"/>
  <c r="BM216" i="3"/>
  <c r="BM394" i="3"/>
  <c r="BM447" i="3"/>
  <c r="BM333" i="3"/>
  <c r="BM285" i="3"/>
  <c r="BM222" i="3"/>
  <c r="BM121" i="3"/>
  <c r="BM86" i="3"/>
  <c r="BM130" i="3"/>
  <c r="E1" i="18"/>
  <c r="A1" i="18"/>
  <c r="D512" i="3"/>
  <c r="D334" i="3"/>
  <c r="D283" i="3"/>
  <c r="D320" i="3"/>
  <c r="D509" i="3"/>
  <c r="D439" i="3"/>
  <c r="D353" i="3"/>
  <c r="D511" i="3"/>
  <c r="D427" i="3"/>
  <c r="D6" i="3"/>
  <c r="D355" i="3"/>
  <c r="D160" i="3"/>
  <c r="D227" i="3"/>
  <c r="D303" i="3"/>
  <c r="D446" i="3"/>
  <c r="D322" i="3"/>
  <c r="D508" i="3"/>
  <c r="D220" i="3"/>
  <c r="D290" i="3"/>
  <c r="D174" i="3"/>
  <c r="D27" i="3"/>
  <c r="D379" i="3"/>
  <c r="D128" i="3"/>
  <c r="D499" i="3"/>
  <c r="D70" i="3"/>
  <c r="D335" i="3"/>
  <c r="D185" i="3"/>
  <c r="D258" i="3"/>
  <c r="D383" i="3"/>
  <c r="D309" i="3"/>
  <c r="D421" i="3"/>
  <c r="D188" i="3"/>
  <c r="D51" i="3"/>
  <c r="D264" i="3"/>
  <c r="D49" i="3"/>
  <c r="D451" i="3"/>
  <c r="D137" i="3"/>
  <c r="D257" i="3"/>
  <c r="D57" i="3"/>
  <c r="D235" i="3"/>
  <c r="D343" i="3"/>
  <c r="D260" i="3"/>
  <c r="D247" i="3"/>
  <c r="D92" i="3"/>
  <c r="D349" i="3"/>
  <c r="D168" i="3"/>
  <c r="D494" i="3"/>
  <c r="D61" i="3"/>
  <c r="D317" i="3"/>
  <c r="D273" i="3"/>
  <c r="D166" i="3"/>
  <c r="D102" i="3"/>
  <c r="D209" i="3"/>
  <c r="D267" i="3"/>
  <c r="D420" i="3"/>
  <c r="D153" i="3"/>
  <c r="D45" i="3"/>
  <c r="D183" i="3"/>
  <c r="D131" i="3"/>
  <c r="D403" i="3"/>
  <c r="D19" i="3"/>
  <c r="D441" i="3"/>
  <c r="D479" i="3"/>
  <c r="D498" i="3"/>
  <c r="D321" i="3"/>
  <c r="D291" i="3"/>
  <c r="D173" i="3"/>
  <c r="D36" i="3"/>
  <c r="D287" i="3"/>
  <c r="D430" i="3"/>
  <c r="D210" i="3"/>
  <c r="D113" i="3"/>
  <c r="D445" i="3"/>
  <c r="D165" i="3"/>
  <c r="D101" i="3"/>
  <c r="G34" i="29" l="1"/>
  <c r="I6" i="29"/>
  <c r="E6" i="29"/>
  <c r="B34" i="29"/>
  <c r="L32" i="29"/>
  <c r="M13" i="29"/>
  <c r="M22" i="29"/>
  <c r="I22" i="29"/>
  <c r="E7" i="29"/>
  <c r="E22" i="29"/>
  <c r="M214" i="24"/>
  <c r="S4" i="24" s="1" a="1"/>
  <c r="S4" i="24" s="1"/>
  <c r="S3" i="24" a="1"/>
  <c r="S3" i="24" s="1"/>
  <c r="K1" i="22"/>
  <c r="K37" i="22"/>
  <c r="M106" i="24"/>
  <c r="R3" i="24" a="1"/>
  <c r="R3" i="24" s="1"/>
  <c r="L272" i="24"/>
  <c r="T3" i="24" s="1" a="1"/>
  <c r="T3" i="24" s="1"/>
  <c r="T4" i="24" a="1"/>
  <c r="T4" i="24" s="1"/>
  <c r="D14" i="29"/>
  <c r="C14" i="29"/>
  <c r="E14" i="29" s="1"/>
  <c r="D5" i="29"/>
  <c r="D23" i="29"/>
  <c r="E23" i="29" s="1"/>
  <c r="H13" i="29"/>
  <c r="I13" i="29" s="1"/>
  <c r="F5" i="29"/>
  <c r="H23" i="29"/>
  <c r="L23" i="29"/>
  <c r="K4" i="29"/>
  <c r="M4" i="29" s="1"/>
  <c r="G4" i="29"/>
  <c r="P3" i="24" a="1"/>
  <c r="P3" i="24" s="1"/>
  <c r="L14" i="29"/>
  <c r="D13" i="29"/>
  <c r="E13" i="29" s="1"/>
  <c r="D4" i="29"/>
  <c r="F4" i="29"/>
  <c r="I4" i="29" s="1"/>
  <c r="K5" i="29"/>
  <c r="M37" i="24"/>
  <c r="M3" i="24" a="1"/>
  <c r="M3" i="24" s="1"/>
  <c r="M45" i="24"/>
  <c r="L3" i="24" a="1"/>
  <c r="L3" i="24" s="1"/>
  <c r="M70" i="24"/>
  <c r="N3" i="24" a="1"/>
  <c r="N3" i="24" s="1"/>
  <c r="M92" i="24"/>
  <c r="Q3" i="24" a="1"/>
  <c r="Q3" i="24" s="1"/>
  <c r="L5" i="29"/>
  <c r="O3" i="24" a="1"/>
  <c r="O3" i="24" s="1"/>
  <c r="H31" i="3"/>
  <c r="H73" i="3"/>
  <c r="M86" i="24"/>
  <c r="P4" i="24" s="1" a="1"/>
  <c r="P4" i="24" s="1"/>
  <c r="M101" i="24"/>
  <c r="J5" i="29" s="1"/>
  <c r="M5" i="29" s="1"/>
  <c r="N12" i="27"/>
  <c r="AR19" i="8"/>
  <c r="Q36" i="8"/>
  <c r="AC36" i="8"/>
  <c r="BF49" i="8"/>
  <c r="BH49" i="8"/>
  <c r="U36" i="8"/>
  <c r="AG36" i="8"/>
  <c r="Z36" i="8"/>
  <c r="AA36" i="8"/>
  <c r="AB36" i="8"/>
  <c r="R36" i="8"/>
  <c r="AD36" i="8"/>
  <c r="S36" i="8"/>
  <c r="AE36" i="8"/>
  <c r="T36" i="8"/>
  <c r="AF36" i="8"/>
  <c r="V36" i="8"/>
  <c r="X36" i="8"/>
  <c r="W36" i="8"/>
  <c r="Y36" i="8"/>
  <c r="I3" i="24"/>
  <c r="J3" i="24"/>
  <c r="H68" i="3"/>
  <c r="H9" i="3"/>
  <c r="H8" i="3"/>
  <c r="H13" i="3"/>
  <c r="H262" i="3"/>
  <c r="H18" i="3"/>
  <c r="H145" i="3"/>
  <c r="H503" i="3"/>
  <c r="H87" i="3"/>
  <c r="H33" i="3"/>
  <c r="H502" i="3"/>
  <c r="H392" i="3"/>
  <c r="H63" i="3"/>
  <c r="H28" i="3"/>
  <c r="H82" i="3"/>
  <c r="H56" i="3"/>
  <c r="H135" i="3"/>
  <c r="H65" i="3"/>
  <c r="H276" i="3"/>
  <c r="H266" i="3"/>
  <c r="H255" i="3"/>
  <c r="H231" i="3"/>
  <c r="H169" i="3"/>
  <c r="H213" i="3"/>
  <c r="H140" i="3"/>
  <c r="H34" i="3"/>
  <c r="H75" i="3"/>
  <c r="H123" i="3"/>
  <c r="H80" i="3"/>
  <c r="H328" i="3"/>
  <c r="H294" i="3"/>
  <c r="H91" i="3"/>
  <c r="H279" i="3"/>
  <c r="H236" i="3"/>
  <c r="H147" i="3"/>
  <c r="H132" i="3"/>
  <c r="H124" i="3"/>
  <c r="H395" i="3"/>
  <c r="H238" i="3"/>
  <c r="H141" i="3"/>
  <c r="H272" i="3"/>
  <c r="H269" i="3"/>
  <c r="H253" i="3"/>
  <c r="H259" i="3"/>
  <c r="H252" i="3"/>
  <c r="H156" i="3"/>
  <c r="H416" i="3"/>
  <c r="H407" i="3"/>
  <c r="H362" i="3"/>
  <c r="H324" i="3"/>
  <c r="H179" i="3"/>
  <c r="H250" i="3"/>
  <c r="H226" i="3"/>
  <c r="H167" i="3"/>
  <c r="H447" i="3"/>
  <c r="H178" i="3"/>
  <c r="H138" i="3"/>
  <c r="H96" i="3"/>
  <c r="H448" i="3"/>
  <c r="H444" i="3"/>
  <c r="H433" i="3"/>
  <c r="H449" i="3"/>
  <c r="H445" i="3"/>
  <c r="H443" i="3"/>
  <c r="H430" i="3"/>
  <c r="H408" i="3"/>
  <c r="H419" i="3"/>
  <c r="H399" i="3"/>
  <c r="H261" i="3"/>
  <c r="H358" i="3"/>
  <c r="H291" i="3"/>
  <c r="H406" i="3"/>
  <c r="H411" i="3"/>
  <c r="H402" i="3"/>
  <c r="H391" i="3"/>
  <c r="H307" i="3"/>
  <c r="H414" i="3"/>
  <c r="H306" i="3"/>
  <c r="H308" i="3"/>
  <c r="H404" i="3"/>
  <c r="H396" i="3"/>
  <c r="H351" i="3"/>
  <c r="H438" i="3"/>
  <c r="H436" i="3"/>
  <c r="H435" i="3"/>
  <c r="H431" i="3"/>
  <c r="H434" i="3"/>
  <c r="H432" i="3"/>
  <c r="L3" i="8"/>
  <c r="L26" i="29"/>
  <c r="L28" i="29" s="1"/>
  <c r="L17" i="29"/>
  <c r="L8" i="29"/>
  <c r="K26" i="29"/>
  <c r="K28" i="29" s="1"/>
  <c r="K17" i="29"/>
  <c r="K8" i="29"/>
  <c r="J26" i="29"/>
  <c r="J28" i="29" s="1"/>
  <c r="J17" i="29"/>
  <c r="J19" i="29" s="1"/>
  <c r="J8" i="29"/>
  <c r="J10" i="29" s="1"/>
  <c r="M4" i="8"/>
  <c r="M5" i="8" s="1"/>
  <c r="L4" i="8"/>
  <c r="AK23" i="8"/>
  <c r="AK22" i="8"/>
  <c r="AK21" i="8"/>
  <c r="AK20" i="8"/>
  <c r="AK19" i="8"/>
  <c r="BB23" i="8"/>
  <c r="BB22" i="8"/>
  <c r="BB21" i="8"/>
  <c r="BB20" i="8"/>
  <c r="BB19" i="8"/>
  <c r="AM23" i="8"/>
  <c r="AM22" i="8"/>
  <c r="AM21" i="8"/>
  <c r="AM20" i="8"/>
  <c r="AM19" i="8"/>
  <c r="BA23" i="8"/>
  <c r="BA22" i="8"/>
  <c r="BA21" i="8"/>
  <c r="BA20" i="8"/>
  <c r="BA19" i="8"/>
  <c r="AT23" i="8"/>
  <c r="AT22" i="8"/>
  <c r="AT21" i="8"/>
  <c r="AT20" i="8"/>
  <c r="AT19" i="8"/>
  <c r="AY23" i="8"/>
  <c r="AY22" i="8"/>
  <c r="AY21" i="8"/>
  <c r="AY20" i="8"/>
  <c r="AY19" i="8"/>
  <c r="BB37" i="8"/>
  <c r="BB36" i="8"/>
  <c r="BB35" i="8"/>
  <c r="BB34" i="8"/>
  <c r="BB33" i="8"/>
  <c r="AM37" i="8"/>
  <c r="AM36" i="8"/>
  <c r="AM35" i="8"/>
  <c r="AM34" i="8"/>
  <c r="AM33" i="8"/>
  <c r="AQ37" i="8"/>
  <c r="AQ36" i="8"/>
  <c r="AQ35" i="8"/>
  <c r="AQ34" i="8"/>
  <c r="AQ33" i="8"/>
  <c r="AK37" i="8"/>
  <c r="AK36" i="8"/>
  <c r="AK35" i="8"/>
  <c r="AK34" i="8"/>
  <c r="AK33" i="8"/>
  <c r="AY37" i="8"/>
  <c r="AY36" i="8"/>
  <c r="AY35" i="8"/>
  <c r="AY34" i="8"/>
  <c r="AY33" i="8"/>
  <c r="AT37" i="8"/>
  <c r="AT36" i="8"/>
  <c r="AT35" i="8"/>
  <c r="AT34" i="8"/>
  <c r="AT33" i="8"/>
  <c r="BA37" i="8"/>
  <c r="BA36" i="8"/>
  <c r="BA35" i="8"/>
  <c r="BA34" i="8"/>
  <c r="BA33" i="8"/>
  <c r="AR37" i="8"/>
  <c r="AR36" i="8"/>
  <c r="AR35" i="8"/>
  <c r="AR34" i="8"/>
  <c r="AR33" i="8"/>
  <c r="AR23" i="8"/>
  <c r="AR22" i="8"/>
  <c r="AR21" i="8"/>
  <c r="AR20" i="8"/>
  <c r="AZ37" i="8"/>
  <c r="AZ36" i="8"/>
  <c r="AZ35" i="8"/>
  <c r="AZ34" i="8"/>
  <c r="AZ33" i="8"/>
  <c r="AZ23" i="8"/>
  <c r="AZ22" i="8"/>
  <c r="AZ21" i="8"/>
  <c r="AZ20" i="8"/>
  <c r="AZ19" i="8"/>
  <c r="AS37" i="8"/>
  <c r="AS36" i="8"/>
  <c r="AS35" i="8"/>
  <c r="AS34" i="8"/>
  <c r="AS33" i="8"/>
  <c r="AS23" i="8"/>
  <c r="AS22" i="8"/>
  <c r="AS21" i="8"/>
  <c r="AS20" i="8"/>
  <c r="AS19" i="8"/>
  <c r="AU37" i="8"/>
  <c r="AU36" i="8"/>
  <c r="AU35" i="8"/>
  <c r="AU34" i="8"/>
  <c r="AU33" i="8"/>
  <c r="AU23" i="8"/>
  <c r="AU22" i="8"/>
  <c r="AU21" i="8"/>
  <c r="AU20" i="8"/>
  <c r="AU19" i="8"/>
  <c r="Q5" i="8"/>
  <c r="R4" i="8"/>
  <c r="C26" i="29"/>
  <c r="D26" i="29"/>
  <c r="D28" i="29" s="1"/>
  <c r="F26" i="29"/>
  <c r="G26" i="29"/>
  <c r="G28" i="29" s="1"/>
  <c r="H26" i="29"/>
  <c r="H28" i="29" s="1"/>
  <c r="B26" i="29"/>
  <c r="E26" i="29" s="1"/>
  <c r="C8" i="29"/>
  <c r="D8" i="29"/>
  <c r="D10" i="29" s="1"/>
  <c r="F8" i="29"/>
  <c r="G8" i="29"/>
  <c r="H8" i="29"/>
  <c r="H10" i="29" s="1"/>
  <c r="B8" i="29"/>
  <c r="E8" i="29" s="1"/>
  <c r="H17" i="29"/>
  <c r="H19" i="29" s="1"/>
  <c r="G17" i="29"/>
  <c r="F17" i="29"/>
  <c r="I17" i="29" s="1"/>
  <c r="D17" i="29"/>
  <c r="D19" i="29" s="1"/>
  <c r="C17" i="29"/>
  <c r="C19" i="29" s="1"/>
  <c r="B17" i="29"/>
  <c r="E17" i="29" s="1"/>
  <c r="C71" i="27"/>
  <c r="C72" i="27"/>
  <c r="C73" i="27"/>
  <c r="C74" i="27"/>
  <c r="C75" i="27"/>
  <c r="C76" i="27"/>
  <c r="C77" i="27"/>
  <c r="C78" i="27"/>
  <c r="C79" i="27"/>
  <c r="C80" i="27"/>
  <c r="C81" i="27"/>
  <c r="C82" i="27"/>
  <c r="B71" i="27"/>
  <c r="E71" i="27" s="1"/>
  <c r="B72" i="27"/>
  <c r="E72" i="27" s="1"/>
  <c r="B73" i="27"/>
  <c r="B74" i="27"/>
  <c r="E74" i="27" s="1"/>
  <c r="B75" i="27"/>
  <c r="E75" i="27" s="1"/>
  <c r="B76" i="27"/>
  <c r="E76" i="27" s="1"/>
  <c r="B77" i="27"/>
  <c r="E77" i="27" s="1"/>
  <c r="B78" i="27"/>
  <c r="B79" i="27"/>
  <c r="E79" i="27" s="1"/>
  <c r="B80" i="27"/>
  <c r="B81" i="27"/>
  <c r="E81" i="27" s="1"/>
  <c r="B82" i="27"/>
  <c r="E82" i="27" s="1"/>
  <c r="D89" i="27"/>
  <c r="K89" i="27" s="1"/>
  <c r="D90" i="27"/>
  <c r="K90" i="27" s="1"/>
  <c r="D91" i="27"/>
  <c r="K91" i="27" s="1"/>
  <c r="D92" i="27"/>
  <c r="K92" i="27" s="1"/>
  <c r="D93" i="27"/>
  <c r="D94" i="27"/>
  <c r="D95" i="27"/>
  <c r="D96" i="27"/>
  <c r="D97" i="27"/>
  <c r="D98" i="27"/>
  <c r="D99" i="27"/>
  <c r="C88" i="27"/>
  <c r="I88" i="27" s="1"/>
  <c r="C89" i="27"/>
  <c r="I89" i="27" s="1"/>
  <c r="C90" i="27"/>
  <c r="I90" i="27" s="1"/>
  <c r="C91" i="27"/>
  <c r="I91" i="27" s="1"/>
  <c r="C92" i="27"/>
  <c r="I92" i="27" s="1"/>
  <c r="C93" i="27"/>
  <c r="C94" i="27"/>
  <c r="C95" i="27"/>
  <c r="C96" i="27"/>
  <c r="C97" i="27"/>
  <c r="C98" i="27"/>
  <c r="C99" i="27"/>
  <c r="B89" i="27"/>
  <c r="B90" i="27"/>
  <c r="B91" i="27"/>
  <c r="B92" i="27"/>
  <c r="B93" i="27"/>
  <c r="B94" i="27"/>
  <c r="B95" i="27"/>
  <c r="B96" i="27"/>
  <c r="B97" i="27"/>
  <c r="B98" i="27"/>
  <c r="B99" i="27"/>
  <c r="L5" i="27"/>
  <c r="P5" i="8"/>
  <c r="B14" i="27"/>
  <c r="C11" i="27"/>
  <c r="C12" i="27"/>
  <c r="C13" i="27"/>
  <c r="C14" i="27"/>
  <c r="B11" i="27"/>
  <c r="B12" i="27"/>
  <c r="B13" i="27"/>
  <c r="C4" i="8"/>
  <c r="C5" i="8" s="1"/>
  <c r="L4" i="27"/>
  <c r="L10" i="27"/>
  <c r="C3" i="27"/>
  <c r="B3" i="27"/>
  <c r="H4" i="8"/>
  <c r="H39" i="27"/>
  <c r="C10" i="27"/>
  <c r="B10" i="27"/>
  <c r="C6" i="27"/>
  <c r="B6" i="27"/>
  <c r="C4" i="27"/>
  <c r="B4" i="27"/>
  <c r="C7" i="27"/>
  <c r="B7" i="27"/>
  <c r="H40" i="27"/>
  <c r="D6" i="27"/>
  <c r="D7" i="27"/>
  <c r="D10" i="27"/>
  <c r="D11" i="27"/>
  <c r="D12" i="27"/>
  <c r="D13" i="27"/>
  <c r="D14" i="27"/>
  <c r="D9" i="27"/>
  <c r="C9" i="27"/>
  <c r="B9" i="27"/>
  <c r="B27" i="27"/>
  <c r="B28" i="27"/>
  <c r="B29" i="27"/>
  <c r="B30" i="27"/>
  <c r="B31" i="27"/>
  <c r="D3" i="27"/>
  <c r="D4" i="27"/>
  <c r="D8" i="27"/>
  <c r="C8" i="27"/>
  <c r="B8" i="27"/>
  <c r="C30" i="27"/>
  <c r="C31" i="27"/>
  <c r="B20" i="27"/>
  <c r="B23" i="27"/>
  <c r="B24" i="27"/>
  <c r="B25" i="27"/>
  <c r="B26" i="27"/>
  <c r="C23" i="27"/>
  <c r="C24" i="27"/>
  <c r="C25" i="27"/>
  <c r="C26" i="27"/>
  <c r="C27" i="27"/>
  <c r="C28" i="27"/>
  <c r="C29" i="27"/>
  <c r="D5" i="27"/>
  <c r="C5" i="27"/>
  <c r="B5" i="27"/>
  <c r="D27" i="27"/>
  <c r="D28" i="27"/>
  <c r="D29" i="27"/>
  <c r="D30" i="27"/>
  <c r="D31" i="27"/>
  <c r="C20" i="27"/>
  <c r="C22" i="27"/>
  <c r="B22" i="27"/>
  <c r="D20" i="27"/>
  <c r="D21" i="27"/>
  <c r="D22" i="27"/>
  <c r="D23" i="27"/>
  <c r="D24" i="27"/>
  <c r="D25" i="27"/>
  <c r="D26" i="27"/>
  <c r="C21" i="27"/>
  <c r="B21" i="27"/>
  <c r="H57" i="27"/>
  <c r="H56" i="27"/>
  <c r="H55" i="27"/>
  <c r="K4" i="8"/>
  <c r="E3" i="8"/>
  <c r="D3" i="8"/>
  <c r="E4" i="8"/>
  <c r="D4" i="8"/>
  <c r="I4" i="8"/>
  <c r="K3" i="8"/>
  <c r="H3" i="8"/>
  <c r="I3" i="8"/>
  <c r="G3" i="8"/>
  <c r="G4" i="8"/>
  <c r="O5" i="8"/>
  <c r="R3" i="8"/>
  <c r="F10" i="8"/>
  <c r="F12" i="8" s="1"/>
  <c r="J10" i="8"/>
  <c r="J12" i="8" s="1"/>
  <c r="N12" i="8"/>
  <c r="R10" i="8"/>
  <c r="R12" i="8" s="1"/>
  <c r="AQ23" i="8"/>
  <c r="AQ22" i="8"/>
  <c r="AV22" i="8" s="1"/>
  <c r="AQ21" i="8"/>
  <c r="AQ20" i="8"/>
  <c r="AQ19" i="8"/>
  <c r="BG33" i="8"/>
  <c r="BG34" i="8"/>
  <c r="BG35" i="8"/>
  <c r="BG36" i="8"/>
  <c r="BG37" i="8"/>
  <c r="BG38" i="8"/>
  <c r="BG39" i="8"/>
  <c r="BG40" i="8"/>
  <c r="BG41" i="8"/>
  <c r="BG42" i="8"/>
  <c r="BG43" i="8"/>
  <c r="BG44" i="8"/>
  <c r="BG45" i="8"/>
  <c r="BG46" i="8"/>
  <c r="BG47" i="8"/>
  <c r="BI33" i="8"/>
  <c r="BI34" i="8"/>
  <c r="BI35" i="8"/>
  <c r="BI36" i="8"/>
  <c r="BI37" i="8"/>
  <c r="BI38" i="8"/>
  <c r="BI39" i="8"/>
  <c r="BI40" i="8"/>
  <c r="BI41" i="8"/>
  <c r="BI42" i="8"/>
  <c r="BI43" i="8"/>
  <c r="BI44" i="8"/>
  <c r="BI45" i="8"/>
  <c r="BI46" i="8"/>
  <c r="BI47" i="8"/>
  <c r="M36" i="8"/>
  <c r="N36" i="8"/>
  <c r="R4" i="24" l="1" a="1"/>
  <c r="R4" i="24" s="1"/>
  <c r="L33" i="29"/>
  <c r="G32" i="29"/>
  <c r="E4" i="29"/>
  <c r="B32" i="29"/>
  <c r="E5" i="29"/>
  <c r="B33" i="29"/>
  <c r="F10" i="29"/>
  <c r="I8" i="29"/>
  <c r="I26" i="29"/>
  <c r="B11" i="29"/>
  <c r="G10" i="29"/>
  <c r="L10" i="29"/>
  <c r="L37" i="29"/>
  <c r="K14" i="29"/>
  <c r="Q4" i="24" a="1"/>
  <c r="Q4" i="24" s="1"/>
  <c r="K23" i="29"/>
  <c r="M23" i="29" s="1"/>
  <c r="N4" i="24" a="1"/>
  <c r="N4" i="24" s="1"/>
  <c r="G23" i="29"/>
  <c r="L4" i="24" a="1"/>
  <c r="L4" i="24" s="1"/>
  <c r="H5" i="29"/>
  <c r="M4" i="24" a="1"/>
  <c r="M4" i="24" s="1"/>
  <c r="H14" i="29"/>
  <c r="O4" i="24" a="1"/>
  <c r="O4" i="24" s="1"/>
  <c r="BA38" i="8"/>
  <c r="BA40" i="8" s="1"/>
  <c r="AM38" i="8"/>
  <c r="AM24" i="8"/>
  <c r="AN37" i="8" s="1"/>
  <c r="E93" i="27"/>
  <c r="BA24" i="8"/>
  <c r="BA26" i="8" s="1"/>
  <c r="E99" i="27"/>
  <c r="E78" i="27"/>
  <c r="H73" i="27" s="1"/>
  <c r="AV21" i="8"/>
  <c r="E73" i="27"/>
  <c r="H71" i="27" s="1"/>
  <c r="AY24" i="8"/>
  <c r="AY26" i="8" s="1"/>
  <c r="AK24" i="8"/>
  <c r="AL23" i="8" s="1"/>
  <c r="E97" i="27"/>
  <c r="AU38" i="8"/>
  <c r="AU40" i="8" s="1"/>
  <c r="AR24" i="8"/>
  <c r="AR26" i="8" s="1"/>
  <c r="AV20" i="8"/>
  <c r="AV34" i="8"/>
  <c r="J29" i="29"/>
  <c r="E95" i="27"/>
  <c r="H72" i="27"/>
  <c r="AS24" i="8"/>
  <c r="AS26" i="8" s="1"/>
  <c r="AZ24" i="8"/>
  <c r="AZ26" i="8" s="1"/>
  <c r="AR38" i="8"/>
  <c r="AR40" i="8" s="1"/>
  <c r="AT38" i="8"/>
  <c r="AT40" i="8" s="1"/>
  <c r="AK38" i="8"/>
  <c r="BC34" i="8"/>
  <c r="AT24" i="8"/>
  <c r="AT26" i="8" s="1"/>
  <c r="BC19" i="8"/>
  <c r="AV23" i="8"/>
  <c r="C83" i="27"/>
  <c r="AU24" i="8"/>
  <c r="AU26" i="8" s="1"/>
  <c r="AZ38" i="8"/>
  <c r="AZ40" i="8" s="1"/>
  <c r="BC33" i="8"/>
  <c r="AQ38" i="8"/>
  <c r="AQ40" i="8" s="1"/>
  <c r="BC20" i="8"/>
  <c r="B100" i="27"/>
  <c r="AS38" i="8"/>
  <c r="AS40" i="8" s="1"/>
  <c r="E88" i="27"/>
  <c r="AQ24" i="8"/>
  <c r="AQ26" i="8" s="1"/>
  <c r="BB24" i="8"/>
  <c r="BB26" i="8" s="1"/>
  <c r="E94" i="27"/>
  <c r="J20" i="29"/>
  <c r="L29" i="29"/>
  <c r="AY38" i="8"/>
  <c r="AY40" i="8" s="1"/>
  <c r="AV33" i="8"/>
  <c r="BB38" i="8"/>
  <c r="BB40" i="8" s="1"/>
  <c r="K29" i="29"/>
  <c r="B83" i="27"/>
  <c r="E80" i="27"/>
  <c r="H74" i="27" s="1"/>
  <c r="C100" i="27"/>
  <c r="E98" i="27"/>
  <c r="D100" i="27"/>
  <c r="AV19" i="8"/>
  <c r="E96" i="27"/>
  <c r="L19" i="29"/>
  <c r="L20" i="29"/>
  <c r="L11" i="29"/>
  <c r="J11" i="29"/>
  <c r="N4" i="8"/>
  <c r="L5" i="8"/>
  <c r="R5" i="8"/>
  <c r="N3" i="8"/>
  <c r="H3" i="24"/>
  <c r="K10" i="29"/>
  <c r="K11" i="29"/>
  <c r="K19" i="29"/>
  <c r="B28" i="29"/>
  <c r="B29" i="29"/>
  <c r="F28" i="29"/>
  <c r="F29" i="29"/>
  <c r="C28" i="29"/>
  <c r="C29" i="29"/>
  <c r="H29" i="29"/>
  <c r="D29" i="29"/>
  <c r="B19" i="29"/>
  <c r="B20" i="29"/>
  <c r="F19" i="29"/>
  <c r="F20" i="29"/>
  <c r="G19" i="29"/>
  <c r="G20" i="29"/>
  <c r="C20" i="29"/>
  <c r="D20" i="29"/>
  <c r="C10" i="29"/>
  <c r="C11" i="29"/>
  <c r="F11" i="29"/>
  <c r="G11" i="29"/>
  <c r="D11" i="29"/>
  <c r="B10" i="29"/>
  <c r="BC21" i="8"/>
  <c r="BC22" i="8"/>
  <c r="BC23" i="8"/>
  <c r="H5" i="8"/>
  <c r="E13" i="27"/>
  <c r="E14" i="27"/>
  <c r="D15" i="27"/>
  <c r="E3" i="27"/>
  <c r="E12" i="27"/>
  <c r="E11" i="27"/>
  <c r="E10" i="27"/>
  <c r="N4" i="27"/>
  <c r="C15" i="27"/>
  <c r="N11" i="27"/>
  <c r="N5" i="27"/>
  <c r="L3" i="27"/>
  <c r="L12" i="27"/>
  <c r="L11" i="27"/>
  <c r="E92" i="27"/>
  <c r="G92" i="27"/>
  <c r="E91" i="27"/>
  <c r="G91" i="27"/>
  <c r="E90" i="27"/>
  <c r="G90" i="27"/>
  <c r="E89" i="27"/>
  <c r="G89" i="27"/>
  <c r="F3" i="8"/>
  <c r="H54" i="27"/>
  <c r="E24" i="27"/>
  <c r="B32" i="27"/>
  <c r="E25" i="27"/>
  <c r="E22" i="27"/>
  <c r="E28" i="27"/>
  <c r="E31" i="27"/>
  <c r="E6" i="27"/>
  <c r="K5" i="8"/>
  <c r="E8" i="27"/>
  <c r="J4" i="8"/>
  <c r="F4" i="8"/>
  <c r="E5" i="27"/>
  <c r="E20" i="27"/>
  <c r="E29" i="27"/>
  <c r="E26" i="27"/>
  <c r="E23" i="27"/>
  <c r="E30" i="27"/>
  <c r="E27" i="27"/>
  <c r="E7" i="27"/>
  <c r="E4" i="27"/>
  <c r="C32" i="27"/>
  <c r="B15" i="27"/>
  <c r="E9" i="27"/>
  <c r="H38" i="27"/>
  <c r="G5" i="8"/>
  <c r="E21" i="27"/>
  <c r="J3" i="8"/>
  <c r="I5" i="8"/>
  <c r="D32" i="27"/>
  <c r="D5" i="8"/>
  <c r="E5" i="8"/>
  <c r="B10" i="8"/>
  <c r="BC35" i="8"/>
  <c r="BC36" i="8"/>
  <c r="BC37" i="8"/>
  <c r="AV35" i="8"/>
  <c r="AV36" i="8"/>
  <c r="AV37" i="8"/>
  <c r="AL37" i="8"/>
  <c r="AN34" i="8"/>
  <c r="AN35" i="8"/>
  <c r="AN36" i="8"/>
  <c r="AN23" i="8"/>
  <c r="AN22" i="8"/>
  <c r="AN19" i="8"/>
  <c r="B3" i="8" l="1"/>
  <c r="M11" i="29"/>
  <c r="M29" i="29"/>
  <c r="I5" i="29"/>
  <c r="G33" i="29"/>
  <c r="G37" i="29" s="1"/>
  <c r="K20" i="29"/>
  <c r="M20" i="29" s="1"/>
  <c r="M14" i="29"/>
  <c r="H20" i="29"/>
  <c r="I20" i="29" s="1"/>
  <c r="I14" i="29"/>
  <c r="G29" i="29"/>
  <c r="I29" i="29" s="1"/>
  <c r="I23" i="29"/>
  <c r="E20" i="29"/>
  <c r="E29" i="29"/>
  <c r="E11" i="29"/>
  <c r="AN20" i="8"/>
  <c r="AN33" i="8"/>
  <c r="AN21" i="8"/>
  <c r="AL33" i="8"/>
  <c r="B37" i="29"/>
  <c r="H11" i="29"/>
  <c r="I11" i="29" s="1"/>
  <c r="N3" i="27"/>
  <c r="N5" i="8"/>
  <c r="O88" i="27"/>
  <c r="AL20" i="8"/>
  <c r="AL35" i="8"/>
  <c r="AL34" i="8"/>
  <c r="O91" i="27"/>
  <c r="AL36" i="8"/>
  <c r="AL19" i="8"/>
  <c r="AL22" i="8"/>
  <c r="AL21" i="8"/>
  <c r="E100" i="27"/>
  <c r="O89" i="27"/>
  <c r="AV24" i="8"/>
  <c r="AV38" i="8"/>
  <c r="N10" i="27"/>
  <c r="O90" i="27"/>
  <c r="BC38" i="8"/>
  <c r="BC40" i="8" s="1"/>
  <c r="E83" i="27"/>
  <c r="BC24" i="8"/>
  <c r="BC26" i="8" s="1"/>
  <c r="H6" i="27"/>
  <c r="H21" i="27"/>
  <c r="H5" i="27"/>
  <c r="J5" i="8"/>
  <c r="H4" i="27"/>
  <c r="H23" i="27"/>
  <c r="H3" i="27"/>
  <c r="F5" i="8"/>
  <c r="E32" i="27"/>
  <c r="B4" i="8"/>
  <c r="H20" i="27"/>
  <c r="E15" i="27"/>
  <c r="H22" i="27"/>
  <c r="H37" i="27"/>
  <c r="B5" i="8" l="1"/>
  <c r="AT1" i="3"/>
  <c r="AU1" i="3"/>
  <c r="AV1" i="3"/>
  <c r="AW1" i="3"/>
  <c r="AX1" i="3"/>
  <c r="AY1" i="3"/>
  <c r="AZ1" i="3"/>
  <c r="BA1" i="3"/>
  <c r="BB1" i="3"/>
  <c r="BC1" i="3"/>
  <c r="BD1" i="3"/>
  <c r="BE1" i="3"/>
  <c r="BF1" i="3"/>
  <c r="BG1" i="3"/>
  <c r="BH1" i="3"/>
  <c r="BI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tc={64BF6F3B-4A77-47EC-BFB9-A7BA19993EBF}</author>
    <author>tc={D3FD0C23-551D-407A-9F90-3FB4CEE8F29D}</author>
    <author>tc={2AFA0A08-2E35-4EFE-8D7D-1C6E85F4B948}</author>
    <author>Fernanda Duran</author>
    <author>tc={426257ED-E381-4574-9C06-5F31CE59E1E5}</author>
    <author>tc={6095F2E9-0F4E-4894-AB0F-078B850BD970}</author>
    <author>tc={506938D7-E0BF-40EF-9D90-1FB75D6933F3}</author>
    <author>tc={7BA266E1-B912-41C3-88D8-26DAD6480172}</author>
  </authors>
  <commentList>
    <comment ref="AL2" authorId="0" shapeId="0" xr:uid="{64BF6F3B-4A77-47EC-BFB9-A7BA19993EBF}">
      <text>
        <t xml:space="preserve">[Threaded comment]
Your version of Excel allows you to read this threaded comment; however, any edits to it will get removed if the file is opened in a newer version of Excel. Learn more: https://go.microsoft.com/fwlink/?linkid=870924
Comment:
    Rellenar bien la industria
</t>
      </text>
    </comment>
    <comment ref="AV3" authorId="1" shapeId="0" xr:uid="{D3FD0C23-551D-407A-9F90-3FB4CEE8F29D}">
      <text>
        <t>[Threaded comment]
Your version of Excel allows you to read this threaded comment; however, any edits to it will get removed if the file is opened in a newer version of Excel. Learn more: https://go.microsoft.com/fwlink/?linkid=870924
Comment:
    Definir número de usuarios y precio por usuario
Reply:
    Se le vendió app de supervisor</t>
      </text>
    </comment>
    <comment ref="AW3" authorId="2" shapeId="0" xr:uid="{2AFA0A08-2E35-4EFE-8D7D-1C6E85F4B948}">
      <text>
        <t>[Threaded comment]
Your version of Excel allows you to read this threaded comment; however, any edits to it will get removed if the file is opened in a newer version of Excel. Learn more: https://go.microsoft.com/fwlink/?linkid=870924
Comment:
    @Dafne De La Rosa crear deal y dejar vinculo</t>
      </text>
    </comment>
    <comment ref="AU10" authorId="3" shapeId="0" xr:uid="{04AEDBD4-D414-4F84-A740-C22126401BAE}">
      <text>
        <r>
          <rPr>
            <sz val="11"/>
            <color theme="1"/>
            <rFont val="Aptos Narrow"/>
            <family val="2"/>
            <scheme val="minor"/>
          </rPr>
          <t xml:space="preserve">Fernanda Duran:
Integración con Compaq
</t>
        </r>
      </text>
    </comment>
    <comment ref="AY11" authorId="3" shapeId="0" xr:uid="{6CAEE0AE-9FF8-48D3-AF81-37A2CCE128F0}">
      <text>
        <r>
          <rPr>
            <sz val="11"/>
            <color theme="1"/>
            <rFont val="Aptos Narrow"/>
            <family val="2"/>
            <scheme val="minor"/>
          </rPr>
          <t>Fernanda Duran:
Ver si upsell justifica habilitarles el reporte por ahora y se cobre a futuro</t>
        </r>
      </text>
    </comment>
    <comment ref="Y64" authorId="3" shapeId="0" xr:uid="{5C9BDA3A-48A4-4F9C-A5B6-FD448A1F5A3F}">
      <text>
        <r>
          <rPr>
            <sz val="11"/>
            <color theme="1"/>
            <rFont val="Aptos Narrow"/>
            <family val="2"/>
            <scheme val="minor"/>
          </rPr>
          <t xml:space="preserve">Fernanda Duran:
Responde a descuento de 50% por falla masiva en el cambio de horario de marzo. Siguiente mes se factura normal
</t>
        </r>
      </text>
    </comment>
    <comment ref="F158" authorId="3" shapeId="0" xr:uid="{937270A1-6571-4731-9794-78B54D7B5884}">
      <text>
        <r>
          <rPr>
            <sz val="11"/>
            <color theme="1"/>
            <rFont val="Aptos Narrow"/>
            <family val="2"/>
            <scheme val="minor"/>
          </rPr>
          <t xml:space="preserve">Fernanda Duran:
Revisar esta cuenta porque puede tener mucho potencial
</t>
        </r>
      </text>
    </comment>
    <comment ref="F469" authorId="4" shapeId="0" xr:uid="{426257ED-E381-4574-9C06-5F31CE59E1E5}">
      <text>
        <t>[Threaded comment]
Your version of Excel allows you to read this threaded comment; however, any edits to it will get removed if the file is opened in a newer version of Excel. Learn more: https://go.microsoft.com/fwlink/?linkid=870924
Comment:
    No están usando el servicio, no quieren pagar facturas adeudadas, se está buscando reunión con ellos para entender sus problemas</t>
      </text>
    </comment>
    <comment ref="W472" authorId="5" shapeId="0" xr:uid="{6095F2E9-0F4E-4894-AB0F-078B850BD970}">
      <text>
        <t xml:space="preserve">[Threaded comment]
Your version of Excel allows you to read this threaded comment; however, any edits to it will get removed if the file is opened in a newer version of Excel. Learn more: https://go.microsoft.com/fwlink/?linkid=870924
Comment:
    Aprox, se vio factura del partner y se traspasó con valor dolar de 17.52
</t>
      </text>
    </comment>
    <comment ref="F474" authorId="6" shapeId="0" xr:uid="{506938D7-E0BF-40EF-9D90-1FB75D6933F3}">
      <text>
        <t>[Threaded comment]
Your version of Excel allows you to read this threaded comment; however, any edits to it will get removed if the file is opened in a newer version of Excel. Learn more: https://go.microsoft.com/fwlink/?linkid=870924
Comment:
    Pidió no facturar, se factura a público general</t>
      </text>
    </comment>
    <comment ref="W496" authorId="7" shapeId="0" xr:uid="{7BA266E1-B912-41C3-88D8-26DAD6480172}">
      <text>
        <t xml:space="preserve">[Threaded comment]
Your version of Excel allows you to read this threaded comment; however, any edits to it will get removed if the file is opened in a newer version of Excel. Learn more: https://go.microsoft.com/fwlink/?linkid=870924
Comment:
    Aprox, se vio factura del partner y se traspasó con valor dolar de 17.52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Fernanda Duran</author>
    <author>tc={67821185-3044-4376-843E-A72DA72DA6C2}</author>
  </authors>
  <commentList>
    <comment ref="P2" authorId="0" shapeId="0" xr:uid="{D34E2408-CABD-4038-A80F-3E297773BB59}">
      <text>
        <r>
          <rPr>
            <sz val="11"/>
            <color theme="1"/>
            <rFont val="Aptos Narrow"/>
            <family val="2"/>
            <scheme val="minor"/>
          </rPr>
          <t xml:space="preserve">Fernanda Duran:
1540 MXN a favor, 88 USD
</t>
        </r>
      </text>
    </comment>
    <comment ref="S2" authorId="0" shapeId="0" xr:uid="{74997CE3-0757-4603-B67E-468D9AD5C19A}">
      <text>
        <r>
          <rPr>
            <sz val="11"/>
            <color theme="1"/>
            <rFont val="Aptos Narrow"/>
            <family val="2"/>
            <scheme val="minor"/>
          </rPr>
          <t xml:space="preserve">Fernanda Duran:
1540 MXN a favor, 88 USD
</t>
        </r>
      </text>
    </comment>
    <comment ref="J20" authorId="1" shapeId="0" xr:uid="{67821185-3044-4376-843E-A72DA72DA6C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@Karla Patiño  veo en la factura que  el up fue de 38 usuarios, debería haber nuevo up? sino por favor modifica el deal y este dato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tc={C927899D-97BC-4072-B8FD-A01BFC65C91A}</author>
    <author>tc={04CB0B38-A8B9-4581-B672-8D20F8C0F0D4}</author>
  </authors>
  <commentList>
    <comment ref="W2" authorId="0" shapeId="0" xr:uid="{C927899D-97BC-4072-B8FD-A01BFC65C91A}">
      <text>
        <t xml:space="preserve">[Threaded comment]
Your version of Excel allows you to read this threaded comment; however, any edits to it will get removed if the file is opened in a newer version of Excel. Learn more: https://go.microsoft.com/fwlink/?linkid=870924
Comment:
    Rellenar bien la industria
</t>
      </text>
    </comment>
    <comment ref="P9" authorId="1" shapeId="0" xr:uid="{04CB0B38-A8B9-4581-B672-8D20F8C0F0D4}">
      <text>
        <t>[Threaded comment]
Your version of Excel allows you to read this threaded comment; however, any edits to it will get removed if the file is opened in a newer version of Excel. Learn more: https://go.microsoft.com/fwlink/?linkid=870924
Comment:
    Este fue fuga de hace 1 año aprox, ahora se enviaron facturas que se tenían pendientes de hace mucho rato</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<sst xmlns="http://schemas.openxmlformats.org/spreadsheetml/2006/main" count="13059" uniqueCount="3744">
  <si>
    <t>F</t>
  </si>
  <si>
    <t>ID Geo</t>
  </si>
  <si>
    <t>RFC</t>
  </si>
  <si>
    <t>Facturación actual USD</t>
  </si>
  <si>
    <t>Cross</t>
  </si>
  <si>
    <t>KAM</t>
  </si>
  <si>
    <t>CLIENTE</t>
  </si>
  <si>
    <t>Grupo</t>
  </si>
  <si>
    <t>Facturación Total</t>
  </si>
  <si>
    <t>Cartera</t>
  </si>
  <si>
    <t>Facturado por partner</t>
  </si>
  <si>
    <t>Enganche otro</t>
  </si>
  <si>
    <t>Zoho</t>
  </si>
  <si>
    <t>Cuadrante (MARE + Retener)</t>
  </si>
  <si>
    <t>Comentario</t>
  </si>
  <si>
    <t>Nombre</t>
  </si>
  <si>
    <t>Teléfono</t>
  </si>
  <si>
    <t>Correo</t>
  </si>
  <si>
    <t>GeoCoffee</t>
  </si>
  <si>
    <t>Tag</t>
  </si>
  <si>
    <t>Implementando?</t>
  </si>
  <si>
    <t>Rubro zoho</t>
  </si>
  <si>
    <t>Enero</t>
  </si>
  <si>
    <t>Febrero</t>
  </si>
  <si>
    <t>Marzo</t>
  </si>
  <si>
    <t>Abril</t>
  </si>
  <si>
    <t>Mayo</t>
  </si>
  <si>
    <t>Junio</t>
  </si>
  <si>
    <t>Julio</t>
  </si>
  <si>
    <t>Agosto</t>
  </si>
  <si>
    <t>Septiembre</t>
  </si>
  <si>
    <t>Usuarios activos</t>
  </si>
  <si>
    <t>Usuarios potenciales (Claude)</t>
  </si>
  <si>
    <t>Estado</t>
  </si>
  <si>
    <t>Estado Claude</t>
  </si>
  <si>
    <t>Rubro Claude</t>
  </si>
  <si>
    <t>Descripción breve de la empresa y a que se dedica</t>
  </si>
  <si>
    <t>Rubro</t>
  </si>
  <si>
    <t>Primera factura</t>
  </si>
  <si>
    <t>Escala comunicación</t>
  </si>
  <si>
    <t>Periodicidad</t>
  </si>
  <si>
    <t>Operación actual cliente con GV</t>
  </si>
  <si>
    <t>Acción especifica</t>
  </si>
  <si>
    <t>Sistema de Nómina</t>
  </si>
  <si>
    <t>Nos usa para pagar nómina?</t>
  </si>
  <si>
    <t>Alertas</t>
  </si>
  <si>
    <t>Integración (VC)</t>
  </si>
  <si>
    <t>Permisos y vacaciones</t>
  </si>
  <si>
    <t xml:space="preserve">Planif. Inteligente </t>
  </si>
  <si>
    <t>BI</t>
  </si>
  <si>
    <t>RAM</t>
  </si>
  <si>
    <t>Acceso</t>
  </si>
  <si>
    <t>Comedor</t>
  </si>
  <si>
    <t>VictorIA</t>
  </si>
  <si>
    <t>Optimizador Turnos</t>
  </si>
  <si>
    <t>Marcaje WPP</t>
  </si>
  <si>
    <t>WF Cambio de turno</t>
  </si>
  <si>
    <t>Plan Pro</t>
  </si>
  <si>
    <t>Plan Enterprise</t>
  </si>
  <si>
    <t>Formularios</t>
  </si>
  <si>
    <t>Upselling</t>
  </si>
  <si>
    <t>Suma Ops</t>
  </si>
  <si>
    <t>Arrienda equipos?</t>
  </si>
  <si>
    <t>Puntaje Cross</t>
  </si>
  <si>
    <t>Riesgo</t>
  </si>
  <si>
    <t>Referido/Referencia</t>
  </si>
  <si>
    <t>MEDIO DE GESTIÓN</t>
  </si>
  <si>
    <t>Orden</t>
  </si>
  <si>
    <t xml:space="preserve">MEDIO DE CONTACTO </t>
  </si>
  <si>
    <t># Productos OK</t>
  </si>
  <si>
    <t># Productos OP</t>
  </si>
  <si>
    <t>29157-37879-36085-37826-36099-38471</t>
  </si>
  <si>
    <t>CCO210827216</t>
  </si>
  <si>
    <t>Dafne de la Rosa</t>
  </si>
  <si>
    <t>J&amp;T EXPRESS CONEJO CORRIENDO</t>
  </si>
  <si>
    <t xml:space="preserve">CONEJO CORRIENDO </t>
  </si>
  <si>
    <t>ENTERPRISE</t>
  </si>
  <si>
    <t>Expandir</t>
  </si>
  <si>
    <t>Angel</t>
  </si>
  <si>
    <t>5615572088</t>
  </si>
  <si>
    <t>angel.olvera@jtexpress.mx</t>
  </si>
  <si>
    <t>Invitado</t>
  </si>
  <si>
    <t>-</t>
  </si>
  <si>
    <t>CDMX</t>
  </si>
  <si>
    <t>Logística</t>
  </si>
  <si>
    <t>Empresa de mensajería y logística de última milla, parte del grupo internacional J&amp;T Express, con operaciones en toda la República Mexicana.</t>
  </si>
  <si>
    <t>Logistica</t>
  </si>
  <si>
    <t>Sicoss</t>
  </si>
  <si>
    <t>SI</t>
  </si>
  <si>
    <t>NO</t>
  </si>
  <si>
    <t>CON 7 REGIONES CORREO DAFN</t>
  </si>
  <si>
    <t>Correo y Llamada</t>
  </si>
  <si>
    <t>SPI180316RR7</t>
  </si>
  <si>
    <t>Raúl Campos</t>
  </si>
  <si>
    <t>SYD PROYECTOS INTEGRALES (Antromex)</t>
  </si>
  <si>
    <t>ANTROMEX</t>
  </si>
  <si>
    <t>Mantener</t>
  </si>
  <si>
    <t>Marlen Serafin Marlen Serafin</t>
  </si>
  <si>
    <t>+523112565488</t>
  </si>
  <si>
    <t>rhantromexgdl@gmail.com</t>
  </si>
  <si>
    <t>Jalisco</t>
  </si>
  <si>
    <t>Construcción</t>
  </si>
  <si>
    <t>Empresa constructora con sede en Zapopan, Jalisco, especializada en proyectos integrales de construcción e infraestructura para clientes industriales y corporativos.</t>
  </si>
  <si>
    <t> </t>
  </si>
  <si>
    <t>2. Videollamada</t>
  </si>
  <si>
    <t>Semanal</t>
  </si>
  <si>
    <t>SIR110727BB4</t>
  </si>
  <si>
    <t>SERVICIOS INTEGRALES RAMPER(SIRAMPER)</t>
  </si>
  <si>
    <t>Sandy</t>
  </si>
  <si>
    <t>5212231138687</t>
  </si>
  <si>
    <t>lopez3664@gmail.com</t>
  </si>
  <si>
    <t>No están en CDMX</t>
  </si>
  <si>
    <t>Puebla</t>
  </si>
  <si>
    <t>Outsourcing</t>
  </si>
  <si>
    <t>Empresa de outsourcing de servicios de limpieza industrial, conserjería, jardinería y control de plagas, con presencia en 12 estados de México.</t>
  </si>
  <si>
    <t>Contpaqi</t>
  </si>
  <si>
    <t>DLO1006168N3</t>
  </si>
  <si>
    <t>DICKA LOGISTICS</t>
  </si>
  <si>
    <t>TEK240710P99</t>
  </si>
  <si>
    <t>TECNO ESPECIALIZADOS KIURT</t>
  </si>
  <si>
    <t>Tecnología</t>
  </si>
  <si>
    <t>Empresa de tecnología y servicios especializados en soluciones de control de acceso y asistencia, opera como partner de implementación tecnológica.</t>
  </si>
  <si>
    <t>IPG970717QU9</t>
  </si>
  <si>
    <t>ABSORMEX CMPC TISSUE</t>
  </si>
  <si>
    <t>SOFTYS</t>
  </si>
  <si>
    <t>FDP</t>
  </si>
  <si>
    <t>Jessica</t>
  </si>
  <si>
    <t>5534151683</t>
  </si>
  <si>
    <t>jessica.romero@softys.com</t>
  </si>
  <si>
    <t>Nuevo León</t>
  </si>
  <si>
    <t>Manufactura</t>
  </si>
  <si>
    <t>Fabricante mexicano de productos higiénicos como papel tissue, pañales y artículos de incontinencia bajo el grupo CMPC, con plantas en García NL, Altamira Tamps y Cuautitlán EDOMEX.</t>
  </si>
  <si>
    <t>Diario</t>
  </si>
  <si>
    <t>OK(032026)</t>
  </si>
  <si>
    <t>Ambos</t>
  </si>
  <si>
    <t>GJU880623116</t>
  </si>
  <si>
    <t>GRUPO JULIO</t>
  </si>
  <si>
    <t>JULIO</t>
  </si>
  <si>
    <t>Eduardo</t>
  </si>
  <si>
    <t>7751341466</t>
  </si>
  <si>
    <t>eduardo_delrioo@proymoda.com</t>
  </si>
  <si>
    <t>Ver si invitamos, fue al evento anterior</t>
  </si>
  <si>
    <t>17. Retail Enterprise</t>
  </si>
  <si>
    <t>Retail</t>
  </si>
  <si>
    <t>Cadena mexicana de moda femenina con más de 40 años, con 107 tiendas propias y presencia en corners de Palacio de Hierro y Liverpool a nivel nacional y en Colombia.</t>
  </si>
  <si>
    <t>SIT890317V85</t>
  </si>
  <si>
    <t>SISTEMAS INTEGRALES PARA EL TRANSPORTE(SINTRA)</t>
  </si>
  <si>
    <t>Joanna</t>
  </si>
  <si>
    <t>5574683122</t>
  </si>
  <si>
    <t>joanna.ruiz@sintra.com.mx</t>
  </si>
  <si>
    <t>Transporte</t>
  </si>
  <si>
    <t>Empresa fundada en 1989 especializada en consultoría, ingeniería y mantenimiento de sistemas de transporte masivo (metro, tren ligero) en México y Latinoamérica.</t>
  </si>
  <si>
    <t>4. Whatsapp</t>
  </si>
  <si>
    <t>SAP</t>
  </si>
  <si>
    <t>SAT170927Q91</t>
  </si>
  <si>
    <t>SERVICIOS ADMINISTRATIVOS TRANSFORMANDO LA EDUCACION DE MEXICO(Innova Schools)</t>
  </si>
  <si>
    <t>Cliente nos comenta que la baja de marcas se debe al periodo vacacional de abril</t>
  </si>
  <si>
    <t>Jadiel</t>
  </si>
  <si>
    <t>7714167383</t>
  </si>
  <si>
    <t>jadiel.ake@innovaschools.edu.mx</t>
  </si>
  <si>
    <t>Registrado</t>
  </si>
  <si>
    <t>Educación</t>
  </si>
  <si>
    <t>Red de colegios privados Innova Schools en México, con propuesta educativa innovadora orientada a habilidades del siglo XXI.</t>
  </si>
  <si>
    <t>Sirve para nómina como relaciones laborales</t>
  </si>
  <si>
    <t>Compaq</t>
  </si>
  <si>
    <t>OOM960429832</t>
  </si>
  <si>
    <t>OPERADORA OMX</t>
  </si>
  <si>
    <t>Alcanzar</t>
  </si>
  <si>
    <t>Jasiel</t>
  </si>
  <si>
    <t>1111111111</t>
  </si>
  <si>
    <t>shantal.reyes@officemax.com.mx</t>
  </si>
  <si>
    <t>Invitar</t>
  </si>
  <si>
    <t>Razón social de OfficeMax México, cadena de 93 tiendas especializadas en artículos de oficina, papelería, tecnología y servicios de impresión.</t>
  </si>
  <si>
    <t>OP (Q3)</t>
  </si>
  <si>
    <t>OK (negociación inicial)</t>
  </si>
  <si>
    <t>PIM810710R32</t>
  </si>
  <si>
    <t>PRODUCTOS INTERNACIONALES MABE</t>
  </si>
  <si>
    <t>Empresa del Grupo SOFTYS (CMPC), fabricante y distribuidora de productos de consumo masivo para el hogar a nivel nacional e internacional.</t>
  </si>
  <si>
    <t>OK(092025)</t>
  </si>
  <si>
    <t>OP</t>
  </si>
  <si>
    <t>VAL110809NA0</t>
  </si>
  <si>
    <t xml:space="preserve">VALKIPRO </t>
  </si>
  <si>
    <t>COPERVA</t>
  </si>
  <si>
    <t xml:space="preserve">Seguimiento a requerimiento solicitado de SI. Fecha de entrega 07 de julio. </t>
  </si>
  <si>
    <t>Alejandro</t>
  </si>
  <si>
    <t>5560455654</t>
  </si>
  <si>
    <t>avalencia@coperva.com</t>
  </si>
  <si>
    <t>Empresa de outsourcing especializada en servicios de call center y cobranza, opera bajo la marca Coperva atendiendo a instituciones financieras.</t>
  </si>
  <si>
    <t xml:space="preserve">Call Center Cobranza </t>
  </si>
  <si>
    <t>OK(022026)</t>
  </si>
  <si>
    <t>OK(112025)</t>
  </si>
  <si>
    <t xml:space="preserve">cobrar        a base datos </t>
  </si>
  <si>
    <t>Llamada</t>
  </si>
  <si>
    <t>LAP9408085S6</t>
  </si>
  <si>
    <t>LAPI</t>
  </si>
  <si>
    <t>Presupuesto anual ir mapeando oportunidad para tenerla lista al final del Q3
Sesión semana del 25 de mayo, se está consiguiendo reu</t>
  </si>
  <si>
    <t>5631826460</t>
  </si>
  <si>
    <t>alejandro.martinez@grupolapi.com.mx</t>
  </si>
  <si>
    <t>15. Planta Productiva</t>
  </si>
  <si>
    <t>Salud</t>
  </si>
  <si>
    <t>Laboratorio médico mexicano con más de 30 años de experiencia, ofrece análisis clínicos, estudios de gabinete e imagenología para empresas e instituciones públicas y privadas.</t>
  </si>
  <si>
    <t>GFS230216MD6</t>
  </si>
  <si>
    <t>GRUPO FERROCARRILERO DEL SURESTE</t>
  </si>
  <si>
    <t>GFS</t>
  </si>
  <si>
    <t>Reu viernes 9am</t>
  </si>
  <si>
    <t>Adriana</t>
  </si>
  <si>
    <t>adrianatomas08@gmail.com</t>
  </si>
  <si>
    <t>No en CDMX</t>
  </si>
  <si>
    <t>Mapeada en junio, julio, agosto</t>
  </si>
  <si>
    <t>3. Construcción</t>
  </si>
  <si>
    <t>Chiapas</t>
  </si>
  <si>
    <t>Empresa constructora regional enfocada en obras de infraestructura y proyectos de ingeniería civil en el sureste de México.</t>
  </si>
  <si>
    <t>OP (550, puede ser perdido)</t>
  </si>
  <si>
    <t>COBRAR A ISAAC</t>
  </si>
  <si>
    <t>TFV220408B62</t>
  </si>
  <si>
    <t>TAKE FLIGHT VENTURES</t>
  </si>
  <si>
    <t>BIRDMAN</t>
  </si>
  <si>
    <t xml:space="preserve">Brinda seguimiento. </t>
  </si>
  <si>
    <t>Cristo Rodriguez</t>
  </si>
  <si>
    <t>c.rodriguez@vidabirdman.com</t>
  </si>
  <si>
    <t>Mapeada en agosto</t>
  </si>
  <si>
    <t xml:space="preserve">Jalisco </t>
  </si>
  <si>
    <t>Agrícola</t>
  </si>
  <si>
    <t>Empresa de agricultura tecnificada e innovación agropecuaria con operaciones en Jalisco, enfocada en sistemas de cultivo y producción de alimentos.</t>
  </si>
  <si>
    <t>Planta Productiva</t>
  </si>
  <si>
    <t>OK(062025)</t>
  </si>
  <si>
    <t>cobro sofia envió correodaf team</t>
  </si>
  <si>
    <t xml:space="preserve">Correo </t>
  </si>
  <si>
    <t>EMS970314UZ7</t>
  </si>
  <si>
    <t>EULEN DE SEGURIDAD PRIVADA SA DE CV</t>
  </si>
  <si>
    <t>EULEN</t>
  </si>
  <si>
    <t>Juan Carlos Espinoza</t>
  </si>
  <si>
    <t>jcespinoza@eulen.com</t>
  </si>
  <si>
    <t>12. Outsourcing Seguridad</t>
  </si>
  <si>
    <t>Seguridad Privada</t>
  </si>
  <si>
    <t>Empresa española EULEN con operaciones en México, proveedora de servicios de seguridad privada, vigilancia y protección para corporativos e industria.</t>
  </si>
  <si>
    <t>1. Reuniones presenciales</t>
  </si>
  <si>
    <t>OP (Q4)</t>
  </si>
  <si>
    <t>ASU961217L85</t>
  </si>
  <si>
    <t>AFORE SURA</t>
  </si>
  <si>
    <t>María</t>
  </si>
  <si>
    <t>5533971794</t>
  </si>
  <si>
    <t>maria.gudino@suramexico.com</t>
  </si>
  <si>
    <t>IDI910119FX2</t>
  </si>
  <si>
    <t>IMPULSORA DE DESARROLLO INTEGRAL (Idinsa)</t>
  </si>
  <si>
    <t>IDINSA</t>
  </si>
  <si>
    <t xml:space="preserve">Seguimiento a  proyecto terminado Tlalpan </t>
  </si>
  <si>
    <t>Benjamin</t>
  </si>
  <si>
    <t>5546087437</t>
  </si>
  <si>
    <t>bmondragon@grupoidinsa.com</t>
  </si>
  <si>
    <t>Empresa constructora e inmobiliaria (IDINSA) con operaciones en CDMX, especializada en desarrollo de proyectos de infraestructura y edificación.</t>
  </si>
  <si>
    <t>OK (Q2)</t>
  </si>
  <si>
    <t xml:space="preserve">COBRAR A EDGAR </t>
  </si>
  <si>
    <t>FME870213IRA</t>
  </si>
  <si>
    <t>FRUEHAUF DE MEXICO</t>
  </si>
  <si>
    <t>Miriam Vega Vega granados</t>
  </si>
  <si>
    <t>+525512482560</t>
  </si>
  <si>
    <t>mvega@fruehauf.mx</t>
  </si>
  <si>
    <t>Estado de México</t>
  </si>
  <si>
    <t>Líder en fabricación de remolques y semirremolques en México con más de 100 años de historia, con planta en Coacalco EDOMEX. Parte del Grupo Fultra.</t>
  </si>
  <si>
    <t>OP (hacer demo)</t>
  </si>
  <si>
    <t>OP (Q3-SAP)</t>
  </si>
  <si>
    <t>NO- usan SAP</t>
  </si>
  <si>
    <t>FME140425HBA</t>
  </si>
  <si>
    <t>FLEX-TEC MEXICO</t>
  </si>
  <si>
    <t>Aún no hay reunión</t>
  </si>
  <si>
    <t>Arturo benjamín Gomez olivo</t>
  </si>
  <si>
    <t>+528287683234</t>
  </si>
  <si>
    <t>kary_benjamin@hotmail.com</t>
  </si>
  <si>
    <t>Empresa manufacturera especializada en fabricación de mangueras, ductos y componentes flexibles para uso industrial y automotriz.</t>
  </si>
  <si>
    <t>TDS240110H51</t>
  </si>
  <si>
    <t>TDSYSTEM</t>
  </si>
  <si>
    <t xml:space="preserve">Es normal pero por renuencia con algunos centros. Pero con lo de la reforma esta situación debe de ir mejorando.
Pagan $17 por usuario, pagaron mucho mucho tiempo hasta los 1000 usuarios a pesar de que tenían menos.
</t>
  </si>
  <si>
    <t>Christian</t>
  </si>
  <si>
    <t>5559677516</t>
  </si>
  <si>
    <t>christian_soad@hotmail.com</t>
  </si>
  <si>
    <t>T-Systems México, filial de Deutsche Telekom, proveedora de servicios de tecnología de la información, cloud computing, seguridad y SAP para grandes empresas.</t>
  </si>
  <si>
    <t>Generar plan atractivo, han visto varios módulos pero no concretan</t>
  </si>
  <si>
    <t>FRU1410043E6</t>
  </si>
  <si>
    <t>FRUNATURAL</t>
  </si>
  <si>
    <t>No tienen autorizado presupuesto.</t>
  </si>
  <si>
    <t>Paulo</t>
  </si>
  <si>
    <t>3321541149</t>
  </si>
  <si>
    <t>recursoshumanos@frunatural.com</t>
  </si>
  <si>
    <t>Mapeada en junio</t>
  </si>
  <si>
    <t>22. Turismo, Hotelería y Gastronomía</t>
  </si>
  <si>
    <t>Empresa productora y comercializadora de frutas y verduras procesadas, jugos y productos naturales con operaciones en Jalisco.</t>
  </si>
  <si>
    <t xml:space="preserve">Produccion </t>
  </si>
  <si>
    <t>NO - turnos fijos</t>
  </si>
  <si>
    <t>cobro daniela inf en otra base de dat</t>
  </si>
  <si>
    <t>Correo y Whats</t>
  </si>
  <si>
    <t>DCM000125IY6</t>
  </si>
  <si>
    <t>DESPEGAR.COM MEXICO (Bestday)</t>
  </si>
  <si>
    <t>Matias</t>
  </si>
  <si>
    <t>9981364214</t>
  </si>
  <si>
    <t>matias.corso@despegar.com</t>
  </si>
  <si>
    <t>Referido best day invitado</t>
  </si>
  <si>
    <t>Turismo y Gastronomía</t>
  </si>
  <si>
    <t>Filial mexicana de Despegar.com, la principal agencia de viajes online de Latinoamérica, comercializa vuelos, hoteles y paquetes turísticos.</t>
  </si>
  <si>
    <t>OK(062026)</t>
  </si>
  <si>
    <t>OK</t>
  </si>
  <si>
    <t>AJE010718ET5</t>
  </si>
  <si>
    <t>AJEMEX</t>
  </si>
  <si>
    <t>Brigham Lopez</t>
  </si>
  <si>
    <t>brigham.lopez@ajemexconsultores.mx</t>
  </si>
  <si>
    <t>Filial mexicana del Grupo AJE, fabricante y distribuidora de bebidas como Big Cola, con planta en Huejotzingo Puebla y distribución nacional.</t>
  </si>
  <si>
    <t>OK (Q1)</t>
  </si>
  <si>
    <t>OP (Q2)</t>
  </si>
  <si>
    <t>UEE200721NC6</t>
  </si>
  <si>
    <t>UNIVERSIDAD DE EXCELENCIA EDUCATIVA MEXICO (UEEM)</t>
  </si>
  <si>
    <t>UEEM</t>
  </si>
  <si>
    <t>Areli</t>
  </si>
  <si>
    <t>5555555555</t>
  </si>
  <si>
    <t>coordrecursoshumanos@institutoueem.edu.mx</t>
  </si>
  <si>
    <t>No pueden ir</t>
  </si>
  <si>
    <t>7. Educación</t>
  </si>
  <si>
    <t>en implementación dar seguiento</t>
  </si>
  <si>
    <t>Pendiente</t>
  </si>
  <si>
    <t>PQM140212C74</t>
  </si>
  <si>
    <t>PROVEEDORA DE QUIMICOS Y MEDICAMENTOS CARE LAB (DAROVI)</t>
  </si>
  <si>
    <t>DAROVI</t>
  </si>
  <si>
    <t>Op mapeada</t>
  </si>
  <si>
    <t>Ruth Ines Loredo leon</t>
  </si>
  <si>
    <t>+525513333636</t>
  </si>
  <si>
    <t>ruth.loredo@farmacosdarovi.com.mx</t>
  </si>
  <si>
    <t>Empresa del grupo DAROVI proveedora de químicos, reactivos y medicamentos para el sector salud e industria farmacéutica en México.</t>
  </si>
  <si>
    <t>Retomar contacto, admin no contesta mucho. A ella se le puede ofrecer permisos y vacaciones</t>
  </si>
  <si>
    <t>GTC1701097U7</t>
  </si>
  <si>
    <t>GTC TERMO CONTROL</t>
  </si>
  <si>
    <t>GTC</t>
  </si>
  <si>
    <t xml:space="preserve">Se busca el horario disponible para la demos con SICOSS.*
</t>
  </si>
  <si>
    <t>Aremi</t>
  </si>
  <si>
    <t>5218123504160</t>
  </si>
  <si>
    <t>nominas@gtc.com.mx</t>
  </si>
  <si>
    <t>Empresa especializada en sistemas de impermeabilización, aislamiento térmico y control de temperatura para proyectos de construcción industrial y comercial.</t>
  </si>
  <si>
    <t>OP (Q3 - Op con Tada o Sicoss, eligiendo ERP)</t>
  </si>
  <si>
    <t>NO - turnos sin mucha rotación</t>
  </si>
  <si>
    <t>OK(102025)</t>
  </si>
  <si>
    <t>en base de datos</t>
  </si>
  <si>
    <t>GEA130523698</t>
  </si>
  <si>
    <t>GRUPO EMPRESARIAL ARAN (Prestamo Yes)</t>
  </si>
  <si>
    <t>Janeth</t>
  </si>
  <si>
    <t>8120108953</t>
  </si>
  <si>
    <t>administradorrh@prestamosyes.com</t>
  </si>
  <si>
    <t>5. Consultoria</t>
  </si>
  <si>
    <t>Banca y Finanzas</t>
  </si>
  <si>
    <t>Grupo financiero que opera el producto Préstamo Yes, plataforma de préstamos personales y microcréditos para personas y pequeñas empresas en México.</t>
  </si>
  <si>
    <t>Banco y Finanzas</t>
  </si>
  <si>
    <t>EULEN MEXICO DE SERVICIOS SA DE CV</t>
  </si>
  <si>
    <t>Filial mexicana del Grupo EULEN España, proveedora de servicios de limpieza, mantenimiento y facility management para grandes corporativos.</t>
  </si>
  <si>
    <t>ASC951228IM0</t>
  </si>
  <si>
    <t>ALMACENADORA SUR SA DE CV ORGANIZACION AUXILIAR DEL CREDITO</t>
  </si>
  <si>
    <t>David</t>
  </si>
  <si>
    <t>5619964263</t>
  </si>
  <si>
    <t>david.rocha@alsur.com.mx</t>
  </si>
  <si>
    <t>Organización auxiliar del crédito dedicada a servicios de almacenamiento, certificación de inventarios y financiamiento sobre mercancías en depósito.</t>
  </si>
  <si>
    <t xml:space="preserve">implementación dar seguimiento </t>
  </si>
  <si>
    <t>SHN571001I66</t>
  </si>
  <si>
    <t>SCHETTINO</t>
  </si>
  <si>
    <t>Varios</t>
  </si>
  <si>
    <t>lespinoza@schettino.com.mx
marina.la.0891@gmail.com
mlujan@schettino.com.mx
josecarmelomendez_@hotmail.com
nominas@mexicanadearroz.com.mx
denniel.sevilla@gmail.com</t>
  </si>
  <si>
    <t>Grupo alimentario mexicano productor de arroz, salsas y alimentos procesados, con distribución nacional a través de múltiples marcas y plantas de producción.</t>
  </si>
  <si>
    <t>OK ($0)</t>
  </si>
  <si>
    <t>OCM050331BC9</t>
  </si>
  <si>
    <t>CONCESIONARIA MEXIQUENSE</t>
  </si>
  <si>
    <t>ALEATICA</t>
  </si>
  <si>
    <t>Tienen Formas de Pago y Personalizaciones</t>
  </si>
  <si>
    <t>Monica</t>
  </si>
  <si>
    <t>5560790550</t>
  </si>
  <si>
    <t>monica.espino@aleatica.com</t>
  </si>
  <si>
    <t>i</t>
  </si>
  <si>
    <t>Empresa concesionaria del Grupo Aleatica que opera la autopista Circuito Exterior Mexiquense, red vial de peaje en el Estado de México.</t>
  </si>
  <si>
    <t>PLQ9002286Q6</t>
  </si>
  <si>
    <t>PRODUCTOS LACTEOS LA QUINTA</t>
  </si>
  <si>
    <t xml:space="preserve">Solicito un equipo mas. </t>
  </si>
  <si>
    <t>Victor daniel Alvarado reyes</t>
  </si>
  <si>
    <t>+524423919373</t>
  </si>
  <si>
    <t>valvarado@lacteoslaquinta.com.mx</t>
  </si>
  <si>
    <t>Queretaro</t>
  </si>
  <si>
    <t>Querétaro</t>
  </si>
  <si>
    <t>Empresa productora de lácteos como leche, quesos y derivados en Querétaro, con distribución regional en el Bajío y zona centro de México.</t>
  </si>
  <si>
    <t>OK(092024)</t>
  </si>
  <si>
    <t>victor albarado</t>
  </si>
  <si>
    <t>TER060227LR4</t>
  </si>
  <si>
    <t>TRANSPORTES ESPECIALIZADOS RUGA</t>
  </si>
  <si>
    <t>Fernanda</t>
  </si>
  <si>
    <t>+52 1 55 4186 6494</t>
  </si>
  <si>
    <t>16. Logistica</t>
  </si>
  <si>
    <t>GSO060706CM5</t>
  </si>
  <si>
    <t>GLORY GLOBAL SOLUTIONS MEXICO</t>
  </si>
  <si>
    <t xml:space="preserve">Se tiene reunion con la TI aignada el 23 de junio para validar reunion con cliente. </t>
  </si>
  <si>
    <t>Aída Adsali Rojas Sánchez</t>
  </si>
  <si>
    <t>+525627178422</t>
  </si>
  <si>
    <t>aida.rojas@mx.glory-global.com</t>
  </si>
  <si>
    <t>20. Servicios</t>
  </si>
  <si>
    <t>Filial mexicana de Glory Global Solutions, empresa japonesa especializada en soluciones de automatización para manejo de efectivo, cajas registradoras y equipos bancarios.</t>
  </si>
  <si>
    <t>Servicios</t>
  </si>
  <si>
    <t>OP (ERP)</t>
  </si>
  <si>
    <t>OK(052025)</t>
  </si>
  <si>
    <t xml:space="preserve">base de datos </t>
  </si>
  <si>
    <t>correo mensaje</t>
  </si>
  <si>
    <t>ACM040107U93</t>
  </si>
  <si>
    <t>ALIMENTOS CENTRALIZADOS DE MEXICO (AxionLog)</t>
  </si>
  <si>
    <t>Se está cerrando anualidad, si incluyen los modulos dentro, aplicar dcto</t>
  </si>
  <si>
    <t>JIMEN SABRINA SABRINA MIJALOVICH</t>
  </si>
  <si>
    <t>+525550915700</t>
  </si>
  <si>
    <t>jimena.mijalovich@axionlog.com</t>
  </si>
  <si>
    <t>Empresa dedicada a la producción y distribución centralizada de alimentos procesados y preparados para el sector institucional y de consumo masivo.</t>
  </si>
  <si>
    <t>OK(032025)</t>
  </si>
  <si>
    <t>CRM191212EV3</t>
  </si>
  <si>
    <t>CORPORACION DE RESTAURANTES MAXIMUS</t>
  </si>
  <si>
    <t xml:space="preserve">El contacto es más con la persona de sistemas. </t>
  </si>
  <si>
    <t>Arturo</t>
  </si>
  <si>
    <t>it@grupomaximus.com.mx</t>
  </si>
  <si>
    <t>Corporativo restaurantero que opera múltiples marcas y conceptos de gastronomía en México, con presencia en centros comerciales y zonas comerciales del país.</t>
  </si>
  <si>
    <t>BAC920106U98</t>
  </si>
  <si>
    <t>BIODIST (DICIPA)</t>
  </si>
  <si>
    <t>Karla</t>
  </si>
  <si>
    <t>5550932000</t>
  </si>
  <si>
    <t>samantha.macias@dicipa.com.mx</t>
  </si>
  <si>
    <t>Distribuidora farmacéutica del grupo DICIPA, especializada en distribución de medicamentos y productos biotecnológicos para el sector salud.</t>
  </si>
  <si>
    <t>CTS160922QLA</t>
  </si>
  <si>
    <t>CORPORATE TRAVEL SERVICES WORLDWIDE (Altour)</t>
  </si>
  <si>
    <t>Viridiana</t>
  </si>
  <si>
    <t>5546354050</t>
  </si>
  <si>
    <t>VVILLA@ALTOUR.MX</t>
  </si>
  <si>
    <t>Agencia de viajes corporativos (Altour) especializada en gestión de viajes de negocios, reservaciones y logística de eventos para empresas.</t>
  </si>
  <si>
    <t>OP(Q3)</t>
  </si>
  <si>
    <t>Y5459737101</t>
  </si>
  <si>
    <t>LATAM LOGISTICS (TOUS)</t>
  </si>
  <si>
    <t>TOUS</t>
  </si>
  <si>
    <t>Reu lunes 7</t>
  </si>
  <si>
    <t>Enmanuelle</t>
  </si>
  <si>
    <t>5215651211275</t>
  </si>
  <si>
    <t>elopezr@tous.com</t>
  </si>
  <si>
    <t>Empresa de logística y distribución que opera la cadena de suministro para marcas como TOUS en México, con servicios de almacenaje y última milla.</t>
  </si>
  <si>
    <t xml:space="preserve">Retail </t>
  </si>
  <si>
    <t>base de datos</t>
  </si>
  <si>
    <t>HUGA6603043Y5</t>
  </si>
  <si>
    <t>Karla Patiño</t>
  </si>
  <si>
    <t>ANTONIO HUERTA GARZA (Comex)</t>
  </si>
  <si>
    <t>Hannia</t>
  </si>
  <si>
    <t>2321189646</t>
  </si>
  <si>
    <t>hanniaricano@icloud.com</t>
  </si>
  <si>
    <t>Durango</t>
  </si>
  <si>
    <t>Persona física o empresa familiar relacionada con la distribución y comercialización de materiales y productos en la región de Durango, posiblemente vinculada al sector de materiales para construcción.</t>
  </si>
  <si>
    <t>GCM920629960</t>
  </si>
  <si>
    <t>GRUPO CONVERSE DE MEXICO</t>
  </si>
  <si>
    <t>Kimberly</t>
  </si>
  <si>
    <t>5615932702</t>
  </si>
  <si>
    <t>kimberly.arizmendi@converse.com.mx</t>
  </si>
  <si>
    <t>Operadora de la marca Converse en México, gestiona tiendas de calzado y accesorios deportivos en los principales centros comerciales del país.</t>
  </si>
  <si>
    <t>DGF920601FY6</t>
  </si>
  <si>
    <t>DHL GLOBAL FORWARDING (MEXICO)</t>
  </si>
  <si>
    <t>Asignar a Dafne</t>
  </si>
  <si>
    <t>Miguel</t>
  </si>
  <si>
    <t>5543397940</t>
  </si>
  <si>
    <t>miguel.castillo2@dhl.com</t>
  </si>
  <si>
    <t>CCO990211T64</t>
  </si>
  <si>
    <t>CINCO CONTEMPORANEA</t>
  </si>
  <si>
    <t>Sofia</t>
  </si>
  <si>
    <t>3331373186</t>
  </si>
  <si>
    <t>nominas@constructoracinco.com</t>
  </si>
  <si>
    <t>Grupo restaurantero mexicano con concepto de cocina contemporánea, opera varios restaurantes y bares de alta cocina en la Ciudad de México.</t>
  </si>
  <si>
    <t>Buscar integración con buk</t>
  </si>
  <si>
    <t>FPF170810F72</t>
  </si>
  <si>
    <t xml:space="preserve">FLORES Y PLANTAS LA FINCA </t>
  </si>
  <si>
    <t>(BODEGA DE FLORES)</t>
  </si>
  <si>
    <t xml:space="preserve">UP 2 Tiendas y Vacaciones </t>
  </si>
  <si>
    <t>7221299948</t>
  </si>
  <si>
    <t>fyfcomprasvillaguerrero@hotmail.com</t>
  </si>
  <si>
    <t>Mapeada en junio, julio</t>
  </si>
  <si>
    <t xml:space="preserve">Nuevo Leon </t>
  </si>
  <si>
    <t>Empresa productora y comercializadora de flores, plantas ornamentales y productos agrícolas, con producción en Nuevo León y distribución nacional.</t>
  </si>
  <si>
    <t>Agrícola / Retail</t>
  </si>
  <si>
    <t>angel mismo aquí</t>
  </si>
  <si>
    <t>EPM811006HH2</t>
  </si>
  <si>
    <t>NEWREST CATERING MEXICO</t>
  </si>
  <si>
    <t>Brhayan</t>
  </si>
  <si>
    <t>5532636024</t>
  </si>
  <si>
    <t>brhayan.frieven@newrest.eu</t>
  </si>
  <si>
    <t>Ver si están en CDMX</t>
  </si>
  <si>
    <t>Filial mexicana de Newrest, empresa multinacional francesa de catering y restauración colectiva para aerolíneas, industria y colectividades.</t>
  </si>
  <si>
    <t>Outsourcing General</t>
  </si>
  <si>
    <t>5. Mail</t>
  </si>
  <si>
    <t>CGR020208GD6</t>
  </si>
  <si>
    <t>IDEAL AUTOMOTIVE MEXICO</t>
  </si>
  <si>
    <t>Raul Garcia</t>
  </si>
  <si>
    <t>rgvraul@hotmail.com</t>
  </si>
  <si>
    <t>FME080110D68</t>
  </si>
  <si>
    <t>FORSAC MEXICO</t>
  </si>
  <si>
    <t>Cristian</t>
  </si>
  <si>
    <t>3332182170</t>
  </si>
  <si>
    <t>tercero.cristian.villamil@cmpc.com</t>
  </si>
  <si>
    <t>Empresa del grupo CMPC fabricante de sacos de papel kraft y empaques industriales para la industria del cemento, alimentos y química.</t>
  </si>
  <si>
    <t>IPI041105GZ5</t>
  </si>
  <si>
    <t>INTER PLAS INDUSTRIES (IPISA)</t>
  </si>
  <si>
    <t>IPISA</t>
  </si>
  <si>
    <t>Piloto geocoffee</t>
  </si>
  <si>
    <t>Karem</t>
  </si>
  <si>
    <t>7222431970</t>
  </si>
  <si>
    <t>gerencia.rh@ipisa.ws</t>
  </si>
  <si>
    <t>TTR841228A39</t>
  </si>
  <si>
    <t>TIENDAS TROPICALES (Cinco Soles)</t>
  </si>
  <si>
    <t>Ivan</t>
  </si>
  <si>
    <t>3333333333</t>
  </si>
  <si>
    <t>amir@loscincosoles.com</t>
  </si>
  <si>
    <t>Guerrero</t>
  </si>
  <si>
    <t>Cadena de supermercados regionales Cinco Soles con operaciones en el estado de Guerrero y zona del Pacífico sur de México.</t>
  </si>
  <si>
    <t>TQM8612184N3</t>
  </si>
  <si>
    <t>Puratos de México SA de CV</t>
  </si>
  <si>
    <t>MIRIAM LETICIA TORRES CHILLON</t>
  </si>
  <si>
    <t>7757849823</t>
  </si>
  <si>
    <t>mtorreschillon@puratos.com</t>
  </si>
  <si>
    <t>Hidalgo</t>
  </si>
  <si>
    <t>Empresa belga con operaciones en Tizayuca, Hidalgo; produce y comercializa materias primas para la industria de panadería, pastelería y chocolatería en más de 100 países.</t>
  </si>
  <si>
    <t>DJU890724BU0</t>
  </si>
  <si>
    <t>DISTRIBUIDORA JUGUETRON</t>
  </si>
  <si>
    <t>Tiene personalizacion de reporte de nomina BUK. Conseguir documentación con Olga</t>
  </si>
  <si>
    <t>Irma</t>
  </si>
  <si>
    <t>5564846416</t>
  </si>
  <si>
    <t>ipalencia@juguetron.mx</t>
  </si>
  <si>
    <t>Cadena mexicana de tiendas de juguetes con presencia en los principales centros comerciales del país, distribuidora oficial de marcas internacionales.</t>
  </si>
  <si>
    <t>CSI161207HK1</t>
  </si>
  <si>
    <t xml:space="preserve">CEPADEMRH SERVICIOS INTEGRALES (LUMO FINANCIERA) </t>
  </si>
  <si>
    <t>Retener</t>
  </si>
  <si>
    <t xml:space="preserve">Estamos en espera de la respuesta de diferencias entre las bajas de usuarios para tener reunion con el cliente. </t>
  </si>
  <si>
    <t>Emmanuel Jimenez Jimenez ramirez</t>
  </si>
  <si>
    <t>+521112223355</t>
  </si>
  <si>
    <t>emmanueljimenez@lumofc.com</t>
  </si>
  <si>
    <t>Empresa de outsourcing de recursos humanos y nómina (LUMO Financiera), especializada en administración de personal y servicios de RRHH para empresas.</t>
  </si>
  <si>
    <t>BUK (sin asistencia)</t>
  </si>
  <si>
    <t>SI, no integrado</t>
  </si>
  <si>
    <t>OP (Personalizada con Buk, permisos parciales y RAM)</t>
  </si>
  <si>
    <t>NO - buk</t>
  </si>
  <si>
    <t>NO - interno</t>
  </si>
  <si>
    <t>OP (Costo $0)</t>
  </si>
  <si>
    <t>ramirez mismo aquí</t>
  </si>
  <si>
    <t>NMM0608281R3</t>
  </si>
  <si>
    <t>NETAFIM MANUFACTURING MEXICO</t>
  </si>
  <si>
    <t>NETAFIM</t>
  </si>
  <si>
    <t>ALEJANDRA ESCOBEDO ESCOBEDO CRUZ</t>
  </si>
  <si>
    <t>+528991601534</t>
  </si>
  <si>
    <t>alejandra.escobedo@netafim.orbia.com</t>
  </si>
  <si>
    <t>Planta manufacturera de Netafim en México, fabricante israelí líder en sistemas de riego por goteo y soluciones de fertirrigación para el sector agrícola.</t>
  </si>
  <si>
    <t>OK(Q3)</t>
  </si>
  <si>
    <t>IME910214GD1</t>
  </si>
  <si>
    <t>ENTIA DE MEXICO</t>
  </si>
  <si>
    <t>ILSE LARA CADO</t>
  </si>
  <si>
    <t>+525542353118</t>
  </si>
  <si>
    <t>ilara@entiamx.com</t>
  </si>
  <si>
    <t>GKA081001HL5</t>
  </si>
  <si>
    <t>GRUPO KARUNA</t>
  </si>
  <si>
    <t>Reu pendiente con Azucena</t>
  </si>
  <si>
    <t>Gabriela Muñoz Muñoz</t>
  </si>
  <si>
    <t>5214461399288</t>
  </si>
  <si>
    <t>gmg@gka.mx</t>
  </si>
  <si>
    <t>Otros</t>
  </si>
  <si>
    <t>Grupo empresarial con laboratorios farmacéuticos y clínicos, especializado en producción y comercialización de medicamentos y servicios de salud.</t>
  </si>
  <si>
    <t xml:space="preserve">Laboratorios </t>
  </si>
  <si>
    <t>HER800206R92</t>
  </si>
  <si>
    <t>HERMOS</t>
  </si>
  <si>
    <t>SMB</t>
  </si>
  <si>
    <t>Karen Rodriguez / Cesar Hernandez</t>
  </si>
  <si>
    <t>4612807722 / +524611091119</t>
  </si>
  <si>
    <t>akrodriguez@hermos.com / cahernandez@hermos.com.mx</t>
  </si>
  <si>
    <t>Empresa de servicios con sede en México, posiblemente orientada a gestión comercial, consultoría o soluciones operativas para clientes empresariales.</t>
  </si>
  <si>
    <t xml:space="preserve"> </t>
  </si>
  <si>
    <t>CEN180307897</t>
  </si>
  <si>
    <t>COMETA ENERGIA (SAAVI)</t>
  </si>
  <si>
    <t xml:space="preserve">Solicitar baja de BI EN FACTURACION DE JULIO </t>
  </si>
  <si>
    <t>ARTURO POSADAS DIAZ</t>
  </si>
  <si>
    <t>5544997784</t>
  </si>
  <si>
    <t>ARTURO.POSADAS@SAAVIENERGIA.COM</t>
  </si>
  <si>
    <t>Energía</t>
  </si>
  <si>
    <t>Empresa del grupo SAAVI comercializadora de energía eléctrica y gas natural, con soluciones de suministro energético para clientes industriales y comerciales.</t>
  </si>
  <si>
    <t xml:space="preserve">Olantas de Energia </t>
  </si>
  <si>
    <t>MANUAL</t>
  </si>
  <si>
    <t>OP (SICOS)</t>
  </si>
  <si>
    <t>NO - tuvieron problemas con BI y ya no les gusta</t>
  </si>
  <si>
    <t>PPE060105CM2</t>
  </si>
  <si>
    <t>PUNTO PEN (Penhealth)</t>
  </si>
  <si>
    <t>Sharon</t>
  </si>
  <si>
    <t>8888888888</t>
  </si>
  <si>
    <t>sharon.lopez@pen.com.mx</t>
  </si>
  <si>
    <t>19. Salud</t>
  </si>
  <si>
    <t>CEM970905VB3</t>
  </si>
  <si>
    <t>COMBUSTIBLES ECOLOGICOS MEXICANOS (VI Group)</t>
  </si>
  <si>
    <t>Dafne</t>
  </si>
  <si>
    <t>5561050446</t>
  </si>
  <si>
    <t>dafne.orozco@encognv.com</t>
  </si>
  <si>
    <t>Empresa del VI Group comercializadora de combustibles ecológicos y alternativos, con soluciones de abastecimiento de energía limpia para flotas vehiculares.</t>
  </si>
  <si>
    <t>FDA130819JI3</t>
  </si>
  <si>
    <t>FARMACOS DAROVI</t>
  </si>
  <si>
    <t>Empresa del sector salud dedicada a la distribución y comercialización de medicamentos y productos farmacéuticos para farmacias, hospitales y clínicas en México.</t>
  </si>
  <si>
    <t>NO - ya rechazaron</t>
  </si>
  <si>
    <t>OP(Visitas ,Q2)</t>
  </si>
  <si>
    <t>PFR110526BP4</t>
  </si>
  <si>
    <t>COMPAÑIA MADERERA DE CHIHUAHUA SUCESORES (HAGALO)</t>
  </si>
  <si>
    <t>6561244948</t>
  </si>
  <si>
    <t>janeth.pantoja@hagalo.com.mx</t>
  </si>
  <si>
    <t>Chihuahua</t>
  </si>
  <si>
    <t>Cadena de tiendas de autoservicio de materiales para construcción, ferretería y decoración 'Hágalo', con 9 sucursales principalmente en Ciudad Juárez y Chihuahua.</t>
  </si>
  <si>
    <t>BUK</t>
  </si>
  <si>
    <t>OP (Q3-Q4)</t>
  </si>
  <si>
    <t>OK(122025)</t>
  </si>
  <si>
    <t>DCP790511D36</t>
  </si>
  <si>
    <t>DICIPA</t>
  </si>
  <si>
    <t>Distribuidora de insumos, químicos y productos farmacéuticos para hospitales y clínicas, con cobertura nacional en el sector salud público y privado.</t>
  </si>
  <si>
    <t>OP (Q2, 600)</t>
  </si>
  <si>
    <t>OK(022025)</t>
  </si>
  <si>
    <t>GAQ0004123V3</t>
  </si>
  <si>
    <t>GRUPO AVICOLA QUIÑONES</t>
  </si>
  <si>
    <t>Solicitud JPTI? Tiene diseño de reporte, ver con Gio. Ver si se va a cobrar</t>
  </si>
  <si>
    <t>Leyver Rios / Irene Ventura Avila</t>
  </si>
  <si>
    <t>3314797527 / 3316068292</t>
  </si>
  <si>
    <t>capital.humano@gaq.com / atraccionydesarrollo@gaq.com.mx</t>
  </si>
  <si>
    <t>1. Agrícola</t>
  </si>
  <si>
    <t>Sinaloa</t>
  </si>
  <si>
    <t>Empresa avícola dedicada a la producción, procesamiento y distribución de pollo y productos derivados en el noroeste de México.</t>
  </si>
  <si>
    <t>38149-24834</t>
  </si>
  <si>
    <t>FSP071205RT6</t>
  </si>
  <si>
    <t>FIDES SEGURIDAD PRIVADA</t>
  </si>
  <si>
    <t>HEINEKEN</t>
  </si>
  <si>
    <t>Joan Pedraza Joan Pedraza</t>
  </si>
  <si>
    <t>+528110115348</t>
  </si>
  <si>
    <t>joan.pedraza@heineken.com</t>
  </si>
  <si>
    <t>Empresa de seguridad privada contratada por el grupo HEINEKEN México para la vigilancia y protección de sus instalaciones industriales.</t>
  </si>
  <si>
    <t>EAS1303221G2</t>
  </si>
  <si>
    <t>EPIC ADVENTURE SPORTS</t>
  </si>
  <si>
    <t>Empresa del Grupo Julio operadora de actividades y deportes de aventura, con instalaciones recreativas y parques de entretenimiento.</t>
  </si>
  <si>
    <t>OP (Q3, tienen permisos gratis, op en vacaciones pagados)</t>
  </si>
  <si>
    <t>FTM001025RS7</t>
  </si>
  <si>
    <t>FINOS TEXTILES DE MEXICO</t>
  </si>
  <si>
    <t>Datainvaders con la Fran</t>
  </si>
  <si>
    <t>Karla Alonso</t>
  </si>
  <si>
    <t>dinorahalonso@finotex.com</t>
  </si>
  <si>
    <t>Empresa del sector textil dedicada a la producción y comercialización de telas, tejidos y materiales textiles de calidad para la industria de la moda y confección en México.</t>
  </si>
  <si>
    <t>OK (Q22026)</t>
  </si>
  <si>
    <t>SAS230111D49</t>
  </si>
  <si>
    <t>SERVICIOS DE ADMINISTRACION EN SALUD WEE</t>
  </si>
  <si>
    <t>Hermana a WeeClaims, que ya era de Karla</t>
  </si>
  <si>
    <t>5599096846</t>
  </si>
  <si>
    <t>eduardo.perez@weemedic.com</t>
  </si>
  <si>
    <t>OK(042026)</t>
  </si>
  <si>
    <t>OP (Q2 - 137)</t>
  </si>
  <si>
    <t>SME900524FC2</t>
  </si>
  <si>
    <t>SGS DE MEXICO</t>
  </si>
  <si>
    <t>Apoyo cobranza</t>
  </si>
  <si>
    <t>JOSE JUAN GARCIA SERRANO</t>
  </si>
  <si>
    <t>+525580090757</t>
  </si>
  <si>
    <t>jose.garcias@sgs.com</t>
  </si>
  <si>
    <t>Filial mexicana de SGS, líder mundial en inspección, verificación, análisis y certificación de productos, procesos y sistemas para múltiples industrias.</t>
  </si>
  <si>
    <t>Averiguar</t>
  </si>
  <si>
    <t>NO - tuvo y canceló</t>
  </si>
  <si>
    <t>REM8810176J7</t>
  </si>
  <si>
    <t>RADIOLOGIA Y ELECTRONICA DE MEXICO (REMSA)</t>
  </si>
  <si>
    <t>Seguimiento, ver disposición a pago para ofrecer módulo muy barato o dar algo gratis. Sacar reu</t>
  </si>
  <si>
    <t>Israel López Moreno</t>
  </si>
  <si>
    <t>55482514</t>
  </si>
  <si>
    <t>sistemas@remsamexico.com</t>
  </si>
  <si>
    <t>Empresa distribuidora de equipos de electrónica, cómputo y tecnología para el mercado empresarial y al detalle en la Ciudad de México.</t>
  </si>
  <si>
    <t>Retail Enterprise</t>
  </si>
  <si>
    <t>EULEN MEXICO SA DE CV</t>
  </si>
  <si>
    <t>Invitación por parte de Tony</t>
  </si>
  <si>
    <t>Empresa del Grupo EULEN en México dedicada a servicios de outsourcing de personal, limpieza industrial y mantenimiento de instalaciones.</t>
  </si>
  <si>
    <t>ARH071204CK8</t>
  </si>
  <si>
    <t>COMERCIALIZADORA IMU</t>
  </si>
  <si>
    <t>Oscar</t>
  </si>
  <si>
    <t>5531519094</t>
  </si>
  <si>
    <t>ocampo@imu.com.mx</t>
  </si>
  <si>
    <t>Empresa manufacturera y comercializadora de productos industriales con sede en CDMX, orientada al abastecimiento de insumos para planta productiva.</t>
  </si>
  <si>
    <t>OPCEM</t>
  </si>
  <si>
    <t>Empresa del Grupo Aleatica responsable de la operación y conservación de tramos de autopistas concesionadas en el Estado de México.</t>
  </si>
  <si>
    <t>Petal / Success Factors</t>
  </si>
  <si>
    <t>IES020111TDA</t>
  </si>
  <si>
    <t>SOCIEDAD INDUSTRIAL EQUIPOS Y SERVICIOS (SIES)</t>
  </si>
  <si>
    <t>Gema</t>
  </si>
  <si>
    <t>5519481760</t>
  </si>
  <si>
    <t>iguerrero@siesmex.com.mx</t>
  </si>
  <si>
    <t>Empresa industrial dedicada al suministro de equipos y servicios especializados para el sector manufacturero, con soluciones de mantenimiento, instalación y operación de maquinaria industrial.</t>
  </si>
  <si>
    <t>NO (compró)</t>
  </si>
  <si>
    <t>CIN930226HQ0</t>
  </si>
  <si>
    <t>CINMSA</t>
  </si>
  <si>
    <t>Itzel Benito Benito hernandez</t>
  </si>
  <si>
    <t>+52555555555</t>
  </si>
  <si>
    <t>itzel.benito@cinmsa.com.mx</t>
  </si>
  <si>
    <t>EDOMEX</t>
  </si>
  <si>
    <t>Empresa constructora con sede en Estado de México especializada en obras civiles, infraestructura y proyectos de edificación industrial.</t>
  </si>
  <si>
    <t>26829-24649</t>
  </si>
  <si>
    <t>GSI091216BL8</t>
  </si>
  <si>
    <t>GRUPO SABER INTEGRARSE (Saberin)</t>
  </si>
  <si>
    <t>Paula</t>
  </si>
  <si>
    <t>5523282503</t>
  </si>
  <si>
    <t>montserrat@lfcmexico.com.mx</t>
  </si>
  <si>
    <t>Empresa de consultoría y capacitación empresarial enfocada en integración de equipos, desarrollo organizacional y formación de capital humano.</t>
  </si>
  <si>
    <t>OP (Q2-Q3, 10926)</t>
  </si>
  <si>
    <t>DIA1410035SA</t>
  </si>
  <si>
    <t>OAXX PROYECTOS (DESARROLLO INTEGRAL ADMINISTRATIVO LUAN / GRUPO IPS))</t>
  </si>
  <si>
    <t>Leslie</t>
  </si>
  <si>
    <t>528126126781</t>
  </si>
  <si>
    <t>auxiliarrh2@ipsco.com.mx</t>
  </si>
  <si>
    <t>Empresa del Grupo IPS dedicada a outsourcing administrativo y gestión integral de recursos humanos para clientes corporativos.</t>
  </si>
  <si>
    <t>CDO0402126Z1</t>
  </si>
  <si>
    <t>COMERCIALIZADORA DOMARTS</t>
  </si>
  <si>
    <t>CONVERSE</t>
  </si>
  <si>
    <t>Jose</t>
  </si>
  <si>
    <t>5579474263</t>
  </si>
  <si>
    <t>jose.weingers@converse.com.mx</t>
  </si>
  <si>
    <t>Empresa comercializadora y distribuidora de productos de consumo con operaciones en la Ciudad de México, orientada a canales de venta modernos y tradicionales.</t>
  </si>
  <si>
    <t>CAG120903M8A</t>
  </si>
  <si>
    <t>C. &amp; G. OFTALMOLOGOS (San Angel Oftalmologica)</t>
  </si>
  <si>
    <t>Ver op de alertas, ofrecer 2 meses gratis y se factura al 3°
Reunión viernes 23.
Revisar herramienta de cop</t>
  </si>
  <si>
    <t>Noe</t>
  </si>
  <si>
    <t>noefernandoocampo@gmail.com</t>
  </si>
  <si>
    <t>GDL</t>
  </si>
  <si>
    <t>Guadalajara</t>
  </si>
  <si>
    <t>Centro oftalmológico especializado en diagnóstico y tratamiento de enfermedades oculares, con sedes en la Ciudad de México.</t>
  </si>
  <si>
    <t>OP (SIGUIENTE Q)</t>
  </si>
  <si>
    <t>NMS940324RY6</t>
  </si>
  <si>
    <t>NETAFIM MEXICO SA DE CV</t>
  </si>
  <si>
    <t>Subsidiaria de Netafim, empresa israelí líder mundial en sistemas de riego por goteo y soluciones de irrigación para agricultura de precisión, con operaciones de manufactura y distribución en México.</t>
  </si>
  <si>
    <t>TJA170719450</t>
  </si>
  <si>
    <t>TRIBUNAL DE JUSTICIA ADMINISTRATIVA DEL ESTADO DE MEXICO (Gobierno del estado de mexico)</t>
  </si>
  <si>
    <t>Presupuesto anual, salir a buscarlos a inicio del Q4</t>
  </si>
  <si>
    <t>Jose Alfredo Montoya</t>
  </si>
  <si>
    <t>jose.montoya@trijaem.gob.mx</t>
  </si>
  <si>
    <t xml:space="preserve">Toluca </t>
  </si>
  <si>
    <t>Gobierno</t>
  </si>
  <si>
    <t>Órgano jurisdiccional autónomo del Estado de México encargado de resolver conflictos entre ciudadanos y la administración pública estatal y municipal.</t>
  </si>
  <si>
    <t>KLA140509S32</t>
  </si>
  <si>
    <t>KLIP LAB</t>
  </si>
  <si>
    <t>Zaira Raciel Hernandez Martinez</t>
  </si>
  <si>
    <t>5651181648</t>
  </si>
  <si>
    <t>leicar_87@hotmail.com</t>
  </si>
  <si>
    <t>Empresa de tecnología y servicios digitales con sede en CDMX, especializada en soluciones de software y plataformas para empresas.</t>
  </si>
  <si>
    <t>BRC0109073D0</t>
  </si>
  <si>
    <t>BARRADAS REFRIGERACION COMERCIAL</t>
  </si>
  <si>
    <t>Tienen modulo antiguo, quieren migrar al modulo nuevo.
Lunes 15 se haría la migración</t>
  </si>
  <si>
    <t>Rogelio</t>
  </si>
  <si>
    <t>5212282854559</t>
  </si>
  <si>
    <t>seguridadsocial@barradas.mx</t>
  </si>
  <si>
    <t>Empresa especializada en refrigeración comercial e industrial, con servicios de instalación, mantenimiento y reparación de equipos de frío.</t>
  </si>
  <si>
    <t>TME930119HR3</t>
  </si>
  <si>
    <t>TOTALENERGIES MARKETING MEXICO</t>
  </si>
  <si>
    <t>Said</t>
  </si>
  <si>
    <t>3338122300</t>
  </si>
  <si>
    <t>marisol.gutierrez@totalenergies.com</t>
  </si>
  <si>
    <t>Filial de TotalEnergies en México dedicada a la comercialización y distribución de combustibles, lubricantes y energía para el sector industrial y automotriz.</t>
  </si>
  <si>
    <t>OP ($0)</t>
  </si>
  <si>
    <t>MAR940516K16</t>
  </si>
  <si>
    <t>MEXICANA DE ARROZ</t>
  </si>
  <si>
    <t>Empresa del grupo Schettino productora y comercializadora de arroz y productos arroceros bajo diversas marcas para el mercado nacional.</t>
  </si>
  <si>
    <t>ULA751222J13</t>
  </si>
  <si>
    <t>UNIVERSIDAD LATINOAMERICANA</t>
  </si>
  <si>
    <t>Ignacio Valenzuela</t>
  </si>
  <si>
    <t>iganacio.valenzuela@utc.mx</t>
  </si>
  <si>
    <t>Universidad privada mexicana con campus en CDMX, Nuevo León y otras ciudades, con oferta educativa de licenciaturas, posgrados y educación continua.</t>
  </si>
  <si>
    <t>PJU190215RN2</t>
  </si>
  <si>
    <t>PODER JUSTO</t>
  </si>
  <si>
    <t>Karina</t>
  </si>
  <si>
    <t>5513728694</t>
  </si>
  <si>
    <t>karina.ordaz@justo.mx</t>
  </si>
  <si>
    <t>Empresa de outsourcing de nómina y gestión de personal, especializada en administración de empleados para empresas medianas y grandes.</t>
  </si>
  <si>
    <t>OK(052026)</t>
  </si>
  <si>
    <t>TLM1402276K0</t>
  </si>
  <si>
    <t>TRANSPORTACION Y LOGISTICA MALDONADO (TRANSMAL)</t>
  </si>
  <si>
    <t>Lucia</t>
  </si>
  <si>
    <t>5534961937</t>
  </si>
  <si>
    <t>lucia.labrada86@gmail.com</t>
  </si>
  <si>
    <t>Empresa de transporte y logística con flota propia para distribución de carga en la zona metropolitana del Valle de México y nacional.</t>
  </si>
  <si>
    <t>HAL161209L83</t>
  </si>
  <si>
    <t>HORIZON AUTO LOGISTICS</t>
  </si>
  <si>
    <t>HORIZON</t>
  </si>
  <si>
    <t>522291105230</t>
  </si>
  <si>
    <t>jose.navarro@horizonautologistics.com</t>
  </si>
  <si>
    <t>Empresa del grupo Horizon especializada en logística automotriz y transporte de vehículos para distribuidores y armadoras en México.</t>
  </si>
  <si>
    <t>AAS9610021I4</t>
  </si>
  <si>
    <t>ANCORA AGENTE DE SEGUROS Y DE FIANZAS</t>
  </si>
  <si>
    <t>Estephany Martinez</t>
  </si>
  <si>
    <t>efarrera@ancora.com.mx</t>
  </si>
  <si>
    <t>TBU210421JV6</t>
  </si>
  <si>
    <t>No Asignado</t>
  </si>
  <si>
    <t>TECH BUKERS (BUK)</t>
  </si>
  <si>
    <t>Plataforma SaaS chilena con operaciones en México (Tech Bukers) para gestión integral de recursos humanos, nómina, desempeño y clima laboral.</t>
  </si>
  <si>
    <t>TBO181023J20</t>
  </si>
  <si>
    <t>TEAM BACK 11</t>
  </si>
  <si>
    <t>Recuperar</t>
  </si>
  <si>
    <t>Op mapeada, seguimiento porque no hay respuesta
Desactivado por mora</t>
  </si>
  <si>
    <t>5635991773</t>
  </si>
  <si>
    <t>magdalena.lujano@teamback.com.mx</t>
  </si>
  <si>
    <t>Empresa de outsourcing especializada en transporte de material peligroso y servicios de recursos humanos: reclutamiento, selección, capacitación y administración de personal. Sede en Tultitlán, Edo. Mex.</t>
  </si>
  <si>
    <t>CEC081223FJ2</t>
  </si>
  <si>
    <t>CAFES DE ESPECIALIDAD DE CHIAPAS S.A.P.I. DE C.V. (CAFESCA)*</t>
  </si>
  <si>
    <t>PAULO LOPEZ LOPEZ ALVAREZ</t>
  </si>
  <si>
    <t>+529622203955</t>
  </si>
  <si>
    <t>paulo.lopez@cafesca.com</t>
  </si>
  <si>
    <t>Empresa productora y exportadora de café de especialidad en Chiapas, dedicada al cultivo, procesamiento y comercialización de café premium.</t>
  </si>
  <si>
    <t>Human Eland</t>
  </si>
  <si>
    <t>NO - lo tienen en human</t>
  </si>
  <si>
    <t>DUE9506226QA</t>
  </si>
  <si>
    <t>DOMUS URBANIZADORA Y EDIFICADORA</t>
  </si>
  <si>
    <t>DOMUS</t>
  </si>
  <si>
    <t xml:space="preserve">Mantener </t>
  </si>
  <si>
    <t>Brenda</t>
  </si>
  <si>
    <t>3338140325</t>
  </si>
  <si>
    <t>psic.brendalizrosasrey@gmail.com</t>
  </si>
  <si>
    <t>Empresa de desarrollo inmobiliario y edificación con sede en CDMX, especializada en proyectos residenciales, urbanizaciones y construcción de vivienda para el mercado local.</t>
  </si>
  <si>
    <t>FSN9905126S3</t>
  </si>
  <si>
    <t>FARMACIAS SIMI DEL NORTE</t>
  </si>
  <si>
    <t>Blanca</t>
  </si>
  <si>
    <t>5218711891457</t>
  </si>
  <si>
    <t>blanca@simidelnorte.com</t>
  </si>
  <si>
    <t>Tamaulipas</t>
  </si>
  <si>
    <t>Franquicia regional de Farmacias Similares (Dr. Simi) con operaciones en el norte del país, distribuidora de medicamentos genéricos a bajo costo.</t>
  </si>
  <si>
    <t>ESI180502TU8</t>
  </si>
  <si>
    <t>EB SIETE</t>
  </si>
  <si>
    <t>Asignar a Karla</t>
  </si>
  <si>
    <t>Mario</t>
  </si>
  <si>
    <t>5214776320655</t>
  </si>
  <si>
    <t>controloperativo@ebsiete.com</t>
  </si>
  <si>
    <t>Guanajuato</t>
  </si>
  <si>
    <t>Empresa constructora e inmobiliaria con operaciones en CDMX, especializada en desarrollo de proyectos habitacionales y comerciales.</t>
  </si>
  <si>
    <t>SCA210528AWA</t>
  </si>
  <si>
    <t>SINFOROSA CAFE</t>
  </si>
  <si>
    <t xml:space="preserve">Se brinda seguimiento a la nueva admisnistradora. Apertura de 3 cafeterias. </t>
  </si>
  <si>
    <t>5209600674</t>
  </si>
  <si>
    <t>mariazavala.sinforosacafe@gmail.com</t>
  </si>
  <si>
    <t>Cadena de cafeterías y restaurantes con sede en Querétaro, especializada en café de especialidad y gastronomía artesanal mexicana.</t>
  </si>
  <si>
    <t>Turismo, Hotelería y Gastronomía</t>
  </si>
  <si>
    <t>NO - lo tienen interno</t>
  </si>
  <si>
    <t>VOT030512SA3</t>
  </si>
  <si>
    <t>V O TECNOLOGIA LASER APLICADA A LA VISION</t>
  </si>
  <si>
    <t>Alan</t>
  </si>
  <si>
    <t>rhcalidad.grupovo@gmail.com</t>
  </si>
  <si>
    <t>Empresa de tecnología médica especializada en cirugía y tratamientos con láser oftalmológico, con clínicas en Guanajuato.</t>
  </si>
  <si>
    <t>Cooking Solutions SA de CV (La Nacional)</t>
  </si>
  <si>
    <t>PSW</t>
  </si>
  <si>
    <t>Doble click</t>
  </si>
  <si>
    <t>Alejandro Adrian Lopez Lara</t>
  </si>
  <si>
    <t>8181818818</t>
  </si>
  <si>
    <t>alejandro@gastronomicaholdings.mx</t>
  </si>
  <si>
    <t>HVC000703KQ6</t>
  </si>
  <si>
    <t>HIDALGO VIGUERAS CONSULTORES</t>
  </si>
  <si>
    <t>EDUARDO DE LOS SANTOS</t>
  </si>
  <si>
    <t>+525544991216</t>
  </si>
  <si>
    <t>hivicoeduardo2023@hotmail.com</t>
  </si>
  <si>
    <t>WPC250616347</t>
  </si>
  <si>
    <t>WIN PRO CAR (Refaccionaria Mendoza)</t>
  </si>
  <si>
    <t>Conseguir reu, no hay mucha op de venta pero ver módulos que fidelicen</t>
  </si>
  <si>
    <t>5538957182</t>
  </si>
  <si>
    <t>recursos01@mendoza.com.mx</t>
  </si>
  <si>
    <t>Automotriz</t>
  </si>
  <si>
    <t>Refaccionaria especializada en la venta y distribución de autopartes y refacciones para vehículos, con atención a talleres mecánicos y público en general.</t>
  </si>
  <si>
    <t>CIE930727HK4</t>
  </si>
  <si>
    <t>CONSORCIO INDUSTRIAL EDIFICA</t>
  </si>
  <si>
    <t>Marisol</t>
  </si>
  <si>
    <t>8281446475</t>
  </si>
  <si>
    <t>recursoshumanosobras@ciedifica.com</t>
  </si>
  <si>
    <t>Confirmarla al evento</t>
  </si>
  <si>
    <t>Contactar si o si y reunirse</t>
  </si>
  <si>
    <t>Consorcio de construcción con sede en CDMX, dedicado a proyectos industriales, comerciales y de infraestructura. Ofrece servicios de edificación, ingeniería y gestión de obra.</t>
  </si>
  <si>
    <t>GMO1712205T8</t>
  </si>
  <si>
    <t>GRUPO MODS</t>
  </si>
  <si>
    <t>Abigail</t>
  </si>
  <si>
    <t>529983053469</t>
  </si>
  <si>
    <t>asistenterh@macaocancun.com</t>
  </si>
  <si>
    <t>Empresa mexicana de servicios con operaciones en Ciudad de México, orientada a soluciones comerciales y de gestión para clientes del sector empresarial.</t>
  </si>
  <si>
    <t>SSO180716CI3</t>
  </si>
  <si>
    <t>SENSAI SOFTWARE</t>
  </si>
  <si>
    <t>TADA</t>
  </si>
  <si>
    <t>Lorena</t>
  </si>
  <si>
    <t>5564656625</t>
  </si>
  <si>
    <t>lorenachavez@servicioskarem.com.mx</t>
  </si>
  <si>
    <t>Empresa tecnológica con sede en México, que actúa como partner de la plataforma TADA y distribuye el software Sensai para gestión de lealtad, CRM y marketing digital para retailers.</t>
  </si>
  <si>
    <t>OP (Q2, 34)</t>
  </si>
  <si>
    <t>WSG940622JM4</t>
  </si>
  <si>
    <t>WILSON SPORTING GOODS CO DE MEXICO (Amer Sports)</t>
  </si>
  <si>
    <t>Jose alonso Barroso galindo</t>
  </si>
  <si>
    <t>+5291779135</t>
  </si>
  <si>
    <t>alonso.barroso@amersports.com</t>
  </si>
  <si>
    <t>Subsidiaria mexicana de Wilson, marca global de artículos deportivos. Comercializa equipos y accesorios para tenis, fútbol, béisbol, baloncesto y otros deportes en México.</t>
  </si>
  <si>
    <t>Nomilinea</t>
  </si>
  <si>
    <t>LME030408LS4</t>
  </si>
  <si>
    <t>LO MEJOR EN ELECTRONICA</t>
  </si>
  <si>
    <t>Leopoldo</t>
  </si>
  <si>
    <t>522223107491</t>
  </si>
  <si>
    <t>leopoldosc13@gmail.com</t>
  </si>
  <si>
    <t>Empresa de venta al menudeo de productos electrónicos con sede en CDMX, orientada a la comercialización de dispositivos, accesorios y tecnología de consumo masivo.</t>
  </si>
  <si>
    <t>TWT000511KF6</t>
  </si>
  <si>
    <t>TRANSPORTES WONG DE LA TORRE</t>
  </si>
  <si>
    <t>Ops mapeadas</t>
  </si>
  <si>
    <t>Alma</t>
  </si>
  <si>
    <t>8311159064</t>
  </si>
  <si>
    <t>alma.ramirez@twtsa.com.mx</t>
  </si>
  <si>
    <t>21. Transporte</t>
  </si>
  <si>
    <t>Empresa de transporte de carga terrestre con operaciones en México, especializada en logística y distribución de mercancías para el sector comercial e industrial.</t>
  </si>
  <si>
    <t>SRE0602021Q6</t>
  </si>
  <si>
    <t>SIERRA NORTE TRUCK CENTER</t>
  </si>
  <si>
    <t>Reu semana 5 de julio</t>
  </si>
  <si>
    <t>Yesenia</t>
  </si>
  <si>
    <t>Yesenia.gonzalez@sierranorte.mx</t>
  </si>
  <si>
    <t>18. Retail SMB</t>
  </si>
  <si>
    <t>Centro de servicio y distribución de camiones y vehículos de carga pesada en el norte de México, con especialización en mantenimiento, refacciones y ventas de unidades.</t>
  </si>
  <si>
    <t>AAR160311AL8</t>
  </si>
  <si>
    <t>ALIMENTOS AREM</t>
  </si>
  <si>
    <t>Polet</t>
  </si>
  <si>
    <t>8132707419</t>
  </si>
  <si>
    <t>polet_alejandra15@hotmail.com</t>
  </si>
  <si>
    <t>Empresa productora de alimentos procesados y snacks con sede en Nuevo León, distribuidora de productos alimenticios para el mercado nacional.</t>
  </si>
  <si>
    <t>AIN8002073EA</t>
  </si>
  <si>
    <t>ALIMENTOS INTEGRONATURALES</t>
  </si>
  <si>
    <t>Veronica de Zambrano Diaz</t>
  </si>
  <si>
    <t>+529612066822</t>
  </si>
  <si>
    <t>vzambrano@colpac.com.mx</t>
  </si>
  <si>
    <t>Empresa productora de alimentos naturales e integrales con sede en Nuevo León, especializada en productos saludables para consumo masivo.</t>
  </si>
  <si>
    <t>FLP0908145M1</t>
  </si>
  <si>
    <t>OVERHAUL RISK MANAGEMENT</t>
  </si>
  <si>
    <t>Martha Guadalupe Durazo Rodriguez</t>
  </si>
  <si>
    <t>marthaguadalupe.durazo@over-haul.com</t>
  </si>
  <si>
    <t>PRO090819GQ3</t>
  </si>
  <si>
    <t>PROTECTOGARD (LA MARE)</t>
  </si>
  <si>
    <t>5523942695</t>
  </si>
  <si>
    <t>sofia.salinas3120@gmail.com</t>
  </si>
  <si>
    <t>Empresa de seguridad privada y vigilancia corporativa que presta servicios de protección a instalaciones, empresas y eventos en la Ciudad de México y área metropolitana.</t>
  </si>
  <si>
    <t>CPS220425UI1</t>
  </si>
  <si>
    <t>ISEG MEXICO SEGURIDAD PRIVADA</t>
  </si>
  <si>
    <t>Jorge Guerrero Jorge Guerrero</t>
  </si>
  <si>
    <t>+528116056066</t>
  </si>
  <si>
    <t>Jorge.guerreo@mx.isegcorp.com</t>
  </si>
  <si>
    <t>Empresa peruana con operaciones en México dedicada a la seguridad privada, prevención de pérdidas y protección de instalaciones para el sector retail y corporativo.</t>
  </si>
  <si>
    <t>IET230619251</t>
  </si>
  <si>
    <t>INDUSTRIA ECOLOGICA TA (ECOTEX)</t>
  </si>
  <si>
    <t>Empresa mexicana enfocada en la fabricación y comercialización de productos con enfoque ecológico y sustentable, orientada a soluciones industriales y de consumo responsable.</t>
  </si>
  <si>
    <t>CMC130520F30</t>
  </si>
  <si>
    <t>COMERCIALIZADORA DE MARCAS CASMA</t>
  </si>
  <si>
    <t>Griselda</t>
  </si>
  <si>
    <t>9512605192</t>
  </si>
  <si>
    <t>grasijer@gmail.com</t>
  </si>
  <si>
    <t xml:space="preserve">Sinaloa </t>
  </si>
  <si>
    <t>Empresa comercializadora y distribuidora de marcas de consumo en Sinaloa. Dedicada a la importación y comercialización de productos de consumo masivo en el noroeste del país.</t>
  </si>
  <si>
    <t>CJA940502D68</t>
  </si>
  <si>
    <t>CONSTRUCTORA JAN</t>
  </si>
  <si>
    <t xml:space="preserve">Expandir </t>
  </si>
  <si>
    <t>Enviar correo con copia Fer</t>
  </si>
  <si>
    <t>Carlos</t>
  </si>
  <si>
    <t>862610477</t>
  </si>
  <si>
    <t>carlosms@conjan.com.mx</t>
  </si>
  <si>
    <t>Empresa constructora regional especializada en obra civil, edificación residencial y comercial, con operaciones en el área metropolitana de Monterrey.</t>
  </si>
  <si>
    <t>AIN200709AD7</t>
  </si>
  <si>
    <t>ALCORE INGENIEROS</t>
  </si>
  <si>
    <t>Alfredo</t>
  </si>
  <si>
    <t>8124207923</t>
  </si>
  <si>
    <t>amedrano@alcoreingenieros.com</t>
  </si>
  <si>
    <t>Despacho de ingeniería con sede en CDMX, especializado en diseño estructural, supervisión de obra y consultoría técnica para proyectos de construcción y obras de infraestructura.</t>
  </si>
  <si>
    <t>ACB950109JZ9</t>
  </si>
  <si>
    <t>ADMINISTRADORA DE CAJA BIENESTAR</t>
  </si>
  <si>
    <t>Josue Gerardo Barron Rangel</t>
  </si>
  <si>
    <t>+524423371132</t>
  </si>
  <si>
    <t>jbarron@ahorrosbienestar.com</t>
  </si>
  <si>
    <t>6. Banca y Finanzas</t>
  </si>
  <si>
    <t>Empresa de servicios financieros especializada en administración de cajas de ahorro y crédito para empleados, con sede en Querétaro.</t>
  </si>
  <si>
    <t>QBL620411JP5</t>
  </si>
  <si>
    <t>QUIMICA BLANTEX</t>
  </si>
  <si>
    <t>Miriam</t>
  </si>
  <si>
    <t>7222605810</t>
  </si>
  <si>
    <t>aux_rrhh@blantex.com.mx</t>
  </si>
  <si>
    <t>Empresa química fabricante y distribuidora de productos para limpieza industrial, tratamiento de aguas y procesos químicos especializados.</t>
  </si>
  <si>
    <t>NO - se abandonó en implementación</t>
  </si>
  <si>
    <t>PDA0610137A6</t>
  </si>
  <si>
    <t>PALLET DESING &amp; SUPORT DE MEXICO</t>
  </si>
  <si>
    <t>Buscar reu</t>
  </si>
  <si>
    <t>Juan Arturo Lopez Rodriguez</t>
  </si>
  <si>
    <t>+523318404892</t>
  </si>
  <si>
    <t>arturo.lopez@pds.mx</t>
  </si>
  <si>
    <t>Empresa especializada en diseño, fabricación y distribución de tarimas de madera (pallets) y soluciones de embalaje para la cadena de suministro en México.</t>
  </si>
  <si>
    <t>ADI060418D22</t>
  </si>
  <si>
    <t>ADICTT</t>
  </si>
  <si>
    <t>Empresa de servicios creativos y marketing digital con sede en CDMX, enfocada en estrategias de comunicación y publicidad para marcas nacionales e internacionales.</t>
  </si>
  <si>
    <t>CDK221129QB2</t>
  </si>
  <si>
    <t>GEISHA QUERETARO</t>
  </si>
  <si>
    <t>GEISHA</t>
  </si>
  <si>
    <t>Luis</t>
  </si>
  <si>
    <t>5215559306215</t>
  </si>
  <si>
    <t>luisroberto9765@gmail.com</t>
  </si>
  <si>
    <t>Grupo automotriz con concesionarias de marcas como Toyota, Kia y Renault en Querétaro y zonas aledañas. Venta de vehículos nuevos y seminuevos, refacciones y servicio mecánico.</t>
  </si>
  <si>
    <t>Intelisis + Sicoss</t>
  </si>
  <si>
    <t>NO (Sicoss)</t>
  </si>
  <si>
    <t>TZM1211063S9</t>
  </si>
  <si>
    <t>TRANSPORTES ZAPATA MEJIA</t>
  </si>
  <si>
    <t>Oscar Cardenas Cardenas galindo</t>
  </si>
  <si>
    <t>+525552981737</t>
  </si>
  <si>
    <t>oscarg.comercialapark@alfalen.com.mx</t>
  </si>
  <si>
    <t>Empresa de transporte de carga con sede en CDMX, especializada en distribución y logística de mercancías a nivel nacional.</t>
  </si>
  <si>
    <t>CPR21120827A</t>
  </si>
  <si>
    <t>COSMIC PRODUCT COMPANY</t>
  </si>
  <si>
    <t>Buscar admin en Geo y llamar/enviar correo</t>
  </si>
  <si>
    <t>Empresa fabricante y distribuidora de productos de consumo, con operaciones en México enfocada en el desarrollo y comercialización de artículos para el mercado masivo.</t>
  </si>
  <si>
    <t>Odoo</t>
  </si>
  <si>
    <t>SDA840612295</t>
  </si>
  <si>
    <t>SERVICIO Y DISTRIBUIDORES DE AUTOPARTES</t>
  </si>
  <si>
    <t>RICARDO GONZALEZ CASTILLO</t>
  </si>
  <si>
    <t>+525514799964</t>
  </si>
  <si>
    <t>recursoshumanos@grupoeliasmotors.com</t>
  </si>
  <si>
    <t>Empresa distribuidora de refacciones y autopartes para vehículos, con servicio a talleres mecánicos y clientes finales en la Ciudad de México.</t>
  </si>
  <si>
    <t>OIN200408RC6</t>
  </si>
  <si>
    <t>TIENDAS GMH (Operadora Internacional de Negocios Huzky S de RL de CV)</t>
  </si>
  <si>
    <t>OP (NO PARA ESTE Q)</t>
  </si>
  <si>
    <t>AME200109CP2</t>
  </si>
  <si>
    <t>ASCENTY MEXICO</t>
  </si>
  <si>
    <t>Camila</t>
  </si>
  <si>
    <t>19999571930</t>
  </si>
  <si>
    <t>camila.correa@ascenty.com</t>
  </si>
  <si>
    <t>Proveedor líder de centros de datos (data centers) en Latinoamérica con sede operativa en EDOMEX, ofrece servicios de colocation, cloud y conectividad.</t>
  </si>
  <si>
    <t>HME170801CS9</t>
  </si>
  <si>
    <t>H52 MEXICO</t>
  </si>
  <si>
    <t>Tiene integración con Buk incompleta y tienen tema con heurística</t>
  </si>
  <si>
    <t>ALFREDO MAESTRO BALVANEDA</t>
  </si>
  <si>
    <t>+523328332665</t>
  </si>
  <si>
    <t>alfredo.maestro@h52.mx</t>
  </si>
  <si>
    <t>Empresa especializada en agricultura de alta tecnología e hidroponía en Jalisco, producción de hortalizas y frutas bajo invernadero.</t>
  </si>
  <si>
    <t>CNC930315QH4</t>
  </si>
  <si>
    <t>CORTE NIBLADO Y CONFORMADO</t>
  </si>
  <si>
    <t>Enterprise</t>
  </si>
  <si>
    <t>Sara Garcia</t>
  </si>
  <si>
    <t>GEISHA K</t>
  </si>
  <si>
    <t>Empresa automotriz del Grupo Geisha Querétaro, dedicada a la venta de vehículos nuevos y usados, así como servicios de mantenimiento y posventa en el estado de Querétaro.</t>
  </si>
  <si>
    <t>LCO140722K86</t>
  </si>
  <si>
    <t>WISDOM FORWARDING, S.C. (WISDOM DIGITAL LOGISTICS)</t>
  </si>
  <si>
    <t>Jorge</t>
  </si>
  <si>
    <t>8119111138</t>
  </si>
  <si>
    <t>jorge.calvillo@wisdomfo.com</t>
  </si>
  <si>
    <t>Empresa de freight forwarding y agencia aduanal con sede en CDMX, especializada en gestión de importaciones, exportaciones y logística internacional para clientes del sector comercial.</t>
  </si>
  <si>
    <t>TFM070312IC6</t>
  </si>
  <si>
    <t>TEAM FOODS MEXICO</t>
  </si>
  <si>
    <t>Jesus</t>
  </si>
  <si>
    <t>4432420199</t>
  </si>
  <si>
    <t>jesus.romero@alianzateam.com</t>
  </si>
  <si>
    <t>Empresa del grupo colombiano Team Foods, dedicada a la producción y distribución de aceites vegetales, grasas y margarinas para el mercado de alimentos en México.</t>
  </si>
  <si>
    <t>ECL1712146Q9</t>
  </si>
  <si>
    <t>ESLABON CLINICO</t>
  </si>
  <si>
    <t>Empresa del sector salud dedicada a la prestación de servicios clínicos, diagnóstico y atención médica, con presencia en la Ciudad de México y zonas metropolitanas.</t>
  </si>
  <si>
    <t>IMU180730UM2</t>
  </si>
  <si>
    <t>IBAHUS MUNDO (Corazón de Alcachofa)</t>
  </si>
  <si>
    <t>Alejandra</t>
  </si>
  <si>
    <t>5213313636844</t>
  </si>
  <si>
    <t>alechong11@hotmail.com</t>
  </si>
  <si>
    <t>Empresa mexicana distribuidora de suplementos nutricionales y productos naturales bajo la marca Corazón de Alcachofa, orientada al bienestar y salud natural del consumidor.</t>
  </si>
  <si>
    <t>GAC1801238D2</t>
  </si>
  <si>
    <t>GROSS ARQUITECTURA Y CONSTRUCCIONES</t>
  </si>
  <si>
    <t>DUR010406FM5</t>
  </si>
  <si>
    <t>DOMUS URBANIZACIONES</t>
  </si>
  <si>
    <t>Empresa desarrolladora inmobiliaria y de urbanización dedicada a proyectos residenciales y de vivienda, con operaciones en la Ciudad de México y zonas metropolitanas.</t>
  </si>
  <si>
    <t>MPR1707281W0</t>
  </si>
  <si>
    <t>MADERKIT DE MEXICO</t>
  </si>
  <si>
    <t>Dulce</t>
  </si>
  <si>
    <t>4443321328</t>
  </si>
  <si>
    <t>dulce.marceleno@maderkit.com</t>
  </si>
  <si>
    <t>Empresa dedicada a la fabricación y comercialización de muebles en kit y productos de madera para el hogar y la oficina en el mercado mexicano.</t>
  </si>
  <si>
    <t>GRUPO AUTOPISTAS NACIONALES</t>
  </si>
  <si>
    <t>Empresa concesionaria de autopistas y carreteras en México, dedicada a la operación, mantenimiento y administración de infraestructura vial de cuota en el territorio nacional.</t>
  </si>
  <si>
    <t>EPR160503QQ3</t>
  </si>
  <si>
    <t>PINTURAS REM DE MEXICALI</t>
  </si>
  <si>
    <t>GRUPO REM / COMEX</t>
  </si>
  <si>
    <t>Mariana Morales</t>
  </si>
  <si>
    <t>moralesmariana8006@gmail.com</t>
  </si>
  <si>
    <t>Baja California</t>
  </si>
  <si>
    <t>Empresa distribuidora y comercializadora de pinturas, recubrimientos y materiales de construcción en Mexicali y zona norte de Baja California.</t>
  </si>
  <si>
    <t>PER171116IL0</t>
  </si>
  <si>
    <t>PERCHAGAR</t>
  </si>
  <si>
    <t>Recursos</t>
  </si>
  <si>
    <t>5566166771</t>
  </si>
  <si>
    <t>auxiliar@pzabogados.com</t>
  </si>
  <si>
    <t>Empresa comercializadora con sede en CDMX dedicada a la distribución de productos de consumo en canales de venta tradicionales y modernos.</t>
  </si>
  <si>
    <t>VME091007E87</t>
  </si>
  <si>
    <t>VALIANT DE MEXICO</t>
  </si>
  <si>
    <t>Diana</t>
  </si>
  <si>
    <t>4423591527</t>
  </si>
  <si>
    <t>diana.sanchez@valianttms.com</t>
  </si>
  <si>
    <t>Empresa dedicada a la fabricación y distribución de productos industriales o de consumo con operaciones en el Estado de México.</t>
  </si>
  <si>
    <t>3. Llamada telefónica</t>
  </si>
  <si>
    <t>IAM250327860</t>
  </si>
  <si>
    <t>INSTALACIONES AMBIARK</t>
  </si>
  <si>
    <t>Marilu</t>
  </si>
  <si>
    <t>5534005509</t>
  </si>
  <si>
    <t>marilu.l@grupoambiark.com.mx</t>
  </si>
  <si>
    <t>Empresa de instalaciones especializadas con sede en CDMX, dedicada a instalaciones eléctricas, hidráulicas, de climatización u obra civil para proyectos residenciales y comerciales.</t>
  </si>
  <si>
    <t>ABA960625AC7</t>
  </si>
  <si>
    <t>ARROCERA DEL BAJIO</t>
  </si>
  <si>
    <t>Empresa agroindustrial del Bajío dedicada a la producción, procesamiento y comercialización de arroz y productos derivados para el mercado nacional.</t>
  </si>
  <si>
    <t>RBE190715235</t>
  </si>
  <si>
    <t>RICARNES BEEF</t>
  </si>
  <si>
    <t>Marlene</t>
  </si>
  <si>
    <t>8182566199</t>
  </si>
  <si>
    <t>capitalhumano@beefricarnes.com</t>
  </si>
  <si>
    <t>Empresa del sector cárnico dedicada a la producción, procesamiento y distribución de carnes de res y cortes premium para restaurantes, hoteles y el mercado de consumo final en México.</t>
  </si>
  <si>
    <t>AUTOMOTRIZ GEISHA</t>
  </si>
  <si>
    <t>Concesionaria automotriz perteneciente a Grupo Geisha, enfocada en venta de vehículos, servicio mecánico y comercialización de refacciones en Querétaro.</t>
  </si>
  <si>
    <t>ACT221111IF4</t>
  </si>
  <si>
    <t>ACTIC (Master Builder)</t>
  </si>
  <si>
    <t>GAYA</t>
  </si>
  <si>
    <t>Daniela</t>
  </si>
  <si>
    <t>7299617792</t>
  </si>
  <si>
    <t>dmunoz@fixprojects.mx</t>
  </si>
  <si>
    <t>Empresa mexicana de servicios con presencia en la Ciudad de México, especializada en consultoría, capacitación o servicios técnicos para el sector empresarial.</t>
  </si>
  <si>
    <t>PRB150319NA0</t>
  </si>
  <si>
    <t>PORCO ROSSO BBQ</t>
  </si>
  <si>
    <t>Hector</t>
  </si>
  <si>
    <t>5511988289</t>
  </si>
  <si>
    <t>hcarmona@elcerroazul.com.mx</t>
  </si>
  <si>
    <t>Restaurante de cocina BBQ americano-mexicana con presencia en la Ciudad de México, especializado en carnes asadas, costillas y cocina de ahumado.</t>
  </si>
  <si>
    <t>ZGP9903155IA</t>
  </si>
  <si>
    <t>ZAPATERIA LA GRAN PLAZA</t>
  </si>
  <si>
    <t>Orlando Resendiz Resendiz Hernandez</t>
  </si>
  <si>
    <t>+524421271179</t>
  </si>
  <si>
    <t>orlando.resendiz@zapateriafratello.com</t>
  </si>
  <si>
    <t>Cadena de tiendas de calzado con presencia en Querétaro y estados del centro del país, dedicada a la comercialización de zapatos, accesorios y artículos de moda a precio competitivo.</t>
  </si>
  <si>
    <t>PPM190405D6A</t>
  </si>
  <si>
    <t>PAN DE PAN MONTERREY</t>
  </si>
  <si>
    <t>Cesar</t>
  </si>
  <si>
    <t>8181239472</t>
  </si>
  <si>
    <t>pandepanmty@gmail.com</t>
  </si>
  <si>
    <t>Empresa regiomontana dedicada a la producción y distribución de pan artesanal e industrial, con puntos de venta y distribución en Monterrey y zonas aledañas.</t>
  </si>
  <si>
    <t>EEC9911245I0</t>
  </si>
  <si>
    <t>VERTIV MEXICO</t>
  </si>
  <si>
    <t>Magali</t>
  </si>
  <si>
    <t>5585808868</t>
  </si>
  <si>
    <t>magali.mandujano@vertivco.com</t>
  </si>
  <si>
    <t>Filial mexicana de Vertiv, empresa global especializada en infraestructura crítica digital: UPS, sistemas de enfriamiento y gestión de energía para centros de datos.</t>
  </si>
  <si>
    <t>DIV131008978</t>
  </si>
  <si>
    <t>DIVYA</t>
  </si>
  <si>
    <t>Monica Lopez</t>
  </si>
  <si>
    <t>5525584138</t>
  </si>
  <si>
    <t>monica@divya.com.mx</t>
  </si>
  <si>
    <t>QAM071015Q99</t>
  </si>
  <si>
    <t>QUESERIA AMERICA</t>
  </si>
  <si>
    <t>Edgar Ontiveros</t>
  </si>
  <si>
    <t>+526251262791</t>
  </si>
  <si>
    <t>pagos@queseriaamerica.com</t>
  </si>
  <si>
    <t>Empresa mexicana dedicada a la producción y comercialización de quesos y productos lácteos artesanales e industriales para el mercado nacional.</t>
  </si>
  <si>
    <t>Retail SMB</t>
  </si>
  <si>
    <t>OK (Q3 - MTY)</t>
  </si>
  <si>
    <t>OK (Q1, 550 Monterrey+470 Jalisco) -OP (360 yucatan+X tlane 700 usuarios+Chihuahua Y usuarios)</t>
  </si>
  <si>
    <t>GNC000721CH5</t>
  </si>
  <si>
    <t>GRUPO NACIONAL COLCHONERO</t>
  </si>
  <si>
    <t>Preguntar si volvió de vacaciones Greta</t>
  </si>
  <si>
    <t>Greta</t>
  </si>
  <si>
    <t>3318078829</t>
  </si>
  <si>
    <t>gretagplascencia@gmail.com</t>
  </si>
  <si>
    <t>Empresa manufacturera dedicada a la producción y comercialización de colchones, bases y productos para el descanso a nivel nacional.</t>
  </si>
  <si>
    <t>GMA080722JYA</t>
  </si>
  <si>
    <t>GRUPO MAPUCHE</t>
  </si>
  <si>
    <t>WINLAND</t>
  </si>
  <si>
    <t>8116697719</t>
  </si>
  <si>
    <t>gabriell@playtrak.com</t>
  </si>
  <si>
    <t>Grupo empresarial mexicano con operaciones en servicios, comercialización y distribución, con presencia a nivel nacional.</t>
  </si>
  <si>
    <t>IPS130906GZ3</t>
  </si>
  <si>
    <t>INTEGRITY PROTECTION SERVICES (IPS)</t>
  </si>
  <si>
    <t>Ernesto</t>
  </si>
  <si>
    <t>5544659812</t>
  </si>
  <si>
    <t>ernesto.g@integrityps.mx</t>
  </si>
  <si>
    <t>Empresa de seguridad privada con sede en CDMX, especializada en protección de instalaciones, guardias de seguridad y servicios de vigilancia para clientes corporativos e institucionales.</t>
  </si>
  <si>
    <t>AEI240927680</t>
  </si>
  <si>
    <t>ACTIVIDADES EMPRESARIALES IRNA (GRUPO PROM)</t>
  </si>
  <si>
    <t>GRUPO PROM</t>
  </si>
  <si>
    <t>Turnos nocturnos, tickets que llegaron a tener eran nocturnos pero al dia se resolvían sin tema.
Dejan el servicio porque sus usuarios son promotores en home depot quienes tienen ahora un sistema interno.
Dan servicio a toda la república, su oficina en CDMX
Reformas</t>
  </si>
  <si>
    <t>Rodrigo</t>
  </si>
  <si>
    <t>5215527707142</t>
  </si>
  <si>
    <t>david.reyes@grupoprom.com</t>
  </si>
  <si>
    <t>Empresa de servicios empresariales perteneciente a Grupo Prom, dedicada a la gestión de actividades comerciales, administrativas y operativas para empresas en México.</t>
  </si>
  <si>
    <t>No conectado</t>
  </si>
  <si>
    <t>ING0812159J4</t>
  </si>
  <si>
    <t>INGREDITECH</t>
  </si>
  <si>
    <t>Carmen</t>
  </si>
  <si>
    <t>5527161931</t>
  </si>
  <si>
    <t>Recalcar ultimos cupos</t>
  </si>
  <si>
    <t>Empresa dedicada a la formulación y distribución de ingredientes especializados para la industria alimentaria, farmacéutica o cosmética en México.</t>
  </si>
  <si>
    <t>CONCRETOS LA SILLA</t>
  </si>
  <si>
    <t>GPM050509983</t>
  </si>
  <si>
    <t>GW PLASTICS MEXICANA</t>
  </si>
  <si>
    <t>8333382078</t>
  </si>
  <si>
    <t>oviedojessica@hotmail.com</t>
  </si>
  <si>
    <t>Subsidiaria de la empresa estadounidense GW Plastics (ahora Nolato GW), especializada en moldeo por inyección de precisión y fabricación de autopartes de plástico para la industria automotriz y médica en Querétaro.</t>
  </si>
  <si>
    <t>SNS2301115F0</t>
  </si>
  <si>
    <t>ARAN CONSTRUCCIÓN E INGENIERIA S.A DE C.V (Alves Ribeiro)</t>
  </si>
  <si>
    <t>5218110226900</t>
  </si>
  <si>
    <t>diana.jaramillo@alvesribeiro.mx</t>
  </si>
  <si>
    <t>Empresa de construcción e ingeniería, posiblemente vinculada al grupo portugués Alves Ribeiro, dedicada a proyectos de infraestructura, obra civil y construcción en México.</t>
  </si>
  <si>
    <t>USE061205JD3</t>
  </si>
  <si>
    <t>U - STORAGE SERVICIOS</t>
  </si>
  <si>
    <t>Erika</t>
  </si>
  <si>
    <t>eflores@u-storage.com.mx</t>
  </si>
  <si>
    <t>Confirmado</t>
  </si>
  <si>
    <t>Empresa proveedora de servicios de almacenamiento en bodega tipo self-storage, ofreciendo espacios de guardado flexible para personas y empresas en México.</t>
  </si>
  <si>
    <t>Solucionar la integración, sin costo por posible fuga</t>
  </si>
  <si>
    <t>OK(122024)</t>
  </si>
  <si>
    <t>VISMA ENTERPRISE SAC</t>
  </si>
  <si>
    <t>Subsidiaria del grupo noruego Visma, proveedor de soluciones de software empresarial para gestión de recursos humanos, nómina, contabilidad y administración de empresas en América Latina.</t>
  </si>
  <si>
    <t>CGM1103161A3</t>
  </si>
  <si>
    <t>CRYSTAL GREEN DE MEXICO</t>
  </si>
  <si>
    <t>9991212374</t>
  </si>
  <si>
    <t>devops@wallgrow.com</t>
  </si>
  <si>
    <t>MIC9611127P7</t>
  </si>
  <si>
    <t>MICROSAFE</t>
  </si>
  <si>
    <t>Sara</t>
  </si>
  <si>
    <t>5537177540</t>
  </si>
  <si>
    <t>scruzado@microsafe.com.mx</t>
  </si>
  <si>
    <t>ECO030618BR4</t>
  </si>
  <si>
    <t>ECOPLATING</t>
  </si>
  <si>
    <t>Ninive</t>
  </si>
  <si>
    <t>5587308906</t>
  </si>
  <si>
    <t>ninivesarai.delgado@gmail.com</t>
  </si>
  <si>
    <t>Empresa mexicana especializada en servicios de galvanoplastia y recubrimientos metálicos ecológicos para la industria manufacturera, electrónica y automotriz.</t>
  </si>
  <si>
    <t>OK (Q2 - $0)</t>
  </si>
  <si>
    <t>OP (Q2-302)</t>
  </si>
  <si>
    <t>SIE011117QZ1</t>
  </si>
  <si>
    <t>SOLUCIONES INTELIGENTES EN EMBALAJE</t>
  </si>
  <si>
    <t>Jaqueline Diaz</t>
  </si>
  <si>
    <t>+522213443205</t>
  </si>
  <si>
    <t>admin@sie.com.mx</t>
  </si>
  <si>
    <t>Mandar numero a Fer</t>
  </si>
  <si>
    <t>CONSTRUCCIONES AMOZOC PEROTE</t>
  </si>
  <si>
    <t>Empresa constructora con operaciones en Puebla, especializada en obra civil, carreteras e infraestructura. Opera en el corredor Amozoc-Perote.</t>
  </si>
  <si>
    <t>MIN060613NY6</t>
  </si>
  <si>
    <t>MINERALIA INTERNACIONAL</t>
  </si>
  <si>
    <t>2382183159</t>
  </si>
  <si>
    <t>luis.casasyz@gmail.com</t>
  </si>
  <si>
    <t>Empresa comercializadora de minerales, cristales y productos relacionados con el bienestar y la mineralogía, con distribución a nivel nacional e internacional desde CDMX.</t>
  </si>
  <si>
    <t>ARE040805LGA</t>
  </si>
  <si>
    <t>JOSE LEONARDO MIJARES MENESES (Alliance Rentals / Alliance Solutions)</t>
  </si>
  <si>
    <t>8110226151</t>
  </si>
  <si>
    <t>rh@alliancesolutions.mx</t>
  </si>
  <si>
    <t>Persona física o empresa de consultoría y asesoría empresarial bajo la marca Alliance, con operaciones en México enfocada en soluciones comerciales y de negocios.</t>
  </si>
  <si>
    <t>OMC201030L83</t>
  </si>
  <si>
    <t>OPERADORA METRIA DEL CENTRO</t>
  </si>
  <si>
    <t>Ericka</t>
  </si>
  <si>
    <t>477777777</t>
  </si>
  <si>
    <t>gwendolyneh@hotmail.com</t>
  </si>
  <si>
    <t>Operadora de servicios de hospitalidad y gastronomía con presencia en Guanajuato, dedicada a la administración de hoteles, restaurantes o espacios de eventos en el Bajío.</t>
  </si>
  <si>
    <t>CBU140905EX6</t>
  </si>
  <si>
    <t>CAPITAL BUS</t>
  </si>
  <si>
    <t>Lic.</t>
  </si>
  <si>
    <t>5215566767087</t>
  </si>
  <si>
    <t>auxiliarrh@capitalbus.com.mx</t>
  </si>
  <si>
    <t>Por confirmar</t>
  </si>
  <si>
    <t>WEE170309CZA</t>
  </si>
  <si>
    <t>WEECLAIMS</t>
  </si>
  <si>
    <t>5527732559</t>
  </si>
  <si>
    <t>asuarez@weecompany.net</t>
  </si>
  <si>
    <t>GBC1802231Y6</t>
  </si>
  <si>
    <t>GRUPO BLACK CLINICAS</t>
  </si>
  <si>
    <t>6143854854</t>
  </si>
  <si>
    <t>auxiliarrhgbc@gmail.com</t>
  </si>
  <si>
    <t>Red de clínicas de salud con presencia en México, dedicada a la prestación de servicios médicos especializados, consultas, diagnóstico y atención integral para pacientes.</t>
  </si>
  <si>
    <t>OP (Q2, 40)</t>
  </si>
  <si>
    <t>OK(072026)</t>
  </si>
  <si>
    <t>MDU821001QG9</t>
  </si>
  <si>
    <t>MADAME DUBARRY (Medical Center)</t>
  </si>
  <si>
    <t>jessy.navit@gmail.com</t>
  </si>
  <si>
    <t>Empresa dedicada a la comercialización de cosméticos, perfumería y productos de belleza, con distribución en México bajo la marca Madame Dubarry.</t>
  </si>
  <si>
    <t>RCO020422431</t>
  </si>
  <si>
    <t>LA RED CORPORATIVO</t>
  </si>
  <si>
    <t>5560393304</t>
  </si>
  <si>
    <t>dperez@lared.mx</t>
  </si>
  <si>
    <t>Corporativo de servicios empresariales con presencia en la Ciudad de México, dedicado a brindar soluciones administrativas, comerciales y logísticas a clientes corporativos.</t>
  </si>
  <si>
    <t>PLA241211D61</t>
  </si>
  <si>
    <t>PLASTMEX</t>
  </si>
  <si>
    <t>Empresa mexicana especializada en la fabricación y comercialización de productos plásticos y empaques para uso industrial y de consumo.</t>
  </si>
  <si>
    <t>GHS140513T11</t>
  </si>
  <si>
    <t>GRUPO HOTELERO SAMAR</t>
  </si>
  <si>
    <t>MIA HOTELES</t>
  </si>
  <si>
    <t>Elizabeth</t>
  </si>
  <si>
    <t>9934740428</t>
  </si>
  <si>
    <t>rhcorporativo@hotelesmia.com</t>
  </si>
  <si>
    <t>Grupo hotelero mexicano dedicado a la operación de hoteles y hospedaje, con enfoque en servicio de calidad para viajeros de negocios y turismo nacional.</t>
  </si>
  <si>
    <t>MSM2106223P5</t>
  </si>
  <si>
    <t>MELONN SUBSIDIARIA MEXICO</t>
  </si>
  <si>
    <t>Subsidiaria mexicana de empresa tecnológica dedicada a soluciones digitales y servicios en línea, con enfoque en comercio electrónico y plataformas B2B/B2C.</t>
  </si>
  <si>
    <t>*No utilizan ni responden mucho</t>
  </si>
  <si>
    <t>CDI1305022N7</t>
  </si>
  <si>
    <t>COMPUMEX DIGITAL</t>
  </si>
  <si>
    <t>Diana Laura Cruz Cruz</t>
  </si>
  <si>
    <t>5530586692</t>
  </si>
  <si>
    <t>gerencia@supermexdigital.com.mx</t>
  </si>
  <si>
    <t>Empresa comercializadora de equipos de cómputo, tecnología y consumibles con sede en la Ciudad de México, orientada a ventas empresariales y público general.</t>
  </si>
  <si>
    <t>TSI210914PK3</t>
  </si>
  <si>
    <t>TECNOLOGIA SINTEL (FORBO)</t>
  </si>
  <si>
    <t>Tecnología Sintel</t>
  </si>
  <si>
    <t>Israel</t>
  </si>
  <si>
    <t>5215517637816</t>
  </si>
  <si>
    <t>israel.aguilar@forbo.com</t>
  </si>
  <si>
    <t>Empresa del grupo suizo Forbo, dedicada a la distribución y comercialización de pisos vinílicos, textiles técnicos y sistemas de transportación de materiales en México.</t>
  </si>
  <si>
    <t>NO - lo dieron de baja en imple</t>
  </si>
  <si>
    <t>COS131011J10</t>
  </si>
  <si>
    <t>COSMOPHARMEX (Schätz &amp; Catanni)</t>
  </si>
  <si>
    <t>Ignacio</t>
  </si>
  <si>
    <t>5640404556</t>
  </si>
  <si>
    <t>ignacioruiz@cosmopharmex.com</t>
  </si>
  <si>
    <t>RAU1807259J5</t>
  </si>
  <si>
    <t>RACKSA AUTOMOTRIZ</t>
  </si>
  <si>
    <t>Bárbara Solórzano Ramírez</t>
  </si>
  <si>
    <t>8111195101</t>
  </si>
  <si>
    <t>bsolorzano@racksa.com.mx</t>
  </si>
  <si>
    <t>Reu de presentación ✅</t>
  </si>
  <si>
    <t>Empresa automotriz con sede en CDMX dedicada a la distribución, almacenamiento y logística de autopartes y componentes para el mercado automotriz en México.</t>
  </si>
  <si>
    <t>PEI130124GS0</t>
  </si>
  <si>
    <t>PROYECTOS E INGENIERIA EN VENTILACION, AIRE Y CALEFACCION (PIVACSA)</t>
  </si>
  <si>
    <t>Jazmin</t>
  </si>
  <si>
    <t>jmartinez@pivacsa.mx</t>
  </si>
  <si>
    <t>NAM020918KZ5</t>
  </si>
  <si>
    <t>INDUSTRIAS DE ENVASES TYPACK MEXICO</t>
  </si>
  <si>
    <t>Humberto</t>
  </si>
  <si>
    <t>3313102288</t>
  </si>
  <si>
    <t>humberto.simancas@typack.com</t>
  </si>
  <si>
    <t>Empresa fabricante de envases y empaques industriales con sede en el Estado de México, especializada en soluciones de packaging para alimentos, bebidas y productos de consumo.</t>
  </si>
  <si>
    <t>PCA0301167A8</t>
  </si>
  <si>
    <t>PERI CIMBRAS Y ANDAMIOS</t>
  </si>
  <si>
    <t>Marco Antonio Guzman Canseco</t>
  </si>
  <si>
    <t>+525541444619</t>
  </si>
  <si>
    <t>marco.guzman@peri.com.mx</t>
  </si>
  <si>
    <t>Subsidiaria de PERI GmbH, empresa alemana líder mundial en sistemas de cimbras y andamios. En México ofrece renta, venta y asesoría de encofrados metálicos para proyectos de construcción.</t>
  </si>
  <si>
    <t>JAL220726G36</t>
  </si>
  <si>
    <t>JASSEGO ALIMENTOS (PECKERS NASHVILLE HOT CHICKEN)</t>
  </si>
  <si>
    <t>7777777777</t>
  </si>
  <si>
    <t>jasso@peckers.mx</t>
  </si>
  <si>
    <t>TED011106K29</t>
  </si>
  <si>
    <t>TITAN EDIFICACIONES</t>
  </si>
  <si>
    <t>Alim sugey Diaz mendieta</t>
  </si>
  <si>
    <t>+525568187503</t>
  </si>
  <si>
    <t>sugey.diaz@nuestrohogar.com.mx</t>
  </si>
  <si>
    <t>Empresa constructora con sede en CDMX, especializada en edificación de obra civil, naves industriales, residencias y proyectos comerciales para el sector privado.</t>
  </si>
  <si>
    <t>ARM201029DR3</t>
  </si>
  <si>
    <t>ACCESORIOS Y REFACCIONES PARA MOVILIDAD (Mundimotos)</t>
  </si>
  <si>
    <t>Jonathan</t>
  </si>
  <si>
    <t>5624825829</t>
  </si>
  <si>
    <t>jonmendez1149@gmail.com</t>
  </si>
  <si>
    <t>Empresa distribuidora de refacciones, accesorios y equipamiento para motocicletas y movilidad, con presencia en México bajo la marca Mundimotos.</t>
  </si>
  <si>
    <t>SI (7 relojes)</t>
  </si>
  <si>
    <t>TBL170710QL1</t>
  </si>
  <si>
    <t>TAGLE BLINDER</t>
  </si>
  <si>
    <t>Judith</t>
  </si>
  <si>
    <t>523325959157</t>
  </si>
  <si>
    <t>jornelas@senalika.com.mx</t>
  </si>
  <si>
    <t>Empresa de servicios profesionales con sede en la Ciudad de México, posiblemente en áreas de consultoría, asesoría legal o servicios corporativos especializados.</t>
  </si>
  <si>
    <t>GEM070226K52</t>
  </si>
  <si>
    <t>SIEMENS GESA RENEWABLE ENERGY</t>
  </si>
  <si>
    <t>Alvaro</t>
  </si>
  <si>
    <t>56976863634</t>
  </si>
  <si>
    <t>alvaro.fernandez@siemensgamesa.com</t>
  </si>
  <si>
    <t>Empresa especializada en energías renovables, resultado de la alianza entre Siemens Gamesa Renewable Energy y GESA, dedicada al diseño, instalación y operación de parques eólicos y solares en México.</t>
  </si>
  <si>
    <t>SER140909S8A</t>
  </si>
  <si>
    <t>SERVIGUE</t>
  </si>
  <si>
    <t>Victor</t>
  </si>
  <si>
    <t>5579098356</t>
  </si>
  <si>
    <t>reclutamiento@gservigue.com</t>
  </si>
  <si>
    <t>13. Outsourcing General</t>
  </si>
  <si>
    <t>Empresa de servicios de recursos humanos y outsourcing especializada en selección, capacitación y administración de personal para empresas industriales y comerciales en México.</t>
  </si>
  <si>
    <t>OP (Q2-Q3)</t>
  </si>
  <si>
    <t>EDI040611KE7</t>
  </si>
  <si>
    <t>EXPORTACIONES DIEZ</t>
  </si>
  <si>
    <t>San</t>
  </si>
  <si>
    <t>5555203508</t>
  </si>
  <si>
    <t>rh@diezcompany.mx</t>
  </si>
  <si>
    <t>Empresa exportadora y comercializadora con sede en CDMX, dedicada a la distribución y exportación de productos mexicanos en el mercado internacional.</t>
  </si>
  <si>
    <t>ITS9508157M8</t>
  </si>
  <si>
    <t>INSTITUTO TECNOLOGICO SUPERIOR DE ZACAPOAXTLA</t>
  </si>
  <si>
    <t>Institución de educación superior tecnológica ubicada en Zacapoaxtla, Puebla, que ofrece ingeniería, licenciaturas y programas técnicos con enfoque en ciencia y tecnología aplicada.</t>
  </si>
  <si>
    <t>SFO200708871</t>
  </si>
  <si>
    <t>SAMA FOODS</t>
  </si>
  <si>
    <t>Rene</t>
  </si>
  <si>
    <t>5580241698</t>
  </si>
  <si>
    <t>reneomarbg@gmail.com</t>
  </si>
  <si>
    <t>CDMX - mandar el número</t>
  </si>
  <si>
    <t>Empresa del sector alimentario enfocada en la producción y distribución de alimentos procesados y productos de consumo masivo para el mercado mexicano y latinoamericano.</t>
  </si>
  <si>
    <t>OPL170802H70</t>
  </si>
  <si>
    <t>OFERLLANTAS PROVEEDOR LLANTERO</t>
  </si>
  <si>
    <t>Cristina Manrique Manrique lopez</t>
  </si>
  <si>
    <t>+526622252228</t>
  </si>
  <si>
    <t>administracion@oferllantas.mx</t>
  </si>
  <si>
    <t>Empresa distribuidora y comercializadora de llantas y neumáticos para vehículos de pasajeros, camiones y maquinaria, con cobertura a nivel nacional desde la Ciudad de México.</t>
  </si>
  <si>
    <t>NO (Q1)</t>
  </si>
  <si>
    <t>VCE180627HB7</t>
  </si>
  <si>
    <t>VIVALO CEL</t>
  </si>
  <si>
    <t>Empresa de venta y distribución de celulares, accesorios y tecnología móvil con presencia en México, orientada al mercado de consumo masivo y ventas a revendedores.</t>
  </si>
  <si>
    <t>CBZ930226CK9</t>
  </si>
  <si>
    <t>CALKINS BURKE AND ZANNIE DE MEXICO</t>
  </si>
  <si>
    <t>Bianca Campos</t>
  </si>
  <si>
    <t>+5218112164337</t>
  </si>
  <si>
    <t>capacitacion@mexcorina.com</t>
  </si>
  <si>
    <t>Empresa de servicios profesionales o consultoría con sede en CDMX, posiblemente en áreas de ingeniería, asesoría técnica o servicios especializados para la industria.</t>
  </si>
  <si>
    <t>IDAPODRQT3</t>
  </si>
  <si>
    <t>INSTITUTO PARA EL DESARROLLO Y ACTUALIZACION DE PROFESIONALES (IDAP)</t>
  </si>
  <si>
    <t>Cinthya</t>
  </si>
  <si>
    <t>5537221484</t>
  </si>
  <si>
    <t>recursoshumanos.idap@gmail.com</t>
  </si>
  <si>
    <t>Instituto de educación continua y capacitación profesional que ofrece cursos, diplomados y certificaciones para profesionistas en México en diversas áreas de gestión y negocios.</t>
  </si>
  <si>
    <t>TBM190326129</t>
  </si>
  <si>
    <t>TECNOLOGIA EN BENEFICIOS MEXICO</t>
  </si>
  <si>
    <t>Empresa de tecnología enfocada en soluciones de beneficios y servicios para empresas, incluyendo plataformas de administración de recursos humanos y prestaciones laborales.</t>
  </si>
  <si>
    <t>BIC881017U42</t>
  </si>
  <si>
    <t>BICIMEX, S.A. DE C.V.</t>
  </si>
  <si>
    <t>Edgar</t>
  </si>
  <si>
    <t>5591878535</t>
  </si>
  <si>
    <t>sistemas@bicimex.com</t>
  </si>
  <si>
    <t>Empresa mexicana distribuidora e importadora de bicicletas, accesorios y equipo deportivo, con presencia en el mercado nacional a través de tiendas propias y distribuidores.</t>
  </si>
  <si>
    <t>SCO160411539</t>
  </si>
  <si>
    <t>SCR COMMUNICATIONS</t>
  </si>
  <si>
    <t>Gabriela</t>
  </si>
  <si>
    <t>8128619899</t>
  </si>
  <si>
    <t>admin3@gruposcr.mx</t>
  </si>
  <si>
    <t>Empresa de comunicaciones y relaciones públicas con sede en CDMX, especializada en estrategias de comunicación corporativa, relaciones con medios y manejo de imagen para marcas y organizaciones.</t>
  </si>
  <si>
    <t>AMI9306213R0</t>
  </si>
  <si>
    <t>ASOCIACION MEXICANA DE INSTITUCIONES BURSATILES (AMIB)</t>
  </si>
  <si>
    <t>Organismo gremial que agrupa a las principales casas de bolsa y operadoras del mercado bursátil mexicano, dedicado a la representación y regulación del sector financiero-bursátil.</t>
  </si>
  <si>
    <t>OP (Q2,Q3)</t>
  </si>
  <si>
    <t>SER920327C94</t>
  </si>
  <si>
    <t>SERINTRA</t>
  </si>
  <si>
    <t>Berenice</t>
  </si>
  <si>
    <t>5549508412</t>
  </si>
  <si>
    <t>bvallarta@serintra.com</t>
  </si>
  <si>
    <t>Empresa de servicios de ingeniería y construcción con sede en CDMX, especializada en proyectos de infraestructura, instalaciones especiales y obra civil para clientes del sector privado y público.</t>
  </si>
  <si>
    <t>PIM180629TE1</t>
  </si>
  <si>
    <t>PIN IT MEDIA</t>
  </si>
  <si>
    <t>5619539968</t>
  </si>
  <si>
    <t>cuentasporpagar@pinit.media</t>
  </si>
  <si>
    <t>Empresa de marketing digital y publicidad con sede en CDMX, especializada en estrategias de medios digitales, redes sociales y contenido para marcas y empresas en México.</t>
  </si>
  <si>
    <t>APR221107DJ1</t>
  </si>
  <si>
    <t>APROTEA</t>
  </si>
  <si>
    <t>Tada</t>
  </si>
  <si>
    <t>Empresa tecnológica con operaciones en México, posiblemente relacionada con soluciones de movilidad, transporte o plataformas digitales. Partner comercial de la marca TADA en el mercado mexicano.</t>
  </si>
  <si>
    <t>AFA0610128Q0</t>
  </si>
  <si>
    <t>ACCORD FARMA</t>
  </si>
  <si>
    <t>Empresa farmacéutica dedicada a la distribución y comercialización de medicamentos genéricos y de marca para el sector salud en México, con cobertura a farmacias, hospitales y clínicas.</t>
  </si>
  <si>
    <t>LGM1402051T0</t>
  </si>
  <si>
    <t>HEXAGON MINING MEXICO</t>
  </si>
  <si>
    <t>Roxana</t>
  </si>
  <si>
    <t>6624700379</t>
  </si>
  <si>
    <t>roxana.gracia-ext@hexagon.com</t>
  </si>
  <si>
    <t>RNA1606236J1</t>
  </si>
  <si>
    <t>RENDIMIENTO NAXU (CESAT)</t>
  </si>
  <si>
    <t>5560600440</t>
  </si>
  <si>
    <t>rh.cesat@circulodeasesores.com</t>
  </si>
  <si>
    <t>CCO200911F43</t>
  </si>
  <si>
    <t>Luis Montilla</t>
  </si>
  <si>
    <t>CONGELADORA COMFRUT</t>
  </si>
  <si>
    <t>Lourdes</t>
  </si>
  <si>
    <t>523512238053</t>
  </si>
  <si>
    <t>luluche.gero@gmail.com</t>
  </si>
  <si>
    <t>Empresa dedicada a la producción, procesamiento y distribución de frutas y vegetales congelados para el mercado de consumo masivo y food service en México.</t>
  </si>
  <si>
    <t>GIBG7706035C2</t>
  </si>
  <si>
    <t>GUILLERMO OMAR GIM BURRUEL</t>
  </si>
  <si>
    <t>Persona física con actividad empresarial, posiblemente en el área de comercialización o prestación de servicios profesionales en México.</t>
  </si>
  <si>
    <t>VIADUCTO BICENTENARIO</t>
  </si>
  <si>
    <t>Empresa concesionaria Viaducto Bicentenario S.A. de C.V. (Aleática/OHL), operadora de la autopista elevada de 22 km que conecta el Estado de México con CDMX por el corredor norte (Tepalcapa-Cuatro Caminos).</t>
  </si>
  <si>
    <t>UDP0301305U8</t>
  </si>
  <si>
    <t>UNIVERSIDAD DEL DESARROLLO PROFESIONAL (UNIDEP)</t>
  </si>
  <si>
    <t>Juan</t>
  </si>
  <si>
    <t>5636285397</t>
  </si>
  <si>
    <t>juan.funesm@unidep.edu.mx</t>
  </si>
  <si>
    <t>Sonora</t>
  </si>
  <si>
    <t>Universidad privada mexicana con campus en diversas ciudades del país, especializada en programas de licenciatura y posgrado orientados al desarrollo profesional y la inserción laboral.</t>
  </si>
  <si>
    <t>Disminuyó mucho los usuarios, ya no responden. Tener ojo</t>
  </si>
  <si>
    <t>LESJ660819IV6</t>
  </si>
  <si>
    <t>JORGE LEAL SEGOVIA (Fletes Leal)</t>
  </si>
  <si>
    <t>5218117789474</t>
  </si>
  <si>
    <t>Jorge.leal@fletesleal.com</t>
  </si>
  <si>
    <t>Persona física con actividad empresarial o profesional en México, posiblemente en el área de consultoría, servicios especializados o gestión comercial.</t>
  </si>
  <si>
    <t>SLO210527896</t>
  </si>
  <si>
    <t>SERVIAP LOGISTICS</t>
  </si>
  <si>
    <t>Benjamin Merino Benjamin Merino</t>
  </si>
  <si>
    <t>+525549398566</t>
  </si>
  <si>
    <t>benjamin.merino@serviaplogistics.com</t>
  </si>
  <si>
    <t>Empresa de logística y outsourcing de personal con sede en CDMX, especializada en soluciones de cadena de suministro, transporte y administración de personal para empresas multinacionales en México.</t>
  </si>
  <si>
    <t>ESA9402086U4</t>
  </si>
  <si>
    <t>ESTEBAN SANCHEZ Y ASOCIADOS</t>
  </si>
  <si>
    <t>55555555555</t>
  </si>
  <si>
    <t>asistenterh@estebansanchez.net</t>
  </si>
  <si>
    <t>Despacho de ingeniería y construcción con sede en CDMX, especializado en proyectos arquitectónicos, estructurales y de obra civil para el sector inmobiliario y empresarial.</t>
  </si>
  <si>
    <t>OSP11121469A</t>
  </si>
  <si>
    <t>OPERADORA SUMA PARK</t>
  </si>
  <si>
    <t>Empresa operadora de parques, centros comerciales o espacios de entretenimiento con sede en CDMX, dedicada a la gestión y administración de desarrollos recreativos y de ocio.</t>
  </si>
  <si>
    <t>DLM140311EH0</t>
  </si>
  <si>
    <t>DISTRIBUIDORA LED DE MEXICO</t>
  </si>
  <si>
    <t>3322212800</t>
  </si>
  <si>
    <t>rhdlm@dlmtecnoled.com</t>
  </si>
  <si>
    <t>Empresa distribuidora de tecnología de iluminación LED y soluciones eléctricas para proyectos residenciales, comerciales e industriales con sede en la Ciudad de México.</t>
  </si>
  <si>
    <t>ZAD161014DMA</t>
  </si>
  <si>
    <t>ZKC ADMINISTRACION</t>
  </si>
  <si>
    <t>Jacobo</t>
  </si>
  <si>
    <t>5215530102902</t>
  </si>
  <si>
    <t>jzagha@zkc.com.mx</t>
  </si>
  <si>
    <t>GAR060425710</t>
  </si>
  <si>
    <t>GRUPO ANDAMIOS REGIOMONTANOS</t>
  </si>
  <si>
    <t>PERLA Vizcaya Vizcaya Hermosillo</t>
  </si>
  <si>
    <t>+528114702163</t>
  </si>
  <si>
    <t>PIEDAD_HERMOSILLO@HOTMAIL.COM</t>
  </si>
  <si>
    <t>Empresa regiomontana dedicada al alquiler y venta de andamios, cimbras y equipos de acceso temporal para la industria de la construcción en el norte de México.</t>
  </si>
  <si>
    <t>TPS920310RS4</t>
  </si>
  <si>
    <t>TRANSPORTES PIGASA</t>
  </si>
  <si>
    <t>Iris Garcia</t>
  </si>
  <si>
    <t>+528117909546</t>
  </si>
  <si>
    <t>tesoreria@transportespigasa.com.mx</t>
  </si>
  <si>
    <t>Empresa de transporte de carga con sede en el Estado de México, dedicada al traslado de mercancías y materiales para clientes del sector industrial y comercial a nivel nacional.</t>
  </si>
  <si>
    <t>VME980209HJ0</t>
  </si>
  <si>
    <t>VALIDACION Y METROLOGIA (VAMET)</t>
  </si>
  <si>
    <t>Pamela</t>
  </si>
  <si>
    <t>5610975081</t>
  </si>
  <si>
    <t>rh@vamet.mx</t>
  </si>
  <si>
    <t>Presionar inscripción</t>
  </si>
  <si>
    <t>Empresa de servicios especializados en calibración, validación y metrología industrial para asegurar la conformidad y precisión de equipos y procesos en la industria.</t>
  </si>
  <si>
    <t>CME220205UD7</t>
  </si>
  <si>
    <t>CARCAMOVIL MEXICO</t>
  </si>
  <si>
    <t>Maria</t>
  </si>
  <si>
    <t>5610101537</t>
  </si>
  <si>
    <t>fernanda.sant.ovie@gmail.com</t>
  </si>
  <si>
    <t>Empresa mexicana del sector automotriz dedicada a la distribución y comercialización de vehículos, accesorios o refacciones para el mercado nacional.</t>
  </si>
  <si>
    <t>MOC120702M65</t>
  </si>
  <si>
    <t>MAXILED DE OCCIDENTE</t>
  </si>
  <si>
    <t>Joseluis@tecnoledmexico.com</t>
  </si>
  <si>
    <t>Empresa de iluminación LED con presencia en la región occidente de México, dedicada a la venta y distribución de luminarias, soluciones de alumbrado y equipo eléctrico para empresas y hogares.</t>
  </si>
  <si>
    <t>PRO800417TDA</t>
  </si>
  <si>
    <t>PROQUIPA</t>
  </si>
  <si>
    <t>5215539960864</t>
  </si>
  <si>
    <t>auxiliar.rh@proecoplating.com</t>
  </si>
  <si>
    <t>Empresa mexicana proveedora de productos químicos e insumos para la industria, con distribución de materias primas y especialidades químicas para manufactura y procesos industriales.</t>
  </si>
  <si>
    <t>BODEGA DE PAPEL MESONES</t>
  </si>
  <si>
    <t>JUNGLA DE TIMO</t>
  </si>
  <si>
    <t>8186007902</t>
  </si>
  <si>
    <t>jorge.signal@gmail.com</t>
  </si>
  <si>
    <t>UBS100422SZ0</t>
  </si>
  <si>
    <t>UNITED BARCODE SYSTEMS DE MEXICO (UBS)</t>
  </si>
  <si>
    <t>Flora Amor Guzman Guzman</t>
  </si>
  <si>
    <t>4461330961</t>
  </si>
  <si>
    <t>flora.guzman@ubscode.com</t>
  </si>
  <si>
    <t>Empresa distribuidora de sistemas de identificación automática, lectores de código de barras, etiquetas y soluciones RFID para la gestión de inventarios en empresas del sector comercial e industrial.</t>
  </si>
  <si>
    <t>AVN030811P6A</t>
  </si>
  <si>
    <t>AGROFORESTAL DEL VALLE DE NEJAPA</t>
  </si>
  <si>
    <t>Mayeli</t>
  </si>
  <si>
    <t>1945255753</t>
  </si>
  <si>
    <t>mayeli.gonzalez@ecomtrading.com</t>
  </si>
  <si>
    <t>Empresa agroindustrial con operaciones en el Valle de Nejapa, Sinaloa, dedicada a la producción, transformación y comercialización de productos agrícolas y forestales de la región.</t>
  </si>
  <si>
    <t>CONSERVACION MM</t>
  </si>
  <si>
    <t>Empresa de servicios de conservación y mantenimiento con sede en CDMX, dedicada al mantenimiento preventivo y correctivo de instalaciones, inmuebles y equipos para clientes corporativos.</t>
  </si>
  <si>
    <t>EAL090901TV1</t>
  </si>
  <si>
    <t>EOLIS AMERICA LATINA</t>
  </si>
  <si>
    <t>Wendy</t>
  </si>
  <si>
    <t>5539960179</t>
  </si>
  <si>
    <t>wendy.liceaga@eolis.solutions</t>
  </si>
  <si>
    <t>Empresa de energías renovables con presencia en América Latina, especializada en el desarrollo, instalación y operación de proyectos de energía eólica para clientes corporativos e industriales.</t>
  </si>
  <si>
    <t>24113-24540</t>
  </si>
  <si>
    <t>STR190923PR8</t>
  </si>
  <si>
    <t>STED TRASLADOS</t>
  </si>
  <si>
    <t>Isai</t>
  </si>
  <si>
    <t>5517694730</t>
  </si>
  <si>
    <t>IAQUINOISA@GMAIL.COM</t>
  </si>
  <si>
    <t>Empresa de traslados y transporte especial con sede en CDMX, dedicada al traslado de pacientes, personal o carga especializada con unidades adecuadas para cada servicio.</t>
  </si>
  <si>
    <t>ENV990331HF3</t>
  </si>
  <si>
    <t>EMPACADORA NOR VER</t>
  </si>
  <si>
    <t>Fernanda Medina</t>
  </si>
  <si>
    <t>833 365 3997</t>
  </si>
  <si>
    <t>fernanda.medina@irhcapitalhumano.com</t>
  </si>
  <si>
    <t>Veracruz</t>
  </si>
  <si>
    <t>Empresa empacadora del norte de Veracruz dedicada al procesamiento y empaque de productos agrícolas y alimentarios para distribución regional y nacional.</t>
  </si>
  <si>
    <t>EEN120227CN9</t>
  </si>
  <si>
    <t>ECOSY ENGINEERING</t>
  </si>
  <si>
    <t>5563547514</t>
  </si>
  <si>
    <t>alejandro.chavez@ecosy.com.mx</t>
  </si>
  <si>
    <t>GEISHA LA VILLA</t>
  </si>
  <si>
    <t>Agencia automotriz del Grupo Geisha Querétaro, dedicada a la venta de vehículos nuevos y usados, servicio mecánico y comercialización de refacciones en el estado de Querétaro.</t>
  </si>
  <si>
    <t>HGC050809588</t>
  </si>
  <si>
    <t>HOTELES GRAN CLASE</t>
  </si>
  <si>
    <t>Cadena hotelera mexicana que opera hoteles de categoría media-alta en diversas ciudades del país, orientada a viajeros de negocios y turismo nacional con servicios de hospedaje y eventos.</t>
  </si>
  <si>
    <t>PROVEEDORA REM</t>
  </si>
  <si>
    <t>Empresa proveedora de insumos y materiales con sede en CDMX, dedicada a la distribución y comercialización de productos para el sector industrial, comercial o institucional.</t>
  </si>
  <si>
    <t>VCL900813574</t>
  </si>
  <si>
    <t>VELEZ CHILDRENS LANGUAGE CENTER</t>
  </si>
  <si>
    <t>Paloma</t>
  </si>
  <si>
    <t>4611419448</t>
  </si>
  <si>
    <t>asistente.administrativo@ivelez.edu.mx</t>
  </si>
  <si>
    <t>Centro educativo especializado en la enseñanza de idiomas para niños, con sede en México, que ofrece programas de inglés y otros idiomas con metodología adaptada para infantes y jóvenes.</t>
  </si>
  <si>
    <t>SMU1412158G7</t>
  </si>
  <si>
    <t>SOMOS DEL MUNDO</t>
  </si>
  <si>
    <t>Antonio valentin Martinez contreras</t>
  </si>
  <si>
    <t>+529981237199</t>
  </si>
  <si>
    <t>karenina.orozco@somosdelmundo.com</t>
  </si>
  <si>
    <t>Empresa mexicana de servicios con sede en CDMX, posiblemente orientada a soluciones de comunicación, integración cultural o consultoría para organizaciones con enfoque global.</t>
  </si>
  <si>
    <t>SIR0609142N3</t>
  </si>
  <si>
    <t>SERVICIOS INTEGRALES DE RECOLECCION DE RESIDUOS</t>
  </si>
  <si>
    <t>Melissa</t>
  </si>
  <si>
    <t>9931999576</t>
  </si>
  <si>
    <t>melissa.pastrana@siresa.com.mx</t>
  </si>
  <si>
    <t>Empresa de gestión ambiental y recolección de residuos con sede en CDMX, dedicada al manejo, transporte y disposición adecuada de residuos sólidos urbanos e industriales.</t>
  </si>
  <si>
    <t>CAF880309V9A</t>
  </si>
  <si>
    <t>CENTRO AUTOMOTRIZ FUTURAMA</t>
  </si>
  <si>
    <t xml:space="preserve">Morelos </t>
  </si>
  <si>
    <t>Centro de servicios automotrices con sede en CDMX, especializado en mantenimiento, reparación y venta de refacciones para vehículos de pasajeros y comerciales.</t>
  </si>
  <si>
    <t>MOMA600403AH7</t>
  </si>
  <si>
    <t>ALEJANDRA MORA MENDOZA (ABC SIVMED)</t>
  </si>
  <si>
    <t>Mariana</t>
  </si>
  <si>
    <t>5523077518</t>
  </si>
  <si>
    <t>abcsivmed@gmail.com</t>
  </si>
  <si>
    <t>Persona física con actividad empresarial o profesional en México, posiblemente en el área de servicios de consultoría, comercialización o gestión empresarial.</t>
  </si>
  <si>
    <t>FBI220303UF6</t>
  </si>
  <si>
    <t>FEHR BROS. INDUSTRIES (Apex Trailers)</t>
  </si>
  <si>
    <t>carla anaya</t>
  </si>
  <si>
    <t>+526252075827</t>
  </si>
  <si>
    <t>carlaanaya@apex-trailers.com</t>
  </si>
  <si>
    <t>Subsidiaria de Fehr Bros. Industries, empresa distribuidora de herrajes, ganchos, accesorios industriales y hardware especializado para empresas manufactureras y de construcción en México.</t>
  </si>
  <si>
    <t>NIM010927TMA</t>
  </si>
  <si>
    <t>NSF DE MEXICO</t>
  </si>
  <si>
    <t>Veronica</t>
  </si>
  <si>
    <t>7442108168</t>
  </si>
  <si>
    <t>vabrajan@nsf.org</t>
  </si>
  <si>
    <t>Subsidiaria de NSF International, organización de certificación y auditoría de calidad con sede en CDMX, que ofrece servicios de inspección, certificación y consultoría para la industria de alimentos, agua y salud.</t>
  </si>
  <si>
    <t>CBS151221DQA</t>
  </si>
  <si>
    <t>CLEAVER BROOKS DE MEXICO</t>
  </si>
  <si>
    <t>Rosario</t>
  </si>
  <si>
    <t>71002333</t>
  </si>
  <si>
    <t>aceron@cleaverbrooks.com</t>
  </si>
  <si>
    <t>Subsidiaria de Cleaver-Brooks, empresa estadounidense fabricante de calderas y sistemas de generación de vapor y calor para procesos industriales con presencia en México.</t>
  </si>
  <si>
    <t>CPA2108186S1</t>
  </si>
  <si>
    <t>CLINICA PACIFICA</t>
  </si>
  <si>
    <t>Alejandra Mora</t>
  </si>
  <si>
    <t>+526621230214</t>
  </si>
  <si>
    <t>alejandra.mora@casapacifica.mx</t>
  </si>
  <si>
    <t>WME800410SW5</t>
  </si>
  <si>
    <t>INMOBILIARIA INMOBICO</t>
  </si>
  <si>
    <t>5551053005</t>
  </si>
  <si>
    <t>yvictorrafael@yahoo.com.mx</t>
  </si>
  <si>
    <t>4. Inmobilaria</t>
  </si>
  <si>
    <t>Empresa inmobiliaria con sede en CDMX, dedicada al desarrollo, comercialización y gestión de propiedades residenciales y comerciales en el mercado mexicano.</t>
  </si>
  <si>
    <t>COM1303117D5</t>
  </si>
  <si>
    <t>COMPUREPDIGITAL</t>
  </si>
  <si>
    <t>Empresa distribuidora de equipos de cómputo, tecnología y consumibles digitales con sede en CDMX, orientada a ventas empresariales y de consumo masivo.</t>
  </si>
  <si>
    <t>EMO2104135V0</t>
  </si>
  <si>
    <t>ECOPLATING MONTERREY</t>
  </si>
  <si>
    <t>Empresa de Monterrey especializada en servicios de galvanoplastia y recubrimientos metálicos ecológicos para la industria manufacturera y automotriz del norte de México.</t>
  </si>
  <si>
    <t>CPR100602NJ2</t>
  </si>
  <si>
    <t>CESEHSA PRODUCTS</t>
  </si>
  <si>
    <t>Ana Gabriela Arias Martinez</t>
  </si>
  <si>
    <t>+527224339588</t>
  </si>
  <si>
    <t>garias@cesehsa.com.mx</t>
  </si>
  <si>
    <t>Empresa fabricante y distribuidora de productos especializados con sede en CDMX, orientada a la manufactura o comercialización de insumos para la industria o el consumidor final.</t>
  </si>
  <si>
    <t>EDI0706262N5</t>
  </si>
  <si>
    <t>ENTRETENIMIENTO DIAMELA</t>
  </si>
  <si>
    <t>Empresa de entretenimiento con sede en CDMX, dedicada a la organización y operación de eventos, espectáculos y espacios recreativos para el público general y corporativo.</t>
  </si>
  <si>
    <t>TCM0511236B1</t>
  </si>
  <si>
    <t>TEBON CLASS DE MEXICO</t>
  </si>
  <si>
    <t>Op de VC personalizado</t>
  </si>
  <si>
    <t>Empresa mexicana dedicada a la fabricación y comercialización de uniformes y ropa de trabajo para empresas e instituciones en el mercado nacional.</t>
  </si>
  <si>
    <t>AAG160805FE9</t>
  </si>
  <si>
    <t>ABASTECEDORA AGRICENTER</t>
  </si>
  <si>
    <t xml:space="preserve">Alcanzar </t>
  </si>
  <si>
    <t>Rogelio Hernandez Hernandez Gutierrez</t>
  </si>
  <si>
    <t>+524492606140</t>
  </si>
  <si>
    <t>r.hernandez@agricenter.mx</t>
  </si>
  <si>
    <t>Empresa distribuidora de insumos agrícolas, semillas, fertilizantes y agroquímicos para el sector agropecuario en México, con cobertura en diversas regiones del país.</t>
  </si>
  <si>
    <t>AUTOPISTA URBANA NORTE</t>
  </si>
  <si>
    <t>Empresa concesionaria de la Autopista Urbana Norte (Aleatica/OHL), vía expressa de 13 km que conecta el norte de la CDMX mediante carriles de cuota. Parte del portafolio de autopistas urbanas de Aleatica.</t>
  </si>
  <si>
    <t>VHM2104121TA</t>
  </si>
  <si>
    <t>VIAJERO HOTELS MX</t>
  </si>
  <si>
    <t>Diego</t>
  </si>
  <si>
    <t>525519282157</t>
  </si>
  <si>
    <t>gerentecdmx@viajerohostels.com</t>
  </si>
  <si>
    <t>Cadena hotelera mexicana con presencia en diversas ciudades del país, dedicada a ofrecer hospedaje accesible y de calidad para viajeros de negocios y turismo.</t>
  </si>
  <si>
    <t>FDM080626J30</t>
  </si>
  <si>
    <t>FORMEL D MEXICO</t>
  </si>
  <si>
    <t>Luis.Cruz@formeld.com</t>
  </si>
  <si>
    <t>PJL210713LS1</t>
  </si>
  <si>
    <t>PASTOS Y JARDINES LANDSCAPE</t>
  </si>
  <si>
    <t>Andrea Mendieta</t>
  </si>
  <si>
    <t>+524641664572</t>
  </si>
  <si>
    <t>andrea.mendieta@pastosyjardines.com</t>
  </si>
  <si>
    <t>PCN1302255H8</t>
  </si>
  <si>
    <t>PROVEEDORA Y COMERCIALIZADORA DE NEGOCIOS DE SONORA</t>
  </si>
  <si>
    <t>Empresa proveedora y distribuidora de productos y servicios para negocios en el estado de Sonora, con cobertura en el noroeste del país.</t>
  </si>
  <si>
    <t>CAR080410FF5</t>
  </si>
  <si>
    <t>CONSTRUCTORA ARBO-S</t>
  </si>
  <si>
    <t>GCO920608K58</t>
  </si>
  <si>
    <t>GIOVANNI'S COLIMA</t>
  </si>
  <si>
    <t>BENEDETTI'S</t>
  </si>
  <si>
    <t>Colima</t>
  </si>
  <si>
    <t>Restaurante o cadena de restaurantes con sede en Colima, dedicado a la gastronomía italiana o internacional, con servicio de comedor y atención al sector local y turístico.</t>
  </si>
  <si>
    <t>EDA970605C36</t>
  </si>
  <si>
    <t>EULEN FLEXIPLAN SA DE CV</t>
  </si>
  <si>
    <t>Subsidiaria del grupo español Eulen, especializada en outsourcing de recursos humanos, servicios de limpieza, seguridad, auxiliares y gestión de personal para empresas en México.</t>
  </si>
  <si>
    <t>OP (Q2-Q3, 1200)</t>
  </si>
  <si>
    <t>OP (Q2-Q3, 1700)</t>
  </si>
  <si>
    <t>LOS031002EM7</t>
  </si>
  <si>
    <t>LOSEN</t>
  </si>
  <si>
    <t>FERNANDO ALVAREZ</t>
  </si>
  <si>
    <t>7878787878787</t>
  </si>
  <si>
    <t>supervision@trascendenciahumana.com</t>
  </si>
  <si>
    <t>Empresa mexicana de servicios con presencia en CDMX, orientada a soluciones operativas, logísticas o de gestión para clientes del sector empresarial.</t>
  </si>
  <si>
    <t>IAT1512029C9</t>
  </si>
  <si>
    <t>INGENIEROS Y ARQUITECTOS DE TOLUCA</t>
  </si>
  <si>
    <t>7229003238</t>
  </si>
  <si>
    <t>psic_kar70@yahoo.com.mx</t>
  </si>
  <si>
    <t>EME9312162Y5</t>
  </si>
  <si>
    <t>ORANGE BUSINESS SERVICES MEXICO</t>
  </si>
  <si>
    <t>Eudi</t>
  </si>
  <si>
    <t>21984021444</t>
  </si>
  <si>
    <t>eudi.pires.ext@orange.com</t>
  </si>
  <si>
    <t>Subsidiaria de Orange Business, división empresarial del grupo francés Orange, que provee soluciones de telecomunicaciones, conectividad, ciberseguridad y tecnología para empresas en México y Latinoamérica.</t>
  </si>
  <si>
    <t>OPERADORA CONCESIONARIA MEXIQUENSE</t>
  </si>
  <si>
    <t>GRO200211TK8</t>
  </si>
  <si>
    <t>GRUPO ROKKINA</t>
  </si>
  <si>
    <t>8182523728</t>
  </si>
  <si>
    <t>rh@rokkina.com</t>
  </si>
  <si>
    <t>FFX121005C6A</t>
  </si>
  <si>
    <t>FIDEICOMISO F/1596</t>
  </si>
  <si>
    <t>Fideicomiso constituido para la administración de activos, recursos financieros o patrimonio inmobiliario con sede en la Ciudad de México, gestionado por una institución bancaria o fiduciaria.</t>
  </si>
  <si>
    <t>TAD120822FTA</t>
  </si>
  <si>
    <t>TANGO ADMINISTRADORA</t>
  </si>
  <si>
    <t>Empresa administradora de servicios empresariales o inmobiliarios con sede en CDMX, dedicada a la gestión y operación de propiedades o activos para clientes corporativos.</t>
  </si>
  <si>
    <t>ABN190123KI9</t>
  </si>
  <si>
    <t>ALIMENTOS Y BANQUETES EL NUEVO ESPAÑA</t>
  </si>
  <si>
    <t>Cynthia</t>
  </si>
  <si>
    <t>3311584378</t>
  </si>
  <si>
    <t>rhrecovecoe@gmail.com</t>
  </si>
  <si>
    <t>Empresa de catering y banquetes con sede en CDMX, especializada en la preparación y servicio de alimentos para eventos corporativos, sociales y banquetes institucionales.</t>
  </si>
  <si>
    <t>OEME800730QG5</t>
  </si>
  <si>
    <t>ERIK EDUARDO OJEDA MENDEZ</t>
  </si>
  <si>
    <t>Persona física con actividad empresarial en México, posiblemente en el área de prestación de servicios o comercialización en el mercado local.</t>
  </si>
  <si>
    <t>AFC180830664</t>
  </si>
  <si>
    <t>ADMINISTRADORA FORTUNE CHIHUAHUA</t>
  </si>
  <si>
    <t>Empresa administradora con sede en Chihuahua, dedicada a la gestión de recursos humanos, activos o servicios para empresas del norte del país.</t>
  </si>
  <si>
    <t>OP (si es que no las usan en buk)</t>
  </si>
  <si>
    <t>OP (después de integración personalizada o migración)</t>
  </si>
  <si>
    <t>LEGM851017NR8</t>
  </si>
  <si>
    <t>MYRIAM JANETT LEAL GARZA</t>
  </si>
  <si>
    <t>8119240191</t>
  </si>
  <si>
    <t>lthmarlencj@gmail.com</t>
  </si>
  <si>
    <t>GCS2203302H8</t>
  </si>
  <si>
    <t>GRUPO CARNES SUPREMAS ROSARITO</t>
  </si>
  <si>
    <t>Felipe</t>
  </si>
  <si>
    <t>6615271294</t>
  </si>
  <si>
    <t>controlcontable.fernando@gmail.com</t>
  </si>
  <si>
    <t>Empresa del sector cárnico ubicada en Rosarito, Baja California, dedicada a la producción, procesamiento y distribución de carnes y cortes de calidad para el mercado local y de exportación.</t>
  </si>
  <si>
    <t>XAXX010101000</t>
  </si>
  <si>
    <t>PUBLICO GENERAL</t>
  </si>
  <si>
    <t>Registro genérico que agrupa cuentas o clientes del público general sin clasificación específica en la cartera de la empresa.</t>
  </si>
  <si>
    <t>SECONMEX ADMINISTRACION</t>
  </si>
  <si>
    <t>Empresa de administración y servicios de outsourcing con sede en CDMX, que provee personal y servicios de gestión empresarial para clientes de la industria y el comercio en México.</t>
  </si>
  <si>
    <t>TDC210202AQ9</t>
  </si>
  <si>
    <t>TALENT 2 CLEAN</t>
  </si>
  <si>
    <t>Asignar a Karla, ver facturacion de julio</t>
  </si>
  <si>
    <t>Dulce Bautista</t>
  </si>
  <si>
    <t>+525615005253</t>
  </si>
  <si>
    <t>servicios.generales@talent2clean.com</t>
  </si>
  <si>
    <t>Empresa de outsourcing de servicios de limpieza y mantenimiento con sede en CDMX, que provee personal y soluciones de higiene para instalaciones corporativas, industriales y comerciales.</t>
  </si>
  <si>
    <t>REN170919M38</t>
  </si>
  <si>
    <t>RENACTEUR</t>
  </si>
  <si>
    <t>5539016650</t>
  </si>
  <si>
    <t>gabydelamora@renacteur.mx</t>
  </si>
  <si>
    <t>Empresa mexicana del sector energético orientada a soluciones de energía renovable, eficiencia energética o gestión de activos energéticos para clientes industriales y comerciales.</t>
  </si>
  <si>
    <t>AUTOS GALIA QUERETARO</t>
  </si>
  <si>
    <t>Agencia automotriz perteneciente al Grupo Geisha Querétaro, dedicada a la venta de vehículos y servicios de posventa en el estado de Querétaro.</t>
  </si>
  <si>
    <t>PMR140116AA0</t>
  </si>
  <si>
    <t>PROVEEDOR MAYORISTA AL REFACCIONARIO DE MEXICO</t>
  </si>
  <si>
    <t>Xanat</t>
  </si>
  <si>
    <t>5564483764</t>
  </si>
  <si>
    <t>xanat.ramirez@promare.mx</t>
  </si>
  <si>
    <t>Empresa mayorista distribuidora de refacciones automotrices y autopartes para talleres mecánicos, distribuidores y refaccionarias a nivel nacional.</t>
  </si>
  <si>
    <t>PAC070427BJ9</t>
  </si>
  <si>
    <t>PLASCENCIA ACUMULADORES</t>
  </si>
  <si>
    <t>Manuel</t>
  </si>
  <si>
    <t>3318927383</t>
  </si>
  <si>
    <t>fernando.miranda@lthacumuladores.com.mx</t>
  </si>
  <si>
    <t>Empresa distribuidora y comercializadora de baterías y acumuladores para vehículos, maquinaria y equipos industriales, con sede en Jalisco y presencia en el occidente del país.</t>
  </si>
  <si>
    <t>INN990212RE4</t>
  </si>
  <si>
    <t>INNOVAGRO</t>
  </si>
  <si>
    <t>Karen Diaz Leal Estrada</t>
  </si>
  <si>
    <t>+527228542030</t>
  </si>
  <si>
    <t>karen.innovagro@gmail.com</t>
  </si>
  <si>
    <t>Empresa agroindustrial dedicada al desarrollo e innovación de productos agrícolas, biotecnología vegetal o insumos para el sector agropecuario en México.</t>
  </si>
  <si>
    <t>THINK TIM</t>
  </si>
  <si>
    <t>PME9701203U9</t>
  </si>
  <si>
    <t>PENTEL DE MEXICO</t>
  </si>
  <si>
    <t>Heriberto Reyes Reyes santiago</t>
  </si>
  <si>
    <t>+525554556666</t>
  </si>
  <si>
    <t>hreyes@pentel.com.mx</t>
  </si>
  <si>
    <t>Reunión, interesados en vacaciones a 25. Posibilidad de upsell a 75</t>
  </si>
  <si>
    <t>Subsidiaria de Pentel, empresa japonesa fabricante de artículos de escritura, material escolar y herramientas de oficina. Distribuye y comercializa sus productos en el mercado mexicano.</t>
  </si>
  <si>
    <t>HSA111215BG2</t>
  </si>
  <si>
    <t>HOSPITAL SOLUTIONS &amp; MEDICAL EQUIPMENT OF CENTER</t>
  </si>
  <si>
    <t>2218342988</t>
  </si>
  <si>
    <t>dianna.agz827@gmail.com</t>
  </si>
  <si>
    <t>Empresa distribuidora de equipos médicos y soluciones hospitalarias con sede en CDMX, especializada en suministro de dispositivos y equipamiento para hospitales, clínicas y laboratorios.</t>
  </si>
  <si>
    <t>IHO020124IT2</t>
  </si>
  <si>
    <t>IRKON HOLDINGS</t>
  </si>
  <si>
    <t>KOSMOS</t>
  </si>
  <si>
    <t>ALAIN HERNAN MARTINEZ LOPEZ</t>
  </si>
  <si>
    <t>+525554553326</t>
  </si>
  <si>
    <t>alain.martinez@irkon.mx</t>
  </si>
  <si>
    <t>Empresa holding con sede en CDMX que agrupa o administra inversiones en diferentes sectores del mercado mexicano, con enfoque en la gestión estratégica de activos y participaciones empresariales.</t>
  </si>
  <si>
    <t>Estar muy cerca, muy buen servicio para que entren 10mil usuarios</t>
  </si>
  <si>
    <t>OP (esperando migración)</t>
  </si>
  <si>
    <t>Stevanato Group</t>
  </si>
  <si>
    <t>BENEFIT</t>
  </si>
  <si>
    <t>Kenya</t>
  </si>
  <si>
    <t>8119965107</t>
  </si>
  <si>
    <t>kenya.castillo@stevanatogroup.com</t>
  </si>
  <si>
    <t>BTI091109N58</t>
  </si>
  <si>
    <t>BENEFICIOS PARA TI</t>
  </si>
  <si>
    <t>Antonio</t>
  </si>
  <si>
    <t>amcano@benefit.mx</t>
  </si>
  <si>
    <t>Empresa de tecnología y beneficios laborales con sede en CDMX, que ofrece plataformas y soluciones de administración de beneficios, descuentos y servicios para empleados de empresas.</t>
  </si>
  <si>
    <t>GHE070816PH9</t>
  </si>
  <si>
    <t>GRUPO HELARTE</t>
  </si>
  <si>
    <t>Grupo Helarte</t>
  </si>
  <si>
    <t>+522227360884</t>
  </si>
  <si>
    <t>oscar.palacios@comgomez.com</t>
  </si>
  <si>
    <t>Grupo empresarial mexicano con presencia en el sector gastronómico y de entretenimiento, que opera restaurantes, heladerías o espacios de ocio en la Ciudad de México.</t>
  </si>
  <si>
    <t>XAN1712213KA</t>
  </si>
  <si>
    <t>XANDER</t>
  </si>
  <si>
    <t>Lizbeth Monsivais / Jose Luis Gamboa / Patricia Lizbeth Monsivais Canizales / Patricia Lizbeth Monsivais Canizales Monsivais Canizales</t>
  </si>
  <si>
    <t>81023065 / 8120029994 / 8115245040 / 8115245040</t>
  </si>
  <si>
    <t>rh@xanderg.com.mx / compras@xanderg.com.mx / rh@xanderg.com.mx / rh@xanderg.com.mx</t>
  </si>
  <si>
    <t>PMP880421AI5</t>
  </si>
  <si>
    <t>POLIMERO Y MATERIAS PRIMAS INTERNACIONALES</t>
  </si>
  <si>
    <t>POLYMAT</t>
  </si>
  <si>
    <t>17. Planta Productiva</t>
  </si>
  <si>
    <t>MEM151216BX3</t>
  </si>
  <si>
    <t>MULTIMARCAS DEL ESTADO DE MEXICO</t>
  </si>
  <si>
    <t>Saul</t>
  </si>
  <si>
    <t>5215555018296</t>
  </si>
  <si>
    <t>saul@multimex.mx</t>
  </si>
  <si>
    <t>Empresa comercializadora multimarcas con sede en el Estado de México, dedicada a la distribución de productos de consumo de diversas marcas en canales de venta al mayoreo y menudeo.</t>
  </si>
  <si>
    <t>GSY110601FD4</t>
  </si>
  <si>
    <t>GENESIS SYSTEMS GROUP MEXICO</t>
  </si>
  <si>
    <t>Liliana Salazar Barrueta</t>
  </si>
  <si>
    <t>lsalazar@ipgphotonics.com</t>
  </si>
  <si>
    <t>Subsidiaria de Genesis Systems Group, empresa estadounidense especializada en sistemas de soldadura robótica y automatización industrial para la manufactura de precisión en México.</t>
  </si>
  <si>
    <t>HMS2409264R7</t>
  </si>
  <si>
    <t>HORIZON MOBILITY SOLUTIONS</t>
  </si>
  <si>
    <t>Empresa de soluciones tecnológicas de movilidad con sede en CDMX, especializada en plataformas digitales, aplicaciones y sistemas para gestión de flotas, transporte y logística.</t>
  </si>
  <si>
    <t>CAG161004AR6</t>
  </si>
  <si>
    <t>CENTROS AUDITIVOS GAES MEXICO</t>
  </si>
  <si>
    <t>Cuenta con negociación regional</t>
  </si>
  <si>
    <t>5584492639</t>
  </si>
  <si>
    <t>angel.martinez@amplifon.com</t>
  </si>
  <si>
    <t>Red de centros auditivos del grupo español GAES con presencia en México, especializada en diagnóstico, adaptación de audífonos y rehabilitación auditiva para personas con pérdida auditiva.</t>
  </si>
  <si>
    <t>TDI010611BF7</t>
  </si>
  <si>
    <t>TROLLE DIVERS</t>
  </si>
  <si>
    <t>Betzabel</t>
  </si>
  <si>
    <t>9211171107</t>
  </si>
  <si>
    <t>betzabelimon@gmail.com</t>
  </si>
  <si>
    <t>Empresa de servicios con sede en CDMX, posiblemente orientada a soluciones de distribución, comercialización o servicios especializados para el mercado empresarial mexicano.</t>
  </si>
  <si>
    <t>BIO970908SF7</t>
  </si>
  <si>
    <t>BIOTECCSA</t>
  </si>
  <si>
    <t>6421509036</t>
  </si>
  <si>
    <t>marioab93@hotmail.com</t>
  </si>
  <si>
    <t>Empresa de biotecnología con sede en CDMX, dedicada al desarrollo, producción y distribución de productos biotecnológicos para el sector salud, agricultura o industria en México.</t>
  </si>
  <si>
    <t>MOMJ891210U67</t>
  </si>
  <si>
    <t>JOYCE WENDOLYN MORALES MARTINEZ</t>
  </si>
  <si>
    <t>Persona física con actividad empresarial en México, posiblemente en el área de servicios o consultoría.</t>
  </si>
  <si>
    <t>BME940722RIA</t>
  </si>
  <si>
    <t>BEMIS DE MEXICO</t>
  </si>
  <si>
    <t>5218115330393</t>
  </si>
  <si>
    <t>sara.delacruz@bemismfg.com</t>
  </si>
  <si>
    <t>Subsidiaria de Bemis Company, empresa estadounidense fabricante de empaques y materiales de empaque flexibles para la industria alimentaria y de consumo masivo con planta en México.</t>
  </si>
  <si>
    <t>ACO2007247V1</t>
  </si>
  <si>
    <t>ARMAZON CONSTRUCTORA</t>
  </si>
  <si>
    <t>Jorge Diez López</t>
  </si>
  <si>
    <t>jdiezl@armazonconstructora.com</t>
  </si>
  <si>
    <t>Empresa constructora con sede en CDMX, especializada en proyectos residenciales, comerciales e industriales, incluyendo estructuras metálicas, obra civil y edificación en general.</t>
  </si>
  <si>
    <t>MPS151027IQ6</t>
  </si>
  <si>
    <t>SOCIEDAD MEXICANA DE PARRILLEROS SMP</t>
  </si>
  <si>
    <t>Isabel Licea</t>
  </si>
  <si>
    <t>isabel@soyparrillero.mx</t>
  </si>
  <si>
    <t>Asociación o empresa del sector gastronómico con sede en CDMX, dedicada a la promoción y operación de negocios de parrilla, restauración y servicios de catering en México.</t>
  </si>
  <si>
    <t>FSC230418V26</t>
  </si>
  <si>
    <t>FEMPA SERVICIOS DE COMIDA</t>
  </si>
  <si>
    <t>Empresa de servicios de alimentación con sede en CDMX, especializada en comedor industrial, catering o food service para empresas e instituciones.</t>
  </si>
  <si>
    <t>BAUNULL INGENIERIA</t>
  </si>
  <si>
    <t>AMO080904JR2</t>
  </si>
  <si>
    <t>ANDAMIOS MONTERREY</t>
  </si>
  <si>
    <t>81144660436</t>
  </si>
  <si>
    <t>mhernandez@andamiosmonterrey.com</t>
  </si>
  <si>
    <t>Empresa regiomontana dedicada al alquiler y venta de andamios y sistemas de acceso para la industria de la construcción y mantenimiento industrial en el norte de México.</t>
  </si>
  <si>
    <t>EME2001278Y1</t>
  </si>
  <si>
    <t>ERGOMEDICAL DE MEXICO</t>
  </si>
  <si>
    <t>6641357976</t>
  </si>
  <si>
    <t>rh@ergomedical.net</t>
  </si>
  <si>
    <t>Empresa de salud ocupacional y ergonomía con sede en CDMX, especializada en evaluaciones ergonómicas, equipos médicos y consultoría para la prevención de lesiones laborales en empresas.</t>
  </si>
  <si>
    <t>EGO1509181N1</t>
  </si>
  <si>
    <t>EDIFICACIONES GOVA</t>
  </si>
  <si>
    <t>GOVA</t>
  </si>
  <si>
    <t>Empresa constructora con sede en CDMX, especializada en proyectos de edificación residencial, comercial e industrial con enfoque en la calidad y cumplimiento de plazos.</t>
  </si>
  <si>
    <t>LVV05051325A</t>
  </si>
  <si>
    <t>LOMAS VERDES 21 Y ASOCIADOS</t>
  </si>
  <si>
    <t>INMOBICO</t>
  </si>
  <si>
    <t>Empresa o despacho de servicios profesionales con sede en Lomas Verdes, Estado de México, posiblemente en el área de consultoría, asesoría jurídica o servicios empresariales.</t>
  </si>
  <si>
    <t>GCX1907022T0</t>
  </si>
  <si>
    <t>GOVA CH</t>
  </si>
  <si>
    <t>Palmira</t>
  </si>
  <si>
    <t>3221943917</t>
  </si>
  <si>
    <t>capitalhumano@govacasa.com</t>
  </si>
  <si>
    <t>Empresa constructora con sede en Chihuahua, dedicada a proyectos de edificación residencial, comercial e industrial en el norte de México.</t>
  </si>
  <si>
    <t>LMA231027N36</t>
  </si>
  <si>
    <t>LINESHOP MARKET</t>
  </si>
  <si>
    <t>Francisco</t>
  </si>
  <si>
    <t>5565321110</t>
  </si>
  <si>
    <t>nominas4@consultoriaisc.com</t>
  </si>
  <si>
    <t>CTE120731CF7</t>
  </si>
  <si>
    <t>COMERCIALIZADORA TELATOR</t>
  </si>
  <si>
    <t>Mayra</t>
  </si>
  <si>
    <t>5215519342656</t>
  </si>
  <si>
    <t>contabilidad@telator.com.mx</t>
  </si>
  <si>
    <t>Empresa comercializadora con sede en CDMX, dedicada a la distribución y venta de productos o servicios para el mercado empresarial o de consumo final.</t>
  </si>
  <si>
    <t>FBC170911N52</t>
  </si>
  <si>
    <t>FUNDADORES BEACH CLUB</t>
  </si>
  <si>
    <t>6241661900</t>
  </si>
  <si>
    <t>verogastelum@theclubfundadores.com</t>
  </si>
  <si>
    <t>Baja California Sur</t>
  </si>
  <si>
    <t>Club de playa y entretenimiento en Los Cabos, Baja California Sur, que ofrece servicios de hospedaje, gastronomía y actividades recreativas a turistas nacionales e internacionales.</t>
  </si>
  <si>
    <t>BBE190715CI6</t>
  </si>
  <si>
    <t>BROTHERS BEEF</t>
  </si>
  <si>
    <t>Yoana</t>
  </si>
  <si>
    <t>4651017909</t>
  </si>
  <si>
    <t>jaquelineglzg2244@gmail.com</t>
  </si>
  <si>
    <t>Restaurante o cadena de restaurantes de cortes y carnes con sede en México, especializada en la preparación y servicio de carne de res, hamburguesas y platillos a base de carne.</t>
  </si>
  <si>
    <t>SDH2404084A7</t>
  </si>
  <si>
    <t>SMILE DENTAL HALI</t>
  </si>
  <si>
    <t>Hanan</t>
  </si>
  <si>
    <t>5541886817</t>
  </si>
  <si>
    <t>hsafarfayad@gmail.com</t>
  </si>
  <si>
    <t>Empresa de servicios dentales con sede en CDMX, que ofrece atención odontológica integral incluyendo ortodoncia, implantes, blanqueamiento y odontología estética.</t>
  </si>
  <si>
    <t>CIC9409053C3</t>
  </si>
  <si>
    <t>COMERCIALIZADORA INTERNACIONAL DE COMPRESORES</t>
  </si>
  <si>
    <t>5540296546</t>
  </si>
  <si>
    <t>nomina@cic-sa.com.mx</t>
  </si>
  <si>
    <t>Empresa distribuidora e importadora de compresores industriales y equipo de aire comprimido para la industria manufacturera, automotriz y de servicios en México.</t>
  </si>
  <si>
    <t>MIE011128BA0</t>
  </si>
  <si>
    <t>MIELE</t>
  </si>
  <si>
    <t>5543605730</t>
  </si>
  <si>
    <t>eduardo.trejo@miele.com</t>
  </si>
  <si>
    <t>Subsidiaria de Miele, empresa alemana fabricante de electrodomésticos y equipos de alta gama para el hogar. Comercializa lavadoras, refrigeradores, hornos y equipos de cocina en México.</t>
  </si>
  <si>
    <t>RQU910522U82</t>
  </si>
  <si>
    <t>ROYAL QUEEN</t>
  </si>
  <si>
    <t>Norma</t>
  </si>
  <si>
    <t>5554450368</t>
  </si>
  <si>
    <t>marilu.nc28@gmail.com</t>
  </si>
  <si>
    <t>Empresa distribuidora y comercializadora de artículos para el hogar, cocina o decoración con sede en CDMX, orientada a canales de venta al mayoreo y menudeo.</t>
  </si>
  <si>
    <t>OME071221EU8</t>
  </si>
  <si>
    <t>OMNILASER MEDICAL</t>
  </si>
  <si>
    <t>Monica Bazaldua</t>
  </si>
  <si>
    <t>+525514237901</t>
  </si>
  <si>
    <t>mbazaldua@omnilaser.com.mx</t>
  </si>
  <si>
    <t>IAM990323PL2</t>
  </si>
  <si>
    <t>IPI-ASAC MEXICO</t>
  </si>
  <si>
    <t>Patricia</t>
  </si>
  <si>
    <t>5532005548</t>
  </si>
  <si>
    <t>ppastrana@asac.net</t>
  </si>
  <si>
    <t>Empresa de servicios con sede en CDMX, posiblemente relacionada con la industria de seguros, asesoría o consultoría para el sector empresarial en México.</t>
  </si>
  <si>
    <t>NFV240522SP6</t>
  </si>
  <si>
    <t>NUEVA FVZ</t>
  </si>
  <si>
    <t>5511525431</t>
  </si>
  <si>
    <t>idell4733@gmail.com</t>
  </si>
  <si>
    <t>Empresa de servicios con sede en México, posiblemente orientada a soluciones comerciales, operativas o de gestión para clientes del sector privado.</t>
  </si>
  <si>
    <t>SOLUCIONES EN MANTENIMIENTO INDUSTRIAL MAQUI</t>
  </si>
  <si>
    <t>DME150723JWA</t>
  </si>
  <si>
    <t>DRILLMEC MEXICO</t>
  </si>
  <si>
    <t>8991603480</t>
  </si>
  <si>
    <t>jorgealbertoak@gmail.com</t>
  </si>
  <si>
    <t>CST950118B86</t>
  </si>
  <si>
    <t>CAJA SOLIDARIA TECOLOTLAN</t>
  </si>
  <si>
    <t>No se estaba facturando pero se recuperó</t>
  </si>
  <si>
    <t>Miguel Chavarin</t>
  </si>
  <si>
    <t>+523757607053</t>
  </si>
  <si>
    <t>corporativocajateco@hotmail.com</t>
  </si>
  <si>
    <t>NVM020128DR8</t>
  </si>
  <si>
    <t>NEODATA VALLE DE MEXICO</t>
  </si>
  <si>
    <t>Jessica Elizabeth Casañas Hidalgo</t>
  </si>
  <si>
    <t>+5252860101</t>
  </si>
  <si>
    <t>ehidalgo@neodata.com.mx</t>
  </si>
  <si>
    <t>Empresa tecnológica de la región del Valle de México, especializada en gestión de datos, soluciones digitales y servicios de TI para el sector empresarial y gubernamental.</t>
  </si>
  <si>
    <t>JLM SERVICIOS PROFESIONALES INTEGRALES</t>
  </si>
  <si>
    <t>Empresa de servicios profesionales integrales con sede en CDMX, que provee soluciones de consultoría, outsourcing y gestión para clientes del sector empresarial en México.</t>
  </si>
  <si>
    <t>FIN210217CQ4</t>
  </si>
  <si>
    <t>FULLMEX INDUSTRIAL</t>
  </si>
  <si>
    <t>Adrian gerardo Tijerina garza</t>
  </si>
  <si>
    <t>+528110790340</t>
  </si>
  <si>
    <t>at@fullmex.com.mx</t>
  </si>
  <si>
    <t>Empresa industrial de construcción con sede en CDMX, especializada en proyectos de obra civil, instalaciones industriales y construcción de naves y bodegas.</t>
  </si>
  <si>
    <t>OK(012024)</t>
  </si>
  <si>
    <t>IMP170815LW8</t>
  </si>
  <si>
    <t>INTELIGENCIA MEDIDAS DE PROTECCION ESPECIALIZADA</t>
  </si>
  <si>
    <t>Rubicela</t>
  </si>
  <si>
    <t>5589427973</t>
  </si>
  <si>
    <t>serviciosgenerales@impeseguridad.com</t>
  </si>
  <si>
    <t>Empresa de seguridad especializada con sede en CDMX, que ofrece servicios de protección personal, análisis de inteligencia y medidas de seguridad para clientes de alto perfil.</t>
  </si>
  <si>
    <t>PCD251020LL8</t>
  </si>
  <si>
    <t>PROYECTO COMUN DOBEL</t>
  </si>
  <si>
    <t>Empresa del sector de bebidas alcohólicas premium, posiblemente relacionada con la marca Tequila Dobel, orientada a la distribución y comercialización de spirits en México.</t>
  </si>
  <si>
    <t>FTA200224M40</t>
  </si>
  <si>
    <t>HORIZON PORTS INTERNATIONAL</t>
  </si>
  <si>
    <t>Empresa de logística y servicios portuarios con sede en CDMX, especializada en operaciones de importación, exportación y gestión de carga en puertos y terminales de México.</t>
  </si>
  <si>
    <t>RRE1312132P5</t>
  </si>
  <si>
    <t>REYCO RENOVABLES</t>
  </si>
  <si>
    <t>Eleazar</t>
  </si>
  <si>
    <t>5585810704</t>
  </si>
  <si>
    <t>egf@reycorenovables.com</t>
  </si>
  <si>
    <t>Empresa de energías renovables con sede en CDMX, especializada en el diseño, instalación y mantenimiento de sistemas de energía solar fotovoltaica y otras fuentes renovables.</t>
  </si>
  <si>
    <t>PAC080630FB5</t>
  </si>
  <si>
    <t>PACADA</t>
  </si>
  <si>
    <t>Cecilia</t>
  </si>
  <si>
    <t>5531387278</t>
  </si>
  <si>
    <t>consultaoperaciones1@pacada.com.mx</t>
  </si>
  <si>
    <t>Empresa de servicios con sede en México, posiblemente orientada a soluciones operativas o comerciales para el sector empresarial local.</t>
  </si>
  <si>
    <t>GAM150506NR1</t>
  </si>
  <si>
    <t>GEIGER AUTOMOTIVE DE MEXICO</t>
  </si>
  <si>
    <t>Miriam Jessica Morin Elizalde</t>
  </si>
  <si>
    <t>+524424750561</t>
  </si>
  <si>
    <t>miriam.morin@geigerautomotive.com</t>
  </si>
  <si>
    <t>Empresa del sector automotriz con operaciones en el Estado de México, dedicada a la fabricación o distribución de componentes y partes para la industria automotriz.</t>
  </si>
  <si>
    <t>FCO240904B38</t>
  </si>
  <si>
    <t>FRANQUICIAS COLMEX</t>
  </si>
  <si>
    <t>Ingrid</t>
  </si>
  <si>
    <t>573133897930</t>
  </si>
  <si>
    <t>vanessa.vera@superwow.com.co</t>
  </si>
  <si>
    <t>Empresa consultora y operadora de franquicias con sede en CDMX, dedicada a la asesoría, desarrollo y expansión de modelos de franquicia para marcas y emprendedores en México.</t>
  </si>
  <si>
    <t>RCT131209EN5</t>
  </si>
  <si>
    <t>REFRIGERACION COMERCIAL TEHUACAN</t>
  </si>
  <si>
    <t>Juan Guillermo Cortes</t>
  </si>
  <si>
    <t>+522381519422</t>
  </si>
  <si>
    <t>CONTABILIDAD@RECOTEH.COM.MX</t>
  </si>
  <si>
    <t>Empresa de refrigeración comercial con sede en Tehuacán, Puebla, especializada en la venta, instalación y mantenimiento de equipos de refrigeración y climatización para negocios.</t>
  </si>
  <si>
    <t>ZAPATERIAS REYNALDO</t>
  </si>
  <si>
    <t>QCC040420QV8</t>
  </si>
  <si>
    <t>QUALITY COCINAS Y CLOSETS</t>
  </si>
  <si>
    <t>Miguel Campos / MIGUEL ESTEBAN CAMPOS SALAS / Miguel Campos</t>
  </si>
  <si>
    <t>8126045930 / +528120193001 / +52 1 81 2019 3001</t>
  </si>
  <si>
    <t>facturacion@oficinasquality.com / campossalasmiguel@gmail.com / facturacion@oficinasquality.com</t>
  </si>
  <si>
    <t>FDC740420AD2</t>
  </si>
  <si>
    <t>FABRICA DE DULCES Y CHOCOLATES LA POBLANA</t>
  </si>
  <si>
    <t>Empresa poblana con tradición en la fabricación y comercialización de dulces típicos, chocolates y confitería artesanal para el mercado local y de exportación.</t>
  </si>
  <si>
    <t>OLA0911099P8</t>
  </si>
  <si>
    <t>GRUPO OFTALMOLOGICO LASER DE MEXICO</t>
  </si>
  <si>
    <t>Marisela</t>
  </si>
  <si>
    <t>6643747965</t>
  </si>
  <si>
    <t>admingrupolaser@icloud.com</t>
  </si>
  <si>
    <t>Grupo de clínicas oftalmológicas con presencia en México, especializado en cirugía LASIK, tratamiento de cataratas, glaucoma y enfermedades de la vista.</t>
  </si>
  <si>
    <t>TCH150626PH1</t>
  </si>
  <si>
    <t>TODO PARA EL CARPINTERO Y HERRAJES MARTINEZ</t>
  </si>
  <si>
    <t>Luis Fregoso</t>
  </si>
  <si>
    <t>+523319908933</t>
  </si>
  <si>
    <t>compras.herrajesmartinez@gmail.com</t>
  </si>
  <si>
    <t>Empresa especializada en la venta de herramientas, materiales y herrajes para carpintería y acabados de construcción, con sede en la Ciudad de México.</t>
  </si>
  <si>
    <t>GFE940613MZ5</t>
  </si>
  <si>
    <t>GRUPO FERTINAL</t>
  </si>
  <si>
    <t>Ileana</t>
  </si>
  <si>
    <t>5527171805</t>
  </si>
  <si>
    <t>ijsaucedor@fertinal.com</t>
  </si>
  <si>
    <t>Empresa agroindustrial con operaciones en Sonora, dedicada a la producción y distribución de fertilizantes y agroquímicos para el sector agrícola en México.</t>
  </si>
  <si>
    <t>CMI130821M53</t>
  </si>
  <si>
    <t>COMERCIALIZADORA MIKONOS</t>
  </si>
  <si>
    <t>Incidencia con usuarios, llamada con mesa 9-junio 11am</t>
  </si>
  <si>
    <t>Julio César de Jesús</t>
  </si>
  <si>
    <t>+525566962678</t>
  </si>
  <si>
    <t>julio.guerra@mikonos.com.mx</t>
  </si>
  <si>
    <t>Empresa comercializadora y distribuidora de productos de consumo con sede en Ciudad de México, orientada a la venta y distribución en canales mayoristas y minoristas.</t>
  </si>
  <si>
    <t>LNE181017TSA</t>
  </si>
  <si>
    <t>VALTIERRA CERAMICA</t>
  </si>
  <si>
    <t>Perla</t>
  </si>
  <si>
    <t>525542293138</t>
  </si>
  <si>
    <t>perla@perlavaltierra.com</t>
  </si>
  <si>
    <t>Empresa cerámica con sede en Jalisco, dedicada a la fabricación y comercialización de cerámica artesanal, azulejos, vajillas y artículos decorativos en México.</t>
  </si>
  <si>
    <t>MFM210914BY8</t>
  </si>
  <si>
    <t>MANKA FOODS</t>
  </si>
  <si>
    <t>6468744437</t>
  </si>
  <si>
    <t>rbejar@manka-foods.com</t>
  </si>
  <si>
    <t>Empresa del sector alimentario dedicada a la producción y distribución de alimentos procesados con presencia en el mercado mexicano, con enfoque en productos de consumo masivo.</t>
  </si>
  <si>
    <t>DHG170602LY6</t>
  </si>
  <si>
    <t>DHGN1</t>
  </si>
  <si>
    <t>Pascual</t>
  </si>
  <si>
    <t>8121002107</t>
  </si>
  <si>
    <t>pascual.barba@dharmacapital.com</t>
  </si>
  <si>
    <t>AAAL6611248E7</t>
  </si>
  <si>
    <t>LETICIA ALMAZAN ARELLANO</t>
  </si>
  <si>
    <t>Persona física con actividad empresarial en México, posiblemente en el área de servicios profesionales, consultoría o gestión comercial.</t>
  </si>
  <si>
    <t>OK(042024)</t>
  </si>
  <si>
    <t>FHP061214GQ0</t>
  </si>
  <si>
    <t>FERRETERIA Y HERRAMIENTAS PIZANO</t>
  </si>
  <si>
    <t>Patricia Juarez</t>
  </si>
  <si>
    <t>+525579586686</t>
  </si>
  <si>
    <t>patty.juarezf31@gmail.com</t>
  </si>
  <si>
    <t>Empresa familiar de ferretería con sede en CDMX, dedicada a la venta de herramientas, materiales de construcción y artículos de ferretería al público en general.</t>
  </si>
  <si>
    <t>SSM130902AF6</t>
  </si>
  <si>
    <t>SPARRMX SERVICIOS DE MEXICO</t>
  </si>
  <si>
    <t>6642810145</t>
  </si>
  <si>
    <t>emacias@sparrowsearch.com</t>
  </si>
  <si>
    <t>Empresa de outsourcing y servicios con sede en CDMX, que provee personal y soluciones operativas para clientes del sector empresarial en México.</t>
  </si>
  <si>
    <t>SAM091013B26</t>
  </si>
  <si>
    <t>SUMMIT AGRO MEXICO</t>
  </si>
  <si>
    <t>Víctor</t>
  </si>
  <si>
    <t>5580657905</t>
  </si>
  <si>
    <t>victor.arroyo@summit-agro.com</t>
  </si>
  <si>
    <t>Subsidiaria de Summit Agro, empresa japonesa especializada en la distribución de agroquímicos, plaguicidas y soluciones de protección de cultivos para el sector agrícola en México.</t>
  </si>
  <si>
    <t>GOSA4905292N3</t>
  </si>
  <si>
    <t>ARACELI MAGDALENA GONZALEZ SANCHEZ</t>
  </si>
  <si>
    <t>Ana</t>
  </si>
  <si>
    <t>8441224419</t>
  </si>
  <si>
    <t>garcia.anag3@gmail.com</t>
  </si>
  <si>
    <t>Persona física con actividad empresarial en México, posiblemente en el área de servicios o comercialización.</t>
  </si>
  <si>
    <t>VFL2509027ZA</t>
  </si>
  <si>
    <t>VIRAL FLAVOR (COCINA MEXICANA)</t>
  </si>
  <si>
    <t>5513847963</t>
  </si>
  <si>
    <t>alejandro.peralta@grupococinamexicana.com.mx</t>
  </si>
  <si>
    <t>EVD0911054N4</t>
  </si>
  <si>
    <t>ENERGIA LIMPIA SALUDABLE</t>
  </si>
  <si>
    <t>Empresa del sector de energías renovables y bienestar con sede en CDMX, orientada a la distribución de soluciones de energía limpia y productos sustentables para hogares y empresas.</t>
  </si>
  <si>
    <t>OK (Q3)</t>
  </si>
  <si>
    <t>EICM9908041P1</t>
  </si>
  <si>
    <t>MONICA ESPINOSA CABRERA</t>
  </si>
  <si>
    <t>LOS TARASCOS PUEBLA</t>
  </si>
  <si>
    <t>Cinthia del carmen Varela sanchez</t>
  </si>
  <si>
    <t>rhtarascos.pue@gmail.com</t>
  </si>
  <si>
    <t>Persona física con actividad empresarial en México, posiblemente en el área de servicios profesionales o consultoría.</t>
  </si>
  <si>
    <t>VIN160504DL8</t>
  </si>
  <si>
    <t>VOLTRUCK INTERNATIONAL</t>
  </si>
  <si>
    <t>Dejar sin kam</t>
  </si>
  <si>
    <t>Perla alejandra Trujillo bernal</t>
  </si>
  <si>
    <t>+528117488252</t>
  </si>
  <si>
    <t>atrujillo@voltruckintl.com</t>
  </si>
  <si>
    <t>Empresa del sector de vehículos eléctricos de carga con sede en CDMX, dedicada a la importación, distribución y servicios de camiones y vehículos eléctricos para transporte de mercancías.</t>
  </si>
  <si>
    <t>Energia</t>
  </si>
  <si>
    <t>PC DE MEXICO</t>
  </si>
  <si>
    <t>ARO090305TK9</t>
  </si>
  <si>
    <t>AROMAESENCIA</t>
  </si>
  <si>
    <t>Hojivel</t>
  </si>
  <si>
    <t>7894818477744</t>
  </si>
  <si>
    <t>hojivel.hernandez@aromaesencia.com</t>
  </si>
  <si>
    <t>Empresa distribuidora de aromas, esencias y productos de bienestar con sede en CDMX, orientada a la venta de aceites esenciales, fragancias y artículos de aromaterapia.</t>
  </si>
  <si>
    <t>CONSTRUCTORA DE BASCULAS</t>
  </si>
  <si>
    <t>GCF240821728</t>
  </si>
  <si>
    <t>GALI CENTRO DE FISIOTERAPIA INTEGRAL</t>
  </si>
  <si>
    <t>Ivanova</t>
  </si>
  <si>
    <t>5620202992</t>
  </si>
  <si>
    <t>comercial@fisioterapiaconthigo.com</t>
  </si>
  <si>
    <t>Centro de fisioterapia y rehabilitación física con sede en CDMX, que ofrece tratamientos de fisioterapia, terapia física, masajes terapéuticos y programas de recuperación.</t>
  </si>
  <si>
    <t>ABA930301AZ5</t>
  </si>
  <si>
    <t>AGROINDUSTRIAS DEL BALSAS</t>
  </si>
  <si>
    <t>afhernandez@fertinal.com</t>
  </si>
  <si>
    <t>Empresa agroindustrial del Valle del Balsas en Guerrero, dedicada al procesamiento y comercialización de productos agrícolas tropicales, incluyendo ajonjolí, sorgo y otros cultivos de la región.</t>
  </si>
  <si>
    <t>QLO040225BL6</t>
  </si>
  <si>
    <t>Q-LOGISTICS</t>
  </si>
  <si>
    <t>Empresa de logística y transporte con sede en CDMX, que ofrece soluciones de almacenamiento, distribución y cadena de suministro para clientes del sector comercial e industrial.</t>
  </si>
  <si>
    <t>EME171117B10</t>
  </si>
  <si>
    <t>ENELCOM MEXICO</t>
  </si>
  <si>
    <t>Empresa del sector eléctrico con sede en CDMX, dedicada a soluciones de energía, instalaciones eléctricas y suministro de equipos para el sector industrial y comercial.</t>
  </si>
  <si>
    <t>MEN191205HJ4</t>
  </si>
  <si>
    <t>MYGO ENERGY</t>
  </si>
  <si>
    <t>8123211088</t>
  </si>
  <si>
    <t>joseluis@mygoenergy.com</t>
  </si>
  <si>
    <t>Empresa de energías renovables con sede en CDMX, especializada en soluciones de energía solar, eficiencia energética y consultoría para la transición energética de empresas y hogares.</t>
  </si>
  <si>
    <t>AGN1010295D1</t>
  </si>
  <si>
    <t>ASESORES GRUPO NUÑO, AGENTE DE SEGUROS Y DE FIANZAS</t>
  </si>
  <si>
    <t>3315204284</t>
  </si>
  <si>
    <t>recursoshumanos@gruponuno.com</t>
  </si>
  <si>
    <t>Agente de seguros y fianzas con sede en CDMX, que ofrece asesoría en contratación de seguros de vida, autos, empresariales y fianzas para personas y empresas en México.</t>
  </si>
  <si>
    <t>HOTELERIA SUSTENTABLE BACALAR</t>
  </si>
  <si>
    <t>Quintana Roo</t>
  </si>
  <si>
    <t>Empresa de hospedaje sustentable ubicada en Bacalar, Quintana Roo, que opera hoteles boutique y ecolodges con enfoque en la preservación del entorno natural de la Laguna de Bacalar.</t>
  </si>
  <si>
    <t>VAL140908J22</t>
  </si>
  <si>
    <t>VALLELOZA</t>
  </si>
  <si>
    <t>Ana Miranda Ana Miranda</t>
  </si>
  <si>
    <t>+52552291055</t>
  </si>
  <si>
    <t>ana.miranda@valleloza.com.mx</t>
  </si>
  <si>
    <t>Empresa del sector turístico o gastronómico con sede en México, dedicada a la operación de restaurantes, cafeterías o espacios de entretenimiento para clientes locales y turistas.</t>
  </si>
  <si>
    <t>CCS1407042B3</t>
  </si>
  <si>
    <t>PEOPLE 2 MEXICO</t>
  </si>
  <si>
    <t>Thaís</t>
  </si>
  <si>
    <t>553184694806</t>
  </si>
  <si>
    <t>thais.araujo@people20.com</t>
  </si>
  <si>
    <t>Subsidiaria de People 2, empresa global de servicios de outsourcing de recursos humanos. Provee soluciones de empleador de registro (EOR), nómina y gestión de personal en México.</t>
  </si>
  <si>
    <t>DSA070813AZ8</t>
  </si>
  <si>
    <t>DRP SERVICIOS AUTOMOTRICES</t>
  </si>
  <si>
    <t>juliof@drpservicios.com.mx</t>
  </si>
  <si>
    <t>Empresa de servicios automotrices con sede en CDMX, especializada en mantenimiento, reparación y gestión de flotas vehiculares para empresas e individuos.</t>
  </si>
  <si>
    <t>VAU1712117P1</t>
  </si>
  <si>
    <t>VS AUTOMATIZACION</t>
  </si>
  <si>
    <t>Empresa de automatización industrial con sede en CDMX, especializada en el diseño e implementación de sistemas de control, robótica y automatización para procesos industriales.</t>
  </si>
  <si>
    <t>SIGU830407595</t>
  </si>
  <si>
    <t>GUILLERMO AUGUSTO FACUNDO SIMONINI</t>
  </si>
  <si>
    <t>Persona física con actividad empresarial en México, posiblemente en el área de servicios profesionales o comercialización.</t>
  </si>
  <si>
    <t>CORPORATIVO DELVEL K</t>
  </si>
  <si>
    <t>Corporativo automotriz con sede en Querétaro, que agrupa empresas dedicadas a la venta de vehículos nuevos y usados, representando marcas como Toyota y Kia en el estado.</t>
  </si>
  <si>
    <t>DPU960326RH8</t>
  </si>
  <si>
    <t>DULCERIA PUEBLA</t>
  </si>
  <si>
    <t>MARIA JOSE LIMON VARGAS</t>
  </si>
  <si>
    <t>+522227065769</t>
  </si>
  <si>
    <t>MARIJOLIMVAR@GMAIL.COM</t>
  </si>
  <si>
    <t>Empresa comercializadora de dulces y confitería tradicional poblana, con tiendas o distribución al por menor de productos dulceros típicos de la región.</t>
  </si>
  <si>
    <t>PAT2303013S8</t>
  </si>
  <si>
    <t>PANIFICADORA ARTESANAL TLAKATI</t>
  </si>
  <si>
    <t>5216675028039</t>
  </si>
  <si>
    <t>VENTAS@TLAKATI.COM</t>
  </si>
  <si>
    <t>Panadería artesanal con sede en México, dedicada a la elaboración y comercialización de pan artesanal con ingredientes naturales y técnicas tradicionales de panificación.</t>
  </si>
  <si>
    <t>HTS920320HJA</t>
  </si>
  <si>
    <t>HIGH TECH SERVICES</t>
  </si>
  <si>
    <t>Mercedes</t>
  </si>
  <si>
    <t>5512288674</t>
  </si>
  <si>
    <t>m.ramirez@grupohts.com.mx</t>
  </si>
  <si>
    <t>Empresa de servicios tecnológicos aplicados a la construcción con sede en CDMX, especializada en instalaciones especiales, sistemas de automatización o soluciones técnicas para edificios.</t>
  </si>
  <si>
    <t>PIN061123DF2</t>
  </si>
  <si>
    <t>PLUS IND</t>
  </si>
  <si>
    <t>Amairani</t>
  </si>
  <si>
    <t>5581439171</t>
  </si>
  <si>
    <t>contabilidad@plusindustrial.com</t>
  </si>
  <si>
    <t>Empresa industrial con sede en México, posiblemente orientada a la distribución de insumos, materiales o servicios para el sector manufacturero.</t>
  </si>
  <si>
    <t>CAPA500210UB8</t>
  </si>
  <si>
    <t>ALFREDO CADENA PADRON</t>
  </si>
  <si>
    <t>Persona física con actividad empresarial en México, posiblemente en el área de servicios profesionales o gestión comercial.</t>
  </si>
  <si>
    <t>GGA081113CX3</t>
  </si>
  <si>
    <t>GRUPO GRAFICO ALBANS</t>
  </si>
  <si>
    <t>ernesto.marban@grupograficoalbans.com</t>
  </si>
  <si>
    <t>Empresa gráfica e impresora con sede en CDMX, dedicada a la producción de materiales impresos, publicidad gráfica y soluciones de impresión para empresas e instituciones.</t>
  </si>
  <si>
    <t>SCI190315K9A</t>
  </si>
  <si>
    <t>SMARK CHEMICALS INTERNATIONAL</t>
  </si>
  <si>
    <t>Omar Vicente Villalobos Castro</t>
  </si>
  <si>
    <t>6028049294</t>
  </si>
  <si>
    <t>omar@smarkchemint.com</t>
  </si>
  <si>
    <t>Empresa distribuidora e importadora de productos químicos especializados para la industria, con operaciones internacionales y presencia en el mercado mexicano.</t>
  </si>
  <si>
    <t>GEM991008NQ2</t>
  </si>
  <si>
    <t>GRUPO DE ESTUDIOS MEDICOS Y FAMILIARES CARRACI</t>
  </si>
  <si>
    <t>Nuria Lanzagorta Piñol</t>
  </si>
  <si>
    <t>5215554075463</t>
  </si>
  <si>
    <t>lanzagorta_nuria@gmc.org.mx</t>
  </si>
  <si>
    <t>Grupo médico con sede en CDMX, especializado en atención médica familiar e integral, incluyendo consulta general, estudios de laboratorio y servicios preventivos de salud.</t>
  </si>
  <si>
    <t>MCC220906B88</t>
  </si>
  <si>
    <t>MAXIMA COBERTURA COSTERA DE SERVICIOS INMOBILIARIOS</t>
  </si>
  <si>
    <t>9541782661</t>
  </si>
  <si>
    <t>recursoshumanos@inmobisur.mx</t>
  </si>
  <si>
    <t>Empresa inmobiliaria con presencia en zonas costeras de Baja California Sur, especializada en la comercialización, renta y administración de propiedades residenciales y turísticas.</t>
  </si>
  <si>
    <t>MIM210319F80</t>
  </si>
  <si>
    <t>MEXICO INVITA MEDICAL</t>
  </si>
  <si>
    <t>Gabriel</t>
  </si>
  <si>
    <t>11943247725</t>
  </si>
  <si>
    <t>gabriel.araujo@invitamedical.com.br</t>
  </si>
  <si>
    <t>Empresa de turismo médico con sede en CDMX, dedicada a atraer pacientes internacionales a México para procedimientos médicos especializados, cirugía estética y tratamientos a precios competitivos.</t>
  </si>
  <si>
    <t>TVO950104DH2</t>
  </si>
  <si>
    <t>TRANSPORTADORA LOS VOLCANES</t>
  </si>
  <si>
    <t>JARB880122RG6</t>
  </si>
  <si>
    <t>BLANCA LIDIA JAIMES RAMIREZ</t>
  </si>
  <si>
    <t>5580503683</t>
  </si>
  <si>
    <t>contabilidad@ferinox.com.mx</t>
  </si>
  <si>
    <t>SEA100123MR1</t>
  </si>
  <si>
    <t>SERVICIOS EMPRESARIALES DE ALTURA</t>
  </si>
  <si>
    <t>Itzel Mexicano / Montserrat Itzel Mexicano</t>
  </si>
  <si>
    <t>+528117659669 / 8117659669</t>
  </si>
  <si>
    <t>itzel.mexicano@serviciosdealturamexico.com / itzel.mexicano@serviciosdealturamexico.com</t>
  </si>
  <si>
    <t>Empresa de servicios empresariales con sede en CDMX, posiblemente especializada en trabajo en altura, mantenimiento de fachadas o servicios industriales especializados.</t>
  </si>
  <si>
    <t>PESF550906FF8</t>
  </si>
  <si>
    <t>FAUSTO PEREZ SANCHEZ</t>
  </si>
  <si>
    <t>sofia_gonzalez@grupofapsa.com.mx</t>
  </si>
  <si>
    <t>MEM230524HE2</t>
  </si>
  <si>
    <t>MANTENIMIENTO ESPECIALIZADO EN MAQUINAS ROTATIVAS</t>
  </si>
  <si>
    <t>Cristina Lara</t>
  </si>
  <si>
    <t>+525610046626</t>
  </si>
  <si>
    <t>compras@mersae.com.mx</t>
  </si>
  <si>
    <t>ATO110314DD7</t>
  </si>
  <si>
    <t>AG. TRAUMA Y ORTOPEDIA</t>
  </si>
  <si>
    <t>Nancy</t>
  </si>
  <si>
    <t>nancy.tiscarenop@gmail.com</t>
  </si>
  <si>
    <t>Agencia o empresa de servicios médicos especializada en traumatología y ortopedia, con sede en CDMX, que distribuye dispositivos ortopédicos o brinda atención especializada en lesiones musculoesqueléticas.</t>
  </si>
  <si>
    <t>CRE040604TE1</t>
  </si>
  <si>
    <t>CREASUNN</t>
  </si>
  <si>
    <t>Enrique García gutiérrez</t>
  </si>
  <si>
    <t>4424792571</t>
  </si>
  <si>
    <t>enriqueg@creasunn.com</t>
  </si>
  <si>
    <t>Empresa de energía solar con sede en México, especializada en el diseño, instalación y mantenimiento de sistemas fotovoltaicos para hogares, comercios e industrias.</t>
  </si>
  <si>
    <t>JEC190918RM4</t>
  </si>
  <si>
    <t>JUST MI ESTUDIO CREATIVO</t>
  </si>
  <si>
    <t>Laura</t>
  </si>
  <si>
    <t>laura@justcreative.mx</t>
  </si>
  <si>
    <t>Estudio creativo con sede en CDMX, especializado en diseño gráfico, branding, producción audiovisual y soluciones creativas para marcas y empresas en México.</t>
  </si>
  <si>
    <t>RFB040816AY8</t>
  </si>
  <si>
    <t>RESINAS Y FIBRAS DE BAJA CALIFORNIA</t>
  </si>
  <si>
    <t>Raquel Medina Medina Araujo</t>
  </si>
  <si>
    <t>+520</t>
  </si>
  <si>
    <t>administracion@resinasyfibras.com</t>
  </si>
  <si>
    <t>Empresa fabricante y distribuidora de resinas plásticas y fibras de vidrio para la industria manufacturera con sede en Baja California, orientada a clientes del sector industrial y automotriz.</t>
  </si>
  <si>
    <t>BAJ231023QJ8</t>
  </si>
  <si>
    <t>BIOINSUMOS AGRICOLAS DE JALISCO</t>
  </si>
  <si>
    <t>3333399670</t>
  </si>
  <si>
    <t>jorgecontreras@biojal.com</t>
  </si>
  <si>
    <t>Empresa de insumos biológicos para la agricultura con sede en Jalisco, que produce y distribuye biofertilizantes, bioestimulantes y agentes de control biológico para cultivos.</t>
  </si>
  <si>
    <t>DCL121128AC9</t>
  </si>
  <si>
    <t>DISTRIBUIDORA CLABECK</t>
  </si>
  <si>
    <t>CLABECK</t>
  </si>
  <si>
    <t>Beatriz eugenia Becker dominguez</t>
  </si>
  <si>
    <t>+52555555</t>
  </si>
  <si>
    <t>beatrizbecker@clabeck.com</t>
  </si>
  <si>
    <t>Empresa distribuidora y comercializadora de productos de consumo masivo con presencia nacional.</t>
  </si>
  <si>
    <t>IGE140522LA3</t>
  </si>
  <si>
    <t>THE IGENCY</t>
  </si>
  <si>
    <t>Lizeth Casanova / Lizeth Casanova</t>
  </si>
  <si>
    <t>+525527194957 / +525527194957</t>
  </si>
  <si>
    <t>araceli.casanov@igency.mx / araceli.casanova@igency.mx</t>
  </si>
  <si>
    <t>Agencia de servicios creativos, marketing o comunicación con sede en CDMX, especializada en estrategias digitales, branding y campañas para marcas en el mercado mexicano.</t>
  </si>
  <si>
    <t>GRB140814TJ2</t>
  </si>
  <si>
    <t>GLIDER RIO BRAVO</t>
  </si>
  <si>
    <t>Empresa de servicios con sede en la zona fronteriza del Río Bravo en Tamaulipas, posiblemente orientada a actividades turísticas, logísticas o de comercio exterior en la región.</t>
  </si>
  <si>
    <t>QTE170922HC9</t>
  </si>
  <si>
    <t>QUALIS TECHNOLOGIES</t>
  </si>
  <si>
    <t>Empresa del grupo DAROVI proveedora de tecnología y equipamiento para laboratorios clínicos y hospitales en México.</t>
  </si>
  <si>
    <t>JAZ210918JJ6</t>
  </si>
  <si>
    <t>JUIA ANCHUKUARINHIRI ZUM ZUM</t>
  </si>
  <si>
    <t>Stefanny</t>
  </si>
  <si>
    <t>3511856998</t>
  </si>
  <si>
    <t>nominas@grupocbz.com</t>
  </si>
  <si>
    <t>Empresa o negocio con denominación inusual registrado en México, posiblemente dedicado a actividades de entretenimiento, servicios culturales o comerciales.</t>
  </si>
  <si>
    <t>EPS230706UX2</t>
  </si>
  <si>
    <t>EMLI PRODUCTOS Y SERVICIOS ELECTRICOS</t>
  </si>
  <si>
    <t>8184723123</t>
  </si>
  <si>
    <t>contabilidad1.emli@gmail.com</t>
  </si>
  <si>
    <t>Empresa distribuidora de productos y servicios eléctricos con sede en CDMX, orientada a la comercialización de materiales eléctricos, tableros y equipos para instalaciones residenciales e industriales.</t>
  </si>
  <si>
    <t>COMPAÑIA PRACTISEGURA</t>
  </si>
  <si>
    <t>Empresa de seguridad privada con sede en CDMX, que ofrece servicios de vigilancia, protección de instalaciones y gestión de riesgos para clientes corporativos y comerciales.</t>
  </si>
  <si>
    <t>JOSE JUAN ESPINOSA SANCHEZ</t>
  </si>
  <si>
    <t>Persona física con actividad empresarial en México, posiblemente en servicios o comercialización.</t>
  </si>
  <si>
    <t>PDI170117TX8</t>
  </si>
  <si>
    <t>PROYECTOS DIMA</t>
  </si>
  <si>
    <t>Fernando</t>
  </si>
  <si>
    <t>5539992243</t>
  </si>
  <si>
    <t>sistemas@prodima.com.mx</t>
  </si>
  <si>
    <t>Empresa de proyectos de construcción con sede en CDMX, dedicada al desarrollo y gestión de proyectos de obra civil, arquitectura e ingeniería.</t>
  </si>
  <si>
    <t>GOHS880823LV2</t>
  </si>
  <si>
    <t>JOSE SANTIAGO GONZALEZ HERNANDEZ</t>
  </si>
  <si>
    <t>Itzel</t>
  </si>
  <si>
    <t>3331708108</t>
  </si>
  <si>
    <t>costalegrerh@gmail.com</t>
  </si>
  <si>
    <t>CBE920513BS1</t>
  </si>
  <si>
    <t>COMISARIATO BENEDETTI' S</t>
  </si>
  <si>
    <t>División de comisariato del grupo Benedetti's, empresa gastronómica con sede en CDMX que provee servicios de alimentación para empresas, comedores industriales y colectividades.</t>
  </si>
  <si>
    <t>RARJ8610257S3</t>
  </si>
  <si>
    <t>JAIR GEOVANNI RAVIELA RAMIREZ</t>
  </si>
  <si>
    <t>Jair</t>
  </si>
  <si>
    <t>5213319779582</t>
  </si>
  <si>
    <t>axss.gdl@gmail.com</t>
  </si>
  <si>
    <t>CPA950420F77</t>
  </si>
  <si>
    <t>COMERCIALIZADORA DE PINTURAS ARTEAGA</t>
  </si>
  <si>
    <t>5214421472304</t>
  </si>
  <si>
    <t>contadriancomex@hotmail.com</t>
  </si>
  <si>
    <t>Empresa distribuidora de pinturas y recubrimientos con sede en CDMX, dedicada a la venta de pinturas decorativas e industriales para el mercado de consumo y construcción.</t>
  </si>
  <si>
    <t>ICB920121V54</t>
  </si>
  <si>
    <t>IMPULSORA DE COMERCIO BUGAMBILIAS</t>
  </si>
  <si>
    <t>Empresa comercializadora con sede en CDMX, dedicada a la distribución y venta de productos de consumo masivo para canales de comercio al por menor.</t>
  </si>
  <si>
    <t>CAR221004PI2</t>
  </si>
  <si>
    <t>CERRO AZUL RESTAURANTES ET CETERA</t>
  </si>
  <si>
    <t>JOSE EMILIO ESPINOSA CABRERA</t>
  </si>
  <si>
    <t>CIC0706161RA</t>
  </si>
  <si>
    <t>CONSTRUCTORA E IMPULSORA CONDOR</t>
  </si>
  <si>
    <t>5561077856</t>
  </si>
  <si>
    <t>grupopdmcontacto@gmail.com</t>
  </si>
  <si>
    <t>Empresa constructora con sede en CDMX, dedicada a la edificación, impulsora de proyectos de vivienda, comercio e infraestructura en la Ciudad de México y zona metropolitana.</t>
  </si>
  <si>
    <t>CPI080208DN3</t>
  </si>
  <si>
    <t>CCI PLANIGRUPO III</t>
  </si>
  <si>
    <t>Empresa del grupo inmobiliario y comercial CCI Planigrupo, dedicada al desarrollo de centros comerciales y proyectos inmobiliarios en México.</t>
  </si>
  <si>
    <t>GRUPO MAJOSA</t>
  </si>
  <si>
    <t>Grupo empresarial mexicano con actividades en servicios comerciales y operativos, con sede en CDMX orientado a clientes del sector privado.</t>
  </si>
  <si>
    <t>BENEDETTI'S PIZZA</t>
  </si>
  <si>
    <t>3121683269</t>
  </si>
  <si>
    <t>rhumanos@benedettis.com</t>
  </si>
  <si>
    <t>1000-5000</t>
  </si>
  <si>
    <t>Cadena de pizzerías mexicana con múltiples sucursales en la Ciudad de México, especializada en pizza artesanal, pasta y cocina italiana para el mercado masivo.</t>
  </si>
  <si>
    <t>VIL221118IJ3</t>
  </si>
  <si>
    <t>VILLAMACOCO</t>
  </si>
  <si>
    <t>Zayda Lopez</t>
  </si>
  <si>
    <t>+525581865146</t>
  </si>
  <si>
    <t>zmacoco@gmail.com</t>
  </si>
  <si>
    <t>Empresa constructora o inmobiliaria con sede en CDMX, dedicada al desarrollo y edificación de proyectos residenciales o comerciales en México.</t>
  </si>
  <si>
    <t>GOZG680921EN4</t>
  </si>
  <si>
    <t>GUADALUPE GONZALEZ ZAMARRIPA</t>
  </si>
  <si>
    <t>CPI0802085Y3</t>
  </si>
  <si>
    <t>CCI PLANIGRUPO II</t>
  </si>
  <si>
    <t>IBE1209273V7</t>
  </si>
  <si>
    <t>IBERDESPENSA</t>
  </si>
  <si>
    <t>Guillermo López</t>
  </si>
  <si>
    <t>+525642318644</t>
  </si>
  <si>
    <t>guillermo.lhdz@iberdespensa.com</t>
  </si>
  <si>
    <t>Empresa de servicios de despensa y beneficios laborales con sede en CDMX, que ofrece vales de despensa, plataformas de beneficios y soluciones de bienestar para empleados de empresas.</t>
  </si>
  <si>
    <t>YEL211025TU5</t>
  </si>
  <si>
    <t>YELTE</t>
  </si>
  <si>
    <t>Mara</t>
  </si>
  <si>
    <t>5637322774</t>
  </si>
  <si>
    <t>mara.lopez@bigsmart.mx</t>
  </si>
  <si>
    <t>Empresa mexicana de servicios con operaciones en la Ciudad de México, orientada a soluciones comerciales o tecnológicas para el sector empresarial.</t>
  </si>
  <si>
    <t>CUG201217LH5</t>
  </si>
  <si>
    <t>CENTROS URBANOS GOVA</t>
  </si>
  <si>
    <t>Empresa inmobiliaria del grupo GOVA con sede en CDMX, dedicada al desarrollo de centros urbanos, complejos habitacionales y proyectos de vivienda en zonas metropolitanas.</t>
  </si>
  <si>
    <t>OFC180711GJ0</t>
  </si>
  <si>
    <t>OPERADORA DE FRANQUICIAS CIROS</t>
  </si>
  <si>
    <t>9613691734</t>
  </si>
  <si>
    <t>rodrigo_brindis@hotmail.com</t>
  </si>
  <si>
    <t>Empresa operadora de franquicias con sede en CDMX, que desarrolla y gestiona redes de franquicias en el sector de alimentos, bebidas o servicios en México.</t>
  </si>
  <si>
    <t>GRUPO EPOL</t>
  </si>
  <si>
    <t>Empresa industrial con sede en CDMX, dedicada a la producción y distribución de productos plásticos, empaques o materiales industriales para el sector manufacturero.</t>
  </si>
  <si>
    <t>PAA170802U12</t>
  </si>
  <si>
    <t>PUERTAS Y ACCESOS AUTOMATICOS DEL VALLE DE MEXICO</t>
  </si>
  <si>
    <t>Empresa fabricante e instaladora de puertas y accesos automáticos con sede en el Valle de México, especializada en puertas seccionales, enrollables y sistemas de control de acceso.</t>
  </si>
  <si>
    <t>MSD190315U91</t>
  </si>
  <si>
    <t>MOTORES Y SISTEMAS DIESEL DE LEON</t>
  </si>
  <si>
    <t>PAULA AVILA NUÑEZ</t>
  </si>
  <si>
    <t>paula.avila@dieseldeleon.com</t>
  </si>
  <si>
    <t>Empresa de servicios y distribución de motores diesel con sede en León, Guanajuato, especializada en mantenimiento, reparación y venta de motores y sistemas diesel para vehículos e industrial.</t>
  </si>
  <si>
    <t>EAVE870502S33</t>
  </si>
  <si>
    <t>ERICK EDUARDO EVANGELISTA VELASCO</t>
  </si>
  <si>
    <t>EALG7705117I5</t>
  </si>
  <si>
    <t>GERMAN ENRIQUE ESTRADA LARIOS</t>
  </si>
  <si>
    <t>MRE221007BP6</t>
  </si>
  <si>
    <t>LA MAQUINA RELUCIENTE</t>
  </si>
  <si>
    <t>PSM1005318S2</t>
  </si>
  <si>
    <t>PLAYTRAK SISTEMAS DE MONITOREO</t>
  </si>
  <si>
    <t>Empresa de tecnología con sede en CDMX, especializada en sistemas de monitoreo, rastreo GPS y control de flotas para empresas de transporte y logística.</t>
  </si>
  <si>
    <t>MEG090311V35</t>
  </si>
  <si>
    <t>MEGAVACATIONS</t>
  </si>
  <si>
    <t>aalarconmex@hotmail.com</t>
  </si>
  <si>
    <t>Empresa de turismo con sede en CDMX, dedicada a la comercialización de paquetes vacacionales, membresías de viaje y servicios turísticos para el mercado mexicano.</t>
  </si>
  <si>
    <t>RIN230531MW6</t>
  </si>
  <si>
    <t>R&amp;F INFRAESTRUCTURA</t>
  </si>
  <si>
    <t>FERNANDO ENRIQUE GUTIÉRREZ AHUMADA</t>
  </si>
  <si>
    <t>fernando.gutierrez@grupogaltec.com</t>
  </si>
  <si>
    <t>Empresa de infraestructura con sede en CDMX, especializada en proyectos de obra civil, vialidades y construcción de infraestructura para el sector público y privado.</t>
  </si>
  <si>
    <t>GHE120517DE0</t>
  </si>
  <si>
    <t>GRUPO HETAAR</t>
  </si>
  <si>
    <t>Hortensia</t>
  </si>
  <si>
    <t>3333777750</t>
  </si>
  <si>
    <t>hortensia@lochjewelry.com</t>
  </si>
  <si>
    <t>Grupo empresarial con sede en CDMX, orientado a la prestación de servicios comerciales, logísticos o de consultoría para el sector empresarial en México.</t>
  </si>
  <si>
    <t>ERE880516B49</t>
  </si>
  <si>
    <t>ELEVADORES DE LA REPUBLICA</t>
  </si>
  <si>
    <t>Lidia</t>
  </si>
  <si>
    <t>5616021426</t>
  </si>
  <si>
    <t>lidiaivonnetrejo@hotmail.com</t>
  </si>
  <si>
    <t>Empresa distribuidora e instaladora de elevadores y sistemas de transporte vertical con sede en CDMX, que provee ascensores, escaleras mecánicas y soluciones de accesibilidad.</t>
  </si>
  <si>
    <t>JOSEFINA CANTU LOPEZ</t>
  </si>
  <si>
    <t>SORG741022A89</t>
  </si>
  <si>
    <t>GEBHARD KONRAD SPROLL ROJAS</t>
  </si>
  <si>
    <t>Persona física con actividad empresarial en México, posiblemente en el área de servicios profesionales, consultoría o importación.</t>
  </si>
  <si>
    <t>BAIE860613N20</t>
  </si>
  <si>
    <t>ELIAS BARBOSA IBARRA</t>
  </si>
  <si>
    <t>ROSEMBER TIRADO DAMIAN</t>
  </si>
  <si>
    <t>Confirmar si es benedettis</t>
  </si>
  <si>
    <t>MAA1901184R8</t>
  </si>
  <si>
    <t>MAQUILANDO ARTE Y AMOR MX</t>
  </si>
  <si>
    <t>PAYROLL</t>
  </si>
  <si>
    <t>Empresa de maquilado creativo y artesanal con sede en CDMX, posiblemente dedicada a la producción de artículos de decoración, regalos personalizados o artesanías con procesos de maquila.</t>
  </si>
  <si>
    <t>EAC091217KP7</t>
  </si>
  <si>
    <t>EXPERTOS EN ADMINISTRACION DE CAPITAL HUMANO</t>
  </si>
  <si>
    <t>Empresa de recursos humanos y outsourcing con sede en CDMX, que ofrece servicios de administración de personal, nómina, reclutamiento y gestión de capital humano para empresas.</t>
  </si>
  <si>
    <t>AAAG801009283</t>
  </si>
  <si>
    <t>GIORDANO AYALA ARIAS</t>
  </si>
  <si>
    <t>TSM220523UC1</t>
  </si>
  <si>
    <t>TSMIQUIRRAY</t>
  </si>
  <si>
    <t>Empresa con sede en México, posiblemente relacionada con actividades culturales, artesanales o de servicios comunitarios.</t>
  </si>
  <si>
    <t>CCE110823BQ7</t>
  </si>
  <si>
    <t>CONSTRUCCIONES DE CALIDAD E INGENIERIA DE MEXICO</t>
  </si>
  <si>
    <t>Empresa constructora con sede en CDMX, dedicada a la edificación de calidad en proyectos residenciales, comerciales e industriales con énfasis en ingeniería y acabados de alto nivel.</t>
  </si>
  <si>
    <t>PWM1803168R8</t>
  </si>
  <si>
    <t>PAYROLL WORLDWIDE MEXICO-LONDON</t>
  </si>
  <si>
    <t>529982935296</t>
  </si>
  <si>
    <t>directionassistant@payrollworldwide.com</t>
  </si>
  <si>
    <t>Empresa de outsourcing de nómina con presencia en México y Reino Unido, especializada en administración de nómina global, cumplimiento laboral y servicios de empleador de registro (EOR).</t>
  </si>
  <si>
    <t>ASE150612NX3</t>
  </si>
  <si>
    <t>ARTE Y SOLUCIONES EN ESPACIOS</t>
  </si>
  <si>
    <t>Empresa de diseño de interiores y soluciones de espacios con sede en CDMX, especializada en ambientación, mobiliario y soluciones estéticas para oficinas, locales y hogares.</t>
  </si>
  <si>
    <t>TCS180406851</t>
  </si>
  <si>
    <t>TRABAJADORES CAPACITADOS EN SUBCONTRATACION</t>
  </si>
  <si>
    <t>Empresa de subcontratación de personal con sede en CDMX, que provee trabajadores calificados y capacitados para cubrir necesidades de mano de obra en el sector industrial y de servicios.</t>
  </si>
  <si>
    <t>RODRIGO CANTU LOPEZ</t>
  </si>
  <si>
    <t>MSP110810V30</t>
  </si>
  <si>
    <t>MAREL SISTEMAS DE PROCESO DE ALIMENTOS DE MEXICO</t>
  </si>
  <si>
    <t>Jenny</t>
  </si>
  <si>
    <t>jenny.duenas@marel.com</t>
  </si>
  <si>
    <t>Subsidiaria de Marel, empresa islandesa fabricante de sistemas de procesamiento de alimentos, que provee equipos y soluciones para la industria cárnica, pesquera y avícola en México.</t>
  </si>
  <si>
    <t>DIN120419V2A</t>
  </si>
  <si>
    <t>DRILLMEC INC</t>
  </si>
  <si>
    <t>PEOG6103282L0</t>
  </si>
  <si>
    <t>GERARDO PEREZ OLIVO</t>
  </si>
  <si>
    <t>RERE860310522</t>
  </si>
  <si>
    <t>ESTEFANIA RETANA ROJO</t>
  </si>
  <si>
    <t>SAJF770708MK0</t>
  </si>
  <si>
    <t>FRANCISCO MARTIN SANTILLAN JIMENEZ</t>
  </si>
  <si>
    <t>LAURA GABRIELA BARRETO MONTAÑO</t>
  </si>
  <si>
    <t>ADRIANA VALDEZ</t>
  </si>
  <si>
    <t>Esteban</t>
  </si>
  <si>
    <t>3126188140</t>
  </si>
  <si>
    <t>eacevedoor@corona.com.co</t>
  </si>
  <si>
    <t>RLC910708F18</t>
  </si>
  <si>
    <t>RANCHO LLANO COLORADO</t>
  </si>
  <si>
    <t>Empresa agropecuaria con rancho en Chihuahua, dedicada a la ganadería, producción de carne o cultivos agrícolas en el norte de México.</t>
  </si>
  <si>
    <t>MURD92011267A</t>
  </si>
  <si>
    <t>DIEGO ADALBERTO MUNGUIA RODRIGUEZ</t>
  </si>
  <si>
    <t>MAC090304HT7</t>
  </si>
  <si>
    <t xml:space="preserve">MANTENIMIENTO AUTOMOTRIZ DE CABO GE VILLA </t>
  </si>
  <si>
    <t>Empresa de mantenimiento automotriz con sede en Los Cabos, BCS, que ofrece servicios de mecánica general, mantenimiento preventivo y reparación de vehículos en la zona turística.</t>
  </si>
  <si>
    <t>OVERHAUL RISK MANAGEMENT
 | FWI LOGISTICS PRIVATE SECURITY</t>
  </si>
  <si>
    <t>Empresa de seguridad privada y logística que ofrece servicios de vigilancia, protección de instalaciones y transporte seguro de valores y mercancías en México.</t>
  </si>
  <si>
    <t>GOC920528FI2</t>
  </si>
  <si>
    <t>GRUPO OCCIDENTE (Gao aluminio)</t>
  </si>
  <si>
    <t>Ivonne</t>
  </si>
  <si>
    <t>3334449715</t>
  </si>
  <si>
    <t>mtr.ivonne.lara@gmail.com</t>
  </si>
  <si>
    <t>TIENDAS GMH | OPERADORA INTERNACIONAL DE NEGOCIOS HUZKY</t>
  </si>
  <si>
    <t>Wendi</t>
  </si>
  <si>
    <t>5538290510</t>
  </si>
  <si>
    <t>capitalhumano@granmercadodelhogar.com</t>
  </si>
  <si>
    <t>Empresa operadora dedicada a la comercialización y distribución de productos de consumo en México, con enfoque en canales modernos y tradicionales.</t>
  </si>
  <si>
    <t>RCO130524TLA</t>
  </si>
  <si>
    <t>RENA COMERCIALIZADORA (Farmacias Simi)</t>
  </si>
  <si>
    <t>5219993339261</t>
  </si>
  <si>
    <t>angelcelisdiaz2003@gmail.com</t>
  </si>
  <si>
    <t>Yucatan</t>
  </si>
  <si>
    <t>Yucatán</t>
  </si>
  <si>
    <t>Empresa comercializadora y distribuidora con sede en Yucatán, dedicada a la venta y distribución de productos al consumidor en la región sureste.</t>
  </si>
  <si>
    <t>BAJA</t>
  </si>
  <si>
    <t>SLE2502145C1</t>
  </si>
  <si>
    <t>SERVICIOS LESETAV (Cuchara y tenedor)</t>
  </si>
  <si>
    <t>Raul</t>
  </si>
  <si>
    <t>3312756369</t>
  </si>
  <si>
    <t>servicioslesetav@gmail.com</t>
  </si>
  <si>
    <t>Empresa operadora de los restaurantes Cuchara y Tenedor, cadena de comedores industriales y restaurantes de comida casera en CDMX.</t>
  </si>
  <si>
    <t>OUR2309198C8</t>
  </si>
  <si>
    <t>Implementando</t>
  </si>
  <si>
    <t>OPERADORA URIMAR</t>
  </si>
  <si>
    <t>Berenice B / Renato Martinez</t>
  </si>
  <si>
    <t>+525578439780</t>
  </si>
  <si>
    <t>renato@wlb.mx</t>
  </si>
  <si>
    <t>Empresa de servicios especializados con operaciones principalmente en CDMX, orientada a la administración y operación de negocios.</t>
  </si>
  <si>
    <t>ASL070709I37</t>
  </si>
  <si>
    <t>AGRICOLA SL</t>
  </si>
  <si>
    <t>Empresa del sector agrícola con operaciones en México, dedicada a la producción, cultivo y comercialización de productos agropecuarios para el mercado nacional e internacional.</t>
  </si>
  <si>
    <t>AAM970602V7A</t>
  </si>
  <si>
    <t>ANALISIS AMBIENTAL</t>
  </si>
  <si>
    <t>Veronica Rodriguez / David Rodriguez / Veronica Rodriguez</t>
  </si>
  <si>
    <t>5557403073 / 5532338817</t>
  </si>
  <si>
    <t>VERONICA@ANALISISAMBIENTAL.COM / drodriguez@innovare-ehs.com / Veronica@innovare-ehs.com</t>
  </si>
  <si>
    <t>Empresa de servicios ambientales con sede en CDMX, especializada en análisis de agua, suelo y aire, así como consultoría ambiental y gestión de residuos para empresas e instituciones.</t>
  </si>
  <si>
    <t>CAG2010093A5</t>
  </si>
  <si>
    <t>CONCEPTOS AGE</t>
  </si>
  <si>
    <t>4778952273</t>
  </si>
  <si>
    <t>Empresa de servicios y consultoría con sede en CDMX, orientada a la implementación de soluciones administrativas y operativas para empresas.</t>
  </si>
  <si>
    <t>DVE0910295PA</t>
  </si>
  <si>
    <t>DAN VIT EMPRESARIAL</t>
  </si>
  <si>
    <t>Augusto</t>
  </si>
  <si>
    <t>5619918994</t>
  </si>
  <si>
    <t>oisa73@hotmail.com</t>
  </si>
  <si>
    <t>Empresa operadora de transporte urbano de pasajeros con rutas y concesiones en la Ciudad de México y zona metropolitana.</t>
  </si>
  <si>
    <t>DUG150127SE7</t>
  </si>
  <si>
    <t>DUGPA</t>
  </si>
  <si>
    <t>Ellos van a ser baja, estamos monitoreando cobranza.</t>
  </si>
  <si>
    <t>Empresa mexicana de servicios con operaciones en CDMX, dedicada a la prestación de soluciones comerciales, operativas o de consultoría para clientes corporativos.</t>
  </si>
  <si>
    <t>EVN190625UL5</t>
  </si>
  <si>
    <t>ENERGIA VERDE Y NEGOCIOS SUSTENTABLES</t>
  </si>
  <si>
    <t>Empresa del sector de energías renovables y negocios sustentables con sede en CDMX, enfocada en el desarrollo de proyectos solares, eólicos y soluciones de sustentabilidad empresarial.</t>
  </si>
  <si>
    <t>No utiliza el servicio, dejó de responder</t>
  </si>
  <si>
    <t>ENIGMA ROOMS</t>
  </si>
  <si>
    <t>TECNOLOGIA EN BENEFICIOS MEXICO (PACOAP)</t>
  </si>
  <si>
    <t>5562972430</t>
  </si>
  <si>
    <t>david@enigmarooms.com.mx</t>
  </si>
  <si>
    <t>Empresa operadora de cuartos de escape (escape rooms) y entretenimiento inmersivo con sede en CDMX, ofreciendo experiencias de juego en grupo para clientes individuales y corporativos.</t>
  </si>
  <si>
    <t>GDI250521SYA</t>
  </si>
  <si>
    <t>GRANJA DIVERTIDA</t>
  </si>
  <si>
    <t>Jean Paul Seratos Marin</t>
  </si>
  <si>
    <t>+525531942356</t>
  </si>
  <si>
    <t>rhumanos.granja@granjalasamericas.com.mx</t>
  </si>
  <si>
    <t>Empresa de entretenimiento y turismo rural que opera granjas y espacios de experiencia para familias y grupos escolares, con actividades educativas y recreativas relacionadas con animales y naturaleza.</t>
  </si>
  <si>
    <t>KWM961218CI1</t>
  </si>
  <si>
    <t>KYSOR/WARREN DE MEXICO</t>
  </si>
  <si>
    <t>Agosto presionar para ver si se logra retener</t>
  </si>
  <si>
    <t>Subsidiaria de la empresa estadounidense Kysor/Warren (grupo Welbilt), fabricante de sistemas de refrigeración y exhibidores frigoríficos para supermercados y tiendas de conveniencia en México.</t>
  </si>
  <si>
    <t>Empleados se rehusan a marcar, no usan mucho la plataforma</t>
  </si>
  <si>
    <t>CMA070307RU6</t>
  </si>
  <si>
    <t>METRO ASFALTOS</t>
  </si>
  <si>
    <t>3310137832</t>
  </si>
  <si>
    <t>yurih.3190@gmail.com</t>
  </si>
  <si>
    <t>Empresa constructora especializada en la producción y aplicación de mezclas asfálticas para pavimentación de carreteras, calles y estacionamientos en México.</t>
  </si>
  <si>
    <t>MSP211028TX5</t>
  </si>
  <si>
    <t>MOGAR SEGURIDAD PRIVADA</t>
  </si>
  <si>
    <t>Rosemberg Mendoza / Ricardo Rodríguez Ramírez</t>
  </si>
  <si>
    <t>+528119067594 / +528117228598</t>
  </si>
  <si>
    <t>mendozarosemberg.92@gmail.com / coordinacion@mogarseguridad.com</t>
  </si>
  <si>
    <t>Empresa de seguridad privada y vigilancia con sede en CDMX, proveedora de servicios de protección para corporativos e industria.</t>
  </si>
  <si>
    <t>Outsourcing Seguridad</t>
  </si>
  <si>
    <t>OJD1801123U4</t>
  </si>
  <si>
    <t>OPERADORA DE JUEGOS Y DIVERSIONES 2000</t>
  </si>
  <si>
    <t>Salvador</t>
  </si>
  <si>
    <t>5555034428</t>
  </si>
  <si>
    <t>stornel@gdivertido.com.mx</t>
  </si>
  <si>
    <t>Empresa operadora de entretenimiento dedicada a la administración y operación de centros de juegos, diversiones y espacios recreativos en México.</t>
  </si>
  <si>
    <t>OGA180903JI9</t>
  </si>
  <si>
    <t>OPTIMA G AUTOSPORT</t>
  </si>
  <si>
    <t>ZETECH SOLUCIONES MEXICO</t>
  </si>
  <si>
    <t>Montserrat</t>
  </si>
  <si>
    <t>5519219633</t>
  </si>
  <si>
    <t>mons1472629@gmail.com</t>
  </si>
  <si>
    <t>Empresa mexicana de soluciones tecnológicas, dedicada al desarrollo de software, integración de sistemas y consultoría de TI para empresas del sector privado.</t>
  </si>
  <si>
    <t>LIS190515FY2</t>
  </si>
  <si>
    <t>STEEL TEK SOLUCIONES EN ACERO</t>
  </si>
  <si>
    <t>Persona que utilizaba Geo se fue y lo dejaron de usar</t>
  </si>
  <si>
    <t>Empresa especializada en soluciones de manufactura y transformación de acero, ofreciendo productos metálicos y servicios de corte, doblado y soldadura para la industria.</t>
  </si>
  <si>
    <t>TGR140826RC1</t>
  </si>
  <si>
    <t>TCO GROUP</t>
  </si>
  <si>
    <t>Empresa de consultoría y gestión empresarial con sede en CDMX, especializada en reducción del costo total de propiedad (TCO) y optimización de procesos para organizaciones en México.</t>
  </si>
  <si>
    <t>FOZT6906109Y8</t>
  </si>
  <si>
    <t>TRINIDAD ALBERTO FLORES ZAMORA</t>
  </si>
  <si>
    <t>Persona física con actividad empresarial, posiblemente en el rubro de comercialización o prestación de servicios profesionales en el mercado mexicano.</t>
  </si>
  <si>
    <t>VIA URBANA</t>
  </si>
  <si>
    <t>Isaac</t>
  </si>
  <si>
    <t>5552168452</t>
  </si>
  <si>
    <t>isaacviaurbana@gmail.com</t>
  </si>
  <si>
    <t>Empresa de servicios urbanos o movilidad con sede en CDMX, posiblemente orientada a soluciones de transporte, logística o servicios para el entorno urbano.</t>
  </si>
  <si>
    <t>WYN COACALCO</t>
  </si>
  <si>
    <t>DACONTASOB</t>
  </si>
  <si>
    <t>5513977687</t>
  </si>
  <si>
    <t>fcortes@jealt.com.mx</t>
  </si>
  <si>
    <t>Empresa de servicios contables y administrativos que provee soluciones de outsourcing fiscal, nómina y administración financiera a empresas en México.</t>
  </si>
  <si>
    <t>YOR210901F26</t>
  </si>
  <si>
    <t>YOREP (RECURSOS HUMANOS)</t>
  </si>
  <si>
    <t>Gisela Flores / Gisela Flores / Gisela Flores</t>
  </si>
  <si>
    <t>+523328462719 / +523328462719 / +523328462719</t>
  </si>
  <si>
    <t>saludypazjefaturatlajomulco@gmail.com / saludypazjefaturatlajomulco@gmail.com / saludypazjefaturatlajomulco@gmail.com</t>
  </si>
  <si>
    <t>Empresa de recursos humanos con sede en CDMX, que provee servicios de reclutamiento, selección, outsourcing de personal y administración de capital humano para organizaciones en México.</t>
  </si>
  <si>
    <t>APV940803PI2</t>
  </si>
  <si>
    <t>AGUA PURIFICADA LOS VOLCANES</t>
  </si>
  <si>
    <t>Zaida</t>
  </si>
  <si>
    <t>2227065798</t>
  </si>
  <si>
    <t>ventas@aguasanmartin.com.mx</t>
  </si>
  <si>
    <t>Empresa purificadora y distribuidora de agua con sede en México, dedicada a la producción y reparto de agua purificada en garrafones para hogares y empresas.</t>
  </si>
  <si>
    <t>MALA801119M49</t>
  </si>
  <si>
    <t>ALFREDO MARIN LUNA</t>
  </si>
  <si>
    <t>BGM191223LI2</t>
  </si>
  <si>
    <t>BOTICAS GRIEGAS DE MEXICO</t>
  </si>
  <si>
    <t>Cadena de farmacias o boticas con sede en CDMX, especializada en la dispensación de medicamentos homeopáticos, herbales y remedios naturales de origen griego y mediterráneo.</t>
  </si>
  <si>
    <t>CSS171026G25</t>
  </si>
  <si>
    <t>CANADIAN SOLAR SERVICES MEXICO</t>
  </si>
  <si>
    <t>Claudia Sanchez cruz</t>
  </si>
  <si>
    <t>claudia.sanchez@recurrentenergy.com</t>
  </si>
  <si>
    <t>Subsidiaria de Canadian Solar, empresa canadiense fabricante de paneles solares y soluciones de energía renovable. Provee instalación, mantenimiento y servicios de energía solar en México.</t>
  </si>
  <si>
    <t>CBO210709DH4</t>
  </si>
  <si>
    <t>COMERCIALIZADORA EL BOMBON</t>
  </si>
  <si>
    <t>Jorge Sanchez</t>
  </si>
  <si>
    <t>8139140841</t>
  </si>
  <si>
    <t>sales@usamexdepot.com</t>
  </si>
  <si>
    <t>CPI0404017C3</t>
  </si>
  <si>
    <t>CONTROL DE PLAGAS INTERNACIONAL CENTINELA</t>
  </si>
  <si>
    <t>Empresa de control de plagas con sede en CDMX, especializada en servicios de fumigación, desinfección y control de vectores para instalaciones empresariales, industriales y residenciales.</t>
  </si>
  <si>
    <t>NST2403154B4</t>
  </si>
  <si>
    <t>DE NORTE A SUR Y POR TODO EL MUNDO</t>
  </si>
  <si>
    <t>Empresa del sector turístico o gastronómico con sede en CDMX, posiblemente operadora de agencias de viaje, tour operador o servicios de hospitalidad.</t>
  </si>
  <si>
    <t>CAEE63060599A</t>
  </si>
  <si>
    <t>EDWIN MARTIN CAUICH ESCALANTE</t>
  </si>
  <si>
    <t>EAG020524E28</t>
  </si>
  <si>
    <t>EQUIPOS Y ACCESORIOS PARA GAS L.P. Y NATURAL</t>
  </si>
  <si>
    <t>Gerardo</t>
  </si>
  <si>
    <t>5541851476</t>
  </si>
  <si>
    <t>g.floresparra@equipgas.net</t>
  </si>
  <si>
    <t>Empresa distribuidora de equipos y accesorios para instalaciones de gas LP y gas natural, con sede en CDMX, orientada a clientes residenciales, comerciales e industriales.</t>
  </si>
  <si>
    <t>ESA191128G45</t>
  </si>
  <si>
    <t>ESAI</t>
  </si>
  <si>
    <t>Beatriz Velasco Gutierrez</t>
  </si>
  <si>
    <t>+527711435183</t>
  </si>
  <si>
    <t>administracion@esai.com.mx</t>
  </si>
  <si>
    <t>Empresa de servicios con sede en CDMX, posiblemente orientada a soluciones de asesoría, gestión o servicios especializados para el sector empresarial en México.</t>
  </si>
  <si>
    <t>FVM080813HW1</t>
  </si>
  <si>
    <t>FIRST VIRTUAL MANAGEMENT MEXICO</t>
  </si>
  <si>
    <t>Marcelo</t>
  </si>
  <si>
    <t>3221233170</t>
  </si>
  <si>
    <t>mcouto@noctiluca.mx</t>
  </si>
  <si>
    <t>Empresa de gestión virtual y tecnología con sede en CDMX, especializada en soluciones de administración remota, gestión digital y servicios en la nube para empresas.</t>
  </si>
  <si>
    <t>HEB230509UV7</t>
  </si>
  <si>
    <t>HOC EST BONUM</t>
  </si>
  <si>
    <t>Empresa restaurantera o de gastronomía con sede en CDMX, orientada a la prestación de servicios de alimentos y bebidas con un concepto de calidad y experiencia culinaria.</t>
  </si>
  <si>
    <t>IPF1905315U2</t>
  </si>
  <si>
    <t>INGENIERIA Y PROYECTOS FEZMAR</t>
  </si>
  <si>
    <t>Empresa de ingeniería y proyectos con sede en CDMX, especializada en diseño, supervisión y ejecución de proyectos de construcción e infraestructura.</t>
  </si>
  <si>
    <t>JSI1902017G6</t>
  </si>
  <si>
    <t>JMN SOLUCIONES INTEGRALES</t>
  </si>
  <si>
    <t>LIZETH CRISTINA PUENTE TORRES</t>
  </si>
  <si>
    <t>administracion@jmnsolucionesintegrales.com</t>
  </si>
  <si>
    <t>Empresa de servicios integrales con sede en CDMX, que brinda soluciones de mantenimiento, instalaciones, limpieza u otros servicios para instalaciones empresariales y comerciales.</t>
  </si>
  <si>
    <t>TESJ710103956</t>
  </si>
  <si>
    <t>JUAN TEJEDA SANTILLAN</t>
  </si>
  <si>
    <t>6121203959</t>
  </si>
  <si>
    <t>tescorefrigeracion@gmail.com</t>
  </si>
  <si>
    <t>RAG250128AU2</t>
  </si>
  <si>
    <t>LA REVOLUCION DEL AGUA</t>
  </si>
  <si>
    <t>Empresa de servicios o productos relacionados con el agua con sede en CDMX, posiblemente orientada a purificación, distribución o consultoría en gestión del recurso hídrico.</t>
  </si>
  <si>
    <t>MJO2007177J8</t>
  </si>
  <si>
    <t>MERCADERIAS JON</t>
  </si>
  <si>
    <t>Empresa comercializadora con sede en México, dedicada a la distribución y venta de mercancías diversas para el comercio al menudeo y mayoreo.</t>
  </si>
  <si>
    <t>NEW080923MR4</t>
  </si>
  <si>
    <t>NEWTIMES</t>
  </si>
  <si>
    <t>Empresa de servicios con sede en CDMX, posiblemente orientada al área de marketing, consultoría o comunicación estratégica para empresas en el mercado mexicano.</t>
  </si>
  <si>
    <t>PHC210830CR6</t>
  </si>
  <si>
    <t>PLENIA HOME CARE</t>
  </si>
  <si>
    <t>Empresa de cuidado a domicilio (home care) con sede en CDMX, que provee servicios de enfermería, acompañamiento y atención médica domiciliaria para personas mayores o con discapacidad.</t>
  </si>
  <si>
    <t>RCA230127SV1</t>
  </si>
  <si>
    <t>ROALSA CARRIERS</t>
  </si>
  <si>
    <t>5571133315</t>
  </si>
  <si>
    <t>finanzas@roalsa.com.mx</t>
  </si>
  <si>
    <t>PECS9411252K3</t>
  </si>
  <si>
    <t>SARAI PEREZ CHILEL</t>
  </si>
  <si>
    <t>Saraí Pérez</t>
  </si>
  <si>
    <t>+52 1 81 1905 7028</t>
  </si>
  <si>
    <t>sarai@panibakersmx.com</t>
  </si>
  <si>
    <t>Persona física con actividad empresarial en México, posiblemente en el área de comercialización o servicios profesionales.</t>
  </si>
  <si>
    <t>SLM ALIMENTOS</t>
  </si>
  <si>
    <t>Estela Campos / Fernando Rodriguez Hinojosa</t>
  </si>
  <si>
    <t>3322023325</t>
  </si>
  <si>
    <t>ecampos@slmalimentos.com / contabilidad@slmalimentos.com</t>
  </si>
  <si>
    <t>Empresa del sector alimentario con sede en CDMX, dedicada a la producción y distribución de alimentos procesados para el mercado de consumo masivo en México.</t>
  </si>
  <si>
    <t>SSO220826IZA</t>
  </si>
  <si>
    <t>SOLUCIONES EN SALUD OCUPACIONAL, SEGURIDAD E HIGIENE INDUSTRIAL</t>
  </si>
  <si>
    <t>Empresa de servicios de salud ocupacional y seguridad industrial con sede en CDMX, que ofrece consultoría, capacitación, evaluaciones médicas y gestión de riesgos laborales para empresas.</t>
  </si>
  <si>
    <t>SBC070427N32</t>
  </si>
  <si>
    <t>SOUTH BAJA CONSTRUCTORA</t>
  </si>
  <si>
    <t>SEP1409264SA</t>
  </si>
  <si>
    <t>SUMA ENLACES PROFESIONALES</t>
  </si>
  <si>
    <t>5519003808</t>
  </si>
  <si>
    <t>alejandro.roa@itwork.com.mx</t>
  </si>
  <si>
    <t>TUS060410E12</t>
  </si>
  <si>
    <t>TUSSAN</t>
  </si>
  <si>
    <t>Alberto J. Ascencio Hernandez</t>
  </si>
  <si>
    <t>+523321838774</t>
  </si>
  <si>
    <t>alberto.ascencio@tussan.com.mx</t>
  </si>
  <si>
    <t>WRC181029GC4</t>
  </si>
  <si>
    <t>WAREHOUSE RENTALS MI LOS CABOS</t>
  </si>
  <si>
    <t>Erick Martínez Martín Del Campo</t>
  </si>
  <si>
    <t>448 107 8009</t>
  </si>
  <si>
    <t>directorrh@mariannaidirin.com</t>
  </si>
  <si>
    <t>Empresa de renta y almacenamiento en Los Cabos, BCS, dedicada al alquiler de bodegas y espacios de almacén para empresas e individuos en la zona turística de Los Cabos.</t>
  </si>
  <si>
    <t>MNA940305TB3</t>
  </si>
  <si>
    <t>MEDICAMENTOS NATURALES</t>
  </si>
  <si>
    <t>Empresa distribuidora y comercializadora de medicamentos naturales, herbolaria y suplementos alimenticios para el mercado de salud alternativa y bienestar en México.</t>
  </si>
  <si>
    <t>PAN201106JJ4</t>
  </si>
  <si>
    <t>PRODUCTORA DE ALIMENTOS NUTRITIVOS</t>
  </si>
  <si>
    <t>Empresa mexicana dedicada a la producción y comercialización de alimentos y complementos nutricionales. Fabrica y distribuye productos en diversas categorías alimentarias en el mercado nacional.</t>
  </si>
  <si>
    <t>POC150708534</t>
  </si>
  <si>
    <t>CBH + ESPECIALISTAS EN INNOVACIÓN MÉDICA, S.A. DE C.V</t>
  </si>
  <si>
    <t>GRUPO CB</t>
  </si>
  <si>
    <t>5613231831</t>
  </si>
  <si>
    <t>itzel.reyes@gpocb.com</t>
  </si>
  <si>
    <t>Empresa especializada en innovación médica y dispositivos de salud, que ofrece soluciones tecnológicas y equipos para hospitales, clínicas y profesionales de la salud en México.</t>
  </si>
  <si>
    <t>Asegurar funcionamiento al 100% y luego ver venta</t>
  </si>
  <si>
    <t>CONCORDE GROUP (Ideal Motive Mexico)</t>
  </si>
  <si>
    <t>Empresa de logística y transporte de carga especializada en soluciones de distribución nacional e internacional para clientes industriales y comerciales.</t>
  </si>
  <si>
    <t>CJA9212045Z2</t>
  </si>
  <si>
    <t>CONSULTORIA JURIDICA Y ADMINISTRATIVA MILLA Y ASOCIADOS**</t>
  </si>
  <si>
    <t>Brenda patricia Segura becerra</t>
  </si>
  <si>
    <t>+525528579426</t>
  </si>
  <si>
    <t>brenda.segura@cjamilla.mx</t>
  </si>
  <si>
    <t>Firma de consultoría jurídica y administrativa que ofrece asesoría legal, fiscal y corporativa a empresas y personas físicas en México.</t>
  </si>
  <si>
    <t>PLATO EXPRESS</t>
  </si>
  <si>
    <t>Tuvieron sesión, vieron planificador. Falta enviar cotización, pendiente de solución de ticket</t>
  </si>
  <si>
    <t>ORLANDO ALBERTO PUENTE OCAÑAS</t>
  </si>
  <si>
    <t>+528116799381</t>
  </si>
  <si>
    <t>orlando.puente@platoexpress.com</t>
  </si>
  <si>
    <t>Empresa de servicios de comida rápida o delivery con sede en CDMX, dedicada a la preparación y entrega de platillos para el mercado de restauración y food service en México.</t>
  </si>
  <si>
    <t>*</t>
  </si>
  <si>
    <t>SLA630306CF7</t>
  </si>
  <si>
    <t>PORCELANA CORONA DE MEXICO, SA. CV.</t>
  </si>
  <si>
    <t>Se factura en Colombia</t>
  </si>
  <si>
    <t>BOB210906A28</t>
  </si>
  <si>
    <t>BOBURHAM (SISTEMAS PRACTICOS EN SEGURIDAD PRIVADA (SEICSA))</t>
  </si>
  <si>
    <t>TAD140205H99</t>
  </si>
  <si>
    <t>TIENDAS ADITIVO</t>
  </si>
  <si>
    <t>Maribel</t>
  </si>
  <si>
    <t>5576688803</t>
  </si>
  <si>
    <t>gterh@aditivo.mx</t>
  </si>
  <si>
    <t>Cadena de tiendas de conveniencia y gasolineras con sede en Jalisco, operadora de puntos de venta integrados con servicios de combustible.</t>
  </si>
  <si>
    <t>OPE070226JW9</t>
  </si>
  <si>
    <t>LA OTRA POST, EVENTOS Y VIDEO</t>
  </si>
  <si>
    <t>CAFES DE ESPECIALIDAD DE CHIAPAS</t>
  </si>
  <si>
    <t>SISTEMAS INTEGRALES PARA EL TRANSPORTE</t>
  </si>
  <si>
    <t>SOCIEDAD INDUSTRIAL EQUIPOS Y SERVICIOS</t>
  </si>
  <si>
    <t>TECNOLOGIA SINTEL</t>
  </si>
  <si>
    <t>NOMINATIVA TECHNOLOGIES</t>
  </si>
  <si>
    <t>SILICATOS Y DERIVADOS</t>
  </si>
  <si>
    <t>CROSS-SELLING POR SEGMENTO (USD)</t>
  </si>
  <si>
    <t>Mes</t>
  </si>
  <si>
    <t>Sin dato</t>
  </si>
  <si>
    <t>Total</t>
  </si>
  <si>
    <t>Q</t>
  </si>
  <si>
    <t>Total Q</t>
  </si>
  <si>
    <t>Q1</t>
  </si>
  <si>
    <t>Meta</t>
  </si>
  <si>
    <t>Churn promedio</t>
  </si>
  <si>
    <t>Semáforo</t>
  </si>
  <si>
    <t>M1</t>
  </si>
  <si>
    <t>Verde</t>
  </si>
  <si>
    <t>Q2</t>
  </si>
  <si>
    <t>Raúl</t>
  </si>
  <si>
    <t>M2</t>
  </si>
  <si>
    <t>Q3</t>
  </si>
  <si>
    <t>No llega</t>
  </si>
  <si>
    <t>Café</t>
  </si>
  <si>
    <t>Q4</t>
  </si>
  <si>
    <t>(Junio aun no se cierra)</t>
  </si>
  <si>
    <t>Octubre</t>
  </si>
  <si>
    <t>Noviembre</t>
  </si>
  <si>
    <t>Diciembre</t>
  </si>
  <si>
    <t>TOTAL</t>
  </si>
  <si>
    <t>UP-SELLING POR SEGMENTO (USD)</t>
  </si>
  <si>
    <t>FUGA POR SEGMENTO (USD)</t>
  </si>
  <si>
    <t>Total MRR</t>
  </si>
  <si>
    <t>FUGA POR KAM (USD)</t>
  </si>
  <si>
    <t>Total MRR Karla</t>
  </si>
  <si>
    <t>Total MRR Raúl</t>
  </si>
  <si>
    <t>VENTA</t>
  </si>
  <si>
    <t>Up Selling</t>
  </si>
  <si>
    <t>Cross selling</t>
  </si>
  <si>
    <t>Total general</t>
  </si>
  <si>
    <t>FUGA</t>
  </si>
  <si>
    <t>Facturación</t>
  </si>
  <si>
    <t>Baja</t>
  </si>
  <si>
    <t>Disminución</t>
  </si>
  <si>
    <t>% Churn</t>
  </si>
  <si>
    <t>4K Newrest, 1K SGS</t>
  </si>
  <si>
    <t>Empresas desactivadas por cobranza que se reactivaron en mayo</t>
  </si>
  <si>
    <t>*Baja sin contar implementación habría sido $182 = 0,096%</t>
  </si>
  <si>
    <t>1500 de Urimar</t>
  </si>
  <si>
    <t>Casi 4K de OVG</t>
  </si>
  <si>
    <t>Empresas por Cantidad de Productos Cross (OK)</t>
  </si>
  <si>
    <t>Empresas por # Productos Cross - ENTERPRISE por KAM</t>
  </si>
  <si>
    <t>Empresas por # Productos Cross - SMB por KAM</t>
  </si>
  <si>
    <t>MRR real</t>
  </si>
  <si>
    <t>Recuento de OK por Producto y Cartera</t>
  </si>
  <si>
    <t>ENTERPRISE por Rubro Claude - Recuento OK</t>
  </si>
  <si>
    <t># Productos</t>
  </si>
  <si>
    <t>% Enterprise</t>
  </si>
  <si>
    <t>% SMB</t>
  </si>
  <si>
    <t>Cuenta de CLIENTE</t>
  </si>
  <si>
    <t>Cuenta de Acción especifica</t>
  </si>
  <si>
    <t>Suma de Facturación actual USD</t>
  </si>
  <si>
    <t>Producto</t>
  </si>
  <si>
    <t xml:space="preserve">Outsourcing </t>
  </si>
  <si>
    <t>Planif. Inteligente</t>
  </si>
  <si>
    <t>(en blanco)</t>
  </si>
  <si>
    <t>Total Dafne de la Rosa</t>
  </si>
  <si>
    <t>+1 prod</t>
  </si>
  <si>
    <t>Empresas por Cantidad de Productos Cross (OPORTUNIDADES)</t>
  </si>
  <si>
    <t>OPORTUNIDADES Empresas por # Productos Cross - ENTERPRISE por KAM</t>
  </si>
  <si>
    <t>OPORTUNIDADES Empresas por # Productos Cross - SMB por KAM</t>
  </si>
  <si>
    <t>Recuento de OKPORTUNIDADES por Producto y Cartera</t>
  </si>
  <si>
    <t>%</t>
  </si>
  <si>
    <t>Total Karla Patiño</t>
  </si>
  <si>
    <t>Total clientes por industria</t>
  </si>
  <si>
    <t>Total Luis Montilla</t>
  </si>
  <si>
    <t>Total No Asignado</t>
  </si>
  <si>
    <t>Total Raúl Campos</t>
  </si>
  <si>
    <t>*numero de empresas que tienen oportunidad y no tienen otro cross</t>
  </si>
  <si>
    <t>Total (en blanco)</t>
  </si>
  <si>
    <t>Debería estar en 0</t>
  </si>
  <si>
    <t>(Varios elementos)</t>
  </si>
  <si>
    <t>Total Implementando</t>
  </si>
  <si>
    <t>Ventas 2026 · Cross &amp; Up Selling México</t>
  </si>
  <si>
    <t>Tipo de cambio (MXN → USD)</t>
  </si>
  <si>
    <t>Facturado (USD)</t>
  </si>
  <si>
    <t>Perdido (USD)</t>
  </si>
  <si>
    <t>Proyectado (USD)</t>
  </si>
  <si>
    <t>MXN</t>
  </si>
  <si>
    <t>USD</t>
  </si>
  <si>
    <t>Deal</t>
  </si>
  <si>
    <t>Mes Servicio</t>
  </si>
  <si>
    <t>Cliente</t>
  </si>
  <si>
    <t>Tipo</t>
  </si>
  <si>
    <t>Segmento</t>
  </si>
  <si>
    <t>Usuarios</t>
  </si>
  <si>
    <t>Valor usuario</t>
  </si>
  <si>
    <t>Comisión / Factura</t>
  </si>
  <si>
    <t>Comentarios</t>
  </si>
  <si>
    <t>Seguro?</t>
  </si>
  <si>
    <t>Implementación</t>
  </si>
  <si>
    <t>Facturado</t>
  </si>
  <si>
    <t>Cafesca</t>
  </si>
  <si>
    <t>comisión doble + Bono</t>
  </si>
  <si>
    <t>Abrir en Zoho</t>
  </si>
  <si>
    <t>Mundimotos</t>
  </si>
  <si>
    <t>Arriendo</t>
  </si>
  <si>
    <t>Relojes</t>
  </si>
  <si>
    <t>Despegar</t>
  </si>
  <si>
    <t>Calendario Inteligente</t>
  </si>
  <si>
    <t>Amer sport</t>
  </si>
  <si>
    <t>Accesos</t>
  </si>
  <si>
    <t>Coperva</t>
  </si>
  <si>
    <t>RAM Accesos</t>
  </si>
  <si>
    <t>Idinsa</t>
  </si>
  <si>
    <t>Asistencia - Poza rica</t>
  </si>
  <si>
    <t>comisión</t>
  </si>
  <si>
    <t>Maderkit</t>
  </si>
  <si>
    <t>Supervisor</t>
  </si>
  <si>
    <t>FV-1-8187</t>
  </si>
  <si>
    <t>Steel TEK</t>
  </si>
  <si>
    <t>Asistencia</t>
  </si>
  <si>
    <t>Asistencia - Tlalpan</t>
  </si>
  <si>
    <t>J&amp;T EXPRESS</t>
  </si>
  <si>
    <t>Vacaciones y permisos - Jalisco</t>
  </si>
  <si>
    <t>Asistencia - Jalisco</t>
  </si>
  <si>
    <t>Asistencia - MTY</t>
  </si>
  <si>
    <t>Transportes Zapata</t>
  </si>
  <si>
    <t>Vacaciones y permisos</t>
  </si>
  <si>
    <t>Constructora JAN</t>
  </si>
  <si>
    <t>Ecotex</t>
  </si>
  <si>
    <t>Grupo Fertinal</t>
  </si>
  <si>
    <t>Grupo Ñuño</t>
  </si>
  <si>
    <t>FV-1-7499</t>
  </si>
  <si>
    <t>Peri</t>
  </si>
  <si>
    <t>FV-1-7456</t>
  </si>
  <si>
    <t>SYD PROYECTOS INTEGRALES</t>
  </si>
  <si>
    <t>Servigue</t>
  </si>
  <si>
    <t>Formulario Custom</t>
  </si>
  <si>
    <t>Sintra</t>
  </si>
  <si>
    <t>Antonio Huerta Garza (Comex)</t>
  </si>
  <si>
    <t>FV-1-8710</t>
  </si>
  <si>
    <t>Ya facturado</t>
  </si>
  <si>
    <t xml:space="preserve">Arriendo de equipos </t>
  </si>
  <si>
    <t>5 equipos</t>
  </si>
  <si>
    <t>Perdido</t>
  </si>
  <si>
    <t>FV-1-9861</t>
  </si>
  <si>
    <t xml:space="preserve">Entraría seguro, reunión martes 26 para cerrarlo. Falta el ok por parte de dirección (Edgar ya dio el visto bueno)
</t>
  </si>
  <si>
    <t>Asistencia - Chihuahua</t>
  </si>
  <si>
    <t xml:space="preserve"> FV-1-9867</t>
  </si>
  <si>
    <t>Se factura en junio</t>
  </si>
  <si>
    <t>https://crm.zoho.com/crm/org685875245/tab/Potentials/3525045000625765118</t>
  </si>
  <si>
    <t>Asistencia - Metropolitan</t>
  </si>
  <si>
    <t>FV-1-9869</t>
  </si>
  <si>
    <t>Calendario Inteligente - Metropolitan</t>
  </si>
  <si>
    <t>Entra seguro en junio, terminando piloto</t>
  </si>
  <si>
    <t>Vacaciones y permisos -- Metropolitan</t>
  </si>
  <si>
    <t>Respuesta viernes 29, se facturaría en junio</t>
  </si>
  <si>
    <t>Asistencia - Yucatan</t>
  </si>
  <si>
    <t> FV-1-9868</t>
  </si>
  <si>
    <t>Calendario Inteligente - Yucatan</t>
  </si>
  <si>
    <t xml:space="preserve">Entra seguro en junio, ya está implementando. </t>
  </si>
  <si>
    <t>J&amp;T EXPRESS - Cedis Tlanepantla</t>
  </si>
  <si>
    <t>FV-1-9870</t>
  </si>
  <si>
    <t>(Se facturarían 200 en junio, potencial de 1200)</t>
  </si>
  <si>
    <t>FV-1-9908</t>
  </si>
  <si>
    <t>Apex Trailer</t>
  </si>
  <si>
    <t>FV-1-9864</t>
  </si>
  <si>
    <t>Entra si o si en junio, semana del 22 se instala
Llegó torniquete 22, esperando respuesta del cliente para instalar</t>
  </si>
  <si>
    <t>Corazon de alcachofa</t>
  </si>
  <si>
    <t>Marcaje WhatsApp</t>
  </si>
  <si>
    <t>FV-1-9865</t>
  </si>
  <si>
    <t>Entra seguro, semana del 25 de mayo envían telefonos.
9 de junio aún no activan el modulo</t>
  </si>
  <si>
    <t xml:space="preserve">Proquipa y Ecoplating </t>
  </si>
  <si>
    <t>FV-1-9873</t>
  </si>
  <si>
    <t>Entra seguro, terminar mayo gratuito, junio ya se factura. Pedir fecha aprox</t>
  </si>
  <si>
    <t>FV-1-9874</t>
  </si>
  <si>
    <t>SIES</t>
  </si>
  <si>
    <t>FV-1-9862</t>
  </si>
  <si>
    <t>Entra seguro, ya está implementando (25 mayo)</t>
  </si>
  <si>
    <t>Está listo, se dio a costo 0 para fidelizar</t>
  </si>
  <si>
    <t xml:space="preserve">Vacaciones </t>
  </si>
  <si>
    <t>Siemens</t>
  </si>
  <si>
    <t>FV-1-9948 / 9947 / 9946</t>
  </si>
  <si>
    <t>Entraría para Junio. Pedirle prioridad a Gio</t>
  </si>
  <si>
    <t>Consorcio Edifica</t>
  </si>
  <si>
    <t>Entra seguro en junio</t>
  </si>
  <si>
    <t xml:space="preserve">Capital Bus </t>
  </si>
  <si>
    <t>TDSystem</t>
  </si>
  <si>
    <t>FV-1-9626</t>
  </si>
  <si>
    <t>Softys</t>
  </si>
  <si>
    <t>Contratistas</t>
  </si>
  <si>
    <t>FV-1-9837</t>
  </si>
  <si>
    <t>Se factura en junio seguro. Up de 200 de contratistas</t>
  </si>
  <si>
    <t>Entrarían seguro en julio</t>
  </si>
  <si>
    <t>Simi del norte - Daniel Bremer</t>
  </si>
  <si>
    <t>Innova Schools</t>
  </si>
  <si>
    <t>Arriendo de equipos</t>
  </si>
  <si>
    <t xml:space="preserve">Gpo. Estudios Médicos Carraci </t>
  </si>
  <si>
    <t>FV-1-9141</t>
  </si>
  <si>
    <t>Comisión, la cuenta quedó sin asignar por el tamaño</t>
  </si>
  <si>
    <t>FV-1-9339</t>
  </si>
  <si>
    <t>Facturado, pidió dcto, se le hará en junio</t>
  </si>
  <si>
    <t>Talent 2 Clean</t>
  </si>
  <si>
    <t>Darovi</t>
  </si>
  <si>
    <t>Upsell entra en mayo</t>
  </si>
  <si>
    <t>Saberin</t>
  </si>
  <si>
    <t>FV-1-9123</t>
  </si>
  <si>
    <t>Entra seguro</t>
  </si>
  <si>
    <t>FV-1-9839</t>
  </si>
  <si>
    <t>Entra seguro, podría haber ajuste de usuarios. Podría ser min 1919</t>
  </si>
  <si>
    <t>Hagalo México</t>
  </si>
  <si>
    <t>Irkon Holdings SA de CV</t>
  </si>
  <si>
    <t>AHORROS BIENESTAR</t>
  </si>
  <si>
    <t>NOLATO GW PLASTICS</t>
  </si>
  <si>
    <t>Victoria Connect</t>
  </si>
  <si>
    <t>BestDay</t>
  </si>
  <si>
    <t>Grupo ferrocarrilero del sureste</t>
  </si>
  <si>
    <t>Almacenadora Sur SA de CV</t>
  </si>
  <si>
    <t>Serviap Logistics S.A. de C.V.</t>
  </si>
  <si>
    <t>Corporativo Kosmos</t>
  </si>
  <si>
    <t>AMIB</t>
  </si>
  <si>
    <t>Asistencia - Baja California</t>
  </si>
  <si>
    <t>Aceptado, esperando planilla</t>
  </si>
  <si>
    <t>Planificador- Baja California</t>
  </si>
  <si>
    <t>FV-1-11572</t>
  </si>
  <si>
    <t>Diez Company</t>
  </si>
  <si>
    <t>Vacaciones</t>
  </si>
  <si>
    <t>FV-1-11036</t>
  </si>
  <si>
    <t>Proyectado</t>
  </si>
  <si>
    <t>Transportes Wong</t>
  </si>
  <si>
    <t>Presionar con fecha de cambio</t>
  </si>
  <si>
    <t>Mapeo 10 cuentas Junio</t>
  </si>
  <si>
    <t>Falta</t>
  </si>
  <si>
    <t>HiTech Services</t>
  </si>
  <si>
    <t>Si entra en problema por precio, dar dcto de 5 pesos.
Invitarlos al evento</t>
  </si>
  <si>
    <t>Domus</t>
  </si>
  <si>
    <t>Empujar un cross con ese up</t>
  </si>
  <si>
    <t>FV-1-10956</t>
  </si>
  <si>
    <t>Determinar cuanto es el up</t>
  </si>
  <si>
    <t>PORSCHE SAN ANGEL</t>
  </si>
  <si>
    <t>Grupo Automotriz Geisha México</t>
  </si>
  <si>
    <t>Transportes Zapata Mejía</t>
  </si>
  <si>
    <t>Saavi energia</t>
  </si>
  <si>
    <t>Fullmex Industrial</t>
  </si>
  <si>
    <t>FV-1-11037</t>
  </si>
  <si>
    <t>Se activó 22 de julio</t>
  </si>
  <si>
    <t>LI Financiera (Enelcom)</t>
  </si>
  <si>
    <t>Pelear en comisiones porque Karla hizo la subida de usuarios a plataforma.
Pasan de 10 usuarios a 38</t>
  </si>
  <si>
    <t>Gtc Termo Control México</t>
  </si>
  <si>
    <t>SOCIEDAD INDUSTRIAL EQUIPOS Y SERVICIOS SAPI DE CV</t>
  </si>
  <si>
    <t>Noviembre-diciembre</t>
  </si>
  <si>
    <t>BI - MTY</t>
  </si>
  <si>
    <t>Piloto 2 semanas, partiría semana del 3 de agosto. Ver posterior a evento 22 de octubre
Esperando factura de julio a que le baje el costo</t>
  </si>
  <si>
    <t>Keiko</t>
  </si>
  <si>
    <t>Cerrarlo en octubre pero hay posibilidad de cobrarlo en septiembre si se necesita</t>
  </si>
  <si>
    <t>Pentel</t>
  </si>
  <si>
    <t>Precio mayor para usuarios que no van a usar asistencia - Dieron el ok para octubre</t>
  </si>
  <si>
    <t>Dieron el ok para octubre</t>
  </si>
  <si>
    <t>WeeMedic</t>
  </si>
  <si>
    <t>Deal pendiente por problemas con reloj.
Incidencias resueltas</t>
  </si>
  <si>
    <t>JP implementación</t>
  </si>
  <si>
    <t>Octubre-noviembre</t>
  </si>
  <si>
    <t>FLORES Y PLANTAS LA FINCA (BODEGA DE FLORES)</t>
  </si>
  <si>
    <t>Reu jueves 6. Si se lleva ambos, hacer descuento. Demo de vacaciones lista
Van al evento, ver ultima semana de octubre</t>
  </si>
  <si>
    <t>Piloto: esperando fecha inicio. Revisar ultima semana de octubre</t>
  </si>
  <si>
    <t>PRESIONAR - Administradora entretenimiento platino (Wyn Coacalco)</t>
  </si>
  <si>
    <t>Ver para octubre, porque dieron el si pero se desparecieron</t>
  </si>
  <si>
    <t>Eolis</t>
  </si>
  <si>
    <t>Considerando</t>
  </si>
  <si>
    <t>Frunatural</t>
  </si>
  <si>
    <t>No han enviado planilla, aplicar llamada</t>
  </si>
  <si>
    <t>Amer Sports</t>
  </si>
  <si>
    <t>Cross Selling</t>
  </si>
  <si>
    <t>Evaluar instalaciones aún, entraría julio. Seguimiento a levantamiento de las instalaciones</t>
  </si>
  <si>
    <t>Asistencia - Hidalgo</t>
  </si>
  <si>
    <t>Piloto julio</t>
  </si>
  <si>
    <t>Planificador Inteligente- Hidalgo</t>
  </si>
  <si>
    <t>ABC SIVMED</t>
  </si>
  <si>
    <t>Negociación. (Odoo). Confirmar fecha reu levantamiento semana del 20 de agosto</t>
  </si>
  <si>
    <t>Pacada</t>
  </si>
  <si>
    <t>FV-1-11275</t>
  </si>
  <si>
    <t>Aleatica</t>
  </si>
  <si>
    <t>Planificador Inteligente</t>
  </si>
  <si>
    <t>FV-1-11113 a la 11121</t>
  </si>
  <si>
    <t>Ver si se cierra para septiembre</t>
  </si>
  <si>
    <t>Sura</t>
  </si>
  <si>
    <t>FV-1-10921</t>
  </si>
  <si>
    <t>Piloto termina el 15 de julio. Se extiende hasta 28 de julio.
Cerrar precio, lista escalonad
No es muy seguro porque usan TALENTUM</t>
  </si>
  <si>
    <t>Farmacos Darovi</t>
  </si>
  <si>
    <t>Septiembre-octubre</t>
  </si>
  <si>
    <t>Entraría junto a acceso, julio. Esperando aprobación de presupuesto</t>
  </si>
  <si>
    <t>Forbo</t>
  </si>
  <si>
    <t>Se envió propuesta a Sintel, hacer seguimiento Sintel</t>
  </si>
  <si>
    <t>Geisha</t>
  </si>
  <si>
    <t>Buscar reu con todas las razones sociales</t>
  </si>
  <si>
    <t>Mapeo cuentas agosto</t>
  </si>
  <si>
    <t>Oferllantas</t>
  </si>
  <si>
    <t>Empujar piloto</t>
  </si>
  <si>
    <t>WhatsApp</t>
  </si>
  <si>
    <t>Integración con nomilinea</t>
  </si>
  <si>
    <t>Renta de 30 relojes sense2A. Ofrecer a 250 contra cerrar ahor</t>
  </si>
  <si>
    <t>Oportunidad de upsell a todo el corporativo</t>
  </si>
  <si>
    <t>Sinforosa Cafe</t>
  </si>
  <si>
    <t>Apertura 3 cafeterías</t>
  </si>
  <si>
    <t>Empujar en noviembre</t>
  </si>
  <si>
    <t>Darlo gratis por el error de vacaciones</t>
  </si>
  <si>
    <t>SAAVI</t>
  </si>
  <si>
    <t>Nuevos usuarios licitación</t>
  </si>
  <si>
    <t>Tussan</t>
  </si>
  <si>
    <t>Posible up de planta que genera pintura</t>
  </si>
  <si>
    <t>Detenida</t>
  </si>
  <si>
    <t>Buscar up de 19 a 30 usuarioos. Buscar en septiembr</t>
  </si>
  <si>
    <t>Lo mejor en electronica</t>
  </si>
  <si>
    <t>Up desde 15 usuarios a 201 proyectado. 
Invitarlos al evento, buscar cross</t>
  </si>
  <si>
    <t>Kosmos</t>
  </si>
  <si>
    <t>Team back 11</t>
  </si>
  <si>
    <t>Admin se fue, nuevo admin</t>
  </si>
  <si>
    <t>CITY TOUR</t>
  </si>
  <si>
    <t>Grupo Eulen México</t>
  </si>
  <si>
    <t>El Elefante Piloto</t>
  </si>
  <si>
    <t>Queseria America</t>
  </si>
  <si>
    <t>dicipa</t>
  </si>
  <si>
    <t>SIEMENS México</t>
  </si>
  <si>
    <t>GTC Termo Control</t>
  </si>
  <si>
    <t>Están viendo api de Geo</t>
  </si>
  <si>
    <t>Dar precio promo por vacaciones y alertas</t>
  </si>
  <si>
    <t>Hagalo</t>
  </si>
  <si>
    <t>Piloto 15 dias, se acaba 20 de octubre aprox</t>
  </si>
  <si>
    <t>Up selling</t>
  </si>
  <si>
    <t>Nuevos usuarios licitación - Esperar fecha de decisión octubre - noviembre. Falta info de 3 ubicaciones</t>
  </si>
  <si>
    <t>Cliente se contactó para retomar</t>
  </si>
  <si>
    <t>Glory Global</t>
  </si>
  <si>
    <t>Presionar Activación piloto 1 semana</t>
  </si>
  <si>
    <t>Negociación</t>
  </si>
  <si>
    <t>Cosmic Product Company (Marest Holding)</t>
  </si>
  <si>
    <t>(Odoo) Confirmar fecha reu levantamiento</t>
  </si>
  <si>
    <t>Corazón de alcachofa</t>
  </si>
  <si>
    <t>Eulen</t>
  </si>
  <si>
    <t>Viernes 7 se desactiva, esperando respuesta</t>
  </si>
  <si>
    <t>SINTRA</t>
  </si>
  <si>
    <t>Negociarlo a 5 si se lleva alertas</t>
  </si>
  <si>
    <t>Demo lista, empujar piloto</t>
  </si>
  <si>
    <t>AxionLog</t>
  </si>
  <si>
    <t>Ver de hacer propuesta lleva 3x2, solo por agosto-septiembr</t>
  </si>
  <si>
    <t>Integración con ONO</t>
  </si>
  <si>
    <t>Ofrecer 3x2</t>
  </si>
  <si>
    <t>RAM gratis durante Q4, cobrarlo en Q12027</t>
  </si>
  <si>
    <t>Está autorizado, esperando maqueta</t>
  </si>
  <si>
    <t>Centro de Operaciones</t>
  </si>
  <si>
    <t>Optimizador</t>
  </si>
  <si>
    <t>Winland</t>
  </si>
  <si>
    <t>Empujar</t>
  </si>
  <si>
    <t>Fruehauf</t>
  </si>
  <si>
    <t>SIRAMPER</t>
  </si>
  <si>
    <t>RAM Ley Silla - botones reloj</t>
  </si>
  <si>
    <t>Office Max</t>
  </si>
  <si>
    <t>Ver ERP</t>
  </si>
  <si>
    <t>RAM (Gio)</t>
  </si>
  <si>
    <t>Entraría posterior a planificador, esperar a agosto
Reunión viernes 29 para mostrar gvlogs y ram, pero más factible Q3</t>
  </si>
  <si>
    <t>Ellos deberían terminar implementación en junio</t>
  </si>
  <si>
    <t>Rokkina</t>
  </si>
  <si>
    <t>Ver si entra en agosto</t>
  </si>
  <si>
    <t>Vertiv</t>
  </si>
  <si>
    <t>Se fue a perdido porque Chile y Colombia no quedaron satisfechos</t>
  </si>
  <si>
    <t>Nurib</t>
  </si>
  <si>
    <t>San Angel</t>
  </si>
  <si>
    <t>Regalar app supervisor</t>
  </si>
  <si>
    <t>Esperando ok del cliente para empezar a entrar nuevos usuarios</t>
  </si>
  <si>
    <t>Valiant</t>
  </si>
  <si>
    <t>Planificador</t>
  </si>
  <si>
    <t>Puebla - torniquete llegan en octubre aprox</t>
  </si>
  <si>
    <t>Cierre de imple en julio</t>
  </si>
  <si>
    <t>Lapi</t>
  </si>
  <si>
    <t>Seguimiento, quizas impulsar piloto. Ver después del evento</t>
  </si>
  <si>
    <t>Posible integración con SAP. Ver después del evento</t>
  </si>
  <si>
    <t xml:space="preserve">Revisar en agosto
</t>
  </si>
  <si>
    <t>Reporte Personalizado Nomina (Trato) - Zoho CRM</t>
  </si>
  <si>
    <t>Tous</t>
  </si>
  <si>
    <t>Ofrecer paquete de los 4 por 20 pesos</t>
  </si>
  <si>
    <t>Planificador Inteligente (Trato) - Zoho CRM</t>
  </si>
  <si>
    <t>Planificador inteligente</t>
  </si>
  <si>
    <t>Aún no se manda propuesta. Demo viernes 9</t>
  </si>
  <si>
    <t>Centro de operaciones (Trato) - Zoho CRM</t>
  </si>
  <si>
    <t>Centro de operaciones</t>
  </si>
  <si>
    <t>Alertas (Trato) - Zoho CRM</t>
  </si>
  <si>
    <t xml:space="preserve">Alertas </t>
  </si>
  <si>
    <t>Planificador grupo ferrocarrilero (Trato) - Zoho CRM</t>
  </si>
  <si>
    <t>Grupo Ferrocarrilero</t>
  </si>
  <si>
    <t>Paquete de los 3 x 16</t>
  </si>
  <si>
    <t>Vacaciones grupo ferrocarrilero sureste (Trato) - Zoho CRM</t>
  </si>
  <si>
    <t>Volver a buscar cuando tengamos link/notificación en app supervisor</t>
  </si>
  <si>
    <t>Centro de Operaciones (Trato) - Zoho CRM</t>
  </si>
  <si>
    <t>ALERTAS GFR (Trato) - Zoho CRM</t>
  </si>
  <si>
    <t>Centro de operaciones HQ</t>
  </si>
  <si>
    <t>Ofrecer por 10 pesos alertas+planificador+centro de operaciones de regalo.
Terminan piloto el 12</t>
  </si>
  <si>
    <t>Alertas HQ</t>
  </si>
  <si>
    <t>Planificador inteligente HQ</t>
  </si>
  <si>
    <t>Comercializadora IMU</t>
  </si>
  <si>
    <t>Porco Rosso</t>
  </si>
  <si>
    <t>Evaluando si lo autorizan. Demo + propuesta lista
Plantada el jueves, están desactivados por mora
Regalar planificador</t>
  </si>
  <si>
    <t>Grupo Avicola Quiñones</t>
  </si>
  <si>
    <t>Tocar base en octubre</t>
  </si>
  <si>
    <t>No han respodido. Seguimiento</t>
  </si>
  <si>
    <t>Ediciaciones</t>
  </si>
  <si>
    <t>ECOM</t>
  </si>
  <si>
    <t>Ya tiene propuesta y todo</t>
  </si>
  <si>
    <t xml:space="preserve">Piloto - Riesgo por wpp </t>
  </si>
  <si>
    <t>Riesgo por wpp</t>
  </si>
  <si>
    <t>Riesgo por wpp - presionar integración contpaqi</t>
  </si>
  <si>
    <t>Blantex</t>
  </si>
  <si>
    <t>Piloto termina jueves, se les mandó propuesta</t>
  </si>
  <si>
    <t>Esperando respuesta sobre comedor, se envió en marzo. Contacto de la empresa no está respondiendo sobre comedor pero con otro contacto se le ofreció vacaciones y planificador</t>
  </si>
  <si>
    <t>Newrest</t>
  </si>
  <si>
    <t>SURA</t>
  </si>
  <si>
    <t>IAMSA</t>
  </si>
  <si>
    <t>InnovaSchools</t>
  </si>
  <si>
    <t>Quesadillera</t>
  </si>
  <si>
    <t>Deal que surgió por correo masivo.
Ayudarse con Chio con contactos
Seguimiento con contacto de facturación.
Reunión viernes 5</t>
  </si>
  <si>
    <t>En espera de planilla</t>
  </si>
  <si>
    <t>Esperando respuesta, ofrecer muy muy barato</t>
  </si>
  <si>
    <t>Cocina Mexicana</t>
  </si>
  <si>
    <t>Precio base de 80usd y ya tabla escalonado conforme a los usuarios</t>
  </si>
  <si>
    <t>Altour</t>
  </si>
  <si>
    <t>Esperando reunión con cliente, están en implementación aún. Esperando pase de Xime</t>
  </si>
  <si>
    <t>Se desactivó piloto, seguir empujando</t>
  </si>
  <si>
    <t>Ajemex</t>
  </si>
  <si>
    <t>No dieron respuesta</t>
  </si>
  <si>
    <t>Maximus</t>
  </si>
  <si>
    <t>Matar</t>
  </si>
  <si>
    <t>Seguimiento
Esperando respuesta, quieren conectar COMPAQ</t>
  </si>
  <si>
    <t>Dar precio de 80, pago único, para fidelizar, según complejidad del ram</t>
  </si>
  <si>
    <t>Se les activó piloto, no han atendido capacitación</t>
  </si>
  <si>
    <t>Via Urbana</t>
  </si>
  <si>
    <t>Seguimiento, ofrecer piloto de 2 semana. Buscar al partner
No ha habido respuesta</t>
  </si>
  <si>
    <t>Buscar a Claudia para ver precio y si nos ayuda a empujar</t>
  </si>
  <si>
    <t>PTI-QCS</t>
  </si>
  <si>
    <t>Negociación. Buscarlos a inicio de semana del 21 de julio.
*Problemas con cuadrillas, posible baja. Revisar</t>
  </si>
  <si>
    <t>Detenida, ver que pasa con cuadrilla</t>
  </si>
  <si>
    <t>Grupo Cocina Mexicana</t>
  </si>
  <si>
    <t>Finotex</t>
  </si>
  <si>
    <t>ADMINISTRADORA ENTRETENIMIENTO PLATINO MEXICO SA DE CV</t>
  </si>
  <si>
    <t>Grupo Aleática</t>
  </si>
  <si>
    <t>U-Storage</t>
  </si>
  <si>
    <t>COMEX</t>
  </si>
  <si>
    <t>Ver estrategia porque son franquicia</t>
  </si>
  <si>
    <t>Benedettis</t>
  </si>
  <si>
    <t>Accesos (internos)</t>
  </si>
  <si>
    <t>Grupo Nacional Colchonero</t>
  </si>
  <si>
    <t>Confirmar costo whatsapp y regalar otro más
No puede ir con whatsapp</t>
  </si>
  <si>
    <t>Whatsapp</t>
  </si>
  <si>
    <t>Consorcio edifica</t>
  </si>
  <si>
    <t>Hasta 8 usuarios, precio fijo 200</t>
  </si>
  <si>
    <t>https://crm.zoho.com/crm/org685875245/tab/Potentials/3525045000666649318</t>
  </si>
  <si>
    <t>Hasta 15 usuarios, precio fijo 200</t>
  </si>
  <si>
    <t>Bodega de papel mesones</t>
  </si>
  <si>
    <t>JP (Luis) hizo la demo</t>
  </si>
  <si>
    <t>Nombre de la empresa</t>
  </si>
  <si>
    <t xml:space="preserve">Tipo cliente </t>
  </si>
  <si>
    <t>Industria</t>
  </si>
  <si>
    <t>Valor X Usuaio MXN</t>
  </si>
  <si>
    <t>Ultima Facturación MXN</t>
  </si>
  <si>
    <t>Ultima Facturación USD</t>
  </si>
  <si>
    <t>Ultimo mes de servicio facturado</t>
  </si>
  <si>
    <t>Mes de baja MRR</t>
  </si>
  <si>
    <t>Fecha de desactivación</t>
  </si>
  <si>
    <t>Motivo</t>
  </si>
  <si>
    <t>Valor del Dollar Enero</t>
  </si>
  <si>
    <t>Solicitó baja en septiembre 2025</t>
  </si>
  <si>
    <t>Accord Farma</t>
  </si>
  <si>
    <t>Q12026</t>
  </si>
  <si>
    <t>Deuda</t>
  </si>
  <si>
    <t>Desactivado por deuda</t>
  </si>
  <si>
    <t>AUTSOL</t>
  </si>
  <si>
    <t>Sin Kam</t>
  </si>
  <si>
    <t>Deuda + solicitud de baja de servicio</t>
  </si>
  <si>
    <t>CHAVITO BIEN TOYS (Cintamex)</t>
  </si>
  <si>
    <t>Solicitud tras llamada con Diego Quispe, se busca que pague las facturas adeudaadas y se continua con la baja de servicio</t>
  </si>
  <si>
    <t>Balbek</t>
  </si>
  <si>
    <t>Baja en implementación</t>
  </si>
  <si>
    <t>Equipos y Accesorios para Gas L.P. y Natural</t>
  </si>
  <si>
    <t>Dijo que no termino imple, intentamos que la retomara pero no</t>
  </si>
  <si>
    <t>Problemas con el producto</t>
  </si>
  <si>
    <t>Freedom pop</t>
  </si>
  <si>
    <t>revisar PP</t>
  </si>
  <si>
    <t>Cambio proveedor</t>
  </si>
  <si>
    <t>JUF ACTIVANDO VALORES AC</t>
  </si>
  <si>
    <t xml:space="preserve">Esta empresa no era tan grande, se dedican a dar clases en diversas ubicaciones y usaban la app para ver cuando los profesores llegaran a su ubicacion y marcaran (al pagar por hora esto igual les servia en el papel, el problema vino con las fallas, terminaron regresando a avisar por whats, o teniendo que a cierre de quincena hacer aclaraciones con cada profesos cuando no podian marcar) se les propuso el marcaje por whatsApp pero consideraron que para la cantidad de empleados (unos 8 maestros) no tenia caso pagar por algo que podian hacer gratis </t>
  </si>
  <si>
    <t xml:space="preserve">Soporte y producto </t>
  </si>
  <si>
    <t>Mauricio Fernandez (Manga audio)</t>
  </si>
  <si>
    <t>Solicitaron la baja</t>
  </si>
  <si>
    <t>Plegma</t>
  </si>
  <si>
    <t xml:space="preserve">Cambio de probedor a un ERP que les ofrece nómina y asistencia en uno solo </t>
  </si>
  <si>
    <t>Sistema propio</t>
  </si>
  <si>
    <t>LOLTUN</t>
  </si>
  <si>
    <t>¿Cuál es la razón? Que la atención a cliente el 98% de las veces fue pésima, así como el sistema, tenía errores y mencionaban que era por error de nosotros y peor aún, hubo un caso que levante como 3 ocasiones y nunca se resolvió.</t>
  </si>
  <si>
    <t>Proyecto rechazado</t>
  </si>
  <si>
    <t>Rodolfo Valtierra Picos</t>
  </si>
  <si>
    <t>Consultoria</t>
  </si>
  <si>
    <t>Los colaboradores de este cliente prestan servicios a otras empresas, nos comenta que la gestión de asistencia ya esta siendo gestionada en las empresas donde los colaboradores desarrollan sus actividades</t>
  </si>
  <si>
    <t>Quiebra</t>
  </si>
  <si>
    <t>Sarai Perez Chilel (Grupo Lion)</t>
  </si>
  <si>
    <t>No nos usaban bien</t>
  </si>
  <si>
    <t>Servicio de maquila y maniobra reno</t>
  </si>
  <si>
    <t>Baja, colaboradores no quieren marcar. Baja en pausa porque no han tenido reunión</t>
  </si>
  <si>
    <t>Avantika (soluciones para ti)</t>
  </si>
  <si>
    <t>En llamada cliente expreso que se va con BUK (lleva ya 4 meses con ellos), se ofreció integración y no quisieron, destacaron puntos que no les agradaron de Geo como que les cambiaron comercial y KAM varias veces, se les ofrecieron cosas (vacaciones gratis) y despues se les cobraron, fallas en seguimiento, etc.  y quieren pagar solo 8 días de diciembre no todo el mes</t>
  </si>
  <si>
    <t>*Revisar con partners</t>
  </si>
  <si>
    <t>SGS México</t>
  </si>
  <si>
    <t>New Rest</t>
  </si>
  <si>
    <t>Abygim</t>
  </si>
  <si>
    <t>El cliente solicito su baja, le indica a su KAM qu ya tienen desarrollado su propio sistema</t>
  </si>
  <si>
    <t>Acrux CZM (Enestas)</t>
  </si>
  <si>
    <t>Solicitada por cliente "les pidieron contratar un sistema integral en donde cuentan con RRHH y con asistencia"</t>
  </si>
  <si>
    <t>Cazama (Enestas)</t>
  </si>
  <si>
    <t>Enestas</t>
  </si>
  <si>
    <t>Alejandra Lara Hernandez (dental Art)</t>
  </si>
  <si>
    <t>Caribe Taxi Express</t>
  </si>
  <si>
    <t>Carome</t>
  </si>
  <si>
    <t>Doorvel</t>
  </si>
  <si>
    <t>Cliente se mudo de oficinas, en este nuevo edificio tiene tarjetas de presencialidad y le entregan un reporte de las personas que asisten lo que suple la necesidad que cubria con GV</t>
  </si>
  <si>
    <t>UNIQUE COMM</t>
  </si>
  <si>
    <t>Usuarios nunca quisieron marcar, optaron por rechazar el proyecto https://dashboard.samu.ai/share/6973fc22af3248045fe1566a</t>
  </si>
  <si>
    <t>Rolansa Herol (Maku poke)</t>
  </si>
  <si>
    <t>Cliente deja de tener operaciones (cerró)</t>
  </si>
  <si>
    <t>Zapaterias super</t>
  </si>
  <si>
    <t>No aporta valor</t>
  </si>
  <si>
    <t>No nos usaban bien, solo para migrar al reloj. *ver si es de febrero o de marzo. Hay factura en febrero de 346</t>
  </si>
  <si>
    <t>Tesco Refrigeración</t>
  </si>
  <si>
    <t>Decisión del directorio, no hay mas info, Ale Chaparro hizo la entrevista de salida</t>
  </si>
  <si>
    <t xml:space="preserve">Control de plagas internacional centinela </t>
  </si>
  <si>
    <t>Pidió la baja, gestionando reu de salida para saber motivos (Ale Chaparro)</t>
  </si>
  <si>
    <t>BKAYA</t>
  </si>
  <si>
    <t>Sin razón declarada</t>
  </si>
  <si>
    <t>ASADOR CITY WOK MEXICO ZHOU ZHAO AL</t>
  </si>
  <si>
    <t>Encontró otro proveedor más barato, se itnentó negociar precio pero aún así decidieron bajarse</t>
  </si>
  <si>
    <t>OPERADORA DE GRANOS Y ALMACENES</t>
  </si>
  <si>
    <t>PUNTO ALQUIMIA</t>
  </si>
  <si>
    <t>CARBONO COMSOLTA</t>
  </si>
  <si>
    <t>MELY'S JANITORIAL</t>
  </si>
  <si>
    <t>Baja se regularizó en agosto, pero cliente pidió la baja en febrero</t>
  </si>
  <si>
    <t>GOBIERNO DEL ESTADO DE DURANGO (Escuela Secundaria Tecnica 1)</t>
  </si>
  <si>
    <t>Q22026</t>
  </si>
  <si>
    <t>Cambio de dirección</t>
  </si>
  <si>
    <t>Cambio de dirección de la escuela (personal administrativo)</t>
  </si>
  <si>
    <t>Baja, no conseguimos reunión de salida ni feedback</t>
  </si>
  <si>
    <t>Cambio razón social</t>
  </si>
  <si>
    <t>Cambio de razón social</t>
  </si>
  <si>
    <t>No aplica para facturación de abril, desactivada por deuda. Se reactivó en mayo</t>
  </si>
  <si>
    <t>(Plastmex) No aplica para facturación de abril, desactivada por deuda. Se reactivó en mayo</t>
  </si>
  <si>
    <t>ACTIC</t>
  </si>
  <si>
    <t>(Gaya) No aplica para facturación de abril, desactivada por deuda. Se reactivó en mayo</t>
  </si>
  <si>
    <t>JAVILU TRANSPORTES</t>
  </si>
  <si>
    <t>Razón social de STED TRASLADOS. Se dio de baja esta razón social por pérdida de proyecto</t>
  </si>
  <si>
    <t>MANTENIMIENTO AUTOMOTRIZ DE CABO (Ge Villa)</t>
  </si>
  <si>
    <t>Se van con Buk, menor costo por asistencia y nómina</t>
  </si>
  <si>
    <t>PRO RIEGO (Ge Villa)</t>
  </si>
  <si>
    <t>VILLAGOMEZ JURADO (Ge Villa)</t>
  </si>
  <si>
    <t>SOUTH BAJA CONSTRUCTORA (Ge Villa)</t>
  </si>
  <si>
    <t>*Se desactivó el 13-05 pero debió ser 31-03</t>
  </si>
  <si>
    <t>Pasa a Fármacos Darovi</t>
  </si>
  <si>
    <t>Pasa a Stevanato</t>
  </si>
  <si>
    <t>STEEL TEK</t>
  </si>
  <si>
    <t>Viendo reimplementación</t>
  </si>
  <si>
    <t>Desactivada por Mora. Revisar*</t>
  </si>
  <si>
    <t>Desactivado, revisar si es por mora?</t>
  </si>
  <si>
    <t>Desactivada por mora</t>
  </si>
  <si>
    <t>PLASTICOS INDUSTRIALES DE MONTERREY</t>
  </si>
  <si>
    <t>Deuda (cobranza)</t>
  </si>
  <si>
    <t>Desactivado por mora, se considera baja porque no conseguimos contacto y pasó todo julio desactivado</t>
  </si>
  <si>
    <t>Reestructuración interna</t>
  </si>
  <si>
    <t>Retomar en diciembre</t>
  </si>
  <si>
    <t>TASAY</t>
  </si>
  <si>
    <t>Baja implementación</t>
  </si>
  <si>
    <t>Pidieron cancelar el proyecto</t>
  </si>
  <si>
    <t>Colaboradores renuentes</t>
  </si>
  <si>
    <t>Implementación pausada</t>
  </si>
  <si>
    <t>Razón social de Benedettis, no tuvo usuarios en mayo</t>
  </si>
  <si>
    <t>KYSOR WARREN</t>
  </si>
  <si>
    <t>Q32026</t>
  </si>
  <si>
    <t>*Decisión de nueva jefatura</t>
  </si>
  <si>
    <t>OVG HOSPITALITY MEXICO</t>
  </si>
  <si>
    <t>Actividad temporal</t>
  </si>
  <si>
    <t>Nos utilizó solo para mundial, después de ese mes, se fue a 0 usuarios. Ver si retoma en el futuro</t>
  </si>
  <si>
    <t>GRUPO OCCIDENTE (Gao)</t>
  </si>
  <si>
    <t>TRINIDAD ALBERTO FLORES ZAMORA (Comedores Alva)</t>
  </si>
  <si>
    <t>Dejaron de responder</t>
  </si>
  <si>
    <t>Tema interno</t>
  </si>
  <si>
    <t>Decidieron detener implementación porque eran pocos colaboradores</t>
  </si>
  <si>
    <t>PTI DOS DIVERSIFIED OUTSOURCING SOLUTIONS</t>
  </si>
  <si>
    <t>Se fugó en implementación por problemas con app cuadrillas</t>
  </si>
  <si>
    <t>Desactivado por deuda en junio, no aplica julio</t>
  </si>
  <si>
    <t>MASTER BUILDER</t>
  </si>
  <si>
    <t>Razón social de Actic que se fue, se queda Actic</t>
  </si>
  <si>
    <t>Desactivado por deuda 26/06</t>
  </si>
  <si>
    <t>Desactivado por deuda, viendo si aplica factura</t>
  </si>
  <si>
    <t>Disminución de colaboradores</t>
  </si>
  <si>
    <t>LOGICAMEX</t>
  </si>
  <si>
    <t>Problemas con módulo antiguo de permisos y luego con migración al módulo nuevo</t>
  </si>
  <si>
    <t>SERVICIOS LESETAV</t>
  </si>
  <si>
    <t>Abandonó implementación en fse de enrolamientos</t>
  </si>
  <si>
    <t>??</t>
  </si>
  <si>
    <t>Dicen haber tenido muy buen servicio con Geo pero por cambios en directivos piden la baja</t>
  </si>
  <si>
    <t>Baja de servicio</t>
  </si>
  <si>
    <t>Se cambian a otro sistema que la nueva dirección ya trae</t>
  </si>
  <si>
    <t>Desactivada por deuda</t>
  </si>
  <si>
    <t>LETZEL</t>
  </si>
  <si>
    <t>Cliente dijo no querer continuar con implementación</t>
  </si>
  <si>
    <t>NEWCHEM &amp; COMMERCE</t>
  </si>
  <si>
    <t>Deciden irse a buk para centralizar operación, dijeron que el servicio de Geo fue excelente pero quieren manejar 1 plataforma</t>
  </si>
  <si>
    <t>GRUPO EMPRESARIAL LA PIRAMIDE</t>
  </si>
  <si>
    <t>Sistema no resolvió lo que esperaban y se quedaron con 1 usuario hasta el término de la anualidad</t>
  </si>
  <si>
    <t>RENA COMERCIALIZADORA</t>
  </si>
  <si>
    <t>Proveedor desconocido le ofreció servicio por menos del 50% de precio</t>
  </si>
  <si>
    <t>VIRAL FLAVOR</t>
  </si>
  <si>
    <t>Venía de partner TADA y desistió de GV</t>
  </si>
  <si>
    <t>Dicen que todo estuvo bien con el servicio pero hubo cambio en las necesidades de la empresa</t>
  </si>
  <si>
    <t>Sin usuarios activos</t>
  </si>
  <si>
    <t>SOCIEDAD MEXICANA DE PARRILEROS</t>
  </si>
  <si>
    <t>Desarrollo propio de asistencia</t>
  </si>
  <si>
    <t>Fuga</t>
  </si>
  <si>
    <t>MRR</t>
  </si>
  <si>
    <t>Sin imp</t>
  </si>
  <si>
    <t>182 = 0.096%</t>
  </si>
  <si>
    <t>250 usd=0,13</t>
  </si>
  <si>
    <t>Promedio</t>
  </si>
  <si>
    <t>Por KAM</t>
  </si>
  <si>
    <t>Referidos</t>
  </si>
  <si>
    <t>MRR Cartera</t>
  </si>
  <si>
    <t>% Fuga</t>
  </si>
  <si>
    <t>Aporte neto</t>
  </si>
  <si>
    <t>T1</t>
  </si>
  <si>
    <t>T2</t>
  </si>
  <si>
    <t>T3</t>
  </si>
  <si>
    <t>Neto</t>
  </si>
  <si>
    <t>Descripción RAM</t>
  </si>
  <si>
    <t>Factura</t>
  </si>
  <si>
    <t>Juguetron</t>
  </si>
  <si>
    <t>Agrega el campo de grupo al reporte de actividad de usuarios. Puede ser utilizado para marcas de Ley silla</t>
  </si>
  <si>
    <t>Antromex</t>
  </si>
  <si>
    <t>Restaurantes</t>
  </si>
  <si>
    <t>Muestra información de el costo por usuario por día para el cliente, brinda información con base en cuantos días trabajó en el periodo consultado. Funciona para tener una prospección de gastos y luego comparar con lo realment gastado</t>
  </si>
  <si>
    <t>Brinda el detalle de personal con marcas para tener un mejor control de las aperturas. Mezcla elementos del reporte de marcas con dotación</t>
  </si>
  <si>
    <t>Brinda el detalle de que personal es acreedor al bono de puntualidad, con base en configuraciones compartidas por el cliente</t>
  </si>
  <si>
    <t>Forsac</t>
  </si>
  <si>
    <t>Es una modificación del reporte nómina Mx en el cual si se contabilizan por separado las vacaciones e incapacidades de permisos con y sin goce</t>
  </si>
  <si>
    <t>Cuenta con los mismos reportes de Julio para puntualidad y Forsac con la modificación de Nom Mx</t>
  </si>
  <si>
    <t>Disminuciones menor a 100%</t>
  </si>
  <si>
    <t>Variación</t>
  </si>
  <si>
    <t>Variación %</t>
  </si>
  <si>
    <t>Mes Anterior</t>
  </si>
  <si>
    <t>Ver con Dani</t>
  </si>
  <si>
    <t>Sin KAM, ver detalle en modelo salud</t>
  </si>
  <si>
    <t>dcto</t>
  </si>
  <si>
    <t>$2</t>
  </si>
  <si>
    <t>$7</t>
  </si>
  <si>
    <t>($4)</t>
  </si>
  <si>
    <t>GEVILLA</t>
  </si>
  <si>
    <t>Serán baja de mayo</t>
  </si>
  <si>
    <t>Ver con Raúl</t>
  </si>
  <si>
    <t>TRIBUNAL DE JUSTICIA ADMINISTRATIVA DEL ESTADO DE MEXICO</t>
  </si>
  <si>
    <t>IMPULSORA DE DESARROLLO INTEGRAL</t>
  </si>
  <si>
    <t>Idinsa, bajó usuarios que ya no usaba</t>
  </si>
  <si>
    <t>$58</t>
  </si>
  <si>
    <t>$151</t>
  </si>
  <si>
    <t>($92)</t>
  </si>
  <si>
    <t>Karla: julio inflado por reloje</t>
  </si>
  <si>
    <t>LATAM LOGISTICS</t>
  </si>
  <si>
    <t>Ver con Dafne</t>
  </si>
  <si>
    <t>COMETA ENERGIA</t>
  </si>
  <si>
    <t>J&amp;T EXPRESS SUR R7</t>
  </si>
  <si>
    <t>$65</t>
  </si>
  <si>
    <t>$156</t>
  </si>
  <si>
    <t>($91)</t>
  </si>
  <si>
    <t>DESARROLLO INTEGRAL ADMINISTRATIVO LUAN</t>
  </si>
  <si>
    <t>Ver con Karla</t>
  </si>
  <si>
    <t>dcto por retención</t>
  </si>
  <si>
    <t>Grupo Julio</t>
  </si>
  <si>
    <t>$323</t>
  </si>
  <si>
    <t>$634</t>
  </si>
  <si>
    <t>($311)</t>
  </si>
  <si>
    <t>Karla: revisar</t>
  </si>
  <si>
    <t>WILSON SPORTING GOODS CO DE MEXICO</t>
  </si>
  <si>
    <t>GRUPO SABER INTEGRARSE</t>
  </si>
  <si>
    <t>Instalaciones Ambiark</t>
  </si>
  <si>
    <t>$119</t>
  </si>
  <si>
    <t>$196</t>
  </si>
  <si>
    <t>($77)</t>
  </si>
  <si>
    <t>GCP</t>
  </si>
  <si>
    <t>Ver con Kat</t>
  </si>
  <si>
    <t>DICKA LOGISTICS SAPI DE CV</t>
  </si>
  <si>
    <t>Congeladora Comfrut SA de CV</t>
  </si>
  <si>
    <t>$198</t>
  </si>
  <si>
    <t>$317</t>
  </si>
  <si>
    <t>($119)</t>
  </si>
  <si>
    <t>CONCORDE GROUP</t>
  </si>
  <si>
    <t>$502</t>
  </si>
  <si>
    <t>$717</t>
  </si>
  <si>
    <t>($215)</t>
  </si>
  <si>
    <t>Dafne: revisar</t>
  </si>
  <si>
    <t>Disminución de 1 proyecto</t>
  </si>
  <si>
    <t>COMPAÑIA MADERERA DE CHIHUAHUA SUCESORES</t>
  </si>
  <si>
    <t>Ver con Raul</t>
  </si>
  <si>
    <t>$1.282</t>
  </si>
  <si>
    <t>$1.826</t>
  </si>
  <si>
    <t>($543)</t>
  </si>
  <si>
    <t>Bajada de usuarios por migración a sistema interno</t>
  </si>
  <si>
    <t>ALTEC INGENIERIA Y ARQUITECTURA</t>
  </si>
  <si>
    <t>INDUSTRIA ECOLOGICA TA</t>
  </si>
  <si>
    <t>$22</t>
  </si>
  <si>
    <t>$31</t>
  </si>
  <si>
    <t>($8)</t>
  </si>
  <si>
    <t>COSMOPHARMEX</t>
  </si>
  <si>
    <t>$74</t>
  </si>
  <si>
    <t>$92</t>
  </si>
  <si>
    <t>($18)</t>
  </si>
  <si>
    <t>Serintra, S.A. de C.V.</t>
  </si>
  <si>
    <t>PEOPLE 2.0 MEXICO</t>
  </si>
  <si>
    <t>$270</t>
  </si>
  <si>
    <t>$330</t>
  </si>
  <si>
    <t>($60)</t>
  </si>
  <si>
    <t>Ver con Kar</t>
  </si>
  <si>
    <t>Desactivaron usuarios que ya no usaban</t>
  </si>
  <si>
    <t>$61</t>
  </si>
  <si>
    <t>($13)</t>
  </si>
  <si>
    <t>$87</t>
  </si>
  <si>
    <t>$103</t>
  </si>
  <si>
    <t>($16)</t>
  </si>
  <si>
    <t>Orange Business México S.A. de C.V.</t>
  </si>
  <si>
    <t>$133</t>
  </si>
  <si>
    <t>$157</t>
  </si>
  <si>
    <t>($24)</t>
  </si>
  <si>
    <t>CEPADEMRH SERVICIOS INTEGRALES</t>
  </si>
  <si>
    <t>Ver con Daf</t>
  </si>
  <si>
    <t>$1.103</t>
  </si>
  <si>
    <t>$1.298</t>
  </si>
  <si>
    <t>($195)</t>
  </si>
  <si>
    <t>$28</t>
  </si>
  <si>
    <t>$33</t>
  </si>
  <si>
    <t>($5)</t>
  </si>
  <si>
    <t>Revisar con Raúl</t>
  </si>
  <si>
    <t>$70</t>
  </si>
  <si>
    <t>$82</t>
  </si>
  <si>
    <t>($12)</t>
  </si>
  <si>
    <t>$38</t>
  </si>
  <si>
    <t>$44</t>
  </si>
  <si>
    <t>($6)</t>
  </si>
  <si>
    <t>TRANSPORTACION Y LOGISTICA MALDONADO</t>
  </si>
  <si>
    <t>$88</t>
  </si>
  <si>
    <t>$100</t>
  </si>
  <si>
    <t>SERVICIOS INTEGRALES RAMPER</t>
  </si>
  <si>
    <t>Dcto por retención</t>
  </si>
  <si>
    <t>$84</t>
  </si>
  <si>
    <t>$95</t>
  </si>
  <si>
    <t>($11)</t>
  </si>
  <si>
    <t>MANTENIMIENTO AUTOMOTRIZ DE CABO</t>
  </si>
  <si>
    <t>$135</t>
  </si>
  <si>
    <t>$153</t>
  </si>
  <si>
    <t>($17)</t>
  </si>
  <si>
    <t>Barradas Refrigeración Comercial S.A. DE C.V.</t>
  </si>
  <si>
    <t>$611</t>
  </si>
  <si>
    <t>$686</t>
  </si>
  <si>
    <t>($74)</t>
  </si>
  <si>
    <t>IMPULSORA DE DESARRLLO INTEGRAL</t>
  </si>
  <si>
    <t>$1.725</t>
  </si>
  <si>
    <t>$2.439</t>
  </si>
  <si>
    <t>($714)</t>
  </si>
  <si>
    <t>$166</t>
  </si>
  <si>
    <t>$185</t>
  </si>
  <si>
    <t>($19)</t>
  </si>
  <si>
    <t>$193</t>
  </si>
  <si>
    <t>$215</t>
  </si>
  <si>
    <t>($22)</t>
  </si>
  <si>
    <t>INTEGRITY PROTECTION SERVICES</t>
  </si>
  <si>
    <t>People 2.0 Mexico S. DE R.L. DE C.V.</t>
  </si>
  <si>
    <t>OAXX PROYECTOS Y SOLUCIONES</t>
  </si>
  <si>
    <t>ERMAN ENRIQUE ESTRADA LARIOS</t>
  </si>
  <si>
    <t>NETAFIM MEXICO</t>
  </si>
  <si>
    <t>JASSEGO ALIMENTOS</t>
  </si>
  <si>
    <t>IBAHUS MUNDO</t>
  </si>
  <si>
    <t>Fecha fuga</t>
  </si>
  <si>
    <t>Productos Cross</t>
  </si>
  <si>
    <t>CSS</t>
  </si>
  <si>
    <t>Estado salud</t>
  </si>
  <si>
    <t>VJU981123KB4</t>
  </si>
  <si>
    <t xml:space="preserve">Baja California </t>
  </si>
  <si>
    <t>Grupo constructor Villagomez Jurado con sede en Baja California, especializado en desarrollo inmobiliario y obras de construcción en la región noroeste.</t>
  </si>
  <si>
    <t>VILLAGOMEZ JURADO</t>
  </si>
  <si>
    <t>GE VILLA</t>
  </si>
  <si>
    <t>BajaCalifornia Norte</t>
  </si>
  <si>
    <t>GOBIERNO DEL ESTADO DE DURANGO</t>
  </si>
  <si>
    <t>Gobierno estatal de Durango encargado de la administración pública, prestación de servicios a ciudadanos y gestión de obras e infraestructura en el estado.</t>
  </si>
  <si>
    <t>9. Gobierno</t>
  </si>
  <si>
    <t>Empresa constructora con sede en Baja California Sur, especializada en proyectos de edificación residencial y comercial en la zona de Los Cabos y la Paz.</t>
  </si>
  <si>
    <t>PRO RIEGO</t>
  </si>
  <si>
    <t>Empresa de sistemas de riego con sede en Baja California Sur, especializada en el diseño, instalación y mantenimiento de sistemas de irrigación para agricultura y jardinería.</t>
  </si>
  <si>
    <t>ZSU920314FC2</t>
  </si>
  <si>
    <t>ZAPATERIAS SUPER</t>
  </si>
  <si>
    <t>Coahuila</t>
  </si>
  <si>
    <t>Cadena de zapaterías con sede en Coahuila, dedicada a la venta de calzado para toda la familia a precios accesibles, con presencia en el noreste del país.</t>
  </si>
  <si>
    <t>Restaurante de cocina asiática con sede en CDMX, que ofrece platillos wok, asados y gastronomía oriental en un concepto de comida rápida o casual dining.</t>
  </si>
  <si>
    <t>OGA101029LS3</t>
  </si>
  <si>
    <t>Empresa operadora de almacenamiento y comercialización de granos con sede en CDMX, dedicada al acopio, manejo y distribución de cereales y materias primas agrícolas.</t>
  </si>
  <si>
    <t>Empresa de soluciones de carbono y sustentabilidad con sede en CDMX, especializada en consultoría de huella de carbono, compensación de emisiones y proyectos de sustentabilidad ambiental.</t>
  </si>
  <si>
    <t>Empresa de servicios creativos o de bienestar con sede en CDMX, posiblemente orientada a terapias alternativas, spa, bienestar o soluciones de diseño para el mercado local.</t>
  </si>
  <si>
    <t>Empresa de transporte de carga y distribución logística con operaciones en la zona metropolitana y rutas nacionales.</t>
  </si>
  <si>
    <t>Empresa comercializadora con sede en México, dedicada a la distribución y venta de productos o servicios para el mercado de consumo masivo o empresarial.</t>
  </si>
  <si>
    <t>GEP990519SWA</t>
  </si>
  <si>
    <t>No asignado</t>
  </si>
  <si>
    <t>Grupo empresarial con actividades en construcción y desarrollo inmobiliario con sede en CDMX, orientado a proyectos de edificación residencial y comercial en México.</t>
  </si>
  <si>
    <t>Empresa de comercialización de productos químicos con sede en CDMX, dedicada a la importación y distribución de especialidades químicas para la industria.</t>
  </si>
  <si>
    <t>PIM880419171</t>
  </si>
  <si>
    <t>TENIENTE TENIENTE TENIENTE JUDITH</t>
  </si>
  <si>
    <t>+528132703589</t>
  </si>
  <si>
    <t>tenientej31@gmail.com</t>
  </si>
  <si>
    <t>Empresa manufacturera de productos plásticos industriales con sede en Monterrey, proveedora de empaques y componentes para industria y consumo.</t>
  </si>
  <si>
    <t>Itzel Zarco</t>
  </si>
  <si>
    <t>+525545852195</t>
  </si>
  <si>
    <t>direccion@letzel.com.mx</t>
  </si>
  <si>
    <t>TERRA MATER LOGISTICA INTEGRAL EN SOLUCIONES AMBIENTALES</t>
  </si>
  <si>
    <t>Pilar</t>
  </si>
  <si>
    <t>5543638576</t>
  </si>
  <si>
    <t>direccion@mater.email</t>
  </si>
  <si>
    <t>LOG100208GX5</t>
  </si>
  <si>
    <t>MARISELA HERNANDEZ HERNANDEZ LOPEZ</t>
  </si>
  <si>
    <t>+529611032020</t>
  </si>
  <si>
    <t>maricelah@logisticacomercial.com</t>
  </si>
  <si>
    <t>Empresa mexicana de tecnología y servicios de TI especializada en soluciones de software, integración de sistemas y consultoría para empresas del sector privado y público.</t>
  </si>
  <si>
    <t>OHM240506IX5</t>
  </si>
  <si>
    <t>Asignar a Raúl</t>
  </si>
  <si>
    <t>No tienen cartera asignada y deberían ser:</t>
  </si>
  <si>
    <t>J&amp;T EXPRESS CONEJO CORRIENDO es enterprise y aparece como smb</t>
  </si>
  <si>
    <t>IMPULSORA DE DESARROLLO INTEGRAL es Enterprise y aparece como smb</t>
  </si>
  <si>
    <t>FRUNATURAL es de dafne y enterprise</t>
  </si>
  <si>
    <t>GRUPO KARUNA es de dafne y enterprise</t>
  </si>
  <si>
    <t>ALIMENTOS INTEGRONATURALES es de Dafne</t>
  </si>
  <si>
    <t>VOLTRUCK INTERNATIONAL es de Dafne y sería SMB</t>
  </si>
  <si>
    <t>CORPORATE TRAVEL SERVICES WORLDWIDE</t>
  </si>
  <si>
    <t>LATAM LOGISTICS (TOUS) es de Dafne y Enterprise</t>
  </si>
  <si>
    <t>FIDES SEGURIDAD PRIVADA ES Enterprise</t>
  </si>
  <si>
    <t>FINOS TEXTILES DE MEXICO es de Karla</t>
  </si>
  <si>
    <t>DESARROLLO INTEGRAL ADMINISTRATIVO LUAN es de Karla</t>
  </si>
  <si>
    <t>COMBUSTIBLES ECOLOGICOS MEXICANOS</t>
  </si>
  <si>
    <t>C. &amp; G. OFTALMOLOGOS (San Angel Oftalmologica)es de Karla</t>
  </si>
  <si>
    <t>TECNO ESPECIALIZADOS KIURT(Partner) es de Raul</t>
  </si>
  <si>
    <t>TECH BUKERS</t>
  </si>
  <si>
    <t>JOSE LEONARDO MIJARES MENESES</t>
  </si>
  <si>
    <t>VALIDACION Y METROLOGIA</t>
  </si>
  <si>
    <t>CIRCULO ESTRATEGICO DE ASESORES TRIBUTARIOS. CESAT</t>
  </si>
  <si>
    <t>ARAN CONSTRUCCIÓN E INGENIERIA S.A DE C.V</t>
  </si>
  <si>
    <t>Etapa 1: Descubrimiento (2 semanas)</t>
  </si>
  <si>
    <t>Etapa 2: Acción (1 mes)</t>
  </si>
  <si>
    <t>Etapa 3: Seguimiento (2 meses)</t>
  </si>
  <si>
    <t>Motivos baja</t>
  </si>
  <si>
    <t>Clasificación de cartera MARE</t>
  </si>
  <si>
    <t>100% de la cartera clasificada y con oportunidades claras</t>
  </si>
  <si>
    <t>Reuniones Comerciales</t>
  </si>
  <si>
    <t>5 reuniones a la semana</t>
  </si>
  <si>
    <t xml:space="preserve">Seguimiento a funnel de ventas </t>
  </si>
  <si>
    <t>Plan de visitas clientes</t>
  </si>
  <si>
    <t>10 reuniones o visitas por semana x KAM</t>
  </si>
  <si>
    <t>Ir un paso más alla en escala comunicación</t>
  </si>
  <si>
    <t>Por lo menos con el 15%  de la cartera x mes</t>
  </si>
  <si>
    <t>Limpieza mensual de oportunidades en CRM</t>
  </si>
  <si>
    <t>Escala de comunicación</t>
  </si>
  <si>
    <t>Identificar escala de comunicación con cada cliente</t>
  </si>
  <si>
    <t>Mesas de trabajo colaborativas</t>
  </si>
  <si>
    <t>2 reuniones por semana x KAM ( de acuerdo a levantamiento) Para los MANTENER</t>
  </si>
  <si>
    <t>Monitoreo de reuniones en CRM</t>
  </si>
  <si>
    <t>Capacitación al equipo</t>
  </si>
  <si>
    <t>Entregar herramientas sandler</t>
  </si>
  <si>
    <t>Reforzar conocimiento</t>
  </si>
  <si>
    <t>Roleplay  (ver en 1 mes DAPTA) y clinica de ventas mensual (poner escenarios y discutir)</t>
  </si>
  <si>
    <t>Monitoreo NPS y tasa de respuesta</t>
  </si>
  <si>
    <t>Definir listado de recuperar</t>
  </si>
  <si>
    <t xml:space="preserve">Revisión historico total con facturación </t>
  </si>
  <si>
    <t>Plan de visitas</t>
  </si>
  <si>
    <t>Definir un numero</t>
  </si>
  <si>
    <t>Calificación por SAMU y Dapta</t>
  </si>
  <si>
    <t xml:space="preserve">Ver rubrica </t>
  </si>
  <si>
    <t>Herramientas:</t>
  </si>
  <si>
    <t>Contrato previo</t>
  </si>
  <si>
    <t>Puntos de control</t>
  </si>
  <si>
    <t>Pre call plan</t>
  </si>
  <si>
    <t>Sesiones de seguimiento comerciales</t>
  </si>
  <si>
    <t>Weekly Grupal (Expandir + alcanzar)</t>
  </si>
  <si>
    <t>KAM, CSS</t>
  </si>
  <si>
    <t>QVR</t>
  </si>
  <si>
    <t>Sesiones de seguimiento Operativas</t>
  </si>
  <si>
    <t>Weekly Grupal (Mantener y un poco recuperar)</t>
  </si>
  <si>
    <t>KAM, CSS y TAM</t>
  </si>
  <si>
    <t>Estrategia MARE</t>
  </si>
  <si>
    <t>Toques de amor</t>
  </si>
  <si>
    <t>* Comunicación recurrente, no ocasional</t>
  </si>
  <si>
    <t>KO: compromisos:</t>
  </si>
  <si>
    <t>Revisar sus cuentas y que estén ok</t>
  </si>
  <si>
    <t>Cargar facturación</t>
  </si>
  <si>
    <t>Segmentar SMB/Ent</t>
  </si>
  <si>
    <t>Diligenciar cuadrantes y escala de comunicación</t>
  </si>
  <si>
    <t>Diligenciar operación actual</t>
  </si>
  <si>
    <t>Diligenciar oportunidades mapeadas</t>
  </si>
  <si>
    <t>Agregar deal + monto op</t>
  </si>
  <si>
    <t>Completar listado acciones específicas</t>
  </si>
  <si>
    <t>Acción</t>
  </si>
  <si>
    <t>Inicio</t>
  </si>
  <si>
    <t>Responsable</t>
  </si>
  <si>
    <t>Webinar plataforma</t>
  </si>
  <si>
    <t>Mensual</t>
  </si>
  <si>
    <t>Gte. Enterprise</t>
  </si>
  <si>
    <t>Webinar legal</t>
  </si>
  <si>
    <t>Cada Q</t>
  </si>
  <si>
    <t>Mailing</t>
  </si>
  <si>
    <t>Marketing</t>
  </si>
  <si>
    <t>Café con Geovictoria</t>
  </si>
  <si>
    <t>Ebooks</t>
  </si>
  <si>
    <t>Casos de éxito</t>
  </si>
  <si>
    <t>Newsletter</t>
  </si>
  <si>
    <t>Reunión en oficina del cliente</t>
  </si>
  <si>
    <t>Reunión en oficina de Geo</t>
  </si>
  <si>
    <t>Quincenal</t>
  </si>
  <si>
    <t>Llamada recurrente</t>
  </si>
  <si>
    <t>Videollamada</t>
  </si>
  <si>
    <t>Ya tiene</t>
  </si>
  <si>
    <t>No aplica</t>
  </si>
  <si>
    <t>Oportunidad</t>
  </si>
  <si>
    <t>Bisemanal</t>
  </si>
  <si>
    <t>Obtener referidos</t>
  </si>
  <si>
    <t>Trimestral</t>
  </si>
  <si>
    <t>Puntos Totales</t>
  </si>
  <si>
    <t>Nivel de Riesgo</t>
  </si>
  <si>
    <t>Interpretación</t>
  </si>
  <si>
    <t>Acción Sugerida</t>
  </si>
  <si>
    <t>0 Puntos</t>
  </si>
  <si>
    <t>🔴 ALTO (Crítico)</t>
  </si>
  <si>
    <t>Cliente "Monoproducto" (Solo Asistencia). Es muy fácil que se vaya por precio a la competencia.</t>
  </si>
  <si>
    <t>Prioridad 1: Ofrecer "Vacaciones" o "Alertas" urgente.</t>
  </si>
  <si>
    <t>1 - 5 Puntos</t>
  </si>
  <si>
    <t>🟠 MEDIO</t>
  </si>
  <si>
    <t>Cliente en desarrollo. Usa algo más, pero aún no explota el potencial.</t>
  </si>
  <si>
    <t>Cross-selling de Nivel 2 (BI o Calendario) para mostrar valor gerencial.</t>
  </si>
  <si>
    <t>6 - 11 Puntos</t>
  </si>
  <si>
    <t>🟡 BAJO</t>
  </si>
  <si>
    <t>Cliente estable. Tiene varios módulos clave integrados.</t>
  </si>
  <si>
    <t>Mantener relación y ofrecer Nivel 3 (VictorIA, Comedor).</t>
  </si>
  <si>
    <t>12+ Puntos</t>
  </si>
  <si>
    <t>🟢 BLINDADO</t>
  </si>
  <si>
    <t>Cliente "Power User". El costo de irse es altísimo para ellos.</t>
  </si>
  <si>
    <t>Casos de éxito, testimonios y fidelización VIP.</t>
  </si>
  <si>
    <r>
      <t>Nivel 1: Alta Prioridad (Los "Pegamentos")</t>
    </r>
    <r>
      <rPr>
        <sz val="11"/>
        <color theme="1"/>
        <rFont val="Aptos Narrow"/>
        <family val="2"/>
        <scheme val="minor"/>
      </rPr>
      <t xml:space="preserve"> </t>
    </r>
    <r>
      <rPr>
        <i/>
        <sz val="11"/>
        <color theme="1"/>
        <rFont val="Aptos Narrow"/>
        <family val="2"/>
        <scheme val="minor"/>
      </rPr>
      <t>Estos módulos integran a Geovictoria en la cultura diaria de la empresa.</t>
    </r>
  </si>
  <si>
    <r>
      <t>Vacaciones/Permisos:</t>
    </r>
    <r>
      <rPr>
        <sz val="11"/>
        <color theme="1"/>
        <rFont val="Aptos Narrow"/>
        <family val="2"/>
        <scheme val="minor"/>
      </rPr>
      <t xml:space="preserve"> +3 puntos</t>
    </r>
  </si>
  <si>
    <r>
      <t>Victoria Connect:</t>
    </r>
    <r>
      <rPr>
        <sz val="11"/>
        <color theme="1"/>
        <rFont val="Aptos Narrow"/>
        <family val="2"/>
        <scheme val="minor"/>
      </rPr>
      <t xml:space="preserve"> +3 puntos</t>
    </r>
  </si>
  <si>
    <r>
      <t>Alertas:</t>
    </r>
    <r>
      <rPr>
        <sz val="11"/>
        <color theme="1"/>
        <rFont val="Aptos Narrow"/>
        <family val="2"/>
        <scheme val="minor"/>
      </rPr>
      <t xml:space="preserve"> +3 puntos</t>
    </r>
  </si>
  <si>
    <r>
      <t>Nivel 2: Gestión y Valor (Valor Agregado)</t>
    </r>
    <r>
      <rPr>
        <sz val="11"/>
        <color theme="1"/>
        <rFont val="Aptos Narrow"/>
        <family val="2"/>
        <scheme val="minor"/>
      </rPr>
      <t xml:space="preserve"> </t>
    </r>
    <r>
      <rPr>
        <i/>
        <sz val="11"/>
        <color theme="1"/>
        <rFont val="Aptos Narrow"/>
        <family val="2"/>
        <scheme val="minor"/>
      </rPr>
      <t>Estos módulos hacen que el administrador dependa de la herramienta.</t>
    </r>
  </si>
  <si>
    <r>
      <t>BI (Business Intelligence):</t>
    </r>
    <r>
      <rPr>
        <sz val="11"/>
        <color theme="1"/>
        <rFont val="Aptos Narrow"/>
        <family val="2"/>
        <scheme val="minor"/>
      </rPr>
      <t xml:space="preserve"> +2 puntos</t>
    </r>
  </si>
  <si>
    <r>
      <t>Calendario Inteligente:</t>
    </r>
    <r>
      <rPr>
        <sz val="11"/>
        <color theme="1"/>
        <rFont val="Aptos Narrow"/>
        <family val="2"/>
        <scheme val="minor"/>
      </rPr>
      <t xml:space="preserve"> +2 puntos</t>
    </r>
  </si>
  <si>
    <r>
      <t>RAMMIENTA:</t>
    </r>
    <r>
      <rPr>
        <sz val="11"/>
        <color theme="1"/>
        <rFont val="Aptos Narrow"/>
        <family val="2"/>
        <scheme val="minor"/>
      </rPr>
      <t xml:space="preserve"> +2 puntos</t>
    </r>
  </si>
  <si>
    <r>
      <t>Nivel 3: Satélites (Uso Específico)</t>
    </r>
    <r>
      <rPr>
        <sz val="11"/>
        <color theme="1"/>
        <rFont val="Aptos Narrow"/>
        <family val="2"/>
        <scheme val="minor"/>
      </rPr>
      <t xml:space="preserve"> </t>
    </r>
    <r>
      <rPr>
        <i/>
        <sz val="11"/>
        <color theme="1"/>
        <rFont val="Aptos Narrow"/>
        <family val="2"/>
        <scheme val="minor"/>
      </rPr>
      <t>Estos módulos son buenos, pero suelen ser para nichos específicos dentro de la empresa.</t>
    </r>
  </si>
  <si>
    <r>
      <t>Comedor:</t>
    </r>
    <r>
      <rPr>
        <sz val="11"/>
        <color theme="1"/>
        <rFont val="Aptos Narrow"/>
        <family val="2"/>
        <scheme val="minor"/>
      </rPr>
      <t xml:space="preserve"> +1 punto</t>
    </r>
  </si>
  <si>
    <r>
      <t>Acceso:</t>
    </r>
    <r>
      <rPr>
        <sz val="11"/>
        <color theme="1"/>
        <rFont val="Aptos Narrow"/>
        <family val="2"/>
        <scheme val="minor"/>
      </rPr>
      <t xml:space="preserve"> +1 punto</t>
    </r>
  </si>
  <si>
    <r>
      <t>VictorIA:</t>
    </r>
    <r>
      <rPr>
        <sz val="11"/>
        <color theme="1"/>
        <rFont val="Aptos Narrow"/>
        <family val="2"/>
        <scheme val="minor"/>
      </rPr>
      <t xml:space="preserve"> +1 punto</t>
    </r>
  </si>
  <si>
    <t>Nos usa para nomina: +1 punto</t>
  </si>
  <si>
    <t>Arriendo de equipos: 0,5 puntos</t>
  </si>
  <si>
    <t>Razon social</t>
  </si>
  <si>
    <t>Cat</t>
  </si>
  <si>
    <t>TRANSPORTES PIGASA (implementando)</t>
  </si>
  <si>
    <t>EMPACADORA NOR VER (implementando)</t>
  </si>
  <si>
    <t>ALEJANDRA MORA MENDOZA</t>
  </si>
  <si>
    <t>GRUPO POLYMAT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</si>
</sst>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quot;_-;\-* #,##0.00\ &quot;€&quot;_-;_-* &quot;-&quot;??\ &quot;€&quot;_-;_-@_-"/>
    <numFmt numFmtId="164" formatCode="_-&quot;$&quot;\ * #,##0_-;\-&quot;$&quot;\ * #,##0_-;_-&quot;$&quot;\ * &quot;-&quot;??_-;_-@_-"/>
    <numFmt numFmtId="165" formatCode="_-[$$-409]* #,##0_ ;_-[$$-409]* \-#,##0\ ;_-[$$-409]* &quot;-&quot;??_ ;_-@_ "/>
    <numFmt numFmtId="166" formatCode="\$#,##0;\(\$#,##0\);\$#,##0"/>
    <numFmt numFmtId="167" formatCode="#,##0\ %;\-#,##0\ %;#,##0\ %"/>
    <numFmt numFmtId="168" formatCode="_-[$$-409]* #,##0.00_ ;_-[$$-409]* \-#,##0.00\ ;_-[$$-409]* &quot;-&quot;??_ ;_-@_ "/>
    <numFmt numFmtId="169" formatCode="_-[$$-409]* #,##0.00_ ;_-[$$-409]* \-#,##0.00\ ;_-[$$-409]* \-??_ ;_-@_ "/>
    <numFmt numFmtId="170" formatCode="0.000%"/>
  </numFmts>
  <fonts count="89">
    <font>
      <sz val="11"/>
      <color theme="1"/>
      <name val="Aptos Narrow"/>
      <family val="2"/>
      <scheme val="minor"/>
    </font>
    <font>
      <b/>
      <sz val="11"/>
      <color theme="1"/>
      <name val="Aptos Narrow"/>
      <family val="2"/>
      <scheme val="minor"/>
    </font>
    <font>
      <sz val="11"/>
      <color rgb="FF000000"/>
      <name val="Aptos Narrow"/>
      <family val="2"/>
      <scheme val="minor"/>
    </font>
    <font>
      <b/>
      <sz val="11"/>
      <color rgb="FF000000"/>
      <name val="Calibri"/>
      <family val="2"/>
    </font>
    <font>
      <b/>
      <sz val="10"/>
      <color rgb="FF000000"/>
      <name val="Aptos Narrow"/>
      <family val="2"/>
      <scheme val="minor"/>
    </font>
    <font>
      <sz val="10"/>
      <color rgb="FF000000"/>
      <name val="Aptos Narrow"/>
      <family val="2"/>
      <scheme val="minor"/>
    </font>
    <font>
      <sz val="10"/>
      <name val="Arial"/>
      <family val="2"/>
    </font>
    <font>
      <sz val="10"/>
      <color rgb="FFFF0000"/>
      <name val="Arial"/>
      <family val="2"/>
    </font>
    <font>
      <b/>
      <sz val="11"/>
      <color rgb="FFFFFFFF"/>
      <name val="Aptos Narrow"/>
      <family val="2"/>
      <scheme val="minor"/>
    </font>
    <font>
      <b/>
      <sz val="10"/>
      <color theme="1"/>
      <name val="Aptos Narrow"/>
      <family val="2"/>
      <scheme val="minor"/>
    </font>
    <font>
      <b/>
      <sz val="10"/>
      <name val="Aptos Narrow"/>
      <family val="2"/>
      <scheme val="minor"/>
    </font>
    <font>
      <sz val="10"/>
      <color theme="1"/>
      <name val="Aptos Narrow"/>
      <family val="2"/>
      <scheme val="minor"/>
    </font>
    <font>
      <sz val="11"/>
      <name val="Aptos Narrow"/>
    </font>
    <font>
      <u/>
      <sz val="11"/>
      <color theme="10"/>
      <name val="Aptos Narrow"/>
      <family val="2"/>
      <scheme val="minor"/>
    </font>
    <font>
      <sz val="10"/>
      <color theme="0"/>
      <name val="Aptos Narrow"/>
      <family val="2"/>
      <scheme val="minor"/>
    </font>
    <font>
      <i/>
      <sz val="11"/>
      <color theme="1"/>
      <name val="Aptos Narrow"/>
      <family val="2"/>
      <scheme val="minor"/>
    </font>
    <font>
      <sz val="11"/>
      <color theme="1"/>
      <name val="Aptos Narrow"/>
      <scheme val="minor"/>
    </font>
    <font>
      <b/>
      <sz val="10"/>
      <color rgb="FF000000"/>
      <name val="Aptos Narrow"/>
      <scheme val="minor"/>
    </font>
    <font>
      <sz val="10"/>
      <name val="Aptos Narrow"/>
      <scheme val="minor"/>
    </font>
    <font>
      <sz val="11"/>
      <color rgb="FF000000"/>
      <name val="Aptos Narrow"/>
      <scheme val="minor"/>
    </font>
    <font>
      <sz val="10"/>
      <color rgb="FFFF0000"/>
      <name val="Aptos Narrow"/>
      <scheme val="minor"/>
    </font>
    <font>
      <sz val="11"/>
      <name val="Aptos Narrow"/>
      <scheme val="minor"/>
    </font>
    <font>
      <sz val="11"/>
      <color rgb="FF9C0006"/>
      <name val="Aptos Narrow"/>
      <scheme val="minor"/>
    </font>
    <font>
      <sz val="10"/>
      <color rgb="FF000000"/>
      <name val="Aptos Narrow"/>
      <scheme val="minor"/>
    </font>
    <font>
      <sz val="10"/>
      <color theme="9"/>
      <name val="Aptos Narrow"/>
      <scheme val="minor"/>
    </font>
    <font>
      <b/>
      <sz val="11"/>
      <color rgb="FFFFFFFF"/>
      <name val="Aptos Narrow"/>
      <scheme val="minor"/>
    </font>
    <font>
      <sz val="11"/>
      <color rgb="FF242424"/>
      <name val="Aptos Narrow"/>
      <scheme val="minor"/>
    </font>
    <font>
      <sz val="11"/>
      <color theme="0"/>
      <name val="Aptos Narrow"/>
      <family val="2"/>
      <scheme val="minor"/>
    </font>
    <font>
      <sz val="11"/>
      <color rgb="FF000000"/>
      <name val="Calibri"/>
      <family val="2"/>
    </font>
    <font>
      <b/>
      <sz val="14"/>
      <color rgb="FFFFFFFF"/>
      <name val="Aptos Narrow"/>
      <family val="2"/>
      <scheme val="minor"/>
    </font>
    <font>
      <sz val="9"/>
      <color rgb="FF000000"/>
      <name val="Calibri"/>
      <charset val="1"/>
    </font>
    <font>
      <sz val="11"/>
      <color rgb="FFFF0000"/>
      <name val="Aptos Narrow"/>
      <family val="2"/>
      <scheme val="minor"/>
    </font>
    <font>
      <sz val="10"/>
      <color rgb="FFFF0000"/>
      <name val="Aptos Narrow"/>
    </font>
    <font>
      <sz val="11"/>
      <color theme="1"/>
      <name val="Arial"/>
    </font>
    <font>
      <sz val="10"/>
      <color theme="1"/>
      <name val="Arial"/>
    </font>
    <font>
      <b/>
      <sz val="10"/>
      <color rgb="FF000000"/>
      <name val="Arial"/>
    </font>
    <font>
      <b/>
      <sz val="10"/>
      <color theme="1"/>
      <name val="Arial"/>
    </font>
    <font>
      <sz val="10"/>
      <color theme="0"/>
      <name val="Arial"/>
    </font>
    <font>
      <b/>
      <sz val="10"/>
      <name val="Arial"/>
    </font>
    <font>
      <sz val="10"/>
      <name val="Arial"/>
    </font>
    <font>
      <u/>
      <sz val="11"/>
      <color theme="10"/>
      <name val="Arial"/>
    </font>
    <font>
      <sz val="10"/>
      <color rgb="FFFF0000"/>
      <name val="Arial"/>
    </font>
    <font>
      <sz val="10"/>
      <color rgb="FF4EA72E"/>
      <name val="Arial"/>
    </font>
    <font>
      <sz val="11"/>
      <color rgb="FF000000"/>
      <name val="Arial"/>
    </font>
    <font>
      <sz val="11"/>
      <color rgb="FF4EA72E"/>
      <name val="Arial"/>
    </font>
    <font>
      <sz val="11"/>
      <color rgb="FFFF0000"/>
      <name val="Arial"/>
    </font>
    <font>
      <sz val="10"/>
      <color rgb="FF000000"/>
      <name val="Arial"/>
    </font>
    <font>
      <sz val="11"/>
      <color rgb="FF9C0006"/>
      <name val="Arial"/>
    </font>
    <font>
      <sz val="11"/>
      <name val="Arial"/>
    </font>
    <font>
      <sz val="10"/>
      <color theme="9"/>
      <name val="Arial"/>
    </font>
    <font>
      <sz val="10"/>
      <color rgb="FFFFC000"/>
      <name val="Arial"/>
    </font>
    <font>
      <sz val="11"/>
      <color rgb="FF313949"/>
      <name val="Arial"/>
    </font>
    <font>
      <sz val="10"/>
      <color theme="4"/>
      <name val="Arial"/>
    </font>
    <font>
      <sz val="11"/>
      <color rgb="FF242424"/>
      <name val="Consolas"/>
      <charset val="1"/>
    </font>
    <font>
      <sz val="10"/>
      <color rgb="FF00B0F0"/>
      <name val="Arial"/>
    </font>
    <font>
      <sz val="11"/>
      <color rgb="FF00B0F0"/>
      <name val="Arial"/>
    </font>
    <font>
      <sz val="11"/>
      <color rgb="FFCC0000"/>
      <name val="Arial"/>
    </font>
    <font>
      <sz val="11"/>
      <color rgb="FF008000"/>
      <name val="Arial"/>
    </font>
    <font>
      <sz val="11"/>
      <color theme="1" tint="0.14999847407452621"/>
      <name val="Arial"/>
    </font>
    <font>
      <b/>
      <sz val="10"/>
      <color theme="1" tint="0.14999847407452621"/>
      <name val="Arial"/>
    </font>
    <font>
      <sz val="10"/>
      <color theme="1" tint="0.14999847407452621"/>
      <name val="Arial"/>
    </font>
    <font>
      <sz val="11"/>
      <color theme="1" tint="0.14999847407452621"/>
      <name val="Aptos Narrow"/>
      <family val="2"/>
      <scheme val="minor"/>
    </font>
    <font>
      <u/>
      <sz val="11"/>
      <color theme="1" tint="0.14999847407452621"/>
      <name val="Aptos Narrow"/>
      <family val="2"/>
      <scheme val="minor"/>
    </font>
    <font>
      <sz val="11"/>
      <color theme="1" tint="0.14999847407452621"/>
      <name val="Consolas"/>
      <charset val="1"/>
    </font>
    <font>
      <sz val="10"/>
      <color theme="5"/>
      <name val="Arial"/>
    </font>
    <font>
      <u/>
      <sz val="11"/>
      <color rgb="FFFF0000"/>
      <name val="Arial"/>
    </font>
    <font>
      <u/>
      <sz val="11"/>
      <color rgb="FF1155CC"/>
      <name val="Aptos Narrow"/>
    </font>
    <font>
      <b/>
      <sz val="11"/>
      <name val="Aptos Narrow"/>
    </font>
    <font>
      <b/>
      <sz val="10"/>
      <color rgb="FFFFFFFF"/>
      <name val="Aptos"/>
    </font>
    <font>
      <b/>
      <sz val="10"/>
      <color theme="0"/>
      <name val="Aptos"/>
    </font>
    <font>
      <b/>
      <sz val="10"/>
      <color rgb="FF243447"/>
      <name val="Aptos"/>
    </font>
    <font>
      <sz val="10"/>
      <color rgb="FF243447"/>
      <name val="Aptos"/>
    </font>
    <font>
      <u/>
      <sz val="10"/>
      <color rgb="FF243447"/>
      <name val="Aptos"/>
    </font>
    <font>
      <b/>
      <sz val="16"/>
      <color rgb="FFFFFFFF"/>
      <name val="Aptos"/>
    </font>
    <font>
      <b/>
      <sz val="10"/>
      <color rgb="FF17365D"/>
      <name val="Aptos"/>
    </font>
    <font>
      <sz val="11"/>
      <color theme="8" tint="0.39997558519241921"/>
      <name val="Aptos Narrow"/>
    </font>
    <font>
      <sz val="10"/>
      <color theme="5"/>
      <name val="Aptos"/>
    </font>
    <font>
      <sz val="11"/>
      <color rgb="FF000000"/>
      <name val="Aptos Narrow"/>
    </font>
    <font>
      <b/>
      <sz val="11"/>
      <color rgb="FF000000"/>
      <name val="Aptos Narrow"/>
    </font>
    <font>
      <u/>
      <sz val="11"/>
      <color rgb="FF00B050"/>
      <name val="Arial"/>
    </font>
    <font>
      <sz val="10"/>
      <color rgb="FF00B050"/>
      <name val="Arial"/>
    </font>
    <font>
      <u/>
      <sz val="11"/>
      <color theme="8"/>
      <name val="Arial"/>
    </font>
    <font>
      <sz val="11"/>
      <color theme="8"/>
      <name val="Arial"/>
    </font>
    <font>
      <b/>
      <sz val="8"/>
      <color theme="1"/>
      <name val="Arial"/>
    </font>
    <font>
      <sz val="11"/>
      <color rgb="FF333333"/>
      <name val="Open Sans"/>
      <charset val="1"/>
    </font>
    <font>
      <sz val="11"/>
      <color theme="5"/>
      <name val="Aptos Narrow"/>
    </font>
    <font>
      <sz val="11"/>
      <name val="Aptos Narrow"/>
      <family val="2"/>
      <scheme val="minor"/>
    </font>
    <font>
      <sz val="11"/>
      <color rgb="FF242424"/>
      <name val="Aptos Narrow"/>
      <charset val="1"/>
    </font>
    <font>
      <sz val="10"/>
      <color rgb="FF000000"/>
      <name val="Calibri Light"/>
      <scheme val="major"/>
    </font>
  </fonts>
  <fills count="71">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8" tint="0.59999389629810485"/>
        <bgColor indexed="64"/>
      </patternFill>
    </fill>
    <fill>
      <patternFill patternType="solid">
        <fgColor rgb="FFD9E1F2"/>
        <bgColor rgb="FFD9E1F2"/>
      </patternFill>
    </fill>
    <fill>
      <patternFill patternType="solid">
        <fgColor rgb="FF00B0F0"/>
        <bgColor indexed="64"/>
      </patternFill>
    </fill>
    <fill>
      <patternFill patternType="solid">
        <fgColor rgb="FFF8F9FA"/>
        <bgColor rgb="FFF8F9FA"/>
      </patternFill>
    </fill>
    <fill>
      <patternFill patternType="solid">
        <fgColor theme="0"/>
        <bgColor indexed="64"/>
      </patternFill>
    </fill>
    <fill>
      <patternFill patternType="solid">
        <fgColor theme="5" tint="0.59999389629810485"/>
        <bgColor indexed="64"/>
      </patternFill>
    </fill>
    <fill>
      <patternFill patternType="solid">
        <fgColor rgb="FF104861"/>
        <bgColor rgb="FF000000"/>
      </patternFill>
    </fill>
    <fill>
      <patternFill patternType="solid">
        <fgColor rgb="FFBE5014"/>
        <bgColor rgb="FF000000"/>
      </patternFill>
    </fill>
    <fill>
      <patternFill patternType="solid">
        <fgColor rgb="FF262626"/>
        <bgColor rgb="FF000000"/>
      </patternFill>
    </fill>
    <fill>
      <patternFill patternType="solid">
        <fgColor rgb="FF92D050"/>
        <bgColor rgb="FF000000"/>
      </patternFill>
    </fill>
    <fill>
      <patternFill patternType="solid">
        <fgColor rgb="FF002060"/>
        <bgColor indexed="64"/>
      </patternFill>
    </fill>
    <fill>
      <patternFill patternType="solid">
        <fgColor rgb="FFA6A6A6"/>
        <bgColor rgb="FF000000"/>
      </patternFill>
    </fill>
    <fill>
      <patternFill patternType="solid">
        <fgColor rgb="FFFFC000"/>
        <bgColor rgb="FF000000"/>
      </patternFill>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00B050"/>
        <bgColor indexed="64"/>
      </patternFill>
    </fill>
    <fill>
      <patternFill patternType="solid">
        <fgColor rgb="FF0070C0"/>
        <bgColor indexed="64"/>
      </patternFill>
    </fill>
    <fill>
      <patternFill patternType="solid">
        <fgColor rgb="FFC0E6F5"/>
        <bgColor rgb="FF000000"/>
      </patternFill>
    </fill>
    <fill>
      <patternFill patternType="solid">
        <fgColor rgb="FF4472C4"/>
        <bgColor indexed="64"/>
      </patternFill>
    </fill>
    <fill>
      <patternFill patternType="solid">
        <fgColor rgb="FFD9E2F3"/>
        <bgColor indexed="64"/>
      </patternFill>
    </fill>
    <fill>
      <patternFill patternType="solid">
        <fgColor rgb="FF1F4E79"/>
        <bgColor indexed="64"/>
      </patternFill>
    </fill>
    <fill>
      <patternFill patternType="solid">
        <fgColor rgb="FF2E75B6"/>
        <bgColor indexed="64"/>
      </patternFill>
    </fill>
    <fill>
      <patternFill patternType="solid">
        <fgColor rgb="FFD6DCE4"/>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2F2F2"/>
        <bgColor indexed="64"/>
      </patternFill>
    </fill>
    <fill>
      <patternFill patternType="solid">
        <fgColor rgb="FFE6E6E6"/>
        <bgColor indexed="64"/>
      </patternFill>
    </fill>
    <fill>
      <patternFill patternType="solid">
        <fgColor theme="5" tint="0.39997558519241921"/>
        <bgColor indexed="64"/>
      </patternFill>
    </fill>
    <fill>
      <patternFill patternType="solid">
        <fgColor theme="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1"/>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B4C6E7"/>
        <bgColor indexed="64"/>
      </patternFill>
    </fill>
    <fill>
      <patternFill patternType="solid">
        <fgColor rgb="FF70AD47"/>
        <bgColor indexed="64"/>
      </patternFill>
    </fill>
    <fill>
      <patternFill patternType="solid">
        <fgColor rgb="FFC6E0B4"/>
        <bgColor indexed="64"/>
      </patternFill>
    </fill>
    <fill>
      <patternFill patternType="solid">
        <fgColor rgb="FFF8CBAD"/>
        <bgColor indexed="64"/>
      </patternFill>
    </fill>
    <fill>
      <patternFill patternType="solid">
        <fgColor rgb="FFBDD7EE"/>
        <bgColor indexed="64"/>
      </patternFill>
    </fill>
    <fill>
      <patternFill patternType="solid">
        <fgColor rgb="FFDC143C"/>
        <bgColor indexed="64"/>
      </patternFill>
    </fill>
    <fill>
      <patternFill patternType="solid">
        <fgColor rgb="FF8B0000"/>
        <bgColor indexed="64"/>
      </patternFill>
    </fill>
    <fill>
      <patternFill patternType="solid">
        <fgColor rgb="FFEBCACA"/>
        <bgColor indexed="64"/>
      </patternFill>
    </fill>
    <fill>
      <patternFill patternType="solid">
        <fgColor rgb="FFEBCECE"/>
        <bgColor indexed="64"/>
      </patternFill>
    </fill>
    <fill>
      <patternFill patternType="solid">
        <fgColor rgb="FFF2F2F2"/>
        <bgColor rgb="FF000000"/>
      </patternFill>
    </fill>
    <fill>
      <patternFill patternType="solid">
        <fgColor rgb="FFE6E6E6"/>
        <bgColor rgb="FF000000"/>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2F2F2"/>
        <bgColor rgb="FFF2F2F2"/>
      </patternFill>
    </fill>
    <fill>
      <patternFill patternType="solid">
        <fgColor rgb="FFE6E6E6"/>
        <bgColor rgb="FFE6E6E6"/>
      </patternFill>
    </fill>
    <fill>
      <patternFill patternType="solid">
        <fgColor rgb="FF17365D"/>
        <bgColor indexed="64"/>
      </patternFill>
    </fill>
    <fill>
      <patternFill patternType="solid">
        <fgColor rgb="FFD9EAF7"/>
        <bgColor indexed="64"/>
      </patternFill>
    </fill>
    <fill>
      <patternFill patternType="solid">
        <fgColor rgb="FF1F4E78"/>
        <bgColor indexed="64"/>
      </patternFill>
    </fill>
    <fill>
      <patternFill patternType="solid">
        <fgColor theme="6"/>
        <bgColor indexed="64"/>
      </patternFill>
    </fill>
    <fill>
      <patternFill patternType="solid">
        <fgColor rgb="FFC00000"/>
        <bgColor indexed="64"/>
      </patternFill>
    </fill>
    <fill>
      <patternFill patternType="solid">
        <fgColor rgb="FFDBAA16"/>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79998168889431442"/>
        <bgColor theme="9" tint="0.79998168889431442"/>
      </patternFill>
    </fill>
  </fills>
  <borders count="72">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CCCCCC"/>
      </bottom>
      <diagonal/>
    </border>
    <border>
      <left style="medium">
        <color indexed="64"/>
      </left>
      <right style="medium">
        <color indexed="64"/>
      </right>
      <top style="medium">
        <color indexed="64"/>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bottom style="thin">
        <color rgb="FFD9D9D9"/>
      </bottom>
      <diagonal/>
    </border>
    <border>
      <left style="thin">
        <color theme="0" tint="-0.14999847407452621"/>
      </left>
      <right style="thin">
        <color rgb="FF000000"/>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rgb="FF000000"/>
      </top>
      <bottom/>
      <diagonal/>
    </border>
    <border>
      <left style="thin">
        <color rgb="FFD9D9D9"/>
      </left>
      <right style="thin">
        <color rgb="FFD9D9D9"/>
      </right>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rgb="FF000000"/>
      </left>
      <right/>
      <top/>
      <bottom/>
      <diagonal/>
    </border>
    <border>
      <left/>
      <right style="thin">
        <color rgb="FF000000"/>
      </right>
      <top/>
      <bottom/>
      <diagonal/>
    </border>
    <border>
      <left style="medium">
        <color rgb="FF000000"/>
      </left>
      <right style="thin">
        <color rgb="FF000000"/>
      </right>
      <top/>
      <bottom style="thin">
        <color rgb="FF000000"/>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bottom style="thin">
        <color rgb="FF000000"/>
      </bottom>
      <diagonal/>
    </border>
    <border>
      <left style="thin">
        <color rgb="FF9A9A9A"/>
      </left>
      <right style="thin">
        <color rgb="FF9A9A9A"/>
      </right>
      <top style="thin">
        <color rgb="FF9A9A9A"/>
      </top>
      <bottom style="thin">
        <color rgb="FF9A9A9A"/>
      </bottom>
      <diagonal/>
    </border>
    <border>
      <left/>
      <right style="thin">
        <color theme="0" tint="-0.14999847407452621"/>
      </right>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indexed="64"/>
      </right>
      <top style="thin">
        <color indexed="64"/>
      </top>
      <bottom style="thin">
        <color indexed="64"/>
      </bottom>
      <diagonal/>
    </border>
    <border>
      <left/>
      <right style="thin">
        <color rgb="FFD8D8D8"/>
      </right>
      <top style="thin">
        <color rgb="FFD8D8D8"/>
      </top>
      <bottom style="thin">
        <color rgb="FFD8D8D8"/>
      </bottom>
      <diagonal/>
    </border>
    <border>
      <left/>
      <right/>
      <top/>
      <bottom style="thin">
        <color rgb="FF7EA6C9"/>
      </bottom>
      <diagonal/>
    </border>
    <border>
      <left style="thin">
        <color rgb="FFD9D9D9"/>
      </left>
      <right style="thin">
        <color rgb="FFD9D9D9"/>
      </right>
      <top style="thin">
        <color rgb="FFD9D9D9"/>
      </top>
      <bottom style="thin">
        <color rgb="FF7EA6C9"/>
      </bottom>
      <diagonal/>
    </border>
    <border>
      <left/>
      <right/>
      <top style="medium">
        <color rgb="FF17365D"/>
      </top>
      <bottom style="hair">
        <color rgb="FFE6EBF0"/>
      </bottom>
      <diagonal/>
    </border>
    <border>
      <left/>
      <right/>
      <top style="hair">
        <color rgb="FFE6EBF0"/>
      </top>
      <bottom style="hair">
        <color rgb="FFE6EBF0"/>
      </bottom>
      <diagonal/>
    </border>
    <border>
      <left/>
      <right/>
      <top style="hair">
        <color rgb="FFE6EBF0"/>
      </top>
      <bottom/>
      <diagonal/>
    </border>
    <border>
      <left style="thin">
        <color rgb="FF000000"/>
      </left>
      <right/>
      <top/>
      <bottom style="thin">
        <color rgb="FF7EA6C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13" fillId="0" borderId="0" applyNumberFormat="0" applyFill="0" applyBorder="0" applyAlignment="0" applyProtection="0"/>
  </cellStyleXfs>
  <cellXfs count="896">
    <xf numFmtId="0" fontId="0" fillId="0" borderId="0" xfId="0"/>
    <xf numFmtId="0" fontId="0" fillId="0" borderId="5" xfId="0" applyBorder="1"/>
    <xf numFmtId="0" fontId="0" fillId="0" borderId="6" xfId="0" applyBorder="1"/>
    <xf numFmtId="0" fontId="0" fillId="0" borderId="7" xfId="0" applyBorder="1"/>
    <xf numFmtId="0" fontId="0" fillId="0" borderId="1" xfId="0" applyBorder="1"/>
    <xf numFmtId="0" fontId="0" fillId="0" borderId="2" xfId="0" applyBorder="1"/>
    <xf numFmtId="0" fontId="0" fillId="0" borderId="12" xfId="0" applyBorder="1"/>
    <xf numFmtId="0" fontId="0" fillId="0" borderId="13" xfId="0" applyBorder="1"/>
    <xf numFmtId="0" fontId="0" fillId="0" borderId="14" xfId="0" applyBorder="1"/>
    <xf numFmtId="0" fontId="0" fillId="0" borderId="3" xfId="0" applyBorder="1"/>
    <xf numFmtId="0" fontId="0" fillId="0" borderId="15" xfId="0" applyBorder="1"/>
    <xf numFmtId="0" fontId="0" fillId="0" borderId="16" xfId="0" applyBorder="1"/>
    <xf numFmtId="0" fontId="1" fillId="0" borderId="8" xfId="0" applyFont="1" applyBorder="1"/>
    <xf numFmtId="0" fontId="1" fillId="3" borderId="11" xfId="0" applyFont="1" applyFill="1" applyBorder="1"/>
    <xf numFmtId="0" fontId="0" fillId="4" borderId="0" xfId="0" applyFill="1"/>
    <xf numFmtId="0" fontId="0" fillId="2" borderId="0" xfId="0" applyFill="1"/>
    <xf numFmtId="0" fontId="0" fillId="5" borderId="0" xfId="0" applyFill="1"/>
    <xf numFmtId="0" fontId="3" fillId="8" borderId="17" xfId="0" applyFont="1" applyFill="1" applyBorder="1"/>
    <xf numFmtId="0" fontId="3" fillId="8" borderId="18" xfId="0" applyFont="1" applyFill="1" applyBorder="1"/>
    <xf numFmtId="0" fontId="3" fillId="8" borderId="19" xfId="0" applyFont="1" applyFill="1" applyBorder="1"/>
    <xf numFmtId="0" fontId="0" fillId="0" borderId="20" xfId="0" applyBorder="1"/>
    <xf numFmtId="165" fontId="5" fillId="0" borderId="21" xfId="0" applyNumberFormat="1" applyFont="1" applyBorder="1" applyAlignment="1">
      <alignment horizontal="left"/>
    </xf>
    <xf numFmtId="0" fontId="0" fillId="0" borderId="0" xfId="0" applyAlignment="1">
      <alignment wrapText="1"/>
    </xf>
    <xf numFmtId="0" fontId="1" fillId="9" borderId="8" xfId="0" applyFont="1" applyFill="1" applyBorder="1"/>
    <xf numFmtId="0" fontId="0" fillId="9" borderId="15" xfId="0" applyFill="1" applyBorder="1"/>
    <xf numFmtId="0" fontId="0" fillId="9" borderId="16" xfId="0" applyFill="1" applyBorder="1"/>
    <xf numFmtId="0" fontId="0" fillId="6" borderId="0" xfId="0" applyFill="1"/>
    <xf numFmtId="0" fontId="0" fillId="2" borderId="4" xfId="0" applyFill="1" applyBorder="1"/>
    <xf numFmtId="0" fontId="0" fillId="2" borderId="13" xfId="0" applyFill="1" applyBorder="1"/>
    <xf numFmtId="0" fontId="0" fillId="2" borderId="2" xfId="0" applyFill="1" applyBorder="1"/>
    <xf numFmtId="0" fontId="0" fillId="6" borderId="2" xfId="0" applyFill="1" applyBorder="1"/>
    <xf numFmtId="0" fontId="6" fillId="10" borderId="22" xfId="0" applyFont="1" applyFill="1" applyBorder="1" applyAlignment="1">
      <alignment horizontal="left" vertical="center"/>
    </xf>
    <xf numFmtId="0" fontId="6" fillId="10" borderId="22" xfId="0" applyFont="1" applyFill="1" applyBorder="1" applyAlignment="1">
      <alignment horizontal="center"/>
    </xf>
    <xf numFmtId="4" fontId="6" fillId="10" borderId="22" xfId="0" applyNumberFormat="1" applyFont="1" applyFill="1" applyBorder="1" applyAlignment="1">
      <alignment horizontal="right"/>
    </xf>
    <xf numFmtId="0" fontId="6" fillId="0" borderId="22" xfId="0" applyFont="1" applyBorder="1" applyAlignment="1">
      <alignment horizontal="left" vertical="center"/>
    </xf>
    <xf numFmtId="4" fontId="6" fillId="0" borderId="22" xfId="0" applyNumberFormat="1" applyFont="1" applyBorder="1" applyAlignment="1">
      <alignment horizontal="right"/>
    </xf>
    <xf numFmtId="4" fontId="6" fillId="10" borderId="0" xfId="0" applyNumberFormat="1" applyFont="1" applyFill="1" applyAlignment="1">
      <alignment horizontal="right"/>
    </xf>
    <xf numFmtId="0" fontId="6" fillId="10" borderId="22" xfId="0" applyFont="1" applyFill="1" applyBorder="1" applyAlignment="1">
      <alignment horizontal="left" vertical="center" wrapText="1"/>
    </xf>
    <xf numFmtId="0" fontId="6" fillId="0" borderId="22" xfId="0" applyFont="1" applyBorder="1" applyAlignment="1">
      <alignment horizontal="left" vertical="center" wrapText="1"/>
    </xf>
    <xf numFmtId="0" fontId="6" fillId="10" borderId="0" xfId="0" applyFont="1" applyFill="1" applyAlignment="1">
      <alignment horizontal="left" vertical="center" wrapText="1"/>
    </xf>
    <xf numFmtId="0" fontId="6" fillId="0" borderId="24" xfId="0" applyFont="1" applyBorder="1" applyAlignment="1">
      <alignment horizontal="left" vertical="center"/>
    </xf>
    <xf numFmtId="0" fontId="6" fillId="10" borderId="24" xfId="0" applyFont="1" applyFill="1" applyBorder="1" applyAlignment="1">
      <alignment horizontal="left" vertical="center"/>
    </xf>
    <xf numFmtId="0" fontId="0" fillId="0" borderId="0" xfId="0" pivotButton="1"/>
    <xf numFmtId="168" fontId="0" fillId="0" borderId="0" xfId="0" applyNumberFormat="1"/>
    <xf numFmtId="0" fontId="12" fillId="0" borderId="0" xfId="0" applyFont="1"/>
    <xf numFmtId="0" fontId="0" fillId="0" borderId="0" xfId="0" pivotButton="1" applyAlignment="1">
      <alignment wrapText="1"/>
    </xf>
    <xf numFmtId="168" fontId="0" fillId="0" borderId="0" xfId="0" applyNumberFormat="1" applyAlignment="1">
      <alignment wrapText="1"/>
    </xf>
    <xf numFmtId="0" fontId="2" fillId="11" borderId="25" xfId="0" applyFont="1" applyFill="1" applyBorder="1"/>
    <xf numFmtId="0" fontId="0" fillId="11" borderId="0" xfId="0" applyFill="1"/>
    <xf numFmtId="9" fontId="12" fillId="0" borderId="0" xfId="0" applyNumberFormat="1" applyFont="1" applyAlignment="1">
      <alignment horizontal="right"/>
    </xf>
    <xf numFmtId="0" fontId="6" fillId="2" borderId="24" xfId="0" applyFont="1" applyFill="1" applyBorder="1" applyAlignment="1">
      <alignment horizontal="left" vertical="center"/>
    </xf>
    <xf numFmtId="0" fontId="7" fillId="2" borderId="24" xfId="0" applyFont="1" applyFill="1" applyBorder="1" applyAlignment="1">
      <alignment horizontal="left"/>
    </xf>
    <xf numFmtId="0" fontId="7" fillId="2" borderId="24" xfId="0" applyFont="1" applyFill="1" applyBorder="1" applyAlignment="1">
      <alignment horizontal="left" vertical="center"/>
    </xf>
    <xf numFmtId="0" fontId="1" fillId="0" borderId="0" xfId="0" applyFont="1"/>
    <xf numFmtId="0" fontId="0" fillId="3" borderId="0" xfId="0" applyFill="1"/>
    <xf numFmtId="0" fontId="0" fillId="3" borderId="0" xfId="0" applyFill="1" applyAlignment="1">
      <alignment horizontal="right"/>
    </xf>
    <xf numFmtId="10" fontId="0" fillId="0" borderId="0" xfId="0" applyNumberFormat="1"/>
    <xf numFmtId="0" fontId="13" fillId="0" borderId="24" xfId="1" applyBorder="1" applyAlignment="1">
      <alignment horizontal="left" vertical="center"/>
    </xf>
    <xf numFmtId="0" fontId="13" fillId="10" borderId="24" xfId="1" applyFill="1" applyBorder="1" applyAlignment="1">
      <alignment horizontal="left" vertical="center"/>
    </xf>
    <xf numFmtId="0" fontId="0" fillId="25" borderId="0" xfId="0" applyFill="1"/>
    <xf numFmtId="0" fontId="0" fillId="26" borderId="0" xfId="0" applyFill="1"/>
    <xf numFmtId="0" fontId="0" fillId="0" borderId="0" xfId="0" applyAlignment="1">
      <alignment horizontal="left" vertical="center" indent="1"/>
    </xf>
    <xf numFmtId="0" fontId="0" fillId="0" borderId="36" xfId="0" applyBorder="1"/>
    <xf numFmtId="0" fontId="1" fillId="0" borderId="0" xfId="0" applyFont="1" applyAlignment="1">
      <alignment horizontal="left" vertical="center" indent="1"/>
    </xf>
    <xf numFmtId="0" fontId="1" fillId="29" borderId="0" xfId="0" applyFont="1" applyFill="1"/>
    <xf numFmtId="0" fontId="0" fillId="0" borderId="41" xfId="0" applyBorder="1"/>
    <xf numFmtId="0" fontId="0" fillId="0" borderId="42" xfId="0" applyBorder="1"/>
    <xf numFmtId="0" fontId="8" fillId="30" borderId="0" xfId="0" applyFont="1" applyFill="1"/>
    <xf numFmtId="0" fontId="0" fillId="0" borderId="38" xfId="0" applyBorder="1"/>
    <xf numFmtId="0" fontId="0" fillId="0" borderId="39" xfId="0" applyBorder="1"/>
    <xf numFmtId="0" fontId="0" fillId="0" borderId="40" xfId="0" applyBorder="1"/>
    <xf numFmtId="0" fontId="8" fillId="28" borderId="0" xfId="0" applyFont="1" applyFill="1"/>
    <xf numFmtId="0" fontId="8" fillId="30" borderId="0" xfId="0" applyFont="1" applyFill="1" applyAlignment="1">
      <alignment horizontal="center"/>
    </xf>
    <xf numFmtId="0" fontId="0" fillId="0" borderId="0" xfId="0" applyAlignment="1">
      <alignment horizontal="center"/>
    </xf>
    <xf numFmtId="0" fontId="8" fillId="31"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14" fontId="0" fillId="0" borderId="0" xfId="0" applyNumberFormat="1"/>
    <xf numFmtId="0" fontId="0" fillId="17" borderId="0" xfId="0" applyFill="1" applyAlignment="1">
      <alignment horizontal="center"/>
    </xf>
    <xf numFmtId="0" fontId="0" fillId="0" borderId="0" xfId="0" applyAlignment="1">
      <alignment horizontal="center" wrapText="1"/>
    </xf>
    <xf numFmtId="0" fontId="8" fillId="28" borderId="0" xfId="0" applyFont="1" applyFill="1" applyAlignment="1">
      <alignment horizontal="center"/>
    </xf>
    <xf numFmtId="0" fontId="0" fillId="0" borderId="0" xfId="0" quotePrefix="1" applyAlignment="1">
      <alignment horizontal="center"/>
    </xf>
    <xf numFmtId="9" fontId="0" fillId="0" borderId="0" xfId="0" applyNumberFormat="1" applyAlignment="1">
      <alignment horizontal="center"/>
    </xf>
    <xf numFmtId="17" fontId="0" fillId="0" borderId="41" xfId="0" applyNumberFormat="1" applyBorder="1"/>
    <xf numFmtId="168" fontId="7" fillId="0" borderId="32" xfId="0" applyNumberFormat="1" applyFont="1" applyBorder="1"/>
    <xf numFmtId="168" fontId="7" fillId="10" borderId="32" xfId="0" applyNumberFormat="1" applyFont="1" applyFill="1" applyBorder="1"/>
    <xf numFmtId="0" fontId="12" fillId="11" borderId="0" xfId="0" applyFont="1" applyFill="1"/>
    <xf numFmtId="0" fontId="12" fillId="0" borderId="7" xfId="0" applyFont="1" applyBorder="1"/>
    <xf numFmtId="9" fontId="12" fillId="0" borderId="0" xfId="0" applyNumberFormat="1" applyFont="1"/>
    <xf numFmtId="165" fontId="12" fillId="0" borderId="0" xfId="0" applyNumberFormat="1" applyFont="1"/>
    <xf numFmtId="0" fontId="6" fillId="2" borderId="44" xfId="0" applyFont="1" applyFill="1" applyBorder="1" applyAlignment="1">
      <alignment horizontal="left" vertical="center"/>
    </xf>
    <xf numFmtId="0" fontId="6" fillId="2" borderId="5" xfId="0" applyFont="1" applyFill="1" applyBorder="1" applyAlignment="1">
      <alignment horizontal="left" vertical="center"/>
    </xf>
    <xf numFmtId="0" fontId="7" fillId="2" borderId="5" xfId="0" applyFont="1" applyFill="1" applyBorder="1" applyAlignment="1">
      <alignment horizontal="left"/>
    </xf>
    <xf numFmtId="168" fontId="7" fillId="10" borderId="5" xfId="0" applyNumberFormat="1" applyFont="1" applyFill="1" applyBorder="1"/>
    <xf numFmtId="0" fontId="6" fillId="35" borderId="24" xfId="0" applyFont="1" applyFill="1" applyBorder="1" applyAlignment="1">
      <alignment horizontal="left" vertical="center"/>
    </xf>
    <xf numFmtId="0" fontId="7" fillId="35" borderId="24" xfId="0" applyFont="1" applyFill="1" applyBorder="1" applyAlignment="1">
      <alignment horizontal="left"/>
    </xf>
    <xf numFmtId="168" fontId="7" fillId="35" borderId="32" xfId="0" applyNumberFormat="1" applyFont="1" applyFill="1" applyBorder="1"/>
    <xf numFmtId="0" fontId="6" fillId="35" borderId="24" xfId="0" applyFont="1" applyFill="1" applyBorder="1" applyAlignment="1">
      <alignment horizontal="left"/>
    </xf>
    <xf numFmtId="0" fontId="13" fillId="35" borderId="24" xfId="1" applyFill="1" applyBorder="1" applyAlignment="1">
      <alignment horizontal="left" vertical="center"/>
    </xf>
    <xf numFmtId="0" fontId="0" fillId="35" borderId="0" xfId="0" applyFill="1"/>
    <xf numFmtId="0" fontId="16" fillId="11" borderId="24" xfId="0" applyFont="1" applyFill="1" applyBorder="1"/>
    <xf numFmtId="0" fontId="16" fillId="0" borderId="24" xfId="0" applyFont="1" applyBorder="1"/>
    <xf numFmtId="0" fontId="16" fillId="11" borderId="0" xfId="0" applyFont="1" applyFill="1"/>
    <xf numFmtId="0" fontId="17" fillId="3" borderId="24" xfId="0" applyFont="1" applyFill="1" applyBorder="1" applyAlignment="1">
      <alignment wrapText="1"/>
    </xf>
    <xf numFmtId="0" fontId="16" fillId="36" borderId="24" xfId="0" applyFont="1" applyFill="1" applyBorder="1"/>
    <xf numFmtId="168" fontId="18" fillId="36" borderId="24" xfId="0" applyNumberFormat="1" applyFont="1" applyFill="1" applyBorder="1" applyAlignment="1">
      <alignment horizontal="right"/>
    </xf>
    <xf numFmtId="0" fontId="19" fillId="36" borderId="32" xfId="0" applyFont="1" applyFill="1" applyBorder="1"/>
    <xf numFmtId="1" fontId="18" fillId="36" borderId="24" xfId="0" applyNumberFormat="1" applyFont="1" applyFill="1" applyBorder="1" applyAlignment="1">
      <alignment horizontal="right"/>
    </xf>
    <xf numFmtId="0" fontId="18" fillId="36" borderId="32" xfId="0" applyFont="1" applyFill="1" applyBorder="1"/>
    <xf numFmtId="0" fontId="19" fillId="36" borderId="0" xfId="0" applyFont="1" applyFill="1" applyAlignment="1">
      <alignment horizontal="left"/>
    </xf>
    <xf numFmtId="0" fontId="19" fillId="36" borderId="0" xfId="0" applyFont="1" applyFill="1"/>
    <xf numFmtId="0" fontId="16" fillId="36" borderId="24" xfId="0" applyFont="1" applyFill="1" applyBorder="1" applyAlignment="1">
      <alignment horizontal="right"/>
    </xf>
    <xf numFmtId="0" fontId="19" fillId="36" borderId="31" xfId="0" applyFont="1" applyFill="1" applyBorder="1"/>
    <xf numFmtId="0" fontId="19" fillId="18" borderId="31" xfId="0" applyFont="1" applyFill="1" applyBorder="1"/>
    <xf numFmtId="0" fontId="16" fillId="37" borderId="24" xfId="0" applyFont="1" applyFill="1" applyBorder="1"/>
    <xf numFmtId="168" fontId="18" fillId="37" borderId="24" xfId="0" applyNumberFormat="1" applyFont="1" applyFill="1" applyBorder="1" applyAlignment="1">
      <alignment horizontal="right"/>
    </xf>
    <xf numFmtId="0" fontId="19" fillId="37" borderId="24" xfId="0" applyFont="1" applyFill="1" applyBorder="1"/>
    <xf numFmtId="0" fontId="19" fillId="37" borderId="32" xfId="0" applyFont="1" applyFill="1" applyBorder="1"/>
    <xf numFmtId="1" fontId="18" fillId="37" borderId="24" xfId="0" applyNumberFormat="1" applyFont="1" applyFill="1" applyBorder="1" applyAlignment="1">
      <alignment horizontal="right"/>
    </xf>
    <xf numFmtId="0" fontId="18" fillId="37" borderId="32" xfId="0" applyFont="1" applyFill="1" applyBorder="1"/>
    <xf numFmtId="0" fontId="19" fillId="37" borderId="0" xfId="0" applyFont="1" applyFill="1" applyAlignment="1">
      <alignment horizontal="left"/>
    </xf>
    <xf numFmtId="0" fontId="19" fillId="37" borderId="0" xfId="0" applyFont="1" applyFill="1"/>
    <xf numFmtId="0" fontId="16" fillId="37" borderId="24" xfId="0" applyFont="1" applyFill="1" applyBorder="1" applyAlignment="1">
      <alignment horizontal="right"/>
    </xf>
    <xf numFmtId="0" fontId="19" fillId="37" borderId="31" xfId="0" applyFont="1" applyFill="1" applyBorder="1"/>
    <xf numFmtId="0" fontId="18" fillId="36" borderId="24" xfId="0" applyFont="1" applyFill="1" applyBorder="1" applyAlignment="1">
      <alignment horizontal="left" vertical="center"/>
    </xf>
    <xf numFmtId="0" fontId="18" fillId="37" borderId="24" xfId="0" applyFont="1" applyFill="1" applyBorder="1" applyAlignment="1">
      <alignment horizontal="left" vertical="center"/>
    </xf>
    <xf numFmtId="168" fontId="20" fillId="36" borderId="32" xfId="0" applyNumberFormat="1" applyFont="1" applyFill="1" applyBorder="1"/>
    <xf numFmtId="4" fontId="18" fillId="36" borderId="24" xfId="0" applyNumberFormat="1" applyFont="1" applyFill="1" applyBorder="1" applyAlignment="1">
      <alignment horizontal="right"/>
    </xf>
    <xf numFmtId="0" fontId="18" fillId="36" borderId="0" xfId="0" applyFont="1" applyFill="1"/>
    <xf numFmtId="0" fontId="20" fillId="37" borderId="24" xfId="0" applyFont="1" applyFill="1" applyBorder="1" applyAlignment="1">
      <alignment horizontal="left"/>
    </xf>
    <xf numFmtId="168" fontId="20" fillId="37" borderId="32" xfId="0" applyNumberFormat="1" applyFont="1" applyFill="1" applyBorder="1"/>
    <xf numFmtId="4" fontId="18" fillId="37" borderId="24" xfId="0" applyNumberFormat="1" applyFont="1" applyFill="1" applyBorder="1" applyAlignment="1">
      <alignment horizontal="right"/>
    </xf>
    <xf numFmtId="0" fontId="18" fillId="37" borderId="0" xfId="0" applyFont="1" applyFill="1"/>
    <xf numFmtId="0" fontId="18" fillId="36" borderId="24" xfId="0" applyFont="1" applyFill="1" applyBorder="1" applyAlignment="1">
      <alignment horizontal="left"/>
    </xf>
    <xf numFmtId="4" fontId="18" fillId="36" borderId="0" xfId="0" applyNumberFormat="1" applyFont="1" applyFill="1" applyAlignment="1">
      <alignment horizontal="left"/>
    </xf>
    <xf numFmtId="4" fontId="18" fillId="37" borderId="24" xfId="0" applyNumberFormat="1" applyFont="1" applyFill="1" applyBorder="1" applyAlignment="1">
      <alignment horizontal="left"/>
    </xf>
    <xf numFmtId="0" fontId="19" fillId="11" borderId="31" xfId="0" applyFont="1" applyFill="1" applyBorder="1"/>
    <xf numFmtId="0" fontId="19" fillId="11" borderId="0" xfId="0" applyFont="1" applyFill="1"/>
    <xf numFmtId="0" fontId="18" fillId="38" borderId="24" xfId="0" applyFont="1" applyFill="1" applyBorder="1" applyAlignment="1">
      <alignment horizontal="left" vertical="center"/>
    </xf>
    <xf numFmtId="1" fontId="16" fillId="36" borderId="24" xfId="0" applyNumberFormat="1" applyFont="1" applyFill="1" applyBorder="1"/>
    <xf numFmtId="0" fontId="24" fillId="36" borderId="24" xfId="0" applyFont="1" applyFill="1" applyBorder="1" applyAlignment="1">
      <alignment horizontal="left" vertical="center"/>
    </xf>
    <xf numFmtId="168" fontId="20" fillId="37" borderId="0" xfId="0" applyNumberFormat="1" applyFont="1" applyFill="1"/>
    <xf numFmtId="168" fontId="12" fillId="0" borderId="0" xfId="0" applyNumberFormat="1" applyFont="1"/>
    <xf numFmtId="0" fontId="19" fillId="11" borderId="24" xfId="0" applyFont="1" applyFill="1" applyBorder="1"/>
    <xf numFmtId="168" fontId="18" fillId="11" borderId="24" xfId="0" applyNumberFormat="1" applyFont="1" applyFill="1" applyBorder="1" applyAlignment="1">
      <alignment horizontal="right"/>
    </xf>
    <xf numFmtId="0" fontId="18" fillId="11" borderId="24" xfId="0" applyFont="1" applyFill="1" applyBorder="1" applyAlignment="1">
      <alignment horizontal="left" vertical="center"/>
    </xf>
    <xf numFmtId="0" fontId="20" fillId="11" borderId="24" xfId="0" applyFont="1" applyFill="1" applyBorder="1" applyAlignment="1">
      <alignment horizontal="left"/>
    </xf>
    <xf numFmtId="168" fontId="20" fillId="11" borderId="32" xfId="0" applyNumberFormat="1" applyFont="1" applyFill="1" applyBorder="1"/>
    <xf numFmtId="1" fontId="18" fillId="11" borderId="24" xfId="0" applyNumberFormat="1" applyFont="1" applyFill="1" applyBorder="1" applyAlignment="1">
      <alignment horizontal="right"/>
    </xf>
    <xf numFmtId="0" fontId="18" fillId="11" borderId="32" xfId="0" applyFont="1" applyFill="1" applyBorder="1"/>
    <xf numFmtId="4" fontId="18" fillId="11" borderId="24" xfId="0" applyNumberFormat="1" applyFont="1" applyFill="1" applyBorder="1" applyAlignment="1">
      <alignment horizontal="right"/>
    </xf>
    <xf numFmtId="0" fontId="19" fillId="11" borderId="24" xfId="0" applyFont="1" applyFill="1" applyBorder="1" applyAlignment="1">
      <alignment horizontal="left"/>
    </xf>
    <xf numFmtId="0" fontId="19" fillId="11" borderId="0" xfId="0" applyFont="1" applyFill="1" applyAlignment="1">
      <alignment horizontal="left"/>
    </xf>
    <xf numFmtId="0" fontId="18" fillId="11" borderId="0" xfId="0" applyFont="1" applyFill="1"/>
    <xf numFmtId="0" fontId="16" fillId="11" borderId="24" xfId="0" applyFont="1" applyFill="1" applyBorder="1" applyAlignment="1">
      <alignment horizontal="right"/>
    </xf>
    <xf numFmtId="0" fontId="18" fillId="11" borderId="24" xfId="0" applyFont="1" applyFill="1" applyBorder="1" applyAlignment="1">
      <alignment horizontal="left"/>
    </xf>
    <xf numFmtId="0" fontId="23" fillId="11" borderId="24" xfId="0" applyFont="1" applyFill="1" applyBorder="1" applyAlignment="1">
      <alignment horizontal="left"/>
    </xf>
    <xf numFmtId="0" fontId="19" fillId="11" borderId="32" xfId="0" applyFont="1" applyFill="1" applyBorder="1"/>
    <xf numFmtId="168" fontId="18" fillId="11" borderId="32" xfId="0" applyNumberFormat="1" applyFont="1" applyFill="1" applyBorder="1"/>
    <xf numFmtId="44" fontId="18" fillId="11" borderId="24" xfId="0" applyNumberFormat="1" applyFont="1" applyFill="1" applyBorder="1" applyAlignment="1">
      <alignment horizontal="right"/>
    </xf>
    <xf numFmtId="4" fontId="18" fillId="11" borderId="24" xfId="0" applyNumberFormat="1" applyFont="1" applyFill="1" applyBorder="1" applyAlignment="1">
      <alignment horizontal="left"/>
    </xf>
    <xf numFmtId="4" fontId="18" fillId="11" borderId="0" xfId="0" applyNumberFormat="1" applyFont="1" applyFill="1" applyAlignment="1">
      <alignment horizontal="left"/>
    </xf>
    <xf numFmtId="0" fontId="22" fillId="11" borderId="24" xfId="0" applyFont="1" applyFill="1" applyBorder="1"/>
    <xf numFmtId="0" fontId="4" fillId="3" borderId="24" xfId="0" applyFont="1" applyFill="1" applyBorder="1" applyAlignment="1">
      <alignment wrapText="1"/>
    </xf>
    <xf numFmtId="44" fontId="9" fillId="3" borderId="24" xfId="0" applyNumberFormat="1" applyFont="1" applyFill="1" applyBorder="1" applyAlignment="1">
      <alignment wrapText="1"/>
    </xf>
    <xf numFmtId="0" fontId="4" fillId="3" borderId="24" xfId="0" applyFont="1" applyFill="1" applyBorder="1" applyAlignment="1">
      <alignment horizontal="left" wrapText="1"/>
    </xf>
    <xf numFmtId="168" fontId="4" fillId="3" borderId="24" xfId="0" applyNumberFormat="1" applyFont="1" applyFill="1" applyBorder="1" applyAlignment="1">
      <alignment wrapText="1"/>
    </xf>
    <xf numFmtId="168" fontId="9" fillId="3" borderId="24" xfId="0" applyNumberFormat="1" applyFont="1" applyFill="1" applyBorder="1" applyAlignment="1">
      <alignment wrapText="1"/>
    </xf>
    <xf numFmtId="0" fontId="4" fillId="27" borderId="31" xfId="0" applyFont="1" applyFill="1" applyBorder="1" applyAlignment="1">
      <alignment wrapText="1"/>
    </xf>
    <xf numFmtId="1" fontId="9" fillId="3" borderId="24" xfId="0" applyNumberFormat="1" applyFont="1" applyFill="1" applyBorder="1" applyAlignment="1">
      <alignment wrapText="1"/>
    </xf>
    <xf numFmtId="14" fontId="9" fillId="3" borderId="24" xfId="0" applyNumberFormat="1" applyFont="1" applyFill="1" applyBorder="1" applyAlignment="1">
      <alignment wrapText="1"/>
    </xf>
    <xf numFmtId="0" fontId="4" fillId="27" borderId="37" xfId="0" applyFont="1" applyFill="1" applyBorder="1" applyAlignment="1">
      <alignment horizontal="left" wrapText="1"/>
    </xf>
    <xf numFmtId="0" fontId="4" fillId="27" borderId="37" xfId="0" applyFont="1" applyFill="1" applyBorder="1" applyAlignment="1">
      <alignment wrapText="1"/>
    </xf>
    <xf numFmtId="0" fontId="4" fillId="27" borderId="0" xfId="0" applyFont="1" applyFill="1" applyAlignment="1">
      <alignment wrapText="1"/>
    </xf>
    <xf numFmtId="0" fontId="9" fillId="2" borderId="24" xfId="0" applyFont="1" applyFill="1" applyBorder="1" applyAlignment="1">
      <alignment horizontal="left" wrapText="1"/>
    </xf>
    <xf numFmtId="0" fontId="9" fillId="6" borderId="24" xfId="0" applyFont="1" applyFill="1" applyBorder="1" applyAlignment="1">
      <alignment wrapText="1"/>
    </xf>
    <xf numFmtId="0" fontId="14" fillId="17" borderId="24" xfId="0" applyFont="1" applyFill="1" applyBorder="1" applyAlignment="1">
      <alignment wrapText="1"/>
    </xf>
    <xf numFmtId="0" fontId="9" fillId="23" borderId="24" xfId="0" applyFont="1" applyFill="1" applyBorder="1" applyAlignment="1">
      <alignment wrapText="1"/>
    </xf>
    <xf numFmtId="0" fontId="9" fillId="23" borderId="34" xfId="0" applyFont="1" applyFill="1" applyBorder="1" applyAlignment="1">
      <alignment wrapText="1"/>
    </xf>
    <xf numFmtId="0" fontId="9" fillId="7" borderId="35" xfId="0" applyFont="1" applyFill="1" applyBorder="1" applyAlignment="1">
      <alignment wrapText="1"/>
    </xf>
    <xf numFmtId="0" fontId="9" fillId="7" borderId="24" xfId="0" applyFont="1" applyFill="1" applyBorder="1" applyAlignment="1">
      <alignment wrapText="1"/>
    </xf>
    <xf numFmtId="0" fontId="10" fillId="7" borderId="34" xfId="0" applyFont="1" applyFill="1" applyBorder="1" applyAlignment="1">
      <alignment wrapText="1"/>
    </xf>
    <xf numFmtId="0" fontId="10" fillId="24" borderId="35" xfId="0" applyFont="1" applyFill="1" applyBorder="1" applyAlignment="1">
      <alignment wrapText="1"/>
    </xf>
    <xf numFmtId="0" fontId="10" fillId="24" borderId="24" xfId="0" applyFont="1" applyFill="1" applyBorder="1" applyAlignment="1">
      <alignment wrapText="1"/>
    </xf>
    <xf numFmtId="0" fontId="9" fillId="24" borderId="34" xfId="0" applyFont="1" applyFill="1" applyBorder="1" applyAlignment="1">
      <alignment wrapText="1"/>
    </xf>
    <xf numFmtId="0" fontId="9" fillId="23" borderId="35" xfId="0" applyFont="1" applyFill="1" applyBorder="1" applyAlignment="1">
      <alignment wrapText="1"/>
    </xf>
    <xf numFmtId="0" fontId="10" fillId="23" borderId="24" xfId="0" applyFont="1" applyFill="1" applyBorder="1" applyAlignment="1">
      <alignment wrapText="1"/>
    </xf>
    <xf numFmtId="0" fontId="4" fillId="24" borderId="24" xfId="0" applyFont="1" applyFill="1" applyBorder="1" applyAlignment="1">
      <alignment wrapText="1"/>
    </xf>
    <xf numFmtId="0" fontId="9" fillId="0" borderId="24" xfId="0" applyFont="1" applyBorder="1" applyAlignment="1">
      <alignment wrapText="1"/>
    </xf>
    <xf numFmtId="0" fontId="11" fillId="0" borderId="24" xfId="0" applyFont="1" applyBorder="1" applyAlignment="1">
      <alignment wrapText="1"/>
    </xf>
    <xf numFmtId="0" fontId="9" fillId="0" borderId="24" xfId="0" applyFont="1" applyBorder="1"/>
    <xf numFmtId="0" fontId="11" fillId="0" borderId="24" xfId="0" applyFont="1" applyBorder="1"/>
    <xf numFmtId="0" fontId="25" fillId="13" borderId="0" xfId="0" applyFont="1" applyFill="1" applyAlignment="1">
      <alignment horizontal="center" vertical="center" wrapText="1"/>
    </xf>
    <xf numFmtId="0" fontId="25" fillId="14" borderId="0" xfId="0" applyFont="1" applyFill="1" applyAlignment="1">
      <alignment horizontal="center" vertical="center" wrapText="1"/>
    </xf>
    <xf numFmtId="0" fontId="25" fillId="15" borderId="0" xfId="0" applyFont="1" applyFill="1" applyAlignment="1">
      <alignment horizontal="center" vertical="center" wrapText="1"/>
    </xf>
    <xf numFmtId="0" fontId="16" fillId="0" borderId="0" xfId="0" applyFont="1"/>
    <xf numFmtId="0" fontId="19" fillId="20" borderId="0" xfId="0" applyFont="1" applyFill="1"/>
    <xf numFmtId="0" fontId="19" fillId="20" borderId="0" xfId="0" applyFont="1" applyFill="1" applyAlignment="1">
      <alignment horizontal="left"/>
    </xf>
    <xf numFmtId="0" fontId="19" fillId="20" borderId="0" xfId="0" applyFont="1" applyFill="1" applyAlignment="1">
      <alignment horizontal="right"/>
    </xf>
    <xf numFmtId="168" fontId="19" fillId="20" borderId="0" xfId="0" applyNumberFormat="1" applyFont="1" applyFill="1" applyAlignment="1">
      <alignment horizontal="right"/>
    </xf>
    <xf numFmtId="0" fontId="19" fillId="0" borderId="0" xfId="0" applyFont="1"/>
    <xf numFmtId="14" fontId="19" fillId="20" borderId="0" xfId="0" applyNumberFormat="1" applyFont="1" applyFill="1"/>
    <xf numFmtId="0" fontId="19" fillId="21" borderId="0" xfId="0" applyFont="1" applyFill="1"/>
    <xf numFmtId="0" fontId="19" fillId="22" borderId="0" xfId="0" applyFont="1" applyFill="1"/>
    <xf numFmtId="0" fontId="19" fillId="21" borderId="0" xfId="0" applyFont="1" applyFill="1" applyAlignment="1">
      <alignment horizontal="right"/>
    </xf>
    <xf numFmtId="168" fontId="19" fillId="21" borderId="0" xfId="0" applyNumberFormat="1" applyFont="1" applyFill="1" applyAlignment="1">
      <alignment horizontal="right"/>
    </xf>
    <xf numFmtId="14" fontId="19" fillId="21" borderId="0" xfId="0" applyNumberFormat="1" applyFont="1" applyFill="1"/>
    <xf numFmtId="0" fontId="19" fillId="22" borderId="0" xfId="0" applyFont="1" applyFill="1" applyAlignment="1">
      <alignment horizontal="right"/>
    </xf>
    <xf numFmtId="168" fontId="19" fillId="22" borderId="0" xfId="0" applyNumberFormat="1" applyFont="1" applyFill="1" applyAlignment="1">
      <alignment horizontal="right"/>
    </xf>
    <xf numFmtId="0" fontId="16" fillId="22" borderId="0" xfId="0" applyFont="1" applyFill="1"/>
    <xf numFmtId="0" fontId="26" fillId="22" borderId="0" xfId="0" applyFont="1" applyFill="1"/>
    <xf numFmtId="166" fontId="16" fillId="22" borderId="0" xfId="0" applyNumberFormat="1" applyFont="1" applyFill="1"/>
    <xf numFmtId="167" fontId="16" fillId="22" borderId="0" xfId="0" applyNumberFormat="1" applyFont="1" applyFill="1" applyAlignment="1">
      <alignment horizontal="right"/>
    </xf>
    <xf numFmtId="0" fontId="21" fillId="22" borderId="0" xfId="0" applyFont="1" applyFill="1" applyAlignment="1">
      <alignment horizontal="right"/>
    </xf>
    <xf numFmtId="0" fontId="21" fillId="20" borderId="0" xfId="0" applyFont="1" applyFill="1"/>
    <xf numFmtId="0" fontId="16" fillId="20" borderId="0" xfId="0" applyFont="1" applyFill="1"/>
    <xf numFmtId="0" fontId="21" fillId="22" borderId="0" xfId="0" applyFont="1" applyFill="1"/>
    <xf numFmtId="0" fontId="0" fillId="40" borderId="0" xfId="0" applyFill="1"/>
    <xf numFmtId="0" fontId="0" fillId="41" borderId="0" xfId="0" applyFill="1"/>
    <xf numFmtId="0" fontId="27" fillId="42" borderId="0" xfId="0" applyFont="1" applyFill="1"/>
    <xf numFmtId="0" fontId="0" fillId="43" borderId="0" xfId="0" applyFill="1"/>
    <xf numFmtId="0" fontId="0" fillId="44" borderId="0" xfId="0" applyFill="1"/>
    <xf numFmtId="0" fontId="0" fillId="45" borderId="0" xfId="0" applyFill="1"/>
    <xf numFmtId="0" fontId="3" fillId="46" borderId="18" xfId="0" applyFont="1" applyFill="1" applyBorder="1"/>
    <xf numFmtId="165" fontId="5" fillId="46" borderId="21" xfId="0" applyNumberFormat="1" applyFont="1" applyFill="1" applyBorder="1" applyAlignment="1">
      <alignment horizontal="left"/>
    </xf>
    <xf numFmtId="0" fontId="1" fillId="34" borderId="20" xfId="0" applyFont="1" applyFill="1" applyBorder="1"/>
    <xf numFmtId="165" fontId="4" fillId="34" borderId="21" xfId="0" applyNumberFormat="1" applyFont="1" applyFill="1" applyBorder="1" applyAlignment="1">
      <alignment horizontal="left"/>
    </xf>
    <xf numFmtId="0" fontId="1" fillId="34" borderId="0" xfId="0" applyFont="1" applyFill="1"/>
    <xf numFmtId="0" fontId="28" fillId="11" borderId="50" xfId="0" applyFont="1" applyFill="1" applyBorder="1"/>
    <xf numFmtId="168" fontId="28" fillId="11" borderId="27" xfId="0" applyNumberFormat="1" applyFont="1" applyFill="1" applyBorder="1"/>
    <xf numFmtId="168" fontId="0" fillId="11" borderId="0" xfId="0" applyNumberFormat="1" applyFill="1"/>
    <xf numFmtId="9" fontId="1" fillId="34" borderId="20" xfId="0" applyNumberFormat="1" applyFont="1" applyFill="1" applyBorder="1"/>
    <xf numFmtId="9" fontId="4" fillId="34" borderId="21" xfId="0" applyNumberFormat="1" applyFont="1" applyFill="1" applyBorder="1" applyAlignment="1">
      <alignment horizontal="left"/>
    </xf>
    <xf numFmtId="9" fontId="0" fillId="0" borderId="0" xfId="0" applyNumberFormat="1"/>
    <xf numFmtId="10" fontId="4" fillId="34" borderId="21" xfId="0" applyNumberFormat="1" applyFont="1" applyFill="1" applyBorder="1" applyAlignment="1">
      <alignment horizontal="left"/>
    </xf>
    <xf numFmtId="0" fontId="0" fillId="0" borderId="0" xfId="0" applyAlignment="1">
      <alignment horizontal="left"/>
    </xf>
    <xf numFmtId="0" fontId="3" fillId="12" borderId="17" xfId="0" applyFont="1" applyFill="1" applyBorder="1"/>
    <xf numFmtId="0" fontId="3" fillId="12" borderId="18" xfId="0" applyFont="1" applyFill="1" applyBorder="1"/>
    <xf numFmtId="0" fontId="3" fillId="12" borderId="19" xfId="0" applyFont="1" applyFill="1" applyBorder="1"/>
    <xf numFmtId="0" fontId="3" fillId="38" borderId="18" xfId="0" applyFont="1" applyFill="1" applyBorder="1"/>
    <xf numFmtId="165" fontId="5" fillId="38" borderId="21" xfId="0" applyNumberFormat="1" applyFont="1" applyFill="1" applyBorder="1" applyAlignment="1">
      <alignment horizontal="left"/>
    </xf>
    <xf numFmtId="0" fontId="29" fillId="28" borderId="0" xfId="0" applyFont="1" applyFill="1"/>
    <xf numFmtId="0" fontId="1" fillId="47" borderId="0" xfId="0" applyFont="1" applyFill="1"/>
    <xf numFmtId="0" fontId="29" fillId="48" borderId="0" xfId="0" applyFont="1" applyFill="1"/>
    <xf numFmtId="0" fontId="1" fillId="49" borderId="0" xfId="0" applyFont="1" applyFill="1"/>
    <xf numFmtId="0" fontId="1" fillId="50" borderId="0" xfId="0" applyFont="1" applyFill="1"/>
    <xf numFmtId="0" fontId="1" fillId="51" borderId="0" xfId="0" applyFont="1" applyFill="1"/>
    <xf numFmtId="165" fontId="5" fillId="0" borderId="0" xfId="0" applyNumberFormat="1" applyFont="1" applyAlignment="1">
      <alignment horizontal="left"/>
    </xf>
    <xf numFmtId="0" fontId="1" fillId="54" borderId="0" xfId="0" applyFont="1" applyFill="1"/>
    <xf numFmtId="0" fontId="0" fillId="54" borderId="0" xfId="0" applyFill="1"/>
    <xf numFmtId="0" fontId="1" fillId="55" borderId="0" xfId="0" applyFont="1" applyFill="1"/>
    <xf numFmtId="0" fontId="0" fillId="0" borderId="30" xfId="0" applyBorder="1"/>
    <xf numFmtId="0" fontId="0" fillId="0" borderId="29" xfId="0" applyBorder="1"/>
    <xf numFmtId="0" fontId="0" fillId="0" borderId="48" xfId="0" applyBorder="1"/>
    <xf numFmtId="0" fontId="0" fillId="0" borderId="49" xfId="0" applyBorder="1"/>
    <xf numFmtId="0" fontId="0" fillId="0" borderId="28" xfId="0" applyBorder="1"/>
    <xf numFmtId="168" fontId="0" fillId="0" borderId="52" xfId="0" applyNumberFormat="1" applyBorder="1"/>
    <xf numFmtId="0" fontId="0" fillId="0" borderId="52" xfId="0" applyBorder="1"/>
    <xf numFmtId="10" fontId="0" fillId="0" borderId="52" xfId="0" applyNumberFormat="1" applyBorder="1"/>
    <xf numFmtId="0" fontId="0" fillId="0" borderId="26" xfId="0" applyBorder="1"/>
    <xf numFmtId="169" fontId="18" fillId="0" borderId="0" xfId="0" applyNumberFormat="1" applyFont="1"/>
    <xf numFmtId="168" fontId="18" fillId="36" borderId="24" xfId="0" applyNumberFormat="1" applyFont="1" applyFill="1" applyBorder="1" applyAlignment="1">
      <alignment horizontal="left"/>
    </xf>
    <xf numFmtId="0" fontId="30" fillId="0" borderId="53" xfId="0" applyFont="1" applyBorder="1"/>
    <xf numFmtId="165" fontId="30" fillId="0" borderId="53" xfId="0" applyNumberFormat="1" applyFont="1" applyBorder="1"/>
    <xf numFmtId="165" fontId="0" fillId="0" borderId="0" xfId="0" applyNumberFormat="1"/>
    <xf numFmtId="168" fontId="19" fillId="20" borderId="0" xfId="0" applyNumberFormat="1" applyFont="1" applyFill="1" applyAlignment="1">
      <alignment horizontal="left"/>
    </xf>
    <xf numFmtId="168" fontId="19" fillId="21" borderId="0" xfId="0" applyNumberFormat="1" applyFont="1" applyFill="1" applyAlignment="1">
      <alignment horizontal="left"/>
    </xf>
    <xf numFmtId="168" fontId="19" fillId="22" borderId="0" xfId="0" applyNumberFormat="1" applyFont="1" applyFill="1" applyAlignment="1">
      <alignment horizontal="left"/>
    </xf>
    <xf numFmtId="0" fontId="16" fillId="0" borderId="0" xfId="0" applyFont="1" applyAlignment="1">
      <alignment horizontal="left"/>
    </xf>
    <xf numFmtId="168" fontId="16" fillId="0" borderId="0" xfId="0" applyNumberFormat="1" applyFont="1" applyAlignment="1">
      <alignment horizontal="left"/>
    </xf>
    <xf numFmtId="1" fontId="19" fillId="37" borderId="24" xfId="0" applyNumberFormat="1" applyFont="1" applyFill="1" applyBorder="1"/>
    <xf numFmtId="169" fontId="18" fillId="0" borderId="54" xfId="0" applyNumberFormat="1" applyFont="1" applyBorder="1"/>
    <xf numFmtId="0" fontId="31" fillId="40" borderId="0" xfId="0" applyFont="1" applyFill="1"/>
    <xf numFmtId="0" fontId="31" fillId="44" borderId="0" xfId="0" applyFont="1" applyFill="1"/>
    <xf numFmtId="168" fontId="32" fillId="57" borderId="0" xfId="0" applyNumberFormat="1" applyFont="1" applyFill="1"/>
    <xf numFmtId="0" fontId="1" fillId="58" borderId="0" xfId="0" applyFont="1" applyFill="1"/>
    <xf numFmtId="168" fontId="1" fillId="58" borderId="0" xfId="0" applyNumberFormat="1" applyFont="1" applyFill="1"/>
    <xf numFmtId="0" fontId="0" fillId="34" borderId="0" xfId="0" applyFill="1"/>
    <xf numFmtId="168" fontId="0" fillId="34" borderId="0" xfId="0" applyNumberFormat="1" applyFill="1"/>
    <xf numFmtId="165" fontId="0" fillId="34" borderId="0" xfId="0" applyNumberFormat="1" applyFill="1"/>
    <xf numFmtId="10" fontId="0" fillId="34" borderId="0" xfId="0" applyNumberFormat="1" applyFill="1"/>
    <xf numFmtId="0" fontId="1" fillId="45" borderId="0" xfId="0" applyFont="1" applyFill="1"/>
    <xf numFmtId="0" fontId="2" fillId="11" borderId="0" xfId="0" applyFont="1" applyFill="1"/>
    <xf numFmtId="0" fontId="8" fillId="15" borderId="0" xfId="0" applyFont="1" applyFill="1" applyAlignment="1">
      <alignment horizontal="center" vertical="center" wrapText="1"/>
    </xf>
    <xf numFmtId="1" fontId="33" fillId="11" borderId="24" xfId="0" applyNumberFormat="1" applyFont="1" applyFill="1" applyBorder="1"/>
    <xf numFmtId="0" fontId="33" fillId="11" borderId="24" xfId="0" applyFont="1" applyFill="1" applyBorder="1"/>
    <xf numFmtId="44" fontId="33" fillId="11" borderId="24" xfId="0" applyNumberFormat="1" applyFont="1" applyFill="1" applyBorder="1" applyAlignment="1">
      <alignment horizontal="left"/>
    </xf>
    <xf numFmtId="0" fontId="33" fillId="0" borderId="24" xfId="0" applyFont="1" applyBorder="1"/>
    <xf numFmtId="0" fontId="33" fillId="0" borderId="24" xfId="0" applyFont="1" applyBorder="1" applyAlignment="1">
      <alignment horizontal="right"/>
    </xf>
    <xf numFmtId="0" fontId="33" fillId="11" borderId="24" xfId="0" applyFont="1" applyFill="1" applyBorder="1" applyAlignment="1">
      <alignment horizontal="left"/>
    </xf>
    <xf numFmtId="0" fontId="33" fillId="11" borderId="0" xfId="0" applyFont="1" applyFill="1"/>
    <xf numFmtId="168" fontId="33" fillId="11" borderId="24" xfId="0" applyNumberFormat="1" applyFont="1" applyFill="1" applyBorder="1" applyAlignment="1">
      <alignment horizontal="right"/>
    </xf>
    <xf numFmtId="168" fontId="33" fillId="11" borderId="24" xfId="0" applyNumberFormat="1" applyFont="1" applyFill="1" applyBorder="1"/>
    <xf numFmtId="2" fontId="33" fillId="11" borderId="24" xfId="0" applyNumberFormat="1" applyFont="1" applyFill="1" applyBorder="1"/>
    <xf numFmtId="2" fontId="34" fillId="11" borderId="24" xfId="0" applyNumberFormat="1" applyFont="1" applyFill="1" applyBorder="1"/>
    <xf numFmtId="2" fontId="33" fillId="11" borderId="35" xfId="0" applyNumberFormat="1" applyFont="1" applyFill="1" applyBorder="1"/>
    <xf numFmtId="1" fontId="33" fillId="11" borderId="0" xfId="0" applyNumberFormat="1" applyFont="1" applyFill="1"/>
    <xf numFmtId="0" fontId="33" fillId="11" borderId="0" xfId="0" applyFont="1" applyFill="1" applyAlignment="1">
      <alignment horizontal="left"/>
    </xf>
    <xf numFmtId="0" fontId="35" fillId="3" borderId="24" xfId="0" applyFont="1" applyFill="1" applyBorder="1" applyAlignment="1">
      <alignment wrapText="1"/>
    </xf>
    <xf numFmtId="0" fontId="36" fillId="2" borderId="24" xfId="0" applyFont="1" applyFill="1" applyBorder="1" applyAlignment="1">
      <alignment horizontal="left" wrapText="1"/>
    </xf>
    <xf numFmtId="0" fontId="35" fillId="3" borderId="24" xfId="0" applyFont="1" applyFill="1" applyBorder="1" applyAlignment="1">
      <alignment horizontal="left" wrapText="1"/>
    </xf>
    <xf numFmtId="0" fontId="35" fillId="27" borderId="0" xfId="0" applyFont="1" applyFill="1" applyAlignment="1">
      <alignment wrapText="1"/>
    </xf>
    <xf numFmtId="168" fontId="35" fillId="3" borderId="24" xfId="0" applyNumberFormat="1" applyFont="1" applyFill="1" applyBorder="1" applyAlignment="1">
      <alignment wrapText="1"/>
    </xf>
    <xf numFmtId="168" fontId="36" fillId="3" borderId="24" xfId="0" applyNumberFormat="1" applyFont="1" applyFill="1" applyBorder="1" applyAlignment="1">
      <alignment wrapText="1"/>
    </xf>
    <xf numFmtId="0" fontId="35" fillId="27" borderId="31" xfId="0" applyFont="1" applyFill="1" applyBorder="1" applyAlignment="1">
      <alignment wrapText="1"/>
    </xf>
    <xf numFmtId="0" fontId="35" fillId="27" borderId="54" xfId="0" applyFont="1" applyFill="1" applyBorder="1" applyAlignment="1">
      <alignment wrapText="1"/>
    </xf>
    <xf numFmtId="1" fontId="36" fillId="3" borderId="24" xfId="0" applyNumberFormat="1" applyFont="1" applyFill="1" applyBorder="1" applyAlignment="1">
      <alignment wrapText="1"/>
    </xf>
    <xf numFmtId="14" fontId="36" fillId="3" borderId="24" xfId="0" applyNumberFormat="1" applyFont="1" applyFill="1" applyBorder="1" applyAlignment="1">
      <alignment wrapText="1"/>
    </xf>
    <xf numFmtId="0" fontId="35" fillId="27" borderId="37" xfId="0" applyFont="1" applyFill="1" applyBorder="1" applyAlignment="1">
      <alignment horizontal="left" wrapText="1"/>
    </xf>
    <xf numFmtId="0" fontId="35" fillId="27" borderId="37" xfId="0" applyFont="1" applyFill="1" applyBorder="1" applyAlignment="1">
      <alignment wrapText="1"/>
    </xf>
    <xf numFmtId="0" fontId="36" fillId="6" borderId="24" xfId="0" applyFont="1" applyFill="1" applyBorder="1" applyAlignment="1">
      <alignment wrapText="1"/>
    </xf>
    <xf numFmtId="0" fontId="37" fillId="17" borderId="24" xfId="0" applyFont="1" applyFill="1" applyBorder="1" applyAlignment="1">
      <alignment wrapText="1"/>
    </xf>
    <xf numFmtId="0" fontId="36" fillId="23" borderId="24" xfId="0" applyFont="1" applyFill="1" applyBorder="1" applyAlignment="1">
      <alignment wrapText="1"/>
    </xf>
    <xf numFmtId="0" fontId="36" fillId="23" borderId="34" xfId="0" applyFont="1" applyFill="1" applyBorder="1" applyAlignment="1">
      <alignment wrapText="1"/>
    </xf>
    <xf numFmtId="0" fontId="36" fillId="7" borderId="35" xfId="0" applyFont="1" applyFill="1" applyBorder="1" applyAlignment="1">
      <alignment wrapText="1"/>
    </xf>
    <xf numFmtId="0" fontId="36" fillId="7" borderId="24" xfId="0" applyFont="1" applyFill="1" applyBorder="1" applyAlignment="1">
      <alignment wrapText="1"/>
    </xf>
    <xf numFmtId="0" fontId="38" fillId="7" borderId="34" xfId="0" applyFont="1" applyFill="1" applyBorder="1" applyAlignment="1">
      <alignment wrapText="1"/>
    </xf>
    <xf numFmtId="0" fontId="38" fillId="24" borderId="35" xfId="0" applyFont="1" applyFill="1" applyBorder="1" applyAlignment="1">
      <alignment wrapText="1"/>
    </xf>
    <xf numFmtId="0" fontId="38" fillId="24" borderId="24" xfId="0" applyFont="1" applyFill="1" applyBorder="1" applyAlignment="1">
      <alignment wrapText="1"/>
    </xf>
    <xf numFmtId="0" fontId="36" fillId="24" borderId="34" xfId="0" applyFont="1" applyFill="1" applyBorder="1" applyAlignment="1">
      <alignment wrapText="1"/>
    </xf>
    <xf numFmtId="0" fontId="36" fillId="23" borderId="35" xfId="0" applyFont="1" applyFill="1" applyBorder="1" applyAlignment="1">
      <alignment wrapText="1"/>
    </xf>
    <xf numFmtId="0" fontId="38" fillId="23" borderId="24" xfId="0" applyFont="1" applyFill="1" applyBorder="1" applyAlignment="1">
      <alignment wrapText="1"/>
    </xf>
    <xf numFmtId="0" fontId="35" fillId="24" borderId="24" xfId="0" applyFont="1" applyFill="1" applyBorder="1" applyAlignment="1">
      <alignment wrapText="1"/>
    </xf>
    <xf numFmtId="0" fontId="36" fillId="0" borderId="24" xfId="0" applyFont="1" applyBorder="1" applyAlignment="1">
      <alignment wrapText="1"/>
    </xf>
    <xf numFmtId="0" fontId="34" fillId="0" borderId="24" xfId="0" applyFont="1" applyBorder="1" applyAlignment="1">
      <alignment wrapText="1"/>
    </xf>
    <xf numFmtId="0" fontId="36" fillId="0" borderId="24" xfId="0" applyFont="1" applyBorder="1"/>
    <xf numFmtId="0" fontId="34" fillId="0" borderId="24" xfId="0" applyFont="1" applyBorder="1"/>
    <xf numFmtId="1" fontId="33" fillId="36" borderId="24" xfId="0" applyNumberFormat="1" applyFont="1" applyFill="1" applyBorder="1"/>
    <xf numFmtId="0" fontId="33" fillId="36" borderId="24" xfId="0" applyFont="1" applyFill="1" applyBorder="1"/>
    <xf numFmtId="168" fontId="39" fillId="36" borderId="24" xfId="0" applyNumberFormat="1" applyFont="1" applyFill="1" applyBorder="1" applyAlignment="1">
      <alignment horizontal="left"/>
    </xf>
    <xf numFmtId="0" fontId="40" fillId="36" borderId="24" xfId="1" applyFont="1" applyFill="1" applyBorder="1" applyAlignment="1">
      <alignment horizontal="left" vertical="center"/>
    </xf>
    <xf numFmtId="0" fontId="39" fillId="36" borderId="24" xfId="0" applyFont="1" applyFill="1" applyBorder="1" applyAlignment="1">
      <alignment horizontal="left" vertical="center"/>
    </xf>
    <xf numFmtId="0" fontId="33" fillId="36" borderId="24" xfId="0" applyFont="1" applyFill="1" applyBorder="1" applyAlignment="1">
      <alignment horizontal="right"/>
    </xf>
    <xf numFmtId="0" fontId="41" fillId="36" borderId="24" xfId="0" applyFont="1" applyFill="1" applyBorder="1" applyAlignment="1">
      <alignment horizontal="left"/>
    </xf>
    <xf numFmtId="0" fontId="39" fillId="36" borderId="0" xfId="0" applyFont="1" applyFill="1"/>
    <xf numFmtId="168" fontId="39" fillId="36" borderId="24" xfId="0" applyNumberFormat="1" applyFont="1" applyFill="1" applyBorder="1" applyAlignment="1">
      <alignment horizontal="right"/>
    </xf>
    <xf numFmtId="168" fontId="41" fillId="36" borderId="32" xfId="0" applyNumberFormat="1" applyFont="1" applyFill="1" applyBorder="1"/>
    <xf numFmtId="169" fontId="39" fillId="0" borderId="54" xfId="0" applyNumberFormat="1" applyFont="1" applyBorder="1"/>
    <xf numFmtId="168" fontId="42" fillId="57" borderId="0" xfId="0" applyNumberFormat="1" applyFont="1" applyFill="1"/>
    <xf numFmtId="1" fontId="39" fillId="36" borderId="24" xfId="0" applyNumberFormat="1" applyFont="1" applyFill="1" applyBorder="1" applyAlignment="1">
      <alignment horizontal="right"/>
    </xf>
    <xf numFmtId="0" fontId="39" fillId="36" borderId="32" xfId="0" applyFont="1" applyFill="1" applyBorder="1"/>
    <xf numFmtId="4" fontId="39" fillId="36" borderId="24" xfId="0" applyNumberFormat="1" applyFont="1" applyFill="1" applyBorder="1" applyAlignment="1">
      <alignment horizontal="right"/>
    </xf>
    <xf numFmtId="0" fontId="43" fillId="36" borderId="24" xfId="0" applyFont="1" applyFill="1" applyBorder="1" applyAlignment="1">
      <alignment horizontal="left"/>
    </xf>
    <xf numFmtId="0" fontId="43" fillId="36" borderId="0" xfId="0" applyFont="1" applyFill="1" applyAlignment="1">
      <alignment horizontal="left"/>
    </xf>
    <xf numFmtId="0" fontId="43" fillId="36" borderId="0" xfId="0" applyFont="1" applyFill="1"/>
    <xf numFmtId="0" fontId="43" fillId="18" borderId="31" xfId="0" applyFont="1" applyFill="1" applyBorder="1"/>
    <xf numFmtId="0" fontId="43" fillId="11" borderId="0" xfId="0" applyFont="1" applyFill="1"/>
    <xf numFmtId="168" fontId="41" fillId="57" borderId="0" xfId="0" applyNumberFormat="1" applyFont="1" applyFill="1"/>
    <xf numFmtId="1" fontId="33" fillId="37" borderId="24" xfId="0" applyNumberFormat="1" applyFont="1" applyFill="1" applyBorder="1"/>
    <xf numFmtId="0" fontId="33" fillId="37" borderId="24" xfId="0" applyFont="1" applyFill="1" applyBorder="1"/>
    <xf numFmtId="0" fontId="40" fillId="37" borderId="24" xfId="1" applyFont="1" applyFill="1" applyBorder="1" applyAlignment="1">
      <alignment horizontal="left" vertical="center"/>
    </xf>
    <xf numFmtId="0" fontId="39" fillId="37" borderId="24" xfId="0" applyFont="1" applyFill="1" applyBorder="1" applyAlignment="1">
      <alignment horizontal="left" vertical="center"/>
    </xf>
    <xf numFmtId="0" fontId="33" fillId="37" borderId="24" xfId="0" applyFont="1" applyFill="1" applyBorder="1" applyAlignment="1">
      <alignment horizontal="right"/>
    </xf>
    <xf numFmtId="0" fontId="41" fillId="37" borderId="24" xfId="0" applyFont="1" applyFill="1" applyBorder="1" applyAlignment="1">
      <alignment horizontal="left"/>
    </xf>
    <xf numFmtId="0" fontId="39" fillId="37" borderId="0" xfId="0" applyFont="1" applyFill="1"/>
    <xf numFmtId="168" fontId="39" fillId="37" borderId="24" xfId="0" applyNumberFormat="1" applyFont="1" applyFill="1" applyBorder="1" applyAlignment="1">
      <alignment horizontal="right"/>
    </xf>
    <xf numFmtId="168" fontId="41" fillId="37" borderId="32" xfId="0" applyNumberFormat="1" applyFont="1" applyFill="1" applyBorder="1"/>
    <xf numFmtId="1" fontId="39" fillId="37" borderId="24" xfId="0" applyNumberFormat="1" applyFont="1" applyFill="1" applyBorder="1" applyAlignment="1">
      <alignment horizontal="right"/>
    </xf>
    <xf numFmtId="0" fontId="39" fillId="37" borderId="32" xfId="0" applyFont="1" applyFill="1" applyBorder="1"/>
    <xf numFmtId="4" fontId="39" fillId="37" borderId="24" xfId="0" applyNumberFormat="1" applyFont="1" applyFill="1" applyBorder="1" applyAlignment="1">
      <alignment horizontal="right"/>
    </xf>
    <xf numFmtId="4" fontId="39" fillId="37" borderId="0" xfId="0" applyNumberFormat="1" applyFont="1" applyFill="1" applyAlignment="1">
      <alignment horizontal="left"/>
    </xf>
    <xf numFmtId="0" fontId="43" fillId="37" borderId="0" xfId="0" applyFont="1" applyFill="1" applyAlignment="1">
      <alignment horizontal="left"/>
    </xf>
    <xf numFmtId="0" fontId="43" fillId="37" borderId="0" xfId="0" applyFont="1" applyFill="1"/>
    <xf numFmtId="0" fontId="43" fillId="37" borderId="31" xfId="0" applyFont="1" applyFill="1" applyBorder="1"/>
    <xf numFmtId="0" fontId="43" fillId="11" borderId="31" xfId="0" applyFont="1" applyFill="1" applyBorder="1"/>
    <xf numFmtId="168" fontId="41" fillId="56" borderId="0" xfId="0" applyNumberFormat="1" applyFont="1" applyFill="1"/>
    <xf numFmtId="0" fontId="43" fillId="36" borderId="24" xfId="0" applyFont="1" applyFill="1" applyBorder="1"/>
    <xf numFmtId="168" fontId="42" fillId="56" borderId="0" xfId="0" applyNumberFormat="1" applyFont="1" applyFill="1"/>
    <xf numFmtId="0" fontId="33" fillId="37" borderId="24" xfId="0" applyFont="1" applyFill="1" applyBorder="1" applyAlignment="1">
      <alignment horizontal="left"/>
    </xf>
    <xf numFmtId="168" fontId="44" fillId="56" borderId="0" xfId="0" applyNumberFormat="1" applyFont="1" applyFill="1"/>
    <xf numFmtId="0" fontId="43" fillId="37" borderId="24" xfId="0" applyFont="1" applyFill="1" applyBorder="1" applyAlignment="1">
      <alignment horizontal="left"/>
    </xf>
    <xf numFmtId="0" fontId="43" fillId="37" borderId="32" xfId="0" applyFont="1" applyFill="1" applyBorder="1"/>
    <xf numFmtId="0" fontId="43" fillId="36" borderId="32" xfId="0" applyFont="1" applyFill="1" applyBorder="1"/>
    <xf numFmtId="0" fontId="39" fillId="0" borderId="54" xfId="0" applyFont="1" applyBorder="1"/>
    <xf numFmtId="168" fontId="45" fillId="56" borderId="0" xfId="0" applyNumberFormat="1" applyFont="1" applyFill="1"/>
    <xf numFmtId="0" fontId="43" fillId="36" borderId="31" xfId="0" applyFont="1" applyFill="1" applyBorder="1"/>
    <xf numFmtId="0" fontId="33" fillId="36" borderId="24" xfId="0" applyFont="1" applyFill="1" applyBorder="1" applyAlignment="1">
      <alignment horizontal="left"/>
    </xf>
    <xf numFmtId="168" fontId="33" fillId="36" borderId="24" xfId="0" applyNumberFormat="1" applyFont="1" applyFill="1" applyBorder="1"/>
    <xf numFmtId="2" fontId="33" fillId="36" borderId="24" xfId="0" applyNumberFormat="1" applyFont="1" applyFill="1" applyBorder="1"/>
    <xf numFmtId="2" fontId="34" fillId="36" borderId="24" xfId="0" applyNumberFormat="1" applyFont="1" applyFill="1" applyBorder="1"/>
    <xf numFmtId="168" fontId="33" fillId="36" borderId="35" xfId="0" applyNumberFormat="1" applyFont="1" applyFill="1" applyBorder="1"/>
    <xf numFmtId="168" fontId="33" fillId="37" borderId="24" xfId="0" applyNumberFormat="1" applyFont="1" applyFill="1" applyBorder="1"/>
    <xf numFmtId="2" fontId="33" fillId="37" borderId="24" xfId="0" applyNumberFormat="1" applyFont="1" applyFill="1" applyBorder="1"/>
    <xf numFmtId="2" fontId="34" fillId="37" borderId="24" xfId="0" applyNumberFormat="1" applyFont="1" applyFill="1" applyBorder="1"/>
    <xf numFmtId="168" fontId="33" fillId="37" borderId="35" xfId="0" applyNumberFormat="1" applyFont="1" applyFill="1" applyBorder="1"/>
    <xf numFmtId="44" fontId="33" fillId="37" borderId="24" xfId="0" applyNumberFormat="1" applyFont="1" applyFill="1" applyBorder="1" applyAlignment="1">
      <alignment horizontal="left"/>
    </xf>
    <xf numFmtId="44" fontId="33" fillId="36" borderId="24" xfId="0" applyNumberFormat="1" applyFont="1" applyFill="1" applyBorder="1" applyAlignment="1">
      <alignment horizontal="left"/>
    </xf>
    <xf numFmtId="168" fontId="33" fillId="37" borderId="24" xfId="0" applyNumberFormat="1" applyFont="1" applyFill="1" applyBorder="1" applyAlignment="1">
      <alignment horizontal="right"/>
    </xf>
    <xf numFmtId="168" fontId="33" fillId="36" borderId="24" xfId="0" applyNumberFormat="1" applyFont="1" applyFill="1" applyBorder="1" applyAlignment="1">
      <alignment horizontal="right"/>
    </xf>
    <xf numFmtId="0" fontId="19" fillId="22" borderId="0" xfId="0" applyFont="1" applyFill="1" applyAlignment="1">
      <alignment wrapText="1"/>
    </xf>
    <xf numFmtId="0" fontId="34" fillId="36" borderId="24" xfId="0" applyFont="1" applyFill="1" applyBorder="1"/>
    <xf numFmtId="0" fontId="34" fillId="36" borderId="24" xfId="0" applyFont="1" applyFill="1" applyBorder="1" applyAlignment="1">
      <alignment horizontal="right"/>
    </xf>
    <xf numFmtId="0" fontId="34" fillId="36" borderId="24" xfId="0" applyFont="1" applyFill="1" applyBorder="1" applyAlignment="1">
      <alignment horizontal="left"/>
    </xf>
    <xf numFmtId="0" fontId="46" fillId="36" borderId="0" xfId="0" applyFont="1" applyFill="1"/>
    <xf numFmtId="168" fontId="34" fillId="36" borderId="35" xfId="0" applyNumberFormat="1" applyFont="1" applyFill="1" applyBorder="1"/>
    <xf numFmtId="0" fontId="46" fillId="36" borderId="0" xfId="0" applyFont="1" applyFill="1" applyAlignment="1">
      <alignment horizontal="left"/>
    </xf>
    <xf numFmtId="0" fontId="46" fillId="36" borderId="32" xfId="0" applyFont="1" applyFill="1" applyBorder="1"/>
    <xf numFmtId="0" fontId="43" fillId="37" borderId="24" xfId="0" applyFont="1" applyFill="1" applyBorder="1"/>
    <xf numFmtId="168" fontId="43" fillId="37" borderId="24" xfId="0" applyNumberFormat="1" applyFont="1" applyFill="1" applyBorder="1"/>
    <xf numFmtId="168" fontId="43" fillId="37" borderId="32" xfId="0" applyNumberFormat="1" applyFont="1" applyFill="1" applyBorder="1"/>
    <xf numFmtId="168" fontId="39" fillId="0" borderId="54" xfId="0" applyNumberFormat="1" applyFont="1" applyBorder="1"/>
    <xf numFmtId="0" fontId="43" fillId="37" borderId="51" xfId="0" applyFont="1" applyFill="1" applyBorder="1" applyAlignment="1">
      <alignment horizontal="left"/>
    </xf>
    <xf numFmtId="0" fontId="43" fillId="37" borderId="51" xfId="0" applyFont="1" applyFill="1" applyBorder="1"/>
    <xf numFmtId="168" fontId="43" fillId="36" borderId="24" xfId="0" applyNumberFormat="1" applyFont="1" applyFill="1" applyBorder="1"/>
    <xf numFmtId="168" fontId="43" fillId="36" borderId="32" xfId="0" applyNumberFormat="1" applyFont="1" applyFill="1" applyBorder="1"/>
    <xf numFmtId="168" fontId="45" fillId="57" borderId="0" xfId="0" applyNumberFormat="1" applyFont="1" applyFill="1"/>
    <xf numFmtId="0" fontId="33" fillId="36" borderId="45" xfId="0" applyFont="1" applyFill="1" applyBorder="1"/>
    <xf numFmtId="0" fontId="43" fillId="36" borderId="51" xfId="0" applyFont="1" applyFill="1" applyBorder="1" applyAlignment="1">
      <alignment horizontal="left"/>
    </xf>
    <xf numFmtId="0" fontId="43" fillId="36" borderId="51" xfId="0" applyFont="1" applyFill="1" applyBorder="1"/>
    <xf numFmtId="0" fontId="43" fillId="36" borderId="33" xfId="0" applyFont="1" applyFill="1" applyBorder="1"/>
    <xf numFmtId="0" fontId="39" fillId="36" borderId="24" xfId="0" applyFont="1" applyFill="1" applyBorder="1" applyAlignment="1">
      <alignment horizontal="left"/>
    </xf>
    <xf numFmtId="4" fontId="39" fillId="36" borderId="45" xfId="0" applyNumberFormat="1" applyFont="1" applyFill="1" applyBorder="1" applyAlignment="1">
      <alignment horizontal="right"/>
    </xf>
    <xf numFmtId="0" fontId="39" fillId="36" borderId="33" xfId="0" applyFont="1" applyFill="1" applyBorder="1"/>
    <xf numFmtId="0" fontId="39" fillId="37" borderId="24" xfId="0" applyFont="1" applyFill="1" applyBorder="1" applyAlignment="1">
      <alignment horizontal="left"/>
    </xf>
    <xf numFmtId="4" fontId="39" fillId="37" borderId="45" xfId="0" applyNumberFormat="1" applyFont="1" applyFill="1" applyBorder="1" applyAlignment="1">
      <alignment horizontal="right"/>
    </xf>
    <xf numFmtId="0" fontId="39" fillId="37" borderId="33" xfId="0" applyFont="1" applyFill="1" applyBorder="1"/>
    <xf numFmtId="0" fontId="46" fillId="37" borderId="24" xfId="0" applyFont="1" applyFill="1" applyBorder="1" applyAlignment="1">
      <alignment horizontal="left"/>
    </xf>
    <xf numFmtId="0" fontId="46" fillId="36" borderId="24" xfId="0" applyFont="1" applyFill="1" applyBorder="1" applyAlignment="1">
      <alignment horizontal="left"/>
    </xf>
    <xf numFmtId="4" fontId="39" fillId="36" borderId="0" xfId="0" applyNumberFormat="1" applyFont="1" applyFill="1" applyAlignment="1">
      <alignment horizontal="left"/>
    </xf>
    <xf numFmtId="1" fontId="43" fillId="37" borderId="24" xfId="0" applyNumberFormat="1" applyFont="1" applyFill="1" applyBorder="1"/>
    <xf numFmtId="0" fontId="41" fillId="37" borderId="24" xfId="0" applyFont="1" applyFill="1" applyBorder="1" applyAlignment="1">
      <alignment horizontal="left" vertical="center"/>
    </xf>
    <xf numFmtId="0" fontId="43" fillId="16" borderId="31" xfId="0" applyFont="1" applyFill="1" applyBorder="1"/>
    <xf numFmtId="4" fontId="39" fillId="36" borderId="24" xfId="0" applyNumberFormat="1" applyFont="1" applyFill="1" applyBorder="1" applyAlignment="1">
      <alignment horizontal="left"/>
    </xf>
    <xf numFmtId="0" fontId="41" fillId="36" borderId="24" xfId="0" applyFont="1" applyFill="1" applyBorder="1" applyAlignment="1">
      <alignment horizontal="left" vertical="center"/>
    </xf>
    <xf numFmtId="0" fontId="39" fillId="12" borderId="24" xfId="0" applyFont="1" applyFill="1" applyBorder="1" applyAlignment="1">
      <alignment horizontal="left" vertical="center"/>
    </xf>
    <xf numFmtId="0" fontId="33" fillId="12" borderId="24" xfId="0" applyFont="1" applyFill="1" applyBorder="1"/>
    <xf numFmtId="0" fontId="39" fillId="35" borderId="24" xfId="0" applyFont="1" applyFill="1" applyBorder="1" applyAlignment="1">
      <alignment horizontal="left" vertical="center"/>
    </xf>
    <xf numFmtId="4" fontId="39" fillId="37" borderId="24" xfId="0" applyNumberFormat="1" applyFont="1" applyFill="1" applyBorder="1" applyAlignment="1">
      <alignment horizontal="left"/>
    </xf>
    <xf numFmtId="0" fontId="43" fillId="11" borderId="33" xfId="0" applyFont="1" applyFill="1" applyBorder="1"/>
    <xf numFmtId="0" fontId="39" fillId="23" borderId="24" xfId="0" applyFont="1" applyFill="1" applyBorder="1" applyAlignment="1">
      <alignment horizontal="left" vertical="center"/>
    </xf>
    <xf numFmtId="0" fontId="39" fillId="37" borderId="24" xfId="0" applyFont="1" applyFill="1" applyBorder="1" applyAlignment="1">
      <alignment horizontal="left" vertical="center" wrapText="1"/>
    </xf>
    <xf numFmtId="0" fontId="39" fillId="7" borderId="24" xfId="0" applyFont="1" applyFill="1" applyBorder="1" applyAlignment="1">
      <alignment horizontal="left" vertical="center"/>
    </xf>
    <xf numFmtId="0" fontId="40" fillId="35" borderId="24" xfId="1" applyFont="1" applyFill="1" applyBorder="1" applyAlignment="1">
      <alignment horizontal="left" vertical="center"/>
    </xf>
    <xf numFmtId="0" fontId="40" fillId="23" borderId="24" xfId="1" applyFont="1" applyFill="1" applyBorder="1" applyAlignment="1">
      <alignment horizontal="left" vertical="center"/>
    </xf>
    <xf numFmtId="0" fontId="40" fillId="18" borderId="31" xfId="1" applyFont="1" applyFill="1" applyBorder="1" applyAlignment="1">
      <alignment wrapText="1"/>
    </xf>
    <xf numFmtId="168" fontId="44" fillId="57" borderId="0" xfId="0" applyNumberFormat="1" applyFont="1" applyFill="1"/>
    <xf numFmtId="0" fontId="46" fillId="36" borderId="24" xfId="0" applyFont="1" applyFill="1" applyBorder="1"/>
    <xf numFmtId="0" fontId="46" fillId="37" borderId="24" xfId="0" applyFont="1" applyFill="1" applyBorder="1"/>
    <xf numFmtId="0" fontId="40" fillId="12" borderId="24" xfId="1" applyFont="1" applyFill="1" applyBorder="1" applyAlignment="1">
      <alignment horizontal="left" vertical="center"/>
    </xf>
    <xf numFmtId="0" fontId="49" fillId="37" borderId="24" xfId="0" applyFont="1" applyFill="1" applyBorder="1" applyAlignment="1">
      <alignment horizontal="left" vertical="center"/>
    </xf>
    <xf numFmtId="0" fontId="43" fillId="19" borderId="31" xfId="0" applyFont="1" applyFill="1" applyBorder="1"/>
    <xf numFmtId="0" fontId="50" fillId="36" borderId="24" xfId="0" applyFont="1" applyFill="1" applyBorder="1" applyAlignment="1">
      <alignment horizontal="left"/>
    </xf>
    <xf numFmtId="0" fontId="33" fillId="6" borderId="24" xfId="0" applyFont="1" applyFill="1" applyBorder="1"/>
    <xf numFmtId="168" fontId="43" fillId="57" borderId="0" xfId="0" applyNumberFormat="1" applyFont="1" applyFill="1"/>
    <xf numFmtId="0" fontId="33" fillId="36" borderId="32" xfId="0" applyFont="1" applyFill="1" applyBorder="1"/>
    <xf numFmtId="0" fontId="33" fillId="0" borderId="31" xfId="0" applyFont="1" applyBorder="1"/>
    <xf numFmtId="0" fontId="33" fillId="11" borderId="31" xfId="0" applyFont="1" applyFill="1" applyBorder="1"/>
    <xf numFmtId="0" fontId="33" fillId="36" borderId="31" xfId="0" applyFont="1" applyFill="1" applyBorder="1"/>
    <xf numFmtId="0" fontId="33" fillId="2" borderId="24" xfId="0" applyFont="1" applyFill="1" applyBorder="1"/>
    <xf numFmtId="0" fontId="33" fillId="37" borderId="32" xfId="0" applyFont="1" applyFill="1" applyBorder="1"/>
    <xf numFmtId="0" fontId="33" fillId="37" borderId="31" xfId="0" applyFont="1" applyFill="1" applyBorder="1"/>
    <xf numFmtId="0" fontId="33" fillId="36" borderId="0" xfId="0" applyFont="1" applyFill="1"/>
    <xf numFmtId="169" fontId="39" fillId="0" borderId="47" xfId="0" applyNumberFormat="1" applyFont="1" applyBorder="1"/>
    <xf numFmtId="0" fontId="33" fillId="37" borderId="0" xfId="0" applyFont="1" applyFill="1"/>
    <xf numFmtId="1" fontId="39" fillId="37" borderId="35" xfId="0" applyNumberFormat="1" applyFont="1" applyFill="1" applyBorder="1" applyAlignment="1">
      <alignment horizontal="right"/>
    </xf>
    <xf numFmtId="1" fontId="39" fillId="36" borderId="35" xfId="0" applyNumberFormat="1" applyFont="1" applyFill="1" applyBorder="1" applyAlignment="1">
      <alignment horizontal="right"/>
    </xf>
    <xf numFmtId="0" fontId="39" fillId="39" borderId="24" xfId="0" applyFont="1" applyFill="1" applyBorder="1" applyAlignment="1">
      <alignment horizontal="left" vertical="center"/>
    </xf>
    <xf numFmtId="164" fontId="33" fillId="36" borderId="24" xfId="0" applyNumberFormat="1" applyFont="1" applyFill="1" applyBorder="1"/>
    <xf numFmtId="168" fontId="41" fillId="57" borderId="56" xfId="0" applyNumberFormat="1" applyFont="1" applyFill="1" applyBorder="1"/>
    <xf numFmtId="168" fontId="41" fillId="56" borderId="56" xfId="0" applyNumberFormat="1" applyFont="1" applyFill="1" applyBorder="1"/>
    <xf numFmtId="4" fontId="39" fillId="37" borderId="24" xfId="0" applyNumberFormat="1" applyFont="1" applyFill="1" applyBorder="1" applyAlignment="1">
      <alignment horizontal="right" wrapText="1"/>
    </xf>
    <xf numFmtId="0" fontId="40" fillId="34" borderId="24" xfId="1" applyFont="1" applyFill="1" applyBorder="1" applyAlignment="1">
      <alignment horizontal="left" vertical="center"/>
    </xf>
    <xf numFmtId="0" fontId="43" fillId="18" borderId="24" xfId="0" applyFont="1" applyFill="1" applyBorder="1"/>
    <xf numFmtId="0" fontId="43" fillId="11" borderId="24" xfId="0" applyFont="1" applyFill="1" applyBorder="1"/>
    <xf numFmtId="0" fontId="39" fillId="34" borderId="24" xfId="0" applyFont="1" applyFill="1" applyBorder="1" applyAlignment="1">
      <alignment horizontal="left" vertical="center"/>
    </xf>
    <xf numFmtId="0" fontId="43" fillId="16" borderId="24" xfId="0" applyFont="1" applyFill="1" applyBorder="1"/>
    <xf numFmtId="0" fontId="43" fillId="56" borderId="31" xfId="0" applyFont="1" applyFill="1" applyBorder="1"/>
    <xf numFmtId="0" fontId="43" fillId="56" borderId="0" xfId="0" applyFont="1" applyFill="1"/>
    <xf numFmtId="0" fontId="46" fillId="56" borderId="31" xfId="0" applyFont="1" applyFill="1" applyBorder="1"/>
    <xf numFmtId="0" fontId="43" fillId="57" borderId="0" xfId="0" applyFont="1" applyFill="1"/>
    <xf numFmtId="0" fontId="43" fillId="57" borderId="32" xfId="0" applyFont="1" applyFill="1" applyBorder="1"/>
    <xf numFmtId="0" fontId="13" fillId="0" borderId="24" xfId="1" applyBorder="1"/>
    <xf numFmtId="0" fontId="39" fillId="2" borderId="24" xfId="0" applyFont="1" applyFill="1" applyBorder="1" applyAlignment="1">
      <alignment horizontal="left" vertical="center"/>
    </xf>
    <xf numFmtId="0" fontId="16" fillId="21" borderId="0" xfId="0" applyFont="1" applyFill="1"/>
    <xf numFmtId="168" fontId="16" fillId="21" borderId="0" xfId="0" applyNumberFormat="1" applyFont="1" applyFill="1" applyAlignment="1">
      <alignment horizontal="left"/>
    </xf>
    <xf numFmtId="9" fontId="16" fillId="20" borderId="0" xfId="0" applyNumberFormat="1" applyFont="1" applyFill="1"/>
    <xf numFmtId="168" fontId="16" fillId="20" borderId="0" xfId="0" applyNumberFormat="1" applyFont="1" applyFill="1" applyAlignment="1">
      <alignment horizontal="left"/>
    </xf>
    <xf numFmtId="0" fontId="16" fillId="59" borderId="0" xfId="0" applyFont="1" applyFill="1"/>
    <xf numFmtId="9" fontId="16" fillId="59" borderId="0" xfId="0" applyNumberFormat="1" applyFont="1" applyFill="1"/>
    <xf numFmtId="168" fontId="16" fillId="59" borderId="0" xfId="0" applyNumberFormat="1" applyFont="1" applyFill="1" applyAlignment="1">
      <alignment horizontal="left"/>
    </xf>
    <xf numFmtId="0" fontId="21" fillId="59" borderId="0" xfId="0" applyFont="1" applyFill="1"/>
    <xf numFmtId="0" fontId="19" fillId="59" borderId="0" xfId="0" applyFont="1" applyFill="1"/>
    <xf numFmtId="0" fontId="19" fillId="59" borderId="0" xfId="0" applyFont="1" applyFill="1" applyAlignment="1">
      <alignment horizontal="right"/>
    </xf>
    <xf numFmtId="168" fontId="19" fillId="59" borderId="0" xfId="0" applyNumberFormat="1" applyFont="1" applyFill="1" applyAlignment="1">
      <alignment horizontal="left"/>
    </xf>
    <xf numFmtId="168" fontId="19" fillId="59" borderId="0" xfId="0" applyNumberFormat="1" applyFont="1" applyFill="1" applyAlignment="1">
      <alignment horizontal="right"/>
    </xf>
    <xf numFmtId="0" fontId="19" fillId="59" borderId="0" xfId="0" applyFont="1" applyFill="1" applyAlignment="1">
      <alignment horizontal="left"/>
    </xf>
    <xf numFmtId="0" fontId="19" fillId="58" borderId="0" xfId="0" applyFont="1" applyFill="1"/>
    <xf numFmtId="0" fontId="21" fillId="58" borderId="0" xfId="0" applyFont="1" applyFill="1"/>
    <xf numFmtId="0" fontId="16" fillId="58" borderId="0" xfId="0" applyFont="1" applyFill="1"/>
    <xf numFmtId="168" fontId="19" fillId="58" borderId="0" xfId="0" applyNumberFormat="1" applyFont="1" applyFill="1" applyAlignment="1">
      <alignment horizontal="left"/>
    </xf>
    <xf numFmtId="0" fontId="16" fillId="58" borderId="0" xfId="0" applyFont="1" applyFill="1" applyAlignment="1">
      <alignment horizontal="left"/>
    </xf>
    <xf numFmtId="0" fontId="19" fillId="58" borderId="0" xfId="0" applyFont="1" applyFill="1" applyAlignment="1">
      <alignment horizontal="left" wrapText="1"/>
    </xf>
    <xf numFmtId="168" fontId="16" fillId="58" borderId="0" xfId="0" applyNumberFormat="1" applyFont="1" applyFill="1" applyAlignment="1">
      <alignment horizontal="left"/>
    </xf>
    <xf numFmtId="9" fontId="16" fillId="58" borderId="0" xfId="0" applyNumberFormat="1" applyFont="1" applyFill="1"/>
    <xf numFmtId="166" fontId="0" fillId="0" borderId="0" xfId="0" applyNumberFormat="1"/>
    <xf numFmtId="167" fontId="0" fillId="0" borderId="0" xfId="0" applyNumberFormat="1"/>
    <xf numFmtId="0" fontId="54" fillId="37" borderId="24" xfId="0" applyFont="1" applyFill="1" applyBorder="1" applyAlignment="1">
      <alignment horizontal="left" vertical="center"/>
    </xf>
    <xf numFmtId="0" fontId="54" fillId="36" borderId="24" xfId="0" applyFont="1" applyFill="1" applyBorder="1" applyAlignment="1">
      <alignment horizontal="left" vertical="center"/>
    </xf>
    <xf numFmtId="0" fontId="12" fillId="59" borderId="0" xfId="0" applyFont="1" applyFill="1"/>
    <xf numFmtId="0" fontId="39" fillId="36" borderId="31" xfId="0" applyFont="1" applyFill="1" applyBorder="1" applyAlignment="1">
      <alignment horizontal="left" vertical="center"/>
    </xf>
    <xf numFmtId="0" fontId="43" fillId="56" borderId="24" xfId="0" applyFont="1" applyFill="1" applyBorder="1"/>
    <xf numFmtId="0" fontId="43" fillId="57" borderId="24" xfId="0" applyFont="1" applyFill="1" applyBorder="1"/>
    <xf numFmtId="0" fontId="39" fillId="37" borderId="32" xfId="0" applyFont="1" applyFill="1" applyBorder="1" applyAlignment="1">
      <alignment horizontal="left" vertical="center"/>
    </xf>
    <xf numFmtId="0" fontId="39" fillId="37" borderId="31" xfId="0" applyFont="1" applyFill="1" applyBorder="1" applyAlignment="1">
      <alignment horizontal="left" vertical="center"/>
    </xf>
    <xf numFmtId="0" fontId="33" fillId="36" borderId="31" xfId="0" applyFont="1" applyFill="1" applyBorder="1" applyAlignment="1">
      <alignment horizontal="right"/>
    </xf>
    <xf numFmtId="0" fontId="41" fillId="36" borderId="31" xfId="0" applyFont="1" applyFill="1" applyBorder="1" applyAlignment="1">
      <alignment horizontal="left"/>
    </xf>
    <xf numFmtId="0" fontId="39" fillId="36" borderId="31" xfId="0" applyFont="1" applyFill="1" applyBorder="1" applyAlignment="1">
      <alignment horizontal="left"/>
    </xf>
    <xf numFmtId="168" fontId="39" fillId="36" borderId="31" xfId="0" applyNumberFormat="1" applyFont="1" applyFill="1" applyBorder="1" applyAlignment="1">
      <alignment horizontal="right"/>
    </xf>
    <xf numFmtId="168" fontId="39" fillId="37" borderId="31" xfId="0" applyNumberFormat="1" applyFont="1" applyFill="1" applyBorder="1" applyAlignment="1">
      <alignment horizontal="right"/>
    </xf>
    <xf numFmtId="168" fontId="41" fillId="36" borderId="31" xfId="0" applyNumberFormat="1" applyFont="1" applyFill="1" applyBorder="1"/>
    <xf numFmtId="168" fontId="41" fillId="36" borderId="24" xfId="0" applyNumberFormat="1" applyFont="1" applyFill="1" applyBorder="1"/>
    <xf numFmtId="0" fontId="43" fillId="56" borderId="32" xfId="0" applyFont="1" applyFill="1" applyBorder="1"/>
    <xf numFmtId="168" fontId="41" fillId="37" borderId="31" xfId="0" applyNumberFormat="1" applyFont="1" applyFill="1" applyBorder="1"/>
    <xf numFmtId="0" fontId="46" fillId="57" borderId="54" xfId="0" applyFont="1" applyFill="1" applyBorder="1"/>
    <xf numFmtId="169" fontId="39" fillId="0" borderId="31" xfId="0" applyNumberFormat="1" applyFont="1" applyBorder="1"/>
    <xf numFmtId="2" fontId="34" fillId="36" borderId="54" xfId="0" applyNumberFormat="1" applyFont="1" applyFill="1" applyBorder="1"/>
    <xf numFmtId="169" fontId="39" fillId="0" borderId="24" xfId="0" applyNumberFormat="1" applyFont="1" applyBorder="1"/>
    <xf numFmtId="0" fontId="46" fillId="56" borderId="54" xfId="0" applyFont="1" applyFill="1" applyBorder="1"/>
    <xf numFmtId="168" fontId="34" fillId="36" borderId="0" xfId="0" applyNumberFormat="1" applyFont="1" applyFill="1"/>
    <xf numFmtId="168" fontId="41" fillId="57" borderId="35" xfId="0" applyNumberFormat="1" applyFont="1" applyFill="1" applyBorder="1"/>
    <xf numFmtId="168" fontId="41" fillId="56" borderId="35" xfId="0" applyNumberFormat="1" applyFont="1" applyFill="1" applyBorder="1"/>
    <xf numFmtId="0" fontId="34" fillId="0" borderId="31" xfId="0" applyFont="1" applyBorder="1"/>
    <xf numFmtId="0" fontId="56" fillId="57" borderId="24" xfId="0" applyFont="1" applyFill="1" applyBorder="1"/>
    <xf numFmtId="0" fontId="56" fillId="37" borderId="24" xfId="0" applyFont="1" applyFill="1" applyBorder="1" applyAlignment="1">
      <alignment horizontal="right"/>
    </xf>
    <xf numFmtId="0" fontId="39" fillId="36" borderId="32" xfId="0" applyFont="1" applyFill="1" applyBorder="1" applyAlignment="1">
      <alignment horizontal="left" vertical="center"/>
    </xf>
    <xf numFmtId="0" fontId="39" fillId="37" borderId="31" xfId="0" applyFont="1" applyFill="1" applyBorder="1" applyAlignment="1">
      <alignment horizontal="left"/>
    </xf>
    <xf numFmtId="0" fontId="33" fillId="37" borderId="31" xfId="0" applyFont="1" applyFill="1" applyBorder="1" applyAlignment="1">
      <alignment horizontal="left"/>
    </xf>
    <xf numFmtId="2" fontId="33" fillId="36" borderId="32" xfId="0" applyNumberFormat="1" applyFont="1" applyFill="1" applyBorder="1"/>
    <xf numFmtId="168" fontId="33" fillId="36" borderId="0" xfId="0" applyNumberFormat="1" applyFont="1" applyFill="1"/>
    <xf numFmtId="168" fontId="44" fillId="57" borderId="35" xfId="0" applyNumberFormat="1" applyFont="1" applyFill="1" applyBorder="1"/>
    <xf numFmtId="0" fontId="57" fillId="37" borderId="24" xfId="0" applyFont="1" applyFill="1" applyBorder="1"/>
    <xf numFmtId="0" fontId="57" fillId="36" borderId="24" xfId="0" applyFont="1" applyFill="1" applyBorder="1"/>
    <xf numFmtId="0" fontId="33" fillId="37" borderId="31" xfId="0" applyFont="1" applyFill="1" applyBorder="1" applyAlignment="1">
      <alignment horizontal="right"/>
    </xf>
    <xf numFmtId="0" fontId="39" fillId="36" borderId="47" xfId="0" applyFont="1" applyFill="1" applyBorder="1" applyAlignment="1">
      <alignment horizontal="left" vertical="center"/>
    </xf>
    <xf numFmtId="168" fontId="43" fillId="56" borderId="35" xfId="0" applyNumberFormat="1" applyFont="1" applyFill="1" applyBorder="1"/>
    <xf numFmtId="0" fontId="41" fillId="37" borderId="31" xfId="0" applyFont="1" applyFill="1" applyBorder="1" applyAlignment="1">
      <alignment horizontal="left"/>
    </xf>
    <xf numFmtId="0" fontId="43" fillId="56" borderId="24" xfId="0" applyFont="1" applyFill="1" applyBorder="1" applyAlignment="1">
      <alignment horizontal="left"/>
    </xf>
    <xf numFmtId="0" fontId="43" fillId="57" borderId="24" xfId="0" applyFont="1" applyFill="1" applyBorder="1" applyAlignment="1">
      <alignment horizontal="left"/>
    </xf>
    <xf numFmtId="44" fontId="33" fillId="11" borderId="24" xfId="0" applyNumberFormat="1" applyFont="1" applyFill="1" applyBorder="1" applyAlignment="1">
      <alignment horizontal="right"/>
    </xf>
    <xf numFmtId="0" fontId="58" fillId="0" borderId="24" xfId="0" applyFont="1" applyBorder="1" applyAlignment="1">
      <alignment horizontal="right"/>
    </xf>
    <xf numFmtId="0" fontId="58" fillId="37" borderId="24" xfId="0" applyFont="1" applyFill="1" applyBorder="1" applyAlignment="1">
      <alignment horizontal="right"/>
    </xf>
    <xf numFmtId="0" fontId="58" fillId="36" borderId="24" xfId="0" applyFont="1" applyFill="1" applyBorder="1" applyAlignment="1">
      <alignment horizontal="right"/>
    </xf>
    <xf numFmtId="0" fontId="58" fillId="56" borderId="24" xfId="0" applyFont="1" applyFill="1" applyBorder="1"/>
    <xf numFmtId="0" fontId="58" fillId="57" borderId="24" xfId="0" applyFont="1" applyFill="1" applyBorder="1"/>
    <xf numFmtId="0" fontId="62" fillId="37" borderId="24" xfId="1" applyFont="1" applyFill="1" applyBorder="1" applyAlignment="1">
      <alignment horizontal="right"/>
    </xf>
    <xf numFmtId="4" fontId="60" fillId="37" borderId="24" xfId="0" applyNumberFormat="1" applyFont="1" applyFill="1" applyBorder="1" applyAlignment="1">
      <alignment horizontal="right"/>
    </xf>
    <xf numFmtId="0" fontId="62" fillId="56" borderId="24" xfId="1" applyFont="1" applyFill="1" applyBorder="1"/>
    <xf numFmtId="0" fontId="62" fillId="0" borderId="24" xfId="1" applyFont="1" applyBorder="1"/>
    <xf numFmtId="4" fontId="60" fillId="36" borderId="24" xfId="0" applyNumberFormat="1" applyFont="1" applyFill="1" applyBorder="1" applyAlignment="1">
      <alignment horizontal="right"/>
    </xf>
    <xf numFmtId="4" fontId="60" fillId="37" borderId="24" xfId="0" applyNumberFormat="1" applyFont="1" applyFill="1" applyBorder="1" applyAlignment="1">
      <alignment horizontal="right" wrapText="1"/>
    </xf>
    <xf numFmtId="4" fontId="62" fillId="37" borderId="24" xfId="1" applyNumberFormat="1" applyFont="1" applyFill="1" applyBorder="1" applyAlignment="1">
      <alignment horizontal="right" wrapText="1"/>
    </xf>
    <xf numFmtId="0" fontId="58" fillId="36" borderId="31" xfId="0" applyFont="1" applyFill="1" applyBorder="1" applyAlignment="1">
      <alignment horizontal="right"/>
    </xf>
    <xf numFmtId="0" fontId="58" fillId="37" borderId="31" xfId="0" applyFont="1" applyFill="1" applyBorder="1" applyAlignment="1">
      <alignment horizontal="right"/>
    </xf>
    <xf numFmtId="0" fontId="34" fillId="37" borderId="24" xfId="0" applyFont="1" applyFill="1" applyBorder="1" applyAlignment="1">
      <alignment horizontal="right"/>
    </xf>
    <xf numFmtId="0" fontId="33" fillId="0" borderId="24" xfId="0" applyFont="1" applyBorder="1" applyAlignment="1">
      <alignment horizontal="center"/>
    </xf>
    <xf numFmtId="0" fontId="58" fillId="0" borderId="24" xfId="0" applyFont="1" applyBorder="1" applyAlignment="1">
      <alignment horizontal="center"/>
    </xf>
    <xf numFmtId="0" fontId="36" fillId="2" borderId="24" xfId="0" applyFont="1" applyFill="1" applyBorder="1" applyAlignment="1">
      <alignment horizontal="center" wrapText="1"/>
    </xf>
    <xf numFmtId="0" fontId="59" fillId="2" borderId="24" xfId="0" applyFont="1" applyFill="1" applyBorder="1" applyAlignment="1">
      <alignment horizontal="center" wrapText="1"/>
    </xf>
    <xf numFmtId="0" fontId="33" fillId="37" borderId="24" xfId="0" applyFont="1" applyFill="1" applyBorder="1" applyAlignment="1">
      <alignment horizontal="center"/>
    </xf>
    <xf numFmtId="0" fontId="58" fillId="37" borderId="24" xfId="0" applyFont="1" applyFill="1" applyBorder="1" applyAlignment="1">
      <alignment horizontal="center"/>
    </xf>
    <xf numFmtId="0" fontId="33" fillId="36" borderId="24" xfId="0" applyFont="1" applyFill="1" applyBorder="1" applyAlignment="1">
      <alignment horizontal="center"/>
    </xf>
    <xf numFmtId="0" fontId="58" fillId="36" borderId="24" xfId="0" applyFont="1" applyFill="1" applyBorder="1" applyAlignment="1">
      <alignment horizontal="center"/>
    </xf>
    <xf numFmtId="0" fontId="39" fillId="37" borderId="24" xfId="0" applyFont="1" applyFill="1" applyBorder="1" applyAlignment="1">
      <alignment horizontal="center" vertical="center" wrapText="1"/>
    </xf>
    <xf numFmtId="0" fontId="60" fillId="37" borderId="24" xfId="0" applyFont="1" applyFill="1" applyBorder="1" applyAlignment="1">
      <alignment horizontal="center" vertical="center" wrapText="1"/>
    </xf>
    <xf numFmtId="49" fontId="61" fillId="0" borderId="24" xfId="0" applyNumberFormat="1" applyFont="1" applyBorder="1" applyAlignment="1">
      <alignment horizontal="center"/>
    </xf>
    <xf numFmtId="0" fontId="61" fillId="0" borderId="24" xfId="0" applyFont="1" applyBorder="1" applyAlignment="1">
      <alignment horizontal="center"/>
    </xf>
    <xf numFmtId="0" fontId="39" fillId="36" borderId="24" xfId="0" applyFont="1" applyFill="1" applyBorder="1" applyAlignment="1">
      <alignment horizontal="center" vertical="center"/>
    </xf>
    <xf numFmtId="0" fontId="60" fillId="36" borderId="24" xfId="0" applyFont="1" applyFill="1" applyBorder="1" applyAlignment="1">
      <alignment horizontal="center" vertical="center"/>
    </xf>
    <xf numFmtId="0" fontId="43" fillId="56" borderId="24" xfId="0" applyFont="1" applyFill="1" applyBorder="1" applyAlignment="1">
      <alignment horizontal="center"/>
    </xf>
    <xf numFmtId="0" fontId="58" fillId="56" borderId="24" xfId="0" applyFont="1" applyFill="1" applyBorder="1" applyAlignment="1">
      <alignment horizontal="center"/>
    </xf>
    <xf numFmtId="0" fontId="33" fillId="37" borderId="24" xfId="0" applyFont="1" applyFill="1" applyBorder="1" applyAlignment="1">
      <alignment horizontal="center" wrapText="1"/>
    </xf>
    <xf numFmtId="0" fontId="58" fillId="37" borderId="24" xfId="0" applyFont="1" applyFill="1" applyBorder="1" applyAlignment="1">
      <alignment horizontal="center" wrapText="1"/>
    </xf>
    <xf numFmtId="0" fontId="43" fillId="57" borderId="24" xfId="0" applyFont="1" applyFill="1" applyBorder="1" applyAlignment="1">
      <alignment horizontal="center"/>
    </xf>
    <xf numFmtId="0" fontId="58" fillId="57" borderId="24" xfId="0" applyFont="1" applyFill="1" applyBorder="1" applyAlignment="1">
      <alignment horizontal="center"/>
    </xf>
    <xf numFmtId="0" fontId="62" fillId="57" borderId="24" xfId="1" applyFont="1" applyFill="1" applyBorder="1" applyAlignment="1">
      <alignment horizontal="center"/>
    </xf>
    <xf numFmtId="0" fontId="62" fillId="37" borderId="24" xfId="1" applyFont="1" applyFill="1" applyBorder="1" applyAlignment="1">
      <alignment horizontal="center"/>
    </xf>
    <xf numFmtId="0" fontId="62" fillId="36" borderId="24" xfId="1" applyFont="1" applyFill="1" applyBorder="1" applyAlignment="1">
      <alignment horizontal="center"/>
    </xf>
    <xf numFmtId="0" fontId="34" fillId="36" borderId="24" xfId="0" applyFont="1" applyFill="1" applyBorder="1" applyAlignment="1">
      <alignment horizontal="center"/>
    </xf>
    <xf numFmtId="0" fontId="60" fillId="36" borderId="24" xfId="0" applyFont="1" applyFill="1" applyBorder="1" applyAlignment="1">
      <alignment horizontal="center"/>
    </xf>
    <xf numFmtId="0" fontId="33" fillId="11" borderId="24" xfId="0" applyFont="1" applyFill="1" applyBorder="1" applyAlignment="1">
      <alignment horizontal="center"/>
    </xf>
    <xf numFmtId="44" fontId="33" fillId="11" borderId="24" xfId="0" applyNumberFormat="1" applyFont="1" applyFill="1" applyBorder="1" applyAlignment="1">
      <alignment horizontal="center"/>
    </xf>
    <xf numFmtId="0" fontId="35" fillId="3" borderId="24" xfId="0" applyFont="1" applyFill="1" applyBorder="1" applyAlignment="1">
      <alignment horizontal="center" wrapText="1"/>
    </xf>
    <xf numFmtId="44" fontId="36" fillId="3" borderId="24" xfId="0" applyNumberFormat="1" applyFont="1" applyFill="1" applyBorder="1" applyAlignment="1">
      <alignment horizontal="center" wrapText="1"/>
    </xf>
    <xf numFmtId="168" fontId="39" fillId="36" borderId="24" xfId="0" applyNumberFormat="1" applyFont="1" applyFill="1" applyBorder="1" applyAlignment="1">
      <alignment horizontal="center"/>
    </xf>
    <xf numFmtId="0" fontId="39" fillId="37" borderId="47" xfId="0" applyFont="1" applyFill="1" applyBorder="1" applyAlignment="1">
      <alignment horizontal="center" vertical="center"/>
    </xf>
    <xf numFmtId="1" fontId="43" fillId="37" borderId="24" xfId="0" applyNumberFormat="1" applyFont="1" applyFill="1" applyBorder="1" applyAlignment="1">
      <alignment horizontal="center"/>
    </xf>
    <xf numFmtId="0" fontId="43" fillId="37" borderId="24" xfId="0" applyFont="1" applyFill="1" applyBorder="1" applyAlignment="1">
      <alignment horizontal="center"/>
    </xf>
    <xf numFmtId="168" fontId="39" fillId="36" borderId="58" xfId="0" applyNumberFormat="1" applyFont="1" applyFill="1" applyBorder="1" applyAlignment="1">
      <alignment horizontal="center"/>
    </xf>
    <xf numFmtId="0" fontId="57" fillId="37" borderId="24" xfId="0" applyFont="1" applyFill="1" applyBorder="1" applyAlignment="1">
      <alignment horizontal="center"/>
    </xf>
    <xf numFmtId="0" fontId="48" fillId="37" borderId="24" xfId="0" applyFont="1" applyFill="1" applyBorder="1" applyAlignment="1">
      <alignment horizontal="center"/>
    </xf>
    <xf numFmtId="0" fontId="57" fillId="36" borderId="24" xfId="0" applyFont="1" applyFill="1" applyBorder="1" applyAlignment="1">
      <alignment horizontal="center"/>
    </xf>
    <xf numFmtId="0" fontId="55" fillId="36" borderId="24" xfId="0" applyFont="1" applyFill="1" applyBorder="1" applyAlignment="1">
      <alignment horizontal="left"/>
    </xf>
    <xf numFmtId="0" fontId="13" fillId="37" borderId="24" xfId="1" applyFill="1" applyBorder="1" applyAlignment="1">
      <alignment horizontal="left"/>
    </xf>
    <xf numFmtId="0" fontId="40" fillId="36" borderId="24" xfId="1" applyFont="1" applyFill="1" applyBorder="1" applyAlignment="1">
      <alignment horizontal="left"/>
    </xf>
    <xf numFmtId="0" fontId="43" fillId="18" borderId="0" xfId="0" applyFont="1" applyFill="1"/>
    <xf numFmtId="0" fontId="33" fillId="23" borderId="24" xfId="0" applyFont="1" applyFill="1" applyBorder="1" applyAlignment="1">
      <alignment horizontal="left"/>
    </xf>
    <xf numFmtId="0" fontId="33" fillId="36" borderId="24" xfId="0" applyFont="1" applyFill="1" applyBorder="1" applyAlignment="1">
      <alignment horizontal="right" wrapText="1"/>
    </xf>
    <xf numFmtId="0" fontId="40" fillId="11" borderId="31" xfId="1" applyFont="1" applyFill="1" applyBorder="1" applyAlignment="1">
      <alignment wrapText="1"/>
    </xf>
    <xf numFmtId="165" fontId="5" fillId="0" borderId="29" xfId="0" applyNumberFormat="1" applyFont="1" applyBorder="1" applyAlignment="1">
      <alignment horizontal="left"/>
    </xf>
    <xf numFmtId="165" fontId="5" fillId="0" borderId="59" xfId="0" applyNumberFormat="1" applyFont="1" applyBorder="1" applyAlignment="1">
      <alignment horizontal="left"/>
    </xf>
    <xf numFmtId="165" fontId="5" fillId="0" borderId="30" xfId="0" applyNumberFormat="1" applyFont="1" applyBorder="1" applyAlignment="1">
      <alignment horizontal="left"/>
    </xf>
    <xf numFmtId="0" fontId="1" fillId="0" borderId="0" xfId="0" applyFont="1" applyAlignment="1">
      <alignment horizontal="center"/>
    </xf>
    <xf numFmtId="168" fontId="1" fillId="0" borderId="0" xfId="0" applyNumberFormat="1" applyFont="1"/>
    <xf numFmtId="170" fontId="0" fillId="0" borderId="0" xfId="0" applyNumberFormat="1"/>
    <xf numFmtId="10" fontId="1" fillId="0" borderId="0" xfId="0" applyNumberFormat="1" applyFont="1" applyAlignment="1">
      <alignment horizontal="center"/>
    </xf>
    <xf numFmtId="0" fontId="13" fillId="36" borderId="24" xfId="1" applyFill="1" applyBorder="1" applyAlignment="1">
      <alignment horizontal="right"/>
    </xf>
    <xf numFmtId="0" fontId="13" fillId="56" borderId="24" xfId="1" applyFill="1" applyBorder="1"/>
    <xf numFmtId="0" fontId="35" fillId="0" borderId="24" xfId="0" applyFont="1" applyBorder="1" applyAlignment="1">
      <alignment wrapText="1"/>
    </xf>
    <xf numFmtId="0" fontId="8" fillId="28" borderId="60" xfId="0" applyFont="1" applyFill="1" applyBorder="1"/>
    <xf numFmtId="0" fontId="8" fillId="31" borderId="60" xfId="0" applyFont="1" applyFill="1" applyBorder="1"/>
    <xf numFmtId="0" fontId="0" fillId="0" borderId="60" xfId="0" applyBorder="1"/>
    <xf numFmtId="0" fontId="0" fillId="0" borderId="60" xfId="0" applyBorder="1" applyAlignment="1">
      <alignment horizontal="center"/>
    </xf>
    <xf numFmtId="0" fontId="0" fillId="32" borderId="60" xfId="0" applyFill="1" applyBorder="1"/>
    <xf numFmtId="9" fontId="0" fillId="0" borderId="60" xfId="0" applyNumberFormat="1" applyBorder="1" applyAlignment="1">
      <alignment horizontal="center"/>
    </xf>
    <xf numFmtId="0" fontId="1" fillId="29" borderId="60" xfId="0" applyFont="1" applyFill="1" applyBorder="1"/>
    <xf numFmtId="0" fontId="1" fillId="29" borderId="60" xfId="0" applyFont="1" applyFill="1" applyBorder="1" applyAlignment="1">
      <alignment horizontal="center"/>
    </xf>
    <xf numFmtId="0" fontId="1" fillId="6" borderId="60" xfId="0" applyFont="1" applyFill="1" applyBorder="1"/>
    <xf numFmtId="0" fontId="6" fillId="11" borderId="60" xfId="0" applyFont="1" applyFill="1" applyBorder="1" applyAlignment="1">
      <alignment horizontal="left" vertical="center"/>
    </xf>
    <xf numFmtId="0" fontId="0" fillId="0" borderId="61" xfId="0" applyBorder="1"/>
    <xf numFmtId="0" fontId="0" fillId="0" borderId="62" xfId="0" applyBorder="1"/>
    <xf numFmtId="0" fontId="13" fillId="37" borderId="24" xfId="1" applyFill="1" applyBorder="1" applyAlignment="1">
      <alignment horizontal="left" vertical="center"/>
    </xf>
    <xf numFmtId="0" fontId="33" fillId="36" borderId="47" xfId="0" applyFont="1" applyFill="1" applyBorder="1" applyAlignment="1">
      <alignment horizontal="left"/>
    </xf>
    <xf numFmtId="0" fontId="39" fillId="37" borderId="47" xfId="0" applyFont="1" applyFill="1" applyBorder="1" applyAlignment="1">
      <alignment horizontal="left" vertical="center"/>
    </xf>
    <xf numFmtId="0" fontId="33" fillId="37" borderId="47" xfId="0" applyFont="1" applyFill="1" applyBorder="1" applyAlignment="1">
      <alignment horizontal="left"/>
    </xf>
    <xf numFmtId="0" fontId="43" fillId="56" borderId="47" xfId="0" applyFont="1" applyFill="1" applyBorder="1" applyAlignment="1">
      <alignment horizontal="left"/>
    </xf>
    <xf numFmtId="0" fontId="58" fillId="36" borderId="24" xfId="0" applyFont="1" applyFill="1" applyBorder="1" applyAlignment="1">
      <alignment horizontal="right" wrapText="1"/>
    </xf>
    <xf numFmtId="4" fontId="62" fillId="36" borderId="24" xfId="1" applyNumberFormat="1" applyFont="1" applyFill="1" applyBorder="1" applyAlignment="1">
      <alignment horizontal="right"/>
    </xf>
    <xf numFmtId="2" fontId="33" fillId="37" borderId="32" xfId="0" applyNumberFormat="1" applyFont="1" applyFill="1" applyBorder="1"/>
    <xf numFmtId="168" fontId="41" fillId="37" borderId="24" xfId="0" applyNumberFormat="1" applyFont="1" applyFill="1" applyBorder="1"/>
    <xf numFmtId="2" fontId="34" fillId="37" borderId="54" xfId="0" applyNumberFormat="1" applyFont="1" applyFill="1" applyBorder="1"/>
    <xf numFmtId="1" fontId="33" fillId="36" borderId="35" xfId="0" applyNumberFormat="1" applyFont="1" applyFill="1" applyBorder="1"/>
    <xf numFmtId="0" fontId="33" fillId="37" borderId="45" xfId="0" applyFont="1" applyFill="1" applyBorder="1"/>
    <xf numFmtId="0" fontId="43" fillId="37" borderId="33" xfId="0" applyFont="1" applyFill="1" applyBorder="1"/>
    <xf numFmtId="168" fontId="33" fillId="60" borderId="0" xfId="0" applyNumberFormat="1" applyFont="1" applyFill="1"/>
    <xf numFmtId="168" fontId="42" fillId="61" borderId="0" xfId="0" applyNumberFormat="1" applyFont="1" applyFill="1"/>
    <xf numFmtId="168" fontId="41" fillId="60" borderId="0" xfId="0" applyNumberFormat="1" applyFont="1" applyFill="1"/>
    <xf numFmtId="168" fontId="42" fillId="60" borderId="0" xfId="0" applyNumberFormat="1" applyFont="1" applyFill="1"/>
    <xf numFmtId="168" fontId="43" fillId="61" borderId="0" xfId="0" applyNumberFormat="1" applyFont="1" applyFill="1"/>
    <xf numFmtId="168" fontId="41" fillId="61" borderId="0" xfId="0" applyNumberFormat="1" applyFont="1" applyFill="1"/>
    <xf numFmtId="168" fontId="34" fillId="60" borderId="0" xfId="0" applyNumberFormat="1" applyFont="1" applyFill="1"/>
    <xf numFmtId="168" fontId="44" fillId="60" borderId="0" xfId="0" applyNumberFormat="1" applyFont="1" applyFill="1"/>
    <xf numFmtId="168" fontId="44" fillId="61" borderId="0" xfId="0" applyNumberFormat="1" applyFont="1" applyFill="1"/>
    <xf numFmtId="168" fontId="45" fillId="61" borderId="0" xfId="0" applyNumberFormat="1" applyFont="1" applyFill="1"/>
    <xf numFmtId="168" fontId="45" fillId="60" borderId="0" xfId="0" applyNumberFormat="1" applyFont="1" applyFill="1"/>
    <xf numFmtId="168" fontId="41" fillId="60" borderId="63" xfId="0" applyNumberFormat="1" applyFont="1" applyFill="1" applyBorder="1"/>
    <xf numFmtId="168" fontId="41" fillId="61" borderId="63" xfId="0" applyNumberFormat="1" applyFont="1" applyFill="1" applyBorder="1"/>
    <xf numFmtId="168" fontId="43" fillId="60" borderId="63" xfId="0" applyNumberFormat="1" applyFont="1" applyFill="1" applyBorder="1"/>
    <xf numFmtId="168" fontId="33" fillId="61" borderId="63" xfId="0" applyNumberFormat="1" applyFont="1" applyFill="1" applyBorder="1"/>
    <xf numFmtId="0" fontId="34" fillId="36" borderId="0" xfId="0" applyFont="1" applyFill="1"/>
    <xf numFmtId="0" fontId="34" fillId="0" borderId="24" xfId="0" applyFont="1" applyBorder="1" applyAlignment="1">
      <alignment horizontal="right"/>
    </xf>
    <xf numFmtId="168" fontId="39" fillId="36" borderId="47" xfId="0" applyNumberFormat="1" applyFont="1" applyFill="1" applyBorder="1" applyAlignment="1">
      <alignment horizontal="center" vertical="center"/>
    </xf>
    <xf numFmtId="0" fontId="58" fillId="36" borderId="0" xfId="0" applyFont="1" applyFill="1" applyAlignment="1">
      <alignment horizontal="right"/>
    </xf>
    <xf numFmtId="168" fontId="34" fillId="36" borderId="24" xfId="0" applyNumberFormat="1" applyFont="1" applyFill="1" applyBorder="1"/>
    <xf numFmtId="168" fontId="39" fillId="37" borderId="32" xfId="0" applyNumberFormat="1" applyFont="1" applyFill="1" applyBorder="1"/>
    <xf numFmtId="2" fontId="34" fillId="36" borderId="32" xfId="0" applyNumberFormat="1" applyFont="1" applyFill="1" applyBorder="1"/>
    <xf numFmtId="168" fontId="42" fillId="57" borderId="56" xfId="0" applyNumberFormat="1" applyFont="1" applyFill="1" applyBorder="1"/>
    <xf numFmtId="168" fontId="42" fillId="56" borderId="56" xfId="0" applyNumberFormat="1" applyFont="1" applyFill="1" applyBorder="1"/>
    <xf numFmtId="168" fontId="43" fillId="57" borderId="35" xfId="0" applyNumberFormat="1" applyFont="1" applyFill="1" applyBorder="1"/>
    <xf numFmtId="168" fontId="33" fillId="60" borderId="63" xfId="0" applyNumberFormat="1" applyFont="1" applyFill="1" applyBorder="1"/>
    <xf numFmtId="168" fontId="43" fillId="61" borderId="63" xfId="0" applyNumberFormat="1" applyFont="1" applyFill="1" applyBorder="1"/>
    <xf numFmtId="0" fontId="43" fillId="16" borderId="0" xfId="0" applyFont="1" applyFill="1"/>
    <xf numFmtId="0" fontId="40" fillId="36" borderId="31" xfId="1" applyFont="1" applyFill="1" applyBorder="1" applyAlignment="1">
      <alignment horizontal="left" vertical="center"/>
    </xf>
    <xf numFmtId="168" fontId="33" fillId="37" borderId="0" xfId="0" applyNumberFormat="1" applyFont="1" applyFill="1"/>
    <xf numFmtId="168" fontId="33" fillId="61" borderId="0" xfId="0" applyNumberFormat="1" applyFont="1" applyFill="1"/>
    <xf numFmtId="0" fontId="34" fillId="11" borderId="0" xfId="0" applyFont="1" applyFill="1"/>
    <xf numFmtId="0" fontId="39" fillId="36" borderId="0" xfId="0" applyFont="1" applyFill="1" applyAlignment="1">
      <alignment horizontal="left" vertical="center"/>
    </xf>
    <xf numFmtId="0" fontId="41" fillId="36" borderId="31" xfId="0" applyFont="1" applyFill="1" applyBorder="1" applyAlignment="1">
      <alignment horizontal="left" vertical="center"/>
    </xf>
    <xf numFmtId="0" fontId="39" fillId="37" borderId="46" xfId="0" applyFont="1" applyFill="1" applyBorder="1" applyAlignment="1">
      <alignment horizontal="left" vertical="center"/>
    </xf>
    <xf numFmtId="0" fontId="40" fillId="24" borderId="31" xfId="1" applyFont="1" applyFill="1" applyBorder="1" applyAlignment="1">
      <alignment horizontal="left" vertical="center"/>
    </xf>
    <xf numFmtId="0" fontId="13" fillId="11" borderId="31" xfId="1" applyFill="1" applyBorder="1" applyAlignment="1">
      <alignment horizontal="left" vertical="center"/>
    </xf>
    <xf numFmtId="0" fontId="40" fillId="23" borderId="32" xfId="1" applyFont="1" applyFill="1" applyBorder="1" applyAlignment="1">
      <alignment horizontal="left"/>
    </xf>
    <xf numFmtId="0" fontId="33" fillId="36" borderId="32" xfId="0" applyFont="1" applyFill="1" applyBorder="1" applyAlignment="1">
      <alignment horizontal="left"/>
    </xf>
    <xf numFmtId="0" fontId="39" fillId="37" borderId="0" xfId="0" applyFont="1" applyFill="1" applyAlignment="1">
      <alignment horizontal="left" vertical="center"/>
    </xf>
    <xf numFmtId="0" fontId="33" fillId="36" borderId="0" xfId="0" applyFont="1" applyFill="1" applyAlignment="1">
      <alignment horizontal="left"/>
    </xf>
    <xf numFmtId="0" fontId="43" fillId="37" borderId="47" xfId="0" applyFont="1" applyFill="1" applyBorder="1" applyAlignment="1">
      <alignment horizontal="left"/>
    </xf>
    <xf numFmtId="0" fontId="33" fillId="37" borderId="0" xfId="0" applyFont="1" applyFill="1" applyAlignment="1">
      <alignment horizontal="left"/>
    </xf>
    <xf numFmtId="0" fontId="39" fillId="37" borderId="57" xfId="0" applyFont="1" applyFill="1" applyBorder="1" applyAlignment="1">
      <alignment horizontal="left" vertical="center"/>
    </xf>
    <xf numFmtId="0" fontId="33" fillId="36" borderId="31" xfId="0" applyFont="1" applyFill="1" applyBorder="1" applyAlignment="1">
      <alignment horizontal="left"/>
    </xf>
    <xf numFmtId="0" fontId="41" fillId="36" borderId="0" xfId="0" applyFont="1" applyFill="1" applyAlignment="1">
      <alignment horizontal="left"/>
    </xf>
    <xf numFmtId="0" fontId="39" fillId="36" borderId="0" xfId="0" applyFont="1" applyFill="1" applyAlignment="1">
      <alignment horizontal="left"/>
    </xf>
    <xf numFmtId="0" fontId="39" fillId="37" borderId="0" xfId="0" applyFont="1" applyFill="1" applyAlignment="1">
      <alignment horizontal="left"/>
    </xf>
    <xf numFmtId="0" fontId="41" fillId="37" borderId="0" xfId="0" applyFont="1" applyFill="1" applyAlignment="1">
      <alignment horizontal="left"/>
    </xf>
    <xf numFmtId="0" fontId="39" fillId="37" borderId="46" xfId="0" applyFont="1" applyFill="1" applyBorder="1" applyAlignment="1">
      <alignment horizontal="left"/>
    </xf>
    <xf numFmtId="0" fontId="41" fillId="37" borderId="47" xfId="0" applyFont="1" applyFill="1" applyBorder="1" applyAlignment="1">
      <alignment horizontal="left"/>
    </xf>
    <xf numFmtId="0" fontId="33" fillId="37" borderId="24" xfId="0" applyFont="1" applyFill="1" applyBorder="1" applyAlignment="1">
      <alignment horizontal="right" wrapText="1"/>
    </xf>
    <xf numFmtId="0" fontId="58" fillId="37" borderId="0" xfId="0" applyFont="1" applyFill="1" applyAlignment="1">
      <alignment horizontal="center"/>
    </xf>
    <xf numFmtId="0" fontId="58" fillId="37" borderId="0" xfId="0" applyFont="1" applyFill="1" applyAlignment="1">
      <alignment horizontal="right"/>
    </xf>
    <xf numFmtId="0" fontId="58" fillId="37" borderId="24" xfId="0" applyFont="1" applyFill="1" applyBorder="1" applyAlignment="1">
      <alignment horizontal="right" wrapText="1"/>
    </xf>
    <xf numFmtId="0" fontId="58" fillId="36" borderId="0" xfId="0" applyFont="1" applyFill="1" applyAlignment="1">
      <alignment horizontal="center"/>
    </xf>
    <xf numFmtId="0" fontId="58" fillId="37" borderId="46" xfId="0" applyFont="1" applyFill="1" applyBorder="1" applyAlignment="1">
      <alignment horizontal="center"/>
    </xf>
    <xf numFmtId="49" fontId="58" fillId="36" borderId="31" xfId="0" applyNumberFormat="1" applyFont="1" applyFill="1" applyBorder="1" applyAlignment="1">
      <alignment horizontal="right"/>
    </xf>
    <xf numFmtId="0" fontId="60" fillId="36" borderId="0" xfId="0" applyFont="1" applyFill="1" applyAlignment="1">
      <alignment horizontal="center"/>
    </xf>
    <xf numFmtId="0" fontId="63" fillId="0" borderId="31" xfId="0" applyFont="1" applyBorder="1"/>
    <xf numFmtId="0" fontId="62" fillId="36" borderId="24" xfId="1" applyFont="1" applyFill="1" applyBorder="1" applyAlignment="1">
      <alignment horizontal="center" vertical="center"/>
    </xf>
    <xf numFmtId="0" fontId="33" fillId="36" borderId="0" xfId="0" applyFont="1" applyFill="1" applyAlignment="1">
      <alignment horizontal="right"/>
    </xf>
    <xf numFmtId="0" fontId="33" fillId="37" borderId="0" xfId="0" applyFont="1" applyFill="1" applyAlignment="1">
      <alignment horizontal="center"/>
    </xf>
    <xf numFmtId="0" fontId="34" fillId="36" borderId="0" xfId="0" applyFont="1" applyFill="1" applyAlignment="1">
      <alignment horizontal="center"/>
    </xf>
    <xf numFmtId="0" fontId="53" fillId="0" borderId="31" xfId="0" applyFont="1" applyBorder="1"/>
    <xf numFmtId="0" fontId="33" fillId="37" borderId="0" xfId="0" applyFont="1" applyFill="1" applyAlignment="1">
      <alignment horizontal="right"/>
    </xf>
    <xf numFmtId="0" fontId="33" fillId="36" borderId="0" xfId="0" applyFont="1" applyFill="1" applyAlignment="1">
      <alignment horizontal="center"/>
    </xf>
    <xf numFmtId="0" fontId="13" fillId="0" borderId="31" xfId="1" applyBorder="1"/>
    <xf numFmtId="0" fontId="33" fillId="37" borderId="46" xfId="0" applyFont="1" applyFill="1" applyBorder="1" applyAlignment="1">
      <alignment horizontal="right"/>
    </xf>
    <xf numFmtId="168" fontId="43" fillId="36" borderId="0" xfId="0" applyNumberFormat="1" applyFont="1" applyFill="1"/>
    <xf numFmtId="168" fontId="33" fillId="36" borderId="0" xfId="0" applyNumberFormat="1" applyFont="1" applyFill="1" applyAlignment="1">
      <alignment horizontal="right"/>
    </xf>
    <xf numFmtId="168" fontId="39" fillId="37" borderId="0" xfId="0" applyNumberFormat="1" applyFont="1" applyFill="1" applyAlignment="1">
      <alignment horizontal="right"/>
    </xf>
    <xf numFmtId="168" fontId="39" fillId="36" borderId="0" xfId="0" applyNumberFormat="1" applyFont="1" applyFill="1" applyAlignment="1">
      <alignment horizontal="right"/>
    </xf>
    <xf numFmtId="168" fontId="52" fillId="36" borderId="31" xfId="0" applyNumberFormat="1" applyFont="1" applyFill="1" applyBorder="1" applyAlignment="1">
      <alignment horizontal="right"/>
    </xf>
    <xf numFmtId="168" fontId="43" fillId="37" borderId="0" xfId="0" applyNumberFormat="1" applyFont="1" applyFill="1"/>
    <xf numFmtId="168" fontId="33" fillId="37" borderId="0" xfId="0" applyNumberFormat="1" applyFont="1" applyFill="1" applyAlignment="1">
      <alignment horizontal="right"/>
    </xf>
    <xf numFmtId="168" fontId="33" fillId="36" borderId="31" xfId="0" applyNumberFormat="1" applyFont="1" applyFill="1" applyBorder="1"/>
    <xf numFmtId="168" fontId="52" fillId="37" borderId="0" xfId="0" applyNumberFormat="1" applyFont="1" applyFill="1" applyAlignment="1">
      <alignment horizontal="right"/>
    </xf>
    <xf numFmtId="168" fontId="39" fillId="37" borderId="47" xfId="0" applyNumberFormat="1" applyFont="1" applyFill="1" applyBorder="1" applyAlignment="1">
      <alignment horizontal="right"/>
    </xf>
    <xf numFmtId="2" fontId="33" fillId="36" borderId="0" xfId="0" applyNumberFormat="1" applyFont="1" applyFill="1"/>
    <xf numFmtId="168" fontId="41" fillId="37" borderId="0" xfId="0" applyNumberFormat="1" applyFont="1" applyFill="1"/>
    <xf numFmtId="168" fontId="41" fillId="36" borderId="0" xfId="0" applyNumberFormat="1" applyFont="1" applyFill="1"/>
    <xf numFmtId="168" fontId="39" fillId="36" borderId="31" xfId="0" applyNumberFormat="1" applyFont="1" applyFill="1" applyBorder="1"/>
    <xf numFmtId="2" fontId="33" fillId="37" borderId="0" xfId="0" applyNumberFormat="1" applyFont="1" applyFill="1"/>
    <xf numFmtId="168" fontId="43" fillId="36" borderId="31" xfId="0" applyNumberFormat="1" applyFont="1" applyFill="1" applyBorder="1"/>
    <xf numFmtId="168" fontId="41" fillId="37" borderId="47" xfId="0" applyNumberFormat="1" applyFont="1" applyFill="1" applyBorder="1"/>
    <xf numFmtId="2" fontId="39" fillId="0" borderId="54" xfId="0" applyNumberFormat="1" applyFont="1" applyBorder="1"/>
    <xf numFmtId="0" fontId="39" fillId="0" borderId="24" xfId="0" applyFont="1" applyBorder="1"/>
    <xf numFmtId="0" fontId="46" fillId="57" borderId="24" xfId="0" applyFont="1" applyFill="1" applyBorder="1"/>
    <xf numFmtId="168" fontId="39" fillId="56" borderId="35" xfId="0" applyNumberFormat="1" applyFont="1" applyFill="1" applyBorder="1"/>
    <xf numFmtId="168" fontId="45" fillId="57" borderId="35" xfId="0" applyNumberFormat="1" applyFont="1" applyFill="1" applyBorder="1"/>
    <xf numFmtId="168" fontId="45" fillId="56" borderId="56" xfId="0" applyNumberFormat="1" applyFont="1" applyFill="1" applyBorder="1"/>
    <xf numFmtId="168" fontId="43" fillId="56" borderId="0" xfId="0" applyNumberFormat="1" applyFont="1" applyFill="1"/>
    <xf numFmtId="168" fontId="45" fillId="56" borderId="35" xfId="0" applyNumberFormat="1" applyFont="1" applyFill="1" applyBorder="1"/>
    <xf numFmtId="168" fontId="41" fillId="56" borderId="33" xfId="0" applyNumberFormat="1" applyFont="1" applyFill="1" applyBorder="1"/>
    <xf numFmtId="168" fontId="33" fillId="37" borderId="56" xfId="0" applyNumberFormat="1" applyFont="1" applyFill="1" applyBorder="1"/>
    <xf numFmtId="168" fontId="41" fillId="56" borderId="55" xfId="0" applyNumberFormat="1" applyFont="1" applyFill="1" applyBorder="1"/>
    <xf numFmtId="168" fontId="34" fillId="60" borderId="63" xfId="0" applyNumberFormat="1" applyFont="1" applyFill="1" applyBorder="1"/>
    <xf numFmtId="168" fontId="45" fillId="61" borderId="63" xfId="0" applyNumberFormat="1" applyFont="1" applyFill="1" applyBorder="1"/>
    <xf numFmtId="168" fontId="43" fillId="60" borderId="0" xfId="0" applyNumberFormat="1" applyFont="1" applyFill="1"/>
    <xf numFmtId="168" fontId="45" fillId="60" borderId="63" xfId="0" applyNumberFormat="1" applyFont="1" applyFill="1" applyBorder="1"/>
    <xf numFmtId="1" fontId="33" fillId="37" borderId="35" xfId="0" applyNumberFormat="1" applyFont="1" applyFill="1" applyBorder="1"/>
    <xf numFmtId="0" fontId="43" fillId="18" borderId="32" xfId="0" applyFont="1" applyFill="1" applyBorder="1"/>
    <xf numFmtId="0" fontId="34" fillId="36" borderId="32" xfId="0" applyFont="1" applyFill="1" applyBorder="1"/>
    <xf numFmtId="0" fontId="43" fillId="6" borderId="24" xfId="0" applyFont="1" applyFill="1" applyBorder="1"/>
    <xf numFmtId="0" fontId="33" fillId="0" borderId="0" xfId="0" applyFont="1"/>
    <xf numFmtId="0" fontId="34" fillId="36" borderId="31" xfId="0" applyFont="1" applyFill="1" applyBorder="1"/>
    <xf numFmtId="0" fontId="71" fillId="33" borderId="0" xfId="0" applyFont="1" applyFill="1" applyAlignment="1">
      <alignment vertical="top"/>
    </xf>
    <xf numFmtId="0" fontId="73" fillId="62" borderId="0" xfId="0" applyFont="1" applyFill="1" applyAlignment="1">
      <alignment vertical="center"/>
    </xf>
    <xf numFmtId="0" fontId="74" fillId="63" borderId="65" xfId="0" applyFont="1" applyFill="1" applyBorder="1" applyAlignment="1">
      <alignment horizontal="center" vertical="center" wrapText="1"/>
    </xf>
    <xf numFmtId="0" fontId="74" fillId="63" borderId="64" xfId="0" applyFont="1" applyFill="1" applyBorder="1" applyAlignment="1">
      <alignment horizontal="left" vertical="center" wrapText="1"/>
    </xf>
    <xf numFmtId="2" fontId="70" fillId="33" borderId="32" xfId="0" applyNumberFormat="1" applyFont="1" applyFill="1" applyBorder="1" applyAlignment="1">
      <alignment horizontal="right" vertical="top"/>
    </xf>
    <xf numFmtId="0" fontId="68" fillId="64" borderId="0" xfId="0" applyFont="1" applyFill="1" applyAlignment="1">
      <alignment horizontal="center" vertical="center" wrapText="1"/>
    </xf>
    <xf numFmtId="0" fontId="12" fillId="0" borderId="66" xfId="0" applyFont="1" applyBorder="1" applyAlignment="1">
      <alignment horizontal="left"/>
    </xf>
    <xf numFmtId="0" fontId="12" fillId="0" borderId="67" xfId="0" applyFont="1" applyBorder="1" applyAlignment="1">
      <alignment horizontal="left"/>
    </xf>
    <xf numFmtId="0" fontId="66" fillId="0" borderId="67" xfId="0" applyFont="1" applyBorder="1" applyAlignment="1">
      <alignment horizontal="left"/>
    </xf>
    <xf numFmtId="0" fontId="72" fillId="33" borderId="67" xfId="0" applyFont="1" applyFill="1" applyBorder="1" applyAlignment="1">
      <alignment horizontal="left" vertical="top"/>
    </xf>
    <xf numFmtId="0" fontId="71" fillId="33" borderId="67" xfId="0" applyFont="1" applyFill="1" applyBorder="1" applyAlignment="1">
      <alignment horizontal="left" vertical="top"/>
    </xf>
    <xf numFmtId="0" fontId="66" fillId="0" borderId="68" xfId="0" applyFont="1" applyBorder="1" applyAlignment="1">
      <alignment horizontal="left"/>
    </xf>
    <xf numFmtId="0" fontId="12" fillId="0" borderId="68" xfId="0" applyFont="1" applyBorder="1" applyAlignment="1">
      <alignment horizontal="left"/>
    </xf>
    <xf numFmtId="0" fontId="12" fillId="0" borderId="66" xfId="0" applyFont="1" applyBorder="1" applyAlignment="1">
      <alignment horizontal="left" vertical="top" wrapText="1"/>
    </xf>
    <xf numFmtId="0" fontId="12" fillId="0" borderId="67" xfId="0" applyFont="1" applyBorder="1" applyAlignment="1">
      <alignment horizontal="left" vertical="top" wrapText="1"/>
    </xf>
    <xf numFmtId="0" fontId="12" fillId="0" borderId="67" xfId="0" applyFont="1" applyBorder="1" applyAlignment="1">
      <alignment horizontal="left" vertical="top"/>
    </xf>
    <xf numFmtId="0" fontId="12" fillId="0" borderId="68" xfId="0" applyFont="1" applyBorder="1" applyAlignment="1">
      <alignment horizontal="left" vertical="top" wrapText="1"/>
    </xf>
    <xf numFmtId="0" fontId="12" fillId="0" borderId="66" xfId="0" applyFont="1" applyBorder="1" applyAlignment="1">
      <alignment horizontal="left" vertical="center"/>
    </xf>
    <xf numFmtId="0" fontId="12" fillId="0" borderId="67" xfId="0" applyFont="1" applyBorder="1" applyAlignment="1">
      <alignment horizontal="left" vertical="center"/>
    </xf>
    <xf numFmtId="0" fontId="71" fillId="33" borderId="67" xfId="0" applyFont="1" applyFill="1" applyBorder="1" applyAlignment="1">
      <alignment horizontal="left" vertical="center"/>
    </xf>
    <xf numFmtId="0" fontId="12" fillId="0" borderId="68" xfId="0" applyFont="1" applyBorder="1" applyAlignment="1">
      <alignment horizontal="left" vertical="center"/>
    </xf>
    <xf numFmtId="3" fontId="12" fillId="0" borderId="66" xfId="0" applyNumberFormat="1" applyFont="1" applyBorder="1" applyAlignment="1">
      <alignment horizontal="right" vertical="center"/>
    </xf>
    <xf numFmtId="168" fontId="12" fillId="0" borderId="66" xfId="0" applyNumberFormat="1" applyFont="1" applyBorder="1" applyAlignment="1">
      <alignment horizontal="right" vertical="center"/>
    </xf>
    <xf numFmtId="3" fontId="12" fillId="0" borderId="67" xfId="0" applyNumberFormat="1" applyFont="1" applyBorder="1" applyAlignment="1">
      <alignment horizontal="right" vertical="center"/>
    </xf>
    <xf numFmtId="168" fontId="12" fillId="0" borderId="67" xfId="0" applyNumberFormat="1" applyFont="1" applyBorder="1" applyAlignment="1">
      <alignment horizontal="right" vertical="center"/>
    </xf>
    <xf numFmtId="168" fontId="67" fillId="35" borderId="67" xfId="0" applyNumberFormat="1" applyFont="1" applyFill="1" applyBorder="1" applyAlignment="1">
      <alignment horizontal="right" vertical="center"/>
    </xf>
    <xf numFmtId="3" fontId="71" fillId="33" borderId="67" xfId="0" applyNumberFormat="1" applyFont="1" applyFill="1" applyBorder="1" applyAlignment="1">
      <alignment horizontal="right" vertical="center"/>
    </xf>
    <xf numFmtId="168" fontId="71" fillId="33" borderId="67" xfId="0" applyNumberFormat="1" applyFont="1" applyFill="1" applyBorder="1" applyAlignment="1">
      <alignment horizontal="right" vertical="center"/>
    </xf>
    <xf numFmtId="168" fontId="70" fillId="33" borderId="67" xfId="0" applyNumberFormat="1" applyFont="1" applyFill="1" applyBorder="1" applyAlignment="1">
      <alignment horizontal="right" vertical="center"/>
    </xf>
    <xf numFmtId="3" fontId="12" fillId="0" borderId="68" xfId="0" applyNumberFormat="1" applyFont="1" applyBorder="1" applyAlignment="1">
      <alignment horizontal="right" vertical="center"/>
    </xf>
    <xf numFmtId="168" fontId="12" fillId="0" borderId="68" xfId="0" applyNumberFormat="1" applyFont="1" applyBorder="1" applyAlignment="1">
      <alignment horizontal="right" vertical="center"/>
    </xf>
    <xf numFmtId="0" fontId="71" fillId="33" borderId="67" xfId="0" applyFont="1" applyFill="1" applyBorder="1" applyAlignment="1">
      <alignment horizontal="left" vertical="top" wrapText="1"/>
    </xf>
    <xf numFmtId="0" fontId="12" fillId="0" borderId="66" xfId="0" applyFont="1" applyBorder="1" applyAlignment="1">
      <alignment horizontal="left" wrapText="1"/>
    </xf>
    <xf numFmtId="0" fontId="12" fillId="0" borderId="67" xfId="0" applyFont="1" applyBorder="1" applyAlignment="1">
      <alignment horizontal="left" wrapText="1"/>
    </xf>
    <xf numFmtId="0" fontId="12" fillId="0" borderId="68" xfId="0" applyFont="1" applyBorder="1" applyAlignment="1">
      <alignment horizontal="left" wrapText="1"/>
    </xf>
    <xf numFmtId="0" fontId="69" fillId="65" borderId="0" xfId="0" applyFont="1" applyFill="1" applyAlignment="1">
      <alignment horizontal="center" vertical="center" wrapText="1"/>
    </xf>
    <xf numFmtId="168" fontId="69" fillId="65" borderId="0" xfId="0" applyNumberFormat="1" applyFont="1" applyFill="1" applyAlignment="1">
      <alignment horizontal="right" vertical="top"/>
    </xf>
    <xf numFmtId="0" fontId="69" fillId="66" borderId="0" xfId="0" applyFont="1" applyFill="1" applyAlignment="1">
      <alignment horizontal="center" vertical="center" wrapText="1"/>
    </xf>
    <xf numFmtId="168" fontId="69" fillId="66" borderId="0" xfId="0" applyNumberFormat="1" applyFont="1" applyFill="1" applyAlignment="1">
      <alignment horizontal="right" vertical="top"/>
    </xf>
    <xf numFmtId="0" fontId="69" fillId="67" borderId="0" xfId="0" applyFont="1" applyFill="1" applyAlignment="1">
      <alignment horizontal="center" vertical="center" wrapText="1"/>
    </xf>
    <xf numFmtId="168" fontId="69" fillId="67" borderId="0" xfId="0" applyNumberFormat="1" applyFont="1" applyFill="1" applyAlignment="1">
      <alignment horizontal="right" vertical="top"/>
    </xf>
    <xf numFmtId="168" fontId="70" fillId="33" borderId="0" xfId="0" applyNumberFormat="1" applyFont="1" applyFill="1" applyAlignment="1">
      <alignment horizontal="left" vertical="top"/>
    </xf>
    <xf numFmtId="168" fontId="67" fillId="35" borderId="67" xfId="0" applyNumberFormat="1" applyFont="1" applyFill="1" applyBorder="1" applyAlignment="1">
      <alignment vertical="center"/>
    </xf>
    <xf numFmtId="0" fontId="74" fillId="63" borderId="64" xfId="0" applyFont="1" applyFill="1" applyBorder="1" applyAlignment="1">
      <alignment vertical="center" wrapText="1"/>
    </xf>
    <xf numFmtId="168" fontId="70" fillId="33" borderId="0" xfId="0" applyNumberFormat="1" applyFont="1" applyFill="1" applyAlignment="1">
      <alignment vertical="top"/>
    </xf>
    <xf numFmtId="168" fontId="12" fillId="0" borderId="67" xfId="0" applyNumberFormat="1" applyFont="1" applyBorder="1" applyAlignment="1">
      <alignment vertical="center"/>
    </xf>
    <xf numFmtId="168" fontId="67" fillId="35" borderId="67" xfId="0" applyNumberFormat="1" applyFont="1" applyFill="1" applyBorder="1" applyAlignment="1">
      <alignment horizontal="left" vertical="center"/>
    </xf>
    <xf numFmtId="168" fontId="12" fillId="0" borderId="67" xfId="0" applyNumberFormat="1" applyFont="1" applyBorder="1" applyAlignment="1">
      <alignment horizontal="left" vertical="center"/>
    </xf>
    <xf numFmtId="168" fontId="75" fillId="0" borderId="67" xfId="0" applyNumberFormat="1" applyFont="1" applyBorder="1" applyAlignment="1">
      <alignment horizontal="left" vertical="center"/>
    </xf>
    <xf numFmtId="168" fontId="75" fillId="0" borderId="67" xfId="0" applyNumberFormat="1" applyFont="1" applyBorder="1" applyAlignment="1">
      <alignment vertical="center"/>
    </xf>
    <xf numFmtId="0" fontId="45" fillId="55" borderId="24" xfId="0" applyFont="1" applyFill="1" applyBorder="1"/>
    <xf numFmtId="0" fontId="45" fillId="54" borderId="24" xfId="0" applyFont="1" applyFill="1" applyBorder="1" applyAlignment="1">
      <alignment horizontal="center"/>
    </xf>
    <xf numFmtId="0" fontId="45" fillId="54" borderId="24" xfId="0" applyFont="1" applyFill="1" applyBorder="1" applyAlignment="1">
      <alignment horizontal="right"/>
    </xf>
    <xf numFmtId="0" fontId="45" fillId="54" borderId="24" xfId="0" applyFont="1" applyFill="1" applyBorder="1"/>
    <xf numFmtId="168" fontId="41" fillId="54" borderId="47" xfId="0" applyNumberFormat="1" applyFont="1" applyFill="1" applyBorder="1" applyAlignment="1">
      <alignment horizontal="center" vertical="center"/>
    </xf>
    <xf numFmtId="0" fontId="41" fillId="54" borderId="24" xfId="0" applyFont="1" applyFill="1" applyBorder="1" applyAlignment="1">
      <alignment horizontal="right"/>
    </xf>
    <xf numFmtId="0" fontId="45" fillId="54" borderId="0" xfId="0" applyFont="1" applyFill="1"/>
    <xf numFmtId="0" fontId="41" fillId="54" borderId="54" xfId="0" applyFont="1" applyFill="1" applyBorder="1"/>
    <xf numFmtId="168" fontId="41" fillId="54" borderId="56" xfId="0" applyNumberFormat="1" applyFont="1" applyFill="1" applyBorder="1"/>
    <xf numFmtId="168" fontId="41" fillId="54" borderId="0" xfId="0" applyNumberFormat="1" applyFont="1" applyFill="1"/>
    <xf numFmtId="1" fontId="45" fillId="54" borderId="24" xfId="0" applyNumberFormat="1" applyFont="1" applyFill="1" applyBorder="1"/>
    <xf numFmtId="0" fontId="45" fillId="54" borderId="32" xfId="0" applyFont="1" applyFill="1" applyBorder="1"/>
    <xf numFmtId="0" fontId="45" fillId="54" borderId="0" xfId="0" applyFont="1" applyFill="1" applyAlignment="1">
      <alignment horizontal="left"/>
    </xf>
    <xf numFmtId="0" fontId="45" fillId="54" borderId="31" xfId="0" applyFont="1" applyFill="1" applyBorder="1"/>
    <xf numFmtId="0" fontId="74" fillId="63" borderId="69" xfId="0" applyFont="1" applyFill="1" applyBorder="1" applyAlignment="1">
      <alignment vertical="center" wrapText="1"/>
    </xf>
    <xf numFmtId="168" fontId="70" fillId="33" borderId="48" xfId="0" applyNumberFormat="1" applyFont="1" applyFill="1" applyBorder="1" applyAlignment="1">
      <alignment vertical="top"/>
    </xf>
    <xf numFmtId="0" fontId="0" fillId="0" borderId="67" xfId="0" applyBorder="1"/>
    <xf numFmtId="0" fontId="66" fillId="0" borderId="0" xfId="0" applyFont="1" applyAlignment="1">
      <alignment horizontal="left"/>
    </xf>
    <xf numFmtId="0" fontId="12" fillId="0" borderId="0" xfId="0" applyFont="1" applyAlignment="1">
      <alignment horizontal="left" vertical="center"/>
    </xf>
    <xf numFmtId="0" fontId="12" fillId="0" borderId="0" xfId="0" applyFont="1" applyAlignment="1">
      <alignment horizontal="left"/>
    </xf>
    <xf numFmtId="3" fontId="12" fillId="0" borderId="0" xfId="0" applyNumberFormat="1" applyFont="1" applyAlignment="1">
      <alignment horizontal="right" vertical="center"/>
    </xf>
    <xf numFmtId="168" fontId="12" fillId="0" borderId="0" xfId="0" applyNumberFormat="1" applyFont="1" applyAlignment="1">
      <alignment horizontal="right" vertical="center"/>
    </xf>
    <xf numFmtId="168" fontId="12" fillId="0" borderId="0" xfId="0" applyNumberFormat="1" applyFont="1" applyAlignment="1">
      <alignment horizontal="left" vertical="center"/>
    </xf>
    <xf numFmtId="0" fontId="0" fillId="0" borderId="67" xfId="0" applyBorder="1" applyAlignment="1">
      <alignment horizontal="left"/>
    </xf>
    <xf numFmtId="0" fontId="0" fillId="0" borderId="67" xfId="0" applyBorder="1" applyAlignment="1">
      <alignment wrapText="1"/>
    </xf>
    <xf numFmtId="0" fontId="12" fillId="0" borderId="0" xfId="0" applyFont="1" applyAlignment="1">
      <alignment horizontal="left" vertical="top" wrapText="1"/>
    </xf>
    <xf numFmtId="0" fontId="12" fillId="0" borderId="0" xfId="0" applyFont="1" applyAlignment="1">
      <alignment horizontal="left" vertical="top"/>
    </xf>
    <xf numFmtId="0" fontId="12" fillId="0" borderId="0" xfId="0" applyFont="1" applyAlignment="1">
      <alignment horizontal="left" wrapText="1"/>
    </xf>
    <xf numFmtId="0" fontId="76" fillId="33" borderId="67" xfId="0" applyFont="1" applyFill="1" applyBorder="1" applyAlignment="1">
      <alignment horizontal="left" vertical="top"/>
    </xf>
    <xf numFmtId="168" fontId="77" fillId="35" borderId="67" xfId="0" applyNumberFormat="1" applyFont="1" applyFill="1" applyBorder="1" applyAlignment="1">
      <alignment horizontal="left" vertical="center"/>
    </xf>
    <xf numFmtId="168" fontId="78" fillId="35" borderId="67" xfId="0" applyNumberFormat="1" applyFont="1" applyFill="1" applyBorder="1" applyAlignment="1">
      <alignment horizontal="left" vertical="center"/>
    </xf>
    <xf numFmtId="0" fontId="79" fillId="35" borderId="24" xfId="1" applyFont="1" applyFill="1" applyBorder="1" applyAlignment="1">
      <alignment horizontal="left" vertical="center"/>
    </xf>
    <xf numFmtId="0" fontId="80" fillId="37" borderId="24" xfId="0" applyFont="1" applyFill="1" applyBorder="1" applyAlignment="1">
      <alignment horizontal="left" vertical="center"/>
    </xf>
    <xf numFmtId="0" fontId="81" fillId="23" borderId="24" xfId="1" applyFont="1" applyFill="1" applyBorder="1" applyAlignment="1">
      <alignment horizontal="left" vertical="center"/>
    </xf>
    <xf numFmtId="0" fontId="81" fillId="7" borderId="24" xfId="1" applyFont="1" applyFill="1" applyBorder="1" applyAlignment="1">
      <alignment horizontal="left" vertical="center"/>
    </xf>
    <xf numFmtId="0" fontId="82" fillId="57" borderId="24" xfId="0" applyFont="1" applyFill="1" applyBorder="1" applyAlignment="1">
      <alignment horizontal="left"/>
    </xf>
    <xf numFmtId="0" fontId="81" fillId="23" borderId="0" xfId="1" applyFont="1" applyFill="1" applyBorder="1" applyAlignment="1">
      <alignment horizontal="left" vertical="center"/>
    </xf>
    <xf numFmtId="0" fontId="41" fillId="23" borderId="24" xfId="0" applyFont="1" applyFill="1" applyBorder="1" applyAlignment="1">
      <alignment horizontal="left" vertical="center"/>
    </xf>
    <xf numFmtId="44" fontId="83" fillId="3" borderId="24" xfId="0" applyNumberFormat="1" applyFont="1" applyFill="1" applyBorder="1" applyAlignment="1">
      <alignment horizontal="right" vertical="center" wrapText="1"/>
    </xf>
    <xf numFmtId="0" fontId="13" fillId="0" borderId="0" xfId="1"/>
    <xf numFmtId="0" fontId="85" fillId="0" borderId="67" xfId="0" applyFont="1" applyBorder="1" applyAlignment="1">
      <alignment horizontal="left" vertical="center"/>
    </xf>
    <xf numFmtId="0" fontId="85" fillId="0" borderId="67" xfId="0" applyFont="1" applyBorder="1" applyAlignment="1">
      <alignment horizontal="left"/>
    </xf>
    <xf numFmtId="1" fontId="33" fillId="11" borderId="24" xfId="0" applyNumberFormat="1" applyFont="1" applyFill="1" applyBorder="1" applyAlignment="1">
      <alignment horizontal="right"/>
    </xf>
    <xf numFmtId="0" fontId="35" fillId="3" borderId="24" xfId="0" applyFont="1" applyFill="1" applyBorder="1" applyAlignment="1">
      <alignment horizontal="right" wrapText="1"/>
    </xf>
    <xf numFmtId="1" fontId="33" fillId="36" borderId="24" xfId="0" applyNumberFormat="1" applyFont="1" applyFill="1" applyBorder="1" applyAlignment="1">
      <alignment horizontal="right"/>
    </xf>
    <xf numFmtId="1" fontId="33" fillId="37" borderId="24" xfId="0" applyNumberFormat="1" applyFont="1" applyFill="1" applyBorder="1" applyAlignment="1">
      <alignment horizontal="right"/>
    </xf>
    <xf numFmtId="1" fontId="43" fillId="36" borderId="24" xfId="0" applyNumberFormat="1" applyFont="1" applyFill="1" applyBorder="1" applyAlignment="1">
      <alignment horizontal="right"/>
    </xf>
    <xf numFmtId="1" fontId="43" fillId="37" borderId="24" xfId="0" applyNumberFormat="1" applyFont="1" applyFill="1" applyBorder="1" applyAlignment="1">
      <alignment horizontal="right"/>
    </xf>
    <xf numFmtId="1" fontId="43" fillId="36" borderId="24" xfId="0" applyNumberFormat="1" applyFont="1" applyFill="1" applyBorder="1" applyAlignment="1">
      <alignment horizontal="right" wrapText="1"/>
    </xf>
    <xf numFmtId="1" fontId="51" fillId="37" borderId="24" xfId="0" applyNumberFormat="1" applyFont="1" applyFill="1" applyBorder="1" applyAlignment="1">
      <alignment horizontal="right"/>
    </xf>
    <xf numFmtId="1" fontId="43" fillId="36" borderId="0" xfId="0" applyNumberFormat="1" applyFont="1" applyFill="1" applyAlignment="1">
      <alignment horizontal="right"/>
    </xf>
    <xf numFmtId="1" fontId="47" fillId="36" borderId="24" xfId="0" applyNumberFormat="1" applyFont="1" applyFill="1" applyBorder="1" applyAlignment="1">
      <alignment horizontal="right"/>
    </xf>
    <xf numFmtId="1" fontId="43" fillId="37" borderId="24" xfId="0" applyNumberFormat="1" applyFont="1" applyFill="1" applyBorder="1" applyAlignment="1">
      <alignment horizontal="right" wrapText="1"/>
    </xf>
    <xf numFmtId="0" fontId="84" fillId="0" borderId="0" xfId="0" applyFont="1" applyAlignment="1">
      <alignment horizontal="right"/>
    </xf>
    <xf numFmtId="1" fontId="45" fillId="54" borderId="24" xfId="0" applyNumberFormat="1" applyFont="1" applyFill="1" applyBorder="1" applyAlignment="1">
      <alignment horizontal="right"/>
    </xf>
    <xf numFmtId="0" fontId="21" fillId="21" borderId="0" xfId="0" applyFont="1" applyFill="1"/>
    <xf numFmtId="0" fontId="19" fillId="68" borderId="0" xfId="0" applyFont="1" applyFill="1"/>
    <xf numFmtId="0" fontId="21" fillId="68" borderId="0" xfId="0" applyFont="1" applyFill="1"/>
    <xf numFmtId="0" fontId="16" fillId="68" borderId="0" xfId="0" applyFont="1" applyFill="1"/>
    <xf numFmtId="168" fontId="19" fillId="68" borderId="0" xfId="0" applyNumberFormat="1" applyFont="1" applyFill="1" applyAlignment="1">
      <alignment horizontal="left"/>
    </xf>
    <xf numFmtId="0" fontId="2" fillId="68" borderId="0" xfId="0" applyFont="1" applyFill="1"/>
    <xf numFmtId="0" fontId="86" fillId="68" borderId="0" xfId="0" applyFont="1" applyFill="1"/>
    <xf numFmtId="0" fontId="0" fillId="68" borderId="0" xfId="0" applyFill="1"/>
    <xf numFmtId="168" fontId="2" fillId="68" borderId="0" xfId="0" applyNumberFormat="1" applyFont="1" applyFill="1" applyAlignment="1">
      <alignment horizontal="left"/>
    </xf>
    <xf numFmtId="0" fontId="64" fillId="23" borderId="24" xfId="0" applyFont="1" applyFill="1" applyBorder="1" applyAlignment="1">
      <alignment horizontal="left" vertical="center"/>
    </xf>
    <xf numFmtId="0" fontId="64" fillId="20" borderId="24" xfId="0" applyFont="1" applyFill="1" applyBorder="1" applyAlignment="1">
      <alignment horizontal="left" vertical="center"/>
    </xf>
    <xf numFmtId="0" fontId="39" fillId="20" borderId="24" xfId="0" applyFont="1" applyFill="1" applyBorder="1" applyAlignment="1">
      <alignment horizontal="left" vertical="center"/>
    </xf>
    <xf numFmtId="0" fontId="64" fillId="7" borderId="24" xfId="0" applyFont="1" applyFill="1" applyBorder="1" applyAlignment="1">
      <alignment horizontal="left" vertical="center"/>
    </xf>
    <xf numFmtId="0" fontId="64" fillId="36" borderId="24" xfId="0" applyFont="1" applyFill="1" applyBorder="1" applyAlignment="1">
      <alignment horizontal="left" vertical="center"/>
    </xf>
    <xf numFmtId="0" fontId="45" fillId="54" borderId="24" xfId="0" applyFont="1" applyFill="1" applyBorder="1" applyAlignment="1">
      <alignment horizontal="left"/>
    </xf>
    <xf numFmtId="0" fontId="41" fillId="11" borderId="24" xfId="0" applyFont="1" applyFill="1" applyBorder="1" applyAlignment="1">
      <alignment horizontal="left" vertical="center"/>
    </xf>
    <xf numFmtId="0" fontId="65" fillId="36" borderId="24" xfId="1" applyFont="1" applyFill="1" applyBorder="1" applyAlignment="1">
      <alignment horizontal="left" vertical="center"/>
    </xf>
    <xf numFmtId="168" fontId="34" fillId="61" borderId="0" xfId="0" applyNumberFormat="1" applyFont="1" applyFill="1"/>
    <xf numFmtId="2" fontId="34" fillId="37" borderId="32" xfId="0" applyNumberFormat="1" applyFont="1" applyFill="1" applyBorder="1"/>
    <xf numFmtId="168" fontId="34" fillId="37" borderId="0" xfId="0" applyNumberFormat="1" applyFont="1" applyFill="1"/>
    <xf numFmtId="0" fontId="34" fillId="37" borderId="24" xfId="0" applyFont="1" applyFill="1" applyBorder="1"/>
    <xf numFmtId="0" fontId="45" fillId="37" borderId="24" xfId="0" applyFont="1" applyFill="1" applyBorder="1" applyAlignment="1">
      <alignment horizontal="left"/>
    </xf>
    <xf numFmtId="0" fontId="34" fillId="37" borderId="24" xfId="0" applyFont="1" applyFill="1" applyBorder="1" applyAlignment="1">
      <alignment horizontal="left"/>
    </xf>
    <xf numFmtId="0" fontId="29" fillId="69" borderId="0" xfId="0" applyFont="1" applyFill="1"/>
    <xf numFmtId="0" fontId="1" fillId="69" borderId="0" xfId="0" applyFont="1" applyFill="1"/>
    <xf numFmtId="168" fontId="0" fillId="69" borderId="0" xfId="0" applyNumberFormat="1" applyFill="1"/>
    <xf numFmtId="165" fontId="0" fillId="69" borderId="0" xfId="0" applyNumberFormat="1" applyFill="1"/>
    <xf numFmtId="10" fontId="0" fillId="69" borderId="0" xfId="0" applyNumberFormat="1" applyFill="1"/>
    <xf numFmtId="0" fontId="1" fillId="68" borderId="0" xfId="0" applyFont="1" applyFill="1"/>
    <xf numFmtId="0" fontId="87" fillId="0" borderId="0" xfId="0" applyFont="1" applyAlignment="1">
      <alignment horizontal="left"/>
    </xf>
    <xf numFmtId="0" fontId="43" fillId="57" borderId="47" xfId="0" applyFont="1" applyFill="1" applyBorder="1" applyAlignment="1">
      <alignment horizontal="left"/>
    </xf>
    <xf numFmtId="0" fontId="13" fillId="0" borderId="67" xfId="1" applyBorder="1" applyAlignment="1">
      <alignment horizontal="left"/>
    </xf>
    <xf numFmtId="0" fontId="73" fillId="62" borderId="0" xfId="0" applyFont="1" applyFill="1" applyAlignment="1">
      <alignment horizontal="center" vertical="center"/>
    </xf>
    <xf numFmtId="0" fontId="8" fillId="52" borderId="0" xfId="0" applyFont="1" applyFill="1" applyAlignment="1">
      <alignment horizontal="left"/>
    </xf>
    <xf numFmtId="0" fontId="8" fillId="53" borderId="0" xfId="0" applyFont="1" applyFill="1" applyAlignment="1">
      <alignment horizontal="left"/>
    </xf>
    <xf numFmtId="0" fontId="8" fillId="28" borderId="43" xfId="0" applyFont="1" applyFill="1" applyBorder="1" applyAlignment="1">
      <alignment horizontal="center"/>
    </xf>
    <xf numFmtId="0" fontId="8" fillId="30" borderId="7" xfId="0" applyFont="1" applyFill="1" applyBorder="1" applyAlignment="1">
      <alignment horizontal="center"/>
    </xf>
    <xf numFmtId="0" fontId="8" fillId="30" borderId="0" xfId="0" applyFont="1" applyFill="1" applyAlignment="1">
      <alignment horizontal="center"/>
    </xf>
    <xf numFmtId="168" fontId="1" fillId="68" borderId="52" xfId="0" applyNumberFormat="1" applyFont="1" applyFill="1" applyBorder="1" applyAlignment="1">
      <alignment vertical="center"/>
    </xf>
    <xf numFmtId="168" fontId="1" fillId="68" borderId="28" xfId="0" applyNumberFormat="1" applyFont="1" applyFill="1" applyBorder="1" applyAlignment="1">
      <alignment vertical="center"/>
    </xf>
    <xf numFmtId="168" fontId="1" fillId="68" borderId="26" xfId="0" applyNumberFormat="1" applyFont="1" applyFill="1" applyBorder="1" applyAlignment="1">
      <alignment vertical="center"/>
    </xf>
    <xf numFmtId="168" fontId="0" fillId="0" borderId="52" xfId="0" applyNumberFormat="1" applyBorder="1" applyAlignment="1">
      <alignment vertical="center"/>
    </xf>
    <xf numFmtId="0" fontId="0" fillId="0" borderId="70" xfId="0" applyBorder="1" applyAlignment="1">
      <alignment horizontal="right"/>
    </xf>
    <xf numFmtId="0" fontId="0" fillId="0" borderId="71" xfId="0" applyBorder="1" applyAlignment="1">
      <alignment horizontal="right"/>
    </xf>
    <xf numFmtId="0" fontId="0" fillId="0" borderId="25" xfId="0" applyBorder="1" applyAlignment="1">
      <alignment horizontal="right"/>
    </xf>
    <xf numFmtId="0" fontId="1" fillId="3" borderId="9" xfId="0" applyFont="1" applyFill="1" applyBorder="1" applyAlignment="1">
      <alignment horizontal="center"/>
    </xf>
    <xf numFmtId="0" fontId="1" fillId="3" borderId="23" xfId="0" applyFont="1" applyFill="1" applyBorder="1" applyAlignment="1">
      <alignment horizontal="center"/>
    </xf>
    <xf numFmtId="0" fontId="88" fillId="70" borderId="0" xfId="0" applyFont="1" applyFill="1" applyAlignment="1">
      <alignment horizontal="left"/>
    </xf>
    <xf numFmtId="0" fontId="88" fillId="0" borderId="0" xfId="0" applyFont="1" applyAlignment="1">
      <alignment horizontal="left"/>
    </xf>
    <xf numFmtId="0" fontId="0" fillId="0" borderId="10" xfId="0" applyBorder="1" applyAlignment="1"/>
    <xf numFmtId="0" fontId="0" fillId="0" borderId="11" xfId="0" applyBorder="1" applyAlignment="1"/>
  </cellXfs>
  <cellStyles count="2">
    <cellStyle name="Hyperlink" xfId="1" xr:uid="{00000000-000B-0000-0000-000008000000}"/>
    <cellStyle name="Normal" xfId="0" builtinId="0"/>
  </cellStyles>
  <dxfs count="257">
    <dxf>
      <font>
        <color rgb="FFFF0000"/>
      </font>
      <fill>
        <patternFill>
          <bgColor rgb="FFFF0000"/>
        </patternFill>
      </fill>
    </dxf>
    <dxf>
      <font>
        <color theme="9"/>
      </font>
    </dxf>
    <dxf>
      <font>
        <color rgb="FFFF0000"/>
      </font>
    </dxf>
    <dxf>
      <border>
        <left style="thin">
          <color indexed="64"/>
        </left>
        <right/>
        <top style="thin">
          <color indexed="64"/>
        </top>
        <bottom style="thin">
          <color indexed="64"/>
        </bottom>
        <vertical/>
        <horizontal/>
      </border>
    </dxf>
    <dxf>
      <border>
        <left/>
        <right/>
        <top style="thin">
          <color indexed="64"/>
        </top>
        <bottom style="thin">
          <color indexed="64"/>
        </bottom>
        <vertical/>
        <horizontal/>
      </border>
    </dxf>
    <dxf>
      <border>
        <left/>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bottom/>
      </bord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060"/>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060"/>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060"/>
      </font>
      <fill>
        <patternFill patternType="solid">
          <bgColor theme="4" tint="0.79998168889431442"/>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E6E6E6"/>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060"/>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060"/>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060"/>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060"/>
      </font>
      <fill>
        <patternFill patternType="solid">
          <bgColor theme="4" tint="0.79998168889431442"/>
        </patternFill>
      </fill>
    </dxf>
    <dxf>
      <font>
        <color rgb="FF006100"/>
      </font>
      <fill>
        <patternFill>
          <bgColor rgb="FFC6EFCE"/>
        </patternFill>
      </fill>
    </dxf>
    <dxf>
      <font>
        <color rgb="FF9C0006"/>
      </font>
      <fill>
        <patternFill>
          <bgColor rgb="FFFFC7CE"/>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FF6B6B"/>
        </patternFill>
      </fill>
    </dxf>
    <dxf>
      <fill>
        <patternFill patternType="solid">
          <fgColor indexed="64"/>
          <bgColor rgb="FFFFC000"/>
        </patternFill>
      </fill>
    </dxf>
    <dxf>
      <fill>
        <patternFill patternType="solid">
          <fgColor indexed="64"/>
          <bgColor rgb="FF92D050"/>
        </patternFill>
      </fill>
    </dxf>
    <dxf>
      <fill>
        <patternFill patternType="solid">
          <fgColor indexed="64"/>
          <bgColor rgb="FFFF6B6B"/>
        </patternFill>
      </fill>
    </dxf>
    <dxf>
      <fill>
        <patternFill patternType="solid">
          <fgColor indexed="64"/>
          <bgColor rgb="FFFFC000"/>
        </patternFill>
      </fill>
    </dxf>
    <dxf>
      <fill>
        <patternFill patternType="solid">
          <fgColor indexed="64"/>
          <bgColor rgb="FF92D050"/>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FF6B6B"/>
        </patternFill>
      </fill>
    </dxf>
    <dxf>
      <fill>
        <patternFill patternType="solid">
          <fgColor indexed="64"/>
          <bgColor rgb="FFFFC000"/>
        </patternFill>
      </fill>
    </dxf>
    <dxf>
      <fill>
        <patternFill patternType="solid">
          <fgColor indexed="64"/>
          <bgColor rgb="FF92D050"/>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FF6B6B"/>
        </patternFill>
      </fill>
    </dxf>
    <dxf>
      <fill>
        <patternFill patternType="solid">
          <fgColor indexed="64"/>
          <bgColor rgb="FFFFC000"/>
        </patternFill>
      </fill>
    </dxf>
    <dxf>
      <fill>
        <patternFill patternType="solid">
          <fgColor indexed="64"/>
          <bgColor rgb="FF92D050"/>
        </patternFill>
      </fill>
    </dxf>
    <dxf>
      <fill>
        <patternFill patternType="solid">
          <fgColor indexed="64"/>
          <bgColor rgb="FFFF6B6B"/>
        </patternFill>
      </fill>
    </dxf>
    <dxf>
      <fill>
        <patternFill patternType="solid">
          <fgColor indexed="64"/>
          <bgColor rgb="FFFFC000"/>
        </patternFill>
      </fill>
    </dxf>
    <dxf>
      <fill>
        <patternFill patternType="solid">
          <fgColor indexed="64"/>
          <bgColor rgb="FF92D050"/>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FF6B6B"/>
        </patternFill>
      </fill>
    </dxf>
    <dxf>
      <fill>
        <patternFill patternType="solid">
          <fgColor indexed="64"/>
          <bgColor rgb="FFFFC000"/>
        </patternFill>
      </fill>
    </dxf>
    <dxf>
      <fill>
        <patternFill patternType="solid">
          <fgColor indexed="64"/>
          <bgColor rgb="FF92D050"/>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FF6B6B"/>
        </patternFill>
      </fill>
    </dxf>
    <dxf>
      <fill>
        <patternFill patternType="solid">
          <fgColor indexed="64"/>
          <bgColor rgb="FFFFC000"/>
        </patternFill>
      </fill>
    </dxf>
    <dxf>
      <fill>
        <patternFill patternType="solid">
          <fgColor indexed="64"/>
          <bgColor rgb="FF92D050"/>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F2F2F2"/>
        </patternFill>
      </fill>
    </dxf>
    <dxf>
      <fill>
        <patternFill>
          <bgColor rgb="FFE6E6E6"/>
        </patternFill>
      </fill>
    </dxf>
    <dxf>
      <fill>
        <patternFill>
          <bgColor rgb="FFE6E6E6"/>
        </patternFill>
      </fill>
    </dxf>
    <dxf>
      <fill>
        <patternFill>
          <bgColor rgb="FFF2F2F2"/>
        </patternFill>
      </fill>
    </dxf>
    <dxf>
      <fill>
        <patternFill>
          <bgColor rgb="FFE6E6E6"/>
        </patternFill>
      </fill>
    </dxf>
    <dxf>
      <fill>
        <patternFill>
          <bgColor rgb="FFE6E6E6"/>
        </patternFill>
      </fill>
    </dxf>
    <dxf>
      <fill>
        <patternFill>
          <bgColor rgb="FFF2F2F2"/>
        </patternFill>
      </fill>
    </dxf>
    <dxf>
      <fill>
        <patternFill>
          <bgColor rgb="FFE6E6E6"/>
        </patternFill>
      </fill>
    </dxf>
    <dxf>
      <fill>
        <patternFill>
          <bgColor rgb="FFF2F2F2"/>
        </patternFill>
      </fill>
    </dxf>
    <dxf>
      <font>
        <color theme="9"/>
      </font>
    </dxf>
    <dxf>
      <font>
        <color rgb="FFFF0000"/>
      </font>
    </dxf>
    <dxf>
      <font>
        <color theme="9"/>
      </font>
    </dxf>
    <dxf>
      <font>
        <color rgb="FFFF0000"/>
      </font>
    </dxf>
    <dxf>
      <font>
        <color theme="9"/>
      </font>
    </dxf>
    <dxf>
      <font>
        <color rgb="FFFF0000"/>
      </font>
    </dxf>
    <dxf>
      <font>
        <color rgb="FF4EA72E"/>
      </font>
    </dxf>
    <dxf>
      <fill>
        <patternFill>
          <bgColor rgb="FFF2F2F2"/>
        </patternFill>
      </fill>
    </dxf>
    <dxf>
      <fill>
        <patternFill>
          <bgColor rgb="FFE6E6E6"/>
        </patternFill>
      </fill>
    </dxf>
    <dxf>
      <font>
        <color theme="9"/>
      </font>
    </dxf>
    <dxf>
      <font>
        <color rgb="FFFF0000"/>
      </font>
    </dxf>
    <dxf>
      <fill>
        <patternFill>
          <bgColor rgb="FFF2F2F2"/>
        </patternFill>
      </fill>
    </dxf>
    <dxf>
      <fill>
        <patternFill>
          <bgColor rgb="FFE6E6E6"/>
        </patternFill>
      </fill>
    </dxf>
    <dxf>
      <font>
        <color rgb="FF4EA72E"/>
      </font>
    </dxf>
    <dxf>
      <font>
        <color rgb="FFFF0000"/>
      </font>
    </dxf>
    <dxf>
      <font>
        <color theme="9"/>
      </font>
    </dxf>
    <dxf>
      <font>
        <color rgb="FFFF0000"/>
      </font>
    </dxf>
    <dxf>
      <font>
        <color rgb="FFFF0000"/>
      </font>
    </dxf>
    <dxf>
      <font>
        <color theme="9"/>
      </font>
    </dxf>
    <dxf>
      <font>
        <color rgb="FFFF0000"/>
      </font>
    </dxf>
    <dxf>
      <font>
        <color theme="9"/>
      </font>
    </dxf>
    <dxf>
      <font>
        <color rgb="FFFF0000"/>
      </font>
    </dxf>
    <dxf>
      <font>
        <color theme="9"/>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F2F2F2"/>
        </patternFill>
      </fill>
    </dxf>
    <dxf>
      <font>
        <color rgb="FFFF0000"/>
      </font>
      <fill>
        <patternFill>
          <bgColor rgb="FFFF0000"/>
        </patternFill>
      </fill>
    </dxf>
    <dxf>
      <font>
        <b val="0"/>
        <i val="0"/>
        <strike val="0"/>
        <condense val="0"/>
        <extend val="0"/>
        <outline val="0"/>
        <shadow val="0"/>
        <u val="none"/>
        <vertAlign val="baseline"/>
        <sz val="10"/>
        <color rgb="FF000000"/>
        <name val="Aptos Narrow"/>
        <family val="2"/>
        <scheme val="minor"/>
      </font>
      <numFmt numFmtId="165" formatCode="_-[$$-409]* #,##0_ ;_-[$$-409]* \-#,##0\ ;_-[$$-409]* &quot;-&quot;??_ ;_-@_ "/>
      <alignment horizontal="left"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rgb="FF000000"/>
        <name val="Aptos Narrow"/>
        <family val="2"/>
        <scheme val="minor"/>
      </font>
      <numFmt numFmtId="165" formatCode="_-[$$-409]* #,##0_ ;_-[$$-409]* \-#,##0\ ;_-[$$-409]* &quot;-&quot;??_ ;_-@_ "/>
      <alignment horizontal="left"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Aptos Narrow"/>
        <family val="2"/>
        <scheme val="minor"/>
      </font>
      <numFmt numFmtId="165" formatCode="_-[$$-409]* #,##0_ ;_-[$$-409]* \-#,##0\ ;_-[$$-409]* &quot;-&quot;??_ ;_-@_ "/>
      <alignment horizontal="left"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Aptos Narrow"/>
        <family val="2"/>
        <scheme val="minor"/>
      </font>
      <numFmt numFmtId="165" formatCode="_-[$$-409]* #,##0_ ;_-[$$-409]* \-#,##0\ ;_-[$$-409]* &quot;-&quot;??_ ;_-@_ "/>
      <alignment horizontal="left" vertical="bottom" textRotation="0" wrapText="0" indent="0" justifyLastLine="0" shrinkToFit="0" readingOrder="0"/>
      <border diagonalUp="0" diagonalDown="0">
        <left/>
        <right style="thin">
          <color rgb="FF000000"/>
        </right>
        <top style="thin">
          <color rgb="FF000000"/>
        </top>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medium">
          <color rgb="FF000000"/>
        </top>
        <bottom style="thin">
          <color rgb="FF000000"/>
        </bottom>
      </border>
    </dxf>
    <dxf>
      <font>
        <color rgb="FF9C0006"/>
      </font>
      <fill>
        <patternFill>
          <bgColor rgb="FFFFC7CE"/>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F2F2F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font>
        <color rgb="FF006100"/>
      </font>
      <fill>
        <patternFill>
          <bgColor rgb="FFC6EFCE"/>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font>
        <color rgb="FF006100"/>
      </font>
      <fill>
        <patternFill>
          <bgColor rgb="FFC6EFCE"/>
        </patternFill>
      </fill>
    </dxf>
    <dxf>
      <font>
        <color rgb="FF006100"/>
      </font>
      <fill>
        <patternFill>
          <bgColor rgb="FFC6EFCE"/>
        </patternFill>
      </fill>
    </dxf>
    <dxf>
      <font>
        <color rgb="FF9C6500"/>
      </font>
      <fill>
        <patternFill patternType="solid">
          <fgColor rgb="FFFFEB9C"/>
        </patternFill>
      </fill>
    </dxf>
    <dxf>
      <font>
        <color rgb="FF9C0006"/>
      </font>
      <fill>
        <patternFill patternType="solid">
          <fgColor rgb="FFFFC7CE"/>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left/>
        <right/>
        <top/>
        <bottom/>
      </border>
    </dxf>
    <dxf>
      <alignment horizontal="center" vertical="bottom" textRotation="0" wrapText="0" indent="0" justifyLastLine="0" shrinkToFit="0" readingOrder="0"/>
    </dxf>
    <dxf>
      <fill>
        <patternFill patternType="solid">
          <fgColor indexed="64"/>
          <bgColor rgb="FF002060"/>
        </patternFill>
      </fill>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i val="0"/>
        <strike val="0"/>
        <condense val="0"/>
        <extend val="0"/>
        <outline val="0"/>
        <shadow val="0"/>
        <u val="none"/>
        <vertAlign val="baseline"/>
        <sz val="11"/>
        <color rgb="FFFFFFFF"/>
        <name val="Aptos Narrow"/>
        <family val="2"/>
        <scheme val="minor"/>
      </font>
      <fill>
        <patternFill patternType="solid">
          <fgColor indexed="64"/>
          <bgColor rgb="FF2E75B6"/>
        </patternFill>
      </fill>
      <alignment horizontal="center" vertical="bottom" textRotation="0" wrapText="0" indent="0" justifyLastLine="0" shrinkToFit="0" readingOrder="0"/>
    </dxf>
    <dxf>
      <numFmt numFmtId="14" formatCode="0.00%"/>
    </dxf>
    <dxf>
      <numFmt numFmtId="14" formatCode="0.00%"/>
    </dxf>
    <dxf>
      <border>
        <left/>
        <right/>
        <top/>
        <bottom/>
      </border>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left/>
        <right/>
        <top/>
        <bottom/>
      </border>
    </dxf>
    <dxf>
      <alignment horizontal="center" vertical="bottom" textRotation="0" wrapText="0" indent="0" justifyLastLine="0" shrinkToFit="0" readingOrder="0"/>
    </dxf>
    <dxf>
      <fill>
        <patternFill patternType="solid">
          <fgColor indexed="64"/>
          <bgColor rgb="FF002060"/>
        </patternFill>
      </fill>
      <alignment horizontal="center" vertical="bottom" textRotation="0" wrapText="0" indent="0" justifyLastLine="0" shrinkToFit="0" readingOrder="0"/>
    </dxf>
    <dxf>
      <font>
        <b/>
        <i val="0"/>
        <strike val="0"/>
        <condense val="0"/>
        <extend val="0"/>
        <outline val="0"/>
        <shadow val="0"/>
        <u val="none"/>
        <vertAlign val="baseline"/>
        <sz val="11"/>
        <color rgb="FFFFFFFF"/>
        <name val="Aptos Narrow"/>
        <family val="2"/>
        <scheme val="minor"/>
      </font>
      <fill>
        <patternFill patternType="solid">
          <fgColor indexed="64"/>
          <bgColor rgb="FF2E75B6"/>
        </patternFill>
      </fill>
      <alignment horizontal="center" vertical="bottom" textRotation="0" wrapText="0" indent="0" justifyLastLine="0" shrinkToFit="0" readingOrder="0"/>
    </dxf>
    <dxf>
      <numFmt numFmtId="14" formatCode="0.00%"/>
    </dxf>
    <dxf>
      <numFmt numFmtId="14" formatCode="0.00%"/>
    </dxf>
    <dxf>
      <border>
        <left/>
        <right/>
        <top/>
        <bottom/>
      </border>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border diagonalUp="0" diagonalDown="0" outline="0">
        <left style="thin">
          <color auto="1"/>
        </left>
        <right style="thin">
          <color auto="1"/>
        </right>
        <top/>
        <bottom/>
      </border>
    </dxf>
    <dxf>
      <fill>
        <patternFill patternType="solid">
          <fgColor indexed="64"/>
          <bgColor rgb="FFE6E6E6"/>
        </patternFill>
      </fill>
    </dxf>
    <dxf>
      <fill>
        <patternFill patternType="solid">
          <fgColor indexed="64"/>
          <bgColor rgb="FFF2F2F2"/>
        </patternFill>
      </fill>
    </dxf>
    <dxf>
      <font>
        <color rgb="FFFF0000"/>
      </font>
      <fill>
        <patternFill>
          <bgColor rgb="FFFF0000"/>
        </patternFill>
      </fill>
    </dxf>
    <dxf>
      <fill>
        <patternFill patternType="solid">
          <fgColor indexed="64"/>
          <bgColor rgb="FFF2F2F2"/>
        </patternFill>
      </fill>
    </dxf>
    <dxf>
      <fill>
        <patternFill patternType="solid">
          <fgColor indexed="64"/>
          <bgColor rgb="FFE6E6E6"/>
        </patternFill>
      </fill>
    </dxf>
    <dxf>
      <fill>
        <patternFill patternType="solid">
          <fgColor indexed="64"/>
          <bgColor rgb="FFE6E6E6"/>
        </patternFill>
      </fill>
    </dxf>
    <dxf>
      <fill>
        <patternFill patternType="solid">
          <fgColor indexed="64"/>
          <bgColor rgb="FFF2F2F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060"/>
      </font>
      <fill>
        <patternFill patternType="solid">
          <bgColor theme="4" tint="0.79998168889431442"/>
        </patternFill>
      </fill>
    </dxf>
    <dxf>
      <font>
        <color rgb="FF006100"/>
      </font>
      <fill>
        <patternFill>
          <bgColor rgb="FFC6EFCE"/>
        </patternFill>
      </fill>
    </dxf>
    <dxf>
      <font>
        <color rgb="FF9C0006"/>
      </font>
      <fill>
        <patternFill>
          <bgColor rgb="FFFFC7CE"/>
        </patternFill>
      </fill>
    </dxf>
    <dxf>
      <fill>
        <patternFill patternType="solid">
          <fgColor indexed="64"/>
          <bgColor rgb="FFE6E6E6"/>
        </patternFill>
      </fill>
    </dxf>
    <dxf>
      <fill>
        <patternFill patternType="solid">
          <fgColor indexed="64"/>
          <bgColor rgb="FFF2F2F2"/>
        </patternFill>
      </fill>
    </dxf>
    <dxf>
      <fill>
        <patternFill patternType="solid">
          <fgColor indexed="64"/>
          <bgColor rgb="FFFF6B6B"/>
        </patternFill>
      </fill>
    </dxf>
    <dxf>
      <fill>
        <patternFill patternType="solid">
          <fgColor indexed="64"/>
          <bgColor rgb="FFFFC000"/>
        </patternFill>
      </fill>
    </dxf>
    <dxf>
      <fill>
        <patternFill patternType="solid">
          <fgColor indexed="64"/>
          <bgColor rgb="FF92D050"/>
        </patternFill>
      </fill>
    </dxf>
    <dxf>
      <fill>
        <patternFill patternType="solid">
          <fgColor rgb="FFE6E6E6"/>
          <bgColor rgb="FFE6E6E6"/>
        </patternFill>
      </fill>
    </dxf>
    <dxf>
      <fill>
        <patternFill patternType="solid">
          <fgColor rgb="FFF2F2F2"/>
          <bgColor rgb="FFF2F2F2"/>
        </patternFill>
      </fill>
    </dxf>
    <dxf>
      <fill>
        <patternFill>
          <bgColor rgb="FFE6E6E6"/>
        </patternFill>
      </fill>
    </dxf>
    <dxf>
      <font>
        <color theme="9"/>
      </font>
    </dxf>
    <dxf>
      <font>
        <color rgb="FFFF0000"/>
      </font>
    </dxf>
    <dxf>
      <fill>
        <patternFill patternType="solid">
          <fgColor indexed="64"/>
          <bgColor rgb="FFF2F2F2"/>
        </patternFill>
      </fill>
    </dxf>
    <dxf>
      <fill>
        <patternFill patternType="solid">
          <fgColor indexed="64"/>
          <bgColor rgb="FFE6E6E6"/>
        </patternFill>
      </fill>
    </dxf>
    <dxf>
      <font>
        <color rgb="FF9C0006"/>
      </font>
      <fill>
        <patternFill>
          <bgColor rgb="FFFFC7CE"/>
        </patternFill>
      </fill>
    </dxf>
    <dxf>
      <fill>
        <patternFill patternType="solid">
          <fgColor indexed="64"/>
          <bgColor rgb="FFE6E6E6"/>
        </patternFill>
      </fill>
    </dxf>
    <dxf>
      <fill>
        <patternFill patternType="solid">
          <fgColor indexed="64"/>
          <bgColor rgb="FFF2F2F2"/>
        </patternFill>
      </fill>
    </dxf>
    <dxf>
      <font>
        <color rgb="FFFF0000"/>
      </font>
      <fill>
        <patternFill>
          <bgColor rgb="FFFF0000"/>
        </patternFill>
      </fill>
    </dxf>
    <dxf>
      <numFmt numFmtId="168" formatCode="_-[$$-409]* #,##0.00_ ;_-[$$-409]* \-#,##0.00\ ;_-[$$-409]* &quot;-&quot;??_ ;_-@_ "/>
    </dxf>
    <dxf>
      <alignment wrapText="1"/>
    </dxf>
    <dxf>
      <alignment wrapText="1"/>
    </dxf>
    <dxf>
      <numFmt numFmtId="168" formatCode="_-[$$-409]* #,##0.00_ ;_-[$$-409]* \-#,##0.00\ ;_-[$$-409]* &quot;-&quot;??_ ;_-@_ "/>
    </dxf>
    <dxf>
      <numFmt numFmtId="168" formatCode="_-[$$-409]* #,##0.00_ ;_-[$$-409]* \-#,##0.00\ ;_-[$$-409]* &quot;-&quot;??_ ;_-@_ "/>
    </dxf>
    <dxf>
      <alignment wrapText="1"/>
    </dxf>
    <dxf>
      <alignment wrapText="1"/>
    </dxf>
    <dxf>
      <numFmt numFmtId="168" formatCode="_-[$$-409]* #,##0.00_ ;_-[$$-409]* \-#,##0.00\ ;_-[$$-409]* &quot;-&quot;??_ ;_-@_ "/>
    </dxf>
    <dxf>
      <numFmt numFmtId="168" formatCode="_-[$$-409]* #,##0.00_ ;_-[$$-409]* \-#,##0.00\ ;_-[$$-409]* &quot;-&quot;??_ ;_-@_ "/>
    </dxf>
    <dxf>
      <alignment wrapText="1"/>
    </dxf>
    <dxf>
      <alignment wrapText="1"/>
    </dxf>
    <dxf>
      <numFmt numFmtId="168" formatCode="_-[$$-409]* #,##0.00_ ;_-[$$-409]* \-#,##0.00\ ;_-[$$-409]* &quot;-&quot;??_ ;_-@_ "/>
    </dxf>
    <dxf>
      <numFmt numFmtId="168" formatCode="_-[$$-409]* #,##0.00_ ;_-[$$-409]* \-#,##0.00\ ;_-[$$-409]* &quot;-&quot;??_ ;_-@_ "/>
    </dxf>
    <dxf>
      <alignment wrapText="1"/>
    </dxf>
    <dxf>
      <alignment wrapText="1"/>
    </dxf>
  </dxfs>
  <tableStyles count="0" defaultTableStyle="TableStyleMedium2" defaultPivotStyle="PivotStyleLight16"/>
  <colors>
    <mruColors>
      <color rgb="FFEBCACA"/>
      <color rgb="FFEBCECE"/>
      <color rgb="FFDBAA16"/>
      <color rgb="FFDCBEED"/>
      <color rgb="FFA67E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ocumenttasks/documenttask1.xml><?xml version="1.0" encoding="utf-8"?>
<Tasks xmlns="http://schemas.microsoft.com/office/tasks/2019/documenttasks">
  <Task id="{12378191-60B9-4EDA-8DC0-5339E498263F}">
    <Anchor>
      <Comment id="{67821185-3044-4376-843E-A72DA72DA6C2}"/>
    </Anchor>
    <History>
      <Event time="2026-05-20T00:34:34.96" id="{39841F2C-A3AF-4AC6-A7CD-A8F351C1883A}">
        <Attribution userId="S::fduran@geovictoria.com::526ab3b8-4da6-409a-917f-bb531024d6d5" userName="Fernanda Duran" userProvider="AD"/>
        <Anchor>
          <Comment id="{67821185-3044-4376-843E-A72DA72DA6C2}"/>
        </Anchor>
        <Create/>
      </Event>
      <Event time="2026-05-20T00:34:34.96" id="{5F82B786-A373-4F5D-A1AE-6BC68B95840C}">
        <Attribution userId="S::fduran@geovictoria.com::526ab3b8-4da6-409a-917f-bb531024d6d5" userName="Fernanda Duran" userProvider="AD"/>
        <Anchor>
          <Comment id="{67821185-3044-4376-843E-A72DA72DA6C2}"/>
        </Anchor>
        <Assign userId="S::kpatino@geovictoria.com::0cbcd02b-534f-4ec2-a58d-756cd6ef80af" userName="Karla Patiño" userProvider="AD"/>
      </Event>
      <Event time="2026-05-20T00:34:34.96" id="{E4856683-CFAA-40C9-AF49-A069AA28C436}">
        <Attribution userId="S::fduran@geovictoria.com::526ab3b8-4da6-409a-917f-bb531024d6d5" userName="Fernanda Duran" userProvider="AD"/>
        <Anchor>
          <Comment id="{67821185-3044-4376-843E-A72DA72DA6C2}"/>
        </Anchor>
        <SetTitle title="@Karla Patiño veo en la factura que el up fue de 38 usuarios, debería haber nuevo up? sino por favor modifica el deal y este dato"/>
      </Event>
      <Event time="2026-05-20T16:47:31.53" id="{5C2DC0EB-1FEF-422D-AC77-2F81B2103A9F}">
        <Attribution userId="S::kpatino@geovictoria.com::0cbcd02b-534f-4ec2-a58d-756cd6ef80af" userName="Karla Patiño" userProvider="AD"/>
        <Progress percentComplete="100"/>
      </Event>
    </History>
  </Task>
</Tasks>
</file>

<file path=xl/externalLinks/_rels/externalLink1.xml.rels><?xml version="1.0" encoding="UTF-8" standalone="yes"?>
<Relationships xmlns="http://schemas.openxmlformats.org/package/2006/relationships"><Relationship Id="rId3" Type="http://schemas.openxmlformats.org/officeDocument/2006/relationships/externalLinkPath" Target="../Cuentas%20Postventa%20(13).xlsx" TargetMode="External"/><Relationship Id="rId2" Type="http://schemas.openxmlformats.org/officeDocument/2006/relationships/externalLinkPath" Target="https://geovictoria365-my.sharepoint.com/personal/fduran_geovictoria_com/Documents/Cuentas%20Postventa%20(13).xlsx" TargetMode="External"/><Relationship Id="rId1" Type="http://schemas.openxmlformats.org/officeDocument/2006/relationships/externalLinkPath" Target="/personal/fduran_geovictoria_com/Documents/Cuentas%20Postventa%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sAG5r_bfbEGvk01PB7t4cQzL2hbo70NNv2KSjMR1GulyjRiY0B71TJsImZRJSNRV" itemId="01FBJR3VWBOFGI4HU2D5EY4KUUWYMY7TUF">
      <xxl21:absoluteUrl r:id="rId2"/>
      <xxl21:relativeUrl r:id="rId3"/>
    </xxl21:alternateUrls>
    <sheetNames>
      <sheetName val="MARE MX"/>
      <sheetName val="OKRs"/>
      <sheetName val="Critico"/>
      <sheetName val="Semáforo"/>
      <sheetName val="RAMs"/>
      <sheetName val="Resumen MARE"/>
      <sheetName val="Ventas 2026"/>
      <sheetName val="Ventas 2026 (Propuesta)"/>
      <sheetName val="Detalle Fuga 2026"/>
      <sheetName val="Semáforo KAM"/>
      <sheetName val="Disminuciones menor al 100"/>
      <sheetName val="Cuentas fugadas"/>
      <sheetName val="Modificaciones BI"/>
      <sheetName val="Etapas"/>
      <sheetName val="Toques"/>
      <sheetName val="Info general"/>
      <sheetName val="Histórico Cross"/>
      <sheetName val="Cuentas para reasignar"/>
    </sheetNames>
    <sheetDataSet>
      <sheetData sheetId="0">
        <row r="2">
          <cell r="F2" t="str">
            <v>CLIENTE</v>
          </cell>
          <cell r="H2" t="str">
            <v>Cartera</v>
          </cell>
        </row>
        <row r="3">
          <cell r="F3" t="str">
            <v>J&amp;T EXPRESS CONEJO CORRIENDO</v>
          </cell>
          <cell r="H3" t="str">
            <v>ENTERPRISE</v>
          </cell>
        </row>
        <row r="4">
          <cell r="F4" t="str">
            <v>SYD PROYECTOS INTEGRALES (Antromex)</v>
          </cell>
          <cell r="H4" t="str">
            <v>ENTERPRISE</v>
          </cell>
        </row>
        <row r="5">
          <cell r="F5" t="str">
            <v>SERVICIOS INTEGRALES RAMPER(SIRAMPER)</v>
          </cell>
          <cell r="H5" t="str">
            <v>ENTERPRISE</v>
          </cell>
        </row>
        <row r="6">
          <cell r="F6" t="str">
            <v>DICKA LOGISTICS</v>
          </cell>
          <cell r="H6"/>
        </row>
        <row r="7">
          <cell r="F7" t="str">
            <v>TECNO ESPECIALIZADOS KIURT</v>
          </cell>
          <cell r="H7" t="str">
            <v>ENTERPRISE</v>
          </cell>
        </row>
        <row r="8">
          <cell r="F8" t="str">
            <v>ABSORMEX CMPC TISSUE</v>
          </cell>
          <cell r="H8" t="str">
            <v>ENTERPRISE</v>
          </cell>
        </row>
        <row r="9">
          <cell r="F9" t="str">
            <v>GRUPO JULIO</v>
          </cell>
          <cell r="H9" t="str">
            <v>ENTERPRISE</v>
          </cell>
        </row>
        <row r="10">
          <cell r="F10" t="str">
            <v>SISTEMAS INTEGRALES PARA EL TRANSPORTE(SINTRA)</v>
          </cell>
          <cell r="H10" t="str">
            <v>ENTERPRISE</v>
          </cell>
        </row>
        <row r="11">
          <cell r="F11" t="str">
            <v>SERVICIOS ADMINISTRATIVOS TRANSFORMANDO LA EDUCACION DE MEXICO(Innova Schools)</v>
          </cell>
          <cell r="H11" t="str">
            <v>ENTERPRISE</v>
          </cell>
        </row>
        <row r="12">
          <cell r="F12" t="str">
            <v>OPERADORA OMX</v>
          </cell>
          <cell r="H12" t="str">
            <v>ENTERPRISE</v>
          </cell>
        </row>
        <row r="13">
          <cell r="F13" t="str">
            <v>PRODUCTOS INTERNACIONALES MABE</v>
          </cell>
          <cell r="H13" t="str">
            <v>ENTERPRISE</v>
          </cell>
        </row>
        <row r="14">
          <cell r="F14" t="str">
            <v>VALKIPRO (Coperva)</v>
          </cell>
          <cell r="H14" t="str">
            <v>ENTERPRISE</v>
          </cell>
        </row>
        <row r="15">
          <cell r="F15" t="str">
            <v>LAPI</v>
          </cell>
          <cell r="H15" t="str">
            <v>ENTERPRISE</v>
          </cell>
        </row>
        <row r="16">
          <cell r="F16" t="str">
            <v>GRUPO FERROCARRILERO DEL SURESTE</v>
          </cell>
          <cell r="H16" t="str">
            <v>ENTERPRISE</v>
          </cell>
        </row>
        <row r="17">
          <cell r="F17" t="str">
            <v>TAKE FLIGHT VENTURES</v>
          </cell>
          <cell r="H17" t="str">
            <v>ENTERPRISE</v>
          </cell>
        </row>
        <row r="18">
          <cell r="F18" t="str">
            <v>EULEN DE SEGURIDAD PRIVADA SA DE CV</v>
          </cell>
          <cell r="H18" t="str">
            <v>ENTERPRISE</v>
          </cell>
        </row>
        <row r="19">
          <cell r="F19" t="str">
            <v>AFORE SURA</v>
          </cell>
          <cell r="H19" t="str">
            <v>Enterprise</v>
          </cell>
        </row>
        <row r="20">
          <cell r="F20" t="str">
            <v>IMPULSORA DE DESARROLLO INTEGRAL (Idinsa)</v>
          </cell>
          <cell r="H20" t="str">
            <v>ENTERPRISE</v>
          </cell>
        </row>
        <row r="21">
          <cell r="F21" t="str">
            <v>FRUEHAUF DE MEXICO</v>
          </cell>
          <cell r="H21" t="str">
            <v>ENTERPRISE</v>
          </cell>
        </row>
        <row r="22">
          <cell r="F22" t="str">
            <v>FLEX-TEC MEXICO</v>
          </cell>
          <cell r="H22" t="str">
            <v>ENTERPRISE</v>
          </cell>
        </row>
        <row r="23">
          <cell r="F23" t="str">
            <v>TDSYSTEM</v>
          </cell>
          <cell r="H23" t="str">
            <v>ENTERPRISE</v>
          </cell>
        </row>
        <row r="24">
          <cell r="F24" t="str">
            <v>FRUNATURAL</v>
          </cell>
          <cell r="H24" t="str">
            <v>ENTERPRISE</v>
          </cell>
        </row>
        <row r="25">
          <cell r="F25" t="str">
            <v>DESPEGAR.COM MEXICO (Bestday)</v>
          </cell>
          <cell r="H25" t="str">
            <v>ENTERPRISE</v>
          </cell>
        </row>
        <row r="26">
          <cell r="F26" t="str">
            <v>AJEMEX</v>
          </cell>
          <cell r="H26" t="str">
            <v>ENTERPRISE</v>
          </cell>
        </row>
        <row r="27">
          <cell r="F27" t="str">
            <v>UNIVERSIDAD DE EXCELENCIA EDUCATIVA MEXICO (UEEM)</v>
          </cell>
          <cell r="H27" t="str">
            <v>ENTERPRISE</v>
          </cell>
        </row>
        <row r="28">
          <cell r="F28" t="str">
            <v>PROVEEDORA DE QUIMICOS Y MEDICAMENTOS CARE LAB (DAROVI)</v>
          </cell>
          <cell r="H28" t="str">
            <v>ENTERPRISE</v>
          </cell>
        </row>
        <row r="29">
          <cell r="F29" t="str">
            <v>GTC TERMO CONTROL</v>
          </cell>
          <cell r="H29" t="str">
            <v>ENTERPRISE</v>
          </cell>
        </row>
        <row r="30">
          <cell r="F30" t="str">
            <v>GRUPO EMPRESARIAL ARAN (Prestamo Yes)</v>
          </cell>
          <cell r="H30" t="str">
            <v>ENTERPRISE</v>
          </cell>
        </row>
        <row r="31">
          <cell r="F31" t="str">
            <v>EULEN MEXICO DE SERVICIOS SA DE CV</v>
          </cell>
          <cell r="H31" t="str">
            <v>ENTERPRISE</v>
          </cell>
        </row>
        <row r="32">
          <cell r="F32" t="str">
            <v>ALMACENADORA SUR SA DE CV ORGANIZACION AUXILIAR DEL CREDITO</v>
          </cell>
          <cell r="H32" t="str">
            <v>ENTERPRISE</v>
          </cell>
        </row>
        <row r="33">
          <cell r="F33" t="str">
            <v>SCHETTINO</v>
          </cell>
          <cell r="H33" t="str">
            <v>ENTERPRISE</v>
          </cell>
        </row>
        <row r="34">
          <cell r="F34" t="str">
            <v>CONCESIONARIA MEXIQUENSE</v>
          </cell>
          <cell r="H34" t="str">
            <v>ENTERPRISE</v>
          </cell>
        </row>
        <row r="35">
          <cell r="F35" t="str">
            <v>PRODUCTOS LACTEOS LA QUINTA</v>
          </cell>
          <cell r="H35" t="str">
            <v>ENTERPRISE</v>
          </cell>
        </row>
        <row r="36">
          <cell r="F36" t="str">
            <v>TRANSPORTES ESPECIALIZADOS RUGA</v>
          </cell>
          <cell r="H36" t="str">
            <v>ENTERPRISE</v>
          </cell>
        </row>
        <row r="37">
          <cell r="F37" t="str">
            <v>GLORY GLOBAL SOLUTIONS MEXICO</v>
          </cell>
          <cell r="H37" t="str">
            <v>ENTERPRISE</v>
          </cell>
        </row>
        <row r="38">
          <cell r="F38" t="str">
            <v>ALIMENTOS CENTRALIZADOS DE MEXICO (AxionLog)</v>
          </cell>
          <cell r="H38" t="str">
            <v>ENTERPRISE</v>
          </cell>
        </row>
        <row r="39">
          <cell r="F39" t="str">
            <v>CORPORACION DE RESTAURANTES MAXIMUS</v>
          </cell>
          <cell r="H39" t="str">
            <v>ENTERPRISE</v>
          </cell>
        </row>
        <row r="40">
          <cell r="F40" t="str">
            <v>BIODIST (DICIPA)</v>
          </cell>
          <cell r="H40" t="str">
            <v>ENTERPRISE</v>
          </cell>
        </row>
        <row r="41">
          <cell r="F41" t="str">
            <v>CORPORATE TRAVEL SERVICES WORLDWIDE (Altour)</v>
          </cell>
          <cell r="H41" t="str">
            <v>ENTERPRISE</v>
          </cell>
        </row>
        <row r="42">
          <cell r="F42" t="str">
            <v>LATAM LOGISTICS (TOUS)</v>
          </cell>
          <cell r="H42" t="str">
            <v>ENTERPRISE</v>
          </cell>
        </row>
        <row r="43">
          <cell r="F43" t="str">
            <v>ANTONIO HUERTA GARZA (Comex)</v>
          </cell>
          <cell r="H43" t="str">
            <v>ENTERPRISE</v>
          </cell>
        </row>
        <row r="44">
          <cell r="F44" t="str">
            <v>GRUPO CONVERSE DE MEXICO</v>
          </cell>
          <cell r="H44" t="str">
            <v>ENTERPRISE</v>
          </cell>
        </row>
        <row r="45">
          <cell r="F45" t="str">
            <v>DHL GLOBAL FORWARDING (MEXICO)</v>
          </cell>
          <cell r="H45" t="str">
            <v>Enterprise</v>
          </cell>
        </row>
        <row r="46">
          <cell r="F46" t="str">
            <v>CINCO CONTEMPORANEA</v>
          </cell>
          <cell r="H46" t="str">
            <v>ENTERPRISE</v>
          </cell>
        </row>
        <row r="47">
          <cell r="F47" t="str">
            <v>FLORES Y PLANTAS LA FINCA (BODEGA DE FLORES)</v>
          </cell>
          <cell r="H47" t="str">
            <v>ENTERPRISE</v>
          </cell>
        </row>
        <row r="48">
          <cell r="F48" t="str">
            <v>NEWREST CATERING MEXICO</v>
          </cell>
          <cell r="H48" t="str">
            <v>ENTERPRISE</v>
          </cell>
        </row>
        <row r="49">
          <cell r="F49" t="str">
            <v>IDEAL AUTOMOTIVE MEXICO</v>
          </cell>
          <cell r="H49" t="str">
            <v>ENTERPRISE</v>
          </cell>
        </row>
        <row r="50">
          <cell r="F50" t="str">
            <v>FORSAC MEXICO</v>
          </cell>
          <cell r="H50" t="str">
            <v>ENTERPRISE</v>
          </cell>
        </row>
        <row r="51">
          <cell r="F51" t="str">
            <v>INTER PLAS INDUSTRIES (IPISA)</v>
          </cell>
          <cell r="H51" t="str">
            <v>ENTERPRISE</v>
          </cell>
        </row>
        <row r="52">
          <cell r="F52" t="str">
            <v>TIENDAS TROPICALES (Cinco Soles)</v>
          </cell>
          <cell r="H52" t="str">
            <v>ENTERPRISE</v>
          </cell>
        </row>
        <row r="53">
          <cell r="F53" t="str">
            <v>Puratos de México SA de CV</v>
          </cell>
          <cell r="H53" t="str">
            <v>ENTERPRISE</v>
          </cell>
        </row>
        <row r="54">
          <cell r="F54" t="str">
            <v>DISTRIBUIDORA JUGUETRON</v>
          </cell>
          <cell r="H54" t="str">
            <v>ENTERPRISE</v>
          </cell>
        </row>
        <row r="55">
          <cell r="F55" t="str">
            <v xml:space="preserve">CEPADEMRH SERVICIOS INTEGRALES (LUMO FINANCIERA) </v>
          </cell>
          <cell r="H55" t="str">
            <v>ENTERPRISE</v>
          </cell>
        </row>
        <row r="56">
          <cell r="F56" t="str">
            <v>NETAFIM MANUFACTURING MEXICO</v>
          </cell>
          <cell r="H56" t="str">
            <v>ENTERPRISE</v>
          </cell>
        </row>
        <row r="57">
          <cell r="F57" t="str">
            <v>ENTIA DE MEXICO</v>
          </cell>
          <cell r="H57" t="str">
            <v>ENTERPRISE</v>
          </cell>
        </row>
        <row r="58">
          <cell r="F58" t="str">
            <v>GRUPO KARUNA</v>
          </cell>
          <cell r="H58" t="str">
            <v>ENTERPRISE</v>
          </cell>
        </row>
        <row r="59">
          <cell r="F59" t="str">
            <v>HERMOS</v>
          </cell>
          <cell r="H59" t="str">
            <v>SMB</v>
          </cell>
        </row>
        <row r="60">
          <cell r="F60" t="str">
            <v>COMETA ENERGIA (SAAVI)</v>
          </cell>
          <cell r="H60" t="str">
            <v>ENTERPRISE</v>
          </cell>
        </row>
        <row r="61">
          <cell r="F61" t="str">
            <v>PUNTO PEN (Penhealth)</v>
          </cell>
          <cell r="H61" t="str">
            <v>Enterprise</v>
          </cell>
        </row>
        <row r="62">
          <cell r="F62" t="str">
            <v>COMBUSTIBLES ECOLOGICOS MEXICANOS (VI Group)</v>
          </cell>
          <cell r="H62" t="str">
            <v>ENTERPRISE</v>
          </cell>
        </row>
        <row r="63">
          <cell r="F63" t="str">
            <v>FARMACOS DAROVI</v>
          </cell>
          <cell r="H63" t="str">
            <v>ENTERPRISE</v>
          </cell>
        </row>
        <row r="64">
          <cell r="F64" t="str">
            <v>COMPAÑIA MADERERA DE CHIHUAHUA SUCESORES (HAGALO)</v>
          </cell>
          <cell r="H64" t="str">
            <v>ENTERPRISE</v>
          </cell>
        </row>
        <row r="65">
          <cell r="F65" t="str">
            <v>DICIPA</v>
          </cell>
          <cell r="H65" t="str">
            <v>ENTERPRISE</v>
          </cell>
        </row>
        <row r="66">
          <cell r="F66" t="str">
            <v>GRUPO AVICOLA QUIÑONES</v>
          </cell>
          <cell r="H66" t="str">
            <v>ENTERPRISE</v>
          </cell>
        </row>
        <row r="67">
          <cell r="F67" t="str">
            <v>FIDES SEGURIDAD PRIVADA</v>
          </cell>
          <cell r="H67" t="str">
            <v>ENTERPRISE</v>
          </cell>
        </row>
        <row r="68">
          <cell r="F68" t="str">
            <v>EPIC ADVENTURE SPORTS</v>
          </cell>
          <cell r="H68" t="str">
            <v>ENTERPRISE</v>
          </cell>
        </row>
        <row r="69">
          <cell r="F69" t="str">
            <v>FINOS TEXTILES DE MEXICO</v>
          </cell>
          <cell r="H69" t="str">
            <v>ENTERPRISE</v>
          </cell>
        </row>
        <row r="70">
          <cell r="F70" t="str">
            <v>SERVICIOS DE ADMINISTRACION EN SALUD WEE</v>
          </cell>
          <cell r="H70" t="str">
            <v>ENTERPRISE</v>
          </cell>
        </row>
        <row r="71">
          <cell r="F71" t="str">
            <v>SGS DE MEXICO</v>
          </cell>
          <cell r="H71" t="str">
            <v>ENTERPRISE</v>
          </cell>
        </row>
        <row r="72">
          <cell r="F72" t="str">
            <v>RADIOLOGIA Y ELECTRONICA DE MEXICO (REMSA)</v>
          </cell>
          <cell r="H72" t="str">
            <v>ENTERPRISE</v>
          </cell>
        </row>
        <row r="73">
          <cell r="F73" t="str">
            <v>EULEN MEXICO SA DE CV</v>
          </cell>
          <cell r="H73" t="str">
            <v>ENTERPRISE</v>
          </cell>
        </row>
        <row r="74">
          <cell r="F74" t="str">
            <v>COMERCIALIZADORA IMU</v>
          </cell>
          <cell r="H74" t="str">
            <v>ENTERPRISE</v>
          </cell>
        </row>
        <row r="75">
          <cell r="F75" t="str">
            <v>OPCEM</v>
          </cell>
          <cell r="H75" t="str">
            <v>ENTERPRISE</v>
          </cell>
        </row>
        <row r="76">
          <cell r="F76" t="str">
            <v>SOCIEDAD INDUSTRIAL EQUIPOS Y SERVICIOS (SIES)</v>
          </cell>
          <cell r="H76" t="str">
            <v>SMB</v>
          </cell>
        </row>
        <row r="77">
          <cell r="F77" t="str">
            <v>CINMSA</v>
          </cell>
          <cell r="H77" t="str">
            <v>ENTERPRISE</v>
          </cell>
        </row>
        <row r="78">
          <cell r="F78" t="str">
            <v>GRUPO SABER INTEGRARSE (Saberin)</v>
          </cell>
          <cell r="H78" t="str">
            <v>ENTERPRISE</v>
          </cell>
        </row>
        <row r="79">
          <cell r="F79" t="str">
            <v>DESARROLLO INTEGRAL ADMINISTRATIVO LUAN (Grupo IPS)</v>
          </cell>
          <cell r="H79" t="str">
            <v>ENTERPRISE</v>
          </cell>
        </row>
        <row r="80">
          <cell r="F80" t="str">
            <v>COMERCIALIZADORA DOMARTS</v>
          </cell>
          <cell r="H80" t="str">
            <v>ENTERPRISE</v>
          </cell>
        </row>
        <row r="81">
          <cell r="F81" t="str">
            <v>C. &amp; G. OFTALMOLOGOS (San Angel Oftalmologica)</v>
          </cell>
          <cell r="H81" t="str">
            <v>ENTERPRISE</v>
          </cell>
        </row>
        <row r="82">
          <cell r="F82" t="str">
            <v>NETAFIM MEXICO SA DE CV</v>
          </cell>
          <cell r="H82" t="str">
            <v>ENTERPRISE</v>
          </cell>
        </row>
        <row r="83">
          <cell r="F83" t="str">
            <v>TRIBUNAL DE JUSTICIA ADMINISTRATIVA DEL ESTADO DE MEXICO (Gobierno del estado de mexico)</v>
          </cell>
          <cell r="H83" t="str">
            <v>ENTERPRISE</v>
          </cell>
        </row>
        <row r="84">
          <cell r="F84" t="str">
            <v>KLIP LAB</v>
          </cell>
          <cell r="H84" t="str">
            <v>ENTERPRISE</v>
          </cell>
        </row>
        <row r="85">
          <cell r="F85" t="str">
            <v>BARRADAS REFRIGERACION COMERCIAL</v>
          </cell>
          <cell r="H85" t="str">
            <v>ENTERPRISE</v>
          </cell>
        </row>
        <row r="86">
          <cell r="F86" t="str">
            <v>TOTALENERGIES MARKETING MEXICO</v>
          </cell>
          <cell r="H86" t="str">
            <v>ENTERPRISE</v>
          </cell>
        </row>
        <row r="87">
          <cell r="F87" t="str">
            <v>MEXICANA DE ARROZ</v>
          </cell>
          <cell r="H87" t="str">
            <v>ENTERPRISE</v>
          </cell>
        </row>
        <row r="88">
          <cell r="F88" t="str">
            <v>UNIVERSIDAD LATINOAMERICANA</v>
          </cell>
          <cell r="H88" t="str">
            <v>ENTERPRISE</v>
          </cell>
        </row>
        <row r="89">
          <cell r="F89" t="str">
            <v>PODER JUSTO</v>
          </cell>
          <cell r="H89" t="str">
            <v>ENTERPRISE</v>
          </cell>
        </row>
        <row r="90">
          <cell r="F90" t="str">
            <v>TRANSPORTACION Y LOGISTICA MALDONADO (TRANSMAL)</v>
          </cell>
          <cell r="H90" t="str">
            <v>ENTERPRISE</v>
          </cell>
        </row>
        <row r="91">
          <cell r="F91" t="str">
            <v>HORIZON AUTO LOGISTICS</v>
          </cell>
          <cell r="H91" t="str">
            <v>ENTERPRISE</v>
          </cell>
        </row>
        <row r="92">
          <cell r="F92" t="str">
            <v>ANCORA AGENTE DE SEGUROS Y DE FIANZAS</v>
          </cell>
          <cell r="H92" t="str">
            <v>SMB</v>
          </cell>
        </row>
        <row r="93">
          <cell r="F93" t="str">
            <v>TECH BUKERS (BUK)</v>
          </cell>
          <cell r="H93" t="str">
            <v>ENTERPRISE</v>
          </cell>
        </row>
        <row r="94">
          <cell r="F94" t="str">
            <v>TEAM BACK 11</v>
          </cell>
          <cell r="H94" t="str">
            <v>ENTERPRISE</v>
          </cell>
        </row>
        <row r="95">
          <cell r="F95" t="str">
            <v>CAFES DE ESPECIALIDAD DE CHIAPAS S.A.P.I. DE C.V. (CAFESCA)*</v>
          </cell>
          <cell r="H95" t="str">
            <v>ENTERPRISE</v>
          </cell>
        </row>
        <row r="96">
          <cell r="F96" t="str">
            <v>DOMUS URBANIZADORA Y EDIFICADORA</v>
          </cell>
          <cell r="H96" t="str">
            <v>SMB</v>
          </cell>
        </row>
        <row r="97">
          <cell r="F97" t="str">
            <v>FARMACIAS SIMI DEL NORTE</v>
          </cell>
          <cell r="H97" t="str">
            <v>ENTERPRISE</v>
          </cell>
        </row>
        <row r="98">
          <cell r="F98" t="str">
            <v>EB SIETE</v>
          </cell>
          <cell r="H98" t="str">
            <v>SMB</v>
          </cell>
        </row>
        <row r="99">
          <cell r="F99" t="str">
            <v>SINFOROSA CAFE</v>
          </cell>
          <cell r="H99" t="str">
            <v>ENTERPRISE</v>
          </cell>
        </row>
        <row r="100">
          <cell r="F100" t="str">
            <v>V O TECNOLOGIA LASER APLICADA A LA VISION</v>
          </cell>
          <cell r="H100" t="str">
            <v>SMB</v>
          </cell>
        </row>
        <row r="101">
          <cell r="F101" t="str">
            <v>Cooking Solutions SA de CV (La Nacional)</v>
          </cell>
          <cell r="H101" t="str">
            <v>SMB</v>
          </cell>
        </row>
        <row r="102">
          <cell r="F102" t="str">
            <v>HIDALGO VIGUERAS CONSULTORES</v>
          </cell>
          <cell r="H102" t="str">
            <v>SMB</v>
          </cell>
        </row>
        <row r="103">
          <cell r="F103" t="str">
            <v>WIN PRO CAR (Refaccionaria Mendoza)</v>
          </cell>
          <cell r="H103" t="str">
            <v>SMB</v>
          </cell>
        </row>
        <row r="104">
          <cell r="F104" t="str">
            <v>CONSORCIO INDUSTRIAL EDIFICA</v>
          </cell>
          <cell r="H104" t="str">
            <v>SMB</v>
          </cell>
        </row>
        <row r="105">
          <cell r="F105" t="str">
            <v>GRUPO MODS</v>
          </cell>
          <cell r="H105" t="str">
            <v>SMB</v>
          </cell>
        </row>
        <row r="106">
          <cell r="F106" t="str">
            <v>SENSAI SOFTWARE</v>
          </cell>
          <cell r="H106" t="str">
            <v>SMB</v>
          </cell>
        </row>
        <row r="107">
          <cell r="F107" t="str">
            <v>WILSON SPORTING GOODS CO DE MEXICO (Amer Sports)</v>
          </cell>
          <cell r="H107" t="str">
            <v>ENTERPRISE</v>
          </cell>
        </row>
        <row r="108">
          <cell r="F108" t="str">
            <v>LO MEJOR EN ELECTRONICA</v>
          </cell>
          <cell r="H108" t="str">
            <v>SMB</v>
          </cell>
        </row>
        <row r="109">
          <cell r="F109" t="str">
            <v>TRANSPORTES WONG DE LA TORRE</v>
          </cell>
          <cell r="H109" t="str">
            <v>SMB</v>
          </cell>
        </row>
        <row r="110">
          <cell r="F110" t="str">
            <v>SIERRA NORTE TRUCK CENTER</v>
          </cell>
          <cell r="H110" t="str">
            <v>SMB</v>
          </cell>
        </row>
        <row r="111">
          <cell r="F111" t="str">
            <v>ALIMENTOS AREM</v>
          </cell>
          <cell r="H111" t="str">
            <v>SMB</v>
          </cell>
        </row>
        <row r="112">
          <cell r="F112" t="str">
            <v>ALIMENTOS INTEGRONATURALES</v>
          </cell>
          <cell r="H112" t="str">
            <v>SMB</v>
          </cell>
        </row>
        <row r="113">
          <cell r="F113" t="str">
            <v>OVERHAUL RISK MANAGEMENT</v>
          </cell>
          <cell r="H113" t="str">
            <v>SMB</v>
          </cell>
        </row>
        <row r="114">
          <cell r="F114" t="str">
            <v>PROTECTOGARD (LA MARE)</v>
          </cell>
          <cell r="H114" t="str">
            <v>SMB</v>
          </cell>
        </row>
        <row r="115">
          <cell r="F115" t="str">
            <v>ISEG MEXICO SEGURIDAD PRIVADA</v>
          </cell>
          <cell r="H115" t="str">
            <v>SMB</v>
          </cell>
        </row>
        <row r="116">
          <cell r="F116" t="str">
            <v>INDUSTRIA ECOLOGICA TA (ECOTEX)</v>
          </cell>
          <cell r="H116" t="str">
            <v>SMB</v>
          </cell>
        </row>
        <row r="117">
          <cell r="F117" t="str">
            <v>COMERCIALIZADORA DE MARCAS CASMA</v>
          </cell>
          <cell r="H117" t="str">
            <v>SMB</v>
          </cell>
        </row>
        <row r="118">
          <cell r="F118" t="str">
            <v>CONSTRUCTORA JAN</v>
          </cell>
          <cell r="H118" t="str">
            <v>SMB</v>
          </cell>
        </row>
        <row r="119">
          <cell r="F119" t="str">
            <v>ALCORE INGENIEROS</v>
          </cell>
          <cell r="H119" t="str">
            <v>SMB</v>
          </cell>
        </row>
        <row r="120">
          <cell r="F120" t="str">
            <v>ADMINISTRADORA DE CAJA BIENESTAR</v>
          </cell>
          <cell r="H120" t="str">
            <v>SMB</v>
          </cell>
        </row>
        <row r="121">
          <cell r="F121" t="str">
            <v>QUIMICA BLANTEX</v>
          </cell>
          <cell r="H121" t="str">
            <v>SMB</v>
          </cell>
        </row>
        <row r="122">
          <cell r="F122" t="str">
            <v>PALLET DESING &amp; SUPORT DE MEXICO</v>
          </cell>
          <cell r="H122" t="str">
            <v>SMB</v>
          </cell>
        </row>
        <row r="123">
          <cell r="F123" t="str">
            <v>ADICTT</v>
          </cell>
          <cell r="H123" t="str">
            <v>ENTERPRISE</v>
          </cell>
        </row>
        <row r="124">
          <cell r="F124" t="str">
            <v>GEISHA QUERETARO</v>
          </cell>
          <cell r="H124" t="str">
            <v>ENTERPRISE</v>
          </cell>
        </row>
        <row r="125">
          <cell r="F125" t="str">
            <v>TRANSPORTES ZAPATA MEJIA</v>
          </cell>
          <cell r="H125" t="str">
            <v>SMB</v>
          </cell>
        </row>
        <row r="126">
          <cell r="F126" t="str">
            <v>COSMIC PRODUCT COMPANY</v>
          </cell>
          <cell r="H126" t="str">
            <v>SMB</v>
          </cell>
        </row>
        <row r="127">
          <cell r="F127" t="str">
            <v>SERVICIO Y DISTRIBUIDORES DE AUTOPARTES</v>
          </cell>
          <cell r="H127" t="str">
            <v>SMB</v>
          </cell>
        </row>
        <row r="128">
          <cell r="F128" t="str">
            <v>TIENDAS GMH (Operadora Internacional de Negocios Huzky S de RL de CV)</v>
          </cell>
          <cell r="H128" t="str">
            <v>SMB</v>
          </cell>
        </row>
        <row r="129">
          <cell r="F129" t="str">
            <v>ASCENTY MEXICO</v>
          </cell>
          <cell r="H129" t="str">
            <v>SMB</v>
          </cell>
        </row>
        <row r="130">
          <cell r="F130" t="str">
            <v>H52 MEXICO</v>
          </cell>
          <cell r="H130" t="str">
            <v>ENTERPRISE</v>
          </cell>
        </row>
        <row r="131">
          <cell r="F131" t="str">
            <v>CORTE NIBLADO Y CONFORMADO</v>
          </cell>
          <cell r="H131" t="str">
            <v>Enterprise</v>
          </cell>
        </row>
        <row r="132">
          <cell r="F132" t="str">
            <v>GEISHA K</v>
          </cell>
          <cell r="H132" t="str">
            <v>ENTERPRISE</v>
          </cell>
        </row>
        <row r="133">
          <cell r="F133" t="str">
            <v>WISDOM FORWARDING, S.C. (WISDOM DIGITAL LOGISTICS)</v>
          </cell>
          <cell r="H133"/>
        </row>
        <row r="134">
          <cell r="F134" t="str">
            <v>TEAM FOODS MEXICO</v>
          </cell>
          <cell r="H134" t="str">
            <v>SMB</v>
          </cell>
        </row>
        <row r="135">
          <cell r="F135" t="str">
            <v>ESLABON CLINICO</v>
          </cell>
          <cell r="H135" t="str">
            <v>ENTERPRISE</v>
          </cell>
        </row>
        <row r="136">
          <cell r="F136" t="str">
            <v>IBAHUS MUNDO (Corazón de Alcachofa)</v>
          </cell>
          <cell r="H136" t="str">
            <v>SMB</v>
          </cell>
        </row>
        <row r="137">
          <cell r="F137" t="str">
            <v>GROSS ARQUITECTURA Y CONSTRUCCIONES</v>
          </cell>
          <cell r="H137" t="str">
            <v>SMB</v>
          </cell>
        </row>
        <row r="138">
          <cell r="F138" t="str">
            <v>DOMUS URBANIZACIONES</v>
          </cell>
          <cell r="H138" t="str">
            <v>SMB</v>
          </cell>
        </row>
        <row r="139">
          <cell r="F139" t="str">
            <v>MADERKIT DE MEXICO</v>
          </cell>
          <cell r="H139" t="str">
            <v>SMB</v>
          </cell>
        </row>
        <row r="140">
          <cell r="F140" t="str">
            <v>GRUPO AUTOPISTAS NACIONALES</v>
          </cell>
          <cell r="H140" t="str">
            <v>ENTERPRISE</v>
          </cell>
        </row>
        <row r="141">
          <cell r="F141" t="str">
            <v>PINTURAS REM DE MEXICALI</v>
          </cell>
          <cell r="H141" t="str">
            <v>SMB</v>
          </cell>
        </row>
        <row r="142">
          <cell r="F142" t="str">
            <v>PERCHAGAR</v>
          </cell>
          <cell r="H142" t="str">
            <v>SMB</v>
          </cell>
        </row>
        <row r="143">
          <cell r="F143" t="str">
            <v>VALIANT DE MEXICO</v>
          </cell>
          <cell r="H143" t="str">
            <v>SMB</v>
          </cell>
        </row>
        <row r="144">
          <cell r="F144" t="str">
            <v>INSTALACIONES AMBIARK</v>
          </cell>
          <cell r="H144" t="str">
            <v>SMB</v>
          </cell>
        </row>
        <row r="145">
          <cell r="F145" t="str">
            <v>ARROCERA DEL BAJIO</v>
          </cell>
          <cell r="H145" t="str">
            <v>ENTERPRISE</v>
          </cell>
        </row>
        <row r="146">
          <cell r="F146" t="str">
            <v>RICARNES BEEF</v>
          </cell>
          <cell r="H146" t="str">
            <v>SMB</v>
          </cell>
        </row>
        <row r="147">
          <cell r="F147" t="str">
            <v>AUTOMOTRIZ GEISHA</v>
          </cell>
          <cell r="H147" t="str">
            <v>ENTERPRISE</v>
          </cell>
        </row>
        <row r="148">
          <cell r="F148" t="str">
            <v>ACTIC (Master Builder)</v>
          </cell>
          <cell r="H148" t="str">
            <v>SMB</v>
          </cell>
        </row>
        <row r="149">
          <cell r="F149" t="str">
            <v>PORCO ROSSO BBQ</v>
          </cell>
          <cell r="H149" t="str">
            <v>SMB</v>
          </cell>
        </row>
        <row r="150">
          <cell r="F150" t="str">
            <v>ZAPATERIA LA GRAN PLAZA</v>
          </cell>
          <cell r="H150" t="str">
            <v>SMB</v>
          </cell>
        </row>
        <row r="151">
          <cell r="F151" t="str">
            <v>PAN DE PAN MONTERREY</v>
          </cell>
          <cell r="H151" t="str">
            <v>SMB</v>
          </cell>
        </row>
        <row r="152">
          <cell r="F152" t="str">
            <v>VERTIV MEXICO</v>
          </cell>
          <cell r="H152" t="str">
            <v>SMB</v>
          </cell>
        </row>
        <row r="153">
          <cell r="F153" t="str">
            <v>DIVYA</v>
          </cell>
          <cell r="H153" t="str">
            <v>SMB</v>
          </cell>
        </row>
        <row r="154">
          <cell r="F154" t="str">
            <v>QUESERIA AMERICA</v>
          </cell>
          <cell r="H154" t="str">
            <v>SMB</v>
          </cell>
        </row>
        <row r="155">
          <cell r="F155" t="str">
            <v>GRUPO NACIONAL COLCHONERO</v>
          </cell>
          <cell r="H155" t="str">
            <v>SMB</v>
          </cell>
        </row>
        <row r="156">
          <cell r="F156" t="str">
            <v>GRUPO MAPUCHE</v>
          </cell>
          <cell r="H156" t="str">
            <v>ENTERPRISE</v>
          </cell>
        </row>
        <row r="157">
          <cell r="F157" t="str">
            <v>INTEGRITY PROTECTION SERVICES (IPS)</v>
          </cell>
          <cell r="H157" t="str">
            <v>SMB</v>
          </cell>
        </row>
        <row r="158">
          <cell r="F158" t="str">
            <v>ACTIVIDADES EMPRESARIALES IRNA (GRUPO PROM)</v>
          </cell>
          <cell r="H158" t="str">
            <v>SMB</v>
          </cell>
        </row>
        <row r="159">
          <cell r="F159" t="str">
            <v>INGREDITECH</v>
          </cell>
          <cell r="H159" t="str">
            <v>SMB</v>
          </cell>
        </row>
        <row r="160">
          <cell r="F160" t="str">
            <v>CONCRETOS LA SILLA</v>
          </cell>
          <cell r="H160"/>
        </row>
        <row r="161">
          <cell r="F161" t="str">
            <v>GW PLASTICS MEXICANA</v>
          </cell>
          <cell r="H161" t="str">
            <v>SMB</v>
          </cell>
        </row>
        <row r="162">
          <cell r="F162" t="str">
            <v>ARAN CONSTRUCCIÓN E INGENIERIA S.A DE C.V (Alves Ribeiro)</v>
          </cell>
          <cell r="H162" t="str">
            <v>SMB</v>
          </cell>
        </row>
        <row r="163">
          <cell r="F163" t="str">
            <v>U - STORAGE SERVICIOS</v>
          </cell>
          <cell r="H163" t="str">
            <v>SMB</v>
          </cell>
        </row>
        <row r="164">
          <cell r="F164" t="str">
            <v>VISMA ENTERPRISE SAC</v>
          </cell>
          <cell r="H164" t="str">
            <v>SMB</v>
          </cell>
        </row>
        <row r="165">
          <cell r="F165" t="str">
            <v>CRYSTAL GREEN DE MEXICO</v>
          </cell>
          <cell r="H165" t="str">
            <v>SMB</v>
          </cell>
        </row>
        <row r="166">
          <cell r="F166" t="str">
            <v>MICROSAFE</v>
          </cell>
          <cell r="H166" t="str">
            <v>SMB</v>
          </cell>
        </row>
        <row r="167">
          <cell r="F167" t="str">
            <v>ECOPLATING</v>
          </cell>
          <cell r="H167" t="str">
            <v>SMB</v>
          </cell>
        </row>
        <row r="168">
          <cell r="F168" t="str">
            <v>SOLUCIONES INTELIGENTES EN EMBALAJE</v>
          </cell>
          <cell r="H168" t="str">
            <v>SMB</v>
          </cell>
        </row>
        <row r="169">
          <cell r="F169" t="str">
            <v>CONSTRUCCIONES AMOZOC PEROTE</v>
          </cell>
          <cell r="H169" t="str">
            <v>ENTERPRISE</v>
          </cell>
        </row>
        <row r="170">
          <cell r="F170" t="str">
            <v>MINERALIA INTERNACIONAL</v>
          </cell>
          <cell r="H170" t="str">
            <v>SMB</v>
          </cell>
        </row>
        <row r="171">
          <cell r="F171" t="str">
            <v>JOSE LEONARDO MIJARES MENESES (Alliance Rentals / Alliance Solutions)</v>
          </cell>
          <cell r="H171" t="str">
            <v>SMB</v>
          </cell>
        </row>
        <row r="172">
          <cell r="F172" t="str">
            <v>OPERADORA METRIA DEL CENTRO</v>
          </cell>
          <cell r="H172" t="str">
            <v>SMB</v>
          </cell>
        </row>
        <row r="173">
          <cell r="F173" t="str">
            <v>CAPITAL BUS</v>
          </cell>
          <cell r="H173" t="str">
            <v>SMB</v>
          </cell>
        </row>
        <row r="174">
          <cell r="F174" t="str">
            <v>WEECLAIMS</v>
          </cell>
          <cell r="H174" t="str">
            <v>SMB</v>
          </cell>
        </row>
        <row r="175">
          <cell r="F175" t="str">
            <v>GRUPO BLACK CLINICAS</v>
          </cell>
          <cell r="H175" t="str">
            <v>SMB</v>
          </cell>
        </row>
        <row r="176">
          <cell r="F176" t="str">
            <v>MADAME DUBARRY (Medical Center)</v>
          </cell>
          <cell r="H176" t="str">
            <v>SMB</v>
          </cell>
        </row>
        <row r="177">
          <cell r="F177" t="str">
            <v>LA RED CORPORATIVO</v>
          </cell>
          <cell r="H177" t="str">
            <v>SMB</v>
          </cell>
        </row>
        <row r="178">
          <cell r="F178" t="str">
            <v>PLASTMEX</v>
          </cell>
          <cell r="H178" t="str">
            <v>SMB</v>
          </cell>
        </row>
        <row r="179">
          <cell r="F179" t="str">
            <v>GRUPO HOTELERO SAMAR</v>
          </cell>
          <cell r="H179" t="str">
            <v>ENTERPRISE</v>
          </cell>
        </row>
        <row r="180">
          <cell r="F180" t="str">
            <v>MELONN SUBSIDIARIA MEXICO</v>
          </cell>
          <cell r="H180" t="str">
            <v>SMB</v>
          </cell>
        </row>
        <row r="181">
          <cell r="F181" t="str">
            <v>COMPUMEX DIGITAL</v>
          </cell>
          <cell r="H181" t="str">
            <v>SMB</v>
          </cell>
        </row>
        <row r="182">
          <cell r="F182" t="str">
            <v>TECNOLOGIA SINTEL (FORBO)</v>
          </cell>
          <cell r="H182" t="str">
            <v>SMB</v>
          </cell>
        </row>
        <row r="183">
          <cell r="F183" t="str">
            <v>COSMOPHARMEX (Schätz &amp; Catanni)</v>
          </cell>
          <cell r="H183" t="str">
            <v>SMB</v>
          </cell>
        </row>
        <row r="184">
          <cell r="F184" t="str">
            <v>RACKSA AUTOMOTRIZ</v>
          </cell>
          <cell r="H184" t="str">
            <v>SMB</v>
          </cell>
        </row>
        <row r="185">
          <cell r="F185" t="str">
            <v>PROYECTOS E INGENIERIA EN VENTILACION, AIRE Y CALEFACCION (PIVACSA)</v>
          </cell>
          <cell r="H185" t="str">
            <v>SMB</v>
          </cell>
        </row>
        <row r="186">
          <cell r="F186" t="str">
            <v>INDUSTRIAS DE ENVASES TYPACK MEXICO</v>
          </cell>
          <cell r="H186" t="str">
            <v>SMB</v>
          </cell>
        </row>
        <row r="187">
          <cell r="F187" t="str">
            <v>PERI CIMBRAS Y ANDAMIOS</v>
          </cell>
          <cell r="H187" t="str">
            <v>SMB</v>
          </cell>
        </row>
        <row r="188">
          <cell r="F188" t="str">
            <v>JASSEGO ALIMENTOS (PECKERS NASHVILLE HOT CHICKEN)</v>
          </cell>
          <cell r="H188" t="str">
            <v>SMB</v>
          </cell>
        </row>
        <row r="189">
          <cell r="F189" t="str">
            <v>TITAN EDIFICACIONES</v>
          </cell>
          <cell r="H189" t="str">
            <v>SMB</v>
          </cell>
        </row>
        <row r="190">
          <cell r="F190" t="str">
            <v>ACCESORIOS Y REFACCIONES PARA MOVILIDAD (Mundimotos)</v>
          </cell>
          <cell r="H190" t="str">
            <v>SMB</v>
          </cell>
        </row>
        <row r="191">
          <cell r="F191" t="str">
            <v>TAGLE BLINDER</v>
          </cell>
          <cell r="H191" t="str">
            <v>SMB</v>
          </cell>
        </row>
        <row r="192">
          <cell r="F192" t="str">
            <v>SIEMENS GESA RENEWABLE ENERGY</v>
          </cell>
          <cell r="H192" t="str">
            <v>SMB</v>
          </cell>
        </row>
        <row r="193">
          <cell r="F193" t="str">
            <v>SERVIGUE</v>
          </cell>
          <cell r="H193" t="str">
            <v>SMB</v>
          </cell>
        </row>
        <row r="194">
          <cell r="F194" t="str">
            <v>EXPORTACIONES DIEZ</v>
          </cell>
          <cell r="H194" t="str">
            <v>SMB</v>
          </cell>
        </row>
        <row r="195">
          <cell r="F195" t="str">
            <v>INSTITUTO TECNOLOGICO SUPERIOR DE ZACAPOAXTLA</v>
          </cell>
          <cell r="H195" t="str">
            <v>SMB</v>
          </cell>
        </row>
        <row r="196">
          <cell r="F196" t="str">
            <v>SAMA FOODS</v>
          </cell>
          <cell r="H196" t="str">
            <v>SMB</v>
          </cell>
        </row>
        <row r="197">
          <cell r="F197" t="str">
            <v>OFERLLANTAS PROVEEDOR LLANTERO</v>
          </cell>
          <cell r="H197" t="str">
            <v>SMB</v>
          </cell>
        </row>
        <row r="198">
          <cell r="F198" t="str">
            <v>VIVALO CEL</v>
          </cell>
          <cell r="H198" t="str">
            <v>SMB</v>
          </cell>
        </row>
        <row r="199">
          <cell r="F199" t="str">
            <v>CALKINS BURKE AND ZANNIE DE MEXICO</v>
          </cell>
          <cell r="H199" t="str">
            <v>SMB</v>
          </cell>
        </row>
        <row r="200">
          <cell r="F200" t="str">
            <v>INSTITUTO PARA EL DESARROLLO Y ACTUALIZACION DE PROFESIONALES (IDAP)</v>
          </cell>
          <cell r="H200" t="str">
            <v>SMB</v>
          </cell>
        </row>
        <row r="201">
          <cell r="F201" t="str">
            <v>TECNOLOGIA EN BENEFICIOS MEXICO</v>
          </cell>
          <cell r="H201" t="str">
            <v>SMB</v>
          </cell>
        </row>
        <row r="202">
          <cell r="F202" t="str">
            <v>BICIMEX, S.A. DE C.V.</v>
          </cell>
          <cell r="H202" t="str">
            <v>SMB</v>
          </cell>
        </row>
        <row r="203">
          <cell r="F203" t="str">
            <v>SCR COMMUNICATIONS</v>
          </cell>
          <cell r="H203" t="str">
            <v>SMB</v>
          </cell>
        </row>
        <row r="204">
          <cell r="F204" t="str">
            <v>ASOCIACION MEXICANA DE INSTITUCIONES BURSATILES (AMIB)</v>
          </cell>
          <cell r="H204" t="str">
            <v>SMB</v>
          </cell>
        </row>
        <row r="205">
          <cell r="F205" t="str">
            <v>SERINTRA</v>
          </cell>
          <cell r="H205" t="str">
            <v>SMB</v>
          </cell>
        </row>
        <row r="206">
          <cell r="F206" t="str">
            <v>PIN IT MEDIA</v>
          </cell>
          <cell r="H206" t="str">
            <v>SMB</v>
          </cell>
        </row>
        <row r="207">
          <cell r="F207" t="str">
            <v>APROTEA</v>
          </cell>
          <cell r="H207" t="str">
            <v>SMB</v>
          </cell>
        </row>
        <row r="208">
          <cell r="F208" t="str">
            <v>ACCORD FARMA</v>
          </cell>
          <cell r="H208" t="str">
            <v>SMB</v>
          </cell>
        </row>
        <row r="209">
          <cell r="F209" t="str">
            <v>HEXAGON MINING MEXICO</v>
          </cell>
          <cell r="H209" t="str">
            <v>SMB</v>
          </cell>
        </row>
        <row r="210">
          <cell r="F210" t="str">
            <v>RENDIMIENTO NAXU (CESAT)</v>
          </cell>
          <cell r="H210" t="str">
            <v>SMB</v>
          </cell>
        </row>
        <row r="211">
          <cell r="F211" t="str">
            <v>CONGELADORA COMFRUT</v>
          </cell>
          <cell r="H211" t="str">
            <v>ENTERPRISE</v>
          </cell>
        </row>
        <row r="212">
          <cell r="F212" t="str">
            <v>GUILLERMO OMAR GIM BURRUEL</v>
          </cell>
          <cell r="H212" t="str">
            <v>SMB</v>
          </cell>
        </row>
        <row r="213">
          <cell r="F213" t="str">
            <v>VIADUCTO BICENTENARIO</v>
          </cell>
          <cell r="H213" t="str">
            <v>ENTERPRISE</v>
          </cell>
        </row>
        <row r="214">
          <cell r="F214" t="str">
            <v>UNIVERSIDAD DEL DESARROLLO PROFESIONAL (UNIDEP)</v>
          </cell>
          <cell r="H214" t="str">
            <v>SMB</v>
          </cell>
        </row>
        <row r="215">
          <cell r="F215" t="str">
            <v>JORGE LEAL SEGOVIA (Fletes Leal)</v>
          </cell>
          <cell r="H215" t="str">
            <v>SMB</v>
          </cell>
        </row>
        <row r="216">
          <cell r="F216" t="str">
            <v>SERVIAP LOGISTICS</v>
          </cell>
          <cell r="H216" t="str">
            <v>SMB</v>
          </cell>
        </row>
        <row r="217">
          <cell r="F217" t="str">
            <v>ESTEBAN SANCHEZ Y ASOCIADOS</v>
          </cell>
          <cell r="H217" t="str">
            <v>SMB</v>
          </cell>
        </row>
        <row r="218">
          <cell r="F218" t="str">
            <v>OPERADORA SUMA PARK</v>
          </cell>
          <cell r="H218" t="str">
            <v>SMB</v>
          </cell>
        </row>
        <row r="219">
          <cell r="F219" t="str">
            <v>DISTRIBUIDORA LED DE MEXICO</v>
          </cell>
          <cell r="H219" t="str">
            <v>SMB</v>
          </cell>
        </row>
        <row r="220">
          <cell r="F220" t="str">
            <v>ZKC ADMINISTRACION</v>
          </cell>
          <cell r="H220" t="str">
            <v>SMB</v>
          </cell>
        </row>
        <row r="221">
          <cell r="F221" t="str">
            <v>GRUPO ANDAMIOS REGIOMONTANOS</v>
          </cell>
          <cell r="H221" t="str">
            <v>SMB</v>
          </cell>
        </row>
        <row r="222">
          <cell r="F222" t="str">
            <v>TRANSPORTES PIGASA</v>
          </cell>
          <cell r="H222" t="str">
            <v>SMB</v>
          </cell>
        </row>
        <row r="223">
          <cell r="F223" t="str">
            <v>VALIDACION Y METROLOGIA (VAMET)</v>
          </cell>
          <cell r="H223" t="str">
            <v>SMB</v>
          </cell>
        </row>
        <row r="224">
          <cell r="F224" t="str">
            <v>CARCAMOVIL MEXICO</v>
          </cell>
          <cell r="H224" t="str">
            <v>SMB</v>
          </cell>
        </row>
        <row r="225">
          <cell r="F225" t="str">
            <v>MAXILED DE OCCIDENTE</v>
          </cell>
          <cell r="H225" t="str">
            <v>SMB</v>
          </cell>
        </row>
        <row r="226">
          <cell r="F226" t="str">
            <v>PROQUIPA</v>
          </cell>
          <cell r="H226" t="str">
            <v>SMB</v>
          </cell>
        </row>
        <row r="227">
          <cell r="F227" t="str">
            <v>BODEGA DE PAPEL MESONES</v>
          </cell>
          <cell r="H227"/>
        </row>
        <row r="228">
          <cell r="F228" t="str">
            <v>JUNGLA DE TIMO</v>
          </cell>
          <cell r="H228" t="str">
            <v>SMB</v>
          </cell>
        </row>
        <row r="229">
          <cell r="F229" t="str">
            <v>UNITED BARCODE SYSTEMS DE MEXICO (UBS)</v>
          </cell>
          <cell r="H229" t="str">
            <v>SMB</v>
          </cell>
        </row>
        <row r="230">
          <cell r="F230" t="str">
            <v>AGROFORESTAL DEL VALLE DE NEJAPA</v>
          </cell>
          <cell r="H230" t="str">
            <v>SMB</v>
          </cell>
        </row>
        <row r="231">
          <cell r="F231" t="str">
            <v>CONSERVACION MM</v>
          </cell>
          <cell r="H231" t="str">
            <v>ENTERPRISE</v>
          </cell>
        </row>
        <row r="232">
          <cell r="F232" t="str">
            <v>EOLIS AMERICA LATINA</v>
          </cell>
          <cell r="H232" t="str">
            <v>SMB</v>
          </cell>
        </row>
        <row r="233">
          <cell r="F233" t="str">
            <v>STED TRASLADOS</v>
          </cell>
          <cell r="H233" t="str">
            <v>SMB</v>
          </cell>
        </row>
        <row r="234">
          <cell r="F234" t="str">
            <v>EMPACADORA NOR VER</v>
          </cell>
          <cell r="H234" t="str">
            <v>SMB</v>
          </cell>
        </row>
        <row r="235">
          <cell r="F235" t="str">
            <v>ECOSY ENGINEERING</v>
          </cell>
          <cell r="H235" t="str">
            <v>SMB</v>
          </cell>
        </row>
        <row r="236">
          <cell r="F236" t="str">
            <v>GEISHA LA VILLA</v>
          </cell>
          <cell r="H236" t="str">
            <v>ENTERPRISE</v>
          </cell>
        </row>
        <row r="237">
          <cell r="F237" t="str">
            <v>HOTELES GRAN CLASE</v>
          </cell>
          <cell r="H237" t="str">
            <v>SMB</v>
          </cell>
        </row>
        <row r="238">
          <cell r="F238" t="str">
            <v>PROVEEDORA REM</v>
          </cell>
          <cell r="H238" t="str">
            <v>SMB</v>
          </cell>
        </row>
        <row r="239">
          <cell r="F239" t="str">
            <v>VELEZ CHILDRENS LANGUAGE CENTER</v>
          </cell>
          <cell r="H239" t="str">
            <v>SMB</v>
          </cell>
        </row>
        <row r="240">
          <cell r="F240" t="str">
            <v>SOMOS DEL MUNDO</v>
          </cell>
          <cell r="H240" t="str">
            <v>SMB</v>
          </cell>
        </row>
        <row r="241">
          <cell r="F241" t="str">
            <v>SERVICIOS INTEGRALES DE RECOLECCION DE RESIDUOS</v>
          </cell>
          <cell r="H241" t="str">
            <v>SMB</v>
          </cell>
        </row>
        <row r="242">
          <cell r="F242" t="str">
            <v>CENTRO AUTOMOTRIZ FUTURAMA</v>
          </cell>
          <cell r="H242" t="str">
            <v>SMB</v>
          </cell>
        </row>
        <row r="243">
          <cell r="F243" t="str">
            <v>ALEJANDRA MORA MENDOZA (ABC SIVMED)</v>
          </cell>
          <cell r="H243" t="str">
            <v>SMB</v>
          </cell>
        </row>
        <row r="244">
          <cell r="F244" t="str">
            <v>FEHR BROS. INDUSTRIES (Apex Trailers)</v>
          </cell>
          <cell r="H244" t="str">
            <v>SMB</v>
          </cell>
        </row>
        <row r="245">
          <cell r="F245" t="str">
            <v>NSF DE MEXICO</v>
          </cell>
          <cell r="H245" t="str">
            <v>SMB</v>
          </cell>
        </row>
        <row r="246">
          <cell r="F246" t="str">
            <v>CLEAVER BROOKS DE MEXICO</v>
          </cell>
          <cell r="H246" t="str">
            <v>SMB</v>
          </cell>
        </row>
        <row r="247">
          <cell r="F247" t="str">
            <v>CLINICA PACIFICA</v>
          </cell>
          <cell r="H247" t="str">
            <v>SMB</v>
          </cell>
        </row>
        <row r="248">
          <cell r="F248" t="str">
            <v>INMOBILIARIA INMOBICO</v>
          </cell>
          <cell r="H248" t="str">
            <v>SMB</v>
          </cell>
        </row>
        <row r="249">
          <cell r="F249" t="str">
            <v>COMPUREPDIGITAL</v>
          </cell>
          <cell r="H249" t="str">
            <v>SMB</v>
          </cell>
        </row>
        <row r="250">
          <cell r="F250" t="str">
            <v>ECOPLATING MONTERREY</v>
          </cell>
          <cell r="H250" t="str">
            <v>SMB</v>
          </cell>
        </row>
        <row r="251">
          <cell r="F251" t="str">
            <v>CESEHSA PRODUCTS</v>
          </cell>
          <cell r="H251" t="str">
            <v>SMB</v>
          </cell>
        </row>
        <row r="252">
          <cell r="F252" t="str">
            <v>ENTRETENIMIENTO DIAMELA</v>
          </cell>
          <cell r="H252" t="str">
            <v>ENTERPRISE</v>
          </cell>
        </row>
        <row r="253">
          <cell r="F253" t="str">
            <v>TEBON CLASS DE MEXICO</v>
          </cell>
          <cell r="H253" t="str">
            <v>ENTERPRISE</v>
          </cell>
        </row>
        <row r="254">
          <cell r="F254" t="str">
            <v>ABASTECEDORA AGRICENTER</v>
          </cell>
          <cell r="H254" t="str">
            <v>SMB</v>
          </cell>
        </row>
        <row r="255">
          <cell r="F255" t="str">
            <v>AUTOPISTA URBANA NORTE</v>
          </cell>
          <cell r="H255" t="str">
            <v>ENTERPRISE</v>
          </cell>
        </row>
        <row r="256">
          <cell r="F256" t="str">
            <v>VIAJERO HOTELS MX</v>
          </cell>
          <cell r="H256" t="str">
            <v>SMB</v>
          </cell>
        </row>
        <row r="257">
          <cell r="F257" t="str">
            <v>FORMEL D MEXICO</v>
          </cell>
          <cell r="H257" t="str">
            <v>SMB</v>
          </cell>
        </row>
        <row r="258">
          <cell r="F258" t="str">
            <v>PASTOS Y JARDINES LANDSCAPE</v>
          </cell>
          <cell r="H258" t="str">
            <v>SMB</v>
          </cell>
        </row>
        <row r="259">
          <cell r="F259" t="str">
            <v>PROVEEDORA Y COMERCIALIZADORA DE NEGOCIOS DE SONORA</v>
          </cell>
          <cell r="H259" t="str">
            <v>ENTERPRISE</v>
          </cell>
        </row>
        <row r="260">
          <cell r="F260" t="str">
            <v>CONSTRUCTORA ARBO-S</v>
          </cell>
          <cell r="H260" t="str">
            <v>SMB</v>
          </cell>
        </row>
        <row r="261">
          <cell r="F261" t="str">
            <v>GIOVANNI'S COLIMA</v>
          </cell>
          <cell r="H261" t="str">
            <v>SMB</v>
          </cell>
        </row>
        <row r="262">
          <cell r="F262" t="str">
            <v>EULEN FLEXIPLAN SA DE CV</v>
          </cell>
          <cell r="H262" t="str">
            <v>ENTERPRISE</v>
          </cell>
        </row>
        <row r="263">
          <cell r="F263" t="str">
            <v>LOSEN</v>
          </cell>
          <cell r="H263" t="str">
            <v>SMB</v>
          </cell>
        </row>
        <row r="264">
          <cell r="F264" t="str">
            <v>INGENIEROS Y ARQUITECTOS DE TOLUCA</v>
          </cell>
          <cell r="H264" t="str">
            <v>SMB</v>
          </cell>
        </row>
        <row r="265">
          <cell r="F265" t="str">
            <v>ORANGE BUSINESS SERVICES MEXICO</v>
          </cell>
          <cell r="H265" t="str">
            <v>SMB</v>
          </cell>
        </row>
        <row r="266">
          <cell r="F266" t="str">
            <v>OPERADORA CONCESIONARIA MEXIQUENSE</v>
          </cell>
          <cell r="H266" t="str">
            <v>ENTERPRISE</v>
          </cell>
        </row>
        <row r="267">
          <cell r="F267" t="str">
            <v>GRUPO ROKKINA</v>
          </cell>
          <cell r="H267" t="str">
            <v>SMB</v>
          </cell>
        </row>
        <row r="268">
          <cell r="F268" t="str">
            <v>FIDEICOMISO F/1596</v>
          </cell>
          <cell r="H268" t="str">
            <v>SMB</v>
          </cell>
        </row>
        <row r="269">
          <cell r="F269" t="str">
            <v>TANGO ADMINISTRADORA</v>
          </cell>
          <cell r="H269" t="str">
            <v>ENTERPRISE</v>
          </cell>
        </row>
        <row r="270">
          <cell r="F270" t="str">
            <v>ALIMENTOS Y BANQUETES EL NUEVO ESPAÑA</v>
          </cell>
          <cell r="H270" t="str">
            <v>SMB</v>
          </cell>
        </row>
        <row r="271">
          <cell r="F271" t="str">
            <v>ERIK EDUARDO OJEDA MENDEZ</v>
          </cell>
          <cell r="H271" t="str">
            <v>SMB</v>
          </cell>
        </row>
        <row r="272">
          <cell r="F272" t="str">
            <v>ADMINISTRADORA FORTUNE CHIHUAHUA</v>
          </cell>
          <cell r="H272" t="str">
            <v>ENTERPRISE</v>
          </cell>
        </row>
        <row r="273">
          <cell r="F273" t="str">
            <v>MYRIAM JANETT LEAL GARZA</v>
          </cell>
          <cell r="H273" t="str">
            <v>SMB</v>
          </cell>
        </row>
        <row r="274">
          <cell r="F274" t="str">
            <v>GRUPO CARNES SUPREMAS ROSARITO</v>
          </cell>
          <cell r="H274" t="str">
            <v>SMB</v>
          </cell>
        </row>
        <row r="275">
          <cell r="F275" t="str">
            <v>PUBLICO GENERAL</v>
          </cell>
          <cell r="H275" t="str">
            <v>SMB</v>
          </cell>
        </row>
        <row r="276">
          <cell r="F276" t="str">
            <v>SECONMEX ADMINISTRACION</v>
          </cell>
          <cell r="H276" t="str">
            <v>ENTERPRISE</v>
          </cell>
        </row>
        <row r="277">
          <cell r="F277" t="str">
            <v>TALENT 2 CLEAN</v>
          </cell>
          <cell r="H277" t="str">
            <v>SMB</v>
          </cell>
        </row>
        <row r="278">
          <cell r="F278" t="str">
            <v>RENACTEUR</v>
          </cell>
          <cell r="H278" t="str">
            <v>SMB</v>
          </cell>
        </row>
        <row r="279">
          <cell r="F279" t="str">
            <v>AUTOS GALIA QUERETARO</v>
          </cell>
          <cell r="H279" t="str">
            <v>ENTERPRISE</v>
          </cell>
        </row>
        <row r="280">
          <cell r="F280" t="str">
            <v>PROVEEDOR MAYORISTA AL REFACCIONARIO DE MEXICO</v>
          </cell>
          <cell r="H280" t="str">
            <v>SMB</v>
          </cell>
        </row>
        <row r="281">
          <cell r="F281" t="str">
            <v>PLASCENCIA ACUMULADORES</v>
          </cell>
          <cell r="H281" t="str">
            <v>SMB</v>
          </cell>
        </row>
        <row r="282">
          <cell r="F282" t="str">
            <v>INNOVAGRO</v>
          </cell>
          <cell r="H282" t="str">
            <v>SMB</v>
          </cell>
        </row>
        <row r="283">
          <cell r="F283" t="str">
            <v>THINK TIM</v>
          </cell>
          <cell r="H283"/>
        </row>
        <row r="284">
          <cell r="F284" t="str">
            <v>PENTEL DE MEXICO</v>
          </cell>
          <cell r="H284" t="str">
            <v>SMB</v>
          </cell>
        </row>
        <row r="285">
          <cell r="F285" t="str">
            <v>HOSPITAL SOLUTIONS &amp; MEDICAL EQUIPMENT OF CENTER</v>
          </cell>
          <cell r="H285" t="str">
            <v>SMB</v>
          </cell>
        </row>
        <row r="286">
          <cell r="F286" t="str">
            <v>IRKON HOLDINGS</v>
          </cell>
          <cell r="H286" t="str">
            <v>ENTERPRISE</v>
          </cell>
        </row>
        <row r="287">
          <cell r="F287" t="str">
            <v>Stevanato Group</v>
          </cell>
          <cell r="H287" t="str">
            <v> </v>
          </cell>
        </row>
        <row r="288">
          <cell r="F288" t="str">
            <v>BENEFICIOS PARA TI</v>
          </cell>
          <cell r="H288" t="str">
            <v>SMB</v>
          </cell>
        </row>
        <row r="289">
          <cell r="F289" t="str">
            <v>GRUPO HELARTE</v>
          </cell>
          <cell r="H289" t="str">
            <v>SMB</v>
          </cell>
        </row>
        <row r="290">
          <cell r="F290" t="str">
            <v>XANDER</v>
          </cell>
          <cell r="H290" t="str">
            <v>SMB</v>
          </cell>
        </row>
        <row r="291">
          <cell r="F291" t="str">
            <v>POLIMERO Y MATERIAS PRIMAS INTERNACIONALES</v>
          </cell>
          <cell r="H291" t="str">
            <v>SMB</v>
          </cell>
        </row>
        <row r="292">
          <cell r="F292" t="str">
            <v>MULTIMARCAS DEL ESTADO DE MEXICO</v>
          </cell>
          <cell r="H292" t="str">
            <v>SMB</v>
          </cell>
        </row>
        <row r="293">
          <cell r="F293" t="str">
            <v>GENESIS SYSTEMS GROUP MEXICO</v>
          </cell>
          <cell r="H293" t="str">
            <v>SMB</v>
          </cell>
        </row>
        <row r="294">
          <cell r="F294" t="str">
            <v>HORIZON MOBILITY SOLUTIONS</v>
          </cell>
          <cell r="H294" t="str">
            <v>ENTERPRISE</v>
          </cell>
        </row>
        <row r="295">
          <cell r="F295" t="str">
            <v>CENTROS AUDITIVOS GAES MEXICO</v>
          </cell>
          <cell r="H295" t="str">
            <v>SMB</v>
          </cell>
        </row>
        <row r="296">
          <cell r="F296" t="str">
            <v>TROLLE DIVERS</v>
          </cell>
          <cell r="H296" t="str">
            <v>SMB</v>
          </cell>
        </row>
        <row r="297">
          <cell r="F297" t="str">
            <v>BIOTECCSA</v>
          </cell>
          <cell r="H297" t="str">
            <v>SMB</v>
          </cell>
        </row>
        <row r="298">
          <cell r="F298" t="str">
            <v>JOYCE WENDOLYN MORALES MARTINEZ</v>
          </cell>
          <cell r="H298" t="str">
            <v>SMB</v>
          </cell>
        </row>
        <row r="299">
          <cell r="F299" t="str">
            <v>BEMIS DE MEXICO</v>
          </cell>
          <cell r="H299" t="str">
            <v>SMB</v>
          </cell>
        </row>
        <row r="300">
          <cell r="F300" t="str">
            <v>ARMAZON CONSTRUCTORA</v>
          </cell>
          <cell r="H300" t="str">
            <v>SMB</v>
          </cell>
        </row>
        <row r="301">
          <cell r="F301" t="str">
            <v>SOCIEDAD MEXICANA DE PARRILLEROS SMP</v>
          </cell>
          <cell r="H301" t="str">
            <v>SMB</v>
          </cell>
        </row>
        <row r="302">
          <cell r="F302" t="str">
            <v>FEMPA SERVICIOS DE COMIDA</v>
          </cell>
          <cell r="H302" t="str">
            <v>SMB</v>
          </cell>
        </row>
        <row r="303">
          <cell r="F303" t="str">
            <v>BAUNULL INGENIERIA</v>
          </cell>
          <cell r="H303"/>
        </row>
        <row r="304">
          <cell r="F304" t="str">
            <v>ANDAMIOS MONTERREY</v>
          </cell>
          <cell r="H304" t="str">
            <v>SMB</v>
          </cell>
        </row>
        <row r="305">
          <cell r="F305" t="str">
            <v>ERGOMEDICAL DE MEXICO</v>
          </cell>
          <cell r="H305" t="str">
            <v>SMB</v>
          </cell>
        </row>
        <row r="306">
          <cell r="F306" t="str">
            <v>EDIFICACIONES GOVA</v>
          </cell>
          <cell r="H306" t="str">
            <v>SMB</v>
          </cell>
        </row>
        <row r="307">
          <cell r="F307" t="str">
            <v>LOMAS VERDES 21 Y ASOCIADOS</v>
          </cell>
          <cell r="H307" t="str">
            <v>SMB</v>
          </cell>
        </row>
        <row r="308">
          <cell r="F308" t="str">
            <v>GOVA CH</v>
          </cell>
          <cell r="H308" t="str">
            <v>SMB</v>
          </cell>
        </row>
        <row r="309">
          <cell r="F309" t="str">
            <v>LINESHOP MARKET</v>
          </cell>
          <cell r="H309" t="str">
            <v>SMB</v>
          </cell>
        </row>
        <row r="310">
          <cell r="F310" t="str">
            <v>COMERCIALIZADORA TELATOR</v>
          </cell>
          <cell r="H310" t="str">
            <v>SMB</v>
          </cell>
        </row>
        <row r="311">
          <cell r="F311" t="str">
            <v>FUNDADORES BEACH CLUB</v>
          </cell>
          <cell r="H311" t="str">
            <v>SMB</v>
          </cell>
        </row>
        <row r="312">
          <cell r="F312" t="str">
            <v>BROTHERS BEEF</v>
          </cell>
          <cell r="H312" t="str">
            <v>SMB</v>
          </cell>
        </row>
        <row r="313">
          <cell r="F313" t="str">
            <v>SMILE DENTAL HALI</v>
          </cell>
          <cell r="H313" t="str">
            <v>SMB</v>
          </cell>
        </row>
        <row r="314">
          <cell r="F314" t="str">
            <v>COMERCIALIZADORA INTERNACIONAL DE COMPRESORES</v>
          </cell>
          <cell r="H314" t="str">
            <v>SMB</v>
          </cell>
        </row>
        <row r="315">
          <cell r="F315" t="str">
            <v>MIELE</v>
          </cell>
          <cell r="H315" t="str">
            <v>SMB</v>
          </cell>
        </row>
        <row r="316">
          <cell r="F316" t="str">
            <v>ROYAL QUEEN</v>
          </cell>
          <cell r="H316" t="str">
            <v>SMB</v>
          </cell>
        </row>
        <row r="317">
          <cell r="F317" t="str">
            <v>OMNILASER MEDICAL</v>
          </cell>
          <cell r="H317" t="str">
            <v>SMB</v>
          </cell>
        </row>
        <row r="318">
          <cell r="F318" t="str">
            <v>IPI-ASAC MEXICO</v>
          </cell>
          <cell r="H318" t="str">
            <v>SMB</v>
          </cell>
        </row>
        <row r="319">
          <cell r="F319" t="str">
            <v>NUEVA FVZ</v>
          </cell>
          <cell r="H319" t="str">
            <v>SMB</v>
          </cell>
        </row>
        <row r="320">
          <cell r="F320" t="str">
            <v>SOLUCIONES EN MANTENIMIENTO INDUSTRIAL MAQUI</v>
          </cell>
          <cell r="H320"/>
        </row>
        <row r="321">
          <cell r="F321" t="str">
            <v>DRILLMEC MEXICO</v>
          </cell>
          <cell r="H321" t="str">
            <v>SMB</v>
          </cell>
        </row>
        <row r="322">
          <cell r="F322" t="str">
            <v>CAJA SOLIDARIA TECOLOTLAN</v>
          </cell>
          <cell r="H322" t="str">
            <v>SMB</v>
          </cell>
        </row>
        <row r="323">
          <cell r="F323" t="str">
            <v>NEODATA VALLE DE MEXICO</v>
          </cell>
          <cell r="H323" t="str">
            <v>SMB</v>
          </cell>
        </row>
        <row r="324">
          <cell r="F324" t="str">
            <v>JLM SERVICIOS PROFESIONALES INTEGRALES</v>
          </cell>
          <cell r="H324" t="str">
            <v>ENTERPRISE</v>
          </cell>
        </row>
        <row r="325">
          <cell r="F325" t="str">
            <v>FULLMEX INDUSTRIAL</v>
          </cell>
          <cell r="H325" t="str">
            <v>SMB</v>
          </cell>
        </row>
        <row r="326">
          <cell r="F326" t="str">
            <v>INTELIGENCIA MEDIDAS DE PROTECCION ESPECIALIZADA</v>
          </cell>
          <cell r="H326" t="str">
            <v>SMB</v>
          </cell>
        </row>
        <row r="327">
          <cell r="F327" t="str">
            <v>PROYECTO COMUN DOBEL</v>
          </cell>
          <cell r="H327" t="str">
            <v>SMB</v>
          </cell>
        </row>
        <row r="328">
          <cell r="F328" t="str">
            <v>HORIZON PORTS INTERNATIONAL</v>
          </cell>
          <cell r="H328" t="str">
            <v>ENTERPRISE</v>
          </cell>
        </row>
        <row r="329">
          <cell r="F329" t="str">
            <v>REYCO RENOVABLES</v>
          </cell>
          <cell r="H329" t="str">
            <v>SMB</v>
          </cell>
        </row>
        <row r="330">
          <cell r="F330" t="str">
            <v>PACADA</v>
          </cell>
          <cell r="H330" t="str">
            <v>SMB</v>
          </cell>
        </row>
        <row r="331">
          <cell r="F331" t="str">
            <v>GEIGER AUTOMOTIVE DE MEXICO</v>
          </cell>
          <cell r="H331" t="str">
            <v>SMB</v>
          </cell>
        </row>
        <row r="332">
          <cell r="F332" t="str">
            <v>FRANQUICIAS COLMEX</v>
          </cell>
          <cell r="H332" t="str">
            <v>SMB</v>
          </cell>
        </row>
        <row r="333">
          <cell r="F333" t="str">
            <v>REFRIGERACION COMERCIAL TEHUACAN</v>
          </cell>
          <cell r="H333" t="str">
            <v>SMB</v>
          </cell>
        </row>
        <row r="334">
          <cell r="F334" t="str">
            <v>ZAPATERIAS REYNALDO</v>
          </cell>
          <cell r="H334"/>
        </row>
        <row r="335">
          <cell r="F335" t="str">
            <v>QUALITY COCINAS Y CLOSETS</v>
          </cell>
          <cell r="H335" t="str">
            <v>SMB</v>
          </cell>
        </row>
        <row r="336">
          <cell r="F336" t="str">
            <v>FABRICA DE DULCES Y CHOCOLATES LA POBLANA</v>
          </cell>
          <cell r="H336" t="str">
            <v>SMB</v>
          </cell>
        </row>
        <row r="337">
          <cell r="F337" t="str">
            <v>GRUPO OFTALMOLOGICO LASER DE MEXICO</v>
          </cell>
          <cell r="H337" t="str">
            <v>SMB</v>
          </cell>
        </row>
        <row r="338">
          <cell r="F338" t="str">
            <v>TODO PARA EL CARPINTERO Y HERRAJES MARTINEZ</v>
          </cell>
          <cell r="H338" t="str">
            <v>SMB</v>
          </cell>
        </row>
        <row r="339">
          <cell r="F339" t="str">
            <v>GRUPO FERTINAL</v>
          </cell>
          <cell r="H339" t="str">
            <v>SMB</v>
          </cell>
        </row>
        <row r="340">
          <cell r="F340" t="str">
            <v>COMERCIALIZADORA MIKONOS</v>
          </cell>
          <cell r="H340" t="str">
            <v>SMB</v>
          </cell>
        </row>
        <row r="341">
          <cell r="F341" t="str">
            <v>VALTIERRA CERAMICA</v>
          </cell>
          <cell r="H341" t="str">
            <v>SMB</v>
          </cell>
        </row>
        <row r="342">
          <cell r="F342" t="str">
            <v>MANKA FOODS</v>
          </cell>
          <cell r="H342" t="str">
            <v>SMB</v>
          </cell>
        </row>
        <row r="343">
          <cell r="F343" t="str">
            <v>DHGN1</v>
          </cell>
          <cell r="H343" t="str">
            <v>SMB</v>
          </cell>
        </row>
        <row r="344">
          <cell r="F344" t="str">
            <v>LETICIA ALMAZAN ARELLANO</v>
          </cell>
          <cell r="H344" t="str">
            <v>SMB</v>
          </cell>
        </row>
        <row r="345">
          <cell r="F345" t="str">
            <v>FERRETERIA Y HERRAMIENTAS PIZANO</v>
          </cell>
          <cell r="H345" t="str">
            <v>SMB</v>
          </cell>
        </row>
        <row r="346">
          <cell r="F346" t="str">
            <v>SPARRMX SERVICIOS DE MEXICO</v>
          </cell>
          <cell r="H346" t="str">
            <v>SMB</v>
          </cell>
        </row>
        <row r="347">
          <cell r="F347" t="str">
            <v>SUMMIT AGRO MEXICO</v>
          </cell>
          <cell r="H347" t="str">
            <v>SMB</v>
          </cell>
        </row>
        <row r="348">
          <cell r="F348" t="str">
            <v>ARACELI MAGDALENA GONZALEZ SANCHEZ</v>
          </cell>
          <cell r="H348" t="str">
            <v>SMB</v>
          </cell>
        </row>
        <row r="349">
          <cell r="F349" t="str">
            <v>VIRAL FLAVOR (COCINA MEXICANA)</v>
          </cell>
          <cell r="H349" t="str">
            <v>ENTERPRISE</v>
          </cell>
        </row>
        <row r="350">
          <cell r="F350" t="str">
            <v>ENERGIA LIMPIA SALUDABLE</v>
          </cell>
          <cell r="H350" t="str">
            <v>SMB</v>
          </cell>
        </row>
        <row r="351">
          <cell r="F351" t="str">
            <v>MONICA ESPINOSA CABRERA</v>
          </cell>
          <cell r="H351" t="str">
            <v>SMB</v>
          </cell>
        </row>
        <row r="352">
          <cell r="F352" t="str">
            <v>VOLTRUCK INTERNATIONAL</v>
          </cell>
          <cell r="H352" t="str">
            <v>SMB</v>
          </cell>
        </row>
        <row r="353">
          <cell r="F353" t="str">
            <v>PC DE MEXICO</v>
          </cell>
          <cell r="H353"/>
        </row>
        <row r="354">
          <cell r="F354" t="str">
            <v>AROMAESENCIA</v>
          </cell>
          <cell r="H354" t="str">
            <v>SMB</v>
          </cell>
        </row>
        <row r="355">
          <cell r="F355" t="str">
            <v>CONSTRUCTORA DE BASCULAS</v>
          </cell>
          <cell r="H355"/>
        </row>
        <row r="356">
          <cell r="F356" t="str">
            <v>GALI CENTRO DE FISIOTERAPIA INTEGRAL</v>
          </cell>
          <cell r="H356" t="str">
            <v>SMB</v>
          </cell>
        </row>
        <row r="357">
          <cell r="F357" t="str">
            <v>AGROINDUSTRIAS DEL BALSAS</v>
          </cell>
          <cell r="H357" t="str">
            <v>SMB</v>
          </cell>
        </row>
        <row r="358">
          <cell r="F358" t="str">
            <v>Q-LOGISTICS</v>
          </cell>
          <cell r="H358" t="str">
            <v>SMB</v>
          </cell>
        </row>
        <row r="359">
          <cell r="F359" t="str">
            <v>ENELCOM MEXICO</v>
          </cell>
          <cell r="H359" t="str">
            <v>SMB</v>
          </cell>
        </row>
        <row r="360">
          <cell r="F360" t="str">
            <v>MYGO ENERGY</v>
          </cell>
          <cell r="H360" t="str">
            <v>SMB</v>
          </cell>
        </row>
        <row r="361">
          <cell r="F361" t="str">
            <v>ASESORES GRUPO NUÑO, AGENTE DE SEGUROS Y DE FIANZAS</v>
          </cell>
          <cell r="H361" t="str">
            <v>SMB</v>
          </cell>
        </row>
        <row r="362">
          <cell r="F362" t="str">
            <v>HOTELERIA SUSTENTABLE BACALAR</v>
          </cell>
          <cell r="H362" t="str">
            <v>ENTERPRISE</v>
          </cell>
        </row>
        <row r="363">
          <cell r="F363" t="str">
            <v>VALLELOZA</v>
          </cell>
          <cell r="H363" t="str">
            <v>SMB</v>
          </cell>
        </row>
        <row r="364">
          <cell r="F364" t="str">
            <v>PEOPLE 2 MEXICO</v>
          </cell>
          <cell r="H364" t="str">
            <v>SMB</v>
          </cell>
        </row>
        <row r="365">
          <cell r="F365" t="str">
            <v>DRP SERVICIOS AUTOMOTRICES</v>
          </cell>
          <cell r="H365" t="str">
            <v>SMB</v>
          </cell>
        </row>
        <row r="366">
          <cell r="F366" t="str">
            <v>VS AUTOMATIZACION</v>
          </cell>
          <cell r="H366" t="str">
            <v>SMB</v>
          </cell>
        </row>
        <row r="367">
          <cell r="F367" t="str">
            <v>GUILLERMO AUGUSTO FACUNDO SIMONINI</v>
          </cell>
          <cell r="H367" t="str">
            <v>SMB</v>
          </cell>
        </row>
        <row r="368">
          <cell r="F368" t="str">
            <v>CORPORATIVO DELVEL K</v>
          </cell>
          <cell r="H368" t="str">
            <v>SMB</v>
          </cell>
        </row>
        <row r="369">
          <cell r="F369" t="str">
            <v>DULCERIA PUEBLA</v>
          </cell>
          <cell r="H369" t="str">
            <v>SMB</v>
          </cell>
        </row>
        <row r="370">
          <cell r="F370" t="str">
            <v>PANIFICADORA ARTESANAL TLAKATI</v>
          </cell>
          <cell r="H370" t="str">
            <v>SMB</v>
          </cell>
        </row>
        <row r="371">
          <cell r="F371" t="str">
            <v>HIGH TECH SERVICES</v>
          </cell>
          <cell r="H371" t="str">
            <v>SMB</v>
          </cell>
        </row>
        <row r="372">
          <cell r="F372" t="str">
            <v>PLUS IND</v>
          </cell>
          <cell r="H372" t="str">
            <v>SMB</v>
          </cell>
        </row>
        <row r="373">
          <cell r="F373" t="str">
            <v>ALFREDO CADENA PADRON</v>
          </cell>
          <cell r="H373" t="str">
            <v>SMB</v>
          </cell>
        </row>
        <row r="374">
          <cell r="F374" t="str">
            <v>GRUPO GRAFICO ALBANS</v>
          </cell>
          <cell r="H374" t="str">
            <v>SMB</v>
          </cell>
        </row>
        <row r="375">
          <cell r="F375" t="str">
            <v>SMARK CHEMICALS INTERNATIONAL</v>
          </cell>
          <cell r="H375" t="str">
            <v>SMB</v>
          </cell>
        </row>
        <row r="376">
          <cell r="F376" t="str">
            <v>GRUPO DE ESTUDIOS MEDICOS Y FAMILIARES CARRACI</v>
          </cell>
          <cell r="H376" t="str">
            <v>SMB</v>
          </cell>
        </row>
        <row r="377">
          <cell r="F377" t="str">
            <v>MAXIMA COBERTURA COSTERA DE SERVICIOS INMOBILIARIOS</v>
          </cell>
          <cell r="H377" t="str">
            <v>SMB</v>
          </cell>
        </row>
        <row r="378">
          <cell r="F378" t="str">
            <v>MEXICO INVITA MEDICAL</v>
          </cell>
          <cell r="H378" t="str">
            <v>SMB</v>
          </cell>
        </row>
        <row r="379">
          <cell r="F379" t="str">
            <v>TRANSPORTADORA LOS VOLCANES</v>
          </cell>
          <cell r="H379" t="str">
            <v>SMB</v>
          </cell>
        </row>
        <row r="380">
          <cell r="F380" t="str">
            <v>BLANCA LIDIA JAIMES RAMIREZ</v>
          </cell>
          <cell r="H380" t="str">
            <v>SMB</v>
          </cell>
        </row>
        <row r="381">
          <cell r="F381" t="str">
            <v>SERVICIOS EMPRESARIALES DE ALTURA</v>
          </cell>
          <cell r="H381" t="str">
            <v>SMB</v>
          </cell>
        </row>
        <row r="382">
          <cell r="F382" t="str">
            <v>FAUSTO PEREZ SANCHEZ</v>
          </cell>
          <cell r="H382" t="str">
            <v>SMB</v>
          </cell>
        </row>
        <row r="383">
          <cell r="F383" t="str">
            <v>MANTENIMIENTO ESPECIALIZADO EN MAQUINAS ROTATIVAS</v>
          </cell>
          <cell r="H383" t="str">
            <v>SMB</v>
          </cell>
        </row>
        <row r="384">
          <cell r="F384" t="str">
            <v>AG. TRAUMA Y ORTOPEDIA</v>
          </cell>
          <cell r="H384" t="str">
            <v>SMB</v>
          </cell>
        </row>
        <row r="385">
          <cell r="F385" t="str">
            <v>CREASUNN</v>
          </cell>
          <cell r="H385" t="str">
            <v>SMB</v>
          </cell>
        </row>
        <row r="386">
          <cell r="F386" t="str">
            <v>JUST MI ESTUDIO CREATIVO</v>
          </cell>
          <cell r="H386" t="str">
            <v>SMB</v>
          </cell>
        </row>
        <row r="387">
          <cell r="F387" t="str">
            <v>RESINAS Y FIBRAS DE BAJA CALIFORNIA</v>
          </cell>
          <cell r="H387" t="str">
            <v>SMB</v>
          </cell>
        </row>
        <row r="388">
          <cell r="F388" t="str">
            <v>BIOINSUMOS AGRICOLAS DE JALISCO</v>
          </cell>
          <cell r="H388" t="str">
            <v>SMB</v>
          </cell>
        </row>
        <row r="389">
          <cell r="F389" t="str">
            <v>DISTRIBUIDORA CLABECK</v>
          </cell>
          <cell r="H389" t="str">
            <v>SMB</v>
          </cell>
        </row>
        <row r="390">
          <cell r="F390" t="str">
            <v>THE IGENCY</v>
          </cell>
          <cell r="H390" t="str">
            <v>SMB</v>
          </cell>
        </row>
        <row r="391">
          <cell r="F391" t="str">
            <v>GLIDER RIO BRAVO</v>
          </cell>
          <cell r="H391" t="str">
            <v>SMB</v>
          </cell>
        </row>
        <row r="392">
          <cell r="F392" t="str">
            <v>QUALIS TECHNOLOGIES</v>
          </cell>
          <cell r="H392" t="str">
            <v>ENTERPRISE</v>
          </cell>
        </row>
        <row r="393">
          <cell r="F393" t="str">
            <v>JUIA ANCHUKUARINHIRI ZUM ZUM</v>
          </cell>
          <cell r="H393" t="str">
            <v>SMB</v>
          </cell>
        </row>
        <row r="394">
          <cell r="F394" t="str">
            <v>EMLI PRODUCTOS Y SERVICIOS ELECTRICOS</v>
          </cell>
          <cell r="H394" t="str">
            <v>SMB</v>
          </cell>
        </row>
        <row r="395">
          <cell r="F395" t="str">
            <v>COMPAÑIA PRACTISEGURA</v>
          </cell>
          <cell r="H395" t="str">
            <v>SMB</v>
          </cell>
        </row>
        <row r="396">
          <cell r="F396" t="str">
            <v>JOSE JUAN ESPINOSA SANCHEZ</v>
          </cell>
          <cell r="H396" t="str">
            <v>SMB</v>
          </cell>
        </row>
        <row r="397">
          <cell r="F397" t="str">
            <v>PROYECTOS DIMA</v>
          </cell>
          <cell r="H397" t="str">
            <v>SMB</v>
          </cell>
        </row>
        <row r="398">
          <cell r="F398" t="str">
            <v>JOSE SANTIAGO GONZALEZ HERNANDEZ</v>
          </cell>
          <cell r="H398" t="str">
            <v>SMB</v>
          </cell>
        </row>
        <row r="399">
          <cell r="F399" t="str">
            <v>COMISARIATO BENEDETTI' S</v>
          </cell>
          <cell r="H399" t="str">
            <v>SMB</v>
          </cell>
        </row>
        <row r="400">
          <cell r="F400" t="str">
            <v>JAIR GEOVANNI RAVIELA RAMIREZ</v>
          </cell>
          <cell r="H400" t="str">
            <v>SMB</v>
          </cell>
        </row>
        <row r="401">
          <cell r="F401" t="str">
            <v>COMERCIALIZADORA DE PINTURAS ARTEAGA</v>
          </cell>
          <cell r="H401" t="str">
            <v>SMB</v>
          </cell>
        </row>
        <row r="402">
          <cell r="F402" t="str">
            <v>IMPULSORA DE COMERCIO BUGAMBILIAS</v>
          </cell>
          <cell r="H402" t="str">
            <v>SMB</v>
          </cell>
        </row>
        <row r="403">
          <cell r="F403" t="str">
            <v>CERRO AZUL RESTAURANTES ET CETERA</v>
          </cell>
          <cell r="H403" t="str">
            <v>SMB</v>
          </cell>
        </row>
        <row r="404">
          <cell r="F404" t="str">
            <v>JOSE EMILIO ESPINOSA CABRERA</v>
          </cell>
          <cell r="H404" t="str">
            <v>SMB</v>
          </cell>
        </row>
        <row r="405">
          <cell r="F405" t="str">
            <v>CONSTRUCTORA E IMPULSORA CONDOR</v>
          </cell>
          <cell r="H405" t="str">
            <v>SMB</v>
          </cell>
        </row>
        <row r="406">
          <cell r="F406" t="str">
            <v>CCI PLANIGRUPO III</v>
          </cell>
          <cell r="H406" t="str">
            <v>SMB</v>
          </cell>
        </row>
        <row r="407">
          <cell r="F407" t="str">
            <v>GRUPO MAJOSA</v>
          </cell>
          <cell r="H407" t="str">
            <v>ENTERPRISE</v>
          </cell>
        </row>
        <row r="408">
          <cell r="F408" t="str">
            <v>BENEDETTI'S PIZZA</v>
          </cell>
          <cell r="H408" t="str">
            <v>SMB</v>
          </cell>
        </row>
        <row r="409">
          <cell r="F409" t="str">
            <v>VILLAMACOCO</v>
          </cell>
          <cell r="H409" t="str">
            <v>SMB</v>
          </cell>
        </row>
        <row r="410">
          <cell r="F410" t="str">
            <v>GUADALUPE GONZALEZ ZAMARRIPA</v>
          </cell>
          <cell r="H410" t="str">
            <v>SMB</v>
          </cell>
        </row>
        <row r="411">
          <cell r="F411" t="str">
            <v>CCI PLANIGRUPO II</v>
          </cell>
          <cell r="H411" t="str">
            <v>SMB</v>
          </cell>
        </row>
        <row r="412">
          <cell r="F412" t="str">
            <v>IBERDESPENSA</v>
          </cell>
          <cell r="H412" t="str">
            <v>SMB</v>
          </cell>
        </row>
        <row r="413">
          <cell r="F413" t="str">
            <v>YELTE</v>
          </cell>
          <cell r="H413" t="str">
            <v>SMB</v>
          </cell>
        </row>
        <row r="414">
          <cell r="F414" t="str">
            <v>CENTROS URBANOS GOVA</v>
          </cell>
          <cell r="H414" t="str">
            <v>SMB</v>
          </cell>
        </row>
        <row r="415">
          <cell r="F415" t="str">
            <v>OPERADORA DE FRANQUICIAS CIROS</v>
          </cell>
          <cell r="H415" t="str">
            <v>SMB</v>
          </cell>
        </row>
        <row r="416">
          <cell r="F416" t="str">
            <v>GRUPO EPOL</v>
          </cell>
          <cell r="H416" t="str">
            <v>ENTERPRISE</v>
          </cell>
        </row>
        <row r="417">
          <cell r="F417" t="str">
            <v>PUERTAS Y ACCESOS AUTOMATICOS DEL VALLE DE MEXICO</v>
          </cell>
          <cell r="H417" t="str">
            <v>SMB</v>
          </cell>
        </row>
        <row r="418">
          <cell r="F418" t="str">
            <v>MOTORES Y SISTEMAS DIESEL DE LEON</v>
          </cell>
          <cell r="H418" t="str">
            <v>SMB</v>
          </cell>
        </row>
        <row r="419">
          <cell r="F419" t="str">
            <v>ERICK EDUARDO EVANGELISTA VELASCO</v>
          </cell>
          <cell r="H419" t="str">
            <v>SMB</v>
          </cell>
        </row>
        <row r="420">
          <cell r="F420" t="str">
            <v>GERMAN ENRIQUE ESTRADA LARIOS</v>
          </cell>
          <cell r="H420" t="str">
            <v>SMB</v>
          </cell>
        </row>
        <row r="421">
          <cell r="F421" t="str">
            <v>LA MAQUINA RELUCIENTE</v>
          </cell>
          <cell r="H421" t="str">
            <v>SMB</v>
          </cell>
        </row>
        <row r="422">
          <cell r="F422" t="str">
            <v>PLAYTRAK SISTEMAS DE MONITOREO</v>
          </cell>
          <cell r="H422" t="str">
            <v>SMB</v>
          </cell>
        </row>
        <row r="423">
          <cell r="F423" t="str">
            <v>MEGAVACATIONS</v>
          </cell>
          <cell r="H423" t="str">
            <v>SMB</v>
          </cell>
        </row>
        <row r="424">
          <cell r="F424" t="str">
            <v>R&amp;F INFRAESTRUCTURA</v>
          </cell>
          <cell r="H424" t="str">
            <v>SMB</v>
          </cell>
        </row>
        <row r="425">
          <cell r="F425" t="str">
            <v>GRUPO HETAAR</v>
          </cell>
          <cell r="H425" t="str">
            <v>SMB</v>
          </cell>
        </row>
        <row r="426">
          <cell r="F426" t="str">
            <v>ELEVADORES DE LA REPUBLICA</v>
          </cell>
          <cell r="H426" t="str">
            <v>SMB</v>
          </cell>
        </row>
        <row r="427">
          <cell r="F427" t="str">
            <v>JOSEFINA CANTU LOPEZ</v>
          </cell>
          <cell r="H427"/>
        </row>
        <row r="428">
          <cell r="F428" t="str">
            <v>GEBHARD KONRAD SPROLL ROJAS</v>
          </cell>
          <cell r="H428" t="str">
            <v>SMB</v>
          </cell>
        </row>
        <row r="429">
          <cell r="F429" t="str">
            <v>ELIAS BARBOSA IBARRA</v>
          </cell>
          <cell r="H429" t="str">
            <v>SMB</v>
          </cell>
        </row>
        <row r="430">
          <cell r="F430" t="str">
            <v>ROSEMBER TIRADO DAMIAN</v>
          </cell>
          <cell r="H430" t="str">
            <v>SMB</v>
          </cell>
        </row>
        <row r="431">
          <cell r="F431" t="str">
            <v>MAQUILANDO ARTE Y AMOR MX</v>
          </cell>
          <cell r="H431" t="str">
            <v>SMB</v>
          </cell>
        </row>
        <row r="432">
          <cell r="F432" t="str">
            <v>EXPERTOS EN ADMINISTRACION DE CAPITAL HUMANO</v>
          </cell>
          <cell r="H432" t="str">
            <v>SMB</v>
          </cell>
        </row>
        <row r="433">
          <cell r="F433" t="str">
            <v>GIORDANO AYALA ARIAS</v>
          </cell>
          <cell r="H433" t="str">
            <v>SMB</v>
          </cell>
        </row>
        <row r="434">
          <cell r="F434" t="str">
            <v>TSMIQUIRRAY</v>
          </cell>
          <cell r="H434" t="str">
            <v>SMB</v>
          </cell>
        </row>
        <row r="435">
          <cell r="F435" t="str">
            <v>CONSTRUCCIONES DE CALIDAD E INGENIERIA DE MEXICO</v>
          </cell>
          <cell r="H435" t="str">
            <v>SMB</v>
          </cell>
        </row>
        <row r="436">
          <cell r="F436" t="str">
            <v>PAYROLL WORLDWIDE MEXICO-LONDON</v>
          </cell>
          <cell r="H436" t="str">
            <v>SMB</v>
          </cell>
        </row>
        <row r="437">
          <cell r="F437" t="str">
            <v>ARTE Y SOLUCIONES EN ESPACIOS</v>
          </cell>
          <cell r="H437" t="str">
            <v>SMB</v>
          </cell>
        </row>
        <row r="438">
          <cell r="F438" t="str">
            <v>TRABAJADORES CAPACITADOS EN SUBCONTRATACION</v>
          </cell>
          <cell r="H438" t="str">
            <v>SMB</v>
          </cell>
        </row>
        <row r="439">
          <cell r="F439" t="str">
            <v>RODRIGO CANTU LOPEZ</v>
          </cell>
          <cell r="H439"/>
        </row>
        <row r="440">
          <cell r="F440" t="str">
            <v>MAREL SISTEMAS DE PROCESO DE ALIMENTOS DE MEXICO</v>
          </cell>
          <cell r="H440" t="str">
            <v>SMB</v>
          </cell>
        </row>
        <row r="441">
          <cell r="F441" t="str">
            <v>DRILLMEC INC</v>
          </cell>
          <cell r="H441" t="str">
            <v>SMB</v>
          </cell>
        </row>
        <row r="442">
          <cell r="F442" t="str">
            <v>GERARDO PEREZ OLIVO</v>
          </cell>
          <cell r="H442" t="str">
            <v>SMB</v>
          </cell>
        </row>
        <row r="443">
          <cell r="F443" t="str">
            <v>ESTEFANIA RETANA ROJO</v>
          </cell>
          <cell r="H443" t="str">
            <v>SMB</v>
          </cell>
        </row>
        <row r="444">
          <cell r="F444" t="str">
            <v>FRANCISCO MARTIN SANTILLAN JIMENEZ</v>
          </cell>
          <cell r="H444" t="str">
            <v>SMB</v>
          </cell>
        </row>
        <row r="445">
          <cell r="F445" t="str">
            <v>LAURA GABRIELA BARRETO MONTAÑO</v>
          </cell>
          <cell r="H445" t="str">
            <v>SMB</v>
          </cell>
        </row>
        <row r="446">
          <cell r="F446" t="str">
            <v>ADRIANA VALDEZ</v>
          </cell>
          <cell r="H446"/>
        </row>
        <row r="447">
          <cell r="F447" t="str">
            <v>RANCHO LLANO COLORADO</v>
          </cell>
          <cell r="H447" t="str">
            <v>SMB</v>
          </cell>
        </row>
        <row r="448">
          <cell r="F448" t="str">
            <v>DIEGO ADALBERTO MUNGUIA RODRIGUEZ</v>
          </cell>
          <cell r="H448" t="str">
            <v>SMB</v>
          </cell>
        </row>
        <row r="449">
          <cell r="F449" t="str">
            <v xml:space="preserve">MANTENIMIENTO AUTOMOTRIZ DE CABO GE VILLA </v>
          </cell>
          <cell r="H449" t="str">
            <v>SMB</v>
          </cell>
        </row>
        <row r="450">
          <cell r="F450" t="str">
            <v>FWI LOGISTICS PRIVATE SECURITY (OVERHAUL)</v>
          </cell>
          <cell r="H450" t="str">
            <v>SMB</v>
          </cell>
        </row>
        <row r="451">
          <cell r="F451" t="str">
            <v>GRUPO OCCIDENTE</v>
          </cell>
          <cell r="H451" t="str">
            <v>ENTERPRISE</v>
          </cell>
        </row>
        <row r="452">
          <cell r="F452" t="str">
            <v>OPERADORA INTERNACIONAL DE NEGOCIOS HUZKY</v>
          </cell>
          <cell r="H452" t="str">
            <v>SMB</v>
          </cell>
        </row>
        <row r="453">
          <cell r="F453" t="str">
            <v>RENA COMERCIALIZADORA (Farmacias Simi)</v>
          </cell>
          <cell r="H453" t="str">
            <v>ENTERPRISE</v>
          </cell>
        </row>
        <row r="454">
          <cell r="F454" t="str">
            <v>SERVICIOS LESETAV (Cuchara y tenedor)</v>
          </cell>
          <cell r="H454" t="str">
            <v>ENTERPRISE</v>
          </cell>
        </row>
        <row r="455">
          <cell r="F455" t="str">
            <v>OPERADORA URIMAR</v>
          </cell>
          <cell r="H455" t="str">
            <v>ENTERPRISE</v>
          </cell>
        </row>
        <row r="456">
          <cell r="F456" t="str">
            <v>AGRICOLA SL</v>
          </cell>
          <cell r="H456" t="str">
            <v>SMB</v>
          </cell>
        </row>
        <row r="457">
          <cell r="F457" t="str">
            <v>ANALISIS AMBIENTAL</v>
          </cell>
          <cell r="H457" t="str">
            <v>SMB</v>
          </cell>
        </row>
        <row r="458">
          <cell r="F458" t="str">
            <v>CONCEPTOS AGE</v>
          </cell>
          <cell r="H458" t="str">
            <v>SMB</v>
          </cell>
        </row>
        <row r="459">
          <cell r="F459" t="str">
            <v>DAN VIT EMPRESARIAL</v>
          </cell>
          <cell r="H459" t="str">
            <v>SMB</v>
          </cell>
        </row>
        <row r="460">
          <cell r="F460" t="str">
            <v>DAN VIT EMPRESARIAL</v>
          </cell>
          <cell r="H460" t="str">
            <v>SMB</v>
          </cell>
        </row>
        <row r="461">
          <cell r="F461" t="str">
            <v>DUGPA</v>
          </cell>
          <cell r="H461" t="str">
            <v>SMB</v>
          </cell>
        </row>
        <row r="462">
          <cell r="F462" t="str">
            <v>ENERGIA VERDE Y NEGOCIOS SUSTENTABLES</v>
          </cell>
          <cell r="H462" t="str">
            <v>SMB</v>
          </cell>
        </row>
        <row r="463">
          <cell r="F463" t="str">
            <v>ENIGMA ROOMS</v>
          </cell>
          <cell r="H463"/>
        </row>
        <row r="464">
          <cell r="F464" t="str">
            <v>GRANJA DIVERTIDA</v>
          </cell>
          <cell r="H464" t="str">
            <v>SMB</v>
          </cell>
        </row>
        <row r="465">
          <cell r="F465" t="str">
            <v>KYSOR/WARREN DE MEXICO</v>
          </cell>
          <cell r="H465" t="str">
            <v>SMB</v>
          </cell>
        </row>
        <row r="466">
          <cell r="F466" t="str">
            <v>METRO ASFALTOS</v>
          </cell>
          <cell r="H466" t="str">
            <v>SMB</v>
          </cell>
        </row>
        <row r="467">
          <cell r="F467" t="str">
            <v>MOGAR SEGURIDAD PRIVADA</v>
          </cell>
          <cell r="H467" t="str">
            <v>SMB</v>
          </cell>
        </row>
        <row r="468">
          <cell r="F468" t="str">
            <v>OPERADORA DE JUEGOS Y DIVERSIONES 2000</v>
          </cell>
          <cell r="H468" t="str">
            <v>SMB</v>
          </cell>
        </row>
        <row r="469">
          <cell r="F469" t="str">
            <v>OPTIMA G AUTOSPORT</v>
          </cell>
          <cell r="H469" t="str">
            <v>SMB</v>
          </cell>
        </row>
        <row r="470">
          <cell r="F470" t="str">
            <v>STEEL TEK SOLUCIONES EN ACERO</v>
          </cell>
          <cell r="H470" t="str">
            <v>SMB</v>
          </cell>
        </row>
        <row r="471">
          <cell r="F471" t="str">
            <v>TCO GROUP</v>
          </cell>
          <cell r="H471" t="str">
            <v>SMB</v>
          </cell>
        </row>
        <row r="472">
          <cell r="F472" t="str">
            <v>TRINIDAD ALBERTO FLORES ZAMORA</v>
          </cell>
          <cell r="H472" t="str">
            <v>SMB</v>
          </cell>
        </row>
        <row r="473">
          <cell r="F473" t="str">
            <v>VIA URBANA</v>
          </cell>
          <cell r="H473" t="str">
            <v>SMB</v>
          </cell>
        </row>
        <row r="474">
          <cell r="F474" t="str">
            <v>WYN COACALCO</v>
          </cell>
          <cell r="H474" t="str">
            <v>SMB</v>
          </cell>
        </row>
        <row r="475">
          <cell r="F475" t="str">
            <v>YOREP (RECURSOS HUMANOS)</v>
          </cell>
          <cell r="H475" t="str">
            <v>SMB</v>
          </cell>
        </row>
        <row r="476">
          <cell r="F476" t="str">
            <v>AGUA PURIFICADA LOS VOLCANES</v>
          </cell>
          <cell r="H476" t="str">
            <v>SMB</v>
          </cell>
        </row>
        <row r="477">
          <cell r="F477" t="str">
            <v>ALFREDO MARIN LUNA</v>
          </cell>
          <cell r="H477" t="str">
            <v>SMB</v>
          </cell>
        </row>
        <row r="478">
          <cell r="F478" t="str">
            <v>BOTICAS GRIEGAS DE MEXICO</v>
          </cell>
          <cell r="H478" t="str">
            <v>SMB</v>
          </cell>
        </row>
        <row r="479">
          <cell r="F479" t="str">
            <v>CANADIAN SOLAR SERVICES MEXICO</v>
          </cell>
          <cell r="H479" t="str">
            <v>SMB</v>
          </cell>
        </row>
        <row r="480">
          <cell r="F480" t="str">
            <v>COMERCIALIZADORA EL BOMBON</v>
          </cell>
          <cell r="H480" t="str">
            <v>SMB</v>
          </cell>
        </row>
        <row r="481">
          <cell r="F481" t="str">
            <v>CONTROL DE PLAGAS INTERNACIONAL CENTINELA</v>
          </cell>
          <cell r="H481" t="str">
            <v>SMB</v>
          </cell>
        </row>
        <row r="482">
          <cell r="F482" t="str">
            <v>DE NORTE A SUR Y POR TODO EL MUNDO</v>
          </cell>
          <cell r="H482" t="str">
            <v>SMB</v>
          </cell>
        </row>
        <row r="483">
          <cell r="F483" t="str">
            <v>EDWIN MARTIN CAUICH ESCALANTE</v>
          </cell>
          <cell r="H483" t="str">
            <v>SMB</v>
          </cell>
        </row>
        <row r="484">
          <cell r="F484" t="str">
            <v>EQUIPOS Y ACCESORIOS PARA GAS L.P. Y NATURAL</v>
          </cell>
          <cell r="H484" t="str">
            <v>SMB</v>
          </cell>
        </row>
        <row r="485">
          <cell r="F485" t="str">
            <v>ESAI</v>
          </cell>
          <cell r="H485" t="str">
            <v>SMB</v>
          </cell>
        </row>
        <row r="486">
          <cell r="F486" t="str">
            <v>FIRST VIRTUAL MANAGEMENT MEXICO</v>
          </cell>
          <cell r="H486" t="str">
            <v>SMB</v>
          </cell>
        </row>
        <row r="487">
          <cell r="F487" t="str">
            <v>HOC EST BONUM</v>
          </cell>
          <cell r="H487" t="str">
            <v>SMB</v>
          </cell>
        </row>
        <row r="488">
          <cell r="F488" t="str">
            <v>INGENIERIA Y PROYECTOS FEZMAR</v>
          </cell>
          <cell r="H488" t="str">
            <v>SMB</v>
          </cell>
        </row>
        <row r="489">
          <cell r="F489" t="str">
            <v>JMN SOLUCIONES INTEGRALES</v>
          </cell>
          <cell r="H489" t="str">
            <v>SMB</v>
          </cell>
        </row>
        <row r="490">
          <cell r="F490" t="str">
            <v>JUAN TEJEDA SANTILLAN</v>
          </cell>
          <cell r="H490" t="str">
            <v>SMB</v>
          </cell>
        </row>
        <row r="491">
          <cell r="F491" t="str">
            <v>LA REVOLUCION DEL AGUA</v>
          </cell>
          <cell r="H491" t="str">
            <v>SMB</v>
          </cell>
        </row>
        <row r="492">
          <cell r="F492" t="str">
            <v>MERCADERIAS JON</v>
          </cell>
          <cell r="H492" t="str">
            <v>SMB</v>
          </cell>
        </row>
        <row r="493">
          <cell r="F493" t="str">
            <v>NEWTIMES</v>
          </cell>
          <cell r="H493" t="str">
            <v>SMB</v>
          </cell>
        </row>
        <row r="494">
          <cell r="F494" t="str">
            <v>PLENIA HOME CARE</v>
          </cell>
          <cell r="H494" t="str">
            <v>SMB</v>
          </cell>
        </row>
        <row r="495">
          <cell r="F495" t="str">
            <v>ROALSA CARRIERS</v>
          </cell>
          <cell r="H495" t="str">
            <v>SMB</v>
          </cell>
        </row>
        <row r="496">
          <cell r="F496" t="str">
            <v>SARAI PEREZ CHILEL</v>
          </cell>
          <cell r="H496" t="str">
            <v>SMB</v>
          </cell>
        </row>
        <row r="497">
          <cell r="F497" t="str">
            <v>SLM ALIMENTOS</v>
          </cell>
          <cell r="H497" t="str">
            <v>SMB</v>
          </cell>
        </row>
        <row r="498">
          <cell r="F498" t="str">
            <v>SOLUCIONES EN SALUD OCUPACIONAL, SEGURIDAD E HIGIENE INDUSTRIAL</v>
          </cell>
          <cell r="H498" t="str">
            <v>SMB</v>
          </cell>
        </row>
        <row r="499">
          <cell r="F499" t="str">
            <v>SOUTH BAJA CONSTRUCTORA</v>
          </cell>
          <cell r="H499" t="str">
            <v>SMB</v>
          </cell>
        </row>
        <row r="500">
          <cell r="F500" t="str">
            <v>SUMA ENLACES PROFESIONALES</v>
          </cell>
          <cell r="H500" t="str">
            <v>SMB</v>
          </cell>
        </row>
        <row r="501">
          <cell r="F501" t="str">
            <v>TUSSAN</v>
          </cell>
          <cell r="H501" t="str">
            <v>SMB</v>
          </cell>
        </row>
        <row r="502">
          <cell r="F502" t="str">
            <v>WAREHOUSE RENTALS MI LOS CABOS</v>
          </cell>
          <cell r="H502" t="str">
            <v>SMB</v>
          </cell>
        </row>
        <row r="503">
          <cell r="F503" t="str">
            <v>MEDICAMENTOS NATURALES</v>
          </cell>
          <cell r="H503" t="str">
            <v>ENTERPRISE</v>
          </cell>
        </row>
        <row r="504">
          <cell r="F504" t="str">
            <v>PRODUCTORA DE ALIMENTOS NUTRITIVOS</v>
          </cell>
          <cell r="H504" t="str">
            <v>ENTERPRISE</v>
          </cell>
        </row>
        <row r="505">
          <cell r="F505" t="str">
            <v>CBH + ESPECIALISTAS EN INNOVACIÓN MÉDICA, S.A. DE C.V</v>
          </cell>
          <cell r="H505" t="str">
            <v>SMB</v>
          </cell>
        </row>
        <row r="506">
          <cell r="F506" t="str">
            <v>CONCORDE GROUP (Ideal Motive Mexico)</v>
          </cell>
          <cell r="H506" t="str">
            <v>ENTERPRISE</v>
          </cell>
        </row>
        <row r="507">
          <cell r="F507" t="str">
            <v>CONSULTORIA JURIDICA Y ADMINISTRATIVA MILLA Y ASOCIADOS**</v>
          </cell>
          <cell r="H507" t="str">
            <v>SMB</v>
          </cell>
        </row>
        <row r="508">
          <cell r="F508" t="str">
            <v>PLATO EXPRESS</v>
          </cell>
          <cell r="H508"/>
        </row>
        <row r="509">
          <cell r="F509" t="str">
            <v>PORCELANA CORONA DE MEXICO, SA. CV.</v>
          </cell>
          <cell r="H509" t="str">
            <v>ENTERPRISE</v>
          </cell>
        </row>
        <row r="510">
          <cell r="F510" t="str">
            <v>SISTEMAS PRACTICOS EN SEGURIDAD PRIVADA (SEICSA)</v>
          </cell>
          <cell r="H510"/>
        </row>
        <row r="511">
          <cell r="F511" t="str">
            <v>TIENDAS ADITIVO</v>
          </cell>
          <cell r="H511" t="str">
            <v>ENTERPRISE</v>
          </cell>
        </row>
        <row r="512">
          <cell r="F512" t="str">
            <v>LA OTRA POST, EVENTOS Y VIDEO</v>
          </cell>
          <cell r="H512"/>
        </row>
        <row r="513">
          <cell r="F513"/>
          <cell r="H513"/>
        </row>
        <row r="514">
          <cell r="F514"/>
          <cell r="H514"/>
        </row>
        <row r="515">
          <cell r="F515"/>
          <cell r="H515"/>
        </row>
        <row r="516">
          <cell r="F516"/>
          <cell r="H516"/>
        </row>
        <row r="517">
          <cell r="F517"/>
          <cell r="H517"/>
        </row>
        <row r="518">
          <cell r="F518"/>
          <cell r="H518"/>
        </row>
        <row r="519">
          <cell r="F519"/>
          <cell r="H519"/>
        </row>
        <row r="520">
          <cell r="F520"/>
          <cell r="H520"/>
        </row>
        <row r="521">
          <cell r="F521"/>
          <cell r="H521"/>
        </row>
        <row r="522">
          <cell r="F522"/>
          <cell r="H522"/>
        </row>
        <row r="523">
          <cell r="F523"/>
          <cell r="H523"/>
        </row>
        <row r="524">
          <cell r="F524"/>
          <cell r="H524"/>
        </row>
        <row r="525">
          <cell r="F525"/>
          <cell r="H525"/>
        </row>
        <row r="526">
          <cell r="F526"/>
          <cell r="H526"/>
        </row>
        <row r="527">
          <cell r="F527"/>
          <cell r="H527"/>
        </row>
        <row r="528">
          <cell r="F528"/>
          <cell r="H528"/>
        </row>
        <row r="529">
          <cell r="F529"/>
          <cell r="H529"/>
        </row>
        <row r="530">
          <cell r="F530"/>
          <cell r="H530"/>
        </row>
        <row r="531">
          <cell r="F531"/>
          <cell r="H531"/>
        </row>
        <row r="532">
          <cell r="F532"/>
          <cell r="H532"/>
        </row>
        <row r="533">
          <cell r="F533"/>
          <cell r="H533"/>
        </row>
        <row r="534">
          <cell r="F534"/>
          <cell r="H534"/>
        </row>
        <row r="535">
          <cell r="F535"/>
          <cell r="H535"/>
        </row>
        <row r="536">
          <cell r="F536"/>
          <cell r="H536"/>
        </row>
        <row r="537">
          <cell r="F537"/>
          <cell r="H537"/>
        </row>
        <row r="538">
          <cell r="F538"/>
          <cell r="H538"/>
        </row>
        <row r="539">
          <cell r="F539"/>
          <cell r="H539"/>
        </row>
        <row r="540">
          <cell r="F540"/>
          <cell r="H540"/>
        </row>
        <row r="541">
          <cell r="F541"/>
          <cell r="H541"/>
        </row>
        <row r="542">
          <cell r="F542"/>
          <cell r="H542"/>
        </row>
        <row r="543">
          <cell r="F543"/>
          <cell r="H543"/>
        </row>
        <row r="544">
          <cell r="F544"/>
          <cell r="H544"/>
        </row>
        <row r="545">
          <cell r="F545"/>
          <cell r="H545"/>
        </row>
        <row r="546">
          <cell r="F546"/>
          <cell r="H546"/>
        </row>
        <row r="547">
          <cell r="F547"/>
          <cell r="H547"/>
        </row>
        <row r="548">
          <cell r="F548"/>
          <cell r="H548"/>
        </row>
        <row r="549">
          <cell r="F549"/>
          <cell r="H549"/>
        </row>
        <row r="550">
          <cell r="F550"/>
          <cell r="H550"/>
        </row>
        <row r="551">
          <cell r="F551"/>
          <cell r="H551"/>
        </row>
        <row r="552">
          <cell r="F552"/>
          <cell r="H552"/>
        </row>
        <row r="553">
          <cell r="F553"/>
          <cell r="H553"/>
        </row>
        <row r="554">
          <cell r="F554"/>
          <cell r="H554"/>
        </row>
        <row r="555">
          <cell r="F555"/>
          <cell r="H555"/>
        </row>
        <row r="556">
          <cell r="F556"/>
          <cell r="H556"/>
        </row>
        <row r="557">
          <cell r="F557"/>
          <cell r="H557"/>
        </row>
        <row r="558">
          <cell r="F558"/>
          <cell r="H558"/>
        </row>
        <row r="559">
          <cell r="F559"/>
          <cell r="H559"/>
        </row>
        <row r="560">
          <cell r="F560"/>
          <cell r="H560"/>
        </row>
        <row r="561">
          <cell r="F561"/>
          <cell r="H561"/>
        </row>
        <row r="562">
          <cell r="F562"/>
          <cell r="H562"/>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Orden default" id="{7EAD9CD4-DAEE-48BB-8C99-CCCE898BA7C5}">
    <nsvFilter filterId="{00000000-0001-0000-0200-000000000000}" ref="A2:CN561"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Orden default" id="{80459D2A-19B8-4998-BF3A-92F76CD00A03}">
    <nsvFilter filterId="{87DD4A04-C65E-4490-AE7B-491C3F9C82F1}" ref="A5:R279" tableId="0">
      <columnFilter colId="1">
        <filter colId="1">
          <x:filters>
            <x:filter val="Facturado"/>
          </x:filters>
        </filter>
      </columnFilter>
      <columnFilter colId="2">
        <filter colId="2">
          <x:filters blank="1">
            <x:filter val="Q3"/>
          </x:filters>
        </filter>
      </columnFilter>
      <columnFilter colId="4">
        <filter colId="4">
          <x:filters>
            <x:filter val="Raúl Campos"/>
          </x:filters>
        </filter>
      </columnFilter>
      <columnFilter colId="6">
        <filter colId="6">
          <x:filters>
            <x:filter val="Cross selling"/>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Karla Patiño" id="{AE1FD906-BAD6-4E93-98C5-8627A2AC1621}" userId="kpatino@geovictoria.com" providerId="PeoplePicker"/>
  <person displayName="Dafne De La Rosa" id="{13440759-BF95-4E1D-8309-F5C0B19C6FD3}" userId="ddelarosa@geovictoria.com" providerId="PeoplePicker"/>
  <person displayName="Fernanda Duran" id="{3F88114D-2A78-449A-ADC0-0C321448AD5E}" userId="S::fduran@geovictoria.com::526ab3b8-4da6-409a-917f-bb531024d6d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0.364388310183" createdVersion="8" refreshedVersion="8" minRefreshableVersion="3" recordCount="505" xr:uid="{4DA7F3AF-EC4F-4851-AE58-69B246AEC0C4}">
  <cacheSource type="worksheet">
    <worksheetSource ref="A10:BP10" sheet="MARE MX"/>
  </cacheSource>
  <cacheFields count="48">
    <cacheField name="ID Geo" numFmtId="0">
      <sharedItems containsString="0" containsBlank="1" containsNumber="1" containsInteger="1" minValue="1207" maxValue="35601"/>
    </cacheField>
    <cacheField name="RFC" numFmtId="0">
      <sharedItems containsBlank="1" containsMixedTypes="1" containsNumber="1" containsInteger="1" minValue="24082020" maxValue="24082020"/>
    </cacheField>
    <cacheField name="CLIENTE" numFmtId="0">
      <sharedItems containsBlank="1"/>
    </cacheField>
    <cacheField name="Grupo" numFmtId="0">
      <sharedItems containsBlank="1"/>
    </cacheField>
    <cacheField name="Cartera" numFmtId="0">
      <sharedItems containsBlank="1" count="4">
        <s v="ENTERPRISE"/>
        <s v="SMB"/>
        <m/>
        <s v="No Asignado" u="1"/>
      </sharedItems>
    </cacheField>
    <cacheField name="KAM" numFmtId="0">
      <sharedItems containsBlank="1" count="7">
        <s v="Dafne de la Rosa"/>
        <s v="Karla Patiño"/>
        <s v="Luis Montilla"/>
        <s v="Raúl Campos"/>
        <s v="Implementando"/>
        <s v="No Asignado"/>
        <m/>
      </sharedItems>
    </cacheField>
    <cacheField name="CSS" numFmtId="0">
      <sharedItems containsBlank="1"/>
    </cacheField>
    <cacheField name="Estado salud" numFmtId="0">
      <sharedItems containsNonDate="0" containsString="0" containsBlank="1"/>
    </cacheField>
    <cacheField name="Febrero" numFmtId="0">
      <sharedItems containsString="0" containsBlank="1" containsNumber="1" minValue="2.4037999999999999" maxValue="5513.9083000000001"/>
    </cacheField>
    <cacheField name="Marzo" numFmtId="0">
      <sharedItems containsString="0" containsBlank="1" containsNumber="1" minValue="2.2907999999999999" maxValue="5601.0559999999996"/>
    </cacheField>
    <cacheField name="Facturación actual USD" numFmtId="4">
      <sharedItems containsString="0" containsBlank="1" containsNumber="1" minValue="0" maxValue="5601.0559999999996"/>
    </cacheField>
    <cacheField name="Usuarios activos" numFmtId="4">
      <sharedItems containsString="0" containsBlank="1" containsNumber="1" containsInteger="1" minValue="300" maxValue="2244"/>
    </cacheField>
    <cacheField name="Usuarios potenciales" numFmtId="4">
      <sharedItems containsString="0" containsBlank="1" containsNumber="1" containsInteger="1" minValue="500" maxValue="5500"/>
    </cacheField>
    <cacheField name="Estado" numFmtId="0">
      <sharedItems containsBlank="1"/>
    </cacheField>
    <cacheField name="Rubro" numFmtId="0">
      <sharedItems containsBlank="1"/>
    </cacheField>
    <cacheField name="Cuadrante (MARE + Retener)" numFmtId="0">
      <sharedItems containsBlank="1" count="9">
        <s v="Expandir"/>
        <s v="Mantener"/>
        <s v="Retener"/>
        <s v="Recuperar"/>
        <s v="Alcanzar"/>
        <m/>
        <s v="Expandir "/>
        <s v="Mantener "/>
        <s v="Alcanzar "/>
      </sharedItems>
    </cacheField>
    <cacheField name="Comentario" numFmtId="0">
      <sharedItems containsNonDate="0" containsString="0" containsBlank="1"/>
    </cacheField>
    <cacheField name="Escala comunicación" numFmtId="0">
      <sharedItems containsBlank="1"/>
    </cacheField>
    <cacheField name="Periodicidad" numFmtId="0">
      <sharedItems containsBlank="1"/>
    </cacheField>
    <cacheField name="Operación actual cliente con GV" numFmtId="0">
      <sharedItems containsBlank="1"/>
    </cacheField>
    <cacheField name="Primera factura (para saber cuanto tiempo lleva con nosotros)" numFmtId="0">
      <sharedItems containsNonDate="0" containsString="0" containsBlank="1"/>
    </cacheField>
    <cacheField name="Acción especifica" numFmtId="0">
      <sharedItems containsBlank="1"/>
    </cacheField>
    <cacheField name="Nos usa para pagar nómina?" numFmtId="0">
      <sharedItems containsBlank="1"/>
    </cacheField>
    <cacheField name="Alertas" numFmtId="0">
      <sharedItems containsBlank="1"/>
    </cacheField>
    <cacheField name="Integración (VC)" numFmtId="0">
      <sharedItems containsBlank="1"/>
    </cacheField>
    <cacheField name="Permisos y vacaciones" numFmtId="0">
      <sharedItems containsBlank="1"/>
    </cacheField>
    <cacheField name="Planif. Inteligente " numFmtId="0">
      <sharedItems containsBlank="1"/>
    </cacheField>
    <cacheField name="BI" numFmtId="0">
      <sharedItems containsBlank="1"/>
    </cacheField>
    <cacheField name="RAM" numFmtId="0">
      <sharedItems containsBlank="1"/>
    </cacheField>
    <cacheField name="Acceso" numFmtId="0">
      <sharedItems containsBlank="1"/>
    </cacheField>
    <cacheField name="Comedor" numFmtId="0">
      <sharedItems containsBlank="1"/>
    </cacheField>
    <cacheField name="VictorIA" numFmtId="0">
      <sharedItems containsBlank="1"/>
    </cacheField>
    <cacheField name="Optimizador Turnos" numFmtId="0">
      <sharedItems containsBlank="1"/>
    </cacheField>
    <cacheField name="Marcaje WPP" numFmtId="0">
      <sharedItems containsNonDate="0" containsString="0" containsBlank="1"/>
    </cacheField>
    <cacheField name="WF Cambio de turno" numFmtId="0">
      <sharedItems containsBlank="1"/>
    </cacheField>
    <cacheField name="Plan Pro" numFmtId="0">
      <sharedItems containsBlank="1"/>
    </cacheField>
    <cacheField name="Plan Enterprise" numFmtId="0">
      <sharedItems containsBlank="1"/>
    </cacheField>
    <cacheField name="Upselling" numFmtId="0">
      <sharedItems containsBlank="1"/>
    </cacheField>
    <cacheField name="Arrienda equipos?" numFmtId="0">
      <sharedItems containsBlank="1"/>
    </cacheField>
    <cacheField name="Productos Cross" numFmtId="0">
      <sharedItems containsSemiMixedTypes="0" containsString="0" containsNumber="1" containsInteger="1" minValue="0" maxValue="2"/>
    </cacheField>
    <cacheField name="Puntaje Cross" numFmtId="0">
      <sharedItems containsSemiMixedTypes="0" containsString="0" containsNumber="1" minValue="0" maxValue="6"/>
    </cacheField>
    <cacheField name="Riesgo" numFmtId="0">
      <sharedItems/>
    </cacheField>
    <cacheField name="Oportunidad (USD)" numFmtId="0">
      <sharedItems containsString="0" containsBlank="1" containsNumber="1" containsInteger="1" minValue="51" maxValue="10923"/>
    </cacheField>
    <cacheField name="Cierres Q1" numFmtId="0">
      <sharedItems containsString="0" containsBlank="1" containsNumber="1" containsInteger="1" minValue="563" maxValue="1020"/>
    </cacheField>
    <cacheField name="Valor Oportunidad Segura Q2 (USD)" numFmtId="0">
      <sharedItems containsString="0" containsBlank="1" containsNumber="1" containsInteger="1" minValue="190" maxValue="600"/>
    </cacheField>
    <cacheField name="Field46" caption="Campo46" numFmtId="0">
      <sharedItems containsBlank="1"/>
    </cacheField>
    <cacheField name="Field47" caption="Campo47" numFmtId="0">
      <sharedItems containsNonDate="0" containsString="0" containsBlank="1"/>
    </cacheField>
    <cacheField name="Field48" caption="Campo48" numFmtId="0">
      <sharedItems containsNonDate="0" containsString="0"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
  <r>
    <n v="29157"/>
    <s v="CCO210827216"/>
    <s v="J&amp;T EXPRESS CONEJO CORRIENDO"/>
    <m/>
    <x v="0"/>
    <x v="0"/>
    <m/>
    <m/>
    <n v="3186.0953"/>
    <n v="4304.3424000000005"/>
    <n v="4304.3424000000005"/>
    <m/>
    <m/>
    <s v="CDMX"/>
    <s v="Logistica"/>
    <x v="0"/>
    <m/>
    <m/>
    <m/>
    <m/>
    <m/>
    <m/>
    <s v=" "/>
    <s v=" "/>
    <s v=" "/>
    <s v="OK"/>
    <s v=" "/>
    <s v=" "/>
    <s v=" "/>
    <s v=" "/>
    <s v=" "/>
    <s v=" "/>
    <s v=" "/>
    <m/>
    <s v=" "/>
    <s v=" "/>
    <s v=" "/>
    <s v="OK (Q1, 550 Monterrey+470 Jalisco) -OP (360 yucatan)"/>
    <s v=" "/>
    <n v="0"/>
    <n v="3"/>
    <s v="Riesgo Medio"/>
    <n v="360"/>
    <n v="1020"/>
    <m/>
    <m/>
    <m/>
    <m/>
  </r>
  <r>
    <n v="32725"/>
    <s v="IDI910119FX2"/>
    <s v="IMPULSORA DE DESARROLLO INTEGRAL (Idinsa)"/>
    <m/>
    <x v="0"/>
    <x v="0"/>
    <m/>
    <m/>
    <n v="1899.6291000000001"/>
    <n v="2064.2503000000002"/>
    <n v="2064.2503000000002"/>
    <m/>
    <m/>
    <s v="CDMX"/>
    <s v="Construcción"/>
    <x v="0"/>
    <m/>
    <m/>
    <m/>
    <m/>
    <m/>
    <m/>
    <s v="SI"/>
    <s v=" "/>
    <s v=" "/>
    <s v=" "/>
    <s v=" "/>
    <s v="OP (Q2, 400)"/>
    <s v=" "/>
    <s v=" "/>
    <s v=" "/>
    <s v=" "/>
    <s v=" "/>
    <m/>
    <s v=" "/>
    <s v=" "/>
    <s v=" "/>
    <s v=" "/>
    <s v=" "/>
    <n v="0"/>
    <n v="0"/>
    <s v="Demasiado Riesgo"/>
    <n v="400"/>
    <m/>
    <m/>
    <m/>
    <m/>
    <m/>
  </r>
  <r>
    <n v="31120"/>
    <s v="VAL110809NA0"/>
    <s v="VALKIPRO (Coperva)"/>
    <m/>
    <x v="0"/>
    <x v="0"/>
    <m/>
    <m/>
    <n v="2016.6899000000001"/>
    <n v="1954.1842999999999"/>
    <n v="1954.1842999999999"/>
    <m/>
    <m/>
    <s v="CDMX"/>
    <s v="Call Center Cobranza "/>
    <x v="0"/>
    <m/>
    <m/>
    <m/>
    <m/>
    <m/>
    <m/>
    <s v="SI"/>
    <s v=" "/>
    <s v=" "/>
    <s v=" "/>
    <s v=" "/>
    <s v=" "/>
    <s v="OK"/>
    <s v="OK"/>
    <s v=" "/>
    <s v=" "/>
    <s v=" "/>
    <m/>
    <s v=" "/>
    <s v=" "/>
    <s v=" "/>
    <s v=" "/>
    <s v="NO"/>
    <n v="2"/>
    <n v="3"/>
    <s v="Riesgo Medio"/>
    <m/>
    <m/>
    <m/>
    <m/>
    <m/>
    <m/>
  </r>
  <r>
    <n v="31781"/>
    <s v="GFS230216MD6"/>
    <s v="GRUPO FERROCARRILERO DEL SURESTE"/>
    <m/>
    <x v="0"/>
    <x v="0"/>
    <s v="Tony"/>
    <m/>
    <n v="2095.6473000000001"/>
    <n v="1721.3173999999999"/>
    <n v="1721.3173999999999"/>
    <m/>
    <m/>
    <s v="Chiapas"/>
    <s v="Construcción"/>
    <x v="0"/>
    <m/>
    <m/>
    <m/>
    <m/>
    <m/>
    <m/>
    <s v="SI"/>
    <s v=" "/>
    <s v=" "/>
    <s v="OP (Q2-Q3, 550)"/>
    <s v=" "/>
    <s v=" "/>
    <s v=" "/>
    <s v=" "/>
    <s v=" "/>
    <s v=" "/>
    <s v=" "/>
    <m/>
    <s v=" "/>
    <s v=" "/>
    <s v=" "/>
    <s v=" "/>
    <s v=" "/>
    <n v="0"/>
    <n v="0"/>
    <s v="Demasiado Riesgo"/>
    <n v="550"/>
    <m/>
    <m/>
    <m/>
    <m/>
    <m/>
  </r>
  <r>
    <n v="26102"/>
    <s v="TFV220408B62"/>
    <s v="TAKE FLIGHT VENTURES"/>
    <m/>
    <x v="0"/>
    <x v="0"/>
    <s v="Tony"/>
    <m/>
    <n v="1189.6129000000001"/>
    <n v="1274.8869999999999"/>
    <n v="1274.8869999999999"/>
    <m/>
    <m/>
    <s v="Jalisco "/>
    <s v="Planta Productiva"/>
    <x v="1"/>
    <m/>
    <m/>
    <m/>
    <m/>
    <m/>
    <m/>
    <s v="SI"/>
    <s v=" "/>
    <s v=" "/>
    <s v=" "/>
    <s v=" "/>
    <s v=" "/>
    <s v=" "/>
    <s v="OK"/>
    <s v=" "/>
    <s v=" "/>
    <s v=" "/>
    <m/>
    <s v=" "/>
    <s v=" "/>
    <s v=" "/>
    <s v=" "/>
    <s v="SI"/>
    <n v="1"/>
    <n v="1.5"/>
    <s v="Riesgo Medio"/>
    <m/>
    <m/>
    <m/>
    <m/>
    <m/>
    <m/>
  </r>
  <r>
    <n v="33503"/>
    <s v="GTC1701097U7"/>
    <s v="GTC TERMO CONTROL"/>
    <m/>
    <x v="0"/>
    <x v="0"/>
    <m/>
    <m/>
    <n v="961.98419999999999"/>
    <n v="1265.5117"/>
    <n v="1265.5117"/>
    <m/>
    <m/>
    <s v="CDMX"/>
    <s v="Construcción"/>
    <x v="1"/>
    <m/>
    <m/>
    <m/>
    <m/>
    <m/>
    <m/>
    <s v="SI"/>
    <s v=" "/>
    <s v=" "/>
    <s v=" "/>
    <s v=" "/>
    <s v="OK"/>
    <s v=" "/>
    <s v=" "/>
    <s v=" "/>
    <s v=" "/>
    <s v=" "/>
    <m/>
    <s v=" "/>
    <s v=" "/>
    <s v=" "/>
    <s v=" "/>
    <s v="NO"/>
    <n v="1"/>
    <n v="2"/>
    <s v="Riesgo Medio"/>
    <m/>
    <m/>
    <m/>
    <m/>
    <m/>
    <m/>
  </r>
  <r>
    <n v="24766"/>
    <s v="CSI161207HK1"/>
    <s v="CEPADEMRH SERVICIOS INTEGRALES (LUMO FINANCIERA) "/>
    <m/>
    <x v="0"/>
    <x v="0"/>
    <m/>
    <m/>
    <n v="1354.173"/>
    <n v="1254.71"/>
    <n v="1254.71"/>
    <m/>
    <m/>
    <s v="CDMX"/>
    <s v="Outsourcing General"/>
    <x v="2"/>
    <m/>
    <m/>
    <m/>
    <m/>
    <m/>
    <m/>
    <s v="SI"/>
    <s v=" "/>
    <s v=" "/>
    <s v=" "/>
    <s v=" "/>
    <s v=" "/>
    <s v=" "/>
    <s v="OK"/>
    <s v=" "/>
    <s v=" "/>
    <s v=" "/>
    <m/>
    <s v=" "/>
    <s v=" "/>
    <s v=" "/>
    <s v=" "/>
    <s v=" "/>
    <n v="1"/>
    <n v="1"/>
    <s v="Riesgo Medio"/>
    <m/>
    <m/>
    <m/>
    <m/>
    <m/>
    <m/>
  </r>
  <r>
    <n v="32312"/>
    <s v="Y5459737101"/>
    <s v="LATAM LOGISTICS (TOUS)"/>
    <m/>
    <x v="0"/>
    <x v="0"/>
    <m/>
    <m/>
    <n v="1388.5025000000001"/>
    <n v="1179.6347000000001"/>
    <n v="1179.6347000000001"/>
    <m/>
    <m/>
    <s v="CDMX"/>
    <s v="Retail "/>
    <x v="0"/>
    <m/>
    <m/>
    <m/>
    <m/>
    <m/>
    <m/>
    <s v=" "/>
    <s v=" "/>
    <s v=" "/>
    <s v=" "/>
    <s v=" "/>
    <s v=" "/>
    <s v=" "/>
    <s v=" "/>
    <s v=" "/>
    <s v=" "/>
    <s v=" "/>
    <m/>
    <s v=" "/>
    <s v=" "/>
    <s v=" "/>
    <s v=" "/>
    <s v=" "/>
    <n v="0"/>
    <n v="0"/>
    <s v="Demasiado Riesgo"/>
    <m/>
    <m/>
    <m/>
    <m/>
    <m/>
    <m/>
  </r>
  <r>
    <n v="22501"/>
    <s v="PLQ9002286Q6"/>
    <s v="PRODUCTOS LACTEOS LA QUINTA"/>
    <m/>
    <x v="0"/>
    <x v="0"/>
    <m/>
    <m/>
    <n v="1166.8302000000001"/>
    <n v="1156.675"/>
    <n v="1156.675"/>
    <m/>
    <m/>
    <s v="Queretaro"/>
    <s v="Planta Productiva"/>
    <x v="1"/>
    <m/>
    <m/>
    <m/>
    <m/>
    <m/>
    <m/>
    <s v="SI"/>
    <s v=" "/>
    <s v=" "/>
    <s v="OK"/>
    <s v=" "/>
    <s v="OK"/>
    <s v=" "/>
    <s v=" "/>
    <s v=" "/>
    <s v=" "/>
    <s v=" "/>
    <m/>
    <s v=" "/>
    <s v=" "/>
    <s v=" "/>
    <s v=" "/>
    <s v="NO"/>
    <n v="1"/>
    <n v="5"/>
    <s v="Riesgo Medio"/>
    <m/>
    <m/>
    <m/>
    <m/>
    <m/>
    <m/>
  </r>
  <r>
    <n v="28668"/>
    <s v="RCO130524TLA"/>
    <s v="RENA COMERCIALIZADORA"/>
    <m/>
    <x v="0"/>
    <x v="0"/>
    <s v="Tony"/>
    <m/>
    <n v="1209.7130999999999"/>
    <n v="1145.9671000000001"/>
    <n v="1145.9671000000001"/>
    <m/>
    <m/>
    <s v="Yucatan"/>
    <s v="Retail Enterprise"/>
    <x v="0"/>
    <m/>
    <m/>
    <m/>
    <m/>
    <m/>
    <m/>
    <s v="SI"/>
    <s v=" "/>
    <s v=" "/>
    <s v=" "/>
    <s v=" "/>
    <s v=" "/>
    <s v=" "/>
    <s v=" "/>
    <s v=" "/>
    <s v=" "/>
    <s v=" "/>
    <m/>
    <s v=" "/>
    <s v=" "/>
    <s v=" "/>
    <s v=" "/>
    <s v=" "/>
    <n v="0"/>
    <n v="0"/>
    <s v="Demasiado Riesgo"/>
    <m/>
    <m/>
    <m/>
    <m/>
    <m/>
    <m/>
  </r>
  <r>
    <n v="33731"/>
    <s v="FRU1410043E6"/>
    <s v="FRUNATURAL"/>
    <m/>
    <x v="0"/>
    <x v="0"/>
    <m/>
    <m/>
    <n v="1170.6072999999999"/>
    <n v="1135.4537"/>
    <n v="1135.4537"/>
    <m/>
    <m/>
    <m/>
    <s v="Produccion "/>
    <x v="0"/>
    <m/>
    <m/>
    <m/>
    <m/>
    <m/>
    <m/>
    <s v=" "/>
    <s v=" "/>
    <s v=" "/>
    <s v=" "/>
    <s v=" "/>
    <s v=" "/>
    <s v=" "/>
    <s v=" "/>
    <s v=" "/>
    <s v=" "/>
    <s v=" "/>
    <m/>
    <s v=" "/>
    <s v=" "/>
    <s v=" "/>
    <s v=" "/>
    <s v=" "/>
    <n v="0"/>
    <n v="0"/>
    <s v="Demasiado Riesgo"/>
    <m/>
    <m/>
    <m/>
    <m/>
    <m/>
    <m/>
  </r>
  <r>
    <n v="26084"/>
    <s v="GSO060706CM5"/>
    <s v="GLORY GLOBAL SOLUTIONS MEXICO"/>
    <m/>
    <x v="0"/>
    <x v="0"/>
    <s v="Tony"/>
    <m/>
    <n v="1088.8248000000001"/>
    <n v="1031.2293999999999"/>
    <n v="1031.2293999999999"/>
    <m/>
    <m/>
    <s v="CDMX"/>
    <s v="Servicios"/>
    <x v="1"/>
    <m/>
    <m/>
    <m/>
    <m/>
    <m/>
    <m/>
    <s v="SI"/>
    <s v=" "/>
    <s v=" "/>
    <s v=" "/>
    <s v=" "/>
    <s v="OK"/>
    <s v=" "/>
    <s v=" "/>
    <s v=" "/>
    <s v=" "/>
    <s v=" "/>
    <m/>
    <s v=" "/>
    <s v=" "/>
    <s v=" "/>
    <s v=" "/>
    <s v="NO"/>
    <n v="1"/>
    <n v="2"/>
    <s v="Riesgo Medio"/>
    <m/>
    <m/>
    <m/>
    <m/>
    <m/>
    <m/>
  </r>
  <r>
    <n v="22786"/>
    <s v="CEN180307897"/>
    <s v="COMETA ENERGIA (SAAVI)"/>
    <m/>
    <x v="0"/>
    <x v="0"/>
    <m/>
    <m/>
    <n v="936.03959999999995"/>
    <n v="885.35069999999996"/>
    <n v="885.35069999999996"/>
    <m/>
    <m/>
    <s v="CDMX"/>
    <s v="Olantas de Energia "/>
    <x v="1"/>
    <m/>
    <m/>
    <m/>
    <m/>
    <m/>
    <m/>
    <s v=" "/>
    <s v=" "/>
    <s v=" "/>
    <s v=" "/>
    <s v=" "/>
    <s v=" "/>
    <s v=" "/>
    <s v=" "/>
    <s v=" "/>
    <s v=" "/>
    <s v=" "/>
    <m/>
    <s v=" "/>
    <s v=" "/>
    <s v=" "/>
    <s v=" "/>
    <s v=" "/>
    <n v="0"/>
    <n v="0"/>
    <s v="Demasiado Riesgo"/>
    <m/>
    <m/>
    <m/>
    <m/>
    <m/>
    <m/>
  </r>
  <r>
    <n v="6341"/>
    <s v="FPF170810F72"/>
    <s v="FLORES Y PLANTAS LA FINCA"/>
    <m/>
    <x v="0"/>
    <x v="0"/>
    <m/>
    <m/>
    <n v="904.72239999999999"/>
    <n v="874.44619999999998"/>
    <n v="874.44619999999998"/>
    <m/>
    <m/>
    <s v="Nuevo Leon "/>
    <s v="Agrícola"/>
    <x v="1"/>
    <m/>
    <m/>
    <m/>
    <m/>
    <m/>
    <m/>
    <s v="SI"/>
    <s v=" "/>
    <s v=" "/>
    <s v=" "/>
    <s v=" "/>
    <s v=" "/>
    <s v=" "/>
    <s v=" "/>
    <s v=" "/>
    <s v=" "/>
    <s v=" "/>
    <m/>
    <s v=" "/>
    <s v=" "/>
    <s v=" "/>
    <s v=" "/>
    <s v="NO"/>
    <n v="0"/>
    <n v="0"/>
    <s v="Demasiado Riesgo"/>
    <m/>
    <m/>
    <m/>
    <m/>
    <m/>
    <m/>
  </r>
  <r>
    <n v="25179"/>
    <s v="HME170801CS9"/>
    <s v="H52 MEXICO"/>
    <m/>
    <x v="0"/>
    <x v="0"/>
    <s v="Tony"/>
    <m/>
    <n v="811.50210000000004"/>
    <n v="806.7663"/>
    <n v="806.7663"/>
    <m/>
    <m/>
    <s v="Jalisco "/>
    <s v="Agrícola"/>
    <x v="1"/>
    <m/>
    <m/>
    <m/>
    <m/>
    <m/>
    <m/>
    <s v="SI"/>
    <s v=" "/>
    <s v=" "/>
    <s v=" "/>
    <s v=" "/>
    <s v=" "/>
    <s v=" "/>
    <s v=" "/>
    <s v=" "/>
    <s v=" "/>
    <s v=" "/>
    <m/>
    <s v=" "/>
    <s v=" "/>
    <s v=" "/>
    <s v=" "/>
    <s v=" "/>
    <n v="0"/>
    <n v="0"/>
    <s v="Demasiado Riesgo"/>
    <m/>
    <m/>
    <m/>
    <m/>
    <m/>
    <m/>
  </r>
  <r>
    <n v="26820"/>
    <s v="TJA170719450"/>
    <s v="TRIBUNAL DE JUSTICIA ADMINISTRATIVA DEL ESTADO DE MEXICO"/>
    <m/>
    <x v="0"/>
    <x v="0"/>
    <m/>
    <m/>
    <n v="781.47619999999995"/>
    <n v="774.74570000000006"/>
    <n v="774.74570000000006"/>
    <m/>
    <m/>
    <s v="Toluca "/>
    <s v="Gobierno"/>
    <x v="1"/>
    <m/>
    <m/>
    <m/>
    <m/>
    <m/>
    <m/>
    <s v="SI"/>
    <s v=" "/>
    <s v=" "/>
    <s v=" "/>
    <s v=" "/>
    <s v=" "/>
    <s v=" "/>
    <s v=" "/>
    <s v=" "/>
    <s v=" "/>
    <s v=" "/>
    <m/>
    <s v=" "/>
    <s v=" "/>
    <s v=" "/>
    <s v=" "/>
    <s v=" "/>
    <n v="0"/>
    <n v="0"/>
    <s v="Demasiado Riesgo"/>
    <m/>
    <m/>
    <m/>
    <m/>
    <m/>
    <m/>
  </r>
  <r>
    <n v="35601"/>
    <s v="GKA081001HL5"/>
    <s v="GRUPO KARUNA"/>
    <m/>
    <x v="0"/>
    <x v="0"/>
    <m/>
    <m/>
    <n v="785.23410000000001"/>
    <n v="740.03300000000002"/>
    <n v="740.03300000000002"/>
    <m/>
    <m/>
    <m/>
    <s v="Laboratorios "/>
    <x v="0"/>
    <m/>
    <m/>
    <m/>
    <m/>
    <m/>
    <m/>
    <s v=" "/>
    <s v=" "/>
    <s v=" "/>
    <s v=" "/>
    <s v=" "/>
    <s v=" "/>
    <s v=" "/>
    <s v=" "/>
    <s v=" "/>
    <s v=" "/>
    <s v=" "/>
    <m/>
    <s v=" "/>
    <s v=" "/>
    <s v=" "/>
    <s v=" "/>
    <s v=" "/>
    <n v="0"/>
    <n v="0"/>
    <s v="Demasiado Riesgo"/>
    <m/>
    <m/>
    <m/>
    <m/>
    <m/>
    <m/>
  </r>
  <r>
    <n v="17919"/>
    <s v="SCA210528AWA"/>
    <s v="SINFOROSA CAFE"/>
    <m/>
    <x v="0"/>
    <x v="0"/>
    <m/>
    <m/>
    <n v="724.74850000000004"/>
    <n v="720.85019999999997"/>
    <n v="720.85019999999997"/>
    <m/>
    <m/>
    <s v="Queretaro"/>
    <s v="Turismo, Hotelería y Gastronomía"/>
    <x v="1"/>
    <m/>
    <m/>
    <m/>
    <m/>
    <m/>
    <m/>
    <s v=" "/>
    <s v=" "/>
    <s v=" "/>
    <s v=" "/>
    <s v=" "/>
    <s v=" "/>
    <s v=" "/>
    <s v=" "/>
    <s v=" "/>
    <s v=" "/>
    <s v=" "/>
    <m/>
    <s v=" "/>
    <s v=" "/>
    <s v=" "/>
    <s v=" "/>
    <s v=" "/>
    <n v="0"/>
    <n v="0"/>
    <s v="Demasiado Riesgo"/>
    <m/>
    <m/>
    <m/>
    <m/>
    <m/>
    <m/>
  </r>
  <r>
    <n v="19963"/>
    <s v="VJU981123KB4"/>
    <s v="GEVILLA - VILLAGOMEZ JURADO"/>
    <m/>
    <x v="0"/>
    <x v="0"/>
    <m/>
    <m/>
    <n v="682.07929999999999"/>
    <n v="652.53129999999999"/>
    <n v="652.53129999999999"/>
    <m/>
    <m/>
    <s v="BajaCalifornia Norte"/>
    <s v="Construcción"/>
    <x v="3"/>
    <m/>
    <m/>
    <m/>
    <m/>
    <m/>
    <m/>
    <s v="SI"/>
    <s v=" "/>
    <s v=" "/>
    <s v=" "/>
    <s v=" "/>
    <s v=" "/>
    <s v=" "/>
    <s v=" "/>
    <s v=" "/>
    <s v=" "/>
    <s v=" "/>
    <m/>
    <s v=" "/>
    <s v=" "/>
    <s v=" "/>
    <s v=" "/>
    <s v=" "/>
    <n v="0"/>
    <n v="0"/>
    <s v="Demasiado Riesgo"/>
    <m/>
    <m/>
    <m/>
    <m/>
    <m/>
    <m/>
  </r>
  <r>
    <n v="1207"/>
    <s v="REM8810176J7"/>
    <s v="RADIOLOGIA Y ELECTRONICA DE MEXICO"/>
    <m/>
    <x v="0"/>
    <x v="0"/>
    <m/>
    <m/>
    <n v="661.97839999999997"/>
    <n v="650.26700000000005"/>
    <n v="650.26700000000005"/>
    <m/>
    <m/>
    <s v="CDMX"/>
    <s v="Retail Enterprise"/>
    <x v="1"/>
    <m/>
    <m/>
    <m/>
    <m/>
    <m/>
    <m/>
    <s v=" "/>
    <s v=" "/>
    <s v=" "/>
    <s v=" "/>
    <s v=" "/>
    <s v=" "/>
    <s v=" "/>
    <s v=" "/>
    <s v=" "/>
    <s v=" "/>
    <s v=" "/>
    <m/>
    <s v=" "/>
    <s v=" "/>
    <s v=" "/>
    <s v=" "/>
    <s v=" "/>
    <n v="0"/>
    <n v="0"/>
    <s v="Demasiado Riesgo"/>
    <m/>
    <m/>
    <m/>
    <m/>
    <m/>
    <m/>
  </r>
  <r>
    <n v="21190"/>
    <s v="ARH071204CK8"/>
    <s v="COMERCIALIZADORA IMU"/>
    <m/>
    <x v="0"/>
    <x v="0"/>
    <m/>
    <m/>
    <n v="659.19680000000005"/>
    <n v="628.20519999999999"/>
    <n v="628.20519999999999"/>
    <m/>
    <m/>
    <s v="CDMX"/>
    <s v="Planta Productiva"/>
    <x v="1"/>
    <m/>
    <m/>
    <m/>
    <m/>
    <m/>
    <m/>
    <s v=" "/>
    <s v=" "/>
    <s v=" "/>
    <s v=" "/>
    <s v=" "/>
    <s v=" "/>
    <s v=" "/>
    <s v=" "/>
    <s v=" "/>
    <s v=" "/>
    <s v=" "/>
    <m/>
    <s v=" "/>
    <s v=" "/>
    <s v=" "/>
    <s v=" "/>
    <s v=" "/>
    <n v="0"/>
    <n v="0"/>
    <s v="Demasiado Riesgo"/>
    <m/>
    <m/>
    <m/>
    <m/>
    <m/>
    <m/>
  </r>
  <r>
    <n v="26665"/>
    <s v="CIN930226HQ0"/>
    <s v="CINMSA"/>
    <m/>
    <x v="0"/>
    <x v="0"/>
    <m/>
    <m/>
    <n v="640.34709999999995"/>
    <n v="615.90959999999995"/>
    <n v="615.90959999999995"/>
    <m/>
    <m/>
    <s v="EDOMEX"/>
    <s v="Construcción"/>
    <x v="1"/>
    <m/>
    <m/>
    <m/>
    <m/>
    <m/>
    <m/>
    <s v="SI"/>
    <s v=" "/>
    <s v=" "/>
    <s v=" "/>
    <s v=" "/>
    <s v=" "/>
    <s v=" "/>
    <s v=" "/>
    <s v=" "/>
    <s v=" "/>
    <s v=" "/>
    <m/>
    <s v=" "/>
    <s v=" "/>
    <s v=" "/>
    <s v=" "/>
    <s v=" "/>
    <n v="0"/>
    <n v="0"/>
    <s v="Demasiado Riesgo"/>
    <m/>
    <m/>
    <m/>
    <m/>
    <m/>
    <m/>
  </r>
  <r>
    <n v="32676"/>
    <s v="HAL161209L83"/>
    <s v="HORIZON AUTO LOGISTICS"/>
    <s v="HORIZON (Implementando)"/>
    <x v="0"/>
    <x v="0"/>
    <s v="Tony"/>
    <m/>
    <n v="517.21140000000003"/>
    <n v="553.51930000000004"/>
    <n v="553.51930000000004"/>
    <m/>
    <m/>
    <s v="CDMX"/>
    <s v="Logistica"/>
    <x v="1"/>
    <m/>
    <m/>
    <m/>
    <m/>
    <m/>
    <m/>
    <s v=" "/>
    <s v=" "/>
    <s v=" "/>
    <s v=" "/>
    <s v=" "/>
    <s v=" "/>
    <s v=" "/>
    <s v=" "/>
    <s v=" "/>
    <s v=" "/>
    <s v=" "/>
    <m/>
    <s v=" "/>
    <s v=" "/>
    <s v=" "/>
    <s v=" "/>
    <s v=" "/>
    <n v="0"/>
    <n v="0"/>
    <s v="Demasiado Riesgo"/>
    <m/>
    <m/>
    <m/>
    <m/>
    <m/>
    <m/>
  </r>
  <r>
    <n v="6975"/>
    <s v="TLM1402276K0"/>
    <s v="TRANSPORTACION Y LOGISTICA MALDONADO"/>
    <m/>
    <x v="0"/>
    <x v="0"/>
    <m/>
    <m/>
    <n v="550.02549999999997"/>
    <n v="539.00139999999999"/>
    <n v="539.00139999999999"/>
    <m/>
    <m/>
    <s v="EDOMEX"/>
    <s v="Logistica"/>
    <x v="1"/>
    <m/>
    <m/>
    <m/>
    <m/>
    <m/>
    <m/>
    <s v="SI"/>
    <s v=" "/>
    <s v=" "/>
    <s v="OK"/>
    <s v=" "/>
    <s v=" "/>
    <s v=" "/>
    <s v=" "/>
    <s v=" "/>
    <s v=" "/>
    <s v=" "/>
    <m/>
    <s v=" "/>
    <s v=" "/>
    <s v=" "/>
    <s v=" "/>
    <s v="NO"/>
    <n v="0"/>
    <n v="3"/>
    <s v="Riesgo Medio"/>
    <m/>
    <m/>
    <m/>
    <m/>
    <m/>
    <m/>
  </r>
  <r>
    <n v="23418"/>
    <s v="SME900524FC2"/>
    <s v="SGS DE MEXICO"/>
    <m/>
    <x v="0"/>
    <x v="0"/>
    <m/>
    <m/>
    <m/>
    <n v="538.85619999999994"/>
    <n v="538.85619999999994"/>
    <m/>
    <m/>
    <s v="CDMX"/>
    <s v="Servicios"/>
    <x v="2"/>
    <m/>
    <m/>
    <m/>
    <m/>
    <m/>
    <m/>
    <s v="SI"/>
    <s v=" "/>
    <s v=" "/>
    <s v="OK"/>
    <s v=" "/>
    <s v=" "/>
    <s v=" "/>
    <s v=" "/>
    <s v=" "/>
    <s v=" "/>
    <s v=" "/>
    <m/>
    <s v=" "/>
    <s v=" "/>
    <s v=" "/>
    <s v=" "/>
    <s v="NO"/>
    <n v="0"/>
    <n v="3"/>
    <s v="Riesgo Medio"/>
    <m/>
    <m/>
    <m/>
    <m/>
    <m/>
    <m/>
  </r>
  <r>
    <n v="25238"/>
    <s v="TME930119HR3"/>
    <s v="TOTALENERGIES MARKETING MEXICO"/>
    <m/>
    <x v="0"/>
    <x v="0"/>
    <m/>
    <m/>
    <n v="568.35879999999997"/>
    <n v="538.35519999999997"/>
    <n v="538.35519999999997"/>
    <m/>
    <m/>
    <s v="Jalisco "/>
    <s v="Retail Enterprise"/>
    <x v="4"/>
    <m/>
    <m/>
    <m/>
    <m/>
    <m/>
    <m/>
    <s v="SI"/>
    <s v=" "/>
    <s v=" "/>
    <s v=" "/>
    <s v=" "/>
    <s v=" "/>
    <s v=" "/>
    <s v=" "/>
    <s v=" "/>
    <s v=" "/>
    <s v=" "/>
    <m/>
    <s v=" "/>
    <s v=" "/>
    <s v=" "/>
    <s v=" "/>
    <s v="NO"/>
    <n v="0"/>
    <n v="0"/>
    <s v="Demasiado Riesgo"/>
    <m/>
    <m/>
    <m/>
    <m/>
    <m/>
    <m/>
  </r>
  <r>
    <n v="2075"/>
    <s v="KLA140509S32"/>
    <s v="KLIP LAB"/>
    <m/>
    <x v="0"/>
    <x v="0"/>
    <m/>
    <m/>
    <n v="521.82309999999995"/>
    <n v="514.14729999999997"/>
    <n v="514.14729999999997"/>
    <m/>
    <m/>
    <s v="CDMX"/>
    <s v="Servicios"/>
    <x v="1"/>
    <m/>
    <m/>
    <m/>
    <m/>
    <m/>
    <m/>
    <s v=" "/>
    <s v=" "/>
    <s v=" "/>
    <s v=" "/>
    <s v=" "/>
    <s v=" "/>
    <s v=" "/>
    <s v=" "/>
    <s v=" "/>
    <s v=" "/>
    <s v=" "/>
    <m/>
    <s v=" "/>
    <s v=" "/>
    <s v=" "/>
    <s v=" "/>
    <s v=" "/>
    <n v="0"/>
    <n v="0"/>
    <s v="Demasiado Riesgo"/>
    <m/>
    <m/>
    <m/>
    <m/>
    <m/>
    <m/>
  </r>
  <r>
    <n v="23536"/>
    <s v="PIM880419171"/>
    <s v="PLASTICOS INDUSTRIALES DE MONTERREY"/>
    <m/>
    <x v="0"/>
    <x v="0"/>
    <m/>
    <m/>
    <n v="514.49639999999999"/>
    <n v="511.94159999999999"/>
    <n v="511.94159999999999"/>
    <m/>
    <m/>
    <m/>
    <m/>
    <x v="4"/>
    <m/>
    <m/>
    <m/>
    <m/>
    <m/>
    <m/>
    <s v=" "/>
    <s v=" "/>
    <s v=" "/>
    <s v=" "/>
    <s v=" "/>
    <s v=" "/>
    <s v=" "/>
    <s v=" "/>
    <s v=" "/>
    <s v=" "/>
    <s v=" "/>
    <m/>
    <s v=" "/>
    <s v=" "/>
    <s v=" "/>
    <s v=" "/>
    <s v=" "/>
    <n v="0"/>
    <n v="0"/>
    <s v="Demasiado Riesgo"/>
    <m/>
    <m/>
    <m/>
    <m/>
    <m/>
    <m/>
  </r>
  <r>
    <m/>
    <m/>
    <s v="JAVILU TRANSPORTES"/>
    <m/>
    <x v="0"/>
    <x v="0"/>
    <m/>
    <m/>
    <n v="440.47519999999997"/>
    <n v="510.96800000000002"/>
    <n v="510.96800000000002"/>
    <m/>
    <m/>
    <m/>
    <m/>
    <x v="1"/>
    <m/>
    <m/>
    <m/>
    <m/>
    <m/>
    <m/>
    <s v=" "/>
    <s v=" "/>
    <s v=" "/>
    <s v=" "/>
    <s v=" "/>
    <s v=" "/>
    <s v=" "/>
    <s v=" "/>
    <s v=" "/>
    <s v=" "/>
    <s v=" "/>
    <m/>
    <s v=" "/>
    <s v=" "/>
    <s v=" "/>
    <s v=" "/>
    <s v=" "/>
    <n v="0"/>
    <n v="0"/>
    <s v="Demasiado Riesgo"/>
    <m/>
    <m/>
    <m/>
    <m/>
    <m/>
    <m/>
  </r>
  <r>
    <n v="27573"/>
    <s v="ULA751222J13"/>
    <s v="UNIVERSIDAD LATINOAMERICANA"/>
    <m/>
    <x v="0"/>
    <x v="0"/>
    <m/>
    <m/>
    <n v="545.66300000000001"/>
    <n v="503.9735"/>
    <n v="503.9735"/>
    <m/>
    <m/>
    <s v="Nuevo Leon "/>
    <s v="Educación"/>
    <x v="0"/>
    <m/>
    <m/>
    <m/>
    <m/>
    <m/>
    <m/>
    <s v=" "/>
    <s v=" "/>
    <s v=" "/>
    <s v=" "/>
    <s v=" "/>
    <s v=" "/>
    <s v=" "/>
    <s v=" "/>
    <s v=" "/>
    <s v=" "/>
    <s v=" "/>
    <m/>
    <s v=" "/>
    <s v=" "/>
    <s v=" "/>
    <s v=" "/>
    <s v=" "/>
    <n v="0"/>
    <n v="0"/>
    <s v="Demasiado Riesgo"/>
    <m/>
    <m/>
    <m/>
    <m/>
    <m/>
    <m/>
  </r>
  <r>
    <n v="27596"/>
    <s v="FSN9905126S3"/>
    <s v="FARMACIAS SIMI DEL NORTE"/>
    <m/>
    <x v="0"/>
    <x v="0"/>
    <m/>
    <m/>
    <n v="499.38979999999998"/>
    <n v="496.52850000000001"/>
    <n v="496.52850000000001"/>
    <m/>
    <m/>
    <s v="Tamaulipas"/>
    <s v="Retail Enterprise"/>
    <x v="0"/>
    <m/>
    <m/>
    <m/>
    <m/>
    <m/>
    <m/>
    <s v="SI"/>
    <s v=" "/>
    <s v=" "/>
    <s v=" "/>
    <s v=" "/>
    <s v=" "/>
    <s v=" "/>
    <s v=" "/>
    <s v=" "/>
    <s v=" "/>
    <s v=" "/>
    <m/>
    <s v=" "/>
    <s v=" "/>
    <s v=" "/>
    <s v=" "/>
    <s v=" "/>
    <n v="0"/>
    <n v="0"/>
    <s v="Demasiado Riesgo"/>
    <m/>
    <m/>
    <m/>
    <m/>
    <m/>
    <m/>
  </r>
  <r>
    <n v="21582"/>
    <s v="CEC081223FJ2"/>
    <s v="CAFES DE ESPECIALIDAD DE CHIAPAS S.A.P.I. DE C.V. (CAFESCA)*"/>
    <m/>
    <x v="0"/>
    <x v="0"/>
    <m/>
    <m/>
    <n v="521.24429999999995"/>
    <n v="490.68610000000001"/>
    <n v="490.68610000000001"/>
    <m/>
    <m/>
    <s v="Chiapas"/>
    <s v="Planta Productiva"/>
    <x v="1"/>
    <m/>
    <m/>
    <m/>
    <m/>
    <m/>
    <m/>
    <s v=" "/>
    <s v=" "/>
    <s v=" "/>
    <s v=" "/>
    <s v=" "/>
    <s v=" "/>
    <s v=" "/>
    <s v=" "/>
    <s v="OK"/>
    <s v=" "/>
    <s v=" "/>
    <m/>
    <s v=" "/>
    <s v=" "/>
    <s v=" "/>
    <s v=" "/>
    <s v=" "/>
    <n v="1"/>
    <n v="1"/>
    <s v="Riesgo Medio"/>
    <m/>
    <m/>
    <m/>
    <m/>
    <m/>
    <m/>
  </r>
  <r>
    <m/>
    <m/>
    <s v="FWI LOGISTICS PRIVATE SECURITY"/>
    <m/>
    <x v="1"/>
    <x v="0"/>
    <m/>
    <m/>
    <n v="465.59230000000002"/>
    <n v="425.32459999999998"/>
    <n v="425.32459999999998"/>
    <m/>
    <m/>
    <m/>
    <m/>
    <x v="4"/>
    <m/>
    <m/>
    <m/>
    <m/>
    <m/>
    <m/>
    <s v=" "/>
    <s v=" "/>
    <s v=" "/>
    <s v=" "/>
    <s v=" "/>
    <s v=" "/>
    <s v=" "/>
    <s v=" "/>
    <s v=" "/>
    <s v=" "/>
    <s v=" "/>
    <m/>
    <s v=" "/>
    <s v=" "/>
    <s v=" "/>
    <s v=" "/>
    <s v=" "/>
    <n v="0"/>
    <n v="0"/>
    <s v="Demasiado Riesgo"/>
    <m/>
    <m/>
    <m/>
    <m/>
    <m/>
    <m/>
  </r>
  <r>
    <n v="6000"/>
    <s v="AAR160311AL8"/>
    <s v="ALIMENTOS AREM"/>
    <m/>
    <x v="1"/>
    <x v="0"/>
    <m/>
    <m/>
    <n v="454.50510000000003"/>
    <n v="416.7921"/>
    <n v="416.7921"/>
    <m/>
    <m/>
    <s v="Nuevo Leon "/>
    <s v="Planta Productiva"/>
    <x v="1"/>
    <m/>
    <m/>
    <m/>
    <m/>
    <m/>
    <m/>
    <s v=" "/>
    <s v=" "/>
    <s v=" "/>
    <s v=" "/>
    <s v=" "/>
    <s v=" "/>
    <s v=" "/>
    <s v=" "/>
    <s v=" "/>
    <s v=" "/>
    <s v=" "/>
    <m/>
    <s v=" "/>
    <s v=" "/>
    <s v=" "/>
    <s v=" "/>
    <s v=" "/>
    <n v="0"/>
    <n v="0"/>
    <s v="Demasiado Riesgo"/>
    <m/>
    <m/>
    <m/>
    <m/>
    <m/>
    <m/>
  </r>
  <r>
    <n v="21116"/>
    <s v="VOT030512SA3"/>
    <s v="V O TECNOLOGIA LASER APLICADA A LA VISION"/>
    <m/>
    <x v="1"/>
    <x v="0"/>
    <m/>
    <m/>
    <n v="443.81950000000001"/>
    <n v="407.28879999999998"/>
    <n v="407.28879999999998"/>
    <m/>
    <m/>
    <s v="Guanajuato"/>
    <s v="Salud"/>
    <x v="1"/>
    <m/>
    <m/>
    <m/>
    <m/>
    <m/>
    <m/>
    <s v=" "/>
    <s v=" "/>
    <s v=" "/>
    <s v=" "/>
    <s v=" "/>
    <s v=" "/>
    <s v=" "/>
    <s v=" "/>
    <s v=" "/>
    <s v=" "/>
    <s v=" "/>
    <m/>
    <s v=" "/>
    <s v=" "/>
    <s v=" "/>
    <s v=" "/>
    <s v=" "/>
    <n v="0"/>
    <n v="0"/>
    <s v="Demasiado Riesgo"/>
    <m/>
    <m/>
    <m/>
    <m/>
    <m/>
    <m/>
  </r>
  <r>
    <n v="24483"/>
    <s v="AIN8002073EA"/>
    <s v="ALIMENTOS INTEGRONATURALES"/>
    <m/>
    <x v="1"/>
    <x v="0"/>
    <m/>
    <m/>
    <n v="413.4667"/>
    <n v="405.86610000000002"/>
    <n v="405.86610000000002"/>
    <m/>
    <m/>
    <s v="Nuevo Leon "/>
    <s v="Produccion "/>
    <x v="1"/>
    <m/>
    <m/>
    <m/>
    <m/>
    <m/>
    <m/>
    <s v=" "/>
    <s v=" "/>
    <s v=" "/>
    <s v=" "/>
    <s v=" "/>
    <s v=" "/>
    <s v=" "/>
    <s v=" "/>
    <s v=" "/>
    <s v=" "/>
    <s v=" "/>
    <m/>
    <s v=" "/>
    <s v=" "/>
    <s v=" "/>
    <s v=" "/>
    <s v="SI"/>
    <n v="0"/>
    <n v="0.5"/>
    <s v="Demasiado Riesgo"/>
    <m/>
    <m/>
    <m/>
    <m/>
    <m/>
    <m/>
  </r>
  <r>
    <m/>
    <m/>
    <s v="GRUPO MODS"/>
    <m/>
    <x v="1"/>
    <x v="0"/>
    <m/>
    <m/>
    <n v="440.53199999999998"/>
    <n v="398.9341"/>
    <n v="398.9341"/>
    <m/>
    <m/>
    <m/>
    <m/>
    <x v="4"/>
    <m/>
    <m/>
    <m/>
    <m/>
    <m/>
    <m/>
    <s v=" "/>
    <s v=" "/>
    <s v=" "/>
    <s v=" "/>
    <s v=" "/>
    <s v=" "/>
    <s v=" "/>
    <s v=" "/>
    <s v=" "/>
    <s v=" "/>
    <s v=" "/>
    <m/>
    <s v=" "/>
    <s v=" "/>
    <s v=" "/>
    <s v=" "/>
    <s v=" "/>
    <n v="0"/>
    <n v="0"/>
    <s v="Demasiado Riesgo"/>
    <m/>
    <m/>
    <m/>
    <m/>
    <m/>
    <m/>
  </r>
  <r>
    <n v="23042"/>
    <s v="CMC130520F30"/>
    <s v="COMERCIALIZADORA DE MARCAS CASMA"/>
    <m/>
    <x v="1"/>
    <x v="0"/>
    <m/>
    <m/>
    <n v="400.41379999999998"/>
    <n v="390.36079999999998"/>
    <n v="390.36079999999998"/>
    <m/>
    <m/>
    <s v="Sinaloa "/>
    <s v="Retail Enterprise"/>
    <x v="4"/>
    <m/>
    <m/>
    <m/>
    <m/>
    <m/>
    <m/>
    <s v=" "/>
    <s v=" "/>
    <s v=" "/>
    <s v=" "/>
    <s v=" "/>
    <s v=" "/>
    <s v=" "/>
    <s v=" "/>
    <s v=" "/>
    <s v=" "/>
    <s v=" "/>
    <m/>
    <s v=" "/>
    <s v=" "/>
    <s v=" "/>
    <s v=" "/>
    <s v=" "/>
    <n v="0"/>
    <n v="0"/>
    <s v="Demasiado Riesgo"/>
    <m/>
    <m/>
    <m/>
    <m/>
    <m/>
    <m/>
  </r>
  <r>
    <m/>
    <m/>
    <s v="ISEG MEXICO SEGURIDAD PRIVADA"/>
    <m/>
    <x v="1"/>
    <x v="0"/>
    <m/>
    <m/>
    <n v="410.78230000000002"/>
    <n v="389.36509999999998"/>
    <n v="389.36509999999998"/>
    <m/>
    <m/>
    <m/>
    <m/>
    <x v="4"/>
    <m/>
    <m/>
    <m/>
    <m/>
    <m/>
    <m/>
    <s v=" "/>
    <s v=" "/>
    <s v=" "/>
    <s v=" "/>
    <s v=" "/>
    <s v=" "/>
    <s v=" "/>
    <s v=" "/>
    <s v=" "/>
    <s v=" "/>
    <s v=" "/>
    <m/>
    <s v=" "/>
    <s v=" "/>
    <s v=" "/>
    <s v=" "/>
    <s v=" "/>
    <n v="0"/>
    <n v="0"/>
    <s v="Demasiado Riesgo"/>
    <m/>
    <m/>
    <m/>
    <m/>
    <m/>
    <m/>
  </r>
  <r>
    <n v="22380"/>
    <s v="TZM1211063S9"/>
    <s v="TRANSPORTES ZAPATA MEJIA"/>
    <m/>
    <x v="1"/>
    <x v="0"/>
    <m/>
    <m/>
    <n v="329.06819999999999"/>
    <n v="387.84359999999998"/>
    <n v="387.84359999999998"/>
    <m/>
    <m/>
    <s v="CDMX"/>
    <s v="Transporte"/>
    <x v="1"/>
    <m/>
    <m/>
    <m/>
    <m/>
    <m/>
    <m/>
    <s v=" "/>
    <s v=" "/>
    <s v=" "/>
    <s v=" "/>
    <s v=" "/>
    <s v=" "/>
    <s v=" "/>
    <s v=" "/>
    <s v=" "/>
    <s v=" "/>
    <s v=" "/>
    <m/>
    <s v=" "/>
    <s v=" "/>
    <s v=" "/>
    <s v=" "/>
    <s v=" "/>
    <n v="0"/>
    <n v="0"/>
    <s v="Demasiado Riesgo"/>
    <m/>
    <m/>
    <m/>
    <m/>
    <m/>
    <m/>
  </r>
  <r>
    <n v="23416"/>
    <s v="ACB950109JZ9"/>
    <s v="ADMINISTRADORA DE CAJA BIENESTAR"/>
    <m/>
    <x v="1"/>
    <x v="0"/>
    <m/>
    <m/>
    <n v="402.17720000000003"/>
    <n v="379.09190000000001"/>
    <n v="379.09190000000001"/>
    <m/>
    <m/>
    <s v="Queretaro"/>
    <s v="Banca y Finanzas"/>
    <x v="1"/>
    <m/>
    <m/>
    <m/>
    <m/>
    <m/>
    <m/>
    <s v="SI"/>
    <s v=" "/>
    <s v=" "/>
    <s v=" "/>
    <s v=" "/>
    <s v=" "/>
    <s v=" "/>
    <s v=" "/>
    <s v=" "/>
    <s v=" "/>
    <s v=" "/>
    <m/>
    <s v=" "/>
    <s v=" "/>
    <s v=" "/>
    <s v=" "/>
    <s v=" "/>
    <n v="0"/>
    <n v="0"/>
    <s v="Demasiado Riesgo"/>
    <m/>
    <m/>
    <m/>
    <m/>
    <m/>
    <m/>
  </r>
  <r>
    <n v="31431"/>
    <s v="QBL620411JP5"/>
    <s v="QUIMICA BLANTEX"/>
    <m/>
    <x v="1"/>
    <x v="0"/>
    <m/>
    <m/>
    <n v="404.2072"/>
    <n v="374.1585"/>
    <n v="374.1585"/>
    <m/>
    <m/>
    <s v="EDOMEX"/>
    <s v="Planta Productiva"/>
    <x v="0"/>
    <m/>
    <m/>
    <m/>
    <m/>
    <m/>
    <m/>
    <s v="SI"/>
    <s v=" "/>
    <s v=" "/>
    <s v="OK"/>
    <s v=" "/>
    <s v=" "/>
    <s v=" "/>
    <s v=" "/>
    <s v="OK"/>
    <s v=" "/>
    <s v=" "/>
    <m/>
    <s v=" "/>
    <s v=" "/>
    <s v=" "/>
    <s v=" "/>
    <s v=" "/>
    <n v="1"/>
    <n v="4"/>
    <s v="Riesgo Medio"/>
    <m/>
    <m/>
    <m/>
    <m/>
    <m/>
    <m/>
  </r>
  <r>
    <m/>
    <m/>
    <s v="GOBIERNO DEL ESTADO DE DURANGO"/>
    <m/>
    <x v="1"/>
    <x v="0"/>
    <m/>
    <m/>
    <n v="378.6028"/>
    <n v="360.80309999999997"/>
    <n v="360.80309999999997"/>
    <m/>
    <m/>
    <m/>
    <m/>
    <x v="3"/>
    <m/>
    <m/>
    <m/>
    <m/>
    <m/>
    <m/>
    <s v=" "/>
    <s v=" "/>
    <s v=" "/>
    <s v=" "/>
    <s v=" "/>
    <s v=" "/>
    <s v=" "/>
    <s v=" "/>
    <s v=" "/>
    <s v=" "/>
    <s v=" "/>
    <m/>
    <s v=" "/>
    <s v=" "/>
    <s v=" "/>
    <s v=" "/>
    <s v=" "/>
    <n v="0"/>
    <n v="0"/>
    <s v="Demasiado Riesgo"/>
    <m/>
    <m/>
    <m/>
    <m/>
    <m/>
    <m/>
  </r>
  <r>
    <n v="24316"/>
    <s v="PRO090819GQ3"/>
    <s v="PROTECTOGARD (LA MARE )"/>
    <m/>
    <x v="1"/>
    <x v="0"/>
    <m/>
    <m/>
    <n v="308.14440000000002"/>
    <n v="351.06389999999999"/>
    <n v="351.06389999999999"/>
    <m/>
    <m/>
    <s v="CDMX"/>
    <s v="Construcción"/>
    <x v="1"/>
    <m/>
    <m/>
    <m/>
    <m/>
    <m/>
    <m/>
    <s v=" "/>
    <s v=" "/>
    <s v=" "/>
    <s v=" "/>
    <s v=" "/>
    <s v=" "/>
    <s v=" "/>
    <s v=" "/>
    <s v=" "/>
    <s v=" "/>
    <s v=" "/>
    <m/>
    <s v=" "/>
    <s v=" "/>
    <s v=" "/>
    <s v=" "/>
    <s v=" "/>
    <n v="0"/>
    <n v="0"/>
    <s v="Demasiado Riesgo"/>
    <m/>
    <m/>
    <m/>
    <m/>
    <m/>
    <m/>
  </r>
  <r>
    <m/>
    <m/>
    <s v="GEISHA QUERETARO"/>
    <s v="GEISHA"/>
    <x v="0"/>
    <x v="0"/>
    <m/>
    <m/>
    <n v="357.267"/>
    <n v="343.78399999999999"/>
    <n v="343.78399999999999"/>
    <m/>
    <m/>
    <m/>
    <m/>
    <x v="1"/>
    <m/>
    <m/>
    <m/>
    <m/>
    <m/>
    <m/>
    <s v="SI"/>
    <s v=" "/>
    <s v=" "/>
    <s v=" "/>
    <s v=" "/>
    <s v=" "/>
    <s v=" "/>
    <s v=" "/>
    <s v=" "/>
    <s v=" "/>
    <s v=" "/>
    <m/>
    <s v=" "/>
    <s v=" "/>
    <s v=" "/>
    <s v=" "/>
    <s v=" "/>
    <n v="0"/>
    <n v="0"/>
    <s v="Demasiado Riesgo"/>
    <m/>
    <m/>
    <m/>
    <m/>
    <m/>
    <m/>
  </r>
  <r>
    <n v="30258"/>
    <s v="OIN200408RC6"/>
    <s v="OPERADORA INTERNACIONAL DE NEGOCIOS HUZKY"/>
    <m/>
    <x v="1"/>
    <x v="0"/>
    <m/>
    <m/>
    <n v="327.45479999999998"/>
    <n v="343.55200000000002"/>
    <n v="343.55200000000002"/>
    <m/>
    <m/>
    <s v="CDMX"/>
    <s v="Retail SMB"/>
    <x v="1"/>
    <m/>
    <m/>
    <m/>
    <m/>
    <m/>
    <m/>
    <s v=" "/>
    <s v=" "/>
    <s v=" "/>
    <s v=" "/>
    <s v=" "/>
    <s v=" "/>
    <s v=" "/>
    <s v=" "/>
    <s v=" "/>
    <s v=" "/>
    <s v=" "/>
    <m/>
    <s v=" "/>
    <s v=" "/>
    <s v=" "/>
    <s v=" "/>
    <s v=" "/>
    <n v="0"/>
    <n v="0"/>
    <s v="Demasiado Riesgo"/>
    <m/>
    <m/>
    <m/>
    <m/>
    <m/>
    <m/>
  </r>
  <r>
    <m/>
    <m/>
    <s v="TECNOLOGIA SINTEL (FORBO )"/>
    <m/>
    <x v="1"/>
    <x v="0"/>
    <m/>
    <m/>
    <n v="353.79"/>
    <n v="341.57490000000001"/>
    <n v="341.57490000000001"/>
    <m/>
    <m/>
    <m/>
    <m/>
    <x v="1"/>
    <m/>
    <m/>
    <m/>
    <m/>
    <m/>
    <m/>
    <s v=" "/>
    <s v=" "/>
    <s v=" "/>
    <s v=" "/>
    <s v=" "/>
    <s v=" "/>
    <s v=" "/>
    <s v=" "/>
    <s v=" "/>
    <s v=" "/>
    <s v=" "/>
    <m/>
    <s v=" "/>
    <s v=" "/>
    <s v=" "/>
    <s v=" "/>
    <s v=" "/>
    <n v="0"/>
    <n v="0"/>
    <s v="Demasiado Riesgo"/>
    <m/>
    <m/>
    <m/>
    <m/>
    <m/>
    <m/>
  </r>
  <r>
    <n v="20750"/>
    <s v="TFM070312IC6"/>
    <s v="TEAM FOODS MEXICO"/>
    <m/>
    <x v="1"/>
    <x v="0"/>
    <m/>
    <m/>
    <n v="362.42469999999997"/>
    <n v="338.8689"/>
    <n v="338.8689"/>
    <m/>
    <m/>
    <s v="CDMX"/>
    <s v="Planta Productiva"/>
    <x v="2"/>
    <m/>
    <m/>
    <m/>
    <m/>
    <m/>
    <m/>
    <s v=" "/>
    <s v=" "/>
    <s v=" "/>
    <s v=" "/>
    <s v=" "/>
    <s v=" "/>
    <s v=" "/>
    <s v=" "/>
    <s v=" "/>
    <s v=" "/>
    <s v=" "/>
    <m/>
    <s v=" "/>
    <s v=" "/>
    <s v=" "/>
    <s v=" "/>
    <s v=" "/>
    <n v="0"/>
    <n v="0"/>
    <s v="Demasiado Riesgo"/>
    <m/>
    <m/>
    <m/>
    <m/>
    <m/>
    <m/>
  </r>
  <r>
    <m/>
    <m/>
    <s v="GEISHA K"/>
    <s v="GEISHA"/>
    <x v="0"/>
    <x v="0"/>
    <m/>
    <m/>
    <n v="334.6662"/>
    <n v="331.35809999999998"/>
    <n v="331.35809999999998"/>
    <m/>
    <m/>
    <m/>
    <m/>
    <x v="1"/>
    <m/>
    <m/>
    <m/>
    <m/>
    <m/>
    <m/>
    <s v="SI"/>
    <s v=" "/>
    <s v=" "/>
    <s v=" "/>
    <s v=" "/>
    <s v=" "/>
    <s v=" "/>
    <s v=" "/>
    <s v=" "/>
    <s v=" "/>
    <s v=" "/>
    <m/>
    <s v=" "/>
    <s v=" "/>
    <s v=" "/>
    <s v=" "/>
    <s v=" "/>
    <n v="0"/>
    <n v="0"/>
    <s v="Demasiado Riesgo"/>
    <m/>
    <m/>
    <m/>
    <m/>
    <m/>
    <m/>
  </r>
  <r>
    <n v="25116"/>
    <s v="PRB150319NA0"/>
    <s v="PORCO ROSSO BBQ"/>
    <m/>
    <x v="1"/>
    <x v="0"/>
    <m/>
    <m/>
    <n v="346.28879999999998"/>
    <n v="327.91969999999998"/>
    <n v="327.91969999999998"/>
    <m/>
    <m/>
    <s v="CDMX"/>
    <s v="Turismo, Hotelería y Gastronomía"/>
    <x v="1"/>
    <m/>
    <m/>
    <m/>
    <m/>
    <m/>
    <m/>
    <s v="SI"/>
    <s v=" "/>
    <s v=" "/>
    <s v=" "/>
    <s v=" "/>
    <s v=" "/>
    <s v=" "/>
    <s v=" "/>
    <s v=" "/>
    <s v=" "/>
    <s v=" "/>
    <m/>
    <s v=" "/>
    <s v=" "/>
    <s v=" "/>
    <s v=" "/>
    <s v="NO"/>
    <n v="0"/>
    <n v="0"/>
    <s v="Demasiado Riesgo"/>
    <m/>
    <m/>
    <m/>
    <m/>
    <m/>
    <m/>
  </r>
  <r>
    <n v="30960"/>
    <s v="PER171116IL0"/>
    <s v="PERCHAGAR"/>
    <m/>
    <x v="1"/>
    <x v="0"/>
    <m/>
    <m/>
    <n v="335.2944"/>
    <n v="322.10770000000002"/>
    <n v="322.10770000000002"/>
    <m/>
    <m/>
    <s v="CDMX"/>
    <m/>
    <x v="1"/>
    <m/>
    <m/>
    <m/>
    <m/>
    <m/>
    <m/>
    <s v=" "/>
    <s v=" "/>
    <s v=" "/>
    <s v=" "/>
    <s v=" "/>
    <s v=" "/>
    <s v=" "/>
    <s v=" "/>
    <s v=" "/>
    <s v=" "/>
    <s v=" "/>
    <m/>
    <s v=" "/>
    <s v=" "/>
    <s v=" "/>
    <s v=" "/>
    <s v=" "/>
    <n v="0"/>
    <n v="0"/>
    <s v="Demasiado Riesgo"/>
    <m/>
    <m/>
    <m/>
    <m/>
    <m/>
    <m/>
  </r>
  <r>
    <m/>
    <m/>
    <s v="ACTIVIDADES EMPRESARIALES IRNA ( GRUPO PROM)"/>
    <s v="GRUPO PROM"/>
    <x v="1"/>
    <x v="0"/>
    <m/>
    <m/>
    <n v="292.01499999999999"/>
    <n v="319.51369999999997"/>
    <n v="319.51369999999997"/>
    <m/>
    <m/>
    <m/>
    <m/>
    <x v="0"/>
    <m/>
    <m/>
    <m/>
    <m/>
    <m/>
    <m/>
    <s v=" "/>
    <s v=" "/>
    <s v=" "/>
    <s v=" "/>
    <s v=" "/>
    <s v=" "/>
    <s v=" "/>
    <s v=" "/>
    <s v=" "/>
    <s v=" "/>
    <s v=" "/>
    <m/>
    <s v=" "/>
    <s v=" "/>
    <s v=" "/>
    <s v=" "/>
    <s v=" "/>
    <n v="0"/>
    <n v="0"/>
    <s v="Demasiado Riesgo"/>
    <m/>
    <m/>
    <m/>
    <m/>
    <m/>
    <m/>
  </r>
  <r>
    <n v="22251"/>
    <s v="SDA840612295"/>
    <s v="SERVICIO Y DISTRIBUIDORES DE AUTOPARTES"/>
    <m/>
    <x v="1"/>
    <x v="0"/>
    <m/>
    <m/>
    <n v="311.87529999999998"/>
    <n v="311.53620000000001"/>
    <n v="311.53620000000001"/>
    <m/>
    <m/>
    <s v="CDMX"/>
    <s v="Retail Enterprise"/>
    <x v="4"/>
    <m/>
    <m/>
    <m/>
    <m/>
    <m/>
    <m/>
    <s v=" "/>
    <s v=" "/>
    <s v=" "/>
    <s v=" "/>
    <s v=" "/>
    <s v=" "/>
    <s v=" "/>
    <s v=" "/>
    <s v=" "/>
    <s v=" "/>
    <s v=" "/>
    <m/>
    <s v=" "/>
    <s v=" "/>
    <s v=" "/>
    <s v=" "/>
    <s v=" "/>
    <n v="0"/>
    <n v="0"/>
    <s v="Demasiado Riesgo"/>
    <m/>
    <m/>
    <m/>
    <m/>
    <m/>
    <m/>
  </r>
  <r>
    <n v="22272"/>
    <s v="PRM151028TH8"/>
    <s v="PINTURAS REM DE MEXICALI"/>
    <s v="GRUPO REM"/>
    <x v="1"/>
    <x v="0"/>
    <m/>
    <m/>
    <n v="324.47840000000002"/>
    <n v="298.91590000000002"/>
    <n v="298.91590000000002"/>
    <m/>
    <m/>
    <m/>
    <s v="Retail "/>
    <x v="1"/>
    <m/>
    <m/>
    <m/>
    <m/>
    <m/>
    <m/>
    <s v="SI"/>
    <s v=" "/>
    <s v=" "/>
    <s v="OK"/>
    <s v=" "/>
    <s v="OK"/>
    <s v=" "/>
    <s v=" "/>
    <s v=" "/>
    <s v=" "/>
    <s v=" "/>
    <m/>
    <s v=" "/>
    <s v=" "/>
    <s v=" "/>
    <s v=" "/>
    <s v=" "/>
    <n v="1"/>
    <n v="5"/>
    <s v="Riesgo Medio"/>
    <m/>
    <m/>
    <m/>
    <m/>
    <m/>
    <m/>
  </r>
  <r>
    <n v="25594"/>
    <s v="WSG940622JM4"/>
    <s v="WILSON SPORTING GOODS CO DE MEXICO"/>
    <m/>
    <x v="1"/>
    <x v="0"/>
    <m/>
    <m/>
    <n v="422.51799999999997"/>
    <n v="297.3381"/>
    <n v="297.3381"/>
    <m/>
    <m/>
    <s v="EDOMEX"/>
    <s v="Retail Enterprise"/>
    <x v="1"/>
    <m/>
    <m/>
    <m/>
    <m/>
    <m/>
    <m/>
    <s v="SI"/>
    <s v=" "/>
    <s v=" "/>
    <s v=" "/>
    <s v=" "/>
    <s v=" "/>
    <s v=" "/>
    <s v="OK"/>
    <s v=" "/>
    <s v=" "/>
    <s v=" "/>
    <m/>
    <s v=" "/>
    <s v=" "/>
    <s v=" "/>
    <s v=" "/>
    <s v="NO"/>
    <n v="1"/>
    <n v="1"/>
    <s v="Riesgo Medio"/>
    <m/>
    <m/>
    <m/>
    <m/>
    <m/>
    <m/>
  </r>
  <r>
    <m/>
    <m/>
    <s v="ACTIC"/>
    <m/>
    <x v="1"/>
    <x v="0"/>
    <m/>
    <m/>
    <n v="310.39760000000001"/>
    <n v="295.80439999999999"/>
    <n v="295.80439999999999"/>
    <m/>
    <m/>
    <m/>
    <m/>
    <x v="2"/>
    <m/>
    <m/>
    <m/>
    <m/>
    <m/>
    <m/>
    <s v=" "/>
    <s v=" "/>
    <s v=" "/>
    <s v=" "/>
    <s v=" "/>
    <s v=" "/>
    <s v=" "/>
    <s v=" "/>
    <s v=" "/>
    <s v=" "/>
    <s v=" "/>
    <m/>
    <s v=" "/>
    <s v=" "/>
    <s v=" "/>
    <s v=" "/>
    <s v=" "/>
    <n v="0"/>
    <n v="0"/>
    <s v="Demasiado Riesgo"/>
    <m/>
    <m/>
    <m/>
    <m/>
    <m/>
    <m/>
  </r>
  <r>
    <m/>
    <m/>
    <s v="AUTOMOTRIZ GEISHA"/>
    <s v="GEISHA"/>
    <x v="0"/>
    <x v="0"/>
    <s v="Tony"/>
    <m/>
    <n v="291.20310000000001"/>
    <n v="290.76670000000001"/>
    <n v="290.76670000000001"/>
    <m/>
    <m/>
    <m/>
    <m/>
    <x v="0"/>
    <m/>
    <m/>
    <m/>
    <m/>
    <m/>
    <m/>
    <s v=" "/>
    <s v=" "/>
    <s v=" "/>
    <s v=" "/>
    <s v=" "/>
    <s v=" "/>
    <s v=" "/>
    <s v=" "/>
    <s v=" "/>
    <s v=" "/>
    <s v=" "/>
    <m/>
    <s v=" "/>
    <s v=" "/>
    <s v=" "/>
    <s v=" "/>
    <s v=" "/>
    <n v="0"/>
    <n v="0"/>
    <s v="Demasiado Riesgo"/>
    <m/>
    <m/>
    <m/>
    <m/>
    <m/>
    <m/>
  </r>
  <r>
    <m/>
    <m/>
    <s v="GRUPO HOTELERO SAMAR MIA HOTELES "/>
    <m/>
    <x v="1"/>
    <x v="0"/>
    <m/>
    <m/>
    <n v="309.78620000000001"/>
    <n v="288.12029999999999"/>
    <n v="288.12029999999999"/>
    <m/>
    <m/>
    <m/>
    <m/>
    <x v="5"/>
    <m/>
    <m/>
    <m/>
    <m/>
    <m/>
    <m/>
    <s v=" "/>
    <s v=" "/>
    <s v=" "/>
    <s v=" "/>
    <s v=" "/>
    <s v=" "/>
    <s v=" "/>
    <s v=" "/>
    <s v=" "/>
    <s v=" "/>
    <s v=" "/>
    <m/>
    <s v=" "/>
    <s v=" "/>
    <s v=" "/>
    <s v=" "/>
    <s v=" "/>
    <n v="0"/>
    <n v="0"/>
    <s v="Demasiado Riesgo"/>
    <m/>
    <m/>
    <m/>
    <m/>
    <m/>
    <m/>
  </r>
  <r>
    <n v="18980"/>
    <s v="MIN060613NY6"/>
    <s v="MINERALIA INTERNACIONAL"/>
    <m/>
    <x v="1"/>
    <x v="0"/>
    <m/>
    <m/>
    <n v="262.76600000000002"/>
    <n v="262.4803"/>
    <n v="262.4803"/>
    <m/>
    <m/>
    <s v="CDMX"/>
    <s v="Retail Enterprise"/>
    <x v="1"/>
    <m/>
    <m/>
    <m/>
    <m/>
    <m/>
    <m/>
    <s v=" "/>
    <s v=" "/>
    <s v=" "/>
    <s v=" "/>
    <s v=" "/>
    <s v=" "/>
    <s v=" "/>
    <s v=" "/>
    <s v=" "/>
    <s v=" "/>
    <s v=" "/>
    <m/>
    <s v=" "/>
    <s v=" "/>
    <s v=" "/>
    <s v=" "/>
    <s v=" "/>
    <n v="0"/>
    <n v="0"/>
    <s v="Demasiado Riesgo"/>
    <m/>
    <m/>
    <m/>
    <m/>
    <m/>
    <m/>
  </r>
  <r>
    <n v="25082"/>
    <s v="OMC201030L83"/>
    <s v="OPERADORA METRIA DEL CENTRO"/>
    <m/>
    <x v="1"/>
    <x v="0"/>
    <m/>
    <m/>
    <n v="252.18709999999999"/>
    <n v="245.5838"/>
    <n v="245.5838"/>
    <m/>
    <m/>
    <s v="Guanajuato"/>
    <s v="Turismo, Hotelería y Gastronomía"/>
    <x v="1"/>
    <m/>
    <m/>
    <m/>
    <m/>
    <m/>
    <m/>
    <s v=" "/>
    <s v=" "/>
    <s v=" "/>
    <s v=" "/>
    <s v=" "/>
    <s v=" "/>
    <s v=" "/>
    <s v=" "/>
    <s v=" "/>
    <s v=" "/>
    <s v=" "/>
    <m/>
    <s v=" "/>
    <s v=" "/>
    <s v=" "/>
    <s v=" "/>
    <s v=" "/>
    <n v="0"/>
    <n v="0"/>
    <s v="Demasiado Riesgo"/>
    <m/>
    <m/>
    <m/>
    <m/>
    <m/>
    <m/>
  </r>
  <r>
    <n v="18481"/>
    <s v="CDI1305022N7"/>
    <s v="COMPUMEX DIGITAL"/>
    <m/>
    <x v="1"/>
    <x v="0"/>
    <m/>
    <m/>
    <n v="255.64269999999999"/>
    <n v="243.62379999999999"/>
    <n v="243.62379999999999"/>
    <m/>
    <m/>
    <s v="CDMX"/>
    <s v="Retail Enterprise"/>
    <x v="1"/>
    <m/>
    <m/>
    <m/>
    <m/>
    <m/>
    <m/>
    <s v="SI"/>
    <s v=" "/>
    <s v=" "/>
    <s v="OK"/>
    <s v=" "/>
    <s v=" "/>
    <s v=" "/>
    <s v=" "/>
    <s v=" "/>
    <s v=" "/>
    <s v=" "/>
    <m/>
    <s v=" "/>
    <s v=" "/>
    <s v=" "/>
    <s v=" "/>
    <s v="NO"/>
    <n v="0"/>
    <n v="3"/>
    <s v="Riesgo Medio"/>
    <m/>
    <m/>
    <m/>
    <m/>
    <m/>
    <m/>
  </r>
  <r>
    <n v="22786"/>
    <s v="CEN180307897"/>
    <s v="LOGICAMEX"/>
    <m/>
    <x v="1"/>
    <x v="0"/>
    <m/>
    <m/>
    <n v="247.959"/>
    <n v="241.07509999999999"/>
    <n v="241.07509999999999"/>
    <m/>
    <m/>
    <s v="CDMX"/>
    <s v="Servicios"/>
    <x v="1"/>
    <m/>
    <m/>
    <m/>
    <m/>
    <m/>
    <m/>
    <s v=" "/>
    <s v=" "/>
    <s v=" "/>
    <s v=" "/>
    <s v=" "/>
    <s v=" "/>
    <s v=" "/>
    <s v=" "/>
    <s v=" "/>
    <s v=" "/>
    <s v=" "/>
    <m/>
    <s v=" "/>
    <s v=" "/>
    <s v=" "/>
    <s v=" "/>
    <s v=" "/>
    <n v="0"/>
    <n v="0"/>
    <s v="Demasiado Riesgo"/>
    <m/>
    <m/>
    <m/>
    <m/>
    <m/>
    <m/>
  </r>
  <r>
    <n v="29825"/>
    <s v="PIM180629TE1"/>
    <s v="PIN IT MEDIA"/>
    <m/>
    <x v="1"/>
    <x v="0"/>
    <m/>
    <m/>
    <n v="225.31290000000001"/>
    <n v="220.44589999999999"/>
    <n v="220.44589999999999"/>
    <m/>
    <m/>
    <s v="CDMX"/>
    <s v="Servicios"/>
    <x v="1"/>
    <m/>
    <m/>
    <m/>
    <m/>
    <m/>
    <m/>
    <s v=" "/>
    <s v=" "/>
    <s v=" "/>
    <s v=" "/>
    <s v=" "/>
    <s v=" "/>
    <s v=" "/>
    <s v=" "/>
    <s v=" "/>
    <s v=" "/>
    <s v=" "/>
    <m/>
    <s v=" "/>
    <s v=" "/>
    <s v=" "/>
    <s v=" "/>
    <s v=" "/>
    <n v="0"/>
    <n v="0"/>
    <s v="Demasiado Riesgo"/>
    <m/>
    <m/>
    <m/>
    <m/>
    <m/>
    <m/>
  </r>
  <r>
    <n v="20787"/>
    <s v="ESA9402086U4"/>
    <s v="ESTEBAN SANCHEZ Y ASOCIADOS"/>
    <m/>
    <x v="1"/>
    <x v="0"/>
    <m/>
    <m/>
    <n v="227.12270000000001"/>
    <n v="219.88040000000001"/>
    <n v="219.88040000000001"/>
    <m/>
    <m/>
    <s v="CDMX"/>
    <s v="Construcción"/>
    <x v="1"/>
    <m/>
    <m/>
    <m/>
    <m/>
    <m/>
    <m/>
    <s v=" "/>
    <s v=" "/>
    <s v=" "/>
    <s v=" "/>
    <s v=" "/>
    <s v=" "/>
    <s v=" "/>
    <s v=" "/>
    <s v=" "/>
    <s v=" "/>
    <s v=" "/>
    <m/>
    <s v=" "/>
    <s v=" "/>
    <s v=" "/>
    <s v=" "/>
    <s v=" "/>
    <n v="0"/>
    <n v="0"/>
    <s v="Demasiado Riesgo"/>
    <m/>
    <m/>
    <m/>
    <m/>
    <m/>
    <m/>
  </r>
  <r>
    <n v="25008"/>
    <s v="ZGP9903155IA"/>
    <s v="ZAPATERIA LA GRAN PLAZA"/>
    <m/>
    <x v="1"/>
    <x v="0"/>
    <m/>
    <m/>
    <n v="230.346"/>
    <n v="217.51169999999999"/>
    <n v="217.51169999999999"/>
    <m/>
    <m/>
    <s v="Queretaro"/>
    <s v="Retail Enterprise"/>
    <x v="1"/>
    <m/>
    <m/>
    <m/>
    <m/>
    <m/>
    <m/>
    <s v=" "/>
    <s v=" "/>
    <s v=" "/>
    <s v=" "/>
    <s v=" "/>
    <s v=" "/>
    <s v=" "/>
    <s v=" "/>
    <s v=" "/>
    <s v=" "/>
    <s v=" "/>
    <m/>
    <s v=" "/>
    <s v=" "/>
    <s v=" "/>
    <s v=" "/>
    <s v=" "/>
    <n v="0"/>
    <n v="0"/>
    <s v="Demasiado Riesgo"/>
    <m/>
    <m/>
    <m/>
    <m/>
    <m/>
    <m/>
  </r>
  <r>
    <m/>
    <m/>
    <s v="GEISHA LA VILLA"/>
    <s v="GEISHA"/>
    <x v="0"/>
    <x v="0"/>
    <m/>
    <m/>
    <n v="181.67590000000001"/>
    <n v="178.10499999999999"/>
    <n v="178.10499999999999"/>
    <m/>
    <m/>
    <m/>
    <m/>
    <x v="1"/>
    <m/>
    <m/>
    <m/>
    <m/>
    <m/>
    <m/>
    <s v=" "/>
    <s v=" "/>
    <s v=" "/>
    <s v=" "/>
    <s v=" "/>
    <s v=" "/>
    <s v=" "/>
    <s v=" "/>
    <s v=" "/>
    <s v=" "/>
    <s v=" "/>
    <m/>
    <s v=" "/>
    <s v=" "/>
    <s v=" "/>
    <s v=" "/>
    <s v=" "/>
    <n v="0"/>
    <n v="0"/>
    <s v="Demasiado Riesgo"/>
    <m/>
    <m/>
    <m/>
    <m/>
    <m/>
    <m/>
  </r>
  <r>
    <n v="24113"/>
    <s v="STR190923PR8"/>
    <s v="STED TRASLADOS"/>
    <m/>
    <x v="1"/>
    <x v="0"/>
    <s v="Tony"/>
    <m/>
    <n v="170.8553"/>
    <n v="176.90649999999999"/>
    <n v="176.90649999999999"/>
    <m/>
    <m/>
    <s v="CDMX"/>
    <s v="Transporte"/>
    <x v="2"/>
    <m/>
    <m/>
    <m/>
    <m/>
    <m/>
    <m/>
    <s v="SI"/>
    <s v=" "/>
    <s v=" "/>
    <s v=" "/>
    <s v=" "/>
    <s v=" "/>
    <s v=" "/>
    <s v=" "/>
    <s v=" "/>
    <s v=" "/>
    <s v=" "/>
    <m/>
    <s v=" "/>
    <s v=" "/>
    <s v=" "/>
    <s v=" "/>
    <s v=" "/>
    <n v="0"/>
    <n v="0"/>
    <s v="Demasiado Riesgo"/>
    <m/>
    <m/>
    <m/>
    <m/>
    <m/>
    <m/>
  </r>
  <r>
    <m/>
    <m/>
    <s v="PROVEEDORA REM"/>
    <s v="GRUPO REM"/>
    <x v="1"/>
    <x v="0"/>
    <m/>
    <m/>
    <n v="154.12729999999999"/>
    <n v="154.61170000000001"/>
    <n v="154.61170000000001"/>
    <m/>
    <m/>
    <m/>
    <m/>
    <x v="0"/>
    <m/>
    <m/>
    <m/>
    <m/>
    <m/>
    <m/>
    <s v=" "/>
    <s v=" "/>
    <s v=" "/>
    <s v=" "/>
    <s v=" "/>
    <s v=" "/>
    <s v=" "/>
    <s v=" "/>
    <s v=" "/>
    <s v=" "/>
    <s v=" "/>
    <m/>
    <s v=" "/>
    <s v=" "/>
    <s v=" "/>
    <s v=" "/>
    <s v=" "/>
    <n v="0"/>
    <n v="0"/>
    <s v="Demasiado Riesgo"/>
    <m/>
    <m/>
    <m/>
    <m/>
    <m/>
    <m/>
  </r>
  <r>
    <n v="25875"/>
    <s v="CAF880309V9A"/>
    <s v="CENTRO AUTOMOTRIZ FUTURAMA"/>
    <m/>
    <x v="1"/>
    <x v="0"/>
    <m/>
    <m/>
    <n v="162.1859"/>
    <n v="154.5609"/>
    <n v="154.5609"/>
    <m/>
    <m/>
    <s v="Morelos "/>
    <s v="Retail Enterprise"/>
    <x v="4"/>
    <m/>
    <m/>
    <m/>
    <m/>
    <m/>
    <m/>
    <s v=" "/>
    <s v=" "/>
    <s v=" "/>
    <s v=" "/>
    <s v=" "/>
    <s v=" "/>
    <s v=" "/>
    <s v=" "/>
    <s v=" "/>
    <s v=" "/>
    <s v=" "/>
    <m/>
    <s v=" "/>
    <s v=" "/>
    <s v=" "/>
    <s v=" "/>
    <s v=" "/>
    <n v="0"/>
    <n v="0"/>
    <s v="Demasiado Riesgo"/>
    <m/>
    <m/>
    <m/>
    <m/>
    <m/>
    <m/>
  </r>
  <r>
    <m/>
    <m/>
    <s v="HORIZON MOBILITY SOLUTIONS"/>
    <s v="HORIZON (Implementando)"/>
    <x v="0"/>
    <x v="0"/>
    <m/>
    <m/>
    <n v="150.09270000000001"/>
    <n v="150.86840000000001"/>
    <n v="150.86840000000001"/>
    <m/>
    <m/>
    <m/>
    <m/>
    <x v="1"/>
    <m/>
    <m/>
    <m/>
    <m/>
    <m/>
    <m/>
    <s v=" "/>
    <s v=" "/>
    <s v=" "/>
    <s v=" "/>
    <s v=" "/>
    <s v=" "/>
    <s v=" "/>
    <s v=" "/>
    <s v=" "/>
    <s v=" "/>
    <s v=" "/>
    <m/>
    <s v=" "/>
    <s v=" "/>
    <s v=" "/>
    <s v=" "/>
    <s v=" "/>
    <n v="0"/>
    <n v="0"/>
    <s v="Demasiado Riesgo"/>
    <m/>
    <m/>
    <m/>
    <m/>
    <m/>
    <m/>
  </r>
  <r>
    <n v="5637"/>
    <n v="24082020"/>
    <s v="BKAYA"/>
    <m/>
    <x v="1"/>
    <x v="0"/>
    <m/>
    <m/>
    <n v="168.84209999999999"/>
    <n v="149.411"/>
    <n v="149.411"/>
    <m/>
    <m/>
    <s v="CDMX"/>
    <s v="Retail Enterprise"/>
    <x v="2"/>
    <m/>
    <m/>
    <m/>
    <m/>
    <m/>
    <m/>
    <s v=" "/>
    <s v=" "/>
    <s v=" "/>
    <s v=" "/>
    <s v=" "/>
    <s v=" "/>
    <s v=" "/>
    <s v=" "/>
    <s v=" "/>
    <s v=" "/>
    <s v=" "/>
    <m/>
    <s v=" "/>
    <s v=" "/>
    <s v=" "/>
    <s v=" "/>
    <s v=" "/>
    <n v="0"/>
    <n v="0"/>
    <s v="Demasiado Riesgo"/>
    <m/>
    <m/>
    <m/>
    <m/>
    <m/>
    <m/>
  </r>
  <r>
    <n v="21657"/>
    <s v="PMR140116AA0"/>
    <s v="PROVEEDOR MAYORISTA AL REFACCIONARIO DE MEXICO"/>
    <m/>
    <x v="1"/>
    <x v="0"/>
    <m/>
    <m/>
    <n v="136.17699999999999"/>
    <n v="132.75810000000001"/>
    <n v="132.75810000000001"/>
    <m/>
    <m/>
    <s v="Jalisco "/>
    <s v="Retail SMB"/>
    <x v="5"/>
    <m/>
    <m/>
    <m/>
    <m/>
    <m/>
    <m/>
    <s v=" "/>
    <s v=" "/>
    <s v=" "/>
    <s v=" "/>
    <s v=" "/>
    <s v=" "/>
    <s v=" "/>
    <s v=" "/>
    <s v=" "/>
    <s v=" "/>
    <s v=" "/>
    <m/>
    <s v=" "/>
    <s v=" "/>
    <s v=" "/>
    <s v=" "/>
    <s v=" "/>
    <n v="0"/>
    <n v="0"/>
    <s v="Demasiado Riesgo"/>
    <m/>
    <m/>
    <m/>
    <m/>
    <m/>
    <m/>
  </r>
  <r>
    <m/>
    <m/>
    <s v="GEISHA - AUTOS GALIA QUERETARO"/>
    <s v="GEISHA"/>
    <x v="0"/>
    <x v="0"/>
    <m/>
    <m/>
    <n v="119.089"/>
    <n v="117.63209999999999"/>
    <n v="117.63209999999999"/>
    <m/>
    <m/>
    <m/>
    <m/>
    <x v="0"/>
    <m/>
    <m/>
    <m/>
    <m/>
    <m/>
    <m/>
    <s v="SI"/>
    <s v=" "/>
    <s v=" "/>
    <s v=" "/>
    <s v=" "/>
    <s v=" "/>
    <s v=" "/>
    <s v=" "/>
    <s v=" "/>
    <s v=" "/>
    <s v=" "/>
    <m/>
    <s v=" "/>
    <s v=" "/>
    <s v=" "/>
    <s v=" "/>
    <s v=" "/>
    <n v="0"/>
    <n v="0"/>
    <s v="Demasiado Riesgo"/>
    <m/>
    <m/>
    <m/>
    <m/>
    <m/>
    <m/>
  </r>
  <r>
    <n v="19963"/>
    <s v="VJU981123KB4"/>
    <s v="GEVILLA"/>
    <m/>
    <x v="1"/>
    <x v="0"/>
    <m/>
    <m/>
    <n v="81.955299999999994"/>
    <n v="76.842500000000001"/>
    <n v="76.842500000000001"/>
    <m/>
    <m/>
    <s v="Baja California "/>
    <s v="Construcción"/>
    <x v="3"/>
    <m/>
    <m/>
    <m/>
    <m/>
    <m/>
    <m/>
    <s v="SI"/>
    <s v=" "/>
    <s v=" "/>
    <s v=" "/>
    <s v=" "/>
    <s v=" "/>
    <s v=" "/>
    <s v=" "/>
    <s v=" "/>
    <s v=" "/>
    <s v=" "/>
    <m/>
    <s v=" "/>
    <s v=" "/>
    <s v=" "/>
    <s v=" "/>
    <s v=" "/>
    <n v="0"/>
    <n v="0"/>
    <s v="Demasiado Riesgo"/>
    <m/>
    <m/>
    <m/>
    <m/>
    <m/>
    <m/>
  </r>
  <r>
    <n v="24506"/>
    <s v="GCO920608K58"/>
    <s v="BENEDETTI'S PIZZA"/>
    <s v="BENEDETTI'S"/>
    <x v="1"/>
    <x v="0"/>
    <m/>
    <m/>
    <n v="85.476399999999998"/>
    <n v="71.014499999999998"/>
    <n v="71.014499999999998"/>
    <m/>
    <m/>
    <s v="Nuevo Leon "/>
    <s v="Turismo, Hotelería y Gastronomía"/>
    <x v="1"/>
    <m/>
    <m/>
    <m/>
    <m/>
    <m/>
    <m/>
    <s v=" "/>
    <s v=" "/>
    <s v=" "/>
    <s v=" "/>
    <s v=" "/>
    <s v=" "/>
    <s v=" "/>
    <s v=" "/>
    <s v=" "/>
    <s v=" "/>
    <s v=" "/>
    <m/>
    <s v=" "/>
    <s v=" "/>
    <s v=" "/>
    <s v=" "/>
    <s v=" "/>
    <n v="0"/>
    <n v="0"/>
    <s v="Demasiado Riesgo"/>
    <m/>
    <m/>
    <m/>
    <m/>
    <m/>
    <m/>
  </r>
  <r>
    <m/>
    <m/>
    <s v="HORIZON PORTS INTERNATIONAL"/>
    <s v="HORIZON (Implementando)"/>
    <x v="0"/>
    <x v="0"/>
    <m/>
    <m/>
    <n v="77.074600000000004"/>
    <n v="67.953800000000001"/>
    <n v="67.953800000000001"/>
    <m/>
    <m/>
    <m/>
    <m/>
    <x v="1"/>
    <m/>
    <m/>
    <m/>
    <m/>
    <m/>
    <m/>
    <s v=" "/>
    <s v=" "/>
    <s v=" "/>
    <s v=" "/>
    <s v=" "/>
    <s v=" "/>
    <s v=" "/>
    <s v=" "/>
    <s v=" "/>
    <s v=" "/>
    <s v=" "/>
    <m/>
    <s v=" "/>
    <s v=" "/>
    <s v=" "/>
    <s v=" "/>
    <s v=" "/>
    <n v="0"/>
    <n v="0"/>
    <s v="Demasiado Riesgo"/>
    <m/>
    <m/>
    <m/>
    <m/>
    <m/>
    <m/>
  </r>
  <r>
    <m/>
    <m/>
    <s v="JLM SERVICIOS PROFESIONALES INTEGRALES MIA HOETLES "/>
    <s v="Mia hoteles "/>
    <x v="1"/>
    <x v="0"/>
    <m/>
    <m/>
    <n v="56.421500000000002"/>
    <n v="65.942999999999998"/>
    <n v="65.942999999999998"/>
    <m/>
    <m/>
    <m/>
    <m/>
    <x v="4"/>
    <m/>
    <m/>
    <m/>
    <m/>
    <m/>
    <m/>
    <s v=" "/>
    <s v=" "/>
    <s v=" "/>
    <s v=" "/>
    <s v=" "/>
    <s v=" "/>
    <s v=" "/>
    <s v=" "/>
    <s v=" "/>
    <s v=" "/>
    <s v=" "/>
    <m/>
    <s v=" "/>
    <s v=" "/>
    <s v=" "/>
    <s v=" "/>
    <s v=" "/>
    <n v="0"/>
    <n v="0"/>
    <s v="Demasiado Riesgo"/>
    <m/>
    <m/>
    <m/>
    <m/>
    <m/>
    <m/>
  </r>
  <r>
    <m/>
    <m/>
    <s v="GIOVANNI'S COLIMA"/>
    <s v="BENEDETTI'S"/>
    <x v="1"/>
    <x v="0"/>
    <m/>
    <m/>
    <n v="72.326099999999997"/>
    <n v="64.748500000000007"/>
    <n v="64.748500000000007"/>
    <m/>
    <m/>
    <m/>
    <m/>
    <x v="5"/>
    <m/>
    <m/>
    <m/>
    <m/>
    <m/>
    <m/>
    <s v=" "/>
    <s v=" "/>
    <s v=" "/>
    <s v=" "/>
    <s v=" "/>
    <s v=" "/>
    <s v=" "/>
    <s v=" "/>
    <s v=" "/>
    <s v=" "/>
    <s v=" "/>
    <m/>
    <s v=" "/>
    <s v=" "/>
    <s v=" "/>
    <s v=" "/>
    <s v=" "/>
    <n v="0"/>
    <n v="0"/>
    <s v="Demasiado Riesgo"/>
    <m/>
    <m/>
    <m/>
    <m/>
    <m/>
    <m/>
  </r>
  <r>
    <m/>
    <m/>
    <s v="SOUTH BAJA CONSTRUCTORA"/>
    <s v="GE VILLA"/>
    <x v="1"/>
    <x v="0"/>
    <m/>
    <m/>
    <n v="54.196199999999997"/>
    <n v="55.427399999999999"/>
    <n v="55.427399999999999"/>
    <m/>
    <m/>
    <m/>
    <m/>
    <x v="3"/>
    <m/>
    <m/>
    <m/>
    <m/>
    <m/>
    <m/>
    <s v=" "/>
    <s v=" "/>
    <s v=" "/>
    <s v=" "/>
    <s v=" "/>
    <s v=" "/>
    <s v=" "/>
    <s v=" "/>
    <s v=" "/>
    <s v=" "/>
    <s v=" "/>
    <m/>
    <s v=" "/>
    <s v=" "/>
    <s v=" "/>
    <s v=" "/>
    <s v=" "/>
    <n v="0"/>
    <n v="0"/>
    <s v="Demasiado Riesgo"/>
    <m/>
    <m/>
    <m/>
    <m/>
    <m/>
    <m/>
  </r>
  <r>
    <m/>
    <m/>
    <s v="HOTELERIA SUSTENTABLE BACALAR MIA HOTELES "/>
    <s v="Mia hoteles "/>
    <x v="1"/>
    <x v="0"/>
    <m/>
    <m/>
    <n v="56.421500000000002"/>
    <n v="54.7834"/>
    <n v="54.7834"/>
    <m/>
    <m/>
    <m/>
    <m/>
    <x v="1"/>
    <m/>
    <m/>
    <m/>
    <m/>
    <m/>
    <m/>
    <s v=" "/>
    <s v=" "/>
    <s v=" "/>
    <s v=" "/>
    <s v=" "/>
    <s v=" "/>
    <s v=" "/>
    <s v=" "/>
    <s v=" "/>
    <s v=" "/>
    <s v=" "/>
    <m/>
    <s v=" "/>
    <s v=" "/>
    <s v=" "/>
    <s v=" "/>
    <s v=" "/>
    <n v="0"/>
    <n v="0"/>
    <s v="Demasiado Riesgo"/>
    <m/>
    <m/>
    <m/>
    <m/>
    <m/>
    <m/>
  </r>
  <r>
    <m/>
    <m/>
    <s v="PRO RIEGO GE VILLA "/>
    <s v="GE VILLA"/>
    <x v="1"/>
    <x v="0"/>
    <m/>
    <m/>
    <n v="44.943199999999997"/>
    <n v="44.09"/>
    <n v="44.09"/>
    <m/>
    <m/>
    <m/>
    <m/>
    <x v="3"/>
    <m/>
    <m/>
    <m/>
    <m/>
    <m/>
    <m/>
    <s v=" "/>
    <s v=" "/>
    <s v=" "/>
    <s v=" "/>
    <s v=" "/>
    <s v=" "/>
    <s v=" "/>
    <s v=" "/>
    <s v=" "/>
    <s v=" "/>
    <s v=" "/>
    <m/>
    <s v=" "/>
    <s v=" "/>
    <s v=" "/>
    <s v=" "/>
    <s v=" "/>
    <n v="0"/>
    <n v="0"/>
    <s v="Demasiado Riesgo"/>
    <m/>
    <m/>
    <m/>
    <m/>
    <m/>
    <m/>
  </r>
  <r>
    <n v="25478"/>
    <s v="VIN160504DL8"/>
    <s v="VOLTRUCK INTERNATIONAL"/>
    <m/>
    <x v="1"/>
    <x v="0"/>
    <m/>
    <m/>
    <n v="40.332599999999999"/>
    <n v="38.436399999999999"/>
    <n v="38.436399999999999"/>
    <m/>
    <m/>
    <m/>
    <s v="Energia"/>
    <x v="1"/>
    <m/>
    <m/>
    <m/>
    <m/>
    <m/>
    <m/>
    <s v=" "/>
    <s v=" "/>
    <s v=" "/>
    <s v="OK"/>
    <s v=" "/>
    <s v=" "/>
    <s v=" "/>
    <s v=" "/>
    <s v=" "/>
    <s v=" "/>
    <s v=" "/>
    <m/>
    <s v=" "/>
    <s v=" "/>
    <s v=" "/>
    <s v=" "/>
    <s v=" "/>
    <n v="0"/>
    <n v="3"/>
    <s v="Riesgo Medio"/>
    <m/>
    <m/>
    <m/>
    <m/>
    <m/>
    <m/>
  </r>
  <r>
    <m/>
    <m/>
    <s v="COMPAÑIA PRACTISEGURA"/>
    <s v="GRUPO REM"/>
    <x v="1"/>
    <x v="0"/>
    <m/>
    <m/>
    <n v="43.263800000000003"/>
    <n v="36.076099999999997"/>
    <n v="36.076099999999997"/>
    <m/>
    <m/>
    <m/>
    <m/>
    <x v="0"/>
    <m/>
    <m/>
    <m/>
    <m/>
    <m/>
    <m/>
    <s v=" "/>
    <s v=" "/>
    <s v=" "/>
    <s v=" "/>
    <s v=" "/>
    <s v=" "/>
    <s v=" "/>
    <s v=" "/>
    <s v=" "/>
    <s v=" "/>
    <s v=" "/>
    <m/>
    <s v=" "/>
    <s v=" "/>
    <s v=" "/>
    <s v=" "/>
    <s v=" "/>
    <n v="0"/>
    <n v="0"/>
    <s v="Demasiado Riesgo"/>
    <m/>
    <m/>
    <m/>
    <m/>
    <m/>
    <m/>
  </r>
  <r>
    <m/>
    <m/>
    <s v="GRUPO MAJOSA  MIA HOTELES "/>
    <s v="Mia hoteles "/>
    <x v="1"/>
    <x v="0"/>
    <m/>
    <m/>
    <n v="35.130400000000002"/>
    <n v="30.435199999999998"/>
    <n v="30.435199999999998"/>
    <m/>
    <m/>
    <m/>
    <m/>
    <x v="4"/>
    <m/>
    <m/>
    <m/>
    <m/>
    <m/>
    <m/>
    <s v=" "/>
    <s v=" "/>
    <s v=" "/>
    <s v=" "/>
    <s v=" "/>
    <s v=" "/>
    <s v=" "/>
    <s v=" "/>
    <s v=" "/>
    <s v=" "/>
    <s v=" "/>
    <m/>
    <s v=" "/>
    <s v=" "/>
    <s v=" "/>
    <s v=" "/>
    <s v=" "/>
    <n v="0"/>
    <n v="0"/>
    <s v="Demasiado Riesgo"/>
    <m/>
    <m/>
    <m/>
    <m/>
    <m/>
    <m/>
  </r>
  <r>
    <m/>
    <m/>
    <s v="GRUPO EPOL MIA HOTELES "/>
    <s v="Mia hoteles "/>
    <x v="1"/>
    <x v="0"/>
    <m/>
    <m/>
    <n v="28.742999999999999"/>
    <n v="27.3917"/>
    <n v="27.3917"/>
    <m/>
    <m/>
    <m/>
    <m/>
    <x v="5"/>
    <m/>
    <m/>
    <m/>
    <m/>
    <m/>
    <m/>
    <s v=" "/>
    <s v=" "/>
    <s v=" "/>
    <s v=" "/>
    <s v=" "/>
    <s v=" "/>
    <s v=" "/>
    <s v=" "/>
    <s v=" "/>
    <s v=" "/>
    <s v=" "/>
    <m/>
    <s v=" "/>
    <s v=" "/>
    <s v=" "/>
    <s v=" "/>
    <s v=" "/>
    <n v="0"/>
    <n v="0"/>
    <s v="Demasiado Riesgo"/>
    <m/>
    <m/>
    <m/>
    <m/>
    <m/>
    <m/>
  </r>
  <r>
    <m/>
    <m/>
    <s v="DIEGO ADALBERTO MUNGUIA RODRIGUEZ"/>
    <s v="BENEDETTI'S"/>
    <x v="1"/>
    <x v="0"/>
    <m/>
    <m/>
    <n v="24.108699999999999"/>
    <n v="25.0639"/>
    <n v="25.0639"/>
    <m/>
    <m/>
    <m/>
    <m/>
    <x v="5"/>
    <m/>
    <m/>
    <m/>
    <m/>
    <m/>
    <m/>
    <s v=" "/>
    <s v=" "/>
    <s v=" "/>
    <s v=" "/>
    <s v=" "/>
    <s v=" "/>
    <s v=" "/>
    <s v=" "/>
    <s v=" "/>
    <s v=" "/>
    <s v=" "/>
    <m/>
    <s v=" "/>
    <s v=" "/>
    <s v=" "/>
    <s v=" "/>
    <s v=" "/>
    <n v="0"/>
    <n v="0"/>
    <s v="Demasiado Riesgo"/>
    <m/>
    <m/>
    <m/>
    <m/>
    <m/>
    <m/>
  </r>
  <r>
    <m/>
    <m/>
    <s v="GIORDANO AYALA ARIAS"/>
    <s v="BENEDETTI'S"/>
    <x v="1"/>
    <x v="0"/>
    <m/>
    <m/>
    <n v="13.1502"/>
    <n v="22.975300000000001"/>
    <n v="22.975300000000001"/>
    <m/>
    <m/>
    <m/>
    <m/>
    <x v="5"/>
    <m/>
    <m/>
    <m/>
    <m/>
    <m/>
    <m/>
    <s v=" "/>
    <s v=" "/>
    <s v=" "/>
    <s v=" "/>
    <s v=" "/>
    <s v=" "/>
    <s v=" "/>
    <s v=" "/>
    <s v=" "/>
    <s v=" "/>
    <s v=" "/>
    <m/>
    <s v=" "/>
    <s v=" "/>
    <s v=" "/>
    <s v=" "/>
    <s v=" "/>
    <n v="0"/>
    <n v="0"/>
    <s v="Demasiado Riesgo"/>
    <m/>
    <m/>
    <m/>
    <m/>
    <m/>
    <m/>
  </r>
  <r>
    <m/>
    <m/>
    <s v="ERICK EDUARDO EVANGELISTA VELASCO"/>
    <s v="BENEDETTI'S"/>
    <x v="1"/>
    <x v="0"/>
    <m/>
    <m/>
    <n v="21.917000000000002"/>
    <n v="20.886600000000001"/>
    <n v="20.886600000000001"/>
    <m/>
    <m/>
    <m/>
    <m/>
    <x v="5"/>
    <m/>
    <m/>
    <m/>
    <m/>
    <m/>
    <m/>
    <s v=" "/>
    <s v=" "/>
    <s v=" "/>
    <s v=" "/>
    <s v=" "/>
    <s v=" "/>
    <s v=" "/>
    <s v=" "/>
    <s v=" "/>
    <s v=" "/>
    <s v=" "/>
    <m/>
    <s v=" "/>
    <s v=" "/>
    <s v=" "/>
    <s v=" "/>
    <s v=" "/>
    <n v="0"/>
    <n v="0"/>
    <s v="Demasiado Riesgo"/>
    <m/>
    <m/>
    <m/>
    <m/>
    <m/>
    <m/>
  </r>
  <r>
    <m/>
    <m/>
    <s v="MANTENIMIENTO AUTOMOTRIZ DE CABO GE VILLA "/>
    <s v="BENEDETTI'S"/>
    <x v="1"/>
    <x v="0"/>
    <m/>
    <m/>
    <n v="15.862299999999999"/>
    <n v="15.1166"/>
    <n v="15.1166"/>
    <m/>
    <m/>
    <m/>
    <m/>
    <x v="5"/>
    <m/>
    <m/>
    <m/>
    <m/>
    <m/>
    <m/>
    <s v=" "/>
    <s v=" "/>
    <s v=" "/>
    <s v=" "/>
    <s v=" "/>
    <s v=" "/>
    <s v=" "/>
    <s v=" "/>
    <s v=" "/>
    <s v=" "/>
    <s v=" "/>
    <m/>
    <s v=" "/>
    <s v=" "/>
    <s v=" "/>
    <s v=" "/>
    <s v=" "/>
    <n v="0"/>
    <n v="0"/>
    <s v="Demasiado Riesgo"/>
    <m/>
    <m/>
    <m/>
    <m/>
    <m/>
    <m/>
  </r>
  <r>
    <m/>
    <m/>
    <s v="COMISARIATO BENEDETTI' S"/>
    <s v="BENEDETTI'S"/>
    <x v="1"/>
    <x v="0"/>
    <m/>
    <m/>
    <n v="17.5336"/>
    <n v="12.532"/>
    <n v="12.532"/>
    <m/>
    <m/>
    <m/>
    <m/>
    <x v="1"/>
    <m/>
    <m/>
    <m/>
    <m/>
    <m/>
    <m/>
    <s v=" "/>
    <s v=" "/>
    <s v=" "/>
    <s v=" "/>
    <s v=" "/>
    <s v=" "/>
    <s v=" "/>
    <s v=" "/>
    <s v=" "/>
    <s v=" "/>
    <s v=" "/>
    <m/>
    <s v=" "/>
    <s v=" "/>
    <s v=" "/>
    <s v=" "/>
    <s v=" "/>
    <n v="0"/>
    <n v="0"/>
    <s v="Demasiado Riesgo"/>
    <m/>
    <m/>
    <m/>
    <m/>
    <m/>
    <m/>
  </r>
  <r>
    <m/>
    <m/>
    <s v="ESTEFANIA RETANA ROJO"/>
    <s v="BENEDETTI'S"/>
    <x v="1"/>
    <x v="0"/>
    <m/>
    <m/>
    <n v="10.958500000000001"/>
    <n v="10.443300000000001"/>
    <n v="10.443300000000001"/>
    <m/>
    <m/>
    <m/>
    <m/>
    <x v="5"/>
    <m/>
    <m/>
    <m/>
    <m/>
    <m/>
    <m/>
    <s v=" "/>
    <s v=" "/>
    <s v=" "/>
    <s v=" "/>
    <s v=" "/>
    <s v=" "/>
    <s v=" "/>
    <s v=" "/>
    <s v=" "/>
    <s v=" "/>
    <s v=" "/>
    <m/>
    <s v=" "/>
    <s v=" "/>
    <s v=" "/>
    <s v=" "/>
    <s v=" "/>
    <n v="0"/>
    <n v="0"/>
    <s v="Demasiado Riesgo"/>
    <m/>
    <m/>
    <m/>
    <m/>
    <m/>
    <m/>
  </r>
  <r>
    <m/>
    <m/>
    <s v="FRANCISCO MARTIN SANTILLAN JIMENEZ"/>
    <s v="BENEDETTI'S"/>
    <x v="1"/>
    <x v="0"/>
    <m/>
    <m/>
    <n v="6.5750999999999999"/>
    <n v="6.266"/>
    <n v="6.266"/>
    <m/>
    <m/>
    <m/>
    <m/>
    <x v="5"/>
    <m/>
    <m/>
    <m/>
    <m/>
    <m/>
    <m/>
    <s v=" "/>
    <s v=" "/>
    <s v=" "/>
    <s v=" "/>
    <s v=" "/>
    <s v=" "/>
    <s v=" "/>
    <s v=" "/>
    <s v=" "/>
    <s v=" "/>
    <s v=" "/>
    <m/>
    <s v=" "/>
    <s v=" "/>
    <s v=" "/>
    <s v=" "/>
    <s v=" "/>
    <n v="0"/>
    <n v="0"/>
    <s v="Demasiado Riesgo"/>
    <m/>
    <m/>
    <m/>
    <m/>
    <m/>
    <m/>
  </r>
  <r>
    <n v="30439"/>
    <s v="GEP990519SWA"/>
    <s v="GRUPO EMPRESARIAL LA PIRAMIDE"/>
    <m/>
    <x v="1"/>
    <x v="0"/>
    <m/>
    <m/>
    <n v="2.4037999999999999"/>
    <n v="2.2907999999999999"/>
    <n v="2.2907999999999999"/>
    <m/>
    <m/>
    <m/>
    <s v="Construcción"/>
    <x v="2"/>
    <m/>
    <m/>
    <m/>
    <m/>
    <m/>
    <m/>
    <s v="NO"/>
    <s v=" "/>
    <s v=" "/>
    <s v=" "/>
    <s v=" "/>
    <s v=" "/>
    <s v=" "/>
    <s v=" "/>
    <s v=" "/>
    <s v=" "/>
    <s v=" "/>
    <m/>
    <s v=" "/>
    <s v=" "/>
    <s v=" "/>
    <s v=" "/>
    <s v=" "/>
    <n v="0"/>
    <n v="0"/>
    <s v="Demasiado Riesgo"/>
    <m/>
    <m/>
    <m/>
    <m/>
    <m/>
    <m/>
  </r>
  <r>
    <n v="25707"/>
    <s v="ZSU920314FC2"/>
    <s v="ZAPATERIAS SUPER"/>
    <m/>
    <x v="1"/>
    <x v="0"/>
    <m/>
    <m/>
    <n v="346.12889999999999"/>
    <m/>
    <n v="0"/>
    <m/>
    <m/>
    <s v="Coahuila"/>
    <s v="Retail Enterprise"/>
    <x v="3"/>
    <m/>
    <m/>
    <m/>
    <m/>
    <m/>
    <m/>
    <s v=" "/>
    <s v=" "/>
    <s v=" "/>
    <s v=" "/>
    <s v=" "/>
    <s v=" "/>
    <s v=" "/>
    <s v=" "/>
    <s v=" "/>
    <s v=" "/>
    <s v=" "/>
    <m/>
    <s v=" "/>
    <s v=" "/>
    <s v=" "/>
    <s v=" "/>
    <s v=" "/>
    <n v="0"/>
    <n v="0"/>
    <s v="Demasiado Riesgo"/>
    <m/>
    <m/>
    <m/>
    <m/>
    <m/>
    <m/>
  </r>
  <r>
    <m/>
    <m/>
    <s v="CINCO CONTEMPORANEA"/>
    <m/>
    <x v="0"/>
    <x v="1"/>
    <m/>
    <m/>
    <n v="1448.0824"/>
    <n v="1603.7376999999999"/>
    <n v="1603.7376999999999"/>
    <m/>
    <m/>
    <m/>
    <m/>
    <x v="0"/>
    <m/>
    <m/>
    <m/>
    <m/>
    <m/>
    <m/>
    <s v=" "/>
    <s v=" "/>
    <s v=" "/>
    <s v=" "/>
    <s v=" "/>
    <s v=" "/>
    <s v=" "/>
    <s v=" "/>
    <s v=" "/>
    <s v=" "/>
    <s v=" "/>
    <m/>
    <s v=" "/>
    <s v=" "/>
    <s v=" "/>
    <s v=" "/>
    <s v=" "/>
    <n v="0"/>
    <n v="0"/>
    <s v="Demasiado Riesgo"/>
    <m/>
    <m/>
    <m/>
    <m/>
    <m/>
    <m/>
  </r>
  <r>
    <n v="31768"/>
    <s v="HUGA6603043Y5"/>
    <s v="ANTONIO HUERTA GARZA"/>
    <m/>
    <x v="0"/>
    <x v="1"/>
    <m/>
    <m/>
    <n v="399.8974"/>
    <n v="1036.2047"/>
    <n v="1036.2047"/>
    <m/>
    <m/>
    <m/>
    <m/>
    <x v="1"/>
    <m/>
    <m/>
    <m/>
    <m/>
    <m/>
    <m/>
    <s v="SI"/>
    <s v=" "/>
    <s v=" "/>
    <s v=" "/>
    <s v=" "/>
    <s v=" "/>
    <s v=" "/>
    <s v=" "/>
    <s v=" "/>
    <s v=" "/>
    <s v=" "/>
    <m/>
    <s v=" "/>
    <s v=" "/>
    <s v=" "/>
    <s v="OK"/>
    <s v="NO"/>
    <n v="1"/>
    <n v="0"/>
    <s v="Demasiado Riesgo"/>
    <m/>
    <m/>
    <m/>
    <m/>
    <m/>
    <m/>
  </r>
  <r>
    <n v="24591"/>
    <s v="TBO181023J20"/>
    <s v="TEAM BACK 11"/>
    <m/>
    <x v="0"/>
    <x v="1"/>
    <m/>
    <m/>
    <n v="546.7269"/>
    <n v="555.50250000000005"/>
    <n v="555.50250000000005"/>
    <m/>
    <m/>
    <m/>
    <m/>
    <x v="0"/>
    <m/>
    <m/>
    <m/>
    <m/>
    <m/>
    <m/>
    <s v=" "/>
    <s v=" "/>
    <s v=" "/>
    <s v=" "/>
    <s v="OP"/>
    <s v=" "/>
    <s v=" "/>
    <s v=" "/>
    <s v=" "/>
    <s v=" "/>
    <s v=" "/>
    <m/>
    <s v=" "/>
    <s v=" "/>
    <s v=" "/>
    <s v=" "/>
    <s v=" "/>
    <n v="0"/>
    <n v="0"/>
    <s v="Demasiado Riesgo"/>
    <n v="114"/>
    <m/>
    <m/>
    <m/>
    <m/>
    <m/>
  </r>
  <r>
    <n v="21609"/>
    <s v="CJA940502D68"/>
    <s v="CONSTRUCTORA JAN"/>
    <m/>
    <x v="1"/>
    <x v="1"/>
    <m/>
    <m/>
    <n v="430.03710000000001"/>
    <n v="481.25560000000002"/>
    <n v="481.25560000000002"/>
    <m/>
    <m/>
    <m/>
    <m/>
    <x v="6"/>
    <m/>
    <m/>
    <m/>
    <m/>
    <m/>
    <m/>
    <s v="SI"/>
    <s v=" "/>
    <s v=" "/>
    <s v="OK"/>
    <s v=" "/>
    <s v=" "/>
    <s v=" "/>
    <s v=" "/>
    <s v=" "/>
    <s v=" "/>
    <s v=" "/>
    <m/>
    <s v=" "/>
    <s v=" "/>
    <s v=" "/>
    <s v="OP"/>
    <s v="NO"/>
    <n v="0"/>
    <n v="3"/>
    <s v="Riesgo Medio"/>
    <m/>
    <m/>
    <m/>
    <m/>
    <m/>
    <m/>
  </r>
  <r>
    <m/>
    <m/>
    <s v="WIN PRO CAR (Refaccionaria Mendoza)"/>
    <m/>
    <x v="1"/>
    <x v="1"/>
    <m/>
    <m/>
    <n v="495.91449999999998"/>
    <n v="453.69549999999998"/>
    <n v="453.69549999999998"/>
    <m/>
    <m/>
    <m/>
    <m/>
    <x v="1"/>
    <m/>
    <m/>
    <m/>
    <m/>
    <m/>
    <m/>
    <s v=" "/>
    <s v=" "/>
    <s v=" "/>
    <s v=" "/>
    <s v=" "/>
    <s v=" "/>
    <s v=" "/>
    <s v=" "/>
    <s v=" "/>
    <s v=" "/>
    <s v=" "/>
    <m/>
    <s v=" "/>
    <s v=" "/>
    <s v=" "/>
    <s v=" "/>
    <s v="NO"/>
    <n v="0"/>
    <n v="0"/>
    <s v="Demasiado Riesgo"/>
    <m/>
    <m/>
    <m/>
    <m/>
    <m/>
    <m/>
  </r>
  <r>
    <m/>
    <m/>
    <s v="COSMIC PRODUCT COMPANY"/>
    <m/>
    <x v="1"/>
    <x v="1"/>
    <m/>
    <m/>
    <n v="433.98239999999998"/>
    <n v="439.89769999999999"/>
    <n v="439.89769999999999"/>
    <m/>
    <m/>
    <m/>
    <m/>
    <x v="4"/>
    <m/>
    <m/>
    <m/>
    <m/>
    <m/>
    <m/>
    <s v=" "/>
    <s v=" "/>
    <s v=" "/>
    <s v=" "/>
    <s v=" "/>
    <s v=" "/>
    <s v=" "/>
    <s v=" "/>
    <s v=" "/>
    <s v=" "/>
    <s v=" "/>
    <m/>
    <s v=" "/>
    <s v=" "/>
    <s v=" "/>
    <s v=" "/>
    <s v=" "/>
    <n v="0"/>
    <n v="0"/>
    <s v="Demasiado Riesgo"/>
    <m/>
    <m/>
    <m/>
    <m/>
    <m/>
    <m/>
  </r>
  <r>
    <n v="31204"/>
    <s v="TWT000511KF6"/>
    <s v="TRANSPORTES WONG DE LA TORRE"/>
    <m/>
    <x v="1"/>
    <x v="1"/>
    <m/>
    <m/>
    <n v="415.12"/>
    <n v="400.98579999999998"/>
    <n v="400.98579999999998"/>
    <m/>
    <m/>
    <m/>
    <m/>
    <x v="0"/>
    <m/>
    <m/>
    <m/>
    <m/>
    <m/>
    <m/>
    <s v=" "/>
    <s v=" "/>
    <s v=" "/>
    <s v=" "/>
    <s v="OP (93)"/>
    <s v=" "/>
    <s v="OP (51)"/>
    <s v=" "/>
    <s v=" "/>
    <s v=" "/>
    <s v=" "/>
    <m/>
    <s v=" "/>
    <s v=" "/>
    <s v=" "/>
    <s v=" "/>
    <s v="NO"/>
    <n v="0"/>
    <n v="0"/>
    <s v="Demasiado Riesgo"/>
    <n v="51"/>
    <m/>
    <m/>
    <m/>
    <m/>
    <m/>
  </r>
  <r>
    <n v="21436"/>
    <s v="SRE0602021Q6"/>
    <s v="SIERRA NORTE TRUCK CENTER"/>
    <m/>
    <x v="1"/>
    <x v="1"/>
    <m/>
    <m/>
    <n v="410.09620000000001"/>
    <n v="392.3075"/>
    <n v="392.3075"/>
    <m/>
    <m/>
    <m/>
    <m/>
    <x v="1"/>
    <m/>
    <m/>
    <m/>
    <m/>
    <m/>
    <m/>
    <s v="SI"/>
    <s v=" "/>
    <s v=" "/>
    <s v=" "/>
    <s v=" "/>
    <s v=" "/>
    <s v=" "/>
    <s v=" "/>
    <s v=" "/>
    <s v=" "/>
    <s v=" "/>
    <m/>
    <s v=" "/>
    <s v=" "/>
    <s v=" "/>
    <s v=" "/>
    <s v="NO"/>
    <n v="0"/>
    <n v="0"/>
    <s v="Demasiado Riesgo"/>
    <m/>
    <m/>
    <m/>
    <m/>
    <m/>
    <m/>
  </r>
  <r>
    <n v="31808"/>
    <s v="CMA070307RU6"/>
    <s v="METRO ASFALTOS"/>
    <m/>
    <x v="1"/>
    <x v="1"/>
    <m/>
    <m/>
    <n v="352.41079999999999"/>
    <n v="359.2054"/>
    <n v="359.2054"/>
    <m/>
    <m/>
    <m/>
    <m/>
    <x v="4"/>
    <m/>
    <m/>
    <m/>
    <m/>
    <m/>
    <m/>
    <s v="SI"/>
    <s v=" "/>
    <s v=" "/>
    <s v=" "/>
    <s v=" "/>
    <s v=" "/>
    <s v=" "/>
    <s v=" "/>
    <s v=" "/>
    <s v=" "/>
    <s v=" "/>
    <m/>
    <s v=" "/>
    <s v=" "/>
    <s v=" "/>
    <s v=" "/>
    <s v="NO"/>
    <n v="0"/>
    <n v="0"/>
    <s v="Demasiado Riesgo"/>
    <m/>
    <m/>
    <m/>
    <m/>
    <m/>
    <m/>
  </r>
  <r>
    <m/>
    <m/>
    <s v="INDUSTRIA ECOLOGICA TA"/>
    <m/>
    <x v="1"/>
    <x v="1"/>
    <m/>
    <m/>
    <n v="400.19009999999997"/>
    <n v="334.99200000000002"/>
    <n v="334.99200000000002"/>
    <m/>
    <m/>
    <m/>
    <m/>
    <x v="0"/>
    <m/>
    <m/>
    <m/>
    <m/>
    <m/>
    <m/>
    <s v=" "/>
    <s v=" "/>
    <s v=" "/>
    <s v="OP (NO PARA ESTE Q)"/>
    <s v=" "/>
    <s v=" "/>
    <s v=" "/>
    <s v=" "/>
    <s v=" "/>
    <s v=" "/>
    <s v=" "/>
    <m/>
    <s v=" "/>
    <s v=" "/>
    <s v=" "/>
    <s v="OP"/>
    <s v=" "/>
    <n v="0"/>
    <n v="0"/>
    <s v="Demasiado Riesgo"/>
    <m/>
    <m/>
    <m/>
    <m/>
    <m/>
    <m/>
  </r>
  <r>
    <n v="17740"/>
    <s v="AME200109CP2"/>
    <s v="ASCENTY MEXICO"/>
    <m/>
    <x v="1"/>
    <x v="1"/>
    <m/>
    <m/>
    <n v="355.75740000000002"/>
    <n v="333.28550000000001"/>
    <n v="333.28550000000001"/>
    <m/>
    <m/>
    <m/>
    <m/>
    <x v="4"/>
    <m/>
    <m/>
    <m/>
    <m/>
    <m/>
    <m/>
    <s v=" "/>
    <s v=" "/>
    <s v=" "/>
    <s v=" "/>
    <s v=" "/>
    <s v=" "/>
    <s v=" "/>
    <s v=" "/>
    <s v=" "/>
    <s v=" "/>
    <s v=" "/>
    <m/>
    <s v=" "/>
    <s v=" "/>
    <s v=" "/>
    <s v=" "/>
    <s v="NO"/>
    <n v="0"/>
    <n v="0"/>
    <s v="Demasiado Riesgo"/>
    <m/>
    <m/>
    <m/>
    <m/>
    <m/>
    <m/>
  </r>
  <r>
    <n v="24925"/>
    <s v="PDA0610137A6"/>
    <s v="PALLET DESING &amp; SUPORT DE MEXICO"/>
    <m/>
    <x v="1"/>
    <x v="1"/>
    <m/>
    <m/>
    <n v="320.14260000000002"/>
    <n v="321.31959999999998"/>
    <n v="321.31959999999998"/>
    <m/>
    <m/>
    <m/>
    <m/>
    <x v="1"/>
    <m/>
    <m/>
    <m/>
    <m/>
    <m/>
    <m/>
    <s v="SI"/>
    <s v=" "/>
    <s v=" "/>
    <s v="OP"/>
    <s v=" "/>
    <s v=" "/>
    <s v=" "/>
    <s v=" "/>
    <s v=" "/>
    <s v=" "/>
    <s v=" "/>
    <m/>
    <s v=" "/>
    <s v=" "/>
    <s v=" "/>
    <s v=" "/>
    <s v="NO"/>
    <n v="0"/>
    <n v="0"/>
    <s v="Demasiado Riesgo"/>
    <m/>
    <m/>
    <m/>
    <m/>
    <m/>
    <m/>
  </r>
  <r>
    <m/>
    <m/>
    <s v="MELONN SUBSIDIARIA MEXICO"/>
    <m/>
    <x v="1"/>
    <x v="1"/>
    <m/>
    <m/>
    <n v="291.49630000000002"/>
    <n v="300.76710000000003"/>
    <n v="300.76710000000003"/>
    <m/>
    <m/>
    <m/>
    <m/>
    <x v="2"/>
    <m/>
    <m/>
    <m/>
    <m/>
    <m/>
    <s v="*No utilizan ni responden mucho"/>
    <s v=" "/>
    <s v=" "/>
    <s v=" "/>
    <s v=" "/>
    <s v=" "/>
    <s v=" "/>
    <s v=" "/>
    <s v=" "/>
    <s v=" "/>
    <s v=" "/>
    <s v=" "/>
    <m/>
    <s v=" "/>
    <s v=" "/>
    <s v=" "/>
    <s v=" "/>
    <s v=" "/>
    <n v="0"/>
    <n v="0"/>
    <s v="Demasiado Riesgo"/>
    <m/>
    <m/>
    <m/>
    <m/>
    <m/>
    <m/>
  </r>
  <r>
    <n v="29019"/>
    <s v="MPR1707281W0"/>
    <s v="MADERKIT DE MEXICO"/>
    <m/>
    <x v="1"/>
    <x v="1"/>
    <m/>
    <m/>
    <n v="282.94510000000002"/>
    <n v="291.214"/>
    <n v="291.214"/>
    <m/>
    <m/>
    <m/>
    <m/>
    <x v="0"/>
    <m/>
    <m/>
    <m/>
    <m/>
    <m/>
    <m/>
    <s v="SI"/>
    <s v=" "/>
    <s v=" "/>
    <s v=" "/>
    <s v=" "/>
    <s v=" "/>
    <s v=" "/>
    <s v=" "/>
    <s v=" "/>
    <s v=" "/>
    <s v=" "/>
    <m/>
    <s v=" "/>
    <s v=" "/>
    <s v=" "/>
    <s v=" "/>
    <s v="NO"/>
    <n v="0"/>
    <n v="0"/>
    <s v="Demasiado Riesgo"/>
    <m/>
    <m/>
    <m/>
    <s v="Se le vendió app supervisor"/>
    <m/>
    <m/>
  </r>
  <r>
    <n v="23124"/>
    <s v="NAM020918KZ5"/>
    <s v="INDUSTRIAS DE ENVASES TYPACK MEXICO"/>
    <m/>
    <x v="1"/>
    <x v="1"/>
    <m/>
    <m/>
    <n v="315.60500000000002"/>
    <n v="277.79180000000002"/>
    <n v="277.79180000000002"/>
    <m/>
    <m/>
    <m/>
    <m/>
    <x v="1"/>
    <m/>
    <m/>
    <m/>
    <m/>
    <m/>
    <m/>
    <s v="SI"/>
    <s v=" "/>
    <s v=" "/>
    <s v=" "/>
    <s v=" "/>
    <s v=" "/>
    <s v=" "/>
    <s v=" "/>
    <s v=" "/>
    <s v=" "/>
    <s v=" "/>
    <m/>
    <s v=" "/>
    <s v=" "/>
    <s v=" "/>
    <s v=" "/>
    <s v="NO"/>
    <n v="0"/>
    <n v="0"/>
    <s v="Demasiado Riesgo"/>
    <m/>
    <m/>
    <m/>
    <m/>
    <m/>
    <m/>
  </r>
  <r>
    <m/>
    <m/>
    <s v="GRUPO NACIONAL COLCHONERO"/>
    <m/>
    <x v="1"/>
    <x v="1"/>
    <m/>
    <m/>
    <n v="287.1164"/>
    <n v="277.64159999999998"/>
    <n v="277.64159999999998"/>
    <m/>
    <m/>
    <m/>
    <m/>
    <x v="0"/>
    <m/>
    <m/>
    <m/>
    <m/>
    <m/>
    <m/>
    <s v=" "/>
    <s v=" "/>
    <s v=" "/>
    <s v=" "/>
    <s v=" "/>
    <s v=" "/>
    <s v=" "/>
    <s v=" "/>
    <s v=" "/>
    <s v=" "/>
    <s v=" "/>
    <m/>
    <s v=" "/>
    <s v=" "/>
    <s v=" "/>
    <s v=" "/>
    <s v=" "/>
    <n v="0"/>
    <n v="0"/>
    <s v="Demasiado Riesgo"/>
    <m/>
    <m/>
    <m/>
    <m/>
    <m/>
    <m/>
  </r>
  <r>
    <n v="24043"/>
    <s v="GPM050509983"/>
    <s v="GW PLASTICS MEXICANA"/>
    <m/>
    <x v="1"/>
    <x v="1"/>
    <m/>
    <m/>
    <n v="266.52409999999998"/>
    <n v="253.99369999999999"/>
    <n v="253.99369999999999"/>
    <m/>
    <m/>
    <m/>
    <m/>
    <x v="0"/>
    <m/>
    <m/>
    <m/>
    <m/>
    <m/>
    <m/>
    <s v="SI"/>
    <s v=" "/>
    <s v="OP"/>
    <s v=" "/>
    <s v=" "/>
    <s v=" "/>
    <s v=" "/>
    <s v=" "/>
    <s v=" "/>
    <s v=" "/>
    <s v=" "/>
    <m/>
    <s v=" "/>
    <s v=" "/>
    <s v=" "/>
    <s v=" "/>
    <s v="NO"/>
    <n v="0"/>
    <n v="0"/>
    <s v="Demasiado Riesgo"/>
    <m/>
    <m/>
    <m/>
    <m/>
    <m/>
    <m/>
  </r>
  <r>
    <m/>
    <m/>
    <s v="IBAHUS MUNDO (Corazón de Alcachofa)"/>
    <m/>
    <x v="1"/>
    <x v="1"/>
    <m/>
    <m/>
    <n v="252.04570000000001"/>
    <n v="250.63919999999999"/>
    <n v="250.63919999999999"/>
    <m/>
    <m/>
    <m/>
    <m/>
    <x v="4"/>
    <m/>
    <m/>
    <m/>
    <m/>
    <m/>
    <m/>
    <s v=" "/>
    <s v=" "/>
    <s v=" "/>
    <s v=" "/>
    <s v=" "/>
    <s v=" "/>
    <s v=" "/>
    <s v=" "/>
    <s v=" "/>
    <s v=" "/>
    <s v=" "/>
    <m/>
    <s v=" "/>
    <s v=" "/>
    <s v=" "/>
    <s v=" "/>
    <s v=" "/>
    <n v="0"/>
    <n v="0"/>
    <s v="Demasiado Riesgo"/>
    <m/>
    <m/>
    <m/>
    <m/>
    <m/>
    <m/>
  </r>
  <r>
    <m/>
    <m/>
    <s v="MADAME DUBARRY"/>
    <m/>
    <x v="1"/>
    <x v="1"/>
    <m/>
    <m/>
    <n v="260.36160000000001"/>
    <n v="248.12090000000001"/>
    <n v="248.12090000000001"/>
    <m/>
    <m/>
    <m/>
    <m/>
    <x v="4"/>
    <m/>
    <m/>
    <m/>
    <m/>
    <m/>
    <m/>
    <s v=" "/>
    <s v=" "/>
    <s v=" "/>
    <s v=" "/>
    <s v=" "/>
    <s v=" "/>
    <s v=" "/>
    <s v=" "/>
    <s v=" "/>
    <s v=" "/>
    <s v=" "/>
    <m/>
    <s v=" "/>
    <s v=" "/>
    <s v=" "/>
    <s v=" "/>
    <s v=" "/>
    <n v="0"/>
    <n v="0"/>
    <s v="Demasiado Riesgo"/>
    <m/>
    <m/>
    <m/>
    <m/>
    <m/>
    <m/>
  </r>
  <r>
    <m/>
    <m/>
    <s v="DUGPA"/>
    <m/>
    <x v="1"/>
    <x v="1"/>
    <m/>
    <m/>
    <n v="270.04520000000002"/>
    <n v="242.64359999999999"/>
    <n v="242.64359999999999"/>
    <m/>
    <m/>
    <m/>
    <m/>
    <x v="0"/>
    <m/>
    <m/>
    <m/>
    <m/>
    <m/>
    <m/>
    <s v=" "/>
    <s v=" "/>
    <s v=" "/>
    <s v=" "/>
    <s v=" "/>
    <s v=" "/>
    <s v=" "/>
    <s v=" "/>
    <s v=" "/>
    <s v=" "/>
    <s v=" "/>
    <m/>
    <s v=" "/>
    <s v=" "/>
    <s v=" "/>
    <s v="OP"/>
    <s v=" "/>
    <n v="0"/>
    <n v="0"/>
    <s v="Demasiado Riesgo"/>
    <m/>
    <m/>
    <m/>
    <m/>
    <m/>
    <m/>
  </r>
  <r>
    <n v="27381"/>
    <s v="RBE190715235"/>
    <s v="RICARNES BEEF"/>
    <m/>
    <x v="1"/>
    <x v="1"/>
    <m/>
    <m/>
    <n v="237.93809999999999"/>
    <n v="233.62289999999999"/>
    <n v="233.62289999999999"/>
    <m/>
    <m/>
    <m/>
    <m/>
    <x v="0"/>
    <m/>
    <m/>
    <m/>
    <m/>
    <m/>
    <m/>
    <s v="SI"/>
    <s v=" "/>
    <s v=" "/>
    <s v=" "/>
    <s v=" "/>
    <s v=" "/>
    <s v=" "/>
    <s v=" "/>
    <s v=" "/>
    <s v=" "/>
    <s v=" "/>
    <m/>
    <s v=" "/>
    <s v=" "/>
    <s v=" "/>
    <s v=" "/>
    <s v="NO"/>
    <n v="0"/>
    <n v="0"/>
    <s v="Demasiado Riesgo"/>
    <m/>
    <m/>
    <m/>
    <m/>
    <m/>
    <m/>
  </r>
  <r>
    <n v="25961"/>
    <s v="PCA0301167A8"/>
    <s v="PERI CIMBRAS Y ANDAMIOS"/>
    <m/>
    <x v="1"/>
    <x v="1"/>
    <m/>
    <m/>
    <n v="245.51339999999999"/>
    <n v="231.584"/>
    <n v="231.584"/>
    <m/>
    <m/>
    <m/>
    <m/>
    <x v="1"/>
    <m/>
    <m/>
    <m/>
    <m/>
    <m/>
    <m/>
    <s v="SI"/>
    <s v=" "/>
    <s v="OP"/>
    <s v="OK (Q1)"/>
    <s v=" "/>
    <s v=" "/>
    <s v=" "/>
    <s v=" "/>
    <s v=" "/>
    <s v=" "/>
    <s v=" "/>
    <m/>
    <s v=" "/>
    <s v=" "/>
    <s v=" "/>
    <s v=" "/>
    <s v="NO"/>
    <n v="0"/>
    <n v="0"/>
    <s v="Demasiado Riesgo"/>
    <m/>
    <m/>
    <m/>
    <m/>
    <m/>
    <m/>
  </r>
  <r>
    <n v="19276"/>
    <s v="CME220205UD7"/>
    <s v="CARCAMOVIL MEXICO"/>
    <m/>
    <x v="1"/>
    <x v="1"/>
    <m/>
    <m/>
    <n v="230.12870000000001"/>
    <n v="223.48670000000001"/>
    <n v="223.48670000000001"/>
    <m/>
    <m/>
    <m/>
    <m/>
    <x v="1"/>
    <m/>
    <m/>
    <m/>
    <m/>
    <m/>
    <m/>
    <s v=" "/>
    <s v=" "/>
    <s v=" "/>
    <s v=" "/>
    <s v=" "/>
    <s v=" "/>
    <s v=" "/>
    <s v=" "/>
    <s v=" "/>
    <s v=" "/>
    <s v=" "/>
    <m/>
    <s v=" "/>
    <s v=" "/>
    <s v=" "/>
    <s v=" "/>
    <s v=" "/>
    <n v="0"/>
    <n v="0"/>
    <s v="Demasiado Riesgo"/>
    <m/>
    <m/>
    <m/>
    <m/>
    <m/>
    <m/>
  </r>
  <r>
    <n v="28517"/>
    <s v="GEM070226K52"/>
    <s v="SIEMENS GESA RENEWABLE ENERGY"/>
    <m/>
    <x v="1"/>
    <x v="1"/>
    <m/>
    <m/>
    <n v="239.0264"/>
    <n v="222.86699999999999"/>
    <n v="222.86699999999999"/>
    <m/>
    <m/>
    <m/>
    <m/>
    <x v="1"/>
    <m/>
    <m/>
    <m/>
    <m/>
    <m/>
    <m/>
    <s v="SI"/>
    <s v="OP"/>
    <s v=" "/>
    <s v=" "/>
    <s v=" "/>
    <s v=" "/>
    <s v=" "/>
    <s v=" "/>
    <s v=" "/>
    <s v=" "/>
    <s v=" "/>
    <m/>
    <s v=" "/>
    <s v=" "/>
    <s v=" "/>
    <s v="OP"/>
    <s v="NO"/>
    <n v="0"/>
    <n v="0"/>
    <s v="Demasiado Riesgo"/>
    <m/>
    <m/>
    <m/>
    <m/>
    <m/>
    <m/>
  </r>
  <r>
    <n v="28545"/>
    <s v="SER920327C94"/>
    <s v="SERINTRA"/>
    <m/>
    <x v="1"/>
    <x v="1"/>
    <m/>
    <m/>
    <n v="233.25219999999999"/>
    <n v="222.2861"/>
    <n v="222.2861"/>
    <m/>
    <m/>
    <m/>
    <m/>
    <x v="0"/>
    <m/>
    <m/>
    <m/>
    <m/>
    <m/>
    <m/>
    <s v="SI"/>
    <s v=" "/>
    <s v=" "/>
    <s v="OP"/>
    <s v=" "/>
    <s v=" "/>
    <s v=" "/>
    <s v=" "/>
    <s v=" "/>
    <s v=" "/>
    <s v=" "/>
    <m/>
    <s v=" "/>
    <s v=" "/>
    <s v=" "/>
    <s v=" "/>
    <s v="NO"/>
    <n v="0"/>
    <n v="0"/>
    <s v="Demasiado Riesgo"/>
    <m/>
    <m/>
    <m/>
    <s v="Deuda, negociando esperar a mayo con permisos y vacaciones + anualidad"/>
    <m/>
    <m/>
  </r>
  <r>
    <n v="7305"/>
    <s v="BIC881017U42"/>
    <s v="BICIMEX, S.A. DE C.V."/>
    <m/>
    <x v="1"/>
    <x v="1"/>
    <m/>
    <m/>
    <m/>
    <n v="213.1737"/>
    <n v="213.1737"/>
    <m/>
    <m/>
    <m/>
    <m/>
    <x v="1"/>
    <m/>
    <m/>
    <m/>
    <m/>
    <m/>
    <m/>
    <s v="SI"/>
    <s v=" "/>
    <s v=" "/>
    <s v="NO (Q1)"/>
    <s v=" "/>
    <s v=" "/>
    <s v=" "/>
    <s v=" "/>
    <s v=" "/>
    <s v=" "/>
    <s v=" "/>
    <m/>
    <s v=" "/>
    <s v=" "/>
    <s v=" "/>
    <s v=" "/>
    <s v="NO"/>
    <n v="0"/>
    <n v="0"/>
    <s v="Demasiado Riesgo"/>
    <m/>
    <m/>
    <m/>
    <m/>
    <m/>
    <m/>
  </r>
  <r>
    <n v="24773"/>
    <s v="ARM201029DR3"/>
    <s v="ACCESORIOS Y REFACCIONES PARA MOVILIDAD (Mundimotos)"/>
    <m/>
    <x v="1"/>
    <x v="1"/>
    <m/>
    <m/>
    <n v="214.10409999999999"/>
    <n v="211.19880000000001"/>
    <n v="211.19880000000001"/>
    <m/>
    <m/>
    <m/>
    <m/>
    <x v="6"/>
    <m/>
    <m/>
    <m/>
    <m/>
    <m/>
    <m/>
    <s v="SI"/>
    <s v=" "/>
    <s v=" "/>
    <s v="OP (NO PARA ESTE Q)"/>
    <s v=" "/>
    <s v=" "/>
    <s v=" "/>
    <s v=" "/>
    <s v=" "/>
    <s v=" "/>
    <s v=" "/>
    <m/>
    <s v=" "/>
    <s v=" "/>
    <s v=" "/>
    <s v=" "/>
    <s v="SI (7 relojes)"/>
    <n v="0"/>
    <n v="0"/>
    <s v="Demasiado Riesgo"/>
    <m/>
    <m/>
    <m/>
    <m/>
    <m/>
    <m/>
  </r>
  <r>
    <n v="26038"/>
    <s v="OPL170802H70"/>
    <s v="OFERLLANTAS PROVEEDOR LLANTERO"/>
    <m/>
    <x v="1"/>
    <x v="1"/>
    <m/>
    <m/>
    <n v="208.50020000000001"/>
    <n v="209.43819999999999"/>
    <n v="209.43819999999999"/>
    <m/>
    <m/>
    <m/>
    <m/>
    <x v="0"/>
    <m/>
    <m/>
    <m/>
    <m/>
    <m/>
    <m/>
    <s v=" "/>
    <s v=" "/>
    <s v=" "/>
    <s v=" "/>
    <s v=" "/>
    <s v=" "/>
    <s v=" "/>
    <s v=" "/>
    <s v=" "/>
    <s v=" "/>
    <s v=" "/>
    <m/>
    <s v=" "/>
    <s v=" "/>
    <s v=" "/>
    <s v=" "/>
    <s v="NO"/>
    <n v="0"/>
    <n v="0"/>
    <s v="Demasiado Riesgo"/>
    <m/>
    <m/>
    <m/>
    <m/>
    <m/>
    <m/>
  </r>
  <r>
    <m/>
    <m/>
    <s v="DOMUS URBANIZACIONES"/>
    <s v="DOMUS"/>
    <x v="1"/>
    <x v="1"/>
    <m/>
    <m/>
    <n v="200.095"/>
    <n v="208.72579999999999"/>
    <n v="208.72579999999999"/>
    <m/>
    <m/>
    <m/>
    <m/>
    <x v="1"/>
    <m/>
    <m/>
    <m/>
    <m/>
    <m/>
    <m/>
    <s v=" "/>
    <s v=" "/>
    <s v=" "/>
    <s v="OP"/>
    <s v=" "/>
    <s v=" "/>
    <s v=" "/>
    <s v=" "/>
    <s v=" "/>
    <s v=" "/>
    <s v=" "/>
    <m/>
    <s v=" "/>
    <s v=" "/>
    <s v=" "/>
    <s v=" "/>
    <s v=" "/>
    <n v="0"/>
    <n v="0"/>
    <s v="Demasiado Riesgo"/>
    <m/>
    <m/>
    <m/>
    <m/>
    <m/>
    <m/>
  </r>
  <r>
    <n v="17466"/>
    <s v="IDAPODRQT3"/>
    <s v="INSTITUTO PARA EL DESARROLLO Y ACTUALIZACION DE PROFESIONALES (IDAP)"/>
    <m/>
    <x v="1"/>
    <x v="1"/>
    <m/>
    <m/>
    <n v="214.61"/>
    <n v="207.87309999999999"/>
    <n v="207.87309999999999"/>
    <m/>
    <m/>
    <m/>
    <m/>
    <x v="0"/>
    <m/>
    <m/>
    <m/>
    <m/>
    <m/>
    <m/>
    <s v=" "/>
    <s v=" "/>
    <s v=" "/>
    <s v=" "/>
    <s v="OP (Q2,Q3)"/>
    <s v=" "/>
    <s v=" "/>
    <s v=" "/>
    <s v=" "/>
    <s v=" "/>
    <s v=" "/>
    <m/>
    <s v=" "/>
    <s v=" "/>
    <s v=" "/>
    <s v=" "/>
    <s v="NO"/>
    <n v="0"/>
    <n v="0"/>
    <s v="Demasiado Riesgo"/>
    <m/>
    <m/>
    <m/>
    <m/>
    <m/>
    <m/>
  </r>
  <r>
    <n v="22944"/>
    <s v="CMI130821M53"/>
    <s v="COMERCIALIZADORA MIKONOS"/>
    <m/>
    <x v="1"/>
    <x v="1"/>
    <m/>
    <m/>
    <n v="210.46010000000001"/>
    <n v="200.56549999999999"/>
    <n v="200.56549999999999"/>
    <m/>
    <m/>
    <m/>
    <m/>
    <x v="7"/>
    <m/>
    <m/>
    <m/>
    <m/>
    <m/>
    <m/>
    <s v="SI"/>
    <s v=" "/>
    <s v=" "/>
    <s v=" "/>
    <s v="NO"/>
    <s v=" "/>
    <s v=" "/>
    <s v=" "/>
    <s v=" "/>
    <s v=" "/>
    <s v=" "/>
    <m/>
    <s v=" "/>
    <s v=" "/>
    <s v=" "/>
    <s v=" "/>
    <s v="NO"/>
    <n v="0"/>
    <n v="0"/>
    <s v="Demasiado Riesgo"/>
    <m/>
    <m/>
    <m/>
    <m/>
    <m/>
    <m/>
  </r>
  <r>
    <n v="23029"/>
    <s v="ECO030618BR4"/>
    <s v="ECOPLATING"/>
    <s v="ECOPLATING"/>
    <x v="1"/>
    <x v="1"/>
    <m/>
    <m/>
    <n v="210.33260000000001"/>
    <n v="200.44399999999999"/>
    <n v="200.44399999999999"/>
    <m/>
    <m/>
    <m/>
    <m/>
    <x v="0"/>
    <m/>
    <m/>
    <m/>
    <m/>
    <m/>
    <m/>
    <s v="SI"/>
    <s v="OP"/>
    <s v=" "/>
    <s v="OP"/>
    <s v=" "/>
    <s v=" "/>
    <s v=" "/>
    <s v=" "/>
    <s v=" "/>
    <s v=" "/>
    <s v=" "/>
    <m/>
    <s v=" "/>
    <s v=" "/>
    <s v=" "/>
    <s v=" "/>
    <s v="NO"/>
    <n v="0"/>
    <n v="0"/>
    <s v="Demasiado Riesgo"/>
    <m/>
    <m/>
    <m/>
    <m/>
    <m/>
    <m/>
  </r>
  <r>
    <n v="23369"/>
    <s v="IES020111TDA"/>
    <s v="SOCIEDAD INDUSTRIAL EQUIPOS Y SERVICIOS (SIES)"/>
    <m/>
    <x v="1"/>
    <x v="1"/>
    <m/>
    <m/>
    <n v="200.6317"/>
    <n v="199.79230000000001"/>
    <n v="199.79230000000001"/>
    <m/>
    <m/>
    <m/>
    <m/>
    <x v="0"/>
    <m/>
    <m/>
    <m/>
    <m/>
    <m/>
    <m/>
    <s v="SI"/>
    <s v=" "/>
    <s v=" "/>
    <s v="OP (Q2-108)"/>
    <s v=" "/>
    <s v=" "/>
    <s v=" "/>
    <s v=" "/>
    <s v="OP (Q2-144)"/>
    <s v=" "/>
    <s v=" "/>
    <m/>
    <s v=" "/>
    <s v=" "/>
    <s v=" "/>
    <s v="OP (Q2-302)"/>
    <s v="NO"/>
    <n v="0"/>
    <n v="0"/>
    <s v="Demasiado Riesgo"/>
    <m/>
    <m/>
    <n v="252"/>
    <s v="Entrarían en abril-mayo 2026 comedor y vacaciones"/>
    <m/>
    <m/>
  </r>
  <r>
    <m/>
    <m/>
    <s v="ASOCIACION MEXICANA DE INSTITUCIONES BURSATILES"/>
    <m/>
    <x v="1"/>
    <x v="1"/>
    <m/>
    <m/>
    <n v="200.7997"/>
    <n v="194.39670000000001"/>
    <n v="194.39670000000001"/>
    <m/>
    <m/>
    <m/>
    <m/>
    <x v="6"/>
    <m/>
    <m/>
    <m/>
    <m/>
    <m/>
    <m/>
    <s v=" "/>
    <s v=" "/>
    <s v=" "/>
    <s v=" "/>
    <s v=" "/>
    <s v=" "/>
    <s v=" "/>
    <s v=" "/>
    <s v=" "/>
    <s v=" "/>
    <s v=" "/>
    <m/>
    <s v=" "/>
    <s v=" "/>
    <s v=" "/>
    <s v=" "/>
    <s v=" "/>
    <n v="0"/>
    <n v="0"/>
    <s v="Demasiado Riesgo"/>
    <m/>
    <m/>
    <m/>
    <m/>
    <m/>
    <m/>
  </r>
  <r>
    <n v="24945"/>
    <s v="RAU1807259J5"/>
    <s v="RACKSA AUTOMOTRIZ"/>
    <m/>
    <x v="1"/>
    <x v="1"/>
    <m/>
    <m/>
    <n v="210.911"/>
    <n v="193.2646"/>
    <n v="193.2646"/>
    <m/>
    <m/>
    <m/>
    <m/>
    <x v="4"/>
    <m/>
    <m/>
    <m/>
    <m/>
    <m/>
    <m/>
    <s v=" "/>
    <s v=" "/>
    <s v=" "/>
    <s v=" "/>
    <s v=" "/>
    <s v=" "/>
    <s v=" "/>
    <s v=" "/>
    <s v=" "/>
    <s v=" "/>
    <s v=" "/>
    <m/>
    <s v=" "/>
    <s v=" "/>
    <s v=" "/>
    <s v=" "/>
    <s v="NO"/>
    <n v="0"/>
    <n v="0"/>
    <s v="Demasiado Riesgo"/>
    <m/>
    <m/>
    <m/>
    <m/>
    <m/>
    <m/>
  </r>
  <r>
    <n v="19640"/>
    <s v="AVN030811P6A"/>
    <s v="AGROFORESTAL DEL VALLE DE NEJAPA"/>
    <m/>
    <x v="1"/>
    <x v="1"/>
    <m/>
    <m/>
    <n v="211.2894"/>
    <n v="191.95679999999999"/>
    <n v="191.95679999999999"/>
    <m/>
    <m/>
    <m/>
    <m/>
    <x v="6"/>
    <m/>
    <m/>
    <m/>
    <m/>
    <m/>
    <m/>
    <s v="SI"/>
    <s v=" "/>
    <s v=" "/>
    <s v=" "/>
    <s v=" "/>
    <s v=" "/>
    <s v=" "/>
    <s v=" "/>
    <s v="OK"/>
    <s v=" "/>
    <s v=" "/>
    <m/>
    <s v=" "/>
    <s v=" "/>
    <s v=" "/>
    <s v=" "/>
    <s v="NO"/>
    <n v="1"/>
    <n v="1"/>
    <s v="Riesgo Medio"/>
    <m/>
    <m/>
    <m/>
    <m/>
    <m/>
    <m/>
  </r>
  <r>
    <n v="24389"/>
    <s v="SMU1412158G7"/>
    <s v="SOMOS DEL MUNDO"/>
    <m/>
    <x v="1"/>
    <x v="1"/>
    <m/>
    <m/>
    <n v="210.41380000000001"/>
    <n v="190.9727"/>
    <n v="190.9727"/>
    <m/>
    <m/>
    <m/>
    <m/>
    <x v="1"/>
    <m/>
    <m/>
    <m/>
    <m/>
    <m/>
    <m/>
    <s v="SI"/>
    <s v=" "/>
    <s v=" "/>
    <s v=" "/>
    <s v=" "/>
    <s v=" "/>
    <s v=" "/>
    <s v=" "/>
    <s v=" "/>
    <s v=" "/>
    <s v=" "/>
    <m/>
    <s v=" "/>
    <s v=" "/>
    <s v=" "/>
    <s v=" "/>
    <s v="NO"/>
    <n v="0"/>
    <n v="0"/>
    <s v="Demasiado Riesgo"/>
    <m/>
    <m/>
    <m/>
    <m/>
    <m/>
    <m/>
  </r>
  <r>
    <n v="27824"/>
    <s v="DUE9506226QA"/>
    <s v="DOMUS URBANIZADORA Y EDIFICADORA"/>
    <s v="DOMUS"/>
    <x v="1"/>
    <x v="1"/>
    <m/>
    <m/>
    <n v="227.13489999999999"/>
    <n v="185.53399999999999"/>
    <n v="185.53399999999999"/>
    <m/>
    <m/>
    <m/>
    <m/>
    <x v="7"/>
    <m/>
    <m/>
    <m/>
    <m/>
    <m/>
    <m/>
    <s v="SI"/>
    <s v=" "/>
    <s v=" "/>
    <s v="OP"/>
    <s v=" "/>
    <s v=" "/>
    <s v=" "/>
    <s v=" "/>
    <s v=" "/>
    <s v=" "/>
    <s v=" "/>
    <m/>
    <s v=" "/>
    <s v=" "/>
    <s v=" "/>
    <s v=" "/>
    <s v="NO"/>
    <n v="0"/>
    <n v="0"/>
    <s v="Demasiado Riesgo"/>
    <m/>
    <m/>
    <m/>
    <m/>
    <m/>
    <m/>
  </r>
  <r>
    <m/>
    <m/>
    <s v="TECNOLOGIA EN BENEFICIOS MEXICO"/>
    <m/>
    <x v="1"/>
    <x v="1"/>
    <m/>
    <m/>
    <n v="183.70429999999999"/>
    <n v="185.11869999999999"/>
    <n v="185.11869999999999"/>
    <m/>
    <m/>
    <m/>
    <m/>
    <x v="4"/>
    <m/>
    <m/>
    <m/>
    <m/>
    <m/>
    <m/>
    <s v=" "/>
    <s v=" "/>
    <s v=" "/>
    <s v=" "/>
    <s v=" "/>
    <s v=" "/>
    <s v=" "/>
    <s v=" "/>
    <s v=" "/>
    <s v=" "/>
    <s v=" "/>
    <m/>
    <s v=" "/>
    <s v=" "/>
    <s v=" "/>
    <s v=" "/>
    <s v=" "/>
    <n v="0"/>
    <n v="0"/>
    <s v="Demasiado Riesgo"/>
    <m/>
    <m/>
    <m/>
    <m/>
    <m/>
    <m/>
  </r>
  <r>
    <n v="24521"/>
    <s v="TED011106K29"/>
    <s v="TITAN EDIFICACIONES"/>
    <m/>
    <x v="1"/>
    <x v="1"/>
    <m/>
    <m/>
    <n v="187.8477"/>
    <n v="182.59649999999999"/>
    <n v="182.59649999999999"/>
    <m/>
    <m/>
    <m/>
    <m/>
    <x v="0"/>
    <m/>
    <m/>
    <m/>
    <m/>
    <m/>
    <m/>
    <s v=" "/>
    <s v=" "/>
    <s v=" "/>
    <s v="OP"/>
    <s v=" "/>
    <s v=" "/>
    <s v=" "/>
    <s v=" "/>
    <s v=" "/>
    <s v=" "/>
    <s v=" "/>
    <m/>
    <s v=" "/>
    <s v=" "/>
    <s v=" "/>
    <s v=" "/>
    <s v=" "/>
    <n v="0"/>
    <n v="0"/>
    <s v="Demasiado Riesgo"/>
    <m/>
    <m/>
    <m/>
    <m/>
    <m/>
    <m/>
  </r>
  <r>
    <n v="24251"/>
    <s v="MOC120702M65"/>
    <s v="MAXILED DE OCCIDENTE"/>
    <m/>
    <x v="1"/>
    <x v="1"/>
    <m/>
    <m/>
    <n v="191.59479999999999"/>
    <n v="182.58709999999999"/>
    <n v="182.58709999999999"/>
    <m/>
    <m/>
    <m/>
    <m/>
    <x v="4"/>
    <m/>
    <m/>
    <m/>
    <m/>
    <m/>
    <m/>
    <s v=" "/>
    <s v=" "/>
    <s v=" "/>
    <s v=" "/>
    <s v=" "/>
    <s v=" "/>
    <s v=" "/>
    <s v=" "/>
    <s v=" "/>
    <s v=" "/>
    <s v=" "/>
    <m/>
    <s v=" "/>
    <s v=" "/>
    <s v=" "/>
    <s v=" "/>
    <s v="NO"/>
    <n v="0"/>
    <n v="0"/>
    <s v="Demasiado Riesgo"/>
    <m/>
    <m/>
    <m/>
    <m/>
    <m/>
    <m/>
  </r>
  <r>
    <n v="23031"/>
    <s v="PRO800417TDA"/>
    <s v="PROQUIPA"/>
    <s v="ECOPLATING"/>
    <x v="1"/>
    <x v="1"/>
    <m/>
    <m/>
    <n v="191.60470000000001"/>
    <n v="180.20959999999999"/>
    <n v="180.20959999999999"/>
    <m/>
    <m/>
    <m/>
    <m/>
    <x v="0"/>
    <m/>
    <m/>
    <m/>
    <m/>
    <m/>
    <m/>
    <s v="SI"/>
    <s v="OP (Q2-148)"/>
    <s v=" "/>
    <s v="OP (Q2-148)"/>
    <s v=" "/>
    <s v=" "/>
    <s v=" "/>
    <s v=" "/>
    <s v=" "/>
    <s v=" "/>
    <s v=" "/>
    <m/>
    <s v=" "/>
    <s v=" "/>
    <s v=" "/>
    <s v=" "/>
    <s v="NO"/>
    <n v="0"/>
    <n v="0"/>
    <s v="Demasiado Riesgo"/>
    <n v="296"/>
    <m/>
    <n v="296"/>
    <s v="Entrarían en abril-mayo 2026 alertas y vacaciones (este incluye ecoplating)"/>
    <m/>
    <m/>
  </r>
  <r>
    <m/>
    <m/>
    <s v="TADA (PARTNER) - APROTEA"/>
    <m/>
    <x v="1"/>
    <x v="1"/>
    <m/>
    <m/>
    <n v="204.3776"/>
    <n v="177.93709999999999"/>
    <n v="177.93709999999999"/>
    <m/>
    <m/>
    <m/>
    <m/>
    <x v="1"/>
    <m/>
    <m/>
    <m/>
    <m/>
    <m/>
    <m/>
    <s v=" "/>
    <s v=" "/>
    <s v=" "/>
    <s v=" "/>
    <s v=" "/>
    <s v=" "/>
    <s v=" "/>
    <s v=" "/>
    <s v=" "/>
    <s v=" "/>
    <s v=" "/>
    <m/>
    <s v=" "/>
    <s v=" "/>
    <s v=" "/>
    <s v=" "/>
    <s v=" "/>
    <n v="0"/>
    <n v="0"/>
    <s v="Demasiado Riesgo"/>
    <m/>
    <m/>
    <m/>
    <m/>
    <m/>
    <m/>
  </r>
  <r>
    <n v="26558"/>
    <s v="KWM961218CI1"/>
    <s v="KYSOR/WARREN DE MEXICO"/>
    <m/>
    <x v="1"/>
    <x v="1"/>
    <m/>
    <m/>
    <n v="184.7775"/>
    <n v="176.09030000000001"/>
    <n v="176.09030000000001"/>
    <m/>
    <m/>
    <m/>
    <m/>
    <x v="2"/>
    <m/>
    <m/>
    <m/>
    <m/>
    <m/>
    <s v="Empleados se rehusan a marcar, no usan mucho la plataforma"/>
    <s v="SI"/>
    <s v=" "/>
    <s v=" "/>
    <s v=" "/>
    <s v=" "/>
    <s v=" "/>
    <s v=" "/>
    <s v=" "/>
    <s v=" "/>
    <s v=" "/>
    <s v=" "/>
    <m/>
    <s v=" "/>
    <s v=" "/>
    <s v=" "/>
    <s v=" "/>
    <s v="NO"/>
    <n v="0"/>
    <n v="0"/>
    <s v="Demasiado Riesgo"/>
    <m/>
    <m/>
    <m/>
    <m/>
    <m/>
    <m/>
  </r>
  <r>
    <n v="21542"/>
    <s v="GAR060425710"/>
    <s v="GRUPO ANDAMIOS REGIOMONTANOS"/>
    <m/>
    <x v="1"/>
    <x v="1"/>
    <m/>
    <m/>
    <n v="177.52780000000001"/>
    <n v="172.31450000000001"/>
    <n v="172.31450000000001"/>
    <m/>
    <m/>
    <m/>
    <m/>
    <x v="0"/>
    <m/>
    <m/>
    <m/>
    <m/>
    <m/>
    <m/>
    <s v="SI"/>
    <s v=" "/>
    <s v=" "/>
    <s v=" "/>
    <s v=" "/>
    <s v=" "/>
    <s v=" "/>
    <s v=" "/>
    <s v=" "/>
    <s v=" "/>
    <s v=" "/>
    <m/>
    <s v=" "/>
    <s v=" "/>
    <s v=" "/>
    <s v=" "/>
    <s v="opORTUNIDAD"/>
    <n v="0"/>
    <n v="0"/>
    <s v="Demasiado Riesgo"/>
    <m/>
    <m/>
    <m/>
    <m/>
    <m/>
    <m/>
  </r>
  <r>
    <n v="31720"/>
    <s v="SCO160411539"/>
    <s v="SCR COMMUNICATIONS"/>
    <m/>
    <x v="1"/>
    <x v="1"/>
    <m/>
    <m/>
    <n v="185.09270000000001"/>
    <n v="171.8092"/>
    <n v="171.8092"/>
    <m/>
    <m/>
    <m/>
    <m/>
    <x v="0"/>
    <m/>
    <m/>
    <m/>
    <m/>
    <m/>
    <m/>
    <s v=" "/>
    <s v=" "/>
    <s v="OP"/>
    <s v=" "/>
    <s v=" "/>
    <s v=" "/>
    <s v=" "/>
    <s v=" "/>
    <s v=" "/>
    <s v=" "/>
    <s v=" "/>
    <m/>
    <s v=" "/>
    <s v=" "/>
    <s v=" "/>
    <s v=" "/>
    <s v="NO"/>
    <n v="0"/>
    <n v="0"/>
    <s v="Demasiado Riesgo"/>
    <m/>
    <m/>
    <m/>
    <m/>
    <m/>
    <m/>
  </r>
  <r>
    <n v="23187"/>
    <s v="DLM140311EH0"/>
    <s v="DISTRIBUIDORA LED DE MEXICO"/>
    <m/>
    <x v="1"/>
    <x v="1"/>
    <m/>
    <m/>
    <n v="175.75919999999999"/>
    <n v="170.0728"/>
    <n v="170.0728"/>
    <m/>
    <m/>
    <m/>
    <m/>
    <x v="1"/>
    <m/>
    <m/>
    <m/>
    <m/>
    <m/>
    <m/>
    <s v=" "/>
    <s v=" "/>
    <s v=" "/>
    <s v=" "/>
    <s v=" "/>
    <s v=" "/>
    <s v=" "/>
    <s v=" "/>
    <s v=" "/>
    <s v=" "/>
    <s v=" "/>
    <m/>
    <s v=" "/>
    <s v=" "/>
    <s v=" "/>
    <s v=" "/>
    <s v="NO"/>
    <n v="0"/>
    <n v="0"/>
    <s v="Demasiado Riesgo"/>
    <m/>
    <m/>
    <m/>
    <m/>
    <m/>
    <m/>
  </r>
  <r>
    <m/>
    <m/>
    <s v="CALKINS BURKE AND ZANNIE DE MEXICO"/>
    <m/>
    <x v="1"/>
    <x v="1"/>
    <m/>
    <m/>
    <n v="173.8526"/>
    <n v="168.44040000000001"/>
    <n v="168.44040000000001"/>
    <m/>
    <m/>
    <m/>
    <m/>
    <x v="4"/>
    <m/>
    <m/>
    <m/>
    <m/>
    <m/>
    <m/>
    <s v=" "/>
    <s v=" "/>
    <s v=" "/>
    <s v=" "/>
    <s v=" "/>
    <s v=" "/>
    <s v=" "/>
    <s v=" "/>
    <s v=" "/>
    <s v=" "/>
    <s v=" "/>
    <m/>
    <s v=" "/>
    <s v=" "/>
    <s v=" "/>
    <s v=" "/>
    <s v=" "/>
    <n v="0"/>
    <n v="0"/>
    <s v="Demasiado Riesgo"/>
    <m/>
    <m/>
    <m/>
    <m/>
    <m/>
    <m/>
  </r>
  <r>
    <m/>
    <m/>
    <s v="EOLIS AMERICA LATINA"/>
    <m/>
    <x v="1"/>
    <x v="1"/>
    <m/>
    <m/>
    <n v="176.43199999999999"/>
    <n v="166.04849999999999"/>
    <n v="166.04849999999999"/>
    <m/>
    <m/>
    <m/>
    <m/>
    <x v="0"/>
    <m/>
    <m/>
    <m/>
    <m/>
    <m/>
    <m/>
    <s v=" "/>
    <s v=" "/>
    <s v=" "/>
    <s v=" "/>
    <s v="OP"/>
    <s v=" "/>
    <s v=" "/>
    <s v=" "/>
    <s v=" "/>
    <s v=" "/>
    <s v=" "/>
    <m/>
    <s v=" "/>
    <s v=" "/>
    <s v=" "/>
    <s v=" "/>
    <s v=" "/>
    <n v="0"/>
    <n v="0"/>
    <s v="Demasiado Riesgo"/>
    <m/>
    <m/>
    <m/>
    <m/>
    <m/>
    <m/>
  </r>
  <r>
    <n v="23718"/>
    <s v="UBS100422SZ0"/>
    <s v="UNITED BARCODE SYSTEMS DE MEXICO (UBS)"/>
    <m/>
    <x v="1"/>
    <x v="1"/>
    <m/>
    <m/>
    <n v="167.66749999999999"/>
    <n v="164.43870000000001"/>
    <n v="164.43870000000001"/>
    <m/>
    <m/>
    <m/>
    <m/>
    <x v="1"/>
    <m/>
    <m/>
    <m/>
    <m/>
    <m/>
    <m/>
    <s v="SI"/>
    <s v=" "/>
    <s v=" "/>
    <s v=" "/>
    <s v=" "/>
    <s v=" "/>
    <s v=" "/>
    <s v=" "/>
    <s v=" "/>
    <s v=" "/>
    <s v=" "/>
    <m/>
    <s v=" "/>
    <s v=" "/>
    <s v=" "/>
    <s v=" "/>
    <s v="NO"/>
    <n v="0"/>
    <n v="0"/>
    <s v="Demasiado Riesgo"/>
    <m/>
    <m/>
    <m/>
    <m/>
    <m/>
    <m/>
  </r>
  <r>
    <m/>
    <m/>
    <s v="HOTELES GRAN CLASE"/>
    <m/>
    <x v="1"/>
    <x v="1"/>
    <m/>
    <m/>
    <n v="170.95500000000001"/>
    <n v="162.9177"/>
    <n v="162.9177"/>
    <m/>
    <m/>
    <m/>
    <m/>
    <x v="5"/>
    <m/>
    <m/>
    <m/>
    <m/>
    <m/>
    <m/>
    <s v=" "/>
    <s v=" "/>
    <s v=" "/>
    <s v=" "/>
    <s v=" "/>
    <s v=" "/>
    <s v=" "/>
    <s v=" "/>
    <s v=" "/>
    <s v=" "/>
    <s v=" "/>
    <m/>
    <s v=" "/>
    <s v=" "/>
    <s v=" "/>
    <s v=" "/>
    <s v=" "/>
    <n v="0"/>
    <n v="0"/>
    <s v="Demasiado Riesgo"/>
    <m/>
    <m/>
    <m/>
    <m/>
    <m/>
    <m/>
  </r>
  <r>
    <n v="4911"/>
    <s v="CBS151221DQA"/>
    <s v="CLEAVER BROOKS DE MEXICO"/>
    <m/>
    <x v="1"/>
    <x v="1"/>
    <m/>
    <m/>
    <n v="162.048"/>
    <n v="154.42939999999999"/>
    <n v="154.42939999999999"/>
    <m/>
    <m/>
    <m/>
    <m/>
    <x v="4"/>
    <m/>
    <m/>
    <m/>
    <m/>
    <m/>
    <m/>
    <s v="SI"/>
    <s v=" "/>
    <s v=" "/>
    <s v=" "/>
    <s v=" "/>
    <s v=" "/>
    <s v=" "/>
    <s v=" "/>
    <s v=" "/>
    <s v=" "/>
    <s v=" "/>
    <m/>
    <s v=" "/>
    <s v=" "/>
    <s v=" "/>
    <s v=" "/>
    <s v="NO"/>
    <n v="0"/>
    <n v="0"/>
    <s v="Demasiado Riesgo"/>
    <m/>
    <m/>
    <m/>
    <m/>
    <m/>
    <m/>
  </r>
  <r>
    <n v="26371"/>
    <s v="AAG160805FE9"/>
    <s v="ABASTECEDORA AGRICENTER"/>
    <m/>
    <x v="1"/>
    <x v="1"/>
    <m/>
    <m/>
    <n v="153.41909999999999"/>
    <n v="142.02889999999999"/>
    <n v="142.02889999999999"/>
    <m/>
    <m/>
    <m/>
    <m/>
    <x v="8"/>
    <m/>
    <m/>
    <m/>
    <m/>
    <m/>
    <m/>
    <s v="SI"/>
    <s v=" "/>
    <s v=" "/>
    <s v=" "/>
    <s v=" "/>
    <s v=" "/>
    <s v=" "/>
    <s v=" "/>
    <s v=" "/>
    <s v=" "/>
    <s v=" "/>
    <m/>
    <s v=" "/>
    <s v=" "/>
    <s v=" "/>
    <s v=" "/>
    <s v="NO"/>
    <n v="0"/>
    <n v="0"/>
    <s v="Demasiado Riesgo"/>
    <m/>
    <m/>
    <m/>
    <m/>
    <m/>
    <m/>
  </r>
  <r>
    <n v="27817"/>
    <s v="WME800410SW5"/>
    <s v="INMOBILIARIA INMOBICO"/>
    <m/>
    <x v="1"/>
    <x v="1"/>
    <m/>
    <m/>
    <n v="144.6454"/>
    <n v="140.99289999999999"/>
    <n v="140.99289999999999"/>
    <m/>
    <m/>
    <m/>
    <m/>
    <x v="1"/>
    <m/>
    <m/>
    <m/>
    <m/>
    <m/>
    <m/>
    <s v="SI"/>
    <s v=" "/>
    <s v=" "/>
    <s v=" "/>
    <s v=" "/>
    <s v=" "/>
    <s v=" "/>
    <s v=" "/>
    <s v=" "/>
    <s v=" "/>
    <s v=" "/>
    <m/>
    <s v=" "/>
    <s v=" "/>
    <s v=" "/>
    <s v=" "/>
    <s v="SI"/>
    <n v="0"/>
    <n v="0.5"/>
    <s v="Demasiado Riesgo"/>
    <m/>
    <m/>
    <m/>
    <m/>
    <m/>
    <m/>
  </r>
  <r>
    <n v="26920"/>
    <s v="AFA0610128Q0"/>
    <s v="ACCORD FARMA"/>
    <m/>
    <x v="1"/>
    <x v="1"/>
    <m/>
    <m/>
    <n v="179.9374"/>
    <n v="131.7148"/>
    <n v="131.7148"/>
    <m/>
    <m/>
    <m/>
    <m/>
    <x v="6"/>
    <m/>
    <m/>
    <m/>
    <m/>
    <m/>
    <m/>
    <s v=" "/>
    <s v=" "/>
    <s v=" "/>
    <s v="OP"/>
    <s v=" "/>
    <s v=" "/>
    <s v=" "/>
    <s v=" "/>
    <s v=" "/>
    <s v=" "/>
    <s v=" "/>
    <m/>
    <s v=" "/>
    <s v=" "/>
    <s v=" "/>
    <s v=" "/>
    <s v="NO"/>
    <n v="0"/>
    <n v="0"/>
    <s v="Demasiado Riesgo"/>
    <m/>
    <m/>
    <m/>
    <m/>
    <m/>
    <m/>
  </r>
  <r>
    <m/>
    <m/>
    <s v="JORGE LEAL SEGOVIA"/>
    <m/>
    <x v="1"/>
    <x v="1"/>
    <m/>
    <m/>
    <n v="119.581"/>
    <n v="120.8656"/>
    <n v="120.8656"/>
    <m/>
    <m/>
    <m/>
    <m/>
    <x v="1"/>
    <m/>
    <m/>
    <m/>
    <m/>
    <m/>
    <m/>
    <s v=" "/>
    <s v=" "/>
    <s v=" "/>
    <s v=" "/>
    <s v=" "/>
    <s v=" "/>
    <s v=" "/>
    <s v=" "/>
    <s v=" "/>
    <s v=" "/>
    <s v=" "/>
    <m/>
    <s v=" "/>
    <s v=" "/>
    <s v=" "/>
    <s v=" "/>
    <s v=" "/>
    <n v="0"/>
    <n v="0"/>
    <s v="Demasiado Riesgo"/>
    <m/>
    <m/>
    <m/>
    <m/>
    <m/>
    <m/>
  </r>
  <r>
    <n v="28896"/>
    <s v="PAC070427BJ9"/>
    <s v="PLASCENCIA ACUMULADORES"/>
    <m/>
    <x v="1"/>
    <x v="1"/>
    <m/>
    <m/>
    <n v="124.38339999999999"/>
    <n v="118.5356"/>
    <n v="118.5356"/>
    <m/>
    <m/>
    <m/>
    <m/>
    <x v="0"/>
    <m/>
    <m/>
    <m/>
    <m/>
    <m/>
    <m/>
    <s v=" "/>
    <s v=" "/>
    <s v=" "/>
    <s v="OP"/>
    <s v=" "/>
    <s v=" "/>
    <s v=" "/>
    <s v=" "/>
    <s v=" "/>
    <s v=" "/>
    <s v=" "/>
    <m/>
    <s v=" "/>
    <s v=" "/>
    <s v=" "/>
    <s v=" "/>
    <s v="NO"/>
    <n v="0"/>
    <n v="0"/>
    <s v="Demasiado Riesgo"/>
    <m/>
    <m/>
    <m/>
    <m/>
    <m/>
    <m/>
  </r>
  <r>
    <n v="2418"/>
    <s v="CAG161004AR6"/>
    <s v="CENTROS AUDITIVOS GAES MEXICO"/>
    <m/>
    <x v="1"/>
    <x v="1"/>
    <m/>
    <m/>
    <n v="99"/>
    <n v="105.6"/>
    <n v="105.6"/>
    <m/>
    <m/>
    <m/>
    <m/>
    <x v="1"/>
    <m/>
    <m/>
    <m/>
    <m/>
    <m/>
    <m/>
    <s v="SI"/>
    <s v=" "/>
    <s v=" "/>
    <s v=" "/>
    <s v=" "/>
    <s v=" "/>
    <s v=" "/>
    <s v=" "/>
    <s v=" "/>
    <s v=" "/>
    <s v=" "/>
    <m/>
    <s v=" "/>
    <s v=" "/>
    <s v=" "/>
    <s v=" "/>
    <s v="NO"/>
    <n v="0"/>
    <n v="0"/>
    <s v="Demasiado Riesgo"/>
    <m/>
    <m/>
    <m/>
    <m/>
    <m/>
    <m/>
  </r>
  <r>
    <n v="25626"/>
    <s v="ACO2007247V1"/>
    <s v="ARMAZON CONSTRUCTORA"/>
    <m/>
    <x v="1"/>
    <x v="1"/>
    <m/>
    <m/>
    <n v="103.01"/>
    <n v="104.43300000000001"/>
    <n v="104.43300000000001"/>
    <m/>
    <m/>
    <m/>
    <m/>
    <x v="1"/>
    <m/>
    <m/>
    <m/>
    <m/>
    <m/>
    <m/>
    <s v=" "/>
    <s v=" "/>
    <s v=" "/>
    <s v=" "/>
    <s v=" "/>
    <s v=" "/>
    <s v=" "/>
    <s v=" "/>
    <s v=" "/>
    <s v=" "/>
    <s v=" "/>
    <m/>
    <s v=" "/>
    <s v=" "/>
    <s v=" "/>
    <s v=" "/>
    <s v="NO"/>
    <n v="0"/>
    <n v="0"/>
    <s v="Demasiado Riesgo"/>
    <m/>
    <m/>
    <m/>
    <m/>
    <m/>
    <m/>
  </r>
  <r>
    <n v="25441"/>
    <s v="CCS1407042B3"/>
    <s v="PEOPLE 2.0 MEXICO"/>
    <m/>
    <x v="1"/>
    <x v="1"/>
    <m/>
    <m/>
    <n v="102"/>
    <n v="102"/>
    <n v="102"/>
    <m/>
    <m/>
    <m/>
    <m/>
    <x v="0"/>
    <m/>
    <m/>
    <m/>
    <m/>
    <m/>
    <m/>
    <s v="SI"/>
    <s v=" "/>
    <s v=" "/>
    <s v="NO"/>
    <s v=" "/>
    <s v=" "/>
    <s v=" "/>
    <s v=" "/>
    <s v=" "/>
    <s v=" "/>
    <s v=" "/>
    <m/>
    <s v=" "/>
    <s v=" "/>
    <s v=" "/>
    <s v="OP"/>
    <s v="NO"/>
    <n v="0"/>
    <n v="0"/>
    <s v="Demasiado Riesgo"/>
    <m/>
    <m/>
    <m/>
    <m/>
    <m/>
    <m/>
  </r>
  <r>
    <m/>
    <m/>
    <s v="ECOPLATING MONTERREY"/>
    <s v="ECOPLATING"/>
    <x v="1"/>
    <x v="1"/>
    <m/>
    <m/>
    <n v="97.353999999999999"/>
    <n v="101.9401"/>
    <n v="101.9401"/>
    <m/>
    <m/>
    <m/>
    <m/>
    <x v="0"/>
    <m/>
    <m/>
    <m/>
    <m/>
    <m/>
    <m/>
    <s v="SI"/>
    <s v=" "/>
    <s v=" "/>
    <s v="OP (SIGUIENTE Q)"/>
    <s v=" "/>
    <s v=" "/>
    <s v=" "/>
    <s v=" "/>
    <s v=" "/>
    <s v=" "/>
    <s v=" "/>
    <m/>
    <s v=" "/>
    <s v=" "/>
    <s v=" "/>
    <s v=" "/>
    <s v="NO"/>
    <n v="0"/>
    <n v="0"/>
    <s v="Demasiado Riesgo"/>
    <m/>
    <m/>
    <m/>
    <m/>
    <m/>
    <m/>
  </r>
  <r>
    <m/>
    <m/>
    <s v="EDIFICACIONES GOVA"/>
    <s v="GOVA"/>
    <x v="1"/>
    <x v="1"/>
    <m/>
    <m/>
    <n v="98.632400000000004"/>
    <n v="97.754999999999995"/>
    <n v="97.754999999999995"/>
    <m/>
    <m/>
    <m/>
    <m/>
    <x v="1"/>
    <m/>
    <m/>
    <m/>
    <m/>
    <m/>
    <m/>
    <s v=" "/>
    <s v=" "/>
    <s v=" "/>
    <s v=" "/>
    <s v=" "/>
    <s v=" "/>
    <s v=" "/>
    <s v=" "/>
    <s v=" "/>
    <s v=" "/>
    <s v=" "/>
    <m/>
    <s v=" "/>
    <s v=" "/>
    <s v=" "/>
    <s v=" "/>
    <s v=" "/>
    <n v="0"/>
    <n v="0"/>
    <s v="Demasiado Riesgo"/>
    <m/>
    <m/>
    <m/>
    <m/>
    <m/>
    <m/>
  </r>
  <r>
    <m/>
    <m/>
    <s v="GOVA CH"/>
    <s v="GOVA"/>
    <x v="1"/>
    <x v="1"/>
    <m/>
    <m/>
    <n v="82.851200000000006"/>
    <n v="84.595699999999994"/>
    <n v="84.595699999999994"/>
    <m/>
    <m/>
    <m/>
    <m/>
    <x v="1"/>
    <m/>
    <m/>
    <m/>
    <m/>
    <m/>
    <m/>
    <s v="SI"/>
    <s v=" "/>
    <s v=" "/>
    <s v=" "/>
    <s v=" "/>
    <s v=" "/>
    <s v=" "/>
    <s v=" "/>
    <s v=" "/>
    <s v=" "/>
    <s v=" "/>
    <m/>
    <s v=" "/>
    <s v=" "/>
    <s v=" "/>
    <s v=" "/>
    <s v="NO"/>
    <n v="0"/>
    <n v="0"/>
    <s v="Demasiado Riesgo"/>
    <m/>
    <m/>
    <m/>
    <m/>
    <m/>
    <m/>
  </r>
  <r>
    <m/>
    <m/>
    <s v="LOMAS VERDES 21 Y ASOCIADOS"/>
    <s v="INMOBICO"/>
    <x v="1"/>
    <x v="1"/>
    <m/>
    <m/>
    <n v="87.795599999999993"/>
    <n v="83.667900000000003"/>
    <n v="83.667900000000003"/>
    <m/>
    <m/>
    <m/>
    <m/>
    <x v="1"/>
    <m/>
    <m/>
    <m/>
    <m/>
    <m/>
    <m/>
    <s v="SI"/>
    <s v=" "/>
    <s v=" "/>
    <s v=" "/>
    <s v=" "/>
    <s v=" "/>
    <s v=" "/>
    <s v=" "/>
    <s v=" "/>
    <s v=" "/>
    <s v=" "/>
    <m/>
    <s v=" "/>
    <s v=" "/>
    <s v=" "/>
    <s v=" "/>
    <s v="SI"/>
    <n v="0"/>
    <n v="0.5"/>
    <s v="Demasiado Riesgo"/>
    <m/>
    <m/>
    <m/>
    <m/>
    <m/>
    <m/>
  </r>
  <r>
    <n v="23195"/>
    <s v="FSC230418V26"/>
    <s v="FEMPA SERVICIOS DE COMIDA"/>
    <m/>
    <x v="1"/>
    <x v="1"/>
    <m/>
    <m/>
    <n v="86.409899999999993"/>
    <n v="82.347499999999997"/>
    <n v="82.347499999999997"/>
    <m/>
    <m/>
    <m/>
    <m/>
    <x v="4"/>
    <m/>
    <m/>
    <m/>
    <m/>
    <m/>
    <m/>
    <s v="SI"/>
    <s v=" "/>
    <s v=" "/>
    <s v=" "/>
    <s v=" "/>
    <s v=" "/>
    <s v=" "/>
    <s v=" "/>
    <s v=" "/>
    <s v=" "/>
    <s v=" "/>
    <m/>
    <s v=" "/>
    <s v=" "/>
    <s v=" "/>
    <s v=" "/>
    <s v="NO"/>
    <n v="0"/>
    <n v="0"/>
    <s v="Demasiado Riesgo"/>
    <m/>
    <m/>
    <m/>
    <m/>
    <m/>
    <m/>
  </r>
  <r>
    <n v="27159"/>
    <s v="EVN190625UL5"/>
    <s v="ENERGIA VERDE Y NEGOCIOS SUSTENTABLES"/>
    <m/>
    <x v="1"/>
    <x v="1"/>
    <m/>
    <m/>
    <n v="71.389099999999999"/>
    <n v="70.094399999999993"/>
    <n v="70.094399999999993"/>
    <m/>
    <m/>
    <m/>
    <m/>
    <x v="2"/>
    <m/>
    <m/>
    <m/>
    <m/>
    <m/>
    <s v="No utiliza el servicio, dejó de responder"/>
    <s v=" "/>
    <s v=" "/>
    <s v=" "/>
    <s v=" "/>
    <s v=" "/>
    <s v=" "/>
    <s v=" "/>
    <s v=" "/>
    <s v=" "/>
    <s v=" "/>
    <s v=" "/>
    <m/>
    <s v=" "/>
    <s v=" "/>
    <s v=" "/>
    <s v=" "/>
    <s v=" "/>
    <n v="0"/>
    <n v="0"/>
    <s v="Demasiado Riesgo"/>
    <m/>
    <m/>
    <m/>
    <m/>
    <m/>
    <m/>
  </r>
  <r>
    <n v="24294"/>
    <s v="GFE940613MZ5"/>
    <s v="GRUPO FERTINAL"/>
    <m/>
    <x v="1"/>
    <x v="1"/>
    <m/>
    <m/>
    <n v="66.063999999999993"/>
    <n v="62.957999999999998"/>
    <n v="62.957999999999998"/>
    <m/>
    <m/>
    <m/>
    <m/>
    <x v="1"/>
    <m/>
    <m/>
    <m/>
    <m/>
    <m/>
    <m/>
    <s v="NO"/>
    <s v=" "/>
    <s v=" "/>
    <s v=" "/>
    <s v=" "/>
    <s v=" "/>
    <s v=" "/>
    <s v="OK"/>
    <s v=" "/>
    <s v=" "/>
    <s v=" "/>
    <m/>
    <s v=" "/>
    <s v=" "/>
    <s v=" "/>
    <s v=" "/>
    <s v="NO"/>
    <n v="1"/>
    <n v="1"/>
    <s v="Riesgo Medio"/>
    <m/>
    <m/>
    <m/>
    <m/>
    <m/>
    <m/>
  </r>
  <r>
    <n v="25247"/>
    <s v="VAL140908J22"/>
    <s v="VALLELOZA"/>
    <m/>
    <x v="1"/>
    <x v="1"/>
    <m/>
    <m/>
    <n v="57.6066"/>
    <n v="54.898299999999999"/>
    <n v="54.898299999999999"/>
    <m/>
    <m/>
    <m/>
    <m/>
    <x v="4"/>
    <m/>
    <m/>
    <m/>
    <m/>
    <m/>
    <m/>
    <s v=" "/>
    <s v=" "/>
    <s v=" "/>
    <s v=" "/>
    <s v=" "/>
    <s v=" "/>
    <s v=" "/>
    <s v=" "/>
    <s v=" "/>
    <s v=" "/>
    <s v=" "/>
    <m/>
    <s v=" "/>
    <s v=" "/>
    <s v=" "/>
    <s v=" "/>
    <s v="NO"/>
    <n v="0"/>
    <n v="0"/>
    <s v="Demasiado Riesgo"/>
    <m/>
    <m/>
    <m/>
    <m/>
    <m/>
    <m/>
  </r>
  <r>
    <m/>
    <m/>
    <s v="MONICA ESPINOSA CABRERA"/>
    <s v="LOS TARASCOS PUEBLA"/>
    <x v="1"/>
    <x v="1"/>
    <m/>
    <m/>
    <n v="56.345599999999997"/>
    <n v="50.116799999999998"/>
    <n v="50.116799999999998"/>
    <m/>
    <m/>
    <m/>
    <m/>
    <x v="0"/>
    <m/>
    <m/>
    <m/>
    <m/>
    <m/>
    <m/>
    <s v="SI"/>
    <s v=" "/>
    <s v=" "/>
    <s v="OP"/>
    <s v="OP"/>
    <s v=" "/>
    <s v=" "/>
    <s v=" "/>
    <s v=" "/>
    <s v=" "/>
    <s v=" "/>
    <m/>
    <s v=" "/>
    <s v=" "/>
    <s v=" "/>
    <s v=" "/>
    <s v="NO"/>
    <n v="0"/>
    <n v="0"/>
    <s v="Demasiado Riesgo"/>
    <m/>
    <m/>
    <m/>
    <m/>
    <m/>
    <m/>
  </r>
  <r>
    <m/>
    <m/>
    <s v="GLIDER RIO BRAVO"/>
    <s v="INMOBICO"/>
    <x v="1"/>
    <x v="1"/>
    <m/>
    <m/>
    <n v="45.549399999999999"/>
    <n v="46.555799999999998"/>
    <n v="46.555799999999998"/>
    <m/>
    <m/>
    <m/>
    <m/>
    <x v="1"/>
    <m/>
    <m/>
    <m/>
    <m/>
    <m/>
    <m/>
    <s v=" "/>
    <s v=" "/>
    <s v=" "/>
    <s v=" "/>
    <s v=" "/>
    <s v=" "/>
    <s v=" "/>
    <s v=" "/>
    <s v=" "/>
    <s v=" "/>
    <s v=" "/>
    <m/>
    <s v=" "/>
    <s v=" "/>
    <s v=" "/>
    <s v=" "/>
    <s v=" "/>
    <n v="0"/>
    <n v="0"/>
    <s v="Demasiado Riesgo"/>
    <m/>
    <m/>
    <m/>
    <m/>
    <m/>
    <m/>
  </r>
  <r>
    <m/>
    <m/>
    <s v="JOSE JUAN ESPINOSA SANCHEZ"/>
    <s v="LOS TARASCOS PUEBLA"/>
    <x v="1"/>
    <x v="1"/>
    <m/>
    <m/>
    <n v="39.441899999999997"/>
    <n v="35.797699999999999"/>
    <n v="35.797699999999999"/>
    <m/>
    <m/>
    <m/>
    <m/>
    <x v="0"/>
    <m/>
    <m/>
    <m/>
    <m/>
    <m/>
    <m/>
    <s v="SI"/>
    <s v=" "/>
    <s v=" "/>
    <s v="OP"/>
    <s v="OP"/>
    <s v=" "/>
    <s v=" "/>
    <s v=" "/>
    <s v=" "/>
    <s v=" "/>
    <s v=" "/>
    <m/>
    <s v=" "/>
    <s v=" "/>
    <s v=" "/>
    <s v=" "/>
    <s v="NO"/>
    <n v="0"/>
    <n v="0"/>
    <s v="Demasiado Riesgo"/>
    <m/>
    <m/>
    <m/>
    <m/>
    <m/>
    <m/>
  </r>
  <r>
    <m/>
    <m/>
    <s v="GUADALUPE GONZALEZ ZAMARRIPA"/>
    <m/>
    <x v="1"/>
    <x v="1"/>
    <m/>
    <m/>
    <n v="30.050999999999998"/>
    <n v="28.638200000000001"/>
    <n v="28.638200000000001"/>
    <m/>
    <m/>
    <m/>
    <m/>
    <x v="5"/>
    <m/>
    <m/>
    <m/>
    <m/>
    <m/>
    <m/>
    <s v=" "/>
    <s v=" "/>
    <s v=" "/>
    <s v=" "/>
    <s v=" "/>
    <s v=" "/>
    <s v=" "/>
    <s v=" "/>
    <s v=" "/>
    <s v=" "/>
    <s v=" "/>
    <m/>
    <s v=" "/>
    <s v=" "/>
    <s v=" "/>
    <s v=" "/>
    <s v=" "/>
    <n v="0"/>
    <n v="0"/>
    <s v="Demasiado Riesgo"/>
    <m/>
    <m/>
    <m/>
    <m/>
    <m/>
    <m/>
  </r>
  <r>
    <m/>
    <m/>
    <s v="CCI PLANIGRUPO II"/>
    <s v="INMOBICO"/>
    <x v="1"/>
    <x v="1"/>
    <m/>
    <m/>
    <n v="29.0334"/>
    <n v="27.668399999999998"/>
    <n v="27.668399999999998"/>
    <m/>
    <m/>
    <m/>
    <m/>
    <x v="1"/>
    <m/>
    <m/>
    <m/>
    <m/>
    <m/>
    <m/>
    <s v=" "/>
    <s v=" "/>
    <s v=" "/>
    <s v=" "/>
    <s v=" "/>
    <s v=" "/>
    <s v=" "/>
    <s v=" "/>
    <s v=" "/>
    <s v=" "/>
    <s v=" "/>
    <m/>
    <s v=" "/>
    <s v=" "/>
    <s v=" "/>
    <s v=" "/>
    <s v=" "/>
    <n v="0"/>
    <n v="0"/>
    <s v="Demasiado Riesgo"/>
    <m/>
    <m/>
    <m/>
    <m/>
    <m/>
    <m/>
  </r>
  <r>
    <m/>
    <m/>
    <s v="CCI PLANIGRUPO III"/>
    <s v="INMOBICO"/>
    <x v="1"/>
    <x v="1"/>
    <m/>
    <m/>
    <n v="29.0334"/>
    <n v="27.668399999999998"/>
    <n v="27.668399999999998"/>
    <m/>
    <m/>
    <m/>
    <m/>
    <x v="1"/>
    <m/>
    <m/>
    <m/>
    <m/>
    <m/>
    <m/>
    <s v=" "/>
    <s v=" "/>
    <s v=" "/>
    <s v=" "/>
    <s v=" "/>
    <s v=" "/>
    <s v=" "/>
    <s v=" "/>
    <s v=" "/>
    <s v=" "/>
    <s v=" "/>
    <m/>
    <s v=" "/>
    <s v=" "/>
    <s v=" "/>
    <s v=" "/>
    <s v=" "/>
    <n v="0"/>
    <n v="0"/>
    <s v="Demasiado Riesgo"/>
    <m/>
    <m/>
    <m/>
    <m/>
    <m/>
    <m/>
  </r>
  <r>
    <m/>
    <m/>
    <s v="IMPULSORA DE COMERCIO BUGAMBILIAS"/>
    <s v="INMOBICO"/>
    <x v="1"/>
    <x v="1"/>
    <m/>
    <m/>
    <n v="29.0334"/>
    <n v="27.668399999999998"/>
    <n v="27.668399999999998"/>
    <m/>
    <m/>
    <m/>
    <m/>
    <x v="1"/>
    <m/>
    <m/>
    <m/>
    <m/>
    <m/>
    <m/>
    <s v=" "/>
    <s v=" "/>
    <s v=" "/>
    <s v=" "/>
    <s v=" "/>
    <s v=" "/>
    <s v=" "/>
    <s v=" "/>
    <s v=" "/>
    <s v=" "/>
    <s v=" "/>
    <m/>
    <s v=" "/>
    <s v=" "/>
    <s v=" "/>
    <s v=" "/>
    <s v=" "/>
    <n v="0"/>
    <n v="0"/>
    <s v="Demasiado Riesgo"/>
    <m/>
    <m/>
    <m/>
    <m/>
    <m/>
    <m/>
  </r>
  <r>
    <m/>
    <m/>
    <s v="CENTROS URBANOS GOVA"/>
    <s v="GOVA"/>
    <x v="1"/>
    <x v="1"/>
    <m/>
    <m/>
    <n v="21.699100000000001"/>
    <n v="20.678999999999998"/>
    <n v="20.678999999999998"/>
    <m/>
    <m/>
    <m/>
    <m/>
    <x v="1"/>
    <m/>
    <m/>
    <m/>
    <m/>
    <m/>
    <m/>
    <s v=" "/>
    <s v=" "/>
    <s v=" "/>
    <s v=" "/>
    <s v=" "/>
    <s v=" "/>
    <s v=" "/>
    <s v=" "/>
    <s v=" "/>
    <s v=" "/>
    <s v=" "/>
    <m/>
    <s v=" "/>
    <s v=" "/>
    <s v=" "/>
    <s v=" "/>
    <s v=" "/>
    <n v="0"/>
    <n v="0"/>
    <s v="Demasiado Riesgo"/>
    <m/>
    <m/>
    <m/>
    <m/>
    <m/>
    <m/>
  </r>
  <r>
    <m/>
    <m/>
    <s v="JOSE EMILIO ESPINOSA CABRERA"/>
    <s v="LOS TARASCOS PUEBLA"/>
    <x v="1"/>
    <x v="1"/>
    <m/>
    <m/>
    <n v="16.903700000000001"/>
    <n v="19.688700000000001"/>
    <n v="19.688700000000001"/>
    <m/>
    <m/>
    <m/>
    <m/>
    <x v="0"/>
    <m/>
    <m/>
    <m/>
    <m/>
    <m/>
    <m/>
    <s v="SI"/>
    <s v=" "/>
    <s v=" "/>
    <s v="OP"/>
    <s v="OP"/>
    <s v=" "/>
    <s v=" "/>
    <s v=" "/>
    <s v=" "/>
    <s v=" "/>
    <s v=" "/>
    <m/>
    <s v=" "/>
    <s v=" "/>
    <s v=" "/>
    <s v=" "/>
    <s v="NO"/>
    <n v="0"/>
    <n v="0"/>
    <s v="Demasiado Riesgo"/>
    <m/>
    <m/>
    <m/>
    <m/>
    <m/>
    <m/>
  </r>
  <r>
    <n v="18593"/>
    <s v="SSO180716CI3"/>
    <s v="TADA (PARTNER) - SENSAI SOFTWARE"/>
    <m/>
    <x v="1"/>
    <x v="1"/>
    <m/>
    <m/>
    <n v="521.84749999999997"/>
    <m/>
    <n v="0"/>
    <m/>
    <m/>
    <m/>
    <m/>
    <x v="5"/>
    <m/>
    <m/>
    <m/>
    <m/>
    <m/>
    <m/>
    <s v=" "/>
    <s v=" "/>
    <s v=" "/>
    <s v=" "/>
    <s v=" "/>
    <s v=" "/>
    <s v=" "/>
    <s v=" "/>
    <s v=" "/>
    <s v=" "/>
    <s v=" "/>
    <m/>
    <s v=" "/>
    <s v=" "/>
    <s v=" "/>
    <s v=" "/>
    <s v="NO"/>
    <n v="0"/>
    <n v="0"/>
    <s v="Demasiado Riesgo"/>
    <m/>
    <m/>
    <m/>
    <m/>
    <m/>
    <m/>
  </r>
  <r>
    <m/>
    <m/>
    <s v="ASADOR CITY WOK MEXICO ZHOU ZHAO AL"/>
    <m/>
    <x v="1"/>
    <x v="1"/>
    <m/>
    <m/>
    <n v="174.55199999999999"/>
    <m/>
    <n v="0"/>
    <m/>
    <m/>
    <m/>
    <m/>
    <x v="3"/>
    <m/>
    <m/>
    <m/>
    <m/>
    <m/>
    <m/>
    <s v=" "/>
    <s v=" "/>
    <s v=" "/>
    <s v=" "/>
    <s v=" "/>
    <s v=" "/>
    <s v=" "/>
    <s v=" "/>
    <s v=" "/>
    <s v=" "/>
    <s v=" "/>
    <m/>
    <s v=" "/>
    <s v=" "/>
    <s v=" "/>
    <s v=" "/>
    <s v="NO"/>
    <n v="0"/>
    <n v="0"/>
    <s v="Demasiado Riesgo"/>
    <m/>
    <m/>
    <m/>
    <m/>
    <m/>
    <m/>
  </r>
  <r>
    <n v="20141"/>
    <s v="OGA101029LS3"/>
    <s v="OPERADORA DE GRANOS Y ALMACENES"/>
    <m/>
    <x v="1"/>
    <x v="1"/>
    <m/>
    <m/>
    <n v="250.93180000000001"/>
    <m/>
    <n v="0"/>
    <m/>
    <m/>
    <m/>
    <m/>
    <x v="3"/>
    <m/>
    <m/>
    <m/>
    <m/>
    <m/>
    <m/>
    <s v="SI"/>
    <s v=" "/>
    <s v=" "/>
    <s v=" "/>
    <s v=" "/>
    <s v=" "/>
    <s v=" "/>
    <s v=" "/>
    <s v=" "/>
    <s v=" "/>
    <s v=" "/>
    <m/>
    <s v=" "/>
    <s v=" "/>
    <s v=" "/>
    <s v=" "/>
    <s v="NO"/>
    <n v="0"/>
    <n v="0"/>
    <s v="Demasiado Riesgo"/>
    <m/>
    <m/>
    <m/>
    <m/>
    <m/>
    <m/>
  </r>
  <r>
    <m/>
    <m/>
    <s v="CONGELADORA COMFRUT"/>
    <m/>
    <x v="0"/>
    <x v="2"/>
    <m/>
    <m/>
    <n v="1069.5854999999999"/>
    <n v="319.36290000000002"/>
    <n v="319.36290000000002"/>
    <m/>
    <m/>
    <m/>
    <m/>
    <x v="5"/>
    <m/>
    <m/>
    <m/>
    <m/>
    <m/>
    <m/>
    <s v=" "/>
    <s v=" "/>
    <s v=" "/>
    <s v=" "/>
    <s v=" "/>
    <s v=" "/>
    <s v=" "/>
    <s v=" "/>
    <s v=" "/>
    <s v=" "/>
    <s v=" "/>
    <m/>
    <s v=" "/>
    <s v=" "/>
    <s v=" "/>
    <s v=" "/>
    <s v=" "/>
    <n v="0"/>
    <n v="0"/>
    <s v="Demasiado Riesgo"/>
    <m/>
    <m/>
    <m/>
    <m/>
    <m/>
    <m/>
  </r>
  <r>
    <m/>
    <m/>
    <s v="TECNO ESPECIALIZADOS KIURT(Partner)"/>
    <s v="TECNO ESPECIALIZADOS KIURT"/>
    <x v="0"/>
    <x v="3"/>
    <m/>
    <m/>
    <n v="2862.7723999999998"/>
    <n v="2889.4423999999999"/>
    <n v="2889.4423999999999"/>
    <m/>
    <m/>
    <m/>
    <m/>
    <x v="5"/>
    <m/>
    <m/>
    <m/>
    <m/>
    <m/>
    <m/>
    <s v=" "/>
    <s v=" "/>
    <s v=" "/>
    <s v=" "/>
    <s v=" "/>
    <s v=" "/>
    <s v=" "/>
    <s v=" "/>
    <s v=" "/>
    <s v=" "/>
    <s v=" "/>
    <m/>
    <s v=" "/>
    <s v=" "/>
    <s v=" "/>
    <s v=" "/>
    <s v=" "/>
    <n v="0"/>
    <n v="0"/>
    <s v="Demasiado Riesgo"/>
    <m/>
    <m/>
    <m/>
    <m/>
    <m/>
    <m/>
  </r>
  <r>
    <m/>
    <m/>
    <s v="PRODUCTOS INTERNACIONALES MABE"/>
    <s v="SOFTYS"/>
    <x v="0"/>
    <x v="3"/>
    <m/>
    <m/>
    <n v="2338"/>
    <n v="2338"/>
    <n v="2338"/>
    <m/>
    <m/>
    <m/>
    <m/>
    <x v="1"/>
    <m/>
    <s v="2. Videollamada"/>
    <s v="Diario"/>
    <m/>
    <m/>
    <m/>
    <s v="SI"/>
    <s v=" "/>
    <s v=" "/>
    <s v=" "/>
    <s v=" "/>
    <s v=" "/>
    <s v=" "/>
    <s v="OK"/>
    <s v="OK"/>
    <s v=" "/>
    <s v=" "/>
    <m/>
    <s v=" "/>
    <s v=" "/>
    <s v=" "/>
    <s v=" "/>
    <s v="NO"/>
    <n v="2"/>
    <n v="2"/>
    <s v="Riesgo Medio"/>
    <m/>
    <m/>
    <m/>
    <m/>
    <m/>
    <m/>
  </r>
  <r>
    <m/>
    <m/>
    <s v="OPERADORA URIMAR"/>
    <m/>
    <x v="0"/>
    <x v="4"/>
    <m/>
    <m/>
    <m/>
    <n v="1585.5482999999999"/>
    <n v="1585.5482999999999"/>
    <m/>
    <m/>
    <m/>
    <m/>
    <x v="5"/>
    <m/>
    <m/>
    <m/>
    <m/>
    <m/>
    <m/>
    <s v=" "/>
    <s v=" "/>
    <s v=" "/>
    <s v=" "/>
    <s v=" "/>
    <s v=" "/>
    <s v=" "/>
    <s v=" "/>
    <s v=" "/>
    <s v=" "/>
    <s v=" "/>
    <m/>
    <s v=" "/>
    <s v=" "/>
    <s v=" "/>
    <s v=" "/>
    <s v=" "/>
    <n v="0"/>
    <n v="0"/>
    <s v="Demasiado Riesgo"/>
    <m/>
    <m/>
    <m/>
    <m/>
    <m/>
    <m/>
  </r>
  <r>
    <m/>
    <m/>
    <s v="GRUPO AVICOLA QUIÑONES (IMPLEMENTANDO)"/>
    <m/>
    <x v="0"/>
    <x v="0"/>
    <m/>
    <m/>
    <m/>
    <n v="1573.9508000000001"/>
    <n v="1573.9508000000001"/>
    <m/>
    <m/>
    <m/>
    <m/>
    <x v="5"/>
    <m/>
    <m/>
    <m/>
    <m/>
    <m/>
    <m/>
    <s v=" "/>
    <s v=" "/>
    <s v=" "/>
    <s v=" "/>
    <s v=" "/>
    <s v=" "/>
    <s v=" "/>
    <s v=" "/>
    <s v=" "/>
    <s v=" "/>
    <s v=" "/>
    <m/>
    <s v=" "/>
    <s v=" "/>
    <s v=" "/>
    <s v=" "/>
    <s v=" "/>
    <n v="0"/>
    <n v="0"/>
    <s v="Demasiado Riesgo"/>
    <m/>
    <m/>
    <m/>
    <m/>
    <m/>
    <m/>
  </r>
  <r>
    <m/>
    <m/>
    <s v="GRUPO EMPRESARIAL ARAN (Prestamo Yes)"/>
    <m/>
    <x v="0"/>
    <x v="3"/>
    <m/>
    <m/>
    <n v="1310.153"/>
    <n v="1213.8198"/>
    <n v="1213.8198"/>
    <m/>
    <m/>
    <m/>
    <s v="Banco y Finanzas"/>
    <x v="5"/>
    <m/>
    <m/>
    <m/>
    <m/>
    <m/>
    <m/>
    <s v=" "/>
    <s v=" "/>
    <s v=" "/>
    <s v=" "/>
    <s v=" "/>
    <s v=" "/>
    <s v=" "/>
    <s v=" "/>
    <s v=" "/>
    <s v=" "/>
    <s v=" "/>
    <m/>
    <s v=" "/>
    <s v=" "/>
    <s v=" "/>
    <s v=" "/>
    <s v=" "/>
    <n v="0"/>
    <n v="0"/>
    <s v="Demasiado Riesgo"/>
    <m/>
    <m/>
    <m/>
    <m/>
    <m/>
    <m/>
  </r>
  <r>
    <m/>
    <m/>
    <s v="CORPORATE TRAVEL SERVICES WORLDWIDE (Altour)"/>
    <m/>
    <x v="0"/>
    <x v="4"/>
    <m/>
    <m/>
    <n v="1220.4450999999999"/>
    <n v="1113.3631"/>
    <n v="1113.3631"/>
    <m/>
    <m/>
    <m/>
    <m/>
    <x v="5"/>
    <m/>
    <m/>
    <m/>
    <m/>
    <m/>
    <m/>
    <s v=" "/>
    <s v=" "/>
    <s v=" "/>
    <s v=" "/>
    <s v=" "/>
    <s v=" "/>
    <s v=" "/>
    <s v=" "/>
    <s v=" "/>
    <s v=" "/>
    <s v=" "/>
    <m/>
    <s v=" "/>
    <s v=" "/>
    <s v=" "/>
    <s v=" "/>
    <s v=" "/>
    <n v="0"/>
    <n v="0"/>
    <s v="Demasiado Riesgo"/>
    <m/>
    <m/>
    <m/>
    <m/>
    <m/>
    <m/>
  </r>
  <r>
    <m/>
    <m/>
    <s v="SERVICIOS LESETAV (Cuchara y tenedor)"/>
    <m/>
    <x v="0"/>
    <x v="4"/>
    <m/>
    <m/>
    <m/>
    <n v="900.74170000000004"/>
    <n v="900.74170000000004"/>
    <m/>
    <m/>
    <m/>
    <m/>
    <x v="5"/>
    <m/>
    <m/>
    <m/>
    <m/>
    <m/>
    <m/>
    <s v=" "/>
    <s v=" "/>
    <s v=" "/>
    <s v=" "/>
    <s v=" "/>
    <s v=" "/>
    <s v=" "/>
    <s v=" "/>
    <s v=" "/>
    <s v=" "/>
    <s v=" "/>
    <m/>
    <s v=" "/>
    <s v=" "/>
    <s v=" "/>
    <s v=" "/>
    <s v=" "/>
    <n v="0"/>
    <n v="0"/>
    <s v="Demasiado Riesgo"/>
    <m/>
    <m/>
    <m/>
    <m/>
    <m/>
    <m/>
  </r>
  <r>
    <m/>
    <m/>
    <s v="TIENDAS TROPICALES (Cinco Soles)"/>
    <m/>
    <x v="0"/>
    <x v="4"/>
    <m/>
    <m/>
    <n v="868.46140000000003"/>
    <n v="869.20190000000002"/>
    <n v="869.20190000000002"/>
    <m/>
    <m/>
    <m/>
    <m/>
    <x v="5"/>
    <m/>
    <m/>
    <m/>
    <m/>
    <m/>
    <m/>
    <s v=" "/>
    <s v=" "/>
    <s v=" "/>
    <s v=" "/>
    <s v=" "/>
    <s v=" "/>
    <s v=" "/>
    <s v=" "/>
    <s v=" "/>
    <s v=" "/>
    <s v=" "/>
    <m/>
    <s v=" "/>
    <s v=" "/>
    <s v=" "/>
    <s v=" "/>
    <s v=" "/>
    <n v="0"/>
    <n v="0"/>
    <s v="Demasiado Riesgo"/>
    <m/>
    <m/>
    <m/>
    <m/>
    <m/>
    <m/>
  </r>
  <r>
    <m/>
    <m/>
    <s v="NEWREST CATERING MEXICO"/>
    <m/>
    <x v="0"/>
    <x v="3"/>
    <m/>
    <m/>
    <m/>
    <n v="834.63580000000002"/>
    <n v="834.63580000000002"/>
    <n v="2244"/>
    <n v="5500"/>
    <m/>
    <s v="Outsourcing General"/>
    <x v="4"/>
    <m/>
    <s v="5. Mail"/>
    <m/>
    <m/>
    <m/>
    <m/>
    <s v=" "/>
    <s v=" "/>
    <s v=" "/>
    <s v=" "/>
    <s v=" "/>
    <s v=" "/>
    <s v=" "/>
    <s v=" "/>
    <s v=" "/>
    <s v=" "/>
    <s v=" "/>
    <m/>
    <s v=" "/>
    <s v=" "/>
    <s v=" "/>
    <s v=" "/>
    <s v=" "/>
    <n v="0"/>
    <n v="0"/>
    <s v="Demasiado Riesgo"/>
    <m/>
    <m/>
    <m/>
    <m/>
    <m/>
    <m/>
  </r>
  <r>
    <m/>
    <m/>
    <s v="ALMACENADORA SUR SA DE CV ORGANIZACION AUXILIAR DEL CREDITO"/>
    <m/>
    <x v="0"/>
    <x v="4"/>
    <m/>
    <m/>
    <m/>
    <n v="770.07619999999997"/>
    <n v="770.07619999999997"/>
    <m/>
    <m/>
    <m/>
    <m/>
    <x v="5"/>
    <m/>
    <m/>
    <m/>
    <m/>
    <m/>
    <m/>
    <s v=" "/>
    <s v=" "/>
    <s v=" "/>
    <s v=" "/>
    <s v=" "/>
    <s v=" "/>
    <s v=" "/>
    <s v=" "/>
    <s v=" "/>
    <s v=" "/>
    <s v=" "/>
    <m/>
    <s v=" "/>
    <s v=" "/>
    <s v=" "/>
    <s v=" "/>
    <s v=" "/>
    <n v="0"/>
    <n v="0"/>
    <s v="Demasiado Riesgo"/>
    <m/>
    <m/>
    <m/>
    <m/>
    <m/>
    <m/>
  </r>
  <r>
    <m/>
    <m/>
    <s v="COMBUSTIBLES ECOLOGICOS MEXICANOS (VI Group, implementando)"/>
    <m/>
    <x v="0"/>
    <x v="5"/>
    <m/>
    <m/>
    <n v="782.33659999999998"/>
    <n v="745.5557"/>
    <n v="745.5557"/>
    <m/>
    <m/>
    <m/>
    <m/>
    <x v="5"/>
    <m/>
    <m/>
    <m/>
    <m/>
    <m/>
    <m/>
    <s v=" "/>
    <s v=" "/>
    <s v=" "/>
    <s v=" "/>
    <s v=" "/>
    <s v=" "/>
    <s v=" "/>
    <s v=" "/>
    <s v=" "/>
    <s v=" "/>
    <s v=" "/>
    <m/>
    <s v=" "/>
    <s v=" "/>
    <s v=" "/>
    <s v=" "/>
    <s v=" "/>
    <n v="0"/>
    <n v="0"/>
    <s v="Demasiado Riesgo"/>
    <m/>
    <m/>
    <m/>
    <m/>
    <m/>
    <m/>
  </r>
  <r>
    <m/>
    <m/>
    <s v="BARRADAS REFRIGERACION COMERCIAL"/>
    <m/>
    <x v="0"/>
    <x v="3"/>
    <m/>
    <m/>
    <n v="707.00049999999999"/>
    <n v="680.66470000000004"/>
    <n v="680.66470000000004"/>
    <m/>
    <m/>
    <m/>
    <m/>
    <x v="4"/>
    <m/>
    <s v="5. Mail"/>
    <m/>
    <m/>
    <m/>
    <m/>
    <s v=" "/>
    <s v=" "/>
    <s v=" "/>
    <s v=" "/>
    <s v=" "/>
    <s v=" "/>
    <s v=" "/>
    <s v=" "/>
    <s v=" "/>
    <s v=" "/>
    <s v=" "/>
    <m/>
    <s v=" "/>
    <s v=" "/>
    <s v=" "/>
    <s v=" "/>
    <s v=" "/>
    <n v="0"/>
    <n v="0"/>
    <s v="Demasiado Riesgo"/>
    <m/>
    <m/>
    <m/>
    <m/>
    <m/>
    <m/>
  </r>
  <r>
    <m/>
    <m/>
    <s v="DESARROLLO INTEGRAL ADMINISTRATIVO LUAN (Grupo IPS)"/>
    <m/>
    <x v="0"/>
    <x v="1"/>
    <m/>
    <m/>
    <n v="788.01580000000001"/>
    <n v="644.27049999999997"/>
    <n v="644.27049999999997"/>
    <n v="300"/>
    <n v="500"/>
    <m/>
    <s v="Servicios"/>
    <x v="5"/>
    <m/>
    <m/>
    <m/>
    <m/>
    <m/>
    <m/>
    <s v=" "/>
    <s v=" "/>
    <s v=" "/>
    <s v=" "/>
    <s v=" "/>
    <s v=" "/>
    <s v=" "/>
    <s v=" "/>
    <s v=" "/>
    <s v=" "/>
    <s v=" "/>
    <m/>
    <s v=" "/>
    <s v=" "/>
    <s v=" "/>
    <s v=" "/>
    <s v=" "/>
    <n v="0"/>
    <n v="0"/>
    <s v="Demasiado Riesgo"/>
    <m/>
    <m/>
    <m/>
    <m/>
    <m/>
    <m/>
  </r>
  <r>
    <m/>
    <m/>
    <s v="C. &amp; G. OFTALMOLOGOS (San Angel Oftalmologica)"/>
    <m/>
    <x v="0"/>
    <x v="1"/>
    <m/>
    <m/>
    <n v="536.26559999999995"/>
    <n v="521.59069999999997"/>
    <n v="521.59069999999997"/>
    <m/>
    <m/>
    <m/>
    <m/>
    <x v="5"/>
    <m/>
    <m/>
    <m/>
    <m/>
    <m/>
    <m/>
    <s v=" "/>
    <s v=" "/>
    <s v=" "/>
    <s v=" "/>
    <s v=" "/>
    <s v=" "/>
    <s v=" "/>
    <s v=" "/>
    <s v=" "/>
    <s v=" "/>
    <s v=" "/>
    <m/>
    <s v=" "/>
    <s v=" "/>
    <s v=" "/>
    <s v=" "/>
    <s v=" "/>
    <n v="0"/>
    <n v="0"/>
    <s v="Demasiado Riesgo"/>
    <m/>
    <m/>
    <m/>
    <m/>
    <m/>
    <m/>
  </r>
  <r>
    <m/>
    <m/>
    <s v="TECH BUKERS (BUK)"/>
    <m/>
    <x v="0"/>
    <x v="5"/>
    <m/>
    <m/>
    <n v="525.14020000000005"/>
    <n v="500.45119999999997"/>
    <n v="500.45119999999997"/>
    <m/>
    <m/>
    <m/>
    <m/>
    <x v="5"/>
    <m/>
    <m/>
    <m/>
    <m/>
    <m/>
    <m/>
    <s v=" "/>
    <s v=" "/>
    <s v=" "/>
    <s v=" "/>
    <s v=" "/>
    <s v=" "/>
    <s v=" "/>
    <s v=" "/>
    <s v=" "/>
    <s v=" "/>
    <s v=" "/>
    <m/>
    <s v=" "/>
    <s v=" "/>
    <s v=" "/>
    <s v=" "/>
    <s v=" "/>
    <n v="0"/>
    <n v="0"/>
    <s v="Demasiado Riesgo"/>
    <m/>
    <m/>
    <m/>
    <m/>
    <m/>
    <m/>
  </r>
  <r>
    <m/>
    <m/>
    <s v="CONCEPTOS AGE"/>
    <m/>
    <x v="1"/>
    <x v="5"/>
    <m/>
    <m/>
    <n v="368.5675"/>
    <n v="347.92599999999999"/>
    <n v="347.92599999999999"/>
    <m/>
    <m/>
    <m/>
    <m/>
    <x v="5"/>
    <m/>
    <m/>
    <m/>
    <m/>
    <m/>
    <m/>
    <s v=" "/>
    <s v=" "/>
    <s v=" "/>
    <s v=" "/>
    <s v=" "/>
    <s v=" "/>
    <s v=" "/>
    <s v=" "/>
    <s v=" "/>
    <s v=" "/>
    <s v=" "/>
    <m/>
    <s v=" "/>
    <s v=" "/>
    <s v=" "/>
    <s v=" "/>
    <s v=" "/>
    <n v="0"/>
    <n v="0"/>
    <s v="Demasiado Riesgo"/>
    <m/>
    <m/>
    <m/>
    <m/>
    <m/>
    <m/>
  </r>
  <r>
    <m/>
    <m/>
    <s v="DISTRIBUIDORA CLABECK"/>
    <m/>
    <x v="1"/>
    <x v="5"/>
    <m/>
    <m/>
    <n v="359.09249999999997"/>
    <n v="342.21"/>
    <n v="342.21"/>
    <m/>
    <m/>
    <m/>
    <m/>
    <x v="5"/>
    <m/>
    <m/>
    <m/>
    <m/>
    <m/>
    <m/>
    <s v=" "/>
    <s v=" "/>
    <s v=" "/>
    <s v=" "/>
    <s v=" "/>
    <s v=" "/>
    <s v=" "/>
    <s v=" "/>
    <s v=" "/>
    <s v=" "/>
    <s v=" "/>
    <m/>
    <s v=" "/>
    <s v=" "/>
    <s v=" "/>
    <s v=" "/>
    <s v=" "/>
    <n v="0"/>
    <n v="0"/>
    <s v="Demasiado Riesgo"/>
    <m/>
    <m/>
    <m/>
    <m/>
    <m/>
    <m/>
  </r>
  <r>
    <m/>
    <m/>
    <s v="MOGAR SEGURIDAD PRIVADA"/>
    <m/>
    <x v="1"/>
    <x v="5"/>
    <m/>
    <m/>
    <m/>
    <n v="323.07409999999999"/>
    <n v="323.07409999999999"/>
    <m/>
    <m/>
    <m/>
    <m/>
    <x v="5"/>
    <m/>
    <m/>
    <m/>
    <m/>
    <m/>
    <m/>
    <s v=" "/>
    <s v=" "/>
    <s v=" "/>
    <s v=" "/>
    <s v=" "/>
    <s v=" "/>
    <s v=" "/>
    <s v=" "/>
    <s v=" "/>
    <s v=" "/>
    <s v=" "/>
    <m/>
    <s v=" "/>
    <s v=" "/>
    <s v=" "/>
    <s v=" "/>
    <s v=" "/>
    <n v="0"/>
    <n v="0"/>
    <s v="Demasiado Riesgo"/>
    <m/>
    <m/>
    <m/>
    <m/>
    <m/>
    <m/>
  </r>
  <r>
    <m/>
    <m/>
    <s v="VERTIV MEXICO"/>
    <m/>
    <x v="1"/>
    <x v="5"/>
    <m/>
    <m/>
    <n v="298"/>
    <n v="318"/>
    <n v="318"/>
    <m/>
    <m/>
    <m/>
    <m/>
    <x v="5"/>
    <m/>
    <m/>
    <m/>
    <m/>
    <m/>
    <m/>
    <s v=" "/>
    <s v=" "/>
    <s v=" "/>
    <s v=" "/>
    <s v=" "/>
    <s v=" "/>
    <s v=" "/>
    <s v=" "/>
    <s v=" "/>
    <s v=" "/>
    <s v=" "/>
    <m/>
    <s v=" "/>
    <s v=" "/>
    <s v=" "/>
    <s v=" "/>
    <s v=" "/>
    <n v="0"/>
    <n v="0"/>
    <s v="Demasiado Riesgo"/>
    <m/>
    <m/>
    <m/>
    <m/>
    <m/>
    <m/>
  </r>
  <r>
    <m/>
    <m/>
    <s v="EB SIETE"/>
    <m/>
    <x v="1"/>
    <x v="5"/>
    <m/>
    <m/>
    <n v="324.52480000000003"/>
    <n v="315.8947"/>
    <n v="315.8947"/>
    <m/>
    <m/>
    <m/>
    <m/>
    <x v="5"/>
    <m/>
    <m/>
    <m/>
    <m/>
    <m/>
    <m/>
    <s v=" "/>
    <s v=" "/>
    <s v=" "/>
    <s v=" "/>
    <s v=" "/>
    <s v=" "/>
    <s v=" "/>
    <s v=" "/>
    <s v=" "/>
    <s v=" "/>
    <s v=" "/>
    <m/>
    <s v=" "/>
    <s v=" "/>
    <s v=" "/>
    <s v=" "/>
    <s v=" "/>
    <n v="0"/>
    <n v="0"/>
    <s v="Demasiado Riesgo"/>
    <m/>
    <m/>
    <m/>
    <m/>
    <m/>
    <m/>
  </r>
  <r>
    <m/>
    <m/>
    <s v="CAPITAL BUS"/>
    <m/>
    <x v="1"/>
    <x v="5"/>
    <m/>
    <m/>
    <n v="280.5401"/>
    <n v="308.8809"/>
    <n v="308.8809"/>
    <m/>
    <m/>
    <m/>
    <m/>
    <x v="5"/>
    <m/>
    <m/>
    <m/>
    <m/>
    <m/>
    <m/>
    <s v=" "/>
    <s v=" "/>
    <s v=" "/>
    <s v=" "/>
    <s v=" "/>
    <s v=" "/>
    <s v=" "/>
    <s v=" "/>
    <s v=" "/>
    <s v=" "/>
    <s v=" "/>
    <m/>
    <s v=" "/>
    <s v=" "/>
    <s v=" "/>
    <s v=" "/>
    <s v=" "/>
    <n v="0"/>
    <n v="0"/>
    <s v="Demasiado Riesgo"/>
    <m/>
    <m/>
    <m/>
    <m/>
    <m/>
    <m/>
  </r>
  <r>
    <m/>
    <m/>
    <s v="PLASTMEX"/>
    <m/>
    <x v="1"/>
    <x v="0"/>
    <m/>
    <m/>
    <n v="254.60249999999999"/>
    <n v="308.39269999999999"/>
    <n v="308.39269999999999"/>
    <m/>
    <m/>
    <m/>
    <m/>
    <x v="2"/>
    <m/>
    <m/>
    <m/>
    <m/>
    <m/>
    <m/>
    <s v=" "/>
    <s v=" "/>
    <s v=" "/>
    <s v=" "/>
    <s v=" "/>
    <s v=" "/>
    <s v=" "/>
    <s v=" "/>
    <s v=" "/>
    <s v=" "/>
    <s v=" "/>
    <m/>
    <s v=" "/>
    <s v=" "/>
    <s v=" "/>
    <s v=" "/>
    <s v=" "/>
    <n v="0"/>
    <n v="0"/>
    <s v="Demasiado Riesgo"/>
    <m/>
    <m/>
    <m/>
    <m/>
    <m/>
    <m/>
  </r>
  <r>
    <m/>
    <m/>
    <s v="QUESERIA AMERICA"/>
    <m/>
    <x v="1"/>
    <x v="5"/>
    <m/>
    <m/>
    <n v="312.93459999999999"/>
    <n v="305.67779999999999"/>
    <n v="305.67779999999999"/>
    <m/>
    <m/>
    <m/>
    <m/>
    <x v="5"/>
    <m/>
    <m/>
    <m/>
    <m/>
    <m/>
    <m/>
    <s v=" "/>
    <s v=" "/>
    <s v=" "/>
    <s v=" "/>
    <s v=" "/>
    <s v=" "/>
    <s v=" "/>
    <s v=" "/>
    <s v=" "/>
    <s v=" "/>
    <s v=" "/>
    <m/>
    <s v=" "/>
    <s v=" "/>
    <s v=" "/>
    <s v=" "/>
    <s v=" "/>
    <n v="0"/>
    <n v="0"/>
    <s v="Demasiado Riesgo"/>
    <m/>
    <m/>
    <m/>
    <m/>
    <m/>
    <m/>
  </r>
  <r>
    <m/>
    <m/>
    <s v="TRINIDAD ALBERTO FLORES ZAMORA"/>
    <m/>
    <x v="1"/>
    <x v="5"/>
    <m/>
    <m/>
    <m/>
    <n v="300.98349999999999"/>
    <n v="300.98349999999999"/>
    <m/>
    <m/>
    <m/>
    <m/>
    <x v="5"/>
    <m/>
    <m/>
    <m/>
    <m/>
    <m/>
    <m/>
    <s v=" "/>
    <s v=" "/>
    <s v=" "/>
    <s v=" "/>
    <s v=" "/>
    <s v=" "/>
    <s v=" "/>
    <s v=" "/>
    <s v=" "/>
    <s v=" "/>
    <s v=" "/>
    <m/>
    <s v=" "/>
    <s v=" "/>
    <s v=" "/>
    <s v=" "/>
    <s v=" "/>
    <n v="0"/>
    <n v="0"/>
    <s v="Demasiado Riesgo"/>
    <m/>
    <m/>
    <m/>
    <m/>
    <m/>
    <m/>
  </r>
  <r>
    <m/>
    <m/>
    <s v="PAN DE PAN MONTERREY"/>
    <m/>
    <x v="1"/>
    <x v="5"/>
    <m/>
    <m/>
    <n v="283.69150000000002"/>
    <n v="296.2783"/>
    <n v="296.2783"/>
    <m/>
    <m/>
    <m/>
    <m/>
    <x v="5"/>
    <m/>
    <m/>
    <m/>
    <m/>
    <m/>
    <m/>
    <s v=" "/>
    <s v=" "/>
    <s v=" "/>
    <s v=" "/>
    <s v=" "/>
    <s v=" "/>
    <s v=" "/>
    <s v=" "/>
    <s v=" "/>
    <s v=" "/>
    <s v=" "/>
    <m/>
    <s v=" "/>
    <s v=" "/>
    <s v=" "/>
    <s v=" "/>
    <s v=" "/>
    <n v="0"/>
    <n v="0"/>
    <s v="Demasiado Riesgo"/>
    <m/>
    <m/>
    <m/>
    <m/>
    <m/>
    <m/>
  </r>
  <r>
    <m/>
    <m/>
    <s v="STEEL TEK SOLUCIONES EN ACERO"/>
    <m/>
    <x v="1"/>
    <x v="1"/>
    <m/>
    <m/>
    <n v="307.1395"/>
    <n v="292.69959999999998"/>
    <n v="292.69959999999998"/>
    <m/>
    <m/>
    <m/>
    <m/>
    <x v="5"/>
    <m/>
    <m/>
    <m/>
    <m/>
    <m/>
    <m/>
    <s v=" "/>
    <s v=" "/>
    <s v=" "/>
    <s v=" "/>
    <s v=" "/>
    <s v=" "/>
    <s v=" "/>
    <s v=" "/>
    <s v=" "/>
    <s v=" "/>
    <s v=" "/>
    <m/>
    <s v=" "/>
    <s v=" "/>
    <s v=" "/>
    <s v=" "/>
    <s v=" "/>
    <n v="0"/>
    <n v="0"/>
    <s v="Demasiado Riesgo"/>
    <m/>
    <m/>
    <m/>
    <m/>
    <m/>
    <m/>
  </r>
  <r>
    <m/>
    <m/>
    <s v="INGREDITECH"/>
    <m/>
    <x v="1"/>
    <x v="5"/>
    <m/>
    <m/>
    <n v="272.36900000000003"/>
    <n v="270.60899999999998"/>
    <n v="270.60899999999998"/>
    <m/>
    <m/>
    <m/>
    <m/>
    <x v="5"/>
    <m/>
    <m/>
    <m/>
    <m/>
    <m/>
    <m/>
    <s v=" "/>
    <s v=" "/>
    <s v=" "/>
    <s v=" "/>
    <s v=" "/>
    <s v=" "/>
    <s v=" "/>
    <s v=" "/>
    <s v=" "/>
    <s v=" "/>
    <s v=" "/>
    <m/>
    <s v=" "/>
    <s v=" "/>
    <s v=" "/>
    <s v=" "/>
    <s v=" "/>
    <n v="0"/>
    <n v="0"/>
    <s v="Demasiado Riesgo"/>
    <m/>
    <m/>
    <m/>
    <m/>
    <m/>
    <m/>
  </r>
  <r>
    <m/>
    <m/>
    <s v="DACONTASOB"/>
    <m/>
    <x v="1"/>
    <x v="5"/>
    <m/>
    <m/>
    <n v="141.9796"/>
    <n v="267.84780000000001"/>
    <n v="267.84780000000001"/>
    <m/>
    <m/>
    <m/>
    <m/>
    <x v="5"/>
    <m/>
    <m/>
    <m/>
    <m/>
    <m/>
    <m/>
    <s v=" "/>
    <s v=" "/>
    <s v=" "/>
    <s v=" "/>
    <s v=" "/>
    <s v=" "/>
    <s v=" "/>
    <s v=" "/>
    <s v=" "/>
    <s v=" "/>
    <s v=" "/>
    <m/>
    <s v=" "/>
    <s v=" "/>
    <s v=" "/>
    <s v=" "/>
    <s v=" "/>
    <n v="0"/>
    <n v="0"/>
    <s v="Demasiado Riesgo"/>
    <m/>
    <m/>
    <m/>
    <m/>
    <m/>
    <m/>
  </r>
  <r>
    <m/>
    <m/>
    <s v="LA RED CORPORATIVO"/>
    <m/>
    <x v="1"/>
    <x v="5"/>
    <m/>
    <m/>
    <n v="259.56880000000001"/>
    <n v="257.67230000000001"/>
    <n v="257.67230000000001"/>
    <m/>
    <m/>
    <m/>
    <m/>
    <x v="5"/>
    <m/>
    <m/>
    <m/>
    <m/>
    <m/>
    <m/>
    <s v=" "/>
    <s v=" "/>
    <s v=" "/>
    <s v=" "/>
    <s v=" "/>
    <s v=" "/>
    <s v=" "/>
    <s v=" "/>
    <s v=" "/>
    <s v=" "/>
    <s v=" "/>
    <m/>
    <s v=" "/>
    <s v=" "/>
    <s v=" "/>
    <s v=" "/>
    <s v=" "/>
    <n v="0"/>
    <n v="0"/>
    <s v="Demasiado Riesgo"/>
    <m/>
    <m/>
    <m/>
    <m/>
    <m/>
    <m/>
  </r>
  <r>
    <m/>
    <m/>
    <s v="GRUPO BLACK CLINICAS"/>
    <m/>
    <x v="1"/>
    <x v="5"/>
    <m/>
    <m/>
    <n v="255.3546"/>
    <n v="251.93809999999999"/>
    <n v="251.93809999999999"/>
    <m/>
    <m/>
    <m/>
    <m/>
    <x v="5"/>
    <m/>
    <m/>
    <m/>
    <m/>
    <m/>
    <m/>
    <s v=" "/>
    <s v=" "/>
    <s v=" "/>
    <s v=" "/>
    <s v=" "/>
    <s v=" "/>
    <s v=" "/>
    <s v=" "/>
    <s v=" "/>
    <s v=" "/>
    <s v=" "/>
    <m/>
    <s v=" "/>
    <s v=" "/>
    <s v=" "/>
    <s v=" "/>
    <s v=" "/>
    <n v="0"/>
    <n v="0"/>
    <s v="Demasiado Riesgo"/>
    <m/>
    <m/>
    <m/>
    <m/>
    <m/>
    <m/>
  </r>
  <r>
    <m/>
    <m/>
    <s v="VISMA ENTERPRISE SAC"/>
    <m/>
    <x v="1"/>
    <x v="5"/>
    <m/>
    <m/>
    <n v="238.7"/>
    <n v="247.26"/>
    <n v="247.26"/>
    <m/>
    <m/>
    <m/>
    <m/>
    <x v="5"/>
    <m/>
    <m/>
    <m/>
    <m/>
    <m/>
    <m/>
    <s v=" "/>
    <s v=" "/>
    <s v=" "/>
    <s v=" "/>
    <s v=" "/>
    <s v=" "/>
    <s v=" "/>
    <s v=" "/>
    <s v=" "/>
    <s v=" "/>
    <s v=" "/>
    <m/>
    <s v=" "/>
    <s v=" "/>
    <s v=" "/>
    <s v=" "/>
    <s v=" "/>
    <n v="0"/>
    <n v="0"/>
    <s v="Demasiado Riesgo"/>
    <m/>
    <m/>
    <m/>
    <m/>
    <m/>
    <m/>
  </r>
  <r>
    <m/>
    <m/>
    <s v="JOSE LEONARDO MIJARES MENESES (Alliance)"/>
    <m/>
    <x v="1"/>
    <x v="5"/>
    <m/>
    <m/>
    <m/>
    <n v="246.0334"/>
    <n v="246.0334"/>
    <m/>
    <m/>
    <m/>
    <m/>
    <x v="5"/>
    <m/>
    <m/>
    <m/>
    <m/>
    <m/>
    <m/>
    <s v=" "/>
    <s v=" "/>
    <s v=" "/>
    <s v=" "/>
    <s v=" "/>
    <s v=" "/>
    <s v=" "/>
    <s v=" "/>
    <s v=" "/>
    <s v=" "/>
    <s v=" "/>
    <m/>
    <s v=" "/>
    <s v=" "/>
    <s v=" "/>
    <s v=" "/>
    <s v=" "/>
    <n v="0"/>
    <n v="0"/>
    <s v="Demasiado Riesgo"/>
    <m/>
    <m/>
    <m/>
    <m/>
    <m/>
    <m/>
  </r>
  <r>
    <m/>
    <m/>
    <s v="GRANJA DIVERTIDA"/>
    <m/>
    <x v="1"/>
    <x v="5"/>
    <m/>
    <m/>
    <m/>
    <n v="237.47329999999999"/>
    <n v="237.47329999999999"/>
    <m/>
    <m/>
    <m/>
    <m/>
    <x v="5"/>
    <m/>
    <m/>
    <m/>
    <m/>
    <m/>
    <m/>
    <s v=" "/>
    <s v=" "/>
    <s v=" "/>
    <s v=" "/>
    <s v=" "/>
    <s v=" "/>
    <s v=" "/>
    <s v=" "/>
    <s v=" "/>
    <s v=" "/>
    <s v=" "/>
    <m/>
    <s v=" "/>
    <s v=" "/>
    <s v=" "/>
    <s v=" "/>
    <s v=" "/>
    <n v="0"/>
    <n v="0"/>
    <s v="Demasiado Riesgo"/>
    <m/>
    <m/>
    <m/>
    <m/>
    <m/>
    <m/>
  </r>
  <r>
    <m/>
    <m/>
    <s v="SAMA FOODS"/>
    <m/>
    <x v="1"/>
    <x v="5"/>
    <m/>
    <m/>
    <m/>
    <n v="215.3827"/>
    <n v="215.3827"/>
    <m/>
    <m/>
    <m/>
    <m/>
    <x v="5"/>
    <m/>
    <m/>
    <m/>
    <m/>
    <m/>
    <m/>
    <s v=" "/>
    <s v=" "/>
    <s v=" "/>
    <s v=" "/>
    <s v=" "/>
    <s v=" "/>
    <s v=" "/>
    <s v=" "/>
    <s v=" "/>
    <s v=" "/>
    <s v=" "/>
    <m/>
    <s v=" "/>
    <s v=" "/>
    <s v=" "/>
    <s v=" "/>
    <s v=" "/>
    <n v="0"/>
    <n v="0"/>
    <s v="Demasiado Riesgo"/>
    <m/>
    <m/>
    <m/>
    <m/>
    <m/>
    <m/>
  </r>
  <r>
    <m/>
    <m/>
    <s v="TAGLE BLINDER"/>
    <m/>
    <x v="1"/>
    <x v="5"/>
    <m/>
    <m/>
    <n v="283.95920000000001"/>
    <n v="204.33750000000001"/>
    <n v="204.33750000000001"/>
    <m/>
    <m/>
    <m/>
    <m/>
    <x v="5"/>
    <m/>
    <m/>
    <m/>
    <m/>
    <m/>
    <m/>
    <s v=" "/>
    <s v=" "/>
    <s v=" "/>
    <s v=" "/>
    <s v=" "/>
    <s v=" "/>
    <s v=" "/>
    <s v=" "/>
    <s v=" "/>
    <s v=" "/>
    <s v=" "/>
    <m/>
    <s v=" "/>
    <s v=" "/>
    <s v=" "/>
    <s v=" "/>
    <s v=" "/>
    <n v="0"/>
    <n v="0"/>
    <s v="Demasiado Riesgo"/>
    <m/>
    <m/>
    <m/>
    <m/>
    <m/>
    <m/>
  </r>
  <r>
    <m/>
    <m/>
    <s v="EMPACADORA NOR VER (implementando)"/>
    <m/>
    <x v="1"/>
    <x v="5"/>
    <m/>
    <m/>
    <m/>
    <n v="199.47749999999999"/>
    <n v="199.47749999999999"/>
    <m/>
    <m/>
    <m/>
    <m/>
    <x v="5"/>
    <m/>
    <m/>
    <m/>
    <m/>
    <m/>
    <m/>
    <s v=" "/>
    <s v=" "/>
    <s v=" "/>
    <s v=" "/>
    <s v=" "/>
    <s v=" "/>
    <s v=" "/>
    <s v=" "/>
    <s v=" "/>
    <s v=" "/>
    <s v=" "/>
    <m/>
    <s v=" "/>
    <s v=" "/>
    <s v=" "/>
    <s v=" "/>
    <s v=" "/>
    <n v="0"/>
    <n v="0"/>
    <s v="Demasiado Riesgo"/>
    <m/>
    <m/>
    <m/>
    <m/>
    <m/>
    <m/>
  </r>
  <r>
    <m/>
    <m/>
    <s v="VALIDACION Y METROLOGIA"/>
    <m/>
    <x v="1"/>
    <x v="5"/>
    <m/>
    <m/>
    <n v="195.87389999999999"/>
    <n v="193.84440000000001"/>
    <n v="193.84440000000001"/>
    <m/>
    <m/>
    <m/>
    <m/>
    <x v="5"/>
    <m/>
    <m/>
    <m/>
    <m/>
    <m/>
    <m/>
    <s v=" "/>
    <s v=" "/>
    <s v=" "/>
    <s v=" "/>
    <s v=" "/>
    <s v=" "/>
    <s v=" "/>
    <s v=" "/>
    <s v=" "/>
    <s v=" "/>
    <s v=" "/>
    <m/>
    <s v=" "/>
    <s v=" "/>
    <s v=" "/>
    <s v=" "/>
    <s v=" "/>
    <n v="0"/>
    <n v="0"/>
    <s v="Demasiado Riesgo"/>
    <m/>
    <m/>
    <m/>
    <m/>
    <m/>
    <m/>
  </r>
  <r>
    <m/>
    <m/>
    <s v="VIVALO CEL"/>
    <m/>
    <x v="1"/>
    <x v="5"/>
    <m/>
    <m/>
    <n v="185.08629999999999"/>
    <n v="192.4196"/>
    <n v="192.4196"/>
    <m/>
    <m/>
    <m/>
    <m/>
    <x v="5"/>
    <m/>
    <m/>
    <m/>
    <m/>
    <m/>
    <m/>
    <s v=" "/>
    <s v=" "/>
    <s v=" "/>
    <s v=" "/>
    <s v=" "/>
    <s v=" "/>
    <s v=" "/>
    <s v=" "/>
    <s v=" "/>
    <s v=" "/>
    <s v=" "/>
    <m/>
    <s v=" "/>
    <s v=" "/>
    <s v=" "/>
    <s v=" "/>
    <s v=" "/>
    <n v="0"/>
    <n v="0"/>
    <s v="Demasiado Riesgo"/>
    <m/>
    <m/>
    <m/>
    <m/>
    <m/>
    <m/>
  </r>
  <r>
    <m/>
    <m/>
    <s v="CIRCULO ESTRATEGICO DE ASESORES TRIBUTARIOS. CESAT"/>
    <m/>
    <x v="1"/>
    <x v="5"/>
    <m/>
    <m/>
    <n v="182.96420000000001"/>
    <n v="182.37889999999999"/>
    <n v="182.37889999999999"/>
    <m/>
    <m/>
    <m/>
    <m/>
    <x v="5"/>
    <m/>
    <m/>
    <m/>
    <m/>
    <m/>
    <m/>
    <s v=" "/>
    <s v=" "/>
    <s v=" "/>
    <s v=" "/>
    <s v=" "/>
    <s v=" "/>
    <s v=" "/>
    <s v=" "/>
    <s v=" "/>
    <s v=" "/>
    <s v=" "/>
    <m/>
    <s v=" "/>
    <s v=" "/>
    <s v=" "/>
    <s v=" "/>
    <s v=" "/>
    <n v="0"/>
    <n v="0"/>
    <s v="Demasiado Riesgo"/>
    <m/>
    <m/>
    <m/>
    <m/>
    <m/>
    <m/>
  </r>
  <r>
    <m/>
    <m/>
    <s v="CONSORCIO INDUSTRIAL EDIFICA"/>
    <m/>
    <x v="1"/>
    <x v="5"/>
    <m/>
    <m/>
    <n v="182.54519999999999"/>
    <n v="179.48560000000001"/>
    <n v="179.48560000000001"/>
    <m/>
    <m/>
    <m/>
    <m/>
    <x v="5"/>
    <m/>
    <m/>
    <m/>
    <m/>
    <m/>
    <m/>
    <s v=" "/>
    <s v=" "/>
    <s v=" "/>
    <s v=" "/>
    <s v=" "/>
    <s v=" "/>
    <s v=" "/>
    <s v=" "/>
    <s v=" "/>
    <s v=" "/>
    <s v=" "/>
    <m/>
    <s v=" "/>
    <s v=" "/>
    <s v=" "/>
    <s v=" "/>
    <s v="SI"/>
    <n v="0"/>
    <n v="0.5"/>
    <s v="Demasiado Riesgo"/>
    <m/>
    <m/>
    <m/>
    <m/>
    <m/>
    <m/>
  </r>
  <r>
    <m/>
    <m/>
    <s v="INTEGRITY PROTECTION SERVICES"/>
    <m/>
    <x v="1"/>
    <x v="5"/>
    <m/>
    <m/>
    <n v="159.94489999999999"/>
    <n v="178.8792"/>
    <n v="178.8792"/>
    <m/>
    <m/>
    <m/>
    <m/>
    <x v="5"/>
    <m/>
    <m/>
    <m/>
    <m/>
    <m/>
    <m/>
    <s v=" "/>
    <s v=" "/>
    <s v=" "/>
    <s v=" "/>
    <s v=" "/>
    <s v=" "/>
    <s v=" "/>
    <s v=" "/>
    <s v=" "/>
    <s v=" "/>
    <s v=" "/>
    <m/>
    <s v=" "/>
    <s v=" "/>
    <s v=" "/>
    <s v=" "/>
    <s v=" "/>
    <n v="0"/>
    <n v="0"/>
    <s v="Demasiado Riesgo"/>
    <m/>
    <m/>
    <m/>
    <m/>
    <m/>
    <m/>
  </r>
  <r>
    <m/>
    <m/>
    <s v="TRANSPORTES PIGASA (implementando)"/>
    <m/>
    <x v="1"/>
    <x v="5"/>
    <m/>
    <m/>
    <m/>
    <n v="176.816"/>
    <n v="176.816"/>
    <m/>
    <m/>
    <m/>
    <m/>
    <x v="5"/>
    <m/>
    <m/>
    <m/>
    <m/>
    <m/>
    <m/>
    <s v=" "/>
    <s v=" "/>
    <s v=" "/>
    <s v=" "/>
    <s v=" "/>
    <s v=" "/>
    <s v=" "/>
    <s v=" "/>
    <s v=" "/>
    <s v=" "/>
    <s v=" "/>
    <m/>
    <s v=" "/>
    <s v=" "/>
    <s v=" "/>
    <s v=" "/>
    <s v=" "/>
    <n v="0"/>
    <n v="0"/>
    <s v="Demasiado Riesgo"/>
    <m/>
    <m/>
    <m/>
    <m/>
    <m/>
    <m/>
  </r>
  <r>
    <m/>
    <m/>
    <s v="OPERADORA SUMA PARK"/>
    <m/>
    <x v="1"/>
    <x v="5"/>
    <m/>
    <m/>
    <n v="194.67660000000001"/>
    <n v="171.78149999999999"/>
    <n v="171.78149999999999"/>
    <m/>
    <m/>
    <m/>
    <m/>
    <x v="5"/>
    <m/>
    <m/>
    <m/>
    <m/>
    <m/>
    <m/>
    <s v=" "/>
    <s v=" "/>
    <s v=" "/>
    <s v=" "/>
    <s v=" "/>
    <s v=" "/>
    <s v=" "/>
    <s v=" "/>
    <s v=" "/>
    <s v=" "/>
    <s v=" "/>
    <m/>
    <s v=" "/>
    <s v=" "/>
    <s v=" "/>
    <s v=" "/>
    <s v=" "/>
    <n v="0"/>
    <n v="0"/>
    <s v="Demasiado Riesgo"/>
    <m/>
    <m/>
    <m/>
    <m/>
    <m/>
    <m/>
  </r>
  <r>
    <m/>
    <m/>
    <s v="DAN VIT EMPRESARIAL"/>
    <m/>
    <x v="1"/>
    <x v="5"/>
    <m/>
    <m/>
    <m/>
    <n v="171.20169999999999"/>
    <n v="171.20169999999999"/>
    <m/>
    <m/>
    <m/>
    <m/>
    <x v="5"/>
    <m/>
    <m/>
    <m/>
    <m/>
    <m/>
    <m/>
    <s v=" "/>
    <s v=" "/>
    <s v=" "/>
    <s v=" "/>
    <s v=" "/>
    <s v=" "/>
    <s v=" "/>
    <s v=" "/>
    <s v=" "/>
    <s v=" "/>
    <s v=" "/>
    <m/>
    <s v=" "/>
    <s v=" "/>
    <s v=" "/>
    <s v=" "/>
    <s v=" "/>
    <n v="0"/>
    <n v="0"/>
    <s v="Demasiado Riesgo"/>
    <m/>
    <m/>
    <m/>
    <m/>
    <m/>
    <m/>
  </r>
  <r>
    <n v="18457"/>
    <s v="MFM210914BY8"/>
    <s v="MANKA FOODS"/>
    <m/>
    <x v="1"/>
    <x v="5"/>
    <m/>
    <m/>
    <n v="175.8229"/>
    <n v="169.821"/>
    <n v="169.821"/>
    <m/>
    <m/>
    <m/>
    <m/>
    <x v="5"/>
    <m/>
    <m/>
    <m/>
    <m/>
    <m/>
    <m/>
    <s v="SI"/>
    <s v=" "/>
    <s v=" "/>
    <s v=" "/>
    <s v=" "/>
    <s v=" "/>
    <s v=" "/>
    <s v=" "/>
    <s v=" "/>
    <s v=" "/>
    <s v=" "/>
    <m/>
    <s v=" "/>
    <s v=" "/>
    <s v=" "/>
    <s v=" "/>
    <s v="NO"/>
    <n v="0"/>
    <n v="0"/>
    <s v="Demasiado Riesgo"/>
    <m/>
    <m/>
    <m/>
    <m/>
    <m/>
    <m/>
  </r>
  <r>
    <m/>
    <m/>
    <s v="VELEZ CHILDRENS LANGUAGE CENTER"/>
    <m/>
    <x v="1"/>
    <x v="5"/>
    <m/>
    <m/>
    <n v="168.2603"/>
    <n v="166.7637"/>
    <n v="166.7637"/>
    <m/>
    <m/>
    <m/>
    <m/>
    <x v="5"/>
    <m/>
    <m/>
    <m/>
    <m/>
    <m/>
    <m/>
    <s v=" "/>
    <s v=" "/>
    <s v=" "/>
    <s v=" "/>
    <s v=" "/>
    <s v=" "/>
    <s v=" "/>
    <s v=" "/>
    <s v=" "/>
    <s v=" "/>
    <s v=" "/>
    <m/>
    <s v=" "/>
    <s v=" "/>
    <s v=" "/>
    <s v=" "/>
    <s v=" "/>
    <n v="0"/>
    <n v="0"/>
    <s v="Demasiado Riesgo"/>
    <m/>
    <m/>
    <m/>
    <m/>
    <m/>
    <m/>
  </r>
  <r>
    <m/>
    <m/>
    <s v="NSF DE MEXICO"/>
    <m/>
    <x v="1"/>
    <x v="5"/>
    <m/>
    <m/>
    <n v="165"/>
    <n v="165"/>
    <n v="165"/>
    <m/>
    <m/>
    <m/>
    <m/>
    <x v="5"/>
    <m/>
    <m/>
    <m/>
    <m/>
    <m/>
    <m/>
    <s v=" "/>
    <s v=" "/>
    <s v=" "/>
    <s v=" "/>
    <s v=" "/>
    <s v=" "/>
    <s v=" "/>
    <s v=" "/>
    <s v=" "/>
    <s v=" "/>
    <s v=" "/>
    <m/>
    <s v=" "/>
    <s v=" "/>
    <s v=" "/>
    <s v=" "/>
    <s v=" "/>
    <n v="0"/>
    <n v="0"/>
    <s v="Demasiado Riesgo"/>
    <m/>
    <m/>
    <m/>
    <m/>
    <m/>
    <m/>
  </r>
  <r>
    <m/>
    <m/>
    <s v="ORANGE BUSINESS SERVICES MEXICO"/>
    <m/>
    <x v="1"/>
    <x v="5"/>
    <m/>
    <m/>
    <n v="172.84649999999999"/>
    <n v="157.55860000000001"/>
    <n v="157.55860000000001"/>
    <m/>
    <m/>
    <m/>
    <m/>
    <x v="5"/>
    <m/>
    <m/>
    <m/>
    <m/>
    <m/>
    <m/>
    <s v=" "/>
    <s v=" "/>
    <s v=" "/>
    <s v=" "/>
    <s v=" "/>
    <s v=" "/>
    <s v=" "/>
    <s v=" "/>
    <s v=" "/>
    <s v=" "/>
    <s v=" "/>
    <m/>
    <s v=" "/>
    <s v=" "/>
    <s v=" "/>
    <s v=" "/>
    <s v=" "/>
    <n v="0"/>
    <n v="0"/>
    <s v="Demasiado Riesgo"/>
    <m/>
    <m/>
    <m/>
    <m/>
    <m/>
    <m/>
  </r>
  <r>
    <m/>
    <m/>
    <s v="SERVICIOS INTEGRALES DE RECOLECCION DE RESIDUOS"/>
    <m/>
    <x v="1"/>
    <x v="5"/>
    <m/>
    <m/>
    <n v="162.26240000000001"/>
    <n v="154.63380000000001"/>
    <n v="154.63380000000001"/>
    <m/>
    <m/>
    <m/>
    <m/>
    <x v="5"/>
    <m/>
    <m/>
    <m/>
    <m/>
    <m/>
    <m/>
    <s v=" "/>
    <s v=" "/>
    <s v=" "/>
    <s v="OK"/>
    <s v=" "/>
    <s v=" "/>
    <s v=" "/>
    <s v=" "/>
    <s v=" "/>
    <s v=" "/>
    <s v=" "/>
    <m/>
    <s v=" "/>
    <s v=" "/>
    <s v=" "/>
    <s v=" "/>
    <s v=" "/>
    <n v="0"/>
    <n v="3"/>
    <s v="Riesgo Medio"/>
    <m/>
    <m/>
    <m/>
    <m/>
    <m/>
    <m/>
  </r>
  <r>
    <m/>
    <m/>
    <s v="GUILLERMO OMAR GIM BURRUEL"/>
    <m/>
    <x v="1"/>
    <x v="5"/>
    <m/>
    <m/>
    <n v="170.9597"/>
    <n v="151.28479999999999"/>
    <n v="151.28479999999999"/>
    <m/>
    <m/>
    <m/>
    <m/>
    <x v="5"/>
    <m/>
    <m/>
    <m/>
    <m/>
    <m/>
    <m/>
    <s v=" "/>
    <s v=" "/>
    <s v=" "/>
    <s v=" "/>
    <s v=" "/>
    <s v=" "/>
    <s v=" "/>
    <s v=" "/>
    <s v=" "/>
    <s v=" "/>
    <s v=" "/>
    <m/>
    <s v=" "/>
    <s v=" "/>
    <s v=" "/>
    <s v=" "/>
    <s v=" "/>
    <n v="0"/>
    <n v="0"/>
    <s v="Demasiado Riesgo"/>
    <m/>
    <m/>
    <m/>
    <m/>
    <m/>
    <m/>
  </r>
  <r>
    <m/>
    <m/>
    <s v="ARAN CONSTRUCCIÓN E INGENIERIA S.A DE C.V"/>
    <m/>
    <x v="1"/>
    <x v="5"/>
    <m/>
    <m/>
    <n v="81.131200000000007"/>
    <n v="149.11109999999999"/>
    <n v="149.11109999999999"/>
    <m/>
    <m/>
    <m/>
    <m/>
    <x v="5"/>
    <m/>
    <m/>
    <m/>
    <m/>
    <m/>
    <m/>
    <s v=" "/>
    <s v=" "/>
    <s v=" "/>
    <s v=" "/>
    <s v=" "/>
    <s v=" "/>
    <s v=" "/>
    <s v=" "/>
    <s v=" "/>
    <s v=" "/>
    <s v=" "/>
    <m/>
    <s v=" "/>
    <s v=" "/>
    <s v=" "/>
    <s v=" "/>
    <s v=" "/>
    <n v="0"/>
    <n v="0"/>
    <s v="Demasiado Riesgo"/>
    <m/>
    <m/>
    <m/>
    <m/>
    <m/>
    <m/>
  </r>
  <r>
    <m/>
    <m/>
    <s v="ALEJANDRA MORA MENDOZA"/>
    <m/>
    <x v="1"/>
    <x v="5"/>
    <m/>
    <m/>
    <n v="155.00700000000001"/>
    <n v="147.71940000000001"/>
    <n v="147.71940000000001"/>
    <m/>
    <m/>
    <m/>
    <m/>
    <x v="5"/>
    <m/>
    <m/>
    <m/>
    <m/>
    <m/>
    <m/>
    <s v=" "/>
    <s v=" "/>
    <s v=" "/>
    <s v=" "/>
    <s v=" "/>
    <s v=" "/>
    <s v=" "/>
    <s v=" "/>
    <s v=" "/>
    <s v=" "/>
    <s v=" "/>
    <m/>
    <s v=" "/>
    <s v=" "/>
    <s v=" "/>
    <s v=" "/>
    <s v=" "/>
    <n v="0"/>
    <n v="0"/>
    <s v="Demasiado Riesgo"/>
    <m/>
    <m/>
    <m/>
    <m/>
    <m/>
    <m/>
  </r>
  <r>
    <m/>
    <m/>
    <s v="LOSEN"/>
    <m/>
    <x v="1"/>
    <x v="5"/>
    <m/>
    <m/>
    <n v="158.648"/>
    <n v="147.10310000000001"/>
    <n v="147.10310000000001"/>
    <m/>
    <m/>
    <m/>
    <m/>
    <x v="5"/>
    <m/>
    <m/>
    <m/>
    <m/>
    <m/>
    <m/>
    <s v=" "/>
    <s v=" "/>
    <s v=" "/>
    <s v=" "/>
    <s v=" "/>
    <s v=" "/>
    <s v=" "/>
    <s v=" "/>
    <s v=" "/>
    <s v=" "/>
    <s v=" "/>
    <m/>
    <s v=" "/>
    <s v=" "/>
    <s v=" "/>
    <s v=" "/>
    <s v=" "/>
    <n v="0"/>
    <n v="0"/>
    <s v="Demasiado Riesgo"/>
    <m/>
    <m/>
    <m/>
    <m/>
    <m/>
    <m/>
  </r>
  <r>
    <m/>
    <m/>
    <s v="OPERADORA DE JUEGOS Y DIVERSIONES 2000"/>
    <m/>
    <x v="1"/>
    <x v="5"/>
    <m/>
    <m/>
    <m/>
    <n v="146.90209999999999"/>
    <n v="146.90209999999999"/>
    <m/>
    <m/>
    <m/>
    <m/>
    <x v="5"/>
    <m/>
    <m/>
    <m/>
    <m/>
    <m/>
    <m/>
    <s v=" "/>
    <s v=" "/>
    <s v=" "/>
    <s v=" "/>
    <s v=" "/>
    <s v=" "/>
    <s v=" "/>
    <s v=" "/>
    <s v=" "/>
    <s v=" "/>
    <s v=" "/>
    <m/>
    <s v=" "/>
    <s v=" "/>
    <s v=" "/>
    <s v=" "/>
    <s v=" "/>
    <n v="0"/>
    <n v="0"/>
    <s v="Demasiado Riesgo"/>
    <m/>
    <m/>
    <m/>
    <m/>
    <m/>
    <m/>
  </r>
  <r>
    <m/>
    <m/>
    <s v="ZETECH SOLUCIONES MEXICO"/>
    <m/>
    <x v="1"/>
    <x v="5"/>
    <m/>
    <m/>
    <n v="142.9966"/>
    <n v="144.28989999999999"/>
    <n v="144.28989999999999"/>
    <m/>
    <m/>
    <m/>
    <m/>
    <x v="5"/>
    <m/>
    <m/>
    <m/>
    <m/>
    <m/>
    <m/>
    <s v=" "/>
    <s v=" "/>
    <s v=" "/>
    <s v=" "/>
    <s v=" "/>
    <s v=" "/>
    <s v=" "/>
    <s v=" "/>
    <s v=" "/>
    <s v=" "/>
    <s v=" "/>
    <m/>
    <s v=" "/>
    <s v=" "/>
    <s v=" "/>
    <s v=" "/>
    <s v=" "/>
    <n v="0"/>
    <n v="0"/>
    <s v="Demasiado Riesgo"/>
    <m/>
    <m/>
    <m/>
    <m/>
    <m/>
    <m/>
  </r>
  <r>
    <m/>
    <m/>
    <s v="EXPORTACIONES DIEZ"/>
    <m/>
    <x v="1"/>
    <x v="5"/>
    <m/>
    <m/>
    <n v="130.3895"/>
    <n v="143.58850000000001"/>
    <n v="143.58850000000001"/>
    <m/>
    <m/>
    <m/>
    <m/>
    <x v="5"/>
    <m/>
    <m/>
    <m/>
    <m/>
    <m/>
    <m/>
    <s v=" "/>
    <s v=" "/>
    <s v=" "/>
    <s v=" "/>
    <s v=" "/>
    <s v=" "/>
    <s v=" "/>
    <s v=" "/>
    <s v=" "/>
    <s v=" "/>
    <s v=" "/>
    <m/>
    <s v=" "/>
    <s v=" "/>
    <s v=" "/>
    <s v=" "/>
    <s v=" "/>
    <n v="0"/>
    <n v="0"/>
    <s v="Demasiado Riesgo"/>
    <m/>
    <m/>
    <m/>
    <m/>
    <m/>
    <m/>
  </r>
  <r>
    <m/>
    <m/>
    <s v="COMPUREPDIGITAL"/>
    <m/>
    <x v="1"/>
    <x v="5"/>
    <m/>
    <m/>
    <n v="148.00360000000001"/>
    <n v="141.0453"/>
    <n v="141.0453"/>
    <m/>
    <m/>
    <m/>
    <m/>
    <x v="5"/>
    <m/>
    <m/>
    <m/>
    <m/>
    <m/>
    <m/>
    <s v=" "/>
    <s v=" "/>
    <s v=" "/>
    <s v=" "/>
    <s v=" "/>
    <s v=" "/>
    <s v=" "/>
    <s v=" "/>
    <s v=" "/>
    <s v=" "/>
    <s v=" "/>
    <m/>
    <s v=" "/>
    <s v=" "/>
    <s v=" "/>
    <s v=" "/>
    <s v=" "/>
    <n v="0"/>
    <n v="0"/>
    <s v="Demasiado Riesgo"/>
    <m/>
    <m/>
    <m/>
    <m/>
    <m/>
    <m/>
  </r>
  <r>
    <m/>
    <m/>
    <s v="SARAI PEREZ CHILEL"/>
    <m/>
    <x v="1"/>
    <x v="5"/>
    <m/>
    <m/>
    <n v="184.5735"/>
    <n v="139.99879999999999"/>
    <n v="139.99879999999999"/>
    <m/>
    <m/>
    <m/>
    <m/>
    <x v="5"/>
    <m/>
    <m/>
    <m/>
    <m/>
    <m/>
    <m/>
    <s v=" "/>
    <s v=" "/>
    <s v=" "/>
    <s v=" "/>
    <s v=" "/>
    <s v=" "/>
    <s v=" "/>
    <s v=" "/>
    <s v=" "/>
    <s v=" "/>
    <s v=" "/>
    <m/>
    <s v=" "/>
    <s v=" "/>
    <s v=" "/>
    <s v=" "/>
    <s v=" "/>
    <n v="0"/>
    <n v="0"/>
    <s v="Demasiado Riesgo"/>
    <m/>
    <m/>
    <m/>
    <m/>
    <m/>
    <m/>
  </r>
  <r>
    <m/>
    <m/>
    <s v="AGRICOLA SL"/>
    <m/>
    <x v="1"/>
    <x v="5"/>
    <m/>
    <m/>
    <n v="144.87710000000001"/>
    <n v="138.0659"/>
    <n v="138.0659"/>
    <m/>
    <m/>
    <m/>
    <m/>
    <x v="5"/>
    <m/>
    <m/>
    <m/>
    <m/>
    <m/>
    <m/>
    <s v=" "/>
    <s v=" "/>
    <s v=" "/>
    <s v=" "/>
    <s v=" "/>
    <s v=" "/>
    <s v=" "/>
    <s v=" "/>
    <s v=" "/>
    <s v=" "/>
    <s v=" "/>
    <m/>
    <s v=" "/>
    <s v=" "/>
    <s v=" "/>
    <s v=" "/>
    <s v=" "/>
    <n v="0"/>
    <n v="0"/>
    <s v="Demasiado Riesgo"/>
    <m/>
    <m/>
    <m/>
    <m/>
    <m/>
    <m/>
  </r>
  <r>
    <m/>
    <m/>
    <s v="FINOS TEXTILES DE MEXICO"/>
    <m/>
    <x v="1"/>
    <x v="1"/>
    <m/>
    <m/>
    <n v="141.32650000000001"/>
    <n v="134.68209999999999"/>
    <n v="134.68209999999999"/>
    <m/>
    <m/>
    <m/>
    <m/>
    <x v="0"/>
    <m/>
    <m/>
    <m/>
    <m/>
    <m/>
    <m/>
    <s v=" "/>
    <s v="OP (Q2 - 95)"/>
    <s v=" "/>
    <s v="OP (Q2 -95)"/>
    <s v=" "/>
    <s v=" "/>
    <s v=" "/>
    <s v=" "/>
    <s v=" "/>
    <s v=" "/>
    <s v=" "/>
    <m/>
    <s v=" "/>
    <s v=" "/>
    <s v=" "/>
    <s v="OP (Q2 - 137)"/>
    <s v=" "/>
    <n v="0"/>
    <n v="0"/>
    <s v="Demasiado Riesgo"/>
    <m/>
    <m/>
    <n v="190"/>
    <s v="Entrarían en abril 2026 alertas y vacacione"/>
    <m/>
    <m/>
  </r>
  <r>
    <m/>
    <m/>
    <s v="PUBLICO GENERAL"/>
    <m/>
    <x v="1"/>
    <x v="5"/>
    <m/>
    <m/>
    <n v="137.0538"/>
    <n v="130.6103"/>
    <n v="130.6103"/>
    <m/>
    <m/>
    <m/>
    <m/>
    <x v="5"/>
    <m/>
    <m/>
    <m/>
    <m/>
    <m/>
    <m/>
    <s v=" "/>
    <s v=" "/>
    <s v=" "/>
    <s v=" "/>
    <s v=" "/>
    <s v=" "/>
    <s v=" "/>
    <s v=" "/>
    <s v=" "/>
    <s v=" "/>
    <s v=" "/>
    <m/>
    <s v=" "/>
    <s v=" "/>
    <s v=" "/>
    <s v=" "/>
    <s v=" "/>
    <n v="0"/>
    <n v="0"/>
    <s v="Demasiado Riesgo"/>
    <m/>
    <m/>
    <m/>
    <m/>
    <m/>
    <m/>
  </r>
  <r>
    <m/>
    <m/>
    <s v="TCO GROUP"/>
    <m/>
    <x v="1"/>
    <x v="5"/>
    <m/>
    <m/>
    <n v="128.64160000000001"/>
    <n v="130.25579999999999"/>
    <n v="130.25579999999999"/>
    <m/>
    <m/>
    <m/>
    <m/>
    <x v="5"/>
    <m/>
    <m/>
    <m/>
    <m/>
    <m/>
    <m/>
    <s v=" "/>
    <s v=" "/>
    <s v=" "/>
    <s v=" "/>
    <s v=" "/>
    <s v=" "/>
    <s v=" "/>
    <s v=" "/>
    <s v=" "/>
    <s v=" "/>
    <s v=" "/>
    <m/>
    <s v=" "/>
    <s v=" "/>
    <s v=" "/>
    <s v=" "/>
    <s v=" "/>
    <n v="0"/>
    <n v="0"/>
    <s v="Demasiado Riesgo"/>
    <m/>
    <m/>
    <m/>
    <m/>
    <m/>
    <m/>
  </r>
  <r>
    <m/>
    <m/>
    <s v="VIAJERO HOTELS MX"/>
    <m/>
    <x v="1"/>
    <x v="5"/>
    <m/>
    <m/>
    <n v="132.70740000000001"/>
    <n v="129.78190000000001"/>
    <n v="129.78190000000001"/>
    <m/>
    <m/>
    <m/>
    <m/>
    <x v="5"/>
    <m/>
    <m/>
    <m/>
    <m/>
    <m/>
    <m/>
    <s v=" "/>
    <s v=" "/>
    <s v=" "/>
    <s v=" "/>
    <s v=" "/>
    <s v=" "/>
    <s v=" "/>
    <s v=" "/>
    <s v=" "/>
    <s v=" "/>
    <s v=" "/>
    <m/>
    <s v=" "/>
    <s v=" "/>
    <s v=" "/>
    <s v=" "/>
    <s v=" "/>
    <n v="0"/>
    <n v="0"/>
    <s v="Demasiado Riesgo"/>
    <m/>
    <m/>
    <m/>
    <m/>
    <m/>
    <m/>
  </r>
  <r>
    <m/>
    <m/>
    <s v="ALIMENTOS Y BANQUETES EL NUEVO ESPAÑA"/>
    <m/>
    <x v="1"/>
    <x v="5"/>
    <m/>
    <m/>
    <n v="131.54839999999999"/>
    <n v="128.67740000000001"/>
    <n v="128.67740000000001"/>
    <m/>
    <m/>
    <m/>
    <m/>
    <x v="5"/>
    <m/>
    <m/>
    <m/>
    <m/>
    <m/>
    <m/>
    <s v=" "/>
    <s v=" "/>
    <s v=" "/>
    <s v=" "/>
    <s v=" "/>
    <s v=" "/>
    <s v=" "/>
    <s v=" "/>
    <s v=" "/>
    <s v=" "/>
    <s v=" "/>
    <m/>
    <s v=" "/>
    <s v=" "/>
    <s v=" "/>
    <s v=" "/>
    <s v=" "/>
    <n v="0"/>
    <n v="0"/>
    <s v="Demasiado Riesgo"/>
    <m/>
    <m/>
    <m/>
    <m/>
    <m/>
    <m/>
  </r>
  <r>
    <m/>
    <m/>
    <s v="FIDEICOMISO F/1596"/>
    <m/>
    <x v="1"/>
    <x v="5"/>
    <m/>
    <m/>
    <n v="136.2355"/>
    <n v="125.19370000000001"/>
    <n v="125.19370000000001"/>
    <m/>
    <m/>
    <m/>
    <m/>
    <x v="5"/>
    <m/>
    <m/>
    <m/>
    <m/>
    <m/>
    <m/>
    <s v=" "/>
    <s v=" "/>
    <s v=" "/>
    <s v=" "/>
    <s v=" "/>
    <s v=" "/>
    <s v=" "/>
    <s v=" "/>
    <s v=" "/>
    <s v=" "/>
    <s v=" "/>
    <m/>
    <s v=" "/>
    <s v=" "/>
    <s v=" "/>
    <s v=" "/>
    <s v=" "/>
    <n v="0"/>
    <n v="0"/>
    <s v="Demasiado Riesgo"/>
    <m/>
    <m/>
    <m/>
    <m/>
    <m/>
    <m/>
  </r>
  <r>
    <m/>
    <m/>
    <s v="GRUPO CARNES SUPREMAS ROSARITO"/>
    <m/>
    <x v="1"/>
    <x v="5"/>
    <m/>
    <m/>
    <n v="132.18360000000001"/>
    <n v="123.1062"/>
    <n v="123.1062"/>
    <m/>
    <m/>
    <m/>
    <m/>
    <x v="5"/>
    <m/>
    <m/>
    <m/>
    <m/>
    <m/>
    <m/>
    <s v=" "/>
    <s v=" "/>
    <s v=" "/>
    <s v=" "/>
    <s v=" "/>
    <s v=" "/>
    <s v=" "/>
    <s v=" "/>
    <s v=" "/>
    <s v=" "/>
    <s v=" "/>
    <m/>
    <s v=" "/>
    <s v=" "/>
    <s v=" "/>
    <s v=" "/>
    <s v=" "/>
    <n v="0"/>
    <n v="0"/>
    <s v="Demasiado Riesgo"/>
    <m/>
    <m/>
    <m/>
    <m/>
    <m/>
    <m/>
  </r>
  <r>
    <m/>
    <m/>
    <s v="ERIK EDUARDO OJEDA MENDEZ"/>
    <m/>
    <x v="1"/>
    <x v="5"/>
    <m/>
    <m/>
    <n v="127.5939"/>
    <n v="121.59520000000001"/>
    <n v="121.59520000000001"/>
    <m/>
    <m/>
    <m/>
    <m/>
    <x v="5"/>
    <m/>
    <m/>
    <m/>
    <m/>
    <m/>
    <m/>
    <s v=" "/>
    <s v=" "/>
    <s v=" "/>
    <s v=" "/>
    <s v=" "/>
    <s v=" "/>
    <s v=" "/>
    <s v=" "/>
    <s v=" "/>
    <s v=" "/>
    <s v=" "/>
    <m/>
    <s v=" "/>
    <s v=" "/>
    <s v=" "/>
    <s v=" "/>
    <s v=" "/>
    <n v="0"/>
    <n v="0"/>
    <s v="Demasiado Riesgo"/>
    <m/>
    <m/>
    <m/>
    <m/>
    <m/>
    <m/>
  </r>
  <r>
    <m/>
    <m/>
    <s v="POLIMERO Y MATERIAS PRIMAS INTERNACIONALES"/>
    <m/>
    <x v="1"/>
    <x v="5"/>
    <m/>
    <m/>
    <n v="134.02119999999999"/>
    <n v="119.67489999999999"/>
    <n v="119.67489999999999"/>
    <m/>
    <m/>
    <m/>
    <m/>
    <x v="5"/>
    <m/>
    <m/>
    <m/>
    <m/>
    <m/>
    <m/>
    <s v=" "/>
    <s v=" "/>
    <s v=" "/>
    <s v=" "/>
    <s v=" "/>
    <s v=" "/>
    <s v=" "/>
    <s v=" "/>
    <s v=" "/>
    <s v=" "/>
    <s v=" "/>
    <m/>
    <s v=" "/>
    <s v=" "/>
    <s v=" "/>
    <s v=" "/>
    <s v=" "/>
    <n v="0"/>
    <n v="0"/>
    <s v="Demasiado Riesgo"/>
    <m/>
    <m/>
    <m/>
    <m/>
    <m/>
    <m/>
  </r>
  <r>
    <m/>
    <m/>
    <s v="RENACTEUR"/>
    <m/>
    <x v="1"/>
    <x v="5"/>
    <m/>
    <m/>
    <n v="136.68170000000001"/>
    <n v="114.9315"/>
    <n v="114.9315"/>
    <m/>
    <m/>
    <m/>
    <m/>
    <x v="5"/>
    <m/>
    <m/>
    <m/>
    <m/>
    <m/>
    <m/>
    <s v=" "/>
    <s v=" "/>
    <s v=" "/>
    <s v=" "/>
    <s v=" "/>
    <s v=" "/>
    <s v=" "/>
    <s v=" "/>
    <s v=" "/>
    <s v=" "/>
    <s v=" "/>
    <m/>
    <s v=" "/>
    <s v=" "/>
    <s v=" "/>
    <s v=" "/>
    <s v=" "/>
    <n v="0"/>
    <n v="0"/>
    <s v="Demasiado Riesgo"/>
    <m/>
    <m/>
    <m/>
    <m/>
    <m/>
    <m/>
  </r>
  <r>
    <m/>
    <m/>
    <s v="HOSPITAL SOLUTIONS &amp; MEDICAL EQUIPMENT OF CENTER"/>
    <m/>
    <x v="1"/>
    <x v="5"/>
    <m/>
    <m/>
    <n v="123.1711"/>
    <n v="114.51730000000001"/>
    <n v="114.51730000000001"/>
    <m/>
    <m/>
    <m/>
    <m/>
    <x v="5"/>
    <m/>
    <m/>
    <m/>
    <m/>
    <m/>
    <m/>
    <s v=" "/>
    <s v=" "/>
    <s v=" "/>
    <s v=" "/>
    <s v=" "/>
    <s v=" "/>
    <s v=" "/>
    <s v=" "/>
    <s v=" "/>
    <s v=" "/>
    <s v=" "/>
    <m/>
    <s v=" "/>
    <s v=" "/>
    <s v=" "/>
    <s v=" "/>
    <s v=" "/>
    <n v="0"/>
    <n v="0"/>
    <s v="Demasiado Riesgo"/>
    <m/>
    <m/>
    <m/>
    <m/>
    <m/>
    <m/>
  </r>
  <r>
    <m/>
    <m/>
    <s v="INNOVAGRO"/>
    <m/>
    <x v="1"/>
    <x v="5"/>
    <m/>
    <m/>
    <n v="110.1066"/>
    <n v="107.6914"/>
    <n v="107.6914"/>
    <m/>
    <m/>
    <m/>
    <m/>
    <x v="5"/>
    <m/>
    <m/>
    <m/>
    <m/>
    <m/>
    <m/>
    <s v=" "/>
    <s v=" "/>
    <s v=" "/>
    <s v=" "/>
    <s v=" "/>
    <s v=" "/>
    <s v=" "/>
    <s v=" "/>
    <s v=" "/>
    <s v=" "/>
    <s v=" "/>
    <m/>
    <s v=" "/>
    <s v=" "/>
    <s v=" "/>
    <s v=" "/>
    <s v=" "/>
    <n v="0"/>
    <n v="0"/>
    <s v="Demasiado Riesgo"/>
    <m/>
    <m/>
    <m/>
    <m/>
    <m/>
    <m/>
  </r>
  <r>
    <m/>
    <m/>
    <s v="PENTEL DE MEXICO"/>
    <m/>
    <x v="1"/>
    <x v="5"/>
    <m/>
    <m/>
    <n v="108.5414"/>
    <n v="103.4384"/>
    <n v="103.4384"/>
    <m/>
    <m/>
    <m/>
    <m/>
    <x v="5"/>
    <m/>
    <m/>
    <m/>
    <m/>
    <m/>
    <m/>
    <s v=" "/>
    <s v=" "/>
    <s v=" "/>
    <s v=" "/>
    <s v=" "/>
    <s v=" "/>
    <s v=" "/>
    <s v=" "/>
    <s v=" "/>
    <s v=" "/>
    <s v=" "/>
    <m/>
    <s v=" "/>
    <s v=" "/>
    <s v=" "/>
    <s v=" "/>
    <s v=" "/>
    <n v="0"/>
    <n v="0"/>
    <s v="Demasiado Riesgo"/>
    <m/>
    <m/>
    <m/>
    <m/>
    <m/>
    <m/>
  </r>
  <r>
    <m/>
    <m/>
    <s v="ANALISIS AMBIENTAL"/>
    <m/>
    <x v="1"/>
    <x v="5"/>
    <m/>
    <m/>
    <n v="111.26560000000001"/>
    <n v="102.5001"/>
    <n v="102.5001"/>
    <m/>
    <m/>
    <m/>
    <m/>
    <x v="5"/>
    <m/>
    <m/>
    <m/>
    <m/>
    <m/>
    <m/>
    <s v=" "/>
    <s v=" "/>
    <s v=" "/>
    <s v=" "/>
    <s v=" "/>
    <s v=" "/>
    <s v=" "/>
    <s v=" "/>
    <s v=" "/>
    <s v=" "/>
    <s v=" "/>
    <m/>
    <s v=" "/>
    <s v=" "/>
    <s v=" "/>
    <s v=" "/>
    <s v=" "/>
    <n v="0"/>
    <n v="0"/>
    <s v="Demasiado Riesgo"/>
    <m/>
    <m/>
    <m/>
    <m/>
    <m/>
    <m/>
  </r>
  <r>
    <m/>
    <m/>
    <s v="GENESIS SYSTEMS GROUP MEXICO"/>
    <m/>
    <x v="1"/>
    <x v="5"/>
    <m/>
    <m/>
    <n v="97.682000000000002"/>
    <n v="102.3985"/>
    <n v="102.3985"/>
    <m/>
    <m/>
    <m/>
    <m/>
    <x v="5"/>
    <m/>
    <m/>
    <m/>
    <m/>
    <m/>
    <m/>
    <s v=" "/>
    <s v=" "/>
    <s v=" "/>
    <s v=" "/>
    <s v=" "/>
    <s v=" "/>
    <s v=" "/>
    <s v=" "/>
    <s v=" "/>
    <s v=" "/>
    <s v=" "/>
    <m/>
    <s v=" "/>
    <s v=" "/>
    <s v=" "/>
    <s v=" "/>
    <s v=" "/>
    <n v="0"/>
    <n v="0"/>
    <s v="Demasiado Riesgo"/>
    <m/>
    <m/>
    <m/>
    <m/>
    <m/>
    <m/>
  </r>
  <r>
    <m/>
    <m/>
    <s v="TROLLE DIVERS"/>
    <m/>
    <x v="1"/>
    <x v="5"/>
    <m/>
    <m/>
    <n v="109.0629"/>
    <n v="100.7859"/>
    <n v="100.7859"/>
    <m/>
    <m/>
    <m/>
    <m/>
    <x v="5"/>
    <m/>
    <m/>
    <m/>
    <m/>
    <m/>
    <m/>
    <s v=" "/>
    <s v=" "/>
    <s v=" "/>
    <s v=" "/>
    <s v=" "/>
    <s v=" "/>
    <s v=" "/>
    <s v=" "/>
    <s v=" "/>
    <s v=" "/>
    <s v=" "/>
    <m/>
    <s v=" "/>
    <s v=" "/>
    <s v=" "/>
    <s v=" "/>
    <s v=" "/>
    <n v="0"/>
    <n v="0"/>
    <s v="Demasiado Riesgo"/>
    <m/>
    <m/>
    <m/>
    <m/>
    <m/>
    <m/>
  </r>
  <r>
    <m/>
    <m/>
    <s v="MULTIMARCAS DEL ESTADO DE MEXICO"/>
    <m/>
    <x v="1"/>
    <x v="5"/>
    <m/>
    <m/>
    <n v="109.3579"/>
    <n v="100.20820000000001"/>
    <n v="100.20820000000001"/>
    <m/>
    <m/>
    <m/>
    <m/>
    <x v="5"/>
    <m/>
    <m/>
    <m/>
    <m/>
    <m/>
    <m/>
    <s v=" "/>
    <s v=" "/>
    <s v=" "/>
    <s v=" "/>
    <s v=" "/>
    <s v=" "/>
    <s v=" "/>
    <s v=" "/>
    <s v=" "/>
    <s v=" "/>
    <s v=" "/>
    <m/>
    <s v=" "/>
    <s v=" "/>
    <s v=" "/>
    <s v=" "/>
    <s v=" "/>
    <n v="0"/>
    <n v="0"/>
    <s v="Demasiado Riesgo"/>
    <m/>
    <m/>
    <m/>
    <m/>
    <m/>
    <m/>
  </r>
  <r>
    <m/>
    <m/>
    <s v="BENEFICIOS PARA TI"/>
    <m/>
    <x v="1"/>
    <x v="5"/>
    <m/>
    <m/>
    <n v="106.88460000000001"/>
    <n v="100.1033"/>
    <n v="100.1033"/>
    <m/>
    <m/>
    <m/>
    <m/>
    <x v="5"/>
    <m/>
    <m/>
    <m/>
    <m/>
    <m/>
    <m/>
    <s v=" "/>
    <s v=" "/>
    <s v=" "/>
    <s v=" "/>
    <s v=" "/>
    <s v=" "/>
    <s v=" "/>
    <s v=" "/>
    <s v=" "/>
    <s v=" "/>
    <s v=" "/>
    <m/>
    <s v=" "/>
    <s v=" "/>
    <s v=" "/>
    <s v=" "/>
    <s v=" "/>
    <n v="0"/>
    <n v="0"/>
    <s v="Demasiado Riesgo"/>
    <m/>
    <m/>
    <m/>
    <m/>
    <m/>
    <m/>
  </r>
  <r>
    <m/>
    <m/>
    <s v="GRUPO HELARTE"/>
    <m/>
    <x v="1"/>
    <x v="5"/>
    <m/>
    <m/>
    <n v="108.65779999999999"/>
    <n v="99.407399999999996"/>
    <n v="99.407399999999996"/>
    <m/>
    <m/>
    <m/>
    <m/>
    <x v="5"/>
    <m/>
    <m/>
    <m/>
    <m/>
    <m/>
    <m/>
    <s v=" "/>
    <s v=" "/>
    <s v=" "/>
    <s v=" "/>
    <s v=" "/>
    <s v=" "/>
    <s v=" "/>
    <s v=" "/>
    <s v=" "/>
    <s v=" "/>
    <s v=" "/>
    <m/>
    <s v=" "/>
    <s v=" "/>
    <s v=" "/>
    <s v=" "/>
    <s v=" "/>
    <n v="0"/>
    <n v="0"/>
    <s v="Demasiado Riesgo"/>
    <m/>
    <m/>
    <m/>
    <m/>
    <m/>
    <m/>
  </r>
  <r>
    <m/>
    <m/>
    <s v="FEHR BROS. INDUSTRIES"/>
    <m/>
    <x v="1"/>
    <x v="5"/>
    <m/>
    <m/>
    <n v="97.936899999999994"/>
    <n v="96.922200000000004"/>
    <n v="96.922200000000004"/>
    <m/>
    <m/>
    <m/>
    <m/>
    <x v="5"/>
    <m/>
    <m/>
    <m/>
    <m/>
    <m/>
    <m/>
    <s v=" "/>
    <s v=" "/>
    <s v=" "/>
    <s v=" "/>
    <s v=" "/>
    <s v=" "/>
    <s v=" "/>
    <s v=" "/>
    <s v=" "/>
    <s v=" "/>
    <s v=" "/>
    <m/>
    <s v=" "/>
    <s v=" "/>
    <s v=" "/>
    <s v=" "/>
    <s v=" "/>
    <n v="0"/>
    <n v="0"/>
    <s v="Demasiado Riesgo"/>
    <m/>
    <m/>
    <m/>
    <m/>
    <m/>
    <m/>
  </r>
  <r>
    <m/>
    <m/>
    <s v="BIOTECCSA"/>
    <m/>
    <x v="1"/>
    <x v="5"/>
    <m/>
    <m/>
    <n v="93.938299999999998"/>
    <n v="93.102800000000002"/>
    <n v="93.102800000000002"/>
    <m/>
    <m/>
    <m/>
    <m/>
    <x v="5"/>
    <m/>
    <m/>
    <m/>
    <m/>
    <m/>
    <m/>
    <s v=" "/>
    <s v=" "/>
    <s v=" "/>
    <s v=" "/>
    <s v=" "/>
    <s v=" "/>
    <s v=" "/>
    <s v=" "/>
    <s v=" "/>
    <s v=" "/>
    <s v=" "/>
    <m/>
    <s v=" "/>
    <s v=" "/>
    <s v=" "/>
    <s v=" "/>
    <s v=" "/>
    <n v="0"/>
    <n v="0"/>
    <s v="Demasiado Riesgo"/>
    <m/>
    <m/>
    <m/>
    <m/>
    <m/>
    <m/>
  </r>
  <r>
    <m/>
    <m/>
    <s v="JUIA ANCHUKUARINHIRI ZUM ZUM"/>
    <m/>
    <x v="1"/>
    <x v="5"/>
    <m/>
    <m/>
    <n v="100.94750000000001"/>
    <n v="91.620500000000007"/>
    <n v="91.620500000000007"/>
    <m/>
    <m/>
    <m/>
    <m/>
    <x v="5"/>
    <m/>
    <m/>
    <m/>
    <m/>
    <m/>
    <m/>
    <s v=" "/>
    <s v=" "/>
    <s v=" "/>
    <s v=" "/>
    <s v=" "/>
    <s v=" "/>
    <s v=" "/>
    <s v=" "/>
    <s v=" "/>
    <s v=" "/>
    <s v=" "/>
    <m/>
    <s v=" "/>
    <s v=" "/>
    <s v=" "/>
    <s v=" "/>
    <s v=" "/>
    <n v="0"/>
    <n v="0"/>
    <s v="Demasiado Riesgo"/>
    <m/>
    <m/>
    <m/>
    <m/>
    <m/>
    <m/>
  </r>
  <r>
    <m/>
    <m/>
    <s v="ANDAMIOS MONTERREY"/>
    <m/>
    <x v="1"/>
    <x v="5"/>
    <m/>
    <m/>
    <n v="92.051500000000004"/>
    <n v="90.856700000000004"/>
    <n v="90.856700000000004"/>
    <m/>
    <m/>
    <m/>
    <m/>
    <x v="5"/>
    <m/>
    <m/>
    <m/>
    <m/>
    <m/>
    <m/>
    <s v=" "/>
    <s v=" "/>
    <s v=" "/>
    <s v=" "/>
    <s v=" "/>
    <s v=" "/>
    <s v=" "/>
    <s v=" "/>
    <s v=" "/>
    <s v=" "/>
    <s v=" "/>
    <m/>
    <s v=" "/>
    <s v=" "/>
    <s v=" "/>
    <s v=" "/>
    <s v=" "/>
    <n v="0"/>
    <n v="0"/>
    <s v="Demasiado Riesgo"/>
    <m/>
    <m/>
    <m/>
    <m/>
    <m/>
    <m/>
  </r>
  <r>
    <m/>
    <m/>
    <s v="BEMIS DE MEXICO"/>
    <m/>
    <x v="1"/>
    <x v="5"/>
    <m/>
    <m/>
    <n v="94.923500000000004"/>
    <n v="90.460800000000006"/>
    <n v="90.460800000000006"/>
    <m/>
    <m/>
    <m/>
    <m/>
    <x v="5"/>
    <m/>
    <m/>
    <m/>
    <m/>
    <m/>
    <m/>
    <s v=" "/>
    <s v=" "/>
    <s v=" "/>
    <s v=" "/>
    <s v=" "/>
    <s v=" "/>
    <s v=" "/>
    <s v=" "/>
    <s v=" "/>
    <s v=" "/>
    <s v=" "/>
    <m/>
    <s v=" "/>
    <s v=" "/>
    <s v=" "/>
    <s v=" "/>
    <s v=" "/>
    <n v="0"/>
    <n v="0"/>
    <s v="Demasiado Riesgo"/>
    <m/>
    <m/>
    <m/>
    <m/>
    <m/>
    <m/>
  </r>
  <r>
    <m/>
    <m/>
    <s v="ROYAL QUEEN"/>
    <m/>
    <x v="1"/>
    <x v="5"/>
    <m/>
    <m/>
    <n v="98.623099999999994"/>
    <n v="89.510900000000007"/>
    <n v="89.510900000000007"/>
    <m/>
    <m/>
    <m/>
    <m/>
    <x v="5"/>
    <m/>
    <m/>
    <m/>
    <m/>
    <m/>
    <m/>
    <s v=" "/>
    <s v=" "/>
    <s v=" "/>
    <s v=" "/>
    <s v=" "/>
    <s v=" "/>
    <s v=" "/>
    <s v=" "/>
    <s v=" "/>
    <s v=" "/>
    <s v=" "/>
    <m/>
    <s v=" "/>
    <s v=" "/>
    <s v=" "/>
    <s v=" "/>
    <s v=" "/>
    <n v="0"/>
    <n v="0"/>
    <s v="Demasiado Riesgo"/>
    <m/>
    <m/>
    <m/>
    <m/>
    <m/>
    <m/>
  </r>
  <r>
    <m/>
    <m/>
    <s v="GEIGER AUTOMOTIVE DE MEXICO"/>
    <m/>
    <x v="1"/>
    <x v="5"/>
    <m/>
    <m/>
    <n v="90.162300000000002"/>
    <n v="88.608500000000006"/>
    <n v="88.608500000000006"/>
    <m/>
    <m/>
    <m/>
    <m/>
    <x v="5"/>
    <m/>
    <m/>
    <m/>
    <m/>
    <m/>
    <m/>
    <s v=" "/>
    <s v=" "/>
    <s v=" "/>
    <s v=" "/>
    <s v=" "/>
    <s v=" "/>
    <s v=" "/>
    <s v=" "/>
    <s v=" "/>
    <s v=" "/>
    <s v=" "/>
    <m/>
    <s v=" "/>
    <s v=" "/>
    <s v=" "/>
    <s v=" "/>
    <s v=" "/>
    <n v="0"/>
    <n v="0"/>
    <s v="Demasiado Riesgo"/>
    <m/>
    <m/>
    <m/>
    <m/>
    <m/>
    <m/>
  </r>
  <r>
    <m/>
    <m/>
    <s v="SOCIEDAD MEXICANA DE PARRILLEROS SMP"/>
    <m/>
    <x v="1"/>
    <x v="5"/>
    <m/>
    <m/>
    <n v="95.797399999999996"/>
    <n v="85.923400000000001"/>
    <n v="85.923400000000001"/>
    <m/>
    <m/>
    <m/>
    <m/>
    <x v="5"/>
    <m/>
    <m/>
    <m/>
    <m/>
    <m/>
    <m/>
    <s v=" "/>
    <s v=" "/>
    <s v=" "/>
    <s v=" "/>
    <s v=" "/>
    <s v=" "/>
    <s v=" "/>
    <s v=" "/>
    <s v=" "/>
    <s v=" "/>
    <s v=" "/>
    <m/>
    <s v=" "/>
    <s v=" "/>
    <s v=" "/>
    <s v=" "/>
    <s v=" "/>
    <n v="0"/>
    <n v="0"/>
    <s v="Demasiado Riesgo"/>
    <m/>
    <m/>
    <m/>
    <m/>
    <m/>
    <m/>
  </r>
  <r>
    <m/>
    <m/>
    <s v="HOC EST BONUM"/>
    <m/>
    <x v="1"/>
    <x v="5"/>
    <m/>
    <m/>
    <n v="84.990700000000004"/>
    <n v="84.717299999999994"/>
    <n v="84.717299999999994"/>
    <m/>
    <m/>
    <m/>
    <m/>
    <x v="5"/>
    <m/>
    <m/>
    <m/>
    <m/>
    <m/>
    <m/>
    <s v=" "/>
    <s v=" "/>
    <s v=" "/>
    <s v=" "/>
    <s v=" "/>
    <s v=" "/>
    <s v=" "/>
    <s v=" "/>
    <s v=" "/>
    <s v=" "/>
    <s v=" "/>
    <m/>
    <s v=" "/>
    <s v=" "/>
    <s v=" "/>
    <s v=" "/>
    <s v=" "/>
    <n v="0"/>
    <n v="0"/>
    <s v="Demasiado Riesgo"/>
    <m/>
    <m/>
    <m/>
    <m/>
    <m/>
    <m/>
  </r>
  <r>
    <m/>
    <m/>
    <s v="ESAI"/>
    <m/>
    <x v="1"/>
    <x v="5"/>
    <m/>
    <m/>
    <m/>
    <n v="83.944000000000003"/>
    <n v="83.944000000000003"/>
    <m/>
    <m/>
    <m/>
    <m/>
    <x v="5"/>
    <m/>
    <m/>
    <m/>
    <m/>
    <m/>
    <m/>
    <s v=" "/>
    <s v=" "/>
    <s v=" "/>
    <s v=" "/>
    <s v=" "/>
    <s v=" "/>
    <s v=" "/>
    <s v=" "/>
    <s v=" "/>
    <s v=" "/>
    <s v=" "/>
    <m/>
    <s v=" "/>
    <s v=" "/>
    <s v=" "/>
    <s v=" "/>
    <s v=" "/>
    <n v="0"/>
    <n v="0"/>
    <s v="Demasiado Riesgo"/>
    <m/>
    <m/>
    <m/>
    <m/>
    <m/>
    <m/>
  </r>
  <r>
    <m/>
    <m/>
    <s v="COMERCIALIZADORA TELATOR"/>
    <m/>
    <x v="1"/>
    <x v="5"/>
    <m/>
    <m/>
    <n v="103.33799999999999"/>
    <n v="82.066299999999998"/>
    <n v="82.066299999999998"/>
    <m/>
    <m/>
    <m/>
    <m/>
    <x v="5"/>
    <m/>
    <m/>
    <m/>
    <m/>
    <m/>
    <m/>
    <s v=" "/>
    <s v=" "/>
    <s v=" "/>
    <s v=" "/>
    <s v=" "/>
    <s v=" "/>
    <s v=" "/>
    <s v=" "/>
    <s v=" "/>
    <s v=" "/>
    <s v=" "/>
    <m/>
    <s v=" "/>
    <s v=" "/>
    <s v=" "/>
    <s v=" "/>
    <s v=" "/>
    <n v="0"/>
    <n v="0"/>
    <s v="Demasiado Riesgo"/>
    <m/>
    <m/>
    <m/>
    <m/>
    <m/>
    <m/>
  </r>
  <r>
    <m/>
    <m/>
    <s v="FUNDADORES BEACH CLUB"/>
    <m/>
    <x v="1"/>
    <x v="5"/>
    <m/>
    <m/>
    <n v="85.929500000000004"/>
    <n v="81.889600000000002"/>
    <n v="81.889600000000002"/>
    <m/>
    <m/>
    <m/>
    <m/>
    <x v="5"/>
    <m/>
    <m/>
    <m/>
    <m/>
    <m/>
    <m/>
    <s v=" "/>
    <s v=" "/>
    <s v=" "/>
    <s v=" "/>
    <s v=" "/>
    <s v=" "/>
    <s v=" "/>
    <s v=" "/>
    <s v=" "/>
    <s v=" "/>
    <s v=" "/>
    <m/>
    <s v=" "/>
    <s v=" "/>
    <s v=" "/>
    <s v=" "/>
    <s v=" "/>
    <n v="0"/>
    <n v="0"/>
    <s v="Demasiado Riesgo"/>
    <m/>
    <m/>
    <m/>
    <m/>
    <m/>
    <m/>
  </r>
  <r>
    <m/>
    <m/>
    <s v="COMERCIALIZADORA INTERNACIONAL DE COMPRESORES"/>
    <m/>
    <x v="1"/>
    <x v="5"/>
    <m/>
    <m/>
    <n v="85.161699999999996"/>
    <n v="81.157899999999998"/>
    <n v="81.157899999999998"/>
    <m/>
    <m/>
    <m/>
    <m/>
    <x v="5"/>
    <m/>
    <m/>
    <m/>
    <m/>
    <m/>
    <m/>
    <s v=" "/>
    <s v=" "/>
    <s v=" "/>
    <s v=" "/>
    <s v=" "/>
    <s v=" "/>
    <s v=" "/>
    <s v=" "/>
    <s v=" "/>
    <s v=" "/>
    <s v=" "/>
    <m/>
    <s v=" "/>
    <s v=" "/>
    <s v=" "/>
    <s v=" "/>
    <s v=" "/>
    <n v="0"/>
    <n v="0"/>
    <s v="Demasiado Riesgo"/>
    <m/>
    <m/>
    <m/>
    <m/>
    <m/>
    <m/>
  </r>
  <r>
    <m/>
    <m/>
    <s v="MIELE"/>
    <m/>
    <x v="1"/>
    <x v="5"/>
    <m/>
    <m/>
    <n v="84.753100000000003"/>
    <n v="80.768500000000003"/>
    <n v="80.768500000000003"/>
    <m/>
    <m/>
    <m/>
    <m/>
    <x v="5"/>
    <m/>
    <m/>
    <m/>
    <m/>
    <m/>
    <m/>
    <s v=" "/>
    <s v=" "/>
    <s v=" "/>
    <s v=" "/>
    <s v=" "/>
    <s v=" "/>
    <s v=" "/>
    <s v=" "/>
    <s v=" "/>
    <s v=" "/>
    <s v=" "/>
    <m/>
    <s v=" "/>
    <s v=" "/>
    <s v=" "/>
    <s v=" "/>
    <s v=" "/>
    <n v="0"/>
    <n v="0"/>
    <s v="Demasiado Riesgo"/>
    <m/>
    <m/>
    <m/>
    <m/>
    <m/>
    <m/>
  </r>
  <r>
    <m/>
    <m/>
    <s v="BROTHERS BEEF"/>
    <m/>
    <x v="1"/>
    <x v="5"/>
    <m/>
    <m/>
    <n v="82.623400000000004"/>
    <n v="78.739000000000004"/>
    <n v="78.739000000000004"/>
    <m/>
    <m/>
    <m/>
    <m/>
    <x v="5"/>
    <m/>
    <m/>
    <m/>
    <m/>
    <m/>
    <m/>
    <s v=" "/>
    <s v=" "/>
    <s v=" "/>
    <s v=" "/>
    <s v=" "/>
    <s v=" "/>
    <s v=" "/>
    <s v=" "/>
    <s v=" "/>
    <s v=" "/>
    <s v=" "/>
    <m/>
    <s v=" "/>
    <s v=" "/>
    <s v=" "/>
    <s v=" "/>
    <s v=" "/>
    <n v="0"/>
    <n v="0"/>
    <s v="Demasiado Riesgo"/>
    <m/>
    <m/>
    <m/>
    <m/>
    <m/>
    <m/>
  </r>
  <r>
    <m/>
    <m/>
    <s v="SOLUCIONES EN SALUD OCUPACIONAL, SEGURIDAD E HIGIENE INDUSTRIAL"/>
    <m/>
    <x v="1"/>
    <x v="5"/>
    <m/>
    <m/>
    <n v="79.102900000000005"/>
    <n v="75.384"/>
    <n v="75.384"/>
    <m/>
    <m/>
    <m/>
    <m/>
    <x v="5"/>
    <m/>
    <m/>
    <m/>
    <m/>
    <m/>
    <m/>
    <s v=" "/>
    <s v=" "/>
    <s v=" "/>
    <s v=" "/>
    <s v=" "/>
    <s v=" "/>
    <s v=" "/>
    <s v=" "/>
    <s v=" "/>
    <s v=" "/>
    <s v=" "/>
    <m/>
    <s v=" "/>
    <s v=" "/>
    <s v=" "/>
    <s v=" "/>
    <s v=" "/>
    <n v="0"/>
    <n v="0"/>
    <s v="Demasiado Riesgo"/>
    <m/>
    <m/>
    <m/>
    <m/>
    <m/>
    <m/>
  </r>
  <r>
    <m/>
    <m/>
    <s v="WAREHOUSE RENTALS MI LOS CABOS"/>
    <m/>
    <x v="1"/>
    <x v="5"/>
    <m/>
    <m/>
    <n v="77.074600000000004"/>
    <n v="75.384"/>
    <n v="75.384"/>
    <m/>
    <m/>
    <m/>
    <m/>
    <x v="5"/>
    <m/>
    <m/>
    <m/>
    <m/>
    <m/>
    <m/>
    <s v=" "/>
    <s v=" "/>
    <s v=" "/>
    <s v=" "/>
    <s v=" "/>
    <s v=" "/>
    <s v=" "/>
    <s v=" "/>
    <s v=" "/>
    <s v=" "/>
    <s v=" "/>
    <m/>
    <s v=" "/>
    <s v=" "/>
    <s v=" "/>
    <s v=" "/>
    <s v=" "/>
    <n v="0"/>
    <n v="0"/>
    <s v="Demasiado Riesgo"/>
    <m/>
    <m/>
    <m/>
    <m/>
    <m/>
    <m/>
  </r>
  <r>
    <m/>
    <m/>
    <s v="ERGOMEDICAL DE MEXICO"/>
    <m/>
    <x v="1"/>
    <x v="5"/>
    <m/>
    <m/>
    <n v="86.423299999999998"/>
    <n v="75.198400000000007"/>
    <n v="75.198400000000007"/>
    <m/>
    <m/>
    <m/>
    <m/>
    <x v="5"/>
    <m/>
    <m/>
    <m/>
    <m/>
    <m/>
    <m/>
    <s v=" "/>
    <s v=" "/>
    <s v=" "/>
    <s v=" "/>
    <s v=" "/>
    <s v=" "/>
    <s v=" "/>
    <s v=" "/>
    <s v=" "/>
    <s v=" "/>
    <s v=" "/>
    <m/>
    <s v=" "/>
    <s v=" "/>
    <s v=" "/>
    <s v=" "/>
    <s v=" "/>
    <n v="0"/>
    <n v="0"/>
    <s v="Demasiado Riesgo"/>
    <m/>
    <m/>
    <m/>
    <m/>
    <m/>
    <m/>
  </r>
  <r>
    <m/>
    <m/>
    <s v="ENERGIA LIMPIA SALUDABLE"/>
    <m/>
    <x v="1"/>
    <x v="5"/>
    <m/>
    <m/>
    <n v="83.449200000000005"/>
    <n v="75.107799999999997"/>
    <n v="75.107799999999997"/>
    <m/>
    <m/>
    <m/>
    <m/>
    <x v="5"/>
    <m/>
    <m/>
    <m/>
    <m/>
    <m/>
    <m/>
    <s v=" "/>
    <s v=" "/>
    <s v=" "/>
    <s v=" "/>
    <s v=" "/>
    <s v=" "/>
    <s v=" "/>
    <s v=" "/>
    <s v=" "/>
    <s v=" "/>
    <s v=" "/>
    <m/>
    <s v=" "/>
    <s v=" "/>
    <s v=" "/>
    <s v=" "/>
    <s v=" "/>
    <n v="0"/>
    <n v="0"/>
    <s v="Demasiado Riesgo"/>
    <m/>
    <m/>
    <m/>
    <m/>
    <m/>
    <m/>
  </r>
  <r>
    <m/>
    <m/>
    <s v="NUEVA FVZ"/>
    <m/>
    <x v="1"/>
    <x v="5"/>
    <m/>
    <m/>
    <n v="73.887299999999996"/>
    <n v="74.555599999999998"/>
    <n v="74.555599999999998"/>
    <m/>
    <m/>
    <m/>
    <m/>
    <x v="5"/>
    <m/>
    <m/>
    <m/>
    <m/>
    <m/>
    <m/>
    <s v=" "/>
    <s v=" "/>
    <s v=" "/>
    <s v=" "/>
    <s v=" "/>
    <s v=" "/>
    <s v=" "/>
    <s v=" "/>
    <s v=" "/>
    <s v=" "/>
    <s v=" "/>
    <m/>
    <s v=" "/>
    <s v=" "/>
    <s v=" "/>
    <s v=" "/>
    <s v=" "/>
    <n v="0"/>
    <n v="0"/>
    <s v="Demasiado Riesgo"/>
    <m/>
    <m/>
    <m/>
    <m/>
    <m/>
    <m/>
  </r>
  <r>
    <m/>
    <m/>
    <s v="PLENIA HOME CARE"/>
    <m/>
    <x v="1"/>
    <x v="5"/>
    <m/>
    <m/>
    <n v="62.494199999999999"/>
    <n v="74.445099999999996"/>
    <n v="74.445099999999996"/>
    <m/>
    <m/>
    <m/>
    <m/>
    <x v="5"/>
    <m/>
    <m/>
    <m/>
    <m/>
    <m/>
    <m/>
    <s v=" "/>
    <s v=" "/>
    <s v=" "/>
    <s v=" "/>
    <s v=" "/>
    <s v=" "/>
    <s v=" "/>
    <s v=" "/>
    <s v=" "/>
    <s v=" "/>
    <s v=" "/>
    <m/>
    <s v=" "/>
    <s v=" "/>
    <s v=" "/>
    <s v=" "/>
    <s v=" "/>
    <n v="0"/>
    <n v="0"/>
    <s v="Demasiado Riesgo"/>
    <m/>
    <m/>
    <m/>
    <m/>
    <m/>
    <m/>
  </r>
  <r>
    <m/>
    <m/>
    <s v="BOTICAS GRIEGAS DE MEXICO"/>
    <m/>
    <x v="1"/>
    <x v="5"/>
    <m/>
    <m/>
    <n v="81.112700000000004"/>
    <n v="74.436300000000003"/>
    <n v="74.436300000000003"/>
    <m/>
    <m/>
    <m/>
    <m/>
    <x v="5"/>
    <m/>
    <m/>
    <m/>
    <m/>
    <m/>
    <m/>
    <s v=" "/>
    <s v=" "/>
    <s v=" "/>
    <s v=" "/>
    <s v=" "/>
    <s v=" "/>
    <s v=" "/>
    <s v=" "/>
    <s v=" "/>
    <s v=" "/>
    <s v=" "/>
    <m/>
    <s v=" "/>
    <s v=" "/>
    <s v=" "/>
    <s v=" "/>
    <s v=" "/>
    <n v="0"/>
    <n v="0"/>
    <s v="Demasiado Riesgo"/>
    <m/>
    <m/>
    <m/>
    <m/>
    <m/>
    <m/>
  </r>
  <r>
    <m/>
    <m/>
    <s v="INTELIGENCIA MEDIDAS DE PROTECCION ESPECIALIZADA"/>
    <m/>
    <x v="1"/>
    <x v="5"/>
    <m/>
    <m/>
    <n v="75.711600000000004"/>
    <n v="72.152100000000004"/>
    <n v="72.152100000000004"/>
    <m/>
    <m/>
    <m/>
    <m/>
    <x v="5"/>
    <m/>
    <m/>
    <m/>
    <m/>
    <m/>
    <m/>
    <s v=" "/>
    <s v=" "/>
    <s v=" "/>
    <s v=" "/>
    <s v=" "/>
    <s v=" "/>
    <s v=" "/>
    <s v=" "/>
    <s v=" "/>
    <s v=" "/>
    <s v=" "/>
    <m/>
    <s v=" "/>
    <s v=" "/>
    <s v=" "/>
    <s v=" "/>
    <s v=" "/>
    <n v="0"/>
    <n v="0"/>
    <s v="Demasiado Riesgo"/>
    <m/>
    <m/>
    <m/>
    <m/>
    <m/>
    <m/>
  </r>
  <r>
    <m/>
    <m/>
    <s v="IPI-ASAC MEXICO"/>
    <m/>
    <x v="1"/>
    <x v="5"/>
    <m/>
    <m/>
    <m/>
    <n v="71.794200000000004"/>
    <n v="71.794200000000004"/>
    <m/>
    <m/>
    <m/>
    <m/>
    <x v="5"/>
    <m/>
    <m/>
    <m/>
    <m/>
    <m/>
    <m/>
    <s v=" "/>
    <s v=" "/>
    <s v=" "/>
    <s v=" "/>
    <s v=" "/>
    <s v=" "/>
    <s v=" "/>
    <s v=" "/>
    <s v=" "/>
    <s v=" "/>
    <s v=" "/>
    <m/>
    <s v=" "/>
    <s v=" "/>
    <s v=" "/>
    <s v=" "/>
    <s v=" "/>
    <n v="0"/>
    <n v="0"/>
    <s v="Demasiado Riesgo"/>
    <m/>
    <m/>
    <m/>
    <m/>
    <m/>
    <m/>
  </r>
  <r>
    <m/>
    <m/>
    <s v="NEODATA VALLE DE MEXICO"/>
    <m/>
    <x v="1"/>
    <x v="5"/>
    <m/>
    <m/>
    <n v="75.139099999999999"/>
    <n v="71.606499999999997"/>
    <n v="71.606499999999997"/>
    <m/>
    <m/>
    <m/>
    <m/>
    <x v="5"/>
    <m/>
    <m/>
    <m/>
    <m/>
    <m/>
    <m/>
    <s v=" "/>
    <s v=" "/>
    <s v=" "/>
    <s v="OK"/>
    <s v=" "/>
    <s v=" "/>
    <s v=" "/>
    <s v=" "/>
    <s v=" "/>
    <s v=" "/>
    <s v=" "/>
    <m/>
    <s v=" "/>
    <s v=" "/>
    <s v=" "/>
    <s v=" "/>
    <s v=" "/>
    <n v="0"/>
    <n v="3"/>
    <s v="Riesgo Medio"/>
    <m/>
    <m/>
    <m/>
    <m/>
    <m/>
    <m/>
  </r>
  <r>
    <m/>
    <m/>
    <s v="TALENT 2 CLEAN"/>
    <m/>
    <x v="1"/>
    <x v="5"/>
    <m/>
    <m/>
    <m/>
    <n v="70.413600000000002"/>
    <n v="70.413600000000002"/>
    <m/>
    <m/>
    <m/>
    <m/>
    <x v="5"/>
    <m/>
    <m/>
    <m/>
    <m/>
    <m/>
    <m/>
    <s v=" "/>
    <s v=" "/>
    <s v=" "/>
    <s v=" "/>
    <s v=" "/>
    <s v=" "/>
    <s v=" "/>
    <s v=" "/>
    <s v=" "/>
    <s v=" "/>
    <s v=" "/>
    <m/>
    <s v=" "/>
    <s v=" "/>
    <s v=" "/>
    <s v=" "/>
    <s v=" "/>
    <n v="0"/>
    <n v="0"/>
    <s v="Demasiado Riesgo"/>
    <m/>
    <m/>
    <m/>
    <m/>
    <m/>
    <m/>
  </r>
  <r>
    <m/>
    <m/>
    <s v="INSTALACIONES AMBIARK"/>
    <m/>
    <x v="1"/>
    <x v="5"/>
    <m/>
    <m/>
    <m/>
    <n v="69.8613"/>
    <n v="69.8613"/>
    <m/>
    <m/>
    <m/>
    <m/>
    <x v="5"/>
    <m/>
    <m/>
    <m/>
    <m/>
    <m/>
    <m/>
    <s v=" "/>
    <s v=" "/>
    <s v=" "/>
    <s v=" "/>
    <s v=" "/>
    <s v=" "/>
    <s v=" "/>
    <s v=" "/>
    <s v=" "/>
    <s v=" "/>
    <s v=" "/>
    <m/>
    <s v=" "/>
    <s v=" "/>
    <s v=" "/>
    <s v=" "/>
    <s v=" "/>
    <n v="0"/>
    <n v="0"/>
    <s v="Demasiado Riesgo"/>
    <m/>
    <m/>
    <m/>
    <m/>
    <m/>
    <m/>
  </r>
  <r>
    <m/>
    <m/>
    <s v="REYCO RENOVABLES"/>
    <m/>
    <x v="1"/>
    <x v="5"/>
    <m/>
    <m/>
    <n v="79.682400000000001"/>
    <n v="69.8613"/>
    <n v="69.8613"/>
    <m/>
    <m/>
    <m/>
    <m/>
    <x v="5"/>
    <m/>
    <m/>
    <m/>
    <m/>
    <m/>
    <m/>
    <s v=" "/>
    <s v=" "/>
    <s v=" "/>
    <s v=" "/>
    <s v=" "/>
    <s v=" "/>
    <s v=" "/>
    <s v=" "/>
    <s v=" "/>
    <s v=" "/>
    <s v=" "/>
    <m/>
    <s v=" "/>
    <s v=" "/>
    <s v=" "/>
    <s v=" "/>
    <s v=" "/>
    <n v="0"/>
    <n v="0"/>
    <s v="Demasiado Riesgo"/>
    <m/>
    <m/>
    <m/>
    <m/>
    <m/>
    <m/>
  </r>
  <r>
    <m/>
    <m/>
    <s v="PROYECTO COMUN DOBEL"/>
    <m/>
    <x v="1"/>
    <x v="5"/>
    <m/>
    <m/>
    <n v="68.743600000000001"/>
    <n v="67.000600000000006"/>
    <n v="67.000600000000006"/>
    <m/>
    <m/>
    <m/>
    <m/>
    <x v="5"/>
    <m/>
    <m/>
    <m/>
    <m/>
    <m/>
    <m/>
    <s v=" "/>
    <s v=" "/>
    <s v=" "/>
    <s v=" "/>
    <s v=" "/>
    <s v=" "/>
    <s v=" "/>
    <s v=" "/>
    <s v=" "/>
    <s v=" "/>
    <s v=" "/>
    <m/>
    <s v=" "/>
    <s v=" "/>
    <s v=" "/>
    <s v=" "/>
    <s v=" "/>
    <n v="0"/>
    <n v="0"/>
    <s v="Demasiado Riesgo"/>
    <m/>
    <m/>
    <m/>
    <m/>
    <m/>
    <m/>
  </r>
  <r>
    <m/>
    <m/>
    <s v="TODO PARA EL CARPINTERO Y HERRAJES MARTINEZ"/>
    <m/>
    <x v="1"/>
    <x v="5"/>
    <m/>
    <m/>
    <n v="66.933199999999999"/>
    <n v="66.823899999999995"/>
    <n v="66.823899999999995"/>
    <m/>
    <m/>
    <m/>
    <m/>
    <x v="5"/>
    <m/>
    <m/>
    <m/>
    <m/>
    <m/>
    <m/>
    <s v=" "/>
    <s v=" "/>
    <s v=" "/>
    <s v=" "/>
    <s v=" "/>
    <s v=" "/>
    <s v=" "/>
    <s v=" "/>
    <s v=" "/>
    <s v=" "/>
    <s v=" "/>
    <m/>
    <s v=" "/>
    <s v=" "/>
    <s v=" "/>
    <s v=" "/>
    <s v=" "/>
    <n v="0"/>
    <n v="0"/>
    <s v="Demasiado Riesgo"/>
    <m/>
    <m/>
    <m/>
    <m/>
    <m/>
    <m/>
  </r>
  <r>
    <m/>
    <m/>
    <s v="REFRIGERACION COMERCIAL TEHUACAN"/>
    <m/>
    <x v="1"/>
    <x v="5"/>
    <m/>
    <m/>
    <n v="69.540999999999997"/>
    <n v="66.271600000000007"/>
    <n v="66.271600000000007"/>
    <m/>
    <m/>
    <m/>
    <m/>
    <x v="5"/>
    <m/>
    <m/>
    <m/>
    <m/>
    <m/>
    <m/>
    <s v=" "/>
    <s v=" "/>
    <s v=" "/>
    <s v=" "/>
    <s v=" "/>
    <s v=" "/>
    <s v=" "/>
    <s v=" "/>
    <s v=" "/>
    <s v=" "/>
    <s v=" "/>
    <m/>
    <s v=" "/>
    <s v=" "/>
    <s v=" "/>
    <s v=" "/>
    <s v=" "/>
    <n v="0"/>
    <n v="0"/>
    <s v="Demasiado Riesgo"/>
    <m/>
    <m/>
    <m/>
    <m/>
    <m/>
    <m/>
  </r>
  <r>
    <m/>
    <m/>
    <s v="ALCORE INGENIEROS"/>
    <m/>
    <x v="1"/>
    <x v="5"/>
    <m/>
    <m/>
    <n v="75.104299999999995"/>
    <n v="65.847499999999997"/>
    <n v="65.847499999999997"/>
    <m/>
    <m/>
    <m/>
    <m/>
    <x v="5"/>
    <m/>
    <m/>
    <m/>
    <m/>
    <m/>
    <m/>
    <s v=" "/>
    <s v=" "/>
    <s v=" "/>
    <s v=" "/>
    <s v=" "/>
    <s v=" "/>
    <s v=" "/>
    <s v=" "/>
    <s v=" "/>
    <s v=" "/>
    <s v=" "/>
    <m/>
    <s v=" "/>
    <s v=" "/>
    <s v=" "/>
    <s v=" "/>
    <s v=" "/>
    <n v="0"/>
    <n v="0"/>
    <s v="Demasiado Riesgo"/>
    <m/>
    <m/>
    <m/>
    <m/>
    <m/>
    <m/>
  </r>
  <r>
    <m/>
    <m/>
    <s v="NEWTIMES"/>
    <m/>
    <x v="1"/>
    <x v="5"/>
    <m/>
    <m/>
    <n v="68.604500000000002"/>
    <n v="65.379199999999997"/>
    <n v="65.379199999999997"/>
    <m/>
    <m/>
    <m/>
    <m/>
    <x v="5"/>
    <m/>
    <m/>
    <m/>
    <m/>
    <m/>
    <m/>
    <s v=" "/>
    <s v=" "/>
    <s v=" "/>
    <s v=" "/>
    <s v=" "/>
    <s v=" "/>
    <s v=" "/>
    <s v=" "/>
    <s v=" "/>
    <s v=" "/>
    <s v=" "/>
    <m/>
    <s v=" "/>
    <s v=" "/>
    <s v=" "/>
    <s v=" "/>
    <s v=" "/>
    <n v="0"/>
    <n v="0"/>
    <s v="Demasiado Riesgo"/>
    <m/>
    <m/>
    <m/>
    <m/>
    <m/>
    <m/>
  </r>
  <r>
    <m/>
    <m/>
    <s v="SMILE DENTAL HALI"/>
    <m/>
    <x v="1"/>
    <x v="5"/>
    <m/>
    <m/>
    <n v="63.0946"/>
    <n v="64.423199999999994"/>
    <n v="64.423199999999994"/>
    <m/>
    <m/>
    <m/>
    <m/>
    <x v="5"/>
    <m/>
    <m/>
    <m/>
    <m/>
    <m/>
    <m/>
    <s v=" "/>
    <s v=" "/>
    <s v=" "/>
    <s v=" "/>
    <s v=" "/>
    <s v=" "/>
    <s v=" "/>
    <s v=" "/>
    <s v=" "/>
    <s v=" "/>
    <s v=" "/>
    <m/>
    <s v=" "/>
    <s v=" "/>
    <s v=" "/>
    <s v=" "/>
    <s v=" "/>
    <n v="0"/>
    <n v="0"/>
    <s v="Demasiado Riesgo"/>
    <m/>
    <m/>
    <m/>
    <m/>
    <m/>
    <m/>
  </r>
  <r>
    <m/>
    <m/>
    <s v="FRANQUICIAS COLMEX"/>
    <m/>
    <x v="1"/>
    <x v="5"/>
    <m/>
    <m/>
    <n v="82.58"/>
    <n v="63.7864"/>
    <n v="63.7864"/>
    <m/>
    <m/>
    <m/>
    <m/>
    <x v="5"/>
    <m/>
    <m/>
    <m/>
    <m/>
    <m/>
    <m/>
    <s v=" "/>
    <s v=" "/>
    <s v=" "/>
    <s v=" "/>
    <s v=" "/>
    <s v=" "/>
    <s v=" "/>
    <s v=" "/>
    <s v=" "/>
    <s v=" "/>
    <s v=" "/>
    <m/>
    <s v=" "/>
    <s v=" "/>
    <s v=" "/>
    <s v=" "/>
    <s v=" "/>
    <n v="0"/>
    <n v="0"/>
    <s v="Demasiado Riesgo"/>
    <m/>
    <m/>
    <m/>
    <m/>
    <m/>
    <m/>
  </r>
  <r>
    <m/>
    <m/>
    <s v="FERRETERIA Y HERRAMIENTAS PIZANO"/>
    <m/>
    <x v="1"/>
    <x v="5"/>
    <m/>
    <m/>
    <n v="65.484499999999997"/>
    <n v="62.405700000000003"/>
    <n v="62.405700000000003"/>
    <m/>
    <m/>
    <m/>
    <m/>
    <x v="5"/>
    <m/>
    <m/>
    <m/>
    <m/>
    <m/>
    <m/>
    <s v=" "/>
    <s v=" "/>
    <s v=" "/>
    <s v=" "/>
    <s v=" "/>
    <s v=" "/>
    <s v=" "/>
    <s v=" "/>
    <s v=" "/>
    <s v=" "/>
    <s v=" "/>
    <m/>
    <s v=" "/>
    <s v=" "/>
    <s v=" "/>
    <s v=" "/>
    <s v=" "/>
    <n v="0"/>
    <n v="0"/>
    <s v="Demasiado Riesgo"/>
    <m/>
    <m/>
    <m/>
    <m/>
    <m/>
    <m/>
  </r>
  <r>
    <m/>
    <m/>
    <s v="SUMMIT AGRO MEXICO"/>
    <m/>
    <x v="1"/>
    <x v="5"/>
    <m/>
    <m/>
    <n v="64.923500000000004"/>
    <n v="61.871200000000002"/>
    <n v="61.871200000000002"/>
    <m/>
    <m/>
    <m/>
    <m/>
    <x v="5"/>
    <m/>
    <m/>
    <m/>
    <m/>
    <m/>
    <m/>
    <s v=" "/>
    <s v=" "/>
    <s v=" "/>
    <s v="OK"/>
    <s v=" "/>
    <s v=" "/>
    <s v=" "/>
    <s v=" "/>
    <s v=" "/>
    <s v=" "/>
    <s v=" "/>
    <m/>
    <s v=" "/>
    <s v=" "/>
    <s v=" "/>
    <s v=" "/>
    <s v=" "/>
    <n v="0"/>
    <n v="3"/>
    <s v="Riesgo Medio"/>
    <m/>
    <m/>
    <m/>
    <m/>
    <m/>
    <m/>
  </r>
  <r>
    <m/>
    <m/>
    <s v="LETICIA ALMAZAN ARELLANO"/>
    <m/>
    <x v="1"/>
    <x v="5"/>
    <m/>
    <m/>
    <n v="63.087600000000002"/>
    <n v="60.121600000000001"/>
    <n v="60.121600000000001"/>
    <m/>
    <m/>
    <m/>
    <m/>
    <x v="5"/>
    <m/>
    <m/>
    <m/>
    <m/>
    <m/>
    <m/>
    <s v=" "/>
    <s v=" "/>
    <s v=" "/>
    <s v=" "/>
    <s v=" "/>
    <s v=" "/>
    <s v=" "/>
    <s v=" "/>
    <s v=" "/>
    <s v=" "/>
    <s v=" "/>
    <m/>
    <s v=" "/>
    <s v=" "/>
    <s v=" "/>
    <s v=" "/>
    <s v=" "/>
    <n v="0"/>
    <n v="0"/>
    <s v="Demasiado Riesgo"/>
    <m/>
    <m/>
    <m/>
    <m/>
    <m/>
    <m/>
  </r>
  <r>
    <m/>
    <m/>
    <s v="CONTROL DE PLAGAS INTERNACIONAL CENTINELA"/>
    <m/>
    <x v="1"/>
    <x v="5"/>
    <m/>
    <m/>
    <n v="68.497299999999996"/>
    <n v="58.405700000000003"/>
    <n v="58.405700000000003"/>
    <m/>
    <m/>
    <m/>
    <m/>
    <x v="5"/>
    <m/>
    <m/>
    <m/>
    <m/>
    <m/>
    <m/>
    <s v=" "/>
    <s v=" "/>
    <s v=" "/>
    <s v=" "/>
    <s v=" "/>
    <s v=" "/>
    <s v=" "/>
    <s v=" "/>
    <s v=" "/>
    <s v=" "/>
    <s v=" "/>
    <m/>
    <s v=" "/>
    <s v=" "/>
    <s v=" "/>
    <s v=" "/>
    <s v=" "/>
    <n v="0"/>
    <n v="0"/>
    <s v="Demasiado Riesgo"/>
    <m/>
    <m/>
    <m/>
    <m/>
    <m/>
    <m/>
  </r>
  <r>
    <m/>
    <m/>
    <s v="GRUPO OFTALMOLOGICO LASER DE MEXICO"/>
    <m/>
    <x v="1"/>
    <x v="5"/>
    <m/>
    <m/>
    <n v="68.497299999999996"/>
    <n v="58.405700000000003"/>
    <n v="58.405700000000003"/>
    <m/>
    <m/>
    <m/>
    <m/>
    <x v="5"/>
    <m/>
    <m/>
    <m/>
    <m/>
    <m/>
    <m/>
    <s v=" "/>
    <s v=" "/>
    <s v=" "/>
    <s v=" "/>
    <s v=" "/>
    <s v=" "/>
    <s v=" "/>
    <s v=" "/>
    <s v=" "/>
    <s v=" "/>
    <s v=" "/>
    <m/>
    <s v=" "/>
    <s v=" "/>
    <s v=" "/>
    <s v=" "/>
    <s v=" "/>
    <n v="0"/>
    <n v="0"/>
    <s v="Demasiado Riesgo"/>
    <m/>
    <m/>
    <m/>
    <m/>
    <m/>
    <m/>
  </r>
  <r>
    <m/>
    <m/>
    <s v="ARACELI MAGDALENA GONZALEZ SANCHEZ"/>
    <m/>
    <x v="1"/>
    <x v="5"/>
    <m/>
    <m/>
    <n v="60.848399999999998"/>
    <n v="57.987699999999997"/>
    <n v="57.987699999999997"/>
    <m/>
    <m/>
    <m/>
    <m/>
    <x v="5"/>
    <m/>
    <m/>
    <m/>
    <m/>
    <m/>
    <m/>
    <s v=" "/>
    <s v=" "/>
    <s v=" "/>
    <s v=" "/>
    <s v=" "/>
    <s v=" "/>
    <s v=" "/>
    <s v=" "/>
    <s v=" "/>
    <s v=" "/>
    <s v=" "/>
    <m/>
    <s v=" "/>
    <s v=" "/>
    <s v=" "/>
    <s v=" "/>
    <s v=" "/>
    <n v="0"/>
    <n v="0"/>
    <s v="Demasiado Riesgo"/>
    <m/>
    <m/>
    <m/>
    <m/>
    <m/>
    <m/>
  </r>
  <r>
    <m/>
    <m/>
    <s v="LO MEJOR EN ELECTRONICA"/>
    <m/>
    <x v="1"/>
    <x v="5"/>
    <m/>
    <m/>
    <m/>
    <n v="57.987699999999997"/>
    <n v="57.987699999999997"/>
    <m/>
    <m/>
    <m/>
    <m/>
    <x v="5"/>
    <m/>
    <m/>
    <m/>
    <m/>
    <m/>
    <m/>
    <s v=" "/>
    <s v=" "/>
    <s v=" "/>
    <s v=" "/>
    <s v=" "/>
    <s v=" "/>
    <s v=" "/>
    <s v=" "/>
    <s v=" "/>
    <s v=" "/>
    <s v=" "/>
    <m/>
    <s v=" "/>
    <s v=" "/>
    <s v=" "/>
    <s v=" "/>
    <s v=" "/>
    <n v="0"/>
    <n v="0"/>
    <s v="Demasiado Riesgo"/>
    <m/>
    <m/>
    <m/>
    <m/>
    <m/>
    <m/>
  </r>
  <r>
    <m/>
    <m/>
    <s v="PACADA"/>
    <m/>
    <x v="1"/>
    <x v="5"/>
    <m/>
    <m/>
    <n v="60.083399999999997"/>
    <n v="57.258699999999997"/>
    <n v="57.258699999999997"/>
    <m/>
    <m/>
    <m/>
    <m/>
    <x v="5"/>
    <m/>
    <m/>
    <m/>
    <m/>
    <m/>
    <m/>
    <s v=" "/>
    <s v=" "/>
    <s v=" "/>
    <s v=" "/>
    <s v=" "/>
    <s v=" "/>
    <s v=" "/>
    <s v=" "/>
    <s v=" "/>
    <s v=" "/>
    <s v=" "/>
    <m/>
    <s v=" "/>
    <s v=" "/>
    <s v=" "/>
    <s v=" "/>
    <s v=" "/>
    <n v="0"/>
    <n v="0"/>
    <s v="Demasiado Riesgo"/>
    <m/>
    <m/>
    <m/>
    <m/>
    <m/>
    <m/>
  </r>
  <r>
    <m/>
    <m/>
    <s v="DE NORTE A SUR Y POR TODO EL MUNDO"/>
    <m/>
    <x v="1"/>
    <x v="5"/>
    <m/>
    <m/>
    <n v="58.672899999999998"/>
    <n v="55.914499999999997"/>
    <n v="55.914499999999997"/>
    <m/>
    <m/>
    <m/>
    <m/>
    <x v="5"/>
    <m/>
    <m/>
    <m/>
    <m/>
    <m/>
    <m/>
    <s v=" "/>
    <s v=" "/>
    <s v=" "/>
    <s v=" "/>
    <s v=" "/>
    <s v=" "/>
    <s v=" "/>
    <s v=" "/>
    <s v=" "/>
    <s v=" "/>
    <s v=" "/>
    <m/>
    <s v=" "/>
    <s v=" "/>
    <s v=" "/>
    <s v=" "/>
    <s v=" "/>
    <n v="0"/>
    <n v="0"/>
    <s v="Demasiado Riesgo"/>
    <m/>
    <m/>
    <m/>
    <m/>
    <m/>
    <m/>
  </r>
  <r>
    <m/>
    <m/>
    <s v="GALI CENTRO DE FISIOTERAPIA INTEGRAL"/>
    <m/>
    <x v="1"/>
    <x v="5"/>
    <m/>
    <m/>
    <n v="57.950899999999997"/>
    <n v="55.226300000000002"/>
    <n v="55.226300000000002"/>
    <m/>
    <m/>
    <m/>
    <m/>
    <x v="5"/>
    <m/>
    <m/>
    <m/>
    <m/>
    <m/>
    <m/>
    <s v=" "/>
    <s v=" "/>
    <s v=" "/>
    <s v=" "/>
    <s v=" "/>
    <s v=" "/>
    <s v=" "/>
    <s v=" "/>
    <s v=" "/>
    <s v=" "/>
    <s v=" "/>
    <m/>
    <s v=" "/>
    <s v=" "/>
    <s v=" "/>
    <s v=" "/>
    <s v=" "/>
    <n v="0"/>
    <n v="0"/>
    <s v="Demasiado Riesgo"/>
    <m/>
    <m/>
    <m/>
    <m/>
    <m/>
    <m/>
  </r>
  <r>
    <m/>
    <m/>
    <s v="VALTIERRA CERAMICA"/>
    <m/>
    <x v="1"/>
    <x v="5"/>
    <m/>
    <m/>
    <n v="57.950899999999997"/>
    <n v="55.226300000000002"/>
    <n v="55.226300000000002"/>
    <m/>
    <m/>
    <m/>
    <m/>
    <x v="5"/>
    <m/>
    <m/>
    <m/>
    <m/>
    <m/>
    <m/>
    <s v=" "/>
    <s v=" "/>
    <s v=" "/>
    <s v=" "/>
    <s v=" "/>
    <s v=" "/>
    <s v=" "/>
    <s v=" "/>
    <s v=" "/>
    <s v=" "/>
    <s v=" "/>
    <m/>
    <s v=" "/>
    <s v=" "/>
    <s v=" "/>
    <s v=" "/>
    <s v=" "/>
    <n v="0"/>
    <n v="0"/>
    <s v="Demasiado Riesgo"/>
    <m/>
    <m/>
    <m/>
    <m/>
    <m/>
    <m/>
  </r>
  <r>
    <m/>
    <m/>
    <s v="AROMAESENCIA"/>
    <m/>
    <x v="1"/>
    <x v="5"/>
    <m/>
    <m/>
    <n v="57.950899999999997"/>
    <n v="55.226300000000002"/>
    <n v="55.226300000000002"/>
    <m/>
    <m/>
    <m/>
    <m/>
    <x v="5"/>
    <m/>
    <m/>
    <m/>
    <m/>
    <m/>
    <m/>
    <s v=" "/>
    <s v=" "/>
    <s v=" "/>
    <s v=" "/>
    <s v=" "/>
    <s v=" "/>
    <s v=" "/>
    <s v=" "/>
    <s v=" "/>
    <s v=" "/>
    <s v=" "/>
    <m/>
    <s v=" "/>
    <s v=" "/>
    <s v=" "/>
    <s v=" "/>
    <s v=" "/>
    <n v="0"/>
    <n v="0"/>
    <s v="Demasiado Riesgo"/>
    <m/>
    <m/>
    <m/>
    <m/>
    <m/>
    <m/>
  </r>
  <r>
    <m/>
    <m/>
    <s v="AGROINDUSTRIAS DEL BALSAS"/>
    <m/>
    <x v="1"/>
    <x v="5"/>
    <m/>
    <m/>
    <n v="57.805999999999997"/>
    <n v="55.088299999999997"/>
    <n v="55.088299999999997"/>
    <m/>
    <m/>
    <m/>
    <m/>
    <x v="5"/>
    <m/>
    <m/>
    <m/>
    <m/>
    <m/>
    <m/>
    <s v=" "/>
    <s v=" "/>
    <s v=" "/>
    <s v=" "/>
    <s v=" "/>
    <s v=" "/>
    <s v=" "/>
    <s v=" "/>
    <s v=" "/>
    <s v=" "/>
    <s v=" "/>
    <m/>
    <s v=" "/>
    <s v=" "/>
    <s v=" "/>
    <s v=" "/>
    <s v=" "/>
    <n v="0"/>
    <n v="0"/>
    <s v="Demasiado Riesgo"/>
    <m/>
    <m/>
    <m/>
    <m/>
    <m/>
    <m/>
  </r>
  <r>
    <m/>
    <m/>
    <s v="MYGO ENERGY"/>
    <m/>
    <x v="1"/>
    <x v="5"/>
    <m/>
    <m/>
    <n v="57.682000000000002"/>
    <n v="54.970100000000002"/>
    <n v="54.970100000000002"/>
    <m/>
    <m/>
    <m/>
    <m/>
    <x v="5"/>
    <m/>
    <m/>
    <m/>
    <m/>
    <m/>
    <m/>
    <s v=" "/>
    <s v=" "/>
    <s v=" "/>
    <s v=" "/>
    <s v=" "/>
    <s v=" "/>
    <s v=" "/>
    <s v=" "/>
    <s v=" "/>
    <s v=" "/>
    <s v=" "/>
    <m/>
    <s v=" "/>
    <s v=" "/>
    <s v=" "/>
    <s v=" "/>
    <s v=" "/>
    <n v="0"/>
    <n v="0"/>
    <s v="Demasiado Riesgo"/>
    <m/>
    <m/>
    <m/>
    <m/>
    <m/>
    <m/>
  </r>
  <r>
    <m/>
    <m/>
    <s v="FULLMEX INDUSTRIAL"/>
    <m/>
    <x v="1"/>
    <x v="5"/>
    <m/>
    <m/>
    <n v="56.5229"/>
    <n v="53.865600000000001"/>
    <n v="53.865600000000001"/>
    <m/>
    <m/>
    <m/>
    <m/>
    <x v="5"/>
    <m/>
    <m/>
    <m/>
    <m/>
    <m/>
    <m/>
    <s v=" "/>
    <s v=" "/>
    <s v=" "/>
    <s v=" "/>
    <s v=" "/>
    <s v=" "/>
    <s v=" "/>
    <s v=" "/>
    <s v=" "/>
    <s v=" "/>
    <s v=" "/>
    <m/>
    <s v=" "/>
    <s v=" "/>
    <s v=" "/>
    <s v=" "/>
    <s v=" "/>
    <n v="0"/>
    <n v="0"/>
    <s v="Demasiado Riesgo"/>
    <m/>
    <m/>
    <m/>
    <m/>
    <m/>
    <m/>
  </r>
  <r>
    <m/>
    <m/>
    <s v="ALFREDO MARIN LUNA"/>
    <m/>
    <x v="1"/>
    <x v="5"/>
    <m/>
    <m/>
    <n v="56.502099999999999"/>
    <n v="53.845700000000001"/>
    <n v="53.845700000000001"/>
    <m/>
    <m/>
    <m/>
    <m/>
    <x v="5"/>
    <m/>
    <m/>
    <m/>
    <m/>
    <m/>
    <m/>
    <s v=" "/>
    <s v=" "/>
    <s v=" "/>
    <s v=" "/>
    <s v=" "/>
    <s v=" "/>
    <s v=" "/>
    <s v=" "/>
    <s v=" "/>
    <s v=" "/>
    <s v=" "/>
    <m/>
    <s v=" "/>
    <s v=" "/>
    <s v=" "/>
    <s v=" "/>
    <s v=" "/>
    <n v="0"/>
    <n v="0"/>
    <s v="Demasiado Riesgo"/>
    <m/>
    <m/>
    <m/>
    <m/>
    <m/>
    <m/>
  </r>
  <r>
    <m/>
    <m/>
    <s v="FIRST VIRTUAL MANAGEMENT MEXICO"/>
    <m/>
    <x v="1"/>
    <x v="5"/>
    <m/>
    <m/>
    <n v="56.502099999999999"/>
    <n v="53.845700000000001"/>
    <n v="53.845700000000001"/>
    <m/>
    <m/>
    <m/>
    <m/>
    <x v="5"/>
    <m/>
    <m/>
    <m/>
    <m/>
    <m/>
    <m/>
    <s v=" "/>
    <s v=" "/>
    <s v=" "/>
    <s v=" "/>
    <s v=" "/>
    <s v=" "/>
    <s v=" "/>
    <s v=" "/>
    <s v=" "/>
    <s v=" "/>
    <s v=" "/>
    <m/>
    <s v=" "/>
    <s v=" "/>
    <s v=" "/>
    <s v=" "/>
    <s v=" "/>
    <n v="0"/>
    <n v="0"/>
    <s v="Demasiado Riesgo"/>
    <m/>
    <m/>
    <m/>
    <m/>
    <m/>
    <m/>
  </r>
  <r>
    <m/>
    <m/>
    <s v="SPARRMX SERVICIOS DE MEXICO"/>
    <m/>
    <x v="1"/>
    <x v="5"/>
    <m/>
    <m/>
    <n v="56.4024"/>
    <n v="53.750700000000002"/>
    <n v="53.750700000000002"/>
    <m/>
    <m/>
    <m/>
    <m/>
    <x v="5"/>
    <m/>
    <m/>
    <m/>
    <m/>
    <m/>
    <m/>
    <s v=" "/>
    <s v=" "/>
    <s v=" "/>
    <s v=" "/>
    <s v=" "/>
    <s v=" "/>
    <s v=" "/>
    <s v=" "/>
    <s v=" "/>
    <s v=" "/>
    <s v=" "/>
    <m/>
    <s v=" "/>
    <s v=" "/>
    <s v=" "/>
    <s v=" "/>
    <s v=" "/>
    <n v="0"/>
    <n v="0"/>
    <s v="Demasiado Riesgo"/>
    <m/>
    <m/>
    <m/>
    <m/>
    <m/>
    <m/>
  </r>
  <r>
    <m/>
    <m/>
    <s v="DRP SERVICIOS AUTOMOTRICES"/>
    <m/>
    <x v="1"/>
    <x v="5"/>
    <m/>
    <m/>
    <n v="55.930100000000003"/>
    <n v="53.300600000000003"/>
    <n v="53.300600000000003"/>
    <m/>
    <m/>
    <m/>
    <m/>
    <x v="5"/>
    <m/>
    <m/>
    <m/>
    <m/>
    <m/>
    <m/>
    <s v=" "/>
    <s v=" "/>
    <s v=" "/>
    <s v=" "/>
    <s v=" "/>
    <s v=" "/>
    <s v=" "/>
    <s v=" "/>
    <s v=" "/>
    <s v=" "/>
    <s v=" "/>
    <m/>
    <s v=" "/>
    <s v=" "/>
    <s v=" "/>
    <s v=" "/>
    <s v=" "/>
    <n v="0"/>
    <n v="0"/>
    <s v="Demasiado Riesgo"/>
    <m/>
    <m/>
    <m/>
    <m/>
    <m/>
    <m/>
  </r>
  <r>
    <m/>
    <m/>
    <s v="VS AUTOMATIZACION"/>
    <m/>
    <x v="1"/>
    <x v="5"/>
    <m/>
    <m/>
    <n v="55.930100000000003"/>
    <n v="53.300600000000003"/>
    <n v="53.300600000000003"/>
    <m/>
    <m/>
    <m/>
    <m/>
    <x v="5"/>
    <m/>
    <m/>
    <m/>
    <m/>
    <m/>
    <m/>
    <s v=" "/>
    <s v=" "/>
    <s v=" "/>
    <s v=" "/>
    <s v=" "/>
    <s v=" "/>
    <s v=" "/>
    <s v=" "/>
    <s v=" "/>
    <s v=" "/>
    <s v=" "/>
    <m/>
    <s v=" "/>
    <s v=" "/>
    <s v=" "/>
    <s v=" "/>
    <s v=" "/>
    <n v="0"/>
    <n v="0"/>
    <s v="Demasiado Riesgo"/>
    <m/>
    <m/>
    <m/>
    <m/>
    <m/>
    <m/>
  </r>
  <r>
    <m/>
    <m/>
    <s v="FABRICA DE DULCES Y CHOCOLATES LA POBLANA"/>
    <m/>
    <x v="1"/>
    <x v="5"/>
    <m/>
    <m/>
    <n v="54.085500000000003"/>
    <n v="53.260800000000003"/>
    <n v="53.260800000000003"/>
    <m/>
    <m/>
    <m/>
    <m/>
    <x v="5"/>
    <m/>
    <m/>
    <m/>
    <m/>
    <m/>
    <m/>
    <s v=" "/>
    <s v=" "/>
    <s v=" "/>
    <s v=" "/>
    <s v=" "/>
    <s v=" "/>
    <s v=" "/>
    <s v=" "/>
    <s v=" "/>
    <s v=" "/>
    <s v=" "/>
    <m/>
    <s v=" "/>
    <s v=" "/>
    <s v=" "/>
    <s v=" "/>
    <s v=" "/>
    <n v="0"/>
    <n v="0"/>
    <s v="Demasiado Riesgo"/>
    <m/>
    <m/>
    <m/>
    <m/>
    <m/>
    <m/>
  </r>
  <r>
    <m/>
    <m/>
    <s v="DULCERIA PUEBLA"/>
    <m/>
    <x v="1"/>
    <x v="5"/>
    <m/>
    <m/>
    <n v="54.479599999999998"/>
    <n v="51.918300000000002"/>
    <n v="51.918300000000002"/>
    <m/>
    <m/>
    <m/>
    <m/>
    <x v="5"/>
    <m/>
    <m/>
    <m/>
    <m/>
    <m/>
    <m/>
    <s v=" "/>
    <s v=" "/>
    <s v=" "/>
    <s v=" "/>
    <s v=" "/>
    <s v=" "/>
    <s v=" "/>
    <s v=" "/>
    <s v=" "/>
    <s v=" "/>
    <s v=" "/>
    <m/>
    <s v=" "/>
    <s v=" "/>
    <s v=" "/>
    <s v=" "/>
    <s v=" "/>
    <n v="0"/>
    <n v="0"/>
    <s v="Demasiado Riesgo"/>
    <m/>
    <m/>
    <m/>
    <m/>
    <m/>
    <m/>
  </r>
  <r>
    <m/>
    <m/>
    <s v="SERVICIOS EMPRESARIALES DE ALTURA"/>
    <m/>
    <x v="1"/>
    <x v="5"/>
    <m/>
    <m/>
    <n v="54.241999999999997"/>
    <n v="51.691899999999997"/>
    <n v="51.691899999999997"/>
    <m/>
    <m/>
    <m/>
    <m/>
    <x v="5"/>
    <m/>
    <m/>
    <m/>
    <m/>
    <m/>
    <m/>
    <s v=" "/>
    <s v=" "/>
    <s v=" "/>
    <s v=" "/>
    <s v=" "/>
    <s v=" "/>
    <s v=" "/>
    <s v=" "/>
    <s v=" "/>
    <s v=" "/>
    <s v=" "/>
    <m/>
    <s v=" "/>
    <s v=" "/>
    <s v=" "/>
    <s v=" "/>
    <s v=" "/>
    <n v="0"/>
    <n v="0"/>
    <s v="Demasiado Riesgo"/>
    <m/>
    <m/>
    <m/>
    <m/>
    <m/>
    <m/>
  </r>
  <r>
    <m/>
    <m/>
    <s v="PANIFICADORA ARTESANAL TLAKATI"/>
    <m/>
    <x v="1"/>
    <x v="5"/>
    <m/>
    <m/>
    <n v="57.682000000000002"/>
    <n v="51.534500000000001"/>
    <n v="51.534500000000001"/>
    <m/>
    <m/>
    <m/>
    <m/>
    <x v="5"/>
    <m/>
    <m/>
    <m/>
    <m/>
    <m/>
    <m/>
    <s v=" "/>
    <s v=" "/>
    <s v=" "/>
    <s v=" "/>
    <s v=" "/>
    <s v=" "/>
    <s v=" "/>
    <s v=" "/>
    <s v=" "/>
    <s v=" "/>
    <s v=" "/>
    <m/>
    <s v=" "/>
    <s v=" "/>
    <s v=" "/>
    <s v=" "/>
    <s v=" "/>
    <n v="0"/>
    <n v="0"/>
    <s v="Demasiado Riesgo"/>
    <m/>
    <m/>
    <m/>
    <m/>
    <m/>
    <m/>
  </r>
  <r>
    <m/>
    <m/>
    <s v="ALFREDO CADENA PADRON"/>
    <m/>
    <x v="1"/>
    <x v="5"/>
    <m/>
    <m/>
    <n v="52.764299999999999"/>
    <n v="50.2836"/>
    <n v="50.2836"/>
    <m/>
    <m/>
    <m/>
    <m/>
    <x v="5"/>
    <m/>
    <m/>
    <m/>
    <m/>
    <m/>
    <m/>
    <s v=" "/>
    <s v=" "/>
    <s v=" "/>
    <s v=" "/>
    <s v=" "/>
    <s v=" "/>
    <s v=" "/>
    <s v=" "/>
    <s v=" "/>
    <s v=" "/>
    <s v=" "/>
    <m/>
    <s v=" "/>
    <s v=" "/>
    <s v=" "/>
    <s v=" "/>
    <s v=" "/>
    <n v="0"/>
    <n v="0"/>
    <s v="Demasiado Riesgo"/>
    <m/>
    <m/>
    <m/>
    <m/>
    <m/>
    <m/>
  </r>
  <r>
    <m/>
    <m/>
    <s v="GRUPO GRAFICO ALBANS"/>
    <m/>
    <x v="1"/>
    <x v="5"/>
    <m/>
    <m/>
    <n v="52.764299999999999"/>
    <n v="50.2836"/>
    <n v="50.2836"/>
    <m/>
    <m/>
    <m/>
    <m/>
    <x v="5"/>
    <m/>
    <m/>
    <m/>
    <m/>
    <m/>
    <m/>
    <s v=" "/>
    <s v=" "/>
    <s v=" "/>
    <s v=" "/>
    <s v=" "/>
    <s v=" "/>
    <s v=" "/>
    <s v=" "/>
    <s v=" "/>
    <s v=" "/>
    <s v=" "/>
    <m/>
    <s v=" "/>
    <s v=" "/>
    <s v=" "/>
    <s v=" "/>
    <s v=" "/>
    <n v="0"/>
    <n v="0"/>
    <s v="Demasiado Riesgo"/>
    <m/>
    <m/>
    <m/>
    <m/>
    <m/>
    <m/>
  </r>
  <r>
    <m/>
    <m/>
    <s v="SMARK CHEMICALS INTERNATIONAL"/>
    <m/>
    <x v="1"/>
    <x v="5"/>
    <m/>
    <m/>
    <n v="52.764299999999999"/>
    <n v="50.2836"/>
    <n v="50.2836"/>
    <m/>
    <m/>
    <m/>
    <m/>
    <x v="5"/>
    <m/>
    <m/>
    <m/>
    <m/>
    <m/>
    <m/>
    <s v=" "/>
    <s v=" "/>
    <s v=" "/>
    <s v=" "/>
    <s v=" "/>
    <s v=" "/>
    <s v=" "/>
    <s v=" "/>
    <s v=" "/>
    <s v=" "/>
    <s v=" "/>
    <m/>
    <s v=" "/>
    <s v=" "/>
    <s v=" "/>
    <s v=" "/>
    <s v=" "/>
    <n v="0"/>
    <n v="0"/>
    <s v="Demasiado Riesgo"/>
    <m/>
    <m/>
    <m/>
    <m/>
    <m/>
    <m/>
  </r>
  <r>
    <m/>
    <m/>
    <s v="IBERDESPENSA"/>
    <m/>
    <x v="1"/>
    <x v="5"/>
    <m/>
    <m/>
    <m/>
    <n v="50.256"/>
    <n v="50.256"/>
    <m/>
    <m/>
    <m/>
    <m/>
    <x v="5"/>
    <m/>
    <m/>
    <m/>
    <m/>
    <m/>
    <m/>
    <s v=" "/>
    <s v=" "/>
    <s v=" "/>
    <s v=" "/>
    <s v=" "/>
    <s v=" "/>
    <s v=" "/>
    <s v=" "/>
    <s v=" "/>
    <s v=" "/>
    <s v=" "/>
    <m/>
    <s v=" "/>
    <s v=" "/>
    <s v=" "/>
    <s v=" "/>
    <s v=" "/>
    <n v="0"/>
    <n v="0"/>
    <s v="Demasiado Riesgo"/>
    <m/>
    <m/>
    <m/>
    <m/>
    <m/>
    <m/>
  </r>
  <r>
    <m/>
    <m/>
    <s v="MAXIMA COBERTURA COSTERA DE SERVICIOS INMOBILIARIOS"/>
    <m/>
    <x v="1"/>
    <x v="5"/>
    <m/>
    <m/>
    <n v="52.155799999999999"/>
    <n v="49.703699999999998"/>
    <n v="49.703699999999998"/>
    <m/>
    <m/>
    <m/>
    <m/>
    <x v="5"/>
    <m/>
    <m/>
    <m/>
    <m/>
    <m/>
    <m/>
    <s v=" "/>
    <s v=" "/>
    <s v=" "/>
    <s v=" "/>
    <s v=" "/>
    <s v=" "/>
    <s v=" "/>
    <s v=" "/>
    <s v=" "/>
    <s v=" "/>
    <s v=" "/>
    <m/>
    <s v=" "/>
    <s v=" "/>
    <s v=" "/>
    <s v=" "/>
    <s v=" "/>
    <n v="0"/>
    <n v="0"/>
    <s v="Demasiado Riesgo"/>
    <m/>
    <m/>
    <m/>
    <m/>
    <m/>
    <m/>
  </r>
  <r>
    <m/>
    <m/>
    <s v="AGUA PURIFICADA LOS VOLCANES"/>
    <m/>
    <x v="1"/>
    <x v="5"/>
    <m/>
    <m/>
    <n v="51.0779"/>
    <n v="48.676499999999997"/>
    <n v="48.676499999999997"/>
    <m/>
    <m/>
    <m/>
    <m/>
    <x v="5"/>
    <m/>
    <m/>
    <m/>
    <m/>
    <m/>
    <m/>
    <s v=" "/>
    <s v=" "/>
    <s v=" "/>
    <s v=" "/>
    <s v=" "/>
    <s v=" "/>
    <s v=" "/>
    <s v=" "/>
    <s v=" "/>
    <s v=" "/>
    <s v=" "/>
    <m/>
    <s v=" "/>
    <s v=" "/>
    <s v=" "/>
    <s v=" "/>
    <s v=" "/>
    <n v="0"/>
    <n v="0"/>
    <s v="Demasiado Riesgo"/>
    <m/>
    <m/>
    <m/>
    <m/>
    <m/>
    <m/>
  </r>
  <r>
    <m/>
    <m/>
    <s v="GRUPO DE ESTUDIOS MEDICOS Y FAMILIARES CARRACI"/>
    <m/>
    <x v="1"/>
    <x v="5"/>
    <m/>
    <m/>
    <n v="50.722000000000001"/>
    <n v="48.337400000000002"/>
    <n v="48.337400000000002"/>
    <m/>
    <m/>
    <m/>
    <m/>
    <x v="5"/>
    <m/>
    <m/>
    <m/>
    <m/>
    <m/>
    <m/>
    <s v=" "/>
    <s v=" "/>
    <s v=" "/>
    <s v=" "/>
    <s v=" "/>
    <s v=" "/>
    <s v=" "/>
    <s v=" "/>
    <s v=" "/>
    <s v=" "/>
    <s v=" "/>
    <m/>
    <s v=" "/>
    <s v=" "/>
    <s v=" "/>
    <s v=" "/>
    <s v=" "/>
    <n v="0"/>
    <n v="0"/>
    <s v="Demasiado Riesgo"/>
    <m/>
    <m/>
    <m/>
    <m/>
    <m/>
    <m/>
  </r>
  <r>
    <m/>
    <m/>
    <s v="ENELCOM MEXICO"/>
    <m/>
    <x v="1"/>
    <x v="5"/>
    <m/>
    <m/>
    <n v="50.471699999999998"/>
    <n v="48.098799999999997"/>
    <n v="48.098799999999997"/>
    <m/>
    <m/>
    <m/>
    <m/>
    <x v="5"/>
    <m/>
    <m/>
    <m/>
    <m/>
    <m/>
    <m/>
    <s v=" "/>
    <s v=" "/>
    <s v=" "/>
    <s v=" "/>
    <s v=" "/>
    <s v=" "/>
    <s v=" "/>
    <s v=" "/>
    <s v=" "/>
    <s v=" "/>
    <s v=" "/>
    <m/>
    <s v=" "/>
    <s v=" "/>
    <s v=" "/>
    <s v=" "/>
    <s v=" "/>
    <n v="0"/>
    <n v="0"/>
    <s v="Demasiado Riesgo"/>
    <m/>
    <m/>
    <m/>
    <m/>
    <m/>
    <m/>
  </r>
  <r>
    <m/>
    <m/>
    <s v="CANADIAN SOLAR SERVICES MEXICO"/>
    <m/>
    <x v="1"/>
    <x v="5"/>
    <m/>
    <m/>
    <n v="50.269399999999997"/>
    <n v="47.906100000000002"/>
    <n v="47.906100000000002"/>
    <m/>
    <m/>
    <m/>
    <m/>
    <x v="5"/>
    <m/>
    <m/>
    <m/>
    <m/>
    <m/>
    <m/>
    <s v=" "/>
    <s v=" "/>
    <s v=" "/>
    <s v=" "/>
    <s v=" "/>
    <s v=" "/>
    <s v=" "/>
    <s v=" "/>
    <s v=" "/>
    <s v=" "/>
    <s v=" "/>
    <m/>
    <s v=" "/>
    <s v=" "/>
    <s v=" "/>
    <s v=" "/>
    <s v=" "/>
    <n v="0"/>
    <n v="0"/>
    <s v="Demasiado Riesgo"/>
    <m/>
    <m/>
    <m/>
    <m/>
    <m/>
    <m/>
  </r>
  <r>
    <m/>
    <m/>
    <s v="FAUSTO PEREZ SANCHEZ"/>
    <m/>
    <x v="1"/>
    <x v="5"/>
    <m/>
    <m/>
    <n v="49.3127"/>
    <n v="46.994300000000003"/>
    <n v="46.994300000000003"/>
    <m/>
    <m/>
    <m/>
    <m/>
    <x v="5"/>
    <m/>
    <m/>
    <m/>
    <m/>
    <m/>
    <m/>
    <s v=" "/>
    <s v=" "/>
    <s v=" "/>
    <s v=" "/>
    <s v=" "/>
    <s v=" "/>
    <s v=" "/>
    <s v=" "/>
    <s v=" "/>
    <s v=" "/>
    <s v=" "/>
    <m/>
    <s v=" "/>
    <s v=" "/>
    <s v=" "/>
    <s v=" "/>
    <s v=" "/>
    <n v="0"/>
    <n v="0"/>
    <s v="Demasiado Riesgo"/>
    <m/>
    <m/>
    <m/>
    <m/>
    <m/>
    <m/>
  </r>
  <r>
    <m/>
    <m/>
    <s v="GUILLERMO AUGUSTO FACUNDO SIMONINI"/>
    <m/>
    <x v="1"/>
    <x v="5"/>
    <m/>
    <m/>
    <n v="57.255499999999998"/>
    <n v="46.169199999999996"/>
    <n v="46.169199999999996"/>
    <m/>
    <m/>
    <m/>
    <m/>
    <x v="5"/>
    <m/>
    <m/>
    <m/>
    <m/>
    <m/>
    <m/>
    <s v=" "/>
    <s v=" "/>
    <s v=" "/>
    <s v=" "/>
    <s v=" "/>
    <s v=" "/>
    <s v=" "/>
    <s v=" "/>
    <s v=" "/>
    <s v=" "/>
    <s v=" "/>
    <m/>
    <s v=" "/>
    <s v=" "/>
    <s v=" "/>
    <s v=" "/>
    <s v=" "/>
    <n v="0"/>
    <n v="0"/>
    <s v="Demasiado Riesgo"/>
    <m/>
    <m/>
    <m/>
    <m/>
    <m/>
    <m/>
  </r>
  <r>
    <m/>
    <m/>
    <s v="BLANCA LIDIA JAIMES RAMIREZ"/>
    <m/>
    <x v="1"/>
    <x v="5"/>
    <m/>
    <m/>
    <n v="43.393599999999999"/>
    <n v="44.799599999999998"/>
    <n v="44.799599999999998"/>
    <m/>
    <m/>
    <m/>
    <m/>
    <x v="5"/>
    <m/>
    <m/>
    <m/>
    <m/>
    <m/>
    <m/>
    <s v=" "/>
    <s v=" "/>
    <s v=" "/>
    <s v=" "/>
    <s v=" "/>
    <s v=" "/>
    <s v=" "/>
    <s v=" "/>
    <s v=" "/>
    <s v=" "/>
    <s v=" "/>
    <m/>
    <s v=" "/>
    <s v=" "/>
    <s v=" "/>
    <s v=" "/>
    <s v=" "/>
    <n v="0"/>
    <n v="0"/>
    <s v="Demasiado Riesgo"/>
    <m/>
    <m/>
    <m/>
    <m/>
    <m/>
    <m/>
  </r>
  <r>
    <m/>
    <m/>
    <s v="CREASUNN"/>
    <m/>
    <x v="1"/>
    <x v="5"/>
    <m/>
    <m/>
    <n v="46.964500000000001"/>
    <n v="44.756500000000003"/>
    <n v="44.756500000000003"/>
    <m/>
    <m/>
    <m/>
    <m/>
    <x v="5"/>
    <m/>
    <m/>
    <m/>
    <m/>
    <m/>
    <m/>
    <s v=" "/>
    <s v=" "/>
    <s v=" "/>
    <s v=" "/>
    <s v=" "/>
    <s v=" "/>
    <s v=" "/>
    <s v=" "/>
    <s v=" "/>
    <s v=" "/>
    <s v=" "/>
    <m/>
    <s v=" "/>
    <s v=" "/>
    <s v=" "/>
    <s v=" "/>
    <s v=" "/>
    <n v="0"/>
    <n v="0"/>
    <s v="Demasiado Riesgo"/>
    <m/>
    <m/>
    <m/>
    <m/>
    <m/>
    <m/>
  </r>
  <r>
    <m/>
    <m/>
    <s v="JUST MI ESTUDIO CREATIVO"/>
    <m/>
    <x v="1"/>
    <x v="5"/>
    <m/>
    <m/>
    <n v="46.964500000000001"/>
    <n v="44.756500000000003"/>
    <n v="44.756500000000003"/>
    <m/>
    <m/>
    <m/>
    <m/>
    <x v="5"/>
    <m/>
    <m/>
    <m/>
    <m/>
    <m/>
    <m/>
    <s v=" "/>
    <s v=" "/>
    <s v=" "/>
    <s v=" "/>
    <s v=" "/>
    <s v=" "/>
    <s v=" "/>
    <s v=" "/>
    <s v=" "/>
    <s v=" "/>
    <s v=" "/>
    <m/>
    <s v=" "/>
    <s v=" "/>
    <s v=" "/>
    <s v=" "/>
    <s v=" "/>
    <n v="0"/>
    <n v="0"/>
    <s v="Demasiado Riesgo"/>
    <m/>
    <m/>
    <m/>
    <m/>
    <m/>
    <m/>
  </r>
  <r>
    <m/>
    <m/>
    <s v="RESINAS Y FIBRAS DE BAJA CALIFORNIA"/>
    <m/>
    <x v="1"/>
    <x v="5"/>
    <m/>
    <m/>
    <n v="46.964500000000001"/>
    <n v="44.756500000000003"/>
    <n v="44.756500000000003"/>
    <m/>
    <m/>
    <m/>
    <m/>
    <x v="5"/>
    <m/>
    <m/>
    <m/>
    <m/>
    <m/>
    <m/>
    <s v=" "/>
    <s v=" "/>
    <s v=" "/>
    <s v=" "/>
    <s v=" "/>
    <s v=" "/>
    <s v=" "/>
    <s v=" "/>
    <s v=" "/>
    <s v=" "/>
    <s v=" "/>
    <m/>
    <s v=" "/>
    <s v=" "/>
    <s v=" "/>
    <s v=" "/>
    <s v=" "/>
    <n v="0"/>
    <n v="0"/>
    <s v="Demasiado Riesgo"/>
    <m/>
    <m/>
    <m/>
    <m/>
    <m/>
    <m/>
  </r>
  <r>
    <m/>
    <m/>
    <s v="BIOINSUMOS AGRICOLAS DE JALISCO"/>
    <m/>
    <x v="1"/>
    <x v="5"/>
    <m/>
    <m/>
    <n v="46.866599999999998"/>
    <n v="44.663200000000003"/>
    <n v="44.663200000000003"/>
    <m/>
    <m/>
    <m/>
    <m/>
    <x v="5"/>
    <m/>
    <m/>
    <m/>
    <m/>
    <m/>
    <m/>
    <s v=" "/>
    <s v=" "/>
    <s v=" "/>
    <s v=" "/>
    <s v=" "/>
    <s v=" "/>
    <s v=" "/>
    <s v=" "/>
    <s v=" "/>
    <s v=" "/>
    <s v=" "/>
    <m/>
    <s v=" "/>
    <s v=" "/>
    <s v=" "/>
    <s v=" "/>
    <s v=" "/>
    <n v="0"/>
    <n v="0"/>
    <s v="Demasiado Riesgo"/>
    <m/>
    <m/>
    <m/>
    <m/>
    <m/>
    <m/>
  </r>
  <r>
    <m/>
    <m/>
    <s v="JOSE SANTIAGO GONZALEZ HERNANDEZ"/>
    <m/>
    <x v="1"/>
    <x v="5"/>
    <m/>
    <m/>
    <n v="85.477500000000006"/>
    <n v="44.181100000000001"/>
    <n v="44.181100000000001"/>
    <m/>
    <m/>
    <m/>
    <m/>
    <x v="5"/>
    <m/>
    <m/>
    <m/>
    <m/>
    <m/>
    <m/>
    <s v=" "/>
    <s v=" "/>
    <s v=" "/>
    <s v=" "/>
    <s v=" "/>
    <s v=" "/>
    <s v=" "/>
    <s v=" "/>
    <s v=" "/>
    <s v=" "/>
    <s v=" "/>
    <m/>
    <s v=" "/>
    <s v=" "/>
    <s v=" "/>
    <s v=" "/>
    <s v=" "/>
    <n v="0"/>
    <n v="0"/>
    <s v="Demasiado Riesgo"/>
    <m/>
    <m/>
    <m/>
    <m/>
    <m/>
    <m/>
  </r>
  <r>
    <m/>
    <m/>
    <s v="THE IGENCY"/>
    <m/>
    <x v="1"/>
    <x v="5"/>
    <m/>
    <m/>
    <n v="46.360700000000001"/>
    <n v="44.181100000000001"/>
    <n v="44.181100000000001"/>
    <m/>
    <m/>
    <m/>
    <m/>
    <x v="5"/>
    <m/>
    <m/>
    <m/>
    <m/>
    <m/>
    <m/>
    <s v=" "/>
    <s v=" "/>
    <s v=" "/>
    <s v=" "/>
    <s v=" "/>
    <s v=" "/>
    <s v=" "/>
    <s v=" "/>
    <s v=" "/>
    <s v=" "/>
    <s v=" "/>
    <m/>
    <s v=" "/>
    <s v=" "/>
    <s v=" "/>
    <s v=" "/>
    <s v=" "/>
    <n v="0"/>
    <n v="0"/>
    <s v="Demasiado Riesgo"/>
    <m/>
    <m/>
    <m/>
    <m/>
    <m/>
    <m/>
  </r>
  <r>
    <m/>
    <m/>
    <s v="EDWIN MARTIN CAUICH ESCALANTE"/>
    <m/>
    <x v="1"/>
    <x v="5"/>
    <m/>
    <m/>
    <n v="45.424199999999999"/>
    <n v="43.288600000000002"/>
    <n v="43.288600000000002"/>
    <m/>
    <m/>
    <m/>
    <m/>
    <x v="5"/>
    <m/>
    <m/>
    <m/>
    <m/>
    <m/>
    <m/>
    <s v=" "/>
    <s v=" "/>
    <s v=" "/>
    <s v=" "/>
    <s v=" "/>
    <s v=" "/>
    <s v=" "/>
    <s v=" "/>
    <s v=" "/>
    <s v=" "/>
    <s v=" "/>
    <m/>
    <s v=" "/>
    <s v=" "/>
    <s v=" "/>
    <s v=" "/>
    <s v=" "/>
    <n v="0"/>
    <n v="0"/>
    <s v="Demasiado Riesgo"/>
    <m/>
    <m/>
    <m/>
    <m/>
    <m/>
    <m/>
  </r>
  <r>
    <m/>
    <m/>
    <s v="HIGH TECH SERVICES"/>
    <m/>
    <x v="1"/>
    <x v="5"/>
    <m/>
    <m/>
    <n v="51.070900000000002"/>
    <n v="42.944000000000003"/>
    <n v="42.944000000000003"/>
    <m/>
    <m/>
    <m/>
    <m/>
    <x v="5"/>
    <m/>
    <m/>
    <m/>
    <m/>
    <m/>
    <m/>
    <s v=" "/>
    <s v=" "/>
    <s v=" "/>
    <s v=" "/>
    <s v=" "/>
    <s v=" "/>
    <s v=" "/>
    <s v=" "/>
    <s v=" "/>
    <s v=" "/>
    <s v=" "/>
    <m/>
    <s v=" "/>
    <s v=" "/>
    <s v=" "/>
    <s v=" "/>
    <s v=" "/>
    <n v="0"/>
    <n v="0"/>
    <s v="Demasiado Riesgo"/>
    <m/>
    <m/>
    <m/>
    <m/>
    <m/>
    <m/>
  </r>
  <r>
    <m/>
    <m/>
    <s v="MEXICO INVITA MEDICAL"/>
    <m/>
    <x v="1"/>
    <x v="5"/>
    <m/>
    <m/>
    <n v="45.0075"/>
    <n v="42.891500000000001"/>
    <n v="42.891500000000001"/>
    <m/>
    <m/>
    <m/>
    <m/>
    <x v="5"/>
    <m/>
    <m/>
    <m/>
    <m/>
    <m/>
    <m/>
    <s v=" "/>
    <s v=" "/>
    <s v=" "/>
    <s v=" "/>
    <s v=" "/>
    <s v=" "/>
    <s v=" "/>
    <s v=" "/>
    <s v=" "/>
    <s v=" "/>
    <s v=" "/>
    <m/>
    <s v=" "/>
    <s v=" "/>
    <s v=" "/>
    <s v=" "/>
    <s v=" "/>
    <n v="0"/>
    <n v="0"/>
    <s v="Demasiado Riesgo"/>
    <m/>
    <m/>
    <m/>
    <m/>
    <m/>
    <m/>
  </r>
  <r>
    <m/>
    <m/>
    <s v="JOYCE WENDOLYN MORALES MARTINEZ"/>
    <m/>
    <x v="1"/>
    <x v="5"/>
    <m/>
    <m/>
    <n v="41.3352"/>
    <n v="42.674500000000002"/>
    <n v="42.674500000000002"/>
    <m/>
    <m/>
    <m/>
    <m/>
    <x v="5"/>
    <m/>
    <m/>
    <m/>
    <m/>
    <m/>
    <m/>
    <s v=" "/>
    <s v=" "/>
    <s v=" "/>
    <s v=" "/>
    <s v=" "/>
    <s v=" "/>
    <s v=" "/>
    <s v=" "/>
    <s v=" "/>
    <s v=" "/>
    <s v=" "/>
    <m/>
    <s v=" "/>
    <s v=" "/>
    <s v=" "/>
    <s v=" "/>
    <s v=" "/>
    <n v="0"/>
    <n v="0"/>
    <s v="Demasiado Riesgo"/>
    <m/>
    <m/>
    <m/>
    <m/>
    <m/>
    <m/>
  </r>
  <r>
    <m/>
    <m/>
    <s v="ASESORES GRUPO NUÑO, AGENTE DE SEGUROS Y DE FIANZAS"/>
    <m/>
    <x v="1"/>
    <x v="5"/>
    <m/>
    <m/>
    <n v="57.575400000000002"/>
    <n v="41.061900000000001"/>
    <n v="41.061900000000001"/>
    <m/>
    <m/>
    <m/>
    <m/>
    <x v="5"/>
    <m/>
    <m/>
    <m/>
    <m/>
    <m/>
    <m/>
    <s v=" "/>
    <s v=" "/>
    <s v=" "/>
    <s v="OK"/>
    <s v=" "/>
    <s v=" "/>
    <s v=" "/>
    <s v=" "/>
    <s v=" "/>
    <s v=" "/>
    <s v=" "/>
    <m/>
    <s v=" "/>
    <s v=" "/>
    <s v=" "/>
    <s v=" "/>
    <s v=" "/>
    <n v="0"/>
    <n v="3"/>
    <s v="Riesgo Medio"/>
    <m/>
    <m/>
    <m/>
    <m/>
    <m/>
    <m/>
  </r>
  <r>
    <m/>
    <m/>
    <s v="RANCHO LLANO COLORADO"/>
    <m/>
    <x v="1"/>
    <x v="5"/>
    <m/>
    <m/>
    <n v="42.830300000000001"/>
    <n v="40.816699999999997"/>
    <n v="40.816699999999997"/>
    <m/>
    <m/>
    <m/>
    <m/>
    <x v="5"/>
    <m/>
    <m/>
    <m/>
    <m/>
    <m/>
    <m/>
    <s v=" "/>
    <s v=" "/>
    <s v=" "/>
    <s v=" "/>
    <s v=" "/>
    <s v=" "/>
    <s v=" "/>
    <s v=" "/>
    <s v=" "/>
    <s v=" "/>
    <s v=" "/>
    <m/>
    <s v=" "/>
    <s v=" "/>
    <s v=" "/>
    <s v=" "/>
    <s v=" "/>
    <n v="0"/>
    <n v="0"/>
    <s v="Demasiado Riesgo"/>
    <m/>
    <m/>
    <m/>
    <m/>
    <m/>
    <m/>
  </r>
  <r>
    <m/>
    <m/>
    <s v="AG. TRAUMA Y ORTOPEDIA"/>
    <m/>
    <x v="1"/>
    <x v="5"/>
    <m/>
    <m/>
    <n v="42.263599999999997"/>
    <n v="40.276600000000002"/>
    <n v="40.276600000000002"/>
    <m/>
    <m/>
    <m/>
    <m/>
    <x v="5"/>
    <m/>
    <m/>
    <m/>
    <m/>
    <m/>
    <m/>
    <s v=" "/>
    <s v=" "/>
    <s v=" "/>
    <s v=" "/>
    <s v=" "/>
    <s v=" "/>
    <s v=" "/>
    <s v=" "/>
    <s v=" "/>
    <s v=" "/>
    <s v=" "/>
    <m/>
    <s v=" "/>
    <s v=" "/>
    <s v=" "/>
    <s v=" "/>
    <s v=" "/>
    <n v="0"/>
    <n v="0"/>
    <s v="Demasiado Riesgo"/>
    <m/>
    <m/>
    <m/>
    <m/>
    <m/>
    <m/>
  </r>
  <r>
    <m/>
    <m/>
    <s v="PLUS IND"/>
    <m/>
    <x v="1"/>
    <x v="5"/>
    <m/>
    <m/>
    <n v="42.263599999999997"/>
    <n v="40.276600000000002"/>
    <n v="40.276600000000002"/>
    <m/>
    <m/>
    <m/>
    <m/>
    <x v="5"/>
    <m/>
    <m/>
    <m/>
    <m/>
    <m/>
    <m/>
    <s v=" "/>
    <s v=" "/>
    <s v=" "/>
    <s v=" "/>
    <s v=" "/>
    <s v=" "/>
    <s v=" "/>
    <s v=" "/>
    <s v=" "/>
    <s v=" "/>
    <s v=" "/>
    <m/>
    <s v=" "/>
    <s v=" "/>
    <s v=" "/>
    <s v=" "/>
    <s v=" "/>
    <n v="0"/>
    <n v="0"/>
    <s v="Demasiado Riesgo"/>
    <m/>
    <m/>
    <m/>
    <m/>
    <m/>
    <m/>
  </r>
  <r>
    <m/>
    <m/>
    <s v="Q-LOGISTICS"/>
    <m/>
    <x v="1"/>
    <x v="5"/>
    <m/>
    <m/>
    <n v="44.673699999999997"/>
    <n v="39.891599999999997"/>
    <n v="39.891599999999997"/>
    <m/>
    <m/>
    <m/>
    <m/>
    <x v="5"/>
    <m/>
    <m/>
    <m/>
    <m/>
    <m/>
    <m/>
    <s v=" "/>
    <s v=" "/>
    <s v=" "/>
    <s v=" "/>
    <s v=" "/>
    <s v=" "/>
    <s v=" "/>
    <s v=" "/>
    <s v=" "/>
    <s v=" "/>
    <s v=" "/>
    <m/>
    <s v=" "/>
    <s v=" "/>
    <s v=" "/>
    <s v=" "/>
    <s v=" "/>
    <n v="0"/>
    <n v="0"/>
    <s v="Demasiado Riesgo"/>
    <m/>
    <m/>
    <m/>
    <m/>
    <m/>
    <m/>
  </r>
  <r>
    <m/>
    <m/>
    <s v="CORPORATIVO DELVEL K"/>
    <m/>
    <x v="1"/>
    <x v="5"/>
    <m/>
    <m/>
    <n v="40.855400000000003"/>
    <n v="39.762999999999998"/>
    <n v="39.762999999999998"/>
    <m/>
    <m/>
    <m/>
    <m/>
    <x v="5"/>
    <m/>
    <m/>
    <m/>
    <m/>
    <m/>
    <m/>
    <s v=" "/>
    <s v=" "/>
    <s v=" "/>
    <s v=" "/>
    <s v=" "/>
    <s v=" "/>
    <s v=" "/>
    <s v=" "/>
    <s v=" "/>
    <s v=" "/>
    <s v=" "/>
    <m/>
    <s v=" "/>
    <s v=" "/>
    <s v=" "/>
    <s v=" "/>
    <s v=" "/>
    <n v="0"/>
    <n v="0"/>
    <s v="Demasiado Riesgo"/>
    <m/>
    <m/>
    <m/>
    <m/>
    <m/>
    <m/>
  </r>
  <r>
    <m/>
    <m/>
    <s v="EMLI PRODUCTOS Y SERVICIOS ELECTRICOS"/>
    <m/>
    <x v="1"/>
    <x v="5"/>
    <m/>
    <m/>
    <n v="40.561500000000002"/>
    <n v="38.654600000000002"/>
    <n v="38.654600000000002"/>
    <m/>
    <m/>
    <m/>
    <m/>
    <x v="5"/>
    <m/>
    <m/>
    <m/>
    <m/>
    <m/>
    <m/>
    <s v=" "/>
    <s v=" "/>
    <s v=" "/>
    <s v=" "/>
    <s v=" "/>
    <s v=" "/>
    <s v=" "/>
    <s v=" "/>
    <s v=" "/>
    <s v=" "/>
    <s v=" "/>
    <m/>
    <s v=" "/>
    <s v=" "/>
    <s v=" "/>
    <s v=" "/>
    <s v=" "/>
    <n v="0"/>
    <n v="0"/>
    <s v="Demasiado Riesgo"/>
    <m/>
    <m/>
    <m/>
    <m/>
    <m/>
    <m/>
  </r>
  <r>
    <m/>
    <m/>
    <s v="EQUIPOS Y ACCESORIOS PARA GAS L.P. Y NATURAL"/>
    <m/>
    <x v="1"/>
    <x v="5"/>
    <m/>
    <m/>
    <n v="39.656399999999998"/>
    <n v="37.791899999999998"/>
    <n v="37.791899999999998"/>
    <m/>
    <m/>
    <m/>
    <m/>
    <x v="5"/>
    <m/>
    <m/>
    <m/>
    <m/>
    <m/>
    <m/>
    <s v=" "/>
    <s v=" "/>
    <s v=" "/>
    <s v=" "/>
    <s v=" "/>
    <s v=" "/>
    <s v=" "/>
    <s v=" "/>
    <s v=" "/>
    <s v=" "/>
    <s v=" "/>
    <m/>
    <s v=" "/>
    <s v=" "/>
    <s v=" "/>
    <s v=" "/>
    <s v=" "/>
    <n v="0"/>
    <n v="0"/>
    <s v="Demasiado Riesgo"/>
    <m/>
    <m/>
    <m/>
    <m/>
    <m/>
    <m/>
  </r>
  <r>
    <m/>
    <m/>
    <s v="SERVIAP LOGISTICS"/>
    <m/>
    <x v="1"/>
    <x v="5"/>
    <m/>
    <m/>
    <n v="47.898699999999998"/>
    <n v="37.591500000000003"/>
    <n v="37.591500000000003"/>
    <m/>
    <m/>
    <m/>
    <m/>
    <x v="5"/>
    <m/>
    <m/>
    <m/>
    <m/>
    <m/>
    <m/>
    <s v=" "/>
    <s v=" "/>
    <s v=" "/>
    <s v=" "/>
    <s v=" "/>
    <s v=" "/>
    <s v=" "/>
    <s v=" "/>
    <s v=" "/>
    <s v=" "/>
    <s v=" "/>
    <m/>
    <s v=" "/>
    <s v=" "/>
    <s v=" "/>
    <s v=" "/>
    <s v=" "/>
    <n v="0"/>
    <n v="0"/>
    <s v="Demasiado Riesgo"/>
    <m/>
    <m/>
    <m/>
    <m/>
    <m/>
    <m/>
  </r>
  <r>
    <m/>
    <m/>
    <s v="COMERCIALIZADORA DE PINTURAS ARTEAGA"/>
    <m/>
    <x v="1"/>
    <x v="5"/>
    <m/>
    <m/>
    <m/>
    <n v="34.7926"/>
    <n v="34.7926"/>
    <m/>
    <m/>
    <m/>
    <m/>
    <x v="5"/>
    <m/>
    <m/>
    <m/>
    <m/>
    <m/>
    <m/>
    <s v=" "/>
    <s v=" "/>
    <s v=" "/>
    <s v=" "/>
    <s v=" "/>
    <s v=" "/>
    <s v=" "/>
    <s v=" "/>
    <s v=" "/>
    <s v=" "/>
    <s v=" "/>
    <m/>
    <s v=" "/>
    <s v=" "/>
    <s v=" "/>
    <s v=" "/>
    <s v=" "/>
    <n v="0"/>
    <n v="0"/>
    <s v="Demasiado Riesgo"/>
    <m/>
    <m/>
    <m/>
    <m/>
    <m/>
    <m/>
  </r>
  <r>
    <m/>
    <m/>
    <s v="JMN SOLUCIONES INTEGRALES"/>
    <m/>
    <x v="1"/>
    <x v="5"/>
    <m/>
    <m/>
    <n v="36.051200000000001"/>
    <n v="34.356299999999997"/>
    <n v="34.356299999999997"/>
    <m/>
    <m/>
    <m/>
    <m/>
    <x v="5"/>
    <m/>
    <m/>
    <m/>
    <m/>
    <m/>
    <m/>
    <s v=" "/>
    <s v=" "/>
    <s v=" "/>
    <s v=" "/>
    <s v=" "/>
    <s v=" "/>
    <s v=" "/>
    <s v=" "/>
    <s v=" "/>
    <s v=" "/>
    <s v=" "/>
    <m/>
    <s v=" "/>
    <s v=" "/>
    <s v=" "/>
    <s v=" "/>
    <s v=" "/>
    <n v="0"/>
    <n v="0"/>
    <s v="Demasiado Riesgo"/>
    <m/>
    <m/>
    <m/>
    <m/>
    <m/>
    <m/>
  </r>
  <r>
    <m/>
    <m/>
    <s v="CONSTRUCTORA E IMPULSORA CONDOR"/>
    <m/>
    <x v="1"/>
    <x v="5"/>
    <s v="Tony"/>
    <m/>
    <n v="34.075099999999999"/>
    <n v="32.473100000000002"/>
    <n v="32.473100000000002"/>
    <m/>
    <m/>
    <m/>
    <m/>
    <x v="5"/>
    <m/>
    <m/>
    <m/>
    <m/>
    <m/>
    <m/>
    <s v=" "/>
    <s v=" "/>
    <s v=" "/>
    <s v=" "/>
    <s v=" "/>
    <s v=" "/>
    <s v=" "/>
    <s v=" "/>
    <s v=" "/>
    <s v=" "/>
    <s v=" "/>
    <m/>
    <s v=" "/>
    <s v=" "/>
    <s v=" "/>
    <s v=" "/>
    <s v=" "/>
    <n v="0"/>
    <n v="0"/>
    <s v="Demasiado Riesgo"/>
    <m/>
    <m/>
    <m/>
    <m/>
    <m/>
    <m/>
  </r>
  <r>
    <m/>
    <m/>
    <s v="JUAN TEJEDA SANTILLAN"/>
    <m/>
    <x v="1"/>
    <x v="5"/>
    <m/>
    <m/>
    <n v="4.0566000000000004"/>
    <n v="30.9268"/>
    <n v="30.9268"/>
    <m/>
    <m/>
    <m/>
    <m/>
    <x v="5"/>
    <m/>
    <m/>
    <m/>
    <m/>
    <m/>
    <m/>
    <s v=" "/>
    <s v=" "/>
    <s v=" "/>
    <s v=" "/>
    <s v=" "/>
    <s v=" "/>
    <s v=" "/>
    <s v=" "/>
    <s v=" "/>
    <s v=" "/>
    <s v=" "/>
    <m/>
    <s v=" "/>
    <s v=" "/>
    <s v=" "/>
    <s v=" "/>
    <s v=" "/>
    <n v="0"/>
    <n v="0"/>
    <s v="Demasiado Riesgo"/>
    <m/>
    <m/>
    <m/>
    <m/>
    <m/>
    <m/>
  </r>
  <r>
    <m/>
    <m/>
    <s v="JAIR GEOVANNI RAVIELA RAMIREZ"/>
    <m/>
    <x v="1"/>
    <x v="5"/>
    <m/>
    <m/>
    <n v="36.780799999999999"/>
    <n v="30.0442"/>
    <n v="30.0442"/>
    <m/>
    <m/>
    <m/>
    <m/>
    <x v="5"/>
    <m/>
    <m/>
    <m/>
    <m/>
    <m/>
    <m/>
    <s v=" "/>
    <s v=" "/>
    <s v=" "/>
    <s v=" "/>
    <s v=" "/>
    <s v=" "/>
    <s v=" "/>
    <s v=" "/>
    <s v=" "/>
    <s v=" "/>
    <s v=" "/>
    <m/>
    <s v=" "/>
    <s v=" "/>
    <s v=" "/>
    <s v=" "/>
    <s v=" "/>
    <n v="0"/>
    <n v="0"/>
    <s v="Demasiado Riesgo"/>
    <m/>
    <m/>
    <m/>
    <m/>
    <m/>
    <m/>
  </r>
  <r>
    <m/>
    <m/>
    <s v="VILLAMACOCO"/>
    <m/>
    <x v="1"/>
    <x v="5"/>
    <m/>
    <m/>
    <n v="26.367599999999999"/>
    <n v="28.717700000000001"/>
    <n v="28.717700000000001"/>
    <m/>
    <m/>
    <m/>
    <m/>
    <x v="5"/>
    <m/>
    <m/>
    <m/>
    <m/>
    <m/>
    <m/>
    <s v=" "/>
    <s v=" "/>
    <s v=" "/>
    <s v=" "/>
    <s v=" "/>
    <s v=" "/>
    <s v=" "/>
    <s v=" "/>
    <s v=" "/>
    <s v=" "/>
    <s v=" "/>
    <m/>
    <s v=" "/>
    <s v=" "/>
    <s v=" "/>
    <s v=" "/>
    <s v=" "/>
    <n v="0"/>
    <n v="0"/>
    <s v="Demasiado Riesgo"/>
    <m/>
    <m/>
    <m/>
    <m/>
    <m/>
    <m/>
  </r>
  <r>
    <m/>
    <m/>
    <s v="NEWCHEM &amp; COMMERCE"/>
    <m/>
    <x v="1"/>
    <x v="5"/>
    <m/>
    <m/>
    <n v="29.684699999999999"/>
    <n v="28.289100000000001"/>
    <n v="28.289100000000001"/>
    <m/>
    <m/>
    <m/>
    <m/>
    <x v="5"/>
    <m/>
    <m/>
    <m/>
    <m/>
    <m/>
    <m/>
    <s v=" "/>
    <s v=" "/>
    <s v=" "/>
    <s v=" "/>
    <s v=" "/>
    <s v=" "/>
    <s v=" "/>
    <s v=" "/>
    <s v=" "/>
    <s v=" "/>
    <s v=" "/>
    <m/>
    <s v=" "/>
    <s v=" "/>
    <s v=" "/>
    <s v=" "/>
    <s v=" "/>
    <n v="0"/>
    <n v="0"/>
    <s v="Demasiado Riesgo"/>
    <m/>
    <m/>
    <m/>
    <m/>
    <m/>
    <m/>
  </r>
  <r>
    <m/>
    <m/>
    <s v="INGENIERIA Y PROYECTOS FEZMAR"/>
    <m/>
    <x v="1"/>
    <x v="5"/>
    <m/>
    <m/>
    <n v="33.648600000000002"/>
    <n v="28.058299999999999"/>
    <n v="28.058299999999999"/>
    <m/>
    <m/>
    <m/>
    <m/>
    <x v="5"/>
    <m/>
    <m/>
    <m/>
    <m/>
    <m/>
    <m/>
    <s v=" "/>
    <s v=" "/>
    <s v=" "/>
    <s v=" "/>
    <s v=" "/>
    <s v=" "/>
    <s v=" "/>
    <s v=" "/>
    <s v=" "/>
    <s v=" "/>
    <s v=" "/>
    <m/>
    <s v=" "/>
    <s v=" "/>
    <s v=" "/>
    <s v=" "/>
    <s v=" "/>
    <n v="0"/>
    <n v="0"/>
    <s v="Demasiado Riesgo"/>
    <m/>
    <m/>
    <m/>
    <m/>
    <m/>
    <m/>
  </r>
  <r>
    <m/>
    <m/>
    <s v="OPERADORA DE FRANQUICIAS CIROS"/>
    <m/>
    <x v="1"/>
    <x v="5"/>
    <m/>
    <m/>
    <n v="27.039899999999999"/>
    <n v="25.768599999999999"/>
    <n v="25.768599999999999"/>
    <m/>
    <m/>
    <m/>
    <m/>
    <x v="5"/>
    <m/>
    <m/>
    <m/>
    <m/>
    <m/>
    <m/>
    <s v=" "/>
    <s v=" "/>
    <s v=" "/>
    <s v=" "/>
    <s v=" "/>
    <s v=" "/>
    <s v=" "/>
    <s v=" "/>
    <s v=" "/>
    <s v=" "/>
    <s v=" "/>
    <m/>
    <s v=" "/>
    <s v=" "/>
    <s v=" "/>
    <s v=" "/>
    <s v=" "/>
    <n v="0"/>
    <n v="0"/>
    <s v="Demasiado Riesgo"/>
    <m/>
    <m/>
    <m/>
    <m/>
    <m/>
    <m/>
  </r>
  <r>
    <m/>
    <m/>
    <s v="MOTORES Y SISTEMAS DIESEL DE LEON"/>
    <m/>
    <x v="1"/>
    <x v="5"/>
    <m/>
    <m/>
    <n v="25.637499999999999"/>
    <n v="24.432200000000002"/>
    <n v="24.432200000000002"/>
    <m/>
    <m/>
    <m/>
    <m/>
    <x v="5"/>
    <m/>
    <m/>
    <m/>
    <m/>
    <m/>
    <m/>
    <s v=" "/>
    <s v=" "/>
    <s v=" "/>
    <s v=" "/>
    <s v=" "/>
    <s v=" "/>
    <s v=" "/>
    <s v=" "/>
    <s v=" "/>
    <s v=" "/>
    <s v=" "/>
    <m/>
    <s v=" "/>
    <s v=" "/>
    <s v=" "/>
    <s v=" "/>
    <s v=" "/>
    <n v="0"/>
    <n v="0"/>
    <s v="Demasiado Riesgo"/>
    <m/>
    <m/>
    <m/>
    <m/>
    <m/>
    <m/>
  </r>
  <r>
    <m/>
    <m/>
    <s v="HERMOS"/>
    <m/>
    <x v="1"/>
    <x v="5"/>
    <m/>
    <m/>
    <m/>
    <n v="24.299600000000002"/>
    <n v="24.299600000000002"/>
    <m/>
    <m/>
    <m/>
    <m/>
    <x v="5"/>
    <m/>
    <m/>
    <m/>
    <m/>
    <m/>
    <m/>
    <s v=" "/>
    <s v=" "/>
    <s v=" "/>
    <s v=" "/>
    <s v=" "/>
    <s v=" "/>
    <s v=" "/>
    <s v=" "/>
    <s v=" "/>
    <s v=" "/>
    <s v=" "/>
    <m/>
    <s v=" "/>
    <s v=" "/>
    <s v=" "/>
    <s v=" "/>
    <s v=" "/>
    <n v="0"/>
    <n v="0"/>
    <s v="Demasiado Riesgo"/>
    <m/>
    <m/>
    <m/>
    <m/>
    <m/>
    <m/>
  </r>
  <r>
    <m/>
    <m/>
    <s v="PLAYTRAK SISTEMAS DE MONITOREO"/>
    <m/>
    <x v="1"/>
    <x v="5"/>
    <m/>
    <m/>
    <n v="21.094100000000001"/>
    <n v="20.102399999999999"/>
    <n v="20.102399999999999"/>
    <m/>
    <m/>
    <m/>
    <m/>
    <x v="5"/>
    <m/>
    <m/>
    <m/>
    <m/>
    <m/>
    <m/>
    <s v=" "/>
    <s v=" "/>
    <s v=" "/>
    <s v=" "/>
    <s v=" "/>
    <s v=" "/>
    <s v=" "/>
    <s v=" "/>
    <s v=" "/>
    <s v=" "/>
    <s v=" "/>
    <m/>
    <s v=" "/>
    <s v=" "/>
    <s v=" "/>
    <s v=" "/>
    <s v=" "/>
    <n v="0"/>
    <n v="0"/>
    <s v="Demasiado Riesgo"/>
    <m/>
    <m/>
    <m/>
    <m/>
    <m/>
    <m/>
  </r>
  <r>
    <m/>
    <m/>
    <s v="PUERTAS Y ACCESOS AUTOMATICOS DEL VALLE DE MEXICO"/>
    <m/>
    <x v="1"/>
    <x v="5"/>
    <m/>
    <m/>
    <n v="21.043099999999999"/>
    <n v="20.053799999999999"/>
    <n v="20.053799999999999"/>
    <m/>
    <m/>
    <m/>
    <m/>
    <x v="5"/>
    <m/>
    <m/>
    <m/>
    <m/>
    <m/>
    <m/>
    <s v=" "/>
    <s v=" "/>
    <s v=" "/>
    <s v=" "/>
    <s v=" "/>
    <s v=" "/>
    <s v=" "/>
    <s v=" "/>
    <s v=" "/>
    <s v=" "/>
    <s v=" "/>
    <m/>
    <s v=" "/>
    <s v=" "/>
    <s v=" "/>
    <s v=" "/>
    <s v=" "/>
    <n v="0"/>
    <n v="0"/>
    <s v="Demasiado Riesgo"/>
    <m/>
    <m/>
    <m/>
    <m/>
    <m/>
    <m/>
  </r>
  <r>
    <m/>
    <m/>
    <s v="MEGAVACATIONS"/>
    <m/>
    <x v="1"/>
    <x v="5"/>
    <m/>
    <m/>
    <n v="18.787700000000001"/>
    <n v="17.904399999999999"/>
    <n v="17.904399999999999"/>
    <m/>
    <m/>
    <m/>
    <m/>
    <x v="5"/>
    <m/>
    <m/>
    <m/>
    <m/>
    <m/>
    <m/>
    <s v=" "/>
    <s v=" "/>
    <s v=" "/>
    <s v=" "/>
    <s v=" "/>
    <s v=" "/>
    <s v=" "/>
    <s v=" "/>
    <s v=" "/>
    <s v=" "/>
    <s v=" "/>
    <m/>
    <s v=" "/>
    <s v=" "/>
    <s v=" "/>
    <s v=" "/>
    <s v=" "/>
    <n v="0"/>
    <n v="0"/>
    <s v="Demasiado Riesgo"/>
    <m/>
    <m/>
    <m/>
    <m/>
    <m/>
    <m/>
  </r>
  <r>
    <m/>
    <m/>
    <s v="MERCADERIAS JON"/>
    <m/>
    <x v="1"/>
    <x v="5"/>
    <m/>
    <m/>
    <n v="18.024999999999999"/>
    <n v="17.177600000000002"/>
    <n v="17.177600000000002"/>
    <m/>
    <m/>
    <m/>
    <m/>
    <x v="5"/>
    <m/>
    <m/>
    <m/>
    <m/>
    <m/>
    <m/>
    <s v=" "/>
    <s v=" "/>
    <s v=" "/>
    <s v=" "/>
    <s v=" "/>
    <s v=" "/>
    <s v=" "/>
    <s v=" "/>
    <s v=" "/>
    <s v=" "/>
    <s v=" "/>
    <m/>
    <s v=" "/>
    <s v=" "/>
    <s v=" "/>
    <s v=" "/>
    <s v=" "/>
    <n v="0"/>
    <n v="0"/>
    <s v="Demasiado Riesgo"/>
    <m/>
    <m/>
    <m/>
    <m/>
    <m/>
    <m/>
  </r>
  <r>
    <m/>
    <m/>
    <s v="GRUPO HETAAR"/>
    <m/>
    <x v="1"/>
    <x v="5"/>
    <m/>
    <m/>
    <n v="17.753799999999998"/>
    <n v="16.9191"/>
    <n v="16.9191"/>
    <m/>
    <m/>
    <m/>
    <m/>
    <x v="5"/>
    <m/>
    <m/>
    <m/>
    <m/>
    <m/>
    <m/>
    <s v=" "/>
    <s v=" "/>
    <s v=" "/>
    <s v=" "/>
    <s v=" "/>
    <s v=" "/>
    <s v=" "/>
    <s v=" "/>
    <s v=" "/>
    <s v=" "/>
    <s v=" "/>
    <m/>
    <s v=" "/>
    <s v=" "/>
    <s v=" "/>
    <s v=" "/>
    <s v=" "/>
    <n v="0"/>
    <n v="0"/>
    <s v="Demasiado Riesgo"/>
    <m/>
    <m/>
    <m/>
    <m/>
    <m/>
    <m/>
  </r>
  <r>
    <m/>
    <m/>
    <s v="PROYECTOS DIMA"/>
    <m/>
    <x v="1"/>
    <x v="5"/>
    <m/>
    <m/>
    <n v="17.385300000000001"/>
    <n v="16.567900000000002"/>
    <n v="16.567900000000002"/>
    <m/>
    <m/>
    <m/>
    <m/>
    <x v="5"/>
    <m/>
    <m/>
    <m/>
    <m/>
    <m/>
    <m/>
    <s v=" "/>
    <s v=" "/>
    <s v=" "/>
    <s v=" "/>
    <s v=" "/>
    <s v=" "/>
    <s v=" "/>
    <s v=" "/>
    <s v=" "/>
    <s v=" "/>
    <s v=" "/>
    <m/>
    <s v=" "/>
    <s v=" "/>
    <s v=" "/>
    <s v=" "/>
    <s v=" "/>
    <n v="0"/>
    <n v="0"/>
    <s v="Demasiado Riesgo"/>
    <m/>
    <m/>
    <m/>
    <m/>
    <m/>
    <m/>
  </r>
  <r>
    <m/>
    <m/>
    <s v="R&amp;F INFRAESTRUCTURA"/>
    <m/>
    <x v="1"/>
    <x v="5"/>
    <m/>
    <m/>
    <n v="17.385300000000001"/>
    <n v="16.567900000000002"/>
    <n v="16.567900000000002"/>
    <m/>
    <m/>
    <m/>
    <m/>
    <x v="5"/>
    <m/>
    <m/>
    <m/>
    <m/>
    <m/>
    <m/>
    <s v=" "/>
    <s v=" "/>
    <s v=" "/>
    <s v=" "/>
    <s v=" "/>
    <s v=" "/>
    <s v=" "/>
    <s v=" "/>
    <s v=" "/>
    <s v=" "/>
    <s v=" "/>
    <m/>
    <s v=" "/>
    <s v=" "/>
    <s v=" "/>
    <s v=" "/>
    <s v=" "/>
    <n v="0"/>
    <n v="0"/>
    <s v="Demasiado Riesgo"/>
    <m/>
    <m/>
    <m/>
    <m/>
    <m/>
    <m/>
  </r>
  <r>
    <m/>
    <m/>
    <s v="ELIAS BARBOSA IBARRA"/>
    <m/>
    <x v="1"/>
    <x v="5"/>
    <m/>
    <m/>
    <n v="21.0304"/>
    <n v="16.033300000000001"/>
    <n v="16.033300000000001"/>
    <m/>
    <m/>
    <m/>
    <m/>
    <x v="5"/>
    <m/>
    <m/>
    <m/>
    <m/>
    <m/>
    <m/>
    <s v=" "/>
    <s v=" "/>
    <s v=" "/>
    <s v=" "/>
    <s v=" "/>
    <s v=" "/>
    <s v=" "/>
    <s v=" "/>
    <s v=" "/>
    <s v=" "/>
    <s v=" "/>
    <m/>
    <s v=" "/>
    <s v=" "/>
    <s v=" "/>
    <s v=" "/>
    <s v=" "/>
    <n v="0"/>
    <n v="0"/>
    <s v="Demasiado Riesgo"/>
    <m/>
    <m/>
    <m/>
    <m/>
    <m/>
    <m/>
  </r>
  <r>
    <m/>
    <m/>
    <s v="ELEVADORES DE LA REPUBLICA"/>
    <m/>
    <x v="1"/>
    <x v="5"/>
    <m/>
    <m/>
    <n v="15.323399999999999"/>
    <n v="14.603"/>
    <n v="14.603"/>
    <m/>
    <m/>
    <m/>
    <m/>
    <x v="5"/>
    <m/>
    <m/>
    <m/>
    <m/>
    <m/>
    <m/>
    <s v=" "/>
    <s v=" "/>
    <s v=" "/>
    <s v=" "/>
    <s v=" "/>
    <s v=" "/>
    <s v=" "/>
    <s v=" "/>
    <s v=" "/>
    <s v=" "/>
    <s v=" "/>
    <m/>
    <s v=" "/>
    <s v=" "/>
    <s v=" "/>
    <s v=" "/>
    <s v=" "/>
    <n v="0"/>
    <n v="0"/>
    <s v="Demasiado Riesgo"/>
    <m/>
    <m/>
    <m/>
    <m/>
    <m/>
    <m/>
  </r>
  <r>
    <m/>
    <m/>
    <s v="GEBHARD KONRAD SPROLL ROJAS"/>
    <m/>
    <x v="1"/>
    <x v="5"/>
    <m/>
    <m/>
    <n v="14.420500000000001"/>
    <n v="13.7425"/>
    <n v="13.7425"/>
    <m/>
    <m/>
    <m/>
    <m/>
    <x v="5"/>
    <m/>
    <m/>
    <m/>
    <m/>
    <m/>
    <m/>
    <s v=" "/>
    <s v=" "/>
    <s v=" "/>
    <s v=" "/>
    <s v=" "/>
    <s v=" "/>
    <s v=" "/>
    <s v=" "/>
    <s v=" "/>
    <s v=" "/>
    <s v=" "/>
    <m/>
    <s v=" "/>
    <s v=" "/>
    <s v=" "/>
    <s v=" "/>
    <s v=" "/>
    <n v="0"/>
    <n v="0"/>
    <s v="Demasiado Riesgo"/>
    <m/>
    <m/>
    <m/>
    <m/>
    <m/>
    <m/>
  </r>
  <r>
    <m/>
    <m/>
    <s v="MAQUILANDO ARTE Y AMOR MX"/>
    <m/>
    <x v="1"/>
    <x v="5"/>
    <m/>
    <m/>
    <n v="10.9527"/>
    <n v="10.437799999999999"/>
    <n v="10.437799999999999"/>
    <m/>
    <m/>
    <m/>
    <m/>
    <x v="5"/>
    <m/>
    <m/>
    <m/>
    <m/>
    <m/>
    <m/>
    <s v=" "/>
    <s v=" "/>
    <s v=" "/>
    <s v=" "/>
    <s v=" "/>
    <s v=" "/>
    <s v=" "/>
    <s v=" "/>
    <s v=" "/>
    <s v=" "/>
    <s v=" "/>
    <m/>
    <s v=" "/>
    <s v=" "/>
    <s v=" "/>
    <s v=" "/>
    <s v=" "/>
    <n v="0"/>
    <n v="0"/>
    <s v="Demasiado Riesgo"/>
    <m/>
    <m/>
    <m/>
    <m/>
    <m/>
    <m/>
  </r>
  <r>
    <m/>
    <m/>
    <s v="EXPERTOS EN ADMINISTRACION DE CAPITAL HUMANO"/>
    <m/>
    <x v="1"/>
    <x v="5"/>
    <m/>
    <m/>
    <n v="9.3879999999999999"/>
    <n v="8.9466999999999999"/>
    <n v="8.9466999999999999"/>
    <m/>
    <m/>
    <m/>
    <m/>
    <x v="5"/>
    <m/>
    <m/>
    <m/>
    <m/>
    <m/>
    <m/>
    <s v=" "/>
    <s v=" "/>
    <s v=" "/>
    <s v=" "/>
    <s v=" "/>
    <s v=" "/>
    <s v=" "/>
    <s v=" "/>
    <s v=" "/>
    <s v=" "/>
    <s v=" "/>
    <m/>
    <s v=" "/>
    <s v=" "/>
    <s v=" "/>
    <s v=" "/>
    <s v=" "/>
    <n v="0"/>
    <n v="0"/>
    <s v="Demasiado Riesgo"/>
    <m/>
    <m/>
    <m/>
    <m/>
    <m/>
    <m/>
  </r>
  <r>
    <m/>
    <m/>
    <s v="GERARDO PEREZ OLIVO"/>
    <m/>
    <x v="1"/>
    <x v="5"/>
    <m/>
    <m/>
    <n v="7.8912000000000004"/>
    <n v="7.5202"/>
    <n v="7.5202"/>
    <m/>
    <m/>
    <m/>
    <m/>
    <x v="5"/>
    <m/>
    <m/>
    <m/>
    <m/>
    <m/>
    <m/>
    <s v=" "/>
    <s v=" "/>
    <s v=" "/>
    <s v=" "/>
    <s v=" "/>
    <s v=" "/>
    <s v=" "/>
    <s v=" "/>
    <s v=" "/>
    <s v=" "/>
    <s v=" "/>
    <m/>
    <s v=" "/>
    <s v=" "/>
    <s v=" "/>
    <s v=" "/>
    <s v=" "/>
    <n v="0"/>
    <n v="0"/>
    <s v="Demasiado Riesgo"/>
    <m/>
    <m/>
    <m/>
    <m/>
    <m/>
    <m/>
  </r>
  <r>
    <m/>
    <m/>
    <s v="ARTE Y SOLUCIONES EN ESPACIOS"/>
    <m/>
    <x v="1"/>
    <x v="5"/>
    <m/>
    <m/>
    <m/>
    <n v="7.4555999999999996"/>
    <n v="7.4555999999999996"/>
    <m/>
    <m/>
    <m/>
    <m/>
    <x v="5"/>
    <m/>
    <m/>
    <m/>
    <m/>
    <m/>
    <m/>
    <s v=" "/>
    <s v=" "/>
    <s v=" "/>
    <s v=" "/>
    <s v=" "/>
    <s v=" "/>
    <s v=" "/>
    <s v=" "/>
    <s v=" "/>
    <s v=" "/>
    <s v=" "/>
    <m/>
    <s v=" "/>
    <s v=" "/>
    <s v=" "/>
    <s v=" "/>
    <s v=" "/>
    <n v="0"/>
    <n v="0"/>
    <s v="Demasiado Riesgo"/>
    <m/>
    <m/>
    <m/>
    <m/>
    <m/>
    <m/>
  </r>
  <r>
    <m/>
    <m/>
    <s v="TSMIQUIRRAY"/>
    <m/>
    <x v="1"/>
    <x v="5"/>
    <m/>
    <m/>
    <n v="7.8234000000000004"/>
    <n v="7.4555999999999996"/>
    <n v="7.4555999999999996"/>
    <m/>
    <m/>
    <m/>
    <m/>
    <x v="5"/>
    <m/>
    <m/>
    <m/>
    <m/>
    <m/>
    <m/>
    <s v=" "/>
    <s v=" "/>
    <s v=" "/>
    <s v=" "/>
    <s v=" "/>
    <s v=" "/>
    <s v=" "/>
    <s v=" "/>
    <s v=" "/>
    <s v=" "/>
    <s v=" "/>
    <m/>
    <s v=" "/>
    <s v=" "/>
    <s v=" "/>
    <s v=" "/>
    <s v=" "/>
    <n v="0"/>
    <n v="0"/>
    <s v="Demasiado Riesgo"/>
    <m/>
    <m/>
    <m/>
    <m/>
    <m/>
    <m/>
  </r>
  <r>
    <m/>
    <m/>
    <s v="CONSTRUCCIONES DE CALIDAD E INGENIERIA DE MEXICO"/>
    <m/>
    <x v="1"/>
    <x v="5"/>
    <m/>
    <m/>
    <n v="6.2587000000000002"/>
    <n v="5.9644000000000004"/>
    <n v="5.9644000000000004"/>
    <m/>
    <m/>
    <m/>
    <m/>
    <x v="5"/>
    <m/>
    <m/>
    <m/>
    <m/>
    <m/>
    <m/>
    <s v=" "/>
    <s v=" "/>
    <s v=" "/>
    <s v=" "/>
    <s v=" "/>
    <s v=" "/>
    <s v=" "/>
    <s v=" "/>
    <s v=" "/>
    <s v=" "/>
    <s v=" "/>
    <m/>
    <s v=" "/>
    <s v=" "/>
    <s v=" "/>
    <s v=" "/>
    <s v=" "/>
    <n v="0"/>
    <n v="0"/>
    <s v="Demasiado Riesgo"/>
    <m/>
    <m/>
    <m/>
    <m/>
    <m/>
    <m/>
  </r>
  <r>
    <m/>
    <m/>
    <s v="PAYROLL WORLDWIDE MEXICO-LONDON"/>
    <m/>
    <x v="1"/>
    <x v="5"/>
    <m/>
    <m/>
    <n v="6.2587000000000002"/>
    <n v="5.9644000000000004"/>
    <n v="5.9644000000000004"/>
    <m/>
    <m/>
    <m/>
    <m/>
    <x v="5"/>
    <m/>
    <m/>
    <m/>
    <m/>
    <m/>
    <m/>
    <s v=" "/>
    <s v=" "/>
    <s v=" "/>
    <s v=" "/>
    <s v=" "/>
    <s v=" "/>
    <s v=" "/>
    <s v=" "/>
    <s v=" "/>
    <s v=" "/>
    <s v=" "/>
    <m/>
    <s v=" "/>
    <s v=" "/>
    <s v=" "/>
    <s v=" "/>
    <s v=" "/>
    <n v="0"/>
    <n v="0"/>
    <s v="Demasiado Riesgo"/>
    <m/>
    <m/>
    <m/>
    <m/>
    <m/>
    <m/>
  </r>
  <r>
    <m/>
    <m/>
    <s v="TRABAJADORES CAPACITADOS EN SUBCONTRATACION"/>
    <m/>
    <x v="1"/>
    <x v="5"/>
    <m/>
    <m/>
    <n v="4.694"/>
    <n v="4.4733000000000001"/>
    <n v="4.4733000000000001"/>
    <m/>
    <m/>
    <m/>
    <m/>
    <x v="5"/>
    <m/>
    <m/>
    <m/>
    <m/>
    <m/>
    <m/>
    <s v=" "/>
    <s v=" "/>
    <s v=" "/>
    <s v=" "/>
    <s v=" "/>
    <s v=" "/>
    <s v=" "/>
    <s v=" "/>
    <s v=" "/>
    <s v=" "/>
    <s v=" "/>
    <m/>
    <s v=" "/>
    <s v=" "/>
    <s v=" "/>
    <s v=" "/>
    <s v=" "/>
    <n v="0"/>
    <n v="0"/>
    <s v="Demasiado Riesgo"/>
    <m/>
    <m/>
    <m/>
    <m/>
    <m/>
    <m/>
  </r>
  <r>
    <m/>
    <m/>
    <s v="MAREL SISTEMAS DE PROCESO DE ALIMENTOS DE MEXICO"/>
    <m/>
    <x v="1"/>
    <x v="5"/>
    <m/>
    <m/>
    <n v="3.6051000000000002"/>
    <n v="3.4356"/>
    <n v="3.4356"/>
    <m/>
    <m/>
    <m/>
    <m/>
    <x v="5"/>
    <m/>
    <m/>
    <m/>
    <m/>
    <m/>
    <m/>
    <s v=" "/>
    <s v=" "/>
    <s v=" "/>
    <s v=" "/>
    <s v=" "/>
    <s v=" "/>
    <s v=" "/>
    <s v=" "/>
    <s v=" "/>
    <s v=" "/>
    <s v=" "/>
    <m/>
    <s v=" "/>
    <s v=" "/>
    <s v=" "/>
    <s v=" "/>
    <s v=" "/>
    <n v="0"/>
    <n v="0"/>
    <s v="Demasiado Riesgo"/>
    <m/>
    <m/>
    <m/>
    <m/>
    <m/>
    <m/>
  </r>
  <r>
    <m/>
    <m/>
    <s v="CARBONO COMSOLTA"/>
    <m/>
    <x v="1"/>
    <x v="5"/>
    <m/>
    <m/>
    <n v="21.043099999999999"/>
    <m/>
    <n v="0"/>
    <m/>
    <m/>
    <m/>
    <m/>
    <x v="5"/>
    <m/>
    <m/>
    <m/>
    <m/>
    <m/>
    <m/>
    <s v=" "/>
    <s v=" "/>
    <s v=" "/>
    <s v=" "/>
    <s v=" "/>
    <s v=" "/>
    <s v=" "/>
    <s v=" "/>
    <s v=" "/>
    <s v=" "/>
    <s v=" "/>
    <m/>
    <s v=" "/>
    <s v=" "/>
    <s v=" "/>
    <s v=" "/>
    <s v=" "/>
    <n v="0"/>
    <n v="0"/>
    <s v="Demasiado Riesgo"/>
    <m/>
    <m/>
    <m/>
    <m/>
    <m/>
    <m/>
  </r>
  <r>
    <m/>
    <m/>
    <s v="LA REVOLUCION DEL AGUA"/>
    <m/>
    <x v="1"/>
    <x v="5"/>
    <m/>
    <m/>
    <n v="39.058900000000001"/>
    <m/>
    <n v="0"/>
    <m/>
    <m/>
    <m/>
    <m/>
    <x v="5"/>
    <m/>
    <m/>
    <m/>
    <m/>
    <m/>
    <m/>
    <s v=" "/>
    <s v=" "/>
    <s v=" "/>
    <s v=" "/>
    <s v=" "/>
    <s v=" "/>
    <s v=" "/>
    <s v=" "/>
    <s v=" "/>
    <s v=" "/>
    <s v=" "/>
    <m/>
    <s v=" "/>
    <s v=" "/>
    <s v=" "/>
    <s v=" "/>
    <s v=" "/>
    <n v="0"/>
    <n v="0"/>
    <s v="Demasiado Riesgo"/>
    <m/>
    <m/>
    <m/>
    <m/>
    <m/>
    <m/>
  </r>
  <r>
    <m/>
    <m/>
    <s v="PUNTO ALQUIMIA"/>
    <m/>
    <x v="1"/>
    <x v="5"/>
    <m/>
    <m/>
    <n v="52.764299999999999"/>
    <m/>
    <n v="0"/>
    <m/>
    <m/>
    <m/>
    <m/>
    <x v="5"/>
    <m/>
    <m/>
    <m/>
    <m/>
    <m/>
    <m/>
    <s v=" "/>
    <s v=" "/>
    <s v=" "/>
    <s v=" "/>
    <s v=" "/>
    <s v=" "/>
    <s v=" "/>
    <s v=" "/>
    <s v=" "/>
    <s v=" "/>
    <s v=" "/>
    <m/>
    <s v=" "/>
    <s v=" "/>
    <s v=" "/>
    <s v=" "/>
    <s v=" "/>
    <n v="0"/>
    <n v="0"/>
    <s v="Demasiado Riesgo"/>
    <m/>
    <m/>
    <m/>
    <m/>
    <m/>
    <m/>
  </r>
  <r>
    <m/>
    <m/>
    <s v="SYD PROYECTOS INTEGRALES"/>
    <s v="ANTROMEX"/>
    <x v="0"/>
    <x v="3"/>
    <m/>
    <m/>
    <n v="5513.9083000000001"/>
    <n v="5601.0559999999996"/>
    <n v="5601.0559999999996"/>
    <m/>
    <m/>
    <m/>
    <m/>
    <x v="1"/>
    <m/>
    <s v="2. Videollamada"/>
    <s v="Semanal"/>
    <m/>
    <m/>
    <m/>
    <s v=" "/>
    <s v=" "/>
    <s v=" "/>
    <s v=" "/>
    <s v=" "/>
    <s v=" "/>
    <s v="OK (Q1 Marzo, 563)"/>
    <s v=" "/>
    <s v=" "/>
    <s v=" "/>
    <s v=" "/>
    <m/>
    <s v=" "/>
    <s v=" "/>
    <s v=" "/>
    <s v=" "/>
    <s v=" "/>
    <n v="0"/>
    <n v="0"/>
    <s v="Demasiado Riesgo"/>
    <m/>
    <n v="563"/>
    <m/>
    <m/>
    <m/>
    <m/>
  </r>
  <r>
    <m/>
    <m/>
    <s v="SERVICIOS INTEGRALES RAMPER(SIRAMPER)"/>
    <m/>
    <x v="0"/>
    <x v="3"/>
    <m/>
    <m/>
    <n v="3964.5063"/>
    <n v="3887.7932999999998"/>
    <n v="3887.7932999999998"/>
    <m/>
    <m/>
    <m/>
    <m/>
    <x v="0"/>
    <m/>
    <s v="2. Videollamada"/>
    <s v="Semanal"/>
    <m/>
    <m/>
    <m/>
    <s v=" "/>
    <s v=" "/>
    <s v=" "/>
    <s v=" "/>
    <s v=" "/>
    <s v=" "/>
    <s v=" "/>
    <s v=" "/>
    <s v=" "/>
    <s v=" "/>
    <s v=" "/>
    <m/>
    <s v=" "/>
    <s v=" "/>
    <s v=" "/>
    <s v=" "/>
    <s v=" "/>
    <n v="0"/>
    <n v="0"/>
    <s v="Demasiado Riesgo"/>
    <m/>
    <m/>
    <m/>
    <m/>
    <m/>
    <m/>
  </r>
  <r>
    <m/>
    <m/>
    <s v="ABSORMEX CMPC TISSUE"/>
    <m/>
    <x v="0"/>
    <x v="3"/>
    <m/>
    <m/>
    <n v="2906"/>
    <n v="3706"/>
    <n v="3706"/>
    <m/>
    <m/>
    <m/>
    <m/>
    <x v="1"/>
    <m/>
    <s v="2. Videollamada"/>
    <s v="Diario"/>
    <m/>
    <m/>
    <m/>
    <s v=" "/>
    <s v=" "/>
    <s v=" "/>
    <s v=" "/>
    <s v=" "/>
    <s v=" "/>
    <s v=" "/>
    <s v=" "/>
    <s v=" "/>
    <s v=" "/>
    <s v=" "/>
    <m/>
    <s v=" "/>
    <s v=" "/>
    <s v=" "/>
    <s v=" "/>
    <s v=" "/>
    <n v="0"/>
    <n v="0"/>
    <s v="Demasiado Riesgo"/>
    <m/>
    <m/>
    <m/>
    <m/>
    <m/>
    <m/>
  </r>
  <r>
    <m/>
    <m/>
    <s v="GRUPO JULIO"/>
    <m/>
    <x v="0"/>
    <x v="3"/>
    <s v="Tony"/>
    <m/>
    <n v="2750.3476999999998"/>
    <n v="3261.2260999999999"/>
    <n v="3261.2260999999999"/>
    <m/>
    <m/>
    <m/>
    <m/>
    <x v="0"/>
    <m/>
    <s v="2. Videollamada"/>
    <m/>
    <m/>
    <m/>
    <m/>
    <s v="SI"/>
    <s v=" "/>
    <s v=" "/>
    <s v=" "/>
    <s v=" "/>
    <s v=" "/>
    <s v="OK"/>
    <s v=" "/>
    <s v=" "/>
    <s v=" "/>
    <s v=" "/>
    <m/>
    <s v=" "/>
    <s v=" "/>
    <s v=" "/>
    <s v=" "/>
    <s v="NO"/>
    <n v="1"/>
    <n v="2"/>
    <s v="Riesgo Medio"/>
    <m/>
    <m/>
    <m/>
    <m/>
    <m/>
    <m/>
  </r>
  <r>
    <m/>
    <m/>
    <s v="SISTEMAS INTEGRALES PARA EL TRANSPORTE"/>
    <m/>
    <x v="0"/>
    <x v="3"/>
    <s v="Tony"/>
    <m/>
    <n v="2266.2193000000002"/>
    <n v="2393.4346999999998"/>
    <n v="2393.4346999999998"/>
    <m/>
    <m/>
    <m/>
    <m/>
    <x v="0"/>
    <m/>
    <s v="4. Whatsapp"/>
    <m/>
    <m/>
    <m/>
    <m/>
    <s v="SI"/>
    <s v=" "/>
    <s v=" "/>
    <s v=" "/>
    <s v=" "/>
    <s v=" "/>
    <s v=" "/>
    <s v=" "/>
    <s v="OK"/>
    <s v=" "/>
    <s v=" "/>
    <m/>
    <s v=" "/>
    <s v=" "/>
    <s v=" "/>
    <s v=" "/>
    <s v="NO"/>
    <n v="1"/>
    <n v="1"/>
    <s v="Riesgo Medio"/>
    <m/>
    <m/>
    <m/>
    <m/>
    <m/>
    <m/>
  </r>
  <r>
    <m/>
    <m/>
    <s v="OPERADORA OMX"/>
    <m/>
    <x v="0"/>
    <x v="3"/>
    <m/>
    <m/>
    <n v="2477.1174999999998"/>
    <n v="2238.1007"/>
    <n v="2238.1007"/>
    <m/>
    <m/>
    <m/>
    <m/>
    <x v="4"/>
    <m/>
    <s v="4. Whatsapp"/>
    <m/>
    <m/>
    <m/>
    <m/>
    <s v="SI"/>
    <s v=" "/>
    <s v=" "/>
    <s v="OK"/>
    <s v=" "/>
    <s v=" "/>
    <s v=" "/>
    <s v=" "/>
    <s v=" "/>
    <s v=" "/>
    <s v=" "/>
    <m/>
    <s v=" "/>
    <s v=" "/>
    <s v=" "/>
    <s v=" "/>
    <s v="NO"/>
    <n v="0"/>
    <n v="3"/>
    <s v="Riesgo Medio"/>
    <m/>
    <m/>
    <m/>
    <m/>
    <m/>
    <m/>
  </r>
  <r>
    <m/>
    <m/>
    <s v="SERVICIOS ADMINISTRATIVOS TRANSFORMANDO LA EDUCACION DE MEXICO"/>
    <m/>
    <x v="0"/>
    <x v="3"/>
    <m/>
    <m/>
    <n v="2295.5261999999998"/>
    <n v="2210.8762999999999"/>
    <n v="2210.8762999999999"/>
    <m/>
    <m/>
    <m/>
    <m/>
    <x v="1"/>
    <m/>
    <s v="2. Videollamada"/>
    <m/>
    <m/>
    <m/>
    <m/>
    <s v=" "/>
    <s v=" "/>
    <s v=" "/>
    <s v=" "/>
    <s v=" "/>
    <s v=" "/>
    <s v=" "/>
    <s v=" "/>
    <s v=" "/>
    <s v=" "/>
    <s v=" "/>
    <m/>
    <s v=" "/>
    <s v=" "/>
    <s v=" "/>
    <s v=" "/>
    <s v=" "/>
    <n v="0"/>
    <n v="0"/>
    <s v="Demasiado Riesgo"/>
    <m/>
    <m/>
    <m/>
    <m/>
    <m/>
    <m/>
  </r>
  <r>
    <m/>
    <m/>
    <s v="LAPI"/>
    <m/>
    <x v="0"/>
    <x v="3"/>
    <m/>
    <m/>
    <n v="2007.9972"/>
    <n v="1913.5929000000001"/>
    <n v="1913.5929000000001"/>
    <m/>
    <m/>
    <m/>
    <m/>
    <x v="1"/>
    <m/>
    <s v="4. Whatsapp"/>
    <m/>
    <m/>
    <m/>
    <m/>
    <s v=" "/>
    <s v=" "/>
    <s v=" "/>
    <s v=" "/>
    <s v=" "/>
    <s v=" "/>
    <s v=" "/>
    <s v=" "/>
    <s v=" "/>
    <s v=" "/>
    <s v=" "/>
    <m/>
    <s v=" "/>
    <s v=" "/>
    <s v=" "/>
    <s v=" "/>
    <s v=" "/>
    <n v="0"/>
    <n v="0"/>
    <s v="Demasiado Riesgo"/>
    <m/>
    <m/>
    <m/>
    <m/>
    <m/>
    <m/>
  </r>
  <r>
    <m/>
    <m/>
    <s v="EULEN DE SEGURIDAD PRIVADA SA DE CV"/>
    <s v="EULEN"/>
    <x v="0"/>
    <x v="3"/>
    <s v="Tony"/>
    <m/>
    <n v="1993.9534000000001"/>
    <n v="1888.741"/>
    <n v="1888.741"/>
    <m/>
    <m/>
    <m/>
    <m/>
    <x v="0"/>
    <m/>
    <s v="1. Reuniones presenciales"/>
    <m/>
    <m/>
    <m/>
    <m/>
    <s v=" "/>
    <s v=" "/>
    <s v=" "/>
    <s v=" "/>
    <s v="OP (Q2-Q3, 1200)"/>
    <s v="OP (Q2-Q3, 1700)"/>
    <s v=" "/>
    <s v=" "/>
    <s v=" "/>
    <s v=" "/>
    <s v=" "/>
    <m/>
    <s v=" "/>
    <s v=" "/>
    <s v=" "/>
    <s v=" "/>
    <s v=" "/>
    <n v="0"/>
    <n v="0"/>
    <s v="Demasiado Riesgo"/>
    <n v="2900"/>
    <m/>
    <m/>
    <m/>
    <m/>
    <m/>
  </r>
  <r>
    <m/>
    <m/>
    <s v="SCHETTINO"/>
    <s v="SCHETTINO"/>
    <x v="0"/>
    <x v="3"/>
    <m/>
    <m/>
    <n v="1787.4363000000001"/>
    <n v="1790.9350999999999"/>
    <n v="1790.9350999999999"/>
    <m/>
    <m/>
    <m/>
    <m/>
    <x v="1"/>
    <m/>
    <s v="4. Whatsapp"/>
    <m/>
    <m/>
    <m/>
    <m/>
    <s v="SI"/>
    <s v=" "/>
    <s v=" "/>
    <s v=" "/>
    <s v=" "/>
    <s v=" "/>
    <s v=" "/>
    <s v="OK"/>
    <s v=" "/>
    <s v=" "/>
    <s v=" "/>
    <m/>
    <s v=" "/>
    <s v=" "/>
    <s v=" "/>
    <s v=" "/>
    <s v="NO"/>
    <n v="1"/>
    <n v="1"/>
    <s v="Riesgo Medio"/>
    <m/>
    <m/>
    <m/>
    <m/>
    <m/>
    <m/>
  </r>
  <r>
    <m/>
    <m/>
    <s v="FLEX-TEC MEXICO"/>
    <m/>
    <x v="0"/>
    <x v="3"/>
    <m/>
    <m/>
    <n v="1802.9729"/>
    <n v="1790.4221"/>
    <n v="1790.4221"/>
    <m/>
    <m/>
    <m/>
    <m/>
    <x v="4"/>
    <m/>
    <s v="4. Whatsapp"/>
    <m/>
    <m/>
    <m/>
    <m/>
    <s v=" "/>
    <s v=" "/>
    <s v=" "/>
    <s v=" "/>
    <s v=" "/>
    <s v=" "/>
    <s v=" "/>
    <s v=" "/>
    <s v=" "/>
    <s v=" "/>
    <s v=" "/>
    <m/>
    <s v=" "/>
    <s v=" "/>
    <s v=" "/>
    <s v=" "/>
    <s v=" "/>
    <n v="0"/>
    <n v="0"/>
    <s v="Demasiado Riesgo"/>
    <m/>
    <m/>
    <m/>
    <m/>
    <m/>
    <m/>
  </r>
  <r>
    <m/>
    <m/>
    <s v="FRUEHAUF DE MEXICO"/>
    <m/>
    <x v="0"/>
    <x v="3"/>
    <m/>
    <m/>
    <n v="1653.8596"/>
    <n v="1582.4833000000001"/>
    <n v="1582.4833000000001"/>
    <m/>
    <m/>
    <m/>
    <m/>
    <x v="1"/>
    <m/>
    <s v="4. Whatsapp"/>
    <m/>
    <m/>
    <m/>
    <m/>
    <s v="SI"/>
    <s v=" "/>
    <s v=" "/>
    <s v=" "/>
    <s v=" "/>
    <s v=" "/>
    <s v=" "/>
    <s v=" "/>
    <s v="OK"/>
    <s v=" "/>
    <s v=" "/>
    <m/>
    <s v="OK"/>
    <s v=" "/>
    <s v=" "/>
    <s v=" "/>
    <s v=" "/>
    <n v="2"/>
    <n v="1"/>
    <s v="Riesgo Medio"/>
    <m/>
    <m/>
    <m/>
    <m/>
    <m/>
    <m/>
  </r>
  <r>
    <m/>
    <m/>
    <s v="DESPEGAR.COM MEXICO"/>
    <m/>
    <x v="0"/>
    <x v="3"/>
    <s v="Tony"/>
    <m/>
    <n v="1417.5"/>
    <n v="1417.5"/>
    <n v="1417.5"/>
    <m/>
    <m/>
    <m/>
    <m/>
    <x v="0"/>
    <m/>
    <s v="2. Videollamada"/>
    <m/>
    <m/>
    <m/>
    <m/>
    <s v=" "/>
    <s v=" "/>
    <s v=" "/>
    <s v=" "/>
    <s v=" "/>
    <s v=" "/>
    <s v=" "/>
    <s v=" "/>
    <s v=" "/>
    <s v=" "/>
    <s v=" "/>
    <m/>
    <s v=" "/>
    <s v=" "/>
    <s v=" "/>
    <s v=" "/>
    <s v="NO"/>
    <n v="0"/>
    <n v="0"/>
    <s v="Demasiado Riesgo"/>
    <m/>
    <m/>
    <m/>
    <m/>
    <m/>
    <m/>
  </r>
  <r>
    <m/>
    <m/>
    <s v="AJEMEX"/>
    <m/>
    <x v="0"/>
    <x v="3"/>
    <m/>
    <m/>
    <n v="1406.4661000000001"/>
    <n v="1356.3756000000001"/>
    <n v="1356.3756000000001"/>
    <m/>
    <m/>
    <m/>
    <m/>
    <x v="0"/>
    <m/>
    <s v="4. Whatsapp"/>
    <m/>
    <m/>
    <m/>
    <m/>
    <s v="SI"/>
    <s v=" "/>
    <s v=" "/>
    <s v=" "/>
    <s v=" "/>
    <s v=" "/>
    <s v=" "/>
    <s v=" "/>
    <s v="OK"/>
    <s v=" "/>
    <s v=" "/>
    <m/>
    <s v=" "/>
    <s v=" "/>
    <s v=" "/>
    <s v=" "/>
    <s v="NO"/>
    <n v="1"/>
    <n v="1"/>
    <s v="Riesgo Medio"/>
    <m/>
    <m/>
    <m/>
    <m/>
    <m/>
    <m/>
  </r>
  <r>
    <m/>
    <m/>
    <s v="TDSYSTEM"/>
    <m/>
    <x v="0"/>
    <x v="3"/>
    <m/>
    <m/>
    <n v="1324.0612000000001"/>
    <n v="1313.4482"/>
    <n v="1313.4482"/>
    <m/>
    <m/>
    <m/>
    <m/>
    <x v="0"/>
    <m/>
    <s v="4. Whatsapp"/>
    <m/>
    <m/>
    <m/>
    <m/>
    <s v="SI"/>
    <s v=" "/>
    <s v=" "/>
    <s v="OK"/>
    <s v=" "/>
    <s v=" "/>
    <s v=" "/>
    <s v=" "/>
    <s v=" "/>
    <s v=" "/>
    <s v=" "/>
    <m/>
    <s v=" "/>
    <s v=" "/>
    <s v=" "/>
    <s v=" "/>
    <s v="NO"/>
    <n v="0"/>
    <n v="3"/>
    <s v="Riesgo Medio"/>
    <m/>
    <m/>
    <m/>
    <m/>
    <m/>
    <m/>
  </r>
  <r>
    <m/>
    <m/>
    <s v="ALIMENTOS CENTRALIZADOS DE MEXICO"/>
    <m/>
    <x v="0"/>
    <x v="3"/>
    <m/>
    <m/>
    <n v="1358.5129999999999"/>
    <n v="1294.6436000000001"/>
    <n v="1294.6436000000001"/>
    <m/>
    <m/>
    <m/>
    <m/>
    <x v="1"/>
    <m/>
    <s v="4. Whatsapp"/>
    <m/>
    <m/>
    <m/>
    <m/>
    <s v=" "/>
    <s v=" "/>
    <s v=" "/>
    <s v=" "/>
    <s v=" "/>
    <s v=" "/>
    <s v=" "/>
    <s v=" "/>
    <s v=" "/>
    <s v=" "/>
    <s v=" "/>
    <m/>
    <s v=" "/>
    <s v=" "/>
    <s v=" "/>
    <s v=" "/>
    <s v=" "/>
    <n v="0"/>
    <n v="0"/>
    <s v="Demasiado Riesgo"/>
    <m/>
    <m/>
    <m/>
    <m/>
    <m/>
    <m/>
  </r>
  <r>
    <m/>
    <m/>
    <s v="CONCESIONARIA MEXIQUENSE"/>
    <s v="ALEATICA"/>
    <x v="0"/>
    <x v="3"/>
    <m/>
    <m/>
    <n v="1242.4664"/>
    <n v="1190.68"/>
    <n v="1190.68"/>
    <m/>
    <m/>
    <m/>
    <m/>
    <x v="1"/>
    <m/>
    <s v="2. Videollamada"/>
    <m/>
    <m/>
    <m/>
    <m/>
    <s v=" "/>
    <s v=" "/>
    <s v=" "/>
    <s v=" "/>
    <s v=" "/>
    <s v=" "/>
    <s v=" "/>
    <s v=" "/>
    <s v=" "/>
    <s v=" "/>
    <s v=" "/>
    <m/>
    <s v=" "/>
    <s v=" "/>
    <s v=" "/>
    <s v=" "/>
    <s v=" "/>
    <n v="0"/>
    <n v="0"/>
    <s v="Demasiado Riesgo"/>
    <m/>
    <m/>
    <m/>
    <m/>
    <m/>
    <m/>
  </r>
  <r>
    <m/>
    <m/>
    <s v="CORPORACION DE RESTAURANTES MAXIMUS"/>
    <m/>
    <x v="0"/>
    <x v="3"/>
    <m/>
    <m/>
    <n v="1216.2429999999999"/>
    <n v="1172.7385999999999"/>
    <n v="1172.7385999999999"/>
    <m/>
    <m/>
    <m/>
    <m/>
    <x v="4"/>
    <m/>
    <s v="4. Whatsapp"/>
    <m/>
    <m/>
    <m/>
    <m/>
    <s v=" "/>
    <s v=" "/>
    <s v=" "/>
    <s v=" "/>
    <s v=" "/>
    <s v=" "/>
    <s v=" "/>
    <s v=" "/>
    <s v=" "/>
    <s v=" "/>
    <s v=" "/>
    <m/>
    <s v=" "/>
    <s v=" "/>
    <s v=" "/>
    <s v=" "/>
    <s v=" "/>
    <n v="0"/>
    <n v="0"/>
    <s v="Demasiado Riesgo"/>
    <m/>
    <m/>
    <m/>
    <m/>
    <m/>
    <m/>
  </r>
  <r>
    <m/>
    <m/>
    <s v="GRUPO CONVERSE DE MEXICO"/>
    <m/>
    <x v="0"/>
    <x v="3"/>
    <s v="Tony"/>
    <m/>
    <n v="1273.6555000000001"/>
    <n v="1165.7783999999999"/>
    <n v="1165.7783999999999"/>
    <m/>
    <m/>
    <m/>
    <m/>
    <x v="1"/>
    <m/>
    <s v="4. Whatsapp"/>
    <m/>
    <m/>
    <m/>
    <m/>
    <s v="SI"/>
    <s v=" "/>
    <s v=" "/>
    <s v="OK"/>
    <s v=" "/>
    <s v=" "/>
    <s v=" "/>
    <s v="OK"/>
    <s v="OK"/>
    <s v=" "/>
    <s v=" "/>
    <m/>
    <s v=" "/>
    <s v=" "/>
    <s v=" "/>
    <s v=" "/>
    <s v="NO"/>
    <n v="2"/>
    <n v="5"/>
    <s v="Riesgo Medio"/>
    <m/>
    <m/>
    <m/>
    <m/>
    <m/>
    <m/>
  </r>
  <r>
    <m/>
    <m/>
    <s v="EULEN MEXICO DE SERVICIOS SA DE CV"/>
    <m/>
    <x v="0"/>
    <x v="3"/>
    <s v="Tony"/>
    <m/>
    <n v="1269.2072000000001"/>
    <n v="1157.9860000000001"/>
    <n v="1157.9860000000001"/>
    <m/>
    <m/>
    <m/>
    <m/>
    <x v="0"/>
    <m/>
    <s v="1. Reuniones presenciales"/>
    <m/>
    <m/>
    <m/>
    <m/>
    <s v=" "/>
    <s v=" "/>
    <s v=" "/>
    <s v=" "/>
    <s v=" "/>
    <s v=" "/>
    <s v=" "/>
    <s v=" "/>
    <s v=" "/>
    <s v=" "/>
    <s v=" "/>
    <m/>
    <s v=" "/>
    <s v=" "/>
    <s v=" "/>
    <s v=" "/>
    <s v=" "/>
    <n v="0"/>
    <n v="0"/>
    <s v="Demasiado Riesgo"/>
    <m/>
    <m/>
    <m/>
    <m/>
    <m/>
    <m/>
  </r>
  <r>
    <m/>
    <m/>
    <s v="PROVEEDORA DE QUIMICOS Y MEDICAMENTOS CARE LAB (DAROVI)"/>
    <m/>
    <x v="0"/>
    <x v="3"/>
    <m/>
    <m/>
    <n v="1169.4483"/>
    <n v="1114.4675999999999"/>
    <n v="1114.4675999999999"/>
    <m/>
    <m/>
    <m/>
    <m/>
    <x v="0"/>
    <m/>
    <s v="4. Whatsapp"/>
    <m/>
    <m/>
    <m/>
    <m/>
    <s v=" "/>
    <s v=" "/>
    <s v=" "/>
    <s v=" "/>
    <s v=" "/>
    <s v=" "/>
    <s v=" "/>
    <s v=" "/>
    <s v=" "/>
    <s v=" "/>
    <s v=" "/>
    <m/>
    <s v=" "/>
    <s v=" "/>
    <s v=" "/>
    <s v=" "/>
    <s v=" "/>
    <n v="0"/>
    <n v="0"/>
    <s v="Demasiado Riesgo"/>
    <m/>
    <m/>
    <m/>
    <m/>
    <m/>
    <m/>
  </r>
  <r>
    <m/>
    <m/>
    <s v="BIODIST (DICIPA)"/>
    <m/>
    <x v="0"/>
    <x v="3"/>
    <m/>
    <m/>
    <n v="1104.5434"/>
    <n v="1079.9512"/>
    <n v="1079.9512"/>
    <m/>
    <m/>
    <m/>
    <m/>
    <x v="1"/>
    <m/>
    <s v="2. Videollamada"/>
    <m/>
    <m/>
    <m/>
    <m/>
    <s v="SI"/>
    <s v=" "/>
    <s v=" "/>
    <s v=" "/>
    <s v=" "/>
    <s v="OP (Q2, 600)"/>
    <s v=" "/>
    <s v="OK"/>
    <s v=" "/>
    <s v=" "/>
    <s v=" "/>
    <m/>
    <s v=" "/>
    <s v=" "/>
    <s v=" "/>
    <s v=" "/>
    <s v="NO"/>
    <n v="1"/>
    <n v="1"/>
    <s v="Riesgo Medio"/>
    <n v="600"/>
    <m/>
    <n v="600"/>
    <m/>
    <m/>
    <m/>
  </r>
  <r>
    <m/>
    <m/>
    <s v="Puratos de México SA de CV"/>
    <m/>
    <x v="0"/>
    <x v="3"/>
    <m/>
    <m/>
    <n v="1055.7058"/>
    <n v="1006.0727000000001"/>
    <n v="1006.0727000000001"/>
    <m/>
    <m/>
    <m/>
    <m/>
    <x v="1"/>
    <m/>
    <s v="4. Whatsapp"/>
    <m/>
    <m/>
    <m/>
    <m/>
    <s v="SI"/>
    <s v=" "/>
    <s v=" "/>
    <s v=" "/>
    <s v=" "/>
    <s v=" "/>
    <s v=" "/>
    <s v="OK"/>
    <s v=" "/>
    <s v=" "/>
    <s v=" "/>
    <m/>
    <s v=" "/>
    <s v=" "/>
    <s v=" "/>
    <s v=" "/>
    <s v="NO"/>
    <n v="1"/>
    <n v="1"/>
    <s v="Riesgo Medio"/>
    <m/>
    <m/>
    <m/>
    <m/>
    <m/>
    <m/>
  </r>
  <r>
    <m/>
    <m/>
    <s v="FORSAC MEXICO"/>
    <m/>
    <x v="0"/>
    <x v="3"/>
    <s v="Tony"/>
    <m/>
    <n v="932.08159999999998"/>
    <n v="914.68640000000005"/>
    <n v="914.68640000000005"/>
    <m/>
    <m/>
    <m/>
    <m/>
    <x v="1"/>
    <m/>
    <s v="4. Whatsapp"/>
    <m/>
    <m/>
    <m/>
    <m/>
    <s v="SI"/>
    <s v=" "/>
    <s v=" "/>
    <s v="OK"/>
    <s v=" "/>
    <s v="OK"/>
    <s v=" "/>
    <s v=" "/>
    <s v="OK"/>
    <s v=" "/>
    <s v=" "/>
    <m/>
    <s v=" "/>
    <s v=" "/>
    <s v=" "/>
    <s v=" "/>
    <s v="NO"/>
    <n v="2"/>
    <n v="6"/>
    <s v="Riesgo Bajo"/>
    <m/>
    <m/>
    <m/>
    <m/>
    <m/>
    <m/>
  </r>
  <r>
    <m/>
    <m/>
    <s v="DISTRIBUIDORA JUGUETRON"/>
    <m/>
    <x v="0"/>
    <x v="3"/>
    <m/>
    <m/>
    <n v="832.46410000000003"/>
    <n v="819.61419999999998"/>
    <n v="819.61419999999998"/>
    <m/>
    <m/>
    <m/>
    <m/>
    <x v="0"/>
    <m/>
    <s v="2. Videollamada"/>
    <m/>
    <m/>
    <m/>
    <m/>
    <s v=" "/>
    <s v=" "/>
    <s v=" "/>
    <s v=" "/>
    <s v=" "/>
    <s v=" "/>
    <s v=" "/>
    <s v=" "/>
    <s v=" "/>
    <s v=" "/>
    <s v=" "/>
    <m/>
    <s v=" "/>
    <s v=" "/>
    <s v=" "/>
    <s v=" "/>
    <s v=" "/>
    <n v="0"/>
    <n v="0"/>
    <s v="Demasiado Riesgo"/>
    <m/>
    <m/>
    <m/>
    <m/>
    <m/>
    <m/>
  </r>
  <r>
    <m/>
    <m/>
    <s v="PRODUCTORA DE ALIMENTOS NUTRITIVOS"/>
    <s v="SCHETTINO"/>
    <x v="0"/>
    <x v="3"/>
    <m/>
    <m/>
    <n v="834.43439999999998"/>
    <n v="803.92989999999998"/>
    <n v="803.92989999999998"/>
    <m/>
    <m/>
    <m/>
    <m/>
    <x v="1"/>
    <m/>
    <s v="4. Whatsapp"/>
    <m/>
    <m/>
    <m/>
    <m/>
    <s v=" "/>
    <s v=" "/>
    <s v=" "/>
    <s v=" "/>
    <s v=" "/>
    <s v=" "/>
    <s v=" "/>
    <s v=" "/>
    <s v=" "/>
    <s v=" "/>
    <s v=" "/>
    <m/>
    <s v=" "/>
    <s v=" "/>
    <s v=" "/>
    <s v=" "/>
    <s v=" "/>
    <n v="0"/>
    <n v="0"/>
    <s v="Demasiado Riesgo"/>
    <m/>
    <m/>
    <m/>
    <m/>
    <m/>
    <m/>
  </r>
  <r>
    <m/>
    <m/>
    <s v="NETAFIM MANUFACTURING MEXICO"/>
    <m/>
    <x v="0"/>
    <x v="3"/>
    <m/>
    <m/>
    <n v="618.27769999999998"/>
    <n v="776.09590000000003"/>
    <n v="776.09590000000003"/>
    <m/>
    <m/>
    <m/>
    <m/>
    <x v="1"/>
    <m/>
    <s v="2. Videollamada"/>
    <m/>
    <m/>
    <m/>
    <m/>
    <s v="SI"/>
    <s v=" "/>
    <s v=" "/>
    <s v="OK"/>
    <s v=" "/>
    <s v="OK"/>
    <s v=" "/>
    <s v=" "/>
    <s v=" "/>
    <s v=" "/>
    <s v=" "/>
    <m/>
    <s v=" "/>
    <s v=" "/>
    <s v=" "/>
    <s v=" "/>
    <s v="NO"/>
    <n v="1"/>
    <n v="5"/>
    <s v="Riesgo Medio"/>
    <m/>
    <m/>
    <m/>
    <m/>
    <m/>
    <m/>
  </r>
  <r>
    <m/>
    <m/>
    <s v="CONCORDE GROUP"/>
    <m/>
    <x v="0"/>
    <x v="3"/>
    <m/>
    <m/>
    <n v="877.49189999999999"/>
    <n v="775.37789999999995"/>
    <n v="775.37789999999995"/>
    <m/>
    <m/>
    <m/>
    <m/>
    <x v="1"/>
    <m/>
    <s v="4. Whatsapp"/>
    <m/>
    <m/>
    <m/>
    <m/>
    <s v="SI"/>
    <s v=" "/>
    <s v=" "/>
    <s v=" "/>
    <s v=" "/>
    <s v=" "/>
    <s v=" "/>
    <s v=" "/>
    <s v="OK"/>
    <s v=" "/>
    <s v=" "/>
    <m/>
    <s v=" "/>
    <s v=" "/>
    <s v=" "/>
    <s v=" "/>
    <s v="NO"/>
    <n v="1"/>
    <n v="1"/>
    <s v="Riesgo Medio"/>
    <m/>
    <m/>
    <m/>
    <m/>
    <m/>
    <m/>
  </r>
  <r>
    <m/>
    <m/>
    <s v="DICIPA"/>
    <m/>
    <x v="0"/>
    <x v="3"/>
    <m/>
    <m/>
    <n v="767.84889999999996"/>
    <n v="730.09230000000002"/>
    <n v="730.09230000000002"/>
    <m/>
    <m/>
    <m/>
    <m/>
    <x v="1"/>
    <m/>
    <s v="2. Videollamada"/>
    <m/>
    <m/>
    <m/>
    <m/>
    <s v="SI"/>
    <s v=" "/>
    <s v=" "/>
    <s v=" "/>
    <s v=" "/>
    <s v=" "/>
    <s v=" "/>
    <s v="OK"/>
    <s v=" "/>
    <s v=" "/>
    <s v=" "/>
    <m/>
    <s v=" "/>
    <s v=" "/>
    <s v=" "/>
    <s v=" "/>
    <s v="NO"/>
    <n v="1"/>
    <n v="1"/>
    <s v="Riesgo Medio"/>
    <m/>
    <m/>
    <m/>
    <m/>
    <m/>
    <m/>
  </r>
  <r>
    <m/>
    <m/>
    <s v="COMPAÑIA MADERERA DE CHIHUAHUA SUCESORES (HAGALO)"/>
    <m/>
    <x v="0"/>
    <x v="3"/>
    <m/>
    <m/>
    <n v="576.03150000000005"/>
    <n v="729.48469999999998"/>
    <n v="729.48469999999998"/>
    <m/>
    <m/>
    <m/>
    <m/>
    <x v="1"/>
    <m/>
    <s v="4. Whatsapp"/>
    <m/>
    <m/>
    <m/>
    <m/>
    <s v=" "/>
    <s v=" "/>
    <s v=" "/>
    <s v=" "/>
    <s v="OK"/>
    <s v=" "/>
    <s v=" "/>
    <s v=" "/>
    <s v=" "/>
    <s v=" "/>
    <s v=" "/>
    <m/>
    <s v=" "/>
    <s v=" "/>
    <s v=" "/>
    <s v=" "/>
    <s v=" "/>
    <n v="0"/>
    <n v="2"/>
    <s v="Riesgo Medio"/>
    <m/>
    <m/>
    <m/>
    <m/>
    <m/>
    <m/>
  </r>
  <r>
    <m/>
    <m/>
    <s v="FIDES SEGURIDAD PRIVADA"/>
    <s v="HEINEKEN"/>
    <x v="0"/>
    <x v="3"/>
    <m/>
    <m/>
    <n v="720.74929999999995"/>
    <n v="700.80020000000002"/>
    <n v="700.80020000000002"/>
    <m/>
    <m/>
    <m/>
    <m/>
    <x v="0"/>
    <m/>
    <s v="4. Whatsapp"/>
    <m/>
    <m/>
    <m/>
    <m/>
    <s v="SI"/>
    <s v=" "/>
    <s v=" "/>
    <s v=" "/>
    <s v=" "/>
    <s v="OK"/>
    <s v=" "/>
    <s v=" "/>
    <s v=" "/>
    <s v=" "/>
    <s v=" "/>
    <m/>
    <s v=" "/>
    <s v=" "/>
    <s v=" "/>
    <s v=" "/>
    <s v="NO"/>
    <n v="1"/>
    <n v="2"/>
    <s v="Riesgo Medio"/>
    <m/>
    <m/>
    <m/>
    <m/>
    <m/>
    <m/>
  </r>
  <r>
    <m/>
    <m/>
    <s v="EPIC ADVENTURE SPORTS"/>
    <s v="JULIO"/>
    <x v="0"/>
    <x v="3"/>
    <m/>
    <m/>
    <n v="606.05010000000004"/>
    <n v="668.01790000000005"/>
    <n v="668.01790000000005"/>
    <m/>
    <m/>
    <m/>
    <m/>
    <x v="0"/>
    <m/>
    <s v="2. Videollamada"/>
    <m/>
    <m/>
    <m/>
    <m/>
    <s v="SI"/>
    <s v=" "/>
    <s v=" "/>
    <s v=" "/>
    <s v=" "/>
    <s v=" "/>
    <s v="OK"/>
    <s v=" "/>
    <s v=" "/>
    <s v=" "/>
    <s v=" "/>
    <m/>
    <s v=" "/>
    <s v=" "/>
    <s v=" "/>
    <s v=" "/>
    <s v="NO"/>
    <n v="1"/>
    <n v="2"/>
    <s v="Riesgo Medio"/>
    <m/>
    <m/>
    <m/>
    <m/>
    <m/>
    <m/>
  </r>
  <r>
    <m/>
    <m/>
    <s v="EULEN MEXICO SA DE CV"/>
    <m/>
    <x v="0"/>
    <x v="3"/>
    <s v="Tony"/>
    <m/>
    <n v="788.44690000000003"/>
    <n v="664.31769999999995"/>
    <n v="664.31769999999995"/>
    <m/>
    <m/>
    <m/>
    <m/>
    <x v="0"/>
    <m/>
    <s v="1. Reuniones presenciales"/>
    <m/>
    <m/>
    <m/>
    <m/>
    <s v=" "/>
    <s v=" "/>
    <s v=" "/>
    <s v=" "/>
    <s v=" "/>
    <s v=" "/>
    <s v=" "/>
    <s v=" "/>
    <s v=" "/>
    <s v=" "/>
    <s v=" "/>
    <m/>
    <s v=" "/>
    <s v=" "/>
    <s v=" "/>
    <s v=" "/>
    <s v=" "/>
    <n v="0"/>
    <n v="0"/>
    <s v="Demasiado Riesgo"/>
    <m/>
    <m/>
    <m/>
    <m/>
    <m/>
    <m/>
  </r>
  <r>
    <m/>
    <m/>
    <s v="OPCEM"/>
    <s v="ALEATICA"/>
    <x v="0"/>
    <x v="3"/>
    <m/>
    <m/>
    <n v="658.32180000000005"/>
    <n v="636.20749999999998"/>
    <n v="636.20749999999998"/>
    <m/>
    <m/>
    <m/>
    <m/>
    <x v="1"/>
    <m/>
    <s v="2. Videollamada"/>
    <m/>
    <m/>
    <m/>
    <m/>
    <s v=" "/>
    <s v=" "/>
    <s v=" "/>
    <s v=" "/>
    <s v=" "/>
    <s v=" "/>
    <s v=" "/>
    <s v=" "/>
    <s v=" "/>
    <s v=" "/>
    <s v=" "/>
    <m/>
    <s v=" "/>
    <s v=" "/>
    <s v=" "/>
    <s v=" "/>
    <s v=" "/>
    <n v="0"/>
    <n v="0"/>
    <s v="Demasiado Riesgo"/>
    <m/>
    <m/>
    <m/>
    <m/>
    <m/>
    <m/>
  </r>
  <r>
    <m/>
    <m/>
    <s v="QUALIS TECHNOLOGIES"/>
    <s v="DAROVI"/>
    <x v="0"/>
    <x v="3"/>
    <m/>
    <m/>
    <n v="667.59389999999996"/>
    <n v="636.20749999999998"/>
    <n v="636.20749999999998"/>
    <m/>
    <m/>
    <m/>
    <m/>
    <x v="1"/>
    <m/>
    <s v="4. Whatsapp"/>
    <m/>
    <m/>
    <m/>
    <m/>
    <s v=" "/>
    <s v=" "/>
    <s v=" "/>
    <s v=" "/>
    <s v=" "/>
    <s v=" "/>
    <s v=" "/>
    <s v=" "/>
    <s v=" "/>
    <s v=" "/>
    <s v=" "/>
    <m/>
    <s v=" "/>
    <s v=" "/>
    <s v=" "/>
    <s v=" "/>
    <s v=" "/>
    <n v="0"/>
    <n v="0"/>
    <s v="Demasiado Riesgo"/>
    <m/>
    <m/>
    <m/>
    <m/>
    <m/>
    <m/>
  </r>
  <r>
    <m/>
    <m/>
    <s v="COMERCIALIZADORA DOMARTS"/>
    <s v="CONVERSE"/>
    <x v="0"/>
    <x v="3"/>
    <m/>
    <m/>
    <n v="668.39530000000002"/>
    <n v="628.69889999999998"/>
    <n v="628.69889999999998"/>
    <m/>
    <m/>
    <m/>
    <m/>
    <x v="1"/>
    <m/>
    <s v="4. Whatsapp"/>
    <m/>
    <m/>
    <m/>
    <m/>
    <s v="SI"/>
    <s v=" "/>
    <s v=" "/>
    <s v="OK"/>
    <s v=" "/>
    <s v=" "/>
    <s v=" "/>
    <s v="OK"/>
    <s v="OK"/>
    <s v=" "/>
    <s v=" "/>
    <m/>
    <s v=" "/>
    <s v=" "/>
    <s v=" "/>
    <s v=" "/>
    <s v="NO"/>
    <n v="2"/>
    <n v="5"/>
    <s v="Riesgo Medio"/>
    <m/>
    <m/>
    <m/>
    <m/>
    <m/>
    <m/>
  </r>
  <r>
    <m/>
    <m/>
    <s v="GRUPO SABER INTEGRARSE"/>
    <m/>
    <x v="0"/>
    <x v="3"/>
    <m/>
    <m/>
    <n v="584.22050000000002"/>
    <n v="569.35109999999997"/>
    <n v="569.35109999999997"/>
    <m/>
    <m/>
    <m/>
    <m/>
    <x v="0"/>
    <m/>
    <s v="2. Videollamada"/>
    <m/>
    <m/>
    <m/>
    <m/>
    <s v=" "/>
    <s v=" "/>
    <s v=" "/>
    <s v=" "/>
    <s v=" "/>
    <s v=" "/>
    <s v=" "/>
    <s v=" "/>
    <s v=" "/>
    <s v=" "/>
    <s v=" "/>
    <m/>
    <s v=" "/>
    <s v=" "/>
    <s v=" "/>
    <s v=" "/>
    <s v=" "/>
    <n v="0"/>
    <n v="0"/>
    <s v="Demasiado Riesgo"/>
    <m/>
    <m/>
    <m/>
    <m/>
    <m/>
    <m/>
  </r>
  <r>
    <m/>
    <m/>
    <s v="MEXICANA DE ARROZ"/>
    <s v="SCHETTINO"/>
    <x v="0"/>
    <x v="3"/>
    <m/>
    <m/>
    <n v="582.98559999999998"/>
    <n v="546.85130000000004"/>
    <n v="546.85130000000004"/>
    <m/>
    <m/>
    <m/>
    <m/>
    <x v="1"/>
    <m/>
    <s v="4. Whatsapp"/>
    <m/>
    <m/>
    <m/>
    <m/>
    <s v=" "/>
    <s v=" "/>
    <s v=" "/>
    <s v=" "/>
    <s v=" "/>
    <s v=" "/>
    <s v=" "/>
    <s v=" "/>
    <s v=" "/>
    <s v=" "/>
    <s v=" "/>
    <m/>
    <s v=" "/>
    <s v=" "/>
    <s v=" "/>
    <s v=" "/>
    <s v=" "/>
    <n v="0"/>
    <n v="0"/>
    <s v="Demasiado Riesgo"/>
    <m/>
    <m/>
    <m/>
    <m/>
    <m/>
    <m/>
  </r>
  <r>
    <m/>
    <m/>
    <s v="PODER JUSTO"/>
    <m/>
    <x v="0"/>
    <x v="3"/>
    <m/>
    <m/>
    <n v="501.19260000000003"/>
    <n v="517.14559999999994"/>
    <n v="517.14559999999994"/>
    <m/>
    <m/>
    <m/>
    <m/>
    <x v="1"/>
    <m/>
    <s v="4. Whatsapp"/>
    <m/>
    <m/>
    <m/>
    <m/>
    <s v=" "/>
    <s v=" "/>
    <s v=" "/>
    <s v=" "/>
    <s v=" "/>
    <s v=" "/>
    <s v=" "/>
    <s v=" "/>
    <s v=" "/>
    <s v=" "/>
    <s v=" "/>
    <m/>
    <s v=" "/>
    <s v=" "/>
    <s v=" "/>
    <s v=" "/>
    <s v=" "/>
    <n v="0"/>
    <n v="0"/>
    <s v="Demasiado Riesgo"/>
    <m/>
    <m/>
    <m/>
    <m/>
    <m/>
    <m/>
  </r>
  <r>
    <m/>
    <m/>
    <s v="TIENDAS ADITIVO"/>
    <m/>
    <x v="0"/>
    <x v="3"/>
    <m/>
    <m/>
    <n v="563.31020000000001"/>
    <n v="508.93950000000001"/>
    <n v="508.93950000000001"/>
    <m/>
    <m/>
    <m/>
    <m/>
    <x v="4"/>
    <m/>
    <s v="4. Whatsapp"/>
    <m/>
    <m/>
    <m/>
    <m/>
    <s v=" "/>
    <s v=" "/>
    <s v=" "/>
    <s v=" "/>
    <s v=" "/>
    <s v=" "/>
    <s v=" "/>
    <s v=" "/>
    <s v=" "/>
    <s v=" "/>
    <s v=" "/>
    <m/>
    <s v=" "/>
    <s v=" "/>
    <s v=" "/>
    <s v=" "/>
    <s v=" "/>
    <n v="0"/>
    <n v="0"/>
    <s v="Demasiado Riesgo"/>
    <m/>
    <m/>
    <m/>
    <m/>
    <m/>
    <m/>
  </r>
  <r>
    <m/>
    <m/>
    <s v="FARMACOS DAROVI"/>
    <m/>
    <x v="0"/>
    <x v="3"/>
    <m/>
    <m/>
    <n v="467.08390000000003"/>
    <n v="445.12430000000001"/>
    <n v="445.12430000000001"/>
    <m/>
    <m/>
    <m/>
    <m/>
    <x v="1"/>
    <m/>
    <s v="4. Whatsapp"/>
    <m/>
    <m/>
    <m/>
    <m/>
    <s v=" "/>
    <s v=" "/>
    <s v=" "/>
    <s v=" "/>
    <s v=" "/>
    <s v=" "/>
    <s v=" "/>
    <s v=" "/>
    <s v=" "/>
    <s v=" "/>
    <s v=" "/>
    <m/>
    <s v=" "/>
    <s v=" "/>
    <s v=" "/>
    <s v=" "/>
    <s v=" "/>
    <n v="0"/>
    <n v="0"/>
    <s v="Demasiado Riesgo"/>
    <m/>
    <m/>
    <m/>
    <m/>
    <m/>
    <m/>
  </r>
  <r>
    <m/>
    <m/>
    <s v="CONSULTORIA JURIDICA Y ADMINISTRATIVA MILLA Y ASOCIADOS**"/>
    <m/>
    <x v="1"/>
    <x v="3"/>
    <m/>
    <m/>
    <n v="452.32729999999998"/>
    <n v="413.51830000000001"/>
    <n v="413.51830000000001"/>
    <m/>
    <m/>
    <m/>
    <m/>
    <x v="4"/>
    <m/>
    <s v="5. Mail"/>
    <m/>
    <m/>
    <m/>
    <m/>
    <s v=" "/>
    <s v=" "/>
    <s v=" "/>
    <s v=" "/>
    <s v=" "/>
    <s v=" "/>
    <s v=" "/>
    <s v=" "/>
    <s v=" "/>
    <s v=" "/>
    <s v=" "/>
    <m/>
    <s v=" "/>
    <s v=" "/>
    <s v=" "/>
    <s v=" "/>
    <s v=" "/>
    <n v="0"/>
    <n v="0"/>
    <s v="Demasiado Riesgo"/>
    <m/>
    <m/>
    <m/>
    <m/>
    <m/>
    <m/>
  </r>
  <r>
    <m/>
    <m/>
    <s v="ARROCERA DEL BAJIO"/>
    <s v="SCHETTINO"/>
    <x v="0"/>
    <x v="3"/>
    <m/>
    <m/>
    <n v="320.06259999999997"/>
    <n v="335.5"/>
    <n v="335.5"/>
    <m/>
    <m/>
    <m/>
    <m/>
    <x v="1"/>
    <m/>
    <s v="4. Whatsapp"/>
    <m/>
    <m/>
    <m/>
    <m/>
    <s v=" "/>
    <s v=" "/>
    <s v=" "/>
    <s v=" "/>
    <s v=" "/>
    <s v=" "/>
    <s v=" "/>
    <s v=" "/>
    <s v=" "/>
    <s v=" "/>
    <s v=" "/>
    <m/>
    <s v=" "/>
    <s v=" "/>
    <s v=" "/>
    <s v=" "/>
    <s v=" "/>
    <n v="0"/>
    <n v="0"/>
    <s v="Demasiado Riesgo"/>
    <m/>
    <m/>
    <m/>
    <m/>
    <m/>
    <m/>
  </r>
  <r>
    <m/>
    <m/>
    <s v="ESLABON CLINICO"/>
    <s v="DICIPA"/>
    <x v="0"/>
    <x v="3"/>
    <m/>
    <m/>
    <n v="358.7158"/>
    <n v="333.01479999999998"/>
    <n v="333.01479999999998"/>
    <m/>
    <m/>
    <m/>
    <m/>
    <x v="1"/>
    <m/>
    <s v="2. Videollamada"/>
    <m/>
    <m/>
    <m/>
    <m/>
    <s v=" "/>
    <s v=" "/>
    <s v=" "/>
    <s v=" "/>
    <s v=" "/>
    <s v=" "/>
    <s v=" "/>
    <s v=" "/>
    <s v=" "/>
    <s v=" "/>
    <s v=" "/>
    <m/>
    <s v=" "/>
    <s v=" "/>
    <s v=" "/>
    <s v=" "/>
    <s v=" "/>
    <n v="0"/>
    <n v="0"/>
    <s v="Demasiado Riesgo"/>
    <m/>
    <m/>
    <m/>
    <m/>
    <m/>
    <m/>
  </r>
  <r>
    <m/>
    <m/>
    <s v="ADICTT"/>
    <s v="CONVERSE"/>
    <x v="0"/>
    <x v="3"/>
    <m/>
    <m/>
    <n v="341.4314"/>
    <n v="322.62180000000001"/>
    <n v="322.62180000000001"/>
    <m/>
    <m/>
    <m/>
    <m/>
    <x v="1"/>
    <m/>
    <s v="4. Whatsapp"/>
    <m/>
    <m/>
    <m/>
    <m/>
    <s v=" "/>
    <s v=" "/>
    <s v=" "/>
    <s v=" "/>
    <s v=" "/>
    <s v=" "/>
    <s v=" "/>
    <s v=" "/>
    <s v=" "/>
    <s v=" "/>
    <s v=" "/>
    <m/>
    <s v=" "/>
    <s v=" "/>
    <s v=" "/>
    <s v=" "/>
    <s v=" "/>
    <n v="0"/>
    <n v="0"/>
    <s v="Demasiado Riesgo"/>
    <m/>
    <m/>
    <m/>
    <m/>
    <m/>
    <m/>
  </r>
  <r>
    <m/>
    <m/>
    <s v="GRUPO AUTOPISTAS NACIONALES"/>
    <s v="ALEATICA"/>
    <x v="0"/>
    <x v="3"/>
    <m/>
    <m/>
    <n v="333.79689999999999"/>
    <n v="320.31279999999998"/>
    <n v="320.31279999999998"/>
    <m/>
    <m/>
    <m/>
    <m/>
    <x v="1"/>
    <m/>
    <s v="4. Whatsapp"/>
    <m/>
    <m/>
    <m/>
    <m/>
    <s v=" "/>
    <s v=" "/>
    <s v=" "/>
    <s v=" "/>
    <s v=" "/>
    <s v=" "/>
    <s v=" "/>
    <s v=" "/>
    <s v=" "/>
    <s v=" "/>
    <s v=" "/>
    <m/>
    <s v=" "/>
    <s v=" "/>
    <s v=" "/>
    <s v=" "/>
    <s v=" "/>
    <n v="0"/>
    <n v="0"/>
    <s v="Demasiado Riesgo"/>
    <m/>
    <m/>
    <m/>
    <m/>
    <m/>
    <m/>
  </r>
  <r>
    <m/>
    <m/>
    <s v="GRUPO MAPUCHE"/>
    <s v="WINLAND"/>
    <x v="0"/>
    <x v="3"/>
    <m/>
    <m/>
    <n v="318.84559999999999"/>
    <n v="303.0822"/>
    <n v="303.0822"/>
    <m/>
    <m/>
    <m/>
    <m/>
    <x v="1"/>
    <m/>
    <s v="2. Videollamada"/>
    <m/>
    <m/>
    <m/>
    <m/>
    <s v=" "/>
    <s v=" "/>
    <s v=" "/>
    <s v=" "/>
    <s v=" "/>
    <s v=" "/>
    <s v=" "/>
    <s v=" "/>
    <s v=" "/>
    <s v=" "/>
    <s v=" "/>
    <m/>
    <s v=" "/>
    <s v=" "/>
    <s v=" "/>
    <s v=" "/>
    <s v=" "/>
    <n v="0"/>
    <n v="0"/>
    <s v="Demasiado Riesgo"/>
    <m/>
    <m/>
    <m/>
    <m/>
    <m/>
    <m/>
  </r>
  <r>
    <m/>
    <m/>
    <s v="VALIANT DE MEXICO"/>
    <m/>
    <x v="1"/>
    <x v="3"/>
    <m/>
    <m/>
    <n v="316.81740000000002"/>
    <n v="295.35050000000001"/>
    <n v="295.35050000000001"/>
    <m/>
    <m/>
    <m/>
    <m/>
    <x v="1"/>
    <m/>
    <s v="3. Llamada telefónica"/>
    <m/>
    <m/>
    <m/>
    <m/>
    <s v="SI"/>
    <s v=" "/>
    <s v=" "/>
    <s v="OK"/>
    <s v=" "/>
    <s v="OK"/>
    <s v=" "/>
    <s v=" "/>
    <s v=" "/>
    <s v=" "/>
    <s v=" "/>
    <m/>
    <s v=" "/>
    <s v=" "/>
    <s v=" "/>
    <s v=" "/>
    <s v="NO"/>
    <n v="1"/>
    <n v="5"/>
    <s v="Riesgo Medio"/>
    <m/>
    <m/>
    <m/>
    <m/>
    <m/>
    <m/>
  </r>
  <r>
    <m/>
    <m/>
    <s v="CBH + ESPECIALISTAS EN INNOVACIÓN MÉDICA, S.A. DE C.V"/>
    <s v="GRUPO CB"/>
    <x v="1"/>
    <x v="3"/>
    <s v="Tony"/>
    <m/>
    <m/>
    <n v="294.08030000000002"/>
    <n v="294.08030000000002"/>
    <m/>
    <m/>
    <m/>
    <m/>
    <x v="0"/>
    <m/>
    <s v="4. Whatsapp"/>
    <m/>
    <m/>
    <m/>
    <m/>
    <s v=" "/>
    <s v=" "/>
    <s v=" "/>
    <s v=" "/>
    <s v=" "/>
    <s v=" "/>
    <s v=" "/>
    <s v=" "/>
    <s v=" "/>
    <s v=" "/>
    <s v=" "/>
    <m/>
    <s v=" "/>
    <s v=" "/>
    <s v=" "/>
    <s v=" "/>
    <s v=" "/>
    <n v="0"/>
    <n v="0"/>
    <s v="Demasiado Riesgo"/>
    <m/>
    <m/>
    <m/>
    <m/>
    <m/>
    <m/>
  </r>
  <r>
    <m/>
    <m/>
    <s v="U - STORAGE SERVICIOS"/>
    <m/>
    <x v="1"/>
    <x v="3"/>
    <m/>
    <m/>
    <n v="280.78930000000003"/>
    <n v="267.58819999999997"/>
    <n v="267.58819999999997"/>
    <m/>
    <m/>
    <m/>
    <m/>
    <x v="0"/>
    <m/>
    <s v="2. Videollamada"/>
    <m/>
    <m/>
    <m/>
    <m/>
    <s v=" "/>
    <s v=" "/>
    <s v=" "/>
    <s v=" "/>
    <s v=" "/>
    <s v=" "/>
    <s v=" "/>
    <s v=" "/>
    <s v=" "/>
    <s v=" "/>
    <s v=" "/>
    <m/>
    <s v=" "/>
    <s v=" "/>
    <s v=" "/>
    <s v=" "/>
    <s v=" "/>
    <n v="0"/>
    <n v="0"/>
    <s v="Demasiado Riesgo"/>
    <m/>
    <m/>
    <m/>
    <m/>
    <m/>
    <m/>
  </r>
  <r>
    <m/>
    <m/>
    <s v="TEBON CLASS DE MEXICO"/>
    <s v="WINLAND"/>
    <x v="0"/>
    <x v="3"/>
    <s v="Tony"/>
    <m/>
    <n v="141.16829999999999"/>
    <n v="262.10430000000002"/>
    <n v="262.10430000000002"/>
    <m/>
    <m/>
    <m/>
    <m/>
    <x v="1"/>
    <m/>
    <s v="2. Videollamada"/>
    <m/>
    <m/>
    <m/>
    <m/>
    <s v=" "/>
    <s v=" "/>
    <s v=" "/>
    <s v=" "/>
    <s v=" "/>
    <s v=" "/>
    <s v=" "/>
    <s v=" "/>
    <s v=" "/>
    <s v=" "/>
    <s v=" "/>
    <m/>
    <s v=" "/>
    <s v=" "/>
    <s v=" "/>
    <s v=" "/>
    <s v=" "/>
    <n v="0"/>
    <n v="0"/>
    <s v="Demasiado Riesgo"/>
    <m/>
    <m/>
    <m/>
    <m/>
    <m/>
    <m/>
  </r>
  <r>
    <m/>
    <m/>
    <s v="CONSTRUCCIONES AMOZOC PEROTE"/>
    <s v="ALEATICA"/>
    <x v="0"/>
    <x v="3"/>
    <m/>
    <m/>
    <n v="271.21010000000001"/>
    <n v="258.45929999999998"/>
    <n v="258.45929999999998"/>
    <m/>
    <m/>
    <m/>
    <m/>
    <x v="1"/>
    <m/>
    <s v="2. Videollamada"/>
    <m/>
    <m/>
    <m/>
    <m/>
    <s v=" "/>
    <s v=" "/>
    <s v=" "/>
    <s v=" "/>
    <s v=" "/>
    <s v=" "/>
    <s v=" "/>
    <s v=" "/>
    <s v=" "/>
    <s v=" "/>
    <s v=" "/>
    <m/>
    <s v=" "/>
    <s v=" "/>
    <s v=" "/>
    <s v=" "/>
    <s v=" "/>
    <n v="0"/>
    <n v="0"/>
    <s v="Demasiado Riesgo"/>
    <m/>
    <m/>
    <m/>
    <m/>
    <m/>
    <m/>
  </r>
  <r>
    <m/>
    <m/>
    <s v="SERVIGUE"/>
    <m/>
    <x v="1"/>
    <x v="3"/>
    <m/>
    <m/>
    <n v="195.15299999999999"/>
    <n v="217.94909999999999"/>
    <n v="217.94909999999999"/>
    <m/>
    <m/>
    <m/>
    <m/>
    <x v="0"/>
    <m/>
    <s v="4. Whatsapp"/>
    <m/>
    <m/>
    <m/>
    <m/>
    <s v=" "/>
    <s v=" "/>
    <s v=" "/>
    <s v=" "/>
    <s v=" "/>
    <s v=" "/>
    <s v=" "/>
    <s v=" "/>
    <s v=" "/>
    <s v="OK"/>
    <s v=" "/>
    <m/>
    <s v=" "/>
    <s v=" "/>
    <s v=" "/>
    <s v=" "/>
    <s v=" "/>
    <n v="1"/>
    <n v="1"/>
    <s v="Riesgo Medio"/>
    <m/>
    <m/>
    <m/>
    <m/>
    <m/>
    <m/>
  </r>
  <r>
    <m/>
    <m/>
    <s v="INSTITUTO TECNOLOGICO SUPERIOR DE ZACAPOAXTLA"/>
    <m/>
    <x v="1"/>
    <x v="3"/>
    <m/>
    <m/>
    <n v="216.4667"/>
    <n v="206.28970000000001"/>
    <n v="206.28970000000001"/>
    <m/>
    <m/>
    <m/>
    <m/>
    <x v="1"/>
    <m/>
    <s v="4. Whatsapp"/>
    <m/>
    <m/>
    <m/>
    <m/>
    <s v=" "/>
    <s v=" "/>
    <s v=" "/>
    <s v=" "/>
    <s v=" "/>
    <s v=" "/>
    <s v=" "/>
    <s v=" "/>
    <s v=" "/>
    <s v=" "/>
    <s v=" "/>
    <m/>
    <s v=" "/>
    <s v=" "/>
    <s v=" "/>
    <s v=" "/>
    <s v=" "/>
    <n v="0"/>
    <n v="0"/>
    <s v="Demasiado Riesgo"/>
    <m/>
    <m/>
    <m/>
    <m/>
    <m/>
    <m/>
  </r>
  <r>
    <m/>
    <m/>
    <s v="YELTE"/>
    <m/>
    <x v="1"/>
    <x v="3"/>
    <m/>
    <m/>
    <n v="245.9127"/>
    <n v="197.82910000000001"/>
    <n v="197.82910000000001"/>
    <m/>
    <m/>
    <m/>
    <m/>
    <x v="4"/>
    <m/>
    <s v="4. Whatsapp"/>
    <m/>
    <m/>
    <m/>
    <m/>
    <s v=" "/>
    <s v=" "/>
    <s v=" "/>
    <s v=" "/>
    <s v=" "/>
    <s v=" "/>
    <s v=" "/>
    <s v=" "/>
    <s v=" "/>
    <s v=" "/>
    <s v=" "/>
    <m/>
    <s v=" "/>
    <s v=" "/>
    <s v=" "/>
    <s v=" "/>
    <s v=" "/>
    <n v="0"/>
    <n v="0"/>
    <s v="Demasiado Riesgo"/>
    <m/>
    <m/>
    <m/>
    <m/>
    <m/>
    <m/>
  </r>
  <r>
    <m/>
    <m/>
    <s v="VIADUCTO BICENTENARIO"/>
    <s v="ALEATICA"/>
    <x v="0"/>
    <x v="3"/>
    <m/>
    <m/>
    <n v="187.76079999999999"/>
    <n v="187.7696"/>
    <n v="187.7696"/>
    <m/>
    <m/>
    <m/>
    <m/>
    <x v="1"/>
    <m/>
    <s v="2. Videollamada"/>
    <m/>
    <m/>
    <m/>
    <m/>
    <s v=" "/>
    <s v=" "/>
    <s v=" "/>
    <s v=" "/>
    <s v=" "/>
    <s v=" "/>
    <s v=" "/>
    <s v=" "/>
    <s v=" "/>
    <s v=" "/>
    <s v=" "/>
    <m/>
    <s v=" "/>
    <s v=" "/>
    <s v=" "/>
    <s v=" "/>
    <s v=" "/>
    <n v="0"/>
    <n v="0"/>
    <s v="Demasiado Riesgo"/>
    <m/>
    <m/>
    <m/>
    <m/>
    <m/>
    <m/>
  </r>
  <r>
    <m/>
    <m/>
    <s v="UNIVERSIDAD DEL DESARROLLO PROFESIONAL"/>
    <m/>
    <x v="1"/>
    <x v="3"/>
    <m/>
    <m/>
    <n v="200.47229999999999"/>
    <n v="185.7157"/>
    <n v="185.7157"/>
    <m/>
    <m/>
    <m/>
    <m/>
    <x v="2"/>
    <m/>
    <s v="4. Whatsapp"/>
    <m/>
    <s v="Disminuyó mucho los usuarios, ya no responden. Tener ojo"/>
    <m/>
    <m/>
    <s v=" "/>
    <s v=" "/>
    <s v=" "/>
    <s v=" "/>
    <s v=" "/>
    <s v=" "/>
    <s v=" "/>
    <s v=" "/>
    <s v=" "/>
    <s v=" "/>
    <s v=" "/>
    <m/>
    <s v=" "/>
    <s v=" "/>
    <s v=" "/>
    <s v=" "/>
    <s v=" "/>
    <n v="0"/>
    <n v="0"/>
    <s v="Demasiado Riesgo"/>
    <m/>
    <m/>
    <m/>
    <m/>
    <m/>
    <m/>
  </r>
  <r>
    <m/>
    <m/>
    <s v="CONSERVACION MM"/>
    <s v="ALEATICA"/>
    <x v="0"/>
    <x v="3"/>
    <m/>
    <m/>
    <n v="171.53460000000001"/>
    <n v="167.88810000000001"/>
    <n v="167.88810000000001"/>
    <m/>
    <m/>
    <m/>
    <m/>
    <x v="1"/>
    <m/>
    <s v="2. Videollamada"/>
    <m/>
    <m/>
    <m/>
    <m/>
    <s v=" "/>
    <s v=" "/>
    <s v=" "/>
    <s v=" "/>
    <s v=" "/>
    <s v=" "/>
    <s v=" "/>
    <s v=" "/>
    <s v=" "/>
    <s v=" "/>
    <s v=" "/>
    <m/>
    <s v=" "/>
    <s v=" "/>
    <s v=" "/>
    <s v=" "/>
    <s v=" "/>
    <n v="0"/>
    <n v="0"/>
    <s v="Demasiado Riesgo"/>
    <m/>
    <m/>
    <m/>
    <m/>
    <m/>
    <m/>
  </r>
  <r>
    <m/>
    <m/>
    <s v="MEDICAMENTOS NATURALES"/>
    <s v="DAROVI"/>
    <x v="0"/>
    <x v="3"/>
    <m/>
    <m/>
    <n v="162.26240000000001"/>
    <n v="154.63380000000001"/>
    <n v="154.63380000000001"/>
    <m/>
    <m/>
    <m/>
    <m/>
    <x v="1"/>
    <m/>
    <s v="4. Whatsapp"/>
    <m/>
    <m/>
    <m/>
    <m/>
    <s v=" "/>
    <s v=" "/>
    <s v=" "/>
    <s v=" "/>
    <s v=" "/>
    <s v=" "/>
    <s v=" "/>
    <s v=" "/>
    <s v=" "/>
    <s v=" "/>
    <s v=" "/>
    <m/>
    <s v=" "/>
    <s v=" "/>
    <s v=" "/>
    <s v=" "/>
    <s v=" "/>
    <n v="0"/>
    <n v="0"/>
    <s v="Demasiado Riesgo"/>
    <m/>
    <m/>
    <m/>
    <m/>
    <m/>
    <m/>
  </r>
  <r>
    <m/>
    <m/>
    <s v="NETAFIM MEXICO SA DE CV"/>
    <s v="NETAFIM"/>
    <x v="0"/>
    <x v="3"/>
    <m/>
    <m/>
    <n v="166.9564"/>
    <n v="153.58449999999999"/>
    <n v="153.58449999999999"/>
    <m/>
    <m/>
    <m/>
    <m/>
    <x v="0"/>
    <m/>
    <s v="4. Whatsapp"/>
    <m/>
    <m/>
    <m/>
    <m/>
    <s v=" "/>
    <s v=" "/>
    <s v=" "/>
    <s v=" "/>
    <s v=" "/>
    <s v=" "/>
    <s v=" "/>
    <s v=" "/>
    <s v=" "/>
    <s v=" "/>
    <s v=" "/>
    <m/>
    <s v=" "/>
    <s v=" "/>
    <s v=" "/>
    <s v=" "/>
    <s v=" "/>
    <n v="0"/>
    <n v="0"/>
    <s v="Demasiado Riesgo"/>
    <m/>
    <m/>
    <m/>
    <m/>
    <m/>
    <m/>
  </r>
  <r>
    <m/>
    <m/>
    <s v="CESEHSA PRODUCTS"/>
    <m/>
    <x v="1"/>
    <x v="3"/>
    <m/>
    <m/>
    <n v="148.98410000000001"/>
    <n v="146.09639999999999"/>
    <n v="146.09639999999999"/>
    <m/>
    <m/>
    <m/>
    <m/>
    <x v="1"/>
    <m/>
    <s v="4. Whatsapp"/>
    <m/>
    <m/>
    <m/>
    <m/>
    <s v=" "/>
    <s v=" "/>
    <s v=" "/>
    <s v=" "/>
    <s v=" "/>
    <s v=" "/>
    <s v=" "/>
    <s v=" "/>
    <s v="OK"/>
    <s v=" "/>
    <s v=" "/>
    <m/>
    <s v=" "/>
    <s v=" "/>
    <s v=" "/>
    <s v=" "/>
    <s v="NO"/>
    <n v="1"/>
    <n v="1"/>
    <s v="Riesgo Medio"/>
    <m/>
    <m/>
    <m/>
    <m/>
    <m/>
    <m/>
  </r>
  <r>
    <m/>
    <m/>
    <s v="EULEN FLEXIPLAN SA DE CV"/>
    <s v="EULEN"/>
    <x v="0"/>
    <x v="3"/>
    <s v="Tony"/>
    <m/>
    <n v="165.8623"/>
    <n v="143.20189999999999"/>
    <n v="143.20189999999999"/>
    <m/>
    <m/>
    <m/>
    <m/>
    <x v="1"/>
    <m/>
    <s v="1. Reuniones presenciales"/>
    <m/>
    <m/>
    <m/>
    <m/>
    <s v=" "/>
    <s v=" "/>
    <s v=" "/>
    <s v=" "/>
    <s v=" "/>
    <s v=" "/>
    <s v=" "/>
    <s v=" "/>
    <s v=" "/>
    <s v=" "/>
    <s v=" "/>
    <m/>
    <s v=" "/>
    <s v=" "/>
    <s v=" "/>
    <s v=" "/>
    <s v=" "/>
    <n v="0"/>
    <n v="0"/>
    <s v="Demasiado Riesgo"/>
    <m/>
    <m/>
    <m/>
    <m/>
    <m/>
    <m/>
  </r>
  <r>
    <m/>
    <m/>
    <s v="TANGO ADMINISTRADORA"/>
    <s v="WINLAND"/>
    <x v="0"/>
    <x v="3"/>
    <m/>
    <m/>
    <n v="135.48910000000001"/>
    <n v="141.48990000000001"/>
    <n v="141.48990000000001"/>
    <m/>
    <m/>
    <m/>
    <m/>
    <x v="1"/>
    <m/>
    <s v="2. Videollamada"/>
    <m/>
    <m/>
    <m/>
    <m/>
    <s v=" "/>
    <s v=" "/>
    <s v=" "/>
    <s v=" "/>
    <s v=" "/>
    <s v=" "/>
    <s v=" "/>
    <s v=" "/>
    <s v=" "/>
    <s v=" "/>
    <s v=" "/>
    <m/>
    <s v=" "/>
    <s v=" "/>
    <s v=" "/>
    <s v=" "/>
    <s v=" "/>
    <n v="0"/>
    <n v="0"/>
    <s v="Demasiado Riesgo"/>
    <m/>
    <m/>
    <m/>
    <m/>
    <m/>
    <m/>
  </r>
  <r>
    <m/>
    <m/>
    <s v="ENTRETENIMIENTO DIAMELA"/>
    <s v="WINLAND"/>
    <x v="0"/>
    <x v="3"/>
    <m/>
    <m/>
    <n v="146.03620000000001"/>
    <n v="135.30449999999999"/>
    <n v="135.30449999999999"/>
    <m/>
    <m/>
    <m/>
    <m/>
    <x v="1"/>
    <m/>
    <s v="2. Videollamada"/>
    <m/>
    <m/>
    <m/>
    <m/>
    <s v=" "/>
    <s v=" "/>
    <s v=" "/>
    <s v=" "/>
    <s v=" "/>
    <s v=" "/>
    <s v=" "/>
    <s v=" "/>
    <s v=" "/>
    <s v=" "/>
    <s v=" "/>
    <m/>
    <s v=" "/>
    <s v=" "/>
    <s v=" "/>
    <s v=" "/>
    <s v=" "/>
    <n v="0"/>
    <n v="0"/>
    <s v="Demasiado Riesgo"/>
    <m/>
    <m/>
    <m/>
    <m/>
    <m/>
    <m/>
  </r>
  <r>
    <m/>
    <m/>
    <s v="PROVEEDORA Y COMERCIALIZADORA DE NEGOCIOS DE SONORA"/>
    <s v="WINLAND"/>
    <x v="0"/>
    <x v="3"/>
    <m/>
    <m/>
    <n v="143.60220000000001"/>
    <n v="133.75819999999999"/>
    <n v="133.75819999999999"/>
    <m/>
    <m/>
    <m/>
    <m/>
    <x v="1"/>
    <m/>
    <s v="2. Videollamada"/>
    <m/>
    <m/>
    <m/>
    <m/>
    <s v=" "/>
    <s v=" "/>
    <s v=" "/>
    <s v=" "/>
    <s v=" "/>
    <s v=" "/>
    <s v=" "/>
    <s v=" "/>
    <s v=" "/>
    <s v=" "/>
    <s v=" "/>
    <m/>
    <s v=" "/>
    <s v=" "/>
    <s v=" "/>
    <s v=" "/>
    <s v=" "/>
    <n v="0"/>
    <n v="0"/>
    <s v="Demasiado Riesgo"/>
    <m/>
    <m/>
    <m/>
    <m/>
    <m/>
    <m/>
  </r>
  <r>
    <m/>
    <m/>
    <s v="AUTOPISTA URBANA NORTE"/>
    <s v="ALEATICA"/>
    <x v="0"/>
    <x v="3"/>
    <m/>
    <m/>
    <n v="139.0821"/>
    <n v="132.54320000000001"/>
    <n v="132.54320000000001"/>
    <m/>
    <m/>
    <m/>
    <m/>
    <x v="1"/>
    <m/>
    <s v="2. Videollamada"/>
    <m/>
    <m/>
    <m/>
    <m/>
    <s v=" "/>
    <s v=" "/>
    <s v=" "/>
    <s v=" "/>
    <s v=" "/>
    <s v=" "/>
    <s v=" "/>
    <s v=" "/>
    <s v=" "/>
    <s v=" "/>
    <s v=" "/>
    <m/>
    <s v=" "/>
    <s v=" "/>
    <s v=" "/>
    <s v=" "/>
    <s v=" "/>
    <n v="0"/>
    <n v="0"/>
    <s v="Demasiado Riesgo"/>
    <m/>
    <m/>
    <m/>
    <m/>
    <m/>
    <m/>
  </r>
  <r>
    <m/>
    <m/>
    <s v="OPERADORA CONCESIONARIA MEXIQUENSE"/>
    <s v="ALEATICA"/>
    <x v="0"/>
    <x v="3"/>
    <m/>
    <m/>
    <n v="127.4919"/>
    <n v="121.4979"/>
    <n v="121.4979"/>
    <m/>
    <m/>
    <m/>
    <m/>
    <x v="1"/>
    <m/>
    <s v="2. Videollamada"/>
    <m/>
    <m/>
    <m/>
    <m/>
    <s v=" "/>
    <s v=" "/>
    <s v=" "/>
    <s v=" "/>
    <s v=" "/>
    <s v=" "/>
    <s v=" "/>
    <s v=" "/>
    <s v=" "/>
    <s v=" "/>
    <s v=" "/>
    <m/>
    <s v=" "/>
    <s v=" "/>
    <s v=" "/>
    <s v=" "/>
    <s v=" "/>
    <n v="0"/>
    <n v="0"/>
    <s v="Demasiado Riesgo"/>
    <m/>
    <m/>
    <m/>
    <m/>
    <m/>
    <m/>
  </r>
  <r>
    <m/>
    <m/>
    <s v="SECONMEX ADMINISTRACION"/>
    <s v="ALEATICA"/>
    <x v="0"/>
    <x v="3"/>
    <m/>
    <m/>
    <n v="115.90170000000001"/>
    <n v="114.8708"/>
    <n v="114.8708"/>
    <m/>
    <m/>
    <m/>
    <m/>
    <x v="1"/>
    <m/>
    <s v="2. Videollamada"/>
    <m/>
    <m/>
    <m/>
    <m/>
    <s v=" "/>
    <s v=" "/>
    <s v=" "/>
    <s v=" "/>
    <s v=" "/>
    <s v=" "/>
    <s v=" "/>
    <s v=" "/>
    <s v=" "/>
    <s v=" "/>
    <s v=" "/>
    <m/>
    <s v=" "/>
    <s v=" "/>
    <s v=" "/>
    <s v=" "/>
    <s v=" "/>
    <n v="0"/>
    <n v="0"/>
    <s v="Demasiado Riesgo"/>
    <m/>
    <m/>
    <m/>
    <m/>
    <m/>
    <m/>
  </r>
  <r>
    <m/>
    <m/>
    <s v="IRKON HOLDINGS"/>
    <s v="KOSMOS"/>
    <x v="0"/>
    <x v="3"/>
    <m/>
    <m/>
    <n v="120.2364"/>
    <n v="110.7642"/>
    <n v="110.7642"/>
    <m/>
    <m/>
    <m/>
    <m/>
    <x v="0"/>
    <m/>
    <s v="1. Reuniones presenciales"/>
    <m/>
    <m/>
    <m/>
    <m/>
    <s v=" "/>
    <s v=" "/>
    <s v=" "/>
    <s v=" "/>
    <s v=" "/>
    <s v=" "/>
    <s v=" "/>
    <s v=" "/>
    <s v=" "/>
    <s v=" "/>
    <s v=" "/>
    <m/>
    <s v=" "/>
    <s v=" "/>
    <s v=" "/>
    <s v="OP (Q2-Q3, 10926)"/>
    <s v=" "/>
    <n v="0"/>
    <n v="0"/>
    <s v="Demasiado Riesgo"/>
    <n v="10923"/>
    <m/>
    <m/>
    <m/>
    <m/>
    <m/>
  </r>
  <r>
    <m/>
    <m/>
    <s v="ADMINISTRADORA FORTUNE CHIHUAHUA"/>
    <s v="WINLAND"/>
    <x v="0"/>
    <x v="3"/>
    <m/>
    <m/>
    <n v="119.2629"/>
    <n v="109.0168"/>
    <n v="109.0168"/>
    <m/>
    <m/>
    <m/>
    <m/>
    <x v="1"/>
    <m/>
    <s v="2. Videollamada"/>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s v=" "/>
    <s v=" "/>
    <s v=" "/>
    <s v=" "/>
    <s v=" "/>
    <s v=" "/>
    <s v=" "/>
    <s v=" "/>
    <s v=" "/>
    <s v=" "/>
    <s v=" "/>
    <m/>
    <s v=" "/>
    <s v=" "/>
    <s v=" "/>
    <s v=" "/>
    <s v=" "/>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r>
    <m/>
    <m/>
    <m/>
    <m/>
    <x v="2"/>
    <x v="6"/>
    <m/>
    <m/>
    <m/>
    <m/>
    <m/>
    <m/>
    <m/>
    <m/>
    <m/>
    <x v="5"/>
    <m/>
    <m/>
    <m/>
    <m/>
    <m/>
    <m/>
    <m/>
    <m/>
    <m/>
    <m/>
    <m/>
    <m/>
    <m/>
    <m/>
    <m/>
    <m/>
    <m/>
    <m/>
    <m/>
    <m/>
    <m/>
    <m/>
    <m/>
    <n v="0"/>
    <n v="0"/>
    <s v="Demasiado Riesgo"/>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F4E4FD-FE37-4517-B9BF-F7CBCF87E1F1}" name="TablaDinámica4" cacheId="2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52:D53" firstHeaderRow="0" firstDataRow="1" firstDataCol="1" rowPageCount="1" colPageCount="1"/>
  <pivotFields count="48">
    <pivotField compact="0" outline="0" showAll="0"/>
    <pivotField compact="0" outline="0" showAll="0"/>
    <pivotField dataField="1" compact="0" outline="0" showAll="0"/>
    <pivotField compact="0" outline="0" showAll="0"/>
    <pivotField axis="axisPage" compact="0" outline="0" showAll="0">
      <items count="5">
        <item h="1" x="0"/>
        <item m="1" x="3"/>
        <item h="1" x="1"/>
        <item h="1"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10">
        <item x="4"/>
        <item x="8"/>
        <item x="0"/>
        <item x="6"/>
        <item x="1"/>
        <item x="7"/>
        <item x="3"/>
        <item x="5"/>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1">
    <i t="grand">
      <x/>
    </i>
  </rowItems>
  <colFields count="1">
    <field x="-2"/>
  </colFields>
  <colItems count="3">
    <i>
      <x/>
    </i>
    <i i="1">
      <x v="1"/>
    </i>
    <i i="2">
      <x v="2"/>
    </i>
  </colItems>
  <pageFields count="1">
    <pageField fld="4" hier="-1"/>
  </pageFields>
  <dataFields count="3">
    <dataField name="Cuenta de CLIENTE" fld="2" subtotal="count" baseField="0" baseItem="0"/>
    <dataField name="Cuenta de Acción especifica" fld="21" subtotal="count" baseField="0" baseItem="0"/>
    <dataField name="Suma de Facturación actual USD" fld="10" baseField="0" baseItem="0" numFmtId="168"/>
  </dataFields>
  <formats count="4">
    <format dxfId="253">
      <pivotArea outline="0" fieldPosition="0">
        <references count="1">
          <reference field="4294967294" count="1" selected="0">
            <x v="2"/>
          </reference>
        </references>
      </pivotArea>
    </format>
    <format dxfId="254">
      <pivotArea dataOnly="0" labelOnly="1" outline="0" fieldPosition="0">
        <references count="1">
          <reference field="4294967294" count="1">
            <x v="2"/>
          </reference>
        </references>
      </pivotArea>
    </format>
    <format dxfId="255">
      <pivotArea field="15" type="button" dataOnly="0" labelOnly="1" outline="0" axis="axisRow" fieldPosition="0"/>
    </format>
    <format dxfId="256">
      <pivotArea dataOnly="0" labelOnly="1" outline="0" fieldPosition="0">
        <references count="1">
          <reference field="4294967294" count="3">
            <x v="0"/>
            <x v="1"/>
            <x v="2"/>
          </reference>
        </references>
      </pivotArea>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56F69E-FCA6-4EC1-98C6-892330DCA25B}" name="TablaDinámica1" cacheId="26"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A32:D42" firstHeaderRow="0" firstDataRow="1" firstDataCol="1" rowPageCount="1" colPageCount="1"/>
  <pivotFields count="48">
    <pivotField compact="0" outline="0" showAll="0"/>
    <pivotField compact="0" outline="0" showAll="0"/>
    <pivotField dataField="1" compact="0" outline="0" showAll="0"/>
    <pivotField compact="0" outline="0" showAll="0"/>
    <pivotField axis="axisPage" compact="0" outline="0" showAll="0">
      <items count="5">
        <item h="1" x="0"/>
        <item h="1" m="1" x="3"/>
        <item x="1"/>
        <item h="1"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10">
        <item x="4"/>
        <item x="8"/>
        <item x="0"/>
        <item x="6"/>
        <item x="1"/>
        <item x="7"/>
        <item x="3"/>
        <item x="5"/>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10">
    <i>
      <x/>
    </i>
    <i>
      <x v="1"/>
    </i>
    <i>
      <x v="2"/>
    </i>
    <i>
      <x v="3"/>
    </i>
    <i>
      <x v="4"/>
    </i>
    <i>
      <x v="5"/>
    </i>
    <i>
      <x v="6"/>
    </i>
    <i>
      <x v="7"/>
    </i>
    <i>
      <x v="8"/>
    </i>
    <i t="grand">
      <x/>
    </i>
  </rowItems>
  <colFields count="1">
    <field x="-2"/>
  </colFields>
  <colItems count="3">
    <i>
      <x/>
    </i>
    <i i="1">
      <x v="1"/>
    </i>
    <i i="2">
      <x v="2"/>
    </i>
  </colItems>
  <pageFields count="1">
    <pageField fld="4" item="2" hier="-1"/>
  </pageFields>
  <dataFields count="3">
    <dataField name="Cuenta de CLIENTE" fld="2" subtotal="count" baseField="0" baseItem="0"/>
    <dataField name="Cuenta de Acción especifica" fld="21" subtotal="count" baseField="0" baseItem="0"/>
    <dataField name="Suma de Facturación actual USD" fld="10" baseField="0" baseItem="0" numFmtId="168"/>
  </dataFields>
  <formats count="4">
    <format dxfId="249">
      <pivotArea outline="0" fieldPosition="0">
        <references count="1">
          <reference field="4294967294" count="1" selected="0">
            <x v="2"/>
          </reference>
        </references>
      </pivotArea>
    </format>
    <format dxfId="250">
      <pivotArea dataOnly="0" labelOnly="1" outline="0" fieldPosition="0">
        <references count="1">
          <reference field="4294967294" count="1">
            <x v="2"/>
          </reference>
        </references>
      </pivotArea>
    </format>
    <format dxfId="251">
      <pivotArea field="15" type="button" dataOnly="0" labelOnly="1" outline="0" axis="axisRow" fieldPosition="0"/>
    </format>
    <format dxfId="252">
      <pivotArea dataOnly="0" labelOnly="1" outline="0" fieldPosition="0">
        <references count="1">
          <reference field="4294967294" count="3">
            <x v="0"/>
            <x v="1"/>
            <x v="2"/>
          </reference>
        </references>
      </pivotArea>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DF663D-8EE2-4769-8AC4-8FCC24E315AA}" name="TablaDinámica2" cacheId="2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F19:J51" firstHeaderRow="0" firstDataRow="1" firstDataCol="2"/>
  <pivotFields count="48">
    <pivotField compact="0" outline="0" showAll="0"/>
    <pivotField compact="0" outline="0" showAll="0"/>
    <pivotField dataField="1" compact="0" outline="0" showAll="0"/>
    <pivotField compact="0" outline="0" showAll="0"/>
    <pivotField compact="0" outline="0" showAll="0"/>
    <pivotField axis="axisRow" compact="0" outline="0" showAll="0">
      <items count="8">
        <item x="0"/>
        <item x="1"/>
        <item x="2"/>
        <item x="5"/>
        <item x="3"/>
        <item x="6"/>
        <item x="4"/>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10">
        <item x="4"/>
        <item x="8"/>
        <item x="0"/>
        <item x="6"/>
        <item x="1"/>
        <item x="7"/>
        <item x="3"/>
        <item x="5"/>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15"/>
  </rowFields>
  <rowItems count="32">
    <i>
      <x/>
      <x/>
    </i>
    <i r="1">
      <x v="2"/>
    </i>
    <i r="1">
      <x v="4"/>
    </i>
    <i r="1">
      <x v="6"/>
    </i>
    <i r="1">
      <x v="7"/>
    </i>
    <i r="1">
      <x v="8"/>
    </i>
    <i t="default">
      <x/>
    </i>
    <i>
      <x v="1"/>
      <x/>
    </i>
    <i r="1">
      <x v="1"/>
    </i>
    <i r="1">
      <x v="2"/>
    </i>
    <i r="1">
      <x v="3"/>
    </i>
    <i r="1">
      <x v="4"/>
    </i>
    <i r="1">
      <x v="5"/>
    </i>
    <i r="1">
      <x v="6"/>
    </i>
    <i r="1">
      <x v="7"/>
    </i>
    <i r="1">
      <x v="8"/>
    </i>
    <i t="default">
      <x v="1"/>
    </i>
    <i>
      <x v="2"/>
      <x v="7"/>
    </i>
    <i t="default">
      <x v="2"/>
    </i>
    <i>
      <x v="3"/>
      <x v="7"/>
    </i>
    <i t="default">
      <x v="3"/>
    </i>
    <i>
      <x v="4"/>
      <x/>
    </i>
    <i r="1">
      <x v="2"/>
    </i>
    <i r="1">
      <x v="4"/>
    </i>
    <i r="1">
      <x v="7"/>
    </i>
    <i r="1">
      <x v="8"/>
    </i>
    <i t="default">
      <x v="4"/>
    </i>
    <i>
      <x v="5"/>
      <x v="7"/>
    </i>
    <i t="default">
      <x v="5"/>
    </i>
    <i>
      <x v="6"/>
      <x v="7"/>
    </i>
    <i t="default">
      <x v="6"/>
    </i>
    <i t="grand">
      <x/>
    </i>
  </rowItems>
  <colFields count="1">
    <field x="-2"/>
  </colFields>
  <colItems count="3">
    <i>
      <x/>
    </i>
    <i i="1">
      <x v="1"/>
    </i>
    <i i="2">
      <x v="2"/>
    </i>
  </colItems>
  <dataFields count="3">
    <dataField name="Cuenta de CLIENTE" fld="2" subtotal="count" baseField="0" baseItem="0"/>
    <dataField name="Cuenta de Acción especifica" fld="21" subtotal="count" baseField="0" baseItem="0"/>
    <dataField name="Suma de Facturación actual USD" fld="10" baseField="0" baseItem="0" numFmtId="168"/>
  </dataFields>
  <formats count="4">
    <format dxfId="245">
      <pivotArea outline="0" fieldPosition="0">
        <references count="1">
          <reference field="4294967294" count="1" selected="0">
            <x v="2"/>
          </reference>
        </references>
      </pivotArea>
    </format>
    <format dxfId="246">
      <pivotArea dataOnly="0" labelOnly="1" outline="0" fieldPosition="0">
        <references count="1">
          <reference field="4294967294" count="1">
            <x v="2"/>
          </reference>
        </references>
      </pivotArea>
    </format>
    <format dxfId="247">
      <pivotArea field="15" type="button" dataOnly="0" labelOnly="1" outline="0" axis="axisRow" fieldPosition="1"/>
    </format>
    <format dxfId="248">
      <pivotArea dataOnly="0" labelOnly="1" outline="0" fieldPosition="0">
        <references count="1">
          <reference field="4294967294" count="3">
            <x v="0"/>
            <x v="1"/>
            <x v="2"/>
          </reference>
        </references>
      </pivotArea>
    </format>
  </format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532575-2289-4511-B42E-4A0D01675263}" name="Tabla dinámica1" cacheId="2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9:D26" firstHeaderRow="0" firstDataRow="1" firstDataCol="1" rowPageCount="1" colPageCount="1"/>
  <pivotFields count="48">
    <pivotField compact="0" outline="0" showAll="0"/>
    <pivotField compact="0" outline="0" showAll="0"/>
    <pivotField dataField="1" compact="0" outline="0" showAll="0"/>
    <pivotField compact="0" outline="0" showAll="0"/>
    <pivotField axis="axisPage" compact="0" outline="0" showAll="0">
      <items count="5">
        <item x="0"/>
        <item h="1" m="1" x="3"/>
        <item h="1" x="1"/>
        <item h="1"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10">
        <item x="4"/>
        <item x="8"/>
        <item x="0"/>
        <item x="6"/>
        <item x="1"/>
        <item x="7"/>
        <item x="3"/>
        <item x="5"/>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7">
    <i>
      <x/>
    </i>
    <i>
      <x v="2"/>
    </i>
    <i>
      <x v="4"/>
    </i>
    <i>
      <x v="6"/>
    </i>
    <i>
      <x v="7"/>
    </i>
    <i>
      <x v="8"/>
    </i>
    <i t="grand">
      <x/>
    </i>
  </rowItems>
  <colFields count="1">
    <field x="-2"/>
  </colFields>
  <colItems count="3">
    <i>
      <x/>
    </i>
    <i i="1">
      <x v="1"/>
    </i>
    <i i="2">
      <x v="2"/>
    </i>
  </colItems>
  <pageFields count="1">
    <pageField fld="4" item="0" hier="-1"/>
  </pageFields>
  <dataFields count="3">
    <dataField name="Cuenta de CLIENTE" fld="2" subtotal="count" baseField="0" baseItem="0"/>
    <dataField name="Cuenta de Acción especifica" fld="21" subtotal="count" baseField="0" baseItem="0"/>
    <dataField name="Suma de Facturación actual USD" fld="10" baseField="0" baseItem="0" numFmtId="168"/>
  </dataFields>
  <formats count="3">
    <format dxfId="242">
      <pivotArea outline="0" fieldPosition="0">
        <references count="1">
          <reference field="4294967294" count="1" selected="0">
            <x v="2"/>
          </reference>
        </references>
      </pivotArea>
    </format>
    <format dxfId="243">
      <pivotArea field="15" type="button" dataOnly="0" labelOnly="1" outline="0" axis="axisRow" fieldPosition="0"/>
    </format>
    <format dxfId="244">
      <pivotArea dataOnly="0" labelOnly="1" outline="0" fieldPosition="0">
        <references count="1">
          <reference field="4294967294" count="3">
            <x v="0"/>
            <x v="1"/>
            <x v="2"/>
          </reference>
        </references>
      </pivotArea>
    </format>
  </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CE96DDB-1C37-4481-8A0F-473685CFE913}" name="Tabla8" displayName="Tabla8" ref="AJ18:AN24" totalsRowShown="0" headerRowDxfId="212" tableBorderDxfId="211">
  <autoFilter ref="AJ18:AN24" xr:uid="{8CE96DDB-1C37-4481-8A0F-473685CFE913}"/>
  <tableColumns count="5">
    <tableColumn id="1" xr3:uid="{B8C2E205-ED4F-441D-A3B4-C2EB1A6C29CE}" name="# Productos"/>
    <tableColumn id="2" xr3:uid="{B0D4F0CD-9FCE-43CE-8C70-101B1B0CF466}" name="ENTERPRISE"/>
    <tableColumn id="3" xr3:uid="{A83F4348-0B26-4D33-9D67-96E3066238D5}" name="% Enterprise" dataDxfId="210"/>
    <tableColumn id="4" xr3:uid="{9A374E54-219E-4BD0-915C-4F98C303AC44}" name="SMB"/>
    <tableColumn id="5" xr3:uid="{E354BF05-7DBD-4944-9AA0-7D297C82E6D7}" name="% SMB" dataDxfId="209"/>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58238E9-4A37-427B-AFD4-E360945E6C29}" name="Tabla9" displayName="Tabla9" ref="AP18:AV24" totalsRowShown="0" headerRowDxfId="208">
  <autoFilter ref="AP18:AV24" xr:uid="{358238E9-4A37-427B-AFD4-E360945E6C29}"/>
  <tableColumns count="7">
    <tableColumn id="1" xr3:uid="{F24D53EB-36CA-41D3-A1B4-0C65C058AF58}" name="# Productos"/>
    <tableColumn id="2" xr3:uid="{988C387F-E586-4CBA-ADEB-356852CE144F}" name="Dafne de la Rosa"/>
    <tableColumn id="3" xr3:uid="{CA0369BF-988E-4DBE-B2D9-C937D46008BB}" name="Karla Patiño"/>
    <tableColumn id="4" xr3:uid="{9E3B7BC3-B99D-40FB-B962-2B6B06F91F54}" name="Raúl Campos"/>
    <tableColumn id="5" xr3:uid="{47F3B0C2-7907-43BA-A842-A58C28F38699}" name="No Asignado"/>
    <tableColumn id="6" xr3:uid="{A40055FA-5057-4478-9210-B857FA8D15F9}" name="Implementando"/>
    <tableColumn id="7" xr3:uid="{4275F6F8-BCD2-478E-B07B-21217D34786A}" name="TOTAL"/>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DB81ACB-0050-4F54-BE4C-5C7BA007F361}" name="Tabla10" displayName="Tabla10" ref="AX18:BC24" totalsRowShown="0" headerRowDxfId="207" dataDxfId="206" tableBorderDxfId="205">
  <autoFilter ref="AX18:BC24" xr:uid="{7DB81ACB-0050-4F54-BE4C-5C7BA007F361}"/>
  <tableColumns count="6">
    <tableColumn id="1" xr3:uid="{F2647E7A-7125-487D-A59A-9944BF3BABFF}" name="# Productos" dataDxfId="204"/>
    <tableColumn id="2" xr3:uid="{BB19AC5F-D6E1-4E54-96CA-1E56E71E3922}" name="Dafne de la Rosa" dataDxfId="203"/>
    <tableColumn id="3" xr3:uid="{91489469-E6DA-46C6-AA3A-D69BC4542B2A}" name="Karla Patiño" dataDxfId="202"/>
    <tableColumn id="4" xr3:uid="{F88B0DB7-59ED-45BD-AF6A-16F4D6559E97}" name="Raúl Campos" dataDxfId="201"/>
    <tableColumn id="5" xr3:uid="{48ABFE68-A1F7-42D6-A724-E403446AC48B}" name="No Asignado" dataDxfId="200"/>
    <tableColumn id="6" xr3:uid="{6B266AC9-F21B-412E-ACD4-0153FC463F4E}" name="TOTAL" dataDxfId="199"/>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8E4C479-EC41-4B1B-87F6-8FB8E3BCDFC3}" name="Tabla812" displayName="Tabla812" ref="AJ32:AN38" totalsRowShown="0" headerRowDxfId="198" tableBorderDxfId="197">
  <autoFilter ref="AJ32:AN38" xr:uid="{08E4C479-EC41-4B1B-87F6-8FB8E3BCDFC3}"/>
  <tableColumns count="5">
    <tableColumn id="1" xr3:uid="{E0305590-B1FA-4734-A551-D294934A442A}" name="# Productos"/>
    <tableColumn id="2" xr3:uid="{D55B1CD2-DC5C-41A5-834C-63A96A972196}" name="ENTERPRISE"/>
    <tableColumn id="3" xr3:uid="{A08FEE92-5FD4-4463-A689-D4941121185F}" name="% Enterprise" dataDxfId="196"/>
    <tableColumn id="4" xr3:uid="{F8ED30DF-BF26-4F67-A2F4-6440F7009AFE}" name="SMB"/>
    <tableColumn id="5" xr3:uid="{427FB0DF-24DF-454C-8688-E3CC41F9D4D8}" name="% SMB" dataDxfId="195"/>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3E573A6-45A7-49F3-BCEE-3FE37EE80112}" name="Tabla913" displayName="Tabla913" ref="AP32:AV38" totalsRowShown="0" headerRowDxfId="194" dataDxfId="193">
  <autoFilter ref="AP32:AV38" xr:uid="{03E573A6-45A7-49F3-BCEE-3FE37EE80112}"/>
  <tableColumns count="7">
    <tableColumn id="1" xr3:uid="{7C8BCD5B-8F2B-4C34-9E55-E9A6137A95C0}" name="# Productos" dataDxfId="192"/>
    <tableColumn id="2" xr3:uid="{17EEC619-BA1B-4F3C-A3DE-5EE469693E4A}" name="Dafne de la Rosa" dataDxfId="191"/>
    <tableColumn id="3" xr3:uid="{20517A74-BE54-40B9-9AE7-60488768BA58}" name="Karla Patiño" dataDxfId="190"/>
    <tableColumn id="4" xr3:uid="{029119CD-0D1A-457C-91A1-ACC797D2A221}" name="Raúl Campos" dataDxfId="189"/>
    <tableColumn id="5" xr3:uid="{CFCE6A51-3F94-4783-8099-24BC0D0B924F}" name="No Asignado" dataDxfId="188"/>
    <tableColumn id="6" xr3:uid="{A9A08D76-CB05-4440-B35B-17EE66077975}" name="Implementando" dataDxfId="187"/>
    <tableColumn id="7" xr3:uid="{0D2813CA-B2A6-4B5E-9A23-41624E5189BE}" name="TOTAL" dataDxfId="186"/>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6C5AC62-C16F-440B-BB4C-494CACD13A65}" name="Tabla1014" displayName="Tabla1014" ref="AX32:BC38" totalsRowShown="0" headerRowDxfId="185" dataDxfId="184" tableBorderDxfId="183">
  <autoFilter ref="AX32:BC38" xr:uid="{16C5AC62-C16F-440B-BB4C-494CACD13A65}"/>
  <tableColumns count="6">
    <tableColumn id="1" xr3:uid="{E3D218FD-20FD-4FEC-883F-31F82AC3FA68}" name="# Productos" dataDxfId="182"/>
    <tableColumn id="2" xr3:uid="{84350D1A-8D91-4726-8FAC-8B67E7867B65}" name="Dafne de la Rosa" dataDxfId="181"/>
    <tableColumn id="3" xr3:uid="{C3EB37D7-8B25-4AD3-9AD4-3C2BC5DEDC97}" name="Karla Patiño" dataDxfId="180"/>
    <tableColumn id="4" xr3:uid="{7A5415F5-09E2-4AF8-A2B8-7AF7063E6970}" name="Raúl Campos" dataDxfId="179"/>
    <tableColumn id="5" xr3:uid="{A8B2E06F-42A0-48FC-97EC-769BC5C88BCD}" name="No Asignado" dataDxfId="178"/>
    <tableColumn id="6" xr3:uid="{CF6BF9AE-CE08-438F-ADBD-9D9C8752D832}" name="TOTAL" dataDxfId="177"/>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E47AC4-4855-4530-9292-EFD1F079E269}" name="Tabla1" displayName="Tabla1" ref="A3:E7" totalsRowShown="0">
  <autoFilter ref="A3:E7" xr:uid="{2AE47AC4-4855-4530-9292-EFD1F079E269}"/>
  <tableColumns count="5">
    <tableColumn id="1" xr3:uid="{225A6FC8-8367-4B29-AE03-C1719D2D7E61}" name="Tipo"/>
    <tableColumn id="2" xr3:uid="{36A3ABD6-3C49-4F69-A50B-3BFCC1F48542}" name="Mayo"/>
    <tableColumn id="3" xr3:uid="{F0FFDE14-1F86-4C0A-83D0-036CC24941C4}" name="Junio"/>
    <tableColumn id="5" xr3:uid="{028EBCDF-3934-4B59-B20E-BBC116284328}" name="Julio"/>
    <tableColumn id="6" xr3:uid="{28FB160A-8C00-47F0-B67E-26718F6C803D}" name="Agosto"/>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9A1BE0-514E-4AC3-84DF-33E07155A04A}" name="Tabla3" displayName="Tabla3" ref="I3:L4" totalsRowShown="0" headerRowBorderDxfId="145" tableBorderDxfId="146" totalsRowBorderDxfId="144">
  <autoFilter ref="I3:L4" xr:uid="{409A1BE0-514E-4AC3-84DF-33E07155A04A}"/>
  <tableColumns count="4">
    <tableColumn id="1" xr3:uid="{92B281BD-B0CA-41DD-80B4-A9E2D1BB626A}" name="Mayo" dataDxfId="143"/>
    <tableColumn id="2" xr3:uid="{43A5823E-4039-4367-9A6F-160E8A12D3D4}" name="Junio" dataDxfId="142"/>
    <tableColumn id="3" xr3:uid="{43FBB75D-E928-4C4C-BBF6-FD0AA9709269}" name="Julio" dataDxfId="141"/>
    <tableColumn id="4" xr3:uid="{C3EB5C3E-8720-47E0-B33A-E3DB68CB77B4}" name="Agosto" dataDxfId="14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2" displayName="Tabla2" ref="A1:D12" totalsRowShown="0" headerRowDxfId="10" headerRowBorderDxfId="8" tableBorderDxfId="9" totalsRowBorderDxfId="7">
  <autoFilter ref="A1:D12" xr:uid="{00000000-0009-0000-0100-000002000000}"/>
  <tableColumns count="4">
    <tableColumn id="1" xr3:uid="{00000000-0010-0000-0100-000001000000}" name="Acción" dataDxfId="6"/>
    <tableColumn id="3" xr3:uid="{00000000-0010-0000-0100-000003000000}" name="Periodicidad" dataDxfId="5"/>
    <tableColumn id="4" xr3:uid="{00000000-0010-0000-0100-000004000000}" name="Inicio" dataDxfId="4"/>
    <tableColumn id="2" xr3:uid="{00000000-0010-0000-0100-000002000000}" name="Responsable" dataDxfId="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C25622-8A24-4BEB-8B94-7F74C5199B2E}" name="Tabla4" displayName="Tabla4" ref="B4:F10" totalsRowShown="0">
  <autoFilter ref="B4:F10" xr:uid="{7AC25622-8A24-4BEB-8B94-7F74C5199B2E}"/>
  <tableColumns count="5">
    <tableColumn id="1" xr3:uid="{D860C27A-CEBD-426B-A7DE-6B08F55A7852}" name="# Productos"/>
    <tableColumn id="2" xr3:uid="{F8124BAA-26E3-45E1-AD5E-069A02C6DA3C}" name="ENTERPRISE"/>
    <tableColumn id="3" xr3:uid="{14CCF530-471D-4286-9AAB-0A0997945E60}" name="% Enterprise"/>
    <tableColumn id="4" xr3:uid="{F9B11D33-9954-4ADC-BBDA-A2A151CB2DB8}" name="SMB"/>
    <tableColumn id="5" xr3:uid="{E4E93EC4-5C46-414D-A351-79E9DDC32EA0}" name="% SMB"/>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1CFBABD-6569-4CBA-88FE-81CBD775297B}" name="Tabla5" displayName="Tabla5" ref="H4:N10" totalsRowShown="0">
  <autoFilter ref="H4:N10" xr:uid="{01CFBABD-6569-4CBA-88FE-81CBD775297B}"/>
  <tableColumns count="7">
    <tableColumn id="1" xr3:uid="{8CA0ECB5-2D62-4D64-A0EE-55D5CB549F4C}" name="# Productos"/>
    <tableColumn id="2" xr3:uid="{92892FD6-96A5-484D-A9EA-EEFC6C01EFE5}" name="Dafne de la Rosa"/>
    <tableColumn id="3" xr3:uid="{021D1916-7CD9-4AFE-88A5-44694B925C50}" name="Karla Patiño"/>
    <tableColumn id="4" xr3:uid="{F827D8DE-8B09-4805-BBE6-BE9A59EA5A0E}" name="Raúl Campos"/>
    <tableColumn id="5" xr3:uid="{DA746D58-38F7-41EA-8D95-90EC7FC218E7}" name="No Asignado"/>
    <tableColumn id="6" xr3:uid="{B8520193-27EC-49BC-B3CF-8B000808BA92}" name="Implementando"/>
    <tableColumn id="7" xr3:uid="{D2B30EF6-0E83-43ED-A5E6-EEF15ED4F142}" name="TOTAL"/>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C71032-C88B-447E-8EAC-2ECE64F55567}" name="Tabla6" displayName="Tabla6" ref="P4:U10" totalsRowShown="0">
  <autoFilter ref="P4:U10" xr:uid="{B4C71032-C88B-447E-8EAC-2ECE64F55567}"/>
  <tableColumns count="6">
    <tableColumn id="1" xr3:uid="{982A06CF-FD59-4226-8CEB-B937347E0AE8}" name="# Productos"/>
    <tableColumn id="2" xr3:uid="{4C4F3EC2-0B30-448E-909B-625F81B7E379}" name="Dafne de la Rosa"/>
    <tableColumn id="3" xr3:uid="{556D1405-D3C6-4CF6-BDB0-162DDBF88E70}" name="Karla Patiño"/>
    <tableColumn id="4" xr3:uid="{DD5B4BEC-9E37-4DAD-B5AE-8FA213E6ADC0}" name="Raúl Campos"/>
    <tableColumn id="5" xr3:uid="{64679095-2D10-4BEE-A4A5-C95E114CB68A}" name="No Asignado"/>
    <tableColumn id="6" xr3:uid="{8FDA8BA2-2C2A-4144-95AD-E0B9314FC4AC}" name="TOTAL"/>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4475507-E1FD-4D36-8DE4-C9D72944417F}" name="Tabla7" displayName="Tabla7" ref="X4:Z21" totalsRowShown="0">
  <autoFilter ref="X4:Z21" xr:uid="{F4475507-E1FD-4D36-8DE4-C9D72944417F}"/>
  <tableColumns count="3">
    <tableColumn id="1" xr3:uid="{B4095B61-373D-4206-B5DD-282B0F6C6D12}" name="Producto"/>
    <tableColumn id="2" xr3:uid="{25053A8F-8B90-4549-8A1B-1F3FC1C7B0F4}" name="ENTERPRISE"/>
    <tableColumn id="3" xr3:uid="{32B06DEC-4D29-49FC-B964-C5219589DD7D}" name="SMB"/>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L2" dT="2026-05-11T22:14:51.31" personId="{3F88114D-2A78-449A-ADC0-0C321448AD5E}" id="{64BF6F3B-4A77-47EC-BFB9-A7BA19993EBF}">
    <text xml:space="preserve">Rellenar bien la industria
</text>
  </threadedComment>
  <threadedComment ref="AV3" dT="2026-04-28T18:17:41.03" personId="{3F88114D-2A78-449A-ADC0-0C321448AD5E}" id="{D3FD0C23-551D-407A-9F90-3FB4CEE8F29D}">
    <text>Definir número de usuarios y precio por usuario</text>
  </threadedComment>
  <threadedComment ref="AV3" dT="2026-04-28T19:16:41.58" personId="{3F88114D-2A78-449A-ADC0-0C321448AD5E}" id="{0C88B364-E916-4AA4-9085-91305DE4B9B7}" parentId="{D3FD0C23-551D-407A-9F90-3FB4CEE8F29D}">
    <text>Se le vendió app de supervisor</text>
  </threadedComment>
  <threadedComment ref="AW3" dT="2026-04-28T18:19:05.26" personId="{3F88114D-2A78-449A-ADC0-0C321448AD5E}" id="{2AFA0A08-2E35-4EFE-8D7D-1C6E85F4B948}">
    <text>@Dafne De La Rosa crear deal y dejar vinculo</text>
    <mentions>
      <mention mentionpersonId="{13440759-BF95-4E1D-8309-F5C0B19C6FD3}" mentionId="{92BD9386-6B5B-4E50-B997-A2C453D564CC}" startIndex="0" length="17"/>
    </mentions>
  </threadedComment>
  <threadedComment ref="F469" dT="2026-04-28T18:42:15.84" personId="{3F88114D-2A78-449A-ADC0-0C321448AD5E}" id="{426257ED-E381-4574-9C06-5F31CE59E1E5}">
    <text>No están usando el servicio, no quieren pagar facturas adeudadas, se está buscando reunión con ellos para entender sus problemas</text>
  </threadedComment>
  <threadedComment ref="W472" dT="2026-04-29T17:24:57.89" personId="{3F88114D-2A78-449A-ADC0-0C321448AD5E}" id="{6095F2E9-0F4E-4894-AB0F-078B850BD970}">
    <text xml:space="preserve">Aprox, se vio factura del partner y se traspasó con valor dolar de 17.52
</text>
  </threadedComment>
  <threadedComment ref="F474" dT="2026-04-28T19:51:58.62" personId="{3F88114D-2A78-449A-ADC0-0C321448AD5E}" id="{506938D7-E0BF-40EF-9D90-1FB75D6933F3}">
    <text>Pidió no facturar, se factura a público general</text>
  </threadedComment>
  <threadedComment ref="W496" dT="2026-04-29T17:24:57.89" personId="{3F88114D-2A78-449A-ADC0-0C321448AD5E}" id="{7BA266E1-B912-41C3-88D8-26DAD6480172}">
    <text xml:space="preserve">Aprox, se vio factura del partner y se traspasó con valor dolar de 17.52
</text>
  </threadedComment>
</ThreadedComments>
</file>

<file path=xl/threadedComments/threadedComment2.xml><?xml version="1.0" encoding="utf-8"?>
<ThreadedComments xmlns="http://schemas.microsoft.com/office/spreadsheetml/2018/threadedcomments" xmlns:x="http://schemas.openxmlformats.org/spreadsheetml/2006/main">
  <threadedComment ref="J20" dT="2026-05-20T00:34:34.38" personId="{3F88114D-2A78-449A-ADC0-0C321448AD5E}" id="{67821185-3044-4376-843E-A72DA72DA6C2}" done="1">
    <text>@Karla Patiño  veo en la factura que  el up fue de 38 usuarios, debería haber nuevo up? sino por favor modifica el deal y este dato</text>
    <mentions>
      <mention mentionpersonId="{AE1FD906-BAD6-4E93-98C5-8627A2AC1621}" mentionId="{2942569D-FEBB-4AFD-8842-62D814C64BC0}" startIndex="0" length="13"/>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W2" dT="2026-05-11T22:14:51.31" personId="{3F88114D-2A78-449A-ADC0-0C321448AD5E}" id="{C927899D-97BC-4072-B8FD-A01BFC65C91A}">
    <text xml:space="preserve">Rellenar bien la industria
</text>
  </threadedComment>
  <threadedComment ref="P9" dT="2026-05-11T22:05:09.76" personId="{3F88114D-2A78-449A-ADC0-0C321448AD5E}" id="{04CB0B38-A8B9-4581-B672-8D20F8C0F0D4}">
    <text>Este fue fuga de hace 1 año aprox, ahora se enviaron facturas que se tenían pendientes de hace mucho rato</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crm.zoho.com/crm/org685875245/tab/Accounts/3525045000315267510?pfrom=gsearch" TargetMode="External"/><Relationship Id="rId18" Type="http://schemas.openxmlformats.org/officeDocument/2006/relationships/hyperlink" Target="https://crm.zoho.com/crm/org685875245/tab/Accounts/3525045000570622533" TargetMode="External"/><Relationship Id="rId26" Type="http://schemas.openxmlformats.org/officeDocument/2006/relationships/hyperlink" Target="https://crm.zoho.com/crm/org685875245/tab/Accounts/3525045000415003356?pfrom=gsearch" TargetMode="External"/><Relationship Id="rId39" Type="http://schemas.openxmlformats.org/officeDocument/2006/relationships/hyperlink" Target="https://crm.zoho.com/crm/org685875245/tab/Accounts/3525045000577986714?pfrom=gsearch" TargetMode="External"/><Relationship Id="rId21" Type="http://schemas.openxmlformats.org/officeDocument/2006/relationships/hyperlink" Target="https://crm.zoho.com/crm/org685875245/tab/Accounts/3525045000255069448?pfrom=gsearch" TargetMode="External"/><Relationship Id="rId34" Type="http://schemas.openxmlformats.org/officeDocument/2006/relationships/hyperlink" Target="https://crm.zoho.com/crm/org685875245/tab/Accounts/3525045000578056486?pfrom=gsearch" TargetMode="External"/><Relationship Id="rId42" Type="http://schemas.openxmlformats.org/officeDocument/2006/relationships/hyperlink" Target="https://crm.zoho.com/crm/org685875245/tab/Accounts/3525045000307053610?pfrom=gsearch" TargetMode="External"/><Relationship Id="rId47" Type="http://schemas.openxmlformats.org/officeDocument/2006/relationships/hyperlink" Target="mailto:rgvraul@hotmail.com" TargetMode="External"/><Relationship Id="rId50" Type="http://schemas.openxmlformats.org/officeDocument/2006/relationships/hyperlink" Target="mailto:moralesmariana8006@gmail.com" TargetMode="External"/><Relationship Id="rId55" Type="http://schemas.openxmlformats.org/officeDocument/2006/relationships/hyperlink" Target="mailto:monica@divya.com.mx" TargetMode="External"/><Relationship Id="rId7" Type="http://schemas.openxmlformats.org/officeDocument/2006/relationships/hyperlink" Target="https://crm.zoho.com/crm/org685875245/tab/Accounts/3525045000108826075" TargetMode="External"/><Relationship Id="rId2" Type="http://schemas.openxmlformats.org/officeDocument/2006/relationships/hyperlink" Target="https://crm.zoho.com/crm/org685875245/tab/Accounts/3525045000516029681" TargetMode="External"/><Relationship Id="rId16" Type="http://schemas.openxmlformats.org/officeDocument/2006/relationships/hyperlink" Target="https://crm.zoho.com/crm/org685875245/tab/Accounts/3525045000354852479?pfrom=gsearch" TargetMode="External"/><Relationship Id="rId29" Type="http://schemas.openxmlformats.org/officeDocument/2006/relationships/hyperlink" Target="https://crm.zoho.com/crm/org685875245/tab/Accounts/3525045000555859681?pfrom=gsearch" TargetMode="External"/><Relationship Id="rId11" Type="http://schemas.openxmlformats.org/officeDocument/2006/relationships/hyperlink" Target="https://crm.zoho.com/crm/org685875245/tab/Accounts/3525045000349800122" TargetMode="External"/><Relationship Id="rId24" Type="http://schemas.openxmlformats.org/officeDocument/2006/relationships/hyperlink" Target="https://crm.zoho.com/crm/org685875245/tab/Accounts/3525045000480962031?pfrom=gsearch" TargetMode="External"/><Relationship Id="rId32" Type="http://schemas.openxmlformats.org/officeDocument/2006/relationships/hyperlink" Target="https://crm.zoho.com/crm/org685875245/tab/Accounts/3525045000513109886?pfrom=gsearch" TargetMode="External"/><Relationship Id="rId37" Type="http://schemas.openxmlformats.org/officeDocument/2006/relationships/hyperlink" Target="https://crm.zoho.com/crm/org685875245/tab/Accounts/3525045000444479020?pfrom=gsearch" TargetMode="External"/><Relationship Id="rId40" Type="http://schemas.openxmlformats.org/officeDocument/2006/relationships/hyperlink" Target="https://crm.zoho.com/crm/org685875245/tab/Accounts/3525045000620620931" TargetMode="External"/><Relationship Id="rId45" Type="http://schemas.openxmlformats.org/officeDocument/2006/relationships/hyperlink" Target="mailto:gcastro@interalimen.com" TargetMode="External"/><Relationship Id="rId53" Type="http://schemas.openxmlformats.org/officeDocument/2006/relationships/hyperlink" Target="mailto:dinorahalonso@finotex.com" TargetMode="External"/><Relationship Id="rId58" Type="http://schemas.openxmlformats.org/officeDocument/2006/relationships/vmlDrawing" Target="../drawings/vmlDrawing1.vml"/><Relationship Id="rId5" Type="http://schemas.openxmlformats.org/officeDocument/2006/relationships/hyperlink" Target="https://crm.zoho.com/crm/org685875245/tab/Accounts/3525045000199863226" TargetMode="External"/><Relationship Id="rId61" Type="http://schemas.microsoft.com/office/2019/04/relationships/namedSheetView" Target="../namedSheetViews/namedSheetView1.xml"/><Relationship Id="rId19" Type="http://schemas.openxmlformats.org/officeDocument/2006/relationships/hyperlink" Target="https://crm.zoho.com/crm/org685875245/tab/Accounts/3525045000366468194?pfrom=gsearch" TargetMode="External"/><Relationship Id="rId14" Type="http://schemas.openxmlformats.org/officeDocument/2006/relationships/hyperlink" Target="https://crm.zoho.com/crm/org685875245/tab/Accounts/3525045000188390027?pfrom=gsearch" TargetMode="External"/><Relationship Id="rId22" Type="http://schemas.openxmlformats.org/officeDocument/2006/relationships/hyperlink" Target="https://crm.zoho.com/crm/org685875245/tab/Accounts/3525045000389123147?pfrom=gsearch" TargetMode="External"/><Relationship Id="rId27" Type="http://schemas.openxmlformats.org/officeDocument/2006/relationships/hyperlink" Target="https://crm.zoho.com/crm/org685875245/tab/Accounts/3525045000348478718?pfrom=gsearch" TargetMode="External"/><Relationship Id="rId30" Type="http://schemas.openxmlformats.org/officeDocument/2006/relationships/hyperlink" Target="https://crm.zoho.com/crm/org685875245/tab/Accounts/3525045000375387064?pfrom=gsearch" TargetMode="External"/><Relationship Id="rId35" Type="http://schemas.openxmlformats.org/officeDocument/2006/relationships/hyperlink" Target="https://crm.zoho.com/crm/org685875245/tab/Accounts/3525045000617025181?pfrom=gsearch" TargetMode="External"/><Relationship Id="rId43" Type="http://schemas.openxmlformats.org/officeDocument/2006/relationships/hyperlink" Target="https://crm.zoho.com/crm/org685875245/tab/Accounts/3525045000536386049" TargetMode="External"/><Relationship Id="rId48" Type="http://schemas.openxmlformats.org/officeDocument/2006/relationships/hyperlink" Target="mailto:jose.montoya@trijaem.gob.mx" TargetMode="External"/><Relationship Id="rId56" Type="http://schemas.openxmlformats.org/officeDocument/2006/relationships/hyperlink" Target="mailto:rh@xanderg.com.mx%20/%20compras@xanderg.com.mx%20/%20rh@xanderg.com.mx%20/%20rh@xanderg.com.mx" TargetMode="External"/><Relationship Id="rId8" Type="http://schemas.openxmlformats.org/officeDocument/2006/relationships/hyperlink" Target="https://crm.zoho.com/crm/org685875245/tab/Accounts/3525045000446689264" TargetMode="External"/><Relationship Id="rId51" Type="http://schemas.openxmlformats.org/officeDocument/2006/relationships/hyperlink" Target="mailto:jcespinoza@eulen.com" TargetMode="External"/><Relationship Id="rId3" Type="http://schemas.openxmlformats.org/officeDocument/2006/relationships/hyperlink" Target="https://crm.zoho.com/crm/org685875245/tab/Accounts/3525045000269312009" TargetMode="External"/><Relationship Id="rId12" Type="http://schemas.openxmlformats.org/officeDocument/2006/relationships/hyperlink" Target="https://crm.zoho.com/crm/org685875245/tab/Accounts/3525045000079373188?pfrom=gsearch" TargetMode="External"/><Relationship Id="rId17" Type="http://schemas.openxmlformats.org/officeDocument/2006/relationships/hyperlink" Target="https://crm.zoho.com/crm/org685875245/tab/Accounts/3525045000577650270?pfrom=gsearch" TargetMode="External"/><Relationship Id="rId25" Type="http://schemas.openxmlformats.org/officeDocument/2006/relationships/hyperlink" Target="https://crm.zoho.com/crm/org685875245/tab/Accounts/3525045000307252290?pfrom=gsearch" TargetMode="External"/><Relationship Id="rId33" Type="http://schemas.openxmlformats.org/officeDocument/2006/relationships/hyperlink" Target="https://crm.zoho.com/crm/org685875245/tab/Accounts/3525045000487258080?pfrom=gsearch" TargetMode="External"/><Relationship Id="rId38" Type="http://schemas.openxmlformats.org/officeDocument/2006/relationships/hyperlink" Target="https://crm.zoho.com/crm/org685875245/tab/Accounts/3525045000519554305?pfrom=gsearch" TargetMode="External"/><Relationship Id="rId46" Type="http://schemas.openxmlformats.org/officeDocument/2006/relationships/hyperlink" Target="mailto:c.rodriguez@vidabirdman.com" TargetMode="External"/><Relationship Id="rId59" Type="http://schemas.openxmlformats.org/officeDocument/2006/relationships/comments" Target="../comments1.xml"/><Relationship Id="rId20" Type="http://schemas.openxmlformats.org/officeDocument/2006/relationships/hyperlink" Target="https://crm.zoho.com/crm/org685875245/tab/Accounts/3525045000300440282?pfrom=gsearch" TargetMode="External"/><Relationship Id="rId41" Type="http://schemas.openxmlformats.org/officeDocument/2006/relationships/hyperlink" Target="https://crm.zoho.com/crm/org685875245/tab/Accounts/3525045000380249726?pfrom=gsearch" TargetMode="External"/><Relationship Id="rId54" Type="http://schemas.openxmlformats.org/officeDocument/2006/relationships/hyperlink" Target="mailto:efarrera@ancora.com.mx" TargetMode="External"/><Relationship Id="rId1" Type="http://schemas.openxmlformats.org/officeDocument/2006/relationships/hyperlink" Target="https://crm.zoho.com/crm/org685875245/tab/Accounts/3525045000502956105" TargetMode="External"/><Relationship Id="rId6" Type="http://schemas.openxmlformats.org/officeDocument/2006/relationships/hyperlink" Target="https://crm.zoho.com/crm/org685875245/tab/Accounts/3525045000025412986" TargetMode="External"/><Relationship Id="rId15" Type="http://schemas.openxmlformats.org/officeDocument/2006/relationships/hyperlink" Target="https://crm.zoho.com/crm/org685875245/tab/Accounts/3525045000566038619?pfrom=gsearch" TargetMode="External"/><Relationship Id="rId23" Type="http://schemas.openxmlformats.org/officeDocument/2006/relationships/hyperlink" Target="https://crm.zoho.com/crm/org685875245/tab/Accounts/3525045000304160441?pfrom=gsearch" TargetMode="External"/><Relationship Id="rId28" Type="http://schemas.openxmlformats.org/officeDocument/2006/relationships/hyperlink" Target="https://crm.zoho.com/crm/org685875245/tab/Accounts/3525045000210203049?pfrom=gsearch" TargetMode="External"/><Relationship Id="rId36" Type="http://schemas.openxmlformats.org/officeDocument/2006/relationships/hyperlink" Target="https://crm.zoho.com/crm/org685875245/tab/Accounts/3525045000569606644?pfrom=gsearch" TargetMode="External"/><Relationship Id="rId49" Type="http://schemas.openxmlformats.org/officeDocument/2006/relationships/hyperlink" Target="mailto:iganacio.valenzuela@utc.mx" TargetMode="External"/><Relationship Id="rId57" Type="http://schemas.openxmlformats.org/officeDocument/2006/relationships/hyperlink" Target="https://crm.zoho.com/crm/org685875245/tab/Accounts/3525045000583179634?pfrom=gsearch" TargetMode="External"/><Relationship Id="rId10" Type="http://schemas.openxmlformats.org/officeDocument/2006/relationships/hyperlink" Target="https://crm.zoho.com/crm/org685875245/tab/Accounts/3525045000244055039?pfrom=gsearch" TargetMode="External"/><Relationship Id="rId31" Type="http://schemas.openxmlformats.org/officeDocument/2006/relationships/hyperlink" Target="https://crm.zoho.com/crm/org685875245/tab/Accounts/3525045000068536437" TargetMode="External"/><Relationship Id="rId44" Type="http://schemas.openxmlformats.org/officeDocument/2006/relationships/hyperlink" Target="mailto:hivicoeduardo2023@hotmail.com" TargetMode="External"/><Relationship Id="rId52" Type="http://schemas.openxmlformats.org/officeDocument/2006/relationships/hyperlink" Target="mailto:brigham.lopez@ajemexconsultores.mx" TargetMode="External"/><Relationship Id="rId60" Type="http://schemas.microsoft.com/office/2017/10/relationships/threadedComment" Target="../threadedComments/threadedComment1.xml"/><Relationship Id="rId4" Type="http://schemas.openxmlformats.org/officeDocument/2006/relationships/hyperlink" Target="https://crm.zoho.com/crm/org685875245/tab/Accounts/3525045000297139312" TargetMode="External"/><Relationship Id="rId9" Type="http://schemas.openxmlformats.org/officeDocument/2006/relationships/hyperlink" Target="https://crm.zoho.com/crm/org685875245/tab/Accounts/3525045000244055039?pfrom=gsearch"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ivotTable" Target="../pivotTables/pivotTable3.xml"/><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10" Type="http://schemas.openxmlformats.org/officeDocument/2006/relationships/table" Target="../tables/table6.xml"/><Relationship Id="rId4" Type="http://schemas.openxmlformats.org/officeDocument/2006/relationships/pivotTable" Target="../pivotTables/pivotTable4.xml"/><Relationship Id="rId9"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17" Type="http://schemas.openxmlformats.org/officeDocument/2006/relationships/hyperlink" Target="https://crm.zoho.com/crm/org685875245/tab/Potentials/3525045000654478097" TargetMode="External"/><Relationship Id="rId21" Type="http://schemas.openxmlformats.org/officeDocument/2006/relationships/hyperlink" Target="https://crm.zoho.com/crm/org685875245/tab/Potentials/3525045000583797058" TargetMode="External"/><Relationship Id="rId42" Type="http://schemas.openxmlformats.org/officeDocument/2006/relationships/hyperlink" Target="https://crm.zoho.com/crm/org685875245/tab/Potentials/3525045000621513285" TargetMode="External"/><Relationship Id="rId63" Type="http://schemas.openxmlformats.org/officeDocument/2006/relationships/hyperlink" Target="https://crm.zoho.com/crm/org685875245/tab/Potentials/3525045000643770002" TargetMode="External"/><Relationship Id="rId84" Type="http://schemas.openxmlformats.org/officeDocument/2006/relationships/hyperlink" Target="https://one.zoho.com/zohoone/geovictoria/home/cxapp/crm/org685875245/tab/Potentials/3525045000640263246" TargetMode="External"/><Relationship Id="rId138" Type="http://schemas.openxmlformats.org/officeDocument/2006/relationships/hyperlink" Target="https://crm.zoho.com/crm/org685875245/tab/Potentials/3525045000617230553" TargetMode="External"/><Relationship Id="rId159" Type="http://schemas.openxmlformats.org/officeDocument/2006/relationships/hyperlink" Target="https://crm.zoho.com/crm/org685875245/tab/Potentials/3525045000626305529" TargetMode="External"/><Relationship Id="rId170" Type="http://schemas.openxmlformats.org/officeDocument/2006/relationships/hyperlink" Target="https://crm.zoho.com/crm/org685875245/tab/Potentials/3525045000621513309" TargetMode="External"/><Relationship Id="rId191" Type="http://schemas.openxmlformats.org/officeDocument/2006/relationships/hyperlink" Target="https://crm.zoho.com/crm/org685875245/tab/Potentials/3525045000621513237" TargetMode="External"/><Relationship Id="rId205" Type="http://schemas.openxmlformats.org/officeDocument/2006/relationships/hyperlink" Target="https://crm.zoho.com/crm/org685875245/tab/Potentials/3525045000669682228" TargetMode="External"/><Relationship Id="rId107" Type="http://schemas.openxmlformats.org/officeDocument/2006/relationships/hyperlink" Target="https://one.zoho.com/zohoone/geovictoria/home/cxapp/crm/org685875245/tab/Potentials/3525045000659812026" TargetMode="External"/><Relationship Id="rId11" Type="http://schemas.openxmlformats.org/officeDocument/2006/relationships/hyperlink" Target="https://crm.zoho.com/crm/org685875245/tab/Potentials/3525045000544844872" TargetMode="External"/><Relationship Id="rId32" Type="http://schemas.openxmlformats.org/officeDocument/2006/relationships/hyperlink" Target="https://crm.zoho.com/crm/org685875245/tab/Potentials/3525045000621513237" TargetMode="External"/><Relationship Id="rId53" Type="http://schemas.openxmlformats.org/officeDocument/2006/relationships/hyperlink" Target="https://crm.zoho.com/crm/org685875245/tab/Potentials/3525045000621513434" TargetMode="External"/><Relationship Id="rId74" Type="http://schemas.openxmlformats.org/officeDocument/2006/relationships/hyperlink" Target="https://crm.zoho.com/crm/org685875245/tab/Potentials/3525045000654478090" TargetMode="External"/><Relationship Id="rId128" Type="http://schemas.openxmlformats.org/officeDocument/2006/relationships/hyperlink" Target="https://one.zoho.com/zohoone/geovictoria/home/cxapp/crm/org685875245/tab/Potentials/3525045000630888068" TargetMode="External"/><Relationship Id="rId149" Type="http://schemas.openxmlformats.org/officeDocument/2006/relationships/hyperlink" Target="https://crm.zoho.com/crm/org685875245/tab/Potentials/3525045000570490001" TargetMode="External"/><Relationship Id="rId5" Type="http://schemas.openxmlformats.org/officeDocument/2006/relationships/hyperlink" Target="https://crm.zoho.com/crm/org685875245/tab/Potentials/3525045000543112206" TargetMode="External"/><Relationship Id="rId95" Type="http://schemas.openxmlformats.org/officeDocument/2006/relationships/hyperlink" Target="https://one.zoho.com/zohoone/geovictoria/home/cxapp/crm/org685875245/tab/Potentials/3525045000627572262" TargetMode="External"/><Relationship Id="rId160" Type="http://schemas.openxmlformats.org/officeDocument/2006/relationships/hyperlink" Target="https://crm.zoho.com/crm/org685875245/tab/Potentials/3525045000636381028" TargetMode="External"/><Relationship Id="rId181" Type="http://schemas.openxmlformats.org/officeDocument/2006/relationships/hyperlink" Target="https://crm.zoho.com/crm/org685875245/tab/Potentials/3525045000577386027" TargetMode="External"/><Relationship Id="rId216" Type="http://schemas.microsoft.com/office/2017/10/relationships/threadedComment" Target="../threadedComments/threadedComment2.xml"/><Relationship Id="rId22" Type="http://schemas.openxmlformats.org/officeDocument/2006/relationships/hyperlink" Target="https://crm.zoho.com/crm/org685875245/tab/Potentials/3525045000625765113" TargetMode="External"/><Relationship Id="rId43" Type="http://schemas.openxmlformats.org/officeDocument/2006/relationships/hyperlink" Target="https://crm.zoho.com/crm/org685875245/tab/Potentials/3525045000531173001" TargetMode="External"/><Relationship Id="rId64" Type="http://schemas.openxmlformats.org/officeDocument/2006/relationships/hyperlink" Target="https://crm.zoho.com/crm/org685875245/tab/Potentials/3525045000643770002" TargetMode="External"/><Relationship Id="rId118" Type="http://schemas.openxmlformats.org/officeDocument/2006/relationships/hyperlink" Target="https://crm.zoho.com/crm/org685875245/tab/Potentials/3525045000648952322" TargetMode="External"/><Relationship Id="rId139" Type="http://schemas.openxmlformats.org/officeDocument/2006/relationships/hyperlink" Target="https://one.zoho.com/zohoone/geovictoria/home/cxapp/crm/org685875245/tab/Potentials/3525045000623197343" TargetMode="External"/><Relationship Id="rId85" Type="http://schemas.openxmlformats.org/officeDocument/2006/relationships/hyperlink" Target="https://one.zoho.com/zohoone/geovictoria/home/cxapp/crm/org685875245/tab/Potentials/3525045000640263241" TargetMode="External"/><Relationship Id="rId150" Type="http://schemas.openxmlformats.org/officeDocument/2006/relationships/hyperlink" Target="https://crm.zoho.com/crm/org685875245/tab/Potentials/3525045000534472880" TargetMode="External"/><Relationship Id="rId171" Type="http://schemas.openxmlformats.org/officeDocument/2006/relationships/hyperlink" Target="https://crm.zoho.com/crm/org685875245/tab/Potentials/3525045000586308120" TargetMode="External"/><Relationship Id="rId192" Type="http://schemas.openxmlformats.org/officeDocument/2006/relationships/hyperlink" Target="https://crm.zoho.com/crm/org685875245/tab/Potentials/3525045000621513261" TargetMode="External"/><Relationship Id="rId206" Type="http://schemas.openxmlformats.org/officeDocument/2006/relationships/hyperlink" Target="https://crm.zoho.com/crm/org685875245/tab/Potentials/3525045000669682249" TargetMode="External"/><Relationship Id="rId12" Type="http://schemas.openxmlformats.org/officeDocument/2006/relationships/hyperlink" Target="https://crm.zoho.com/crm/org685875245/tab/Potentials/3525045000602073003" TargetMode="External"/><Relationship Id="rId33" Type="http://schemas.openxmlformats.org/officeDocument/2006/relationships/hyperlink" Target="https://crm.zoho.com/crm/org685875245/tab/Potentials/3525045000640693036" TargetMode="External"/><Relationship Id="rId108" Type="http://schemas.openxmlformats.org/officeDocument/2006/relationships/hyperlink" Target="https://one.zoho.com/zohoone/geovictoria/home/cxapp/crm/org685875245/tab/Potentials/3525045000640711138" TargetMode="External"/><Relationship Id="rId129" Type="http://schemas.openxmlformats.org/officeDocument/2006/relationships/hyperlink" Target="https://one.zoho.com/zohoone/geovictoria/home/cxapp/crm/org685875245/tab/Accounts/3525045000118304484?pfrom=gsearch" TargetMode="External"/><Relationship Id="rId54" Type="http://schemas.openxmlformats.org/officeDocument/2006/relationships/hyperlink" Target="https://crm.zoho.com/crm/org685875245/tab/Potentials/3525045000654550010" TargetMode="External"/><Relationship Id="rId75" Type="http://schemas.openxmlformats.org/officeDocument/2006/relationships/hyperlink" Target="https://crm.zoho.com/crm/org685875245/tab/Potentials/3525045000643568045" TargetMode="External"/><Relationship Id="rId96" Type="http://schemas.openxmlformats.org/officeDocument/2006/relationships/hyperlink" Target="https://one.zoho.com/zohoone/geovictoria/home/cxapp/crm/org685875245/tab/Potentials/3525045000627572267" TargetMode="External"/><Relationship Id="rId140" Type="http://schemas.openxmlformats.org/officeDocument/2006/relationships/hyperlink" Target="https://one.zoho.com/zohoone/geovictoria/home/cxapp/crm/org685875245/tab/Potentials/3525045000628197173" TargetMode="External"/><Relationship Id="rId161" Type="http://schemas.openxmlformats.org/officeDocument/2006/relationships/hyperlink" Target="https://crm.zoho.com/crm/org685875245/tab/Potentials/3525045000629365190" TargetMode="External"/><Relationship Id="rId182" Type="http://schemas.openxmlformats.org/officeDocument/2006/relationships/hyperlink" Target="https://crm.zoho.com/crm/org685875245/tab/Potentials/3525045000593463284" TargetMode="External"/><Relationship Id="rId217" Type="http://schemas.microsoft.com/office/2019/04/relationships/documenttask" Target="../documenttasks/documenttask1.xml"/><Relationship Id="rId6" Type="http://schemas.openxmlformats.org/officeDocument/2006/relationships/hyperlink" Target="https://crm.zoho.com/crm/org685875245/tab/Potentials/3525045000567406553" TargetMode="External"/><Relationship Id="rId23" Type="http://schemas.openxmlformats.org/officeDocument/2006/relationships/hyperlink" Target="https://crm.zoho.com/crm/org685875245/tab/Potentials/3525045000627075125" TargetMode="External"/><Relationship Id="rId119" Type="http://schemas.openxmlformats.org/officeDocument/2006/relationships/hyperlink" Target="https://crm.zoho.com/crm/org685875245/tab/Potentials/3525045000654478126" TargetMode="External"/><Relationship Id="rId44" Type="http://schemas.openxmlformats.org/officeDocument/2006/relationships/hyperlink" Target="https://crm.zoho.com/crm/org685875245/tab/Potentials/3525045000630207042" TargetMode="External"/><Relationship Id="rId65" Type="http://schemas.openxmlformats.org/officeDocument/2006/relationships/hyperlink" Target="https://crm.zoho.com/crm/org685875245/tab/Potentials/3525045000654550031" TargetMode="External"/><Relationship Id="rId86" Type="http://schemas.openxmlformats.org/officeDocument/2006/relationships/hyperlink" Target="https://one.zoho.com/zohoone/geovictoria/home/cxapp/crm/org685875245/tab/Potentials/3525045000640263241" TargetMode="External"/><Relationship Id="rId130" Type="http://schemas.openxmlformats.org/officeDocument/2006/relationships/hyperlink" Target="https://crm.zoho.com/crm/org685875245/tab/Potentials/3525045000626778012" TargetMode="External"/><Relationship Id="rId151" Type="http://schemas.openxmlformats.org/officeDocument/2006/relationships/hyperlink" Target="https://crm.zoho.com/crm/org685875245/tab/Potentials/3525045000575616119" TargetMode="External"/><Relationship Id="rId172" Type="http://schemas.openxmlformats.org/officeDocument/2006/relationships/hyperlink" Target="https://crm.zoho.com/crm/org685875245/tab/Potentials/3525045000623947088" TargetMode="External"/><Relationship Id="rId193" Type="http://schemas.openxmlformats.org/officeDocument/2006/relationships/hyperlink" Target="https://crm.zoho.com/crm/org685875245/tab/Potentials/3525045000649954898" TargetMode="External"/><Relationship Id="rId207" Type="http://schemas.openxmlformats.org/officeDocument/2006/relationships/hyperlink" Target="https://crm.zoho.com/crm/org685875245/tab/Potentials/3525045000669682284" TargetMode="External"/><Relationship Id="rId13" Type="http://schemas.openxmlformats.org/officeDocument/2006/relationships/hyperlink" Target="https://crm.zoho.com/crm/org685875245/tab/Potentials/3525045000529301024" TargetMode="External"/><Relationship Id="rId109" Type="http://schemas.openxmlformats.org/officeDocument/2006/relationships/hyperlink" Target="https://one.zoho.com/zohoone/geovictoria/home/cxapp/crm/org685875245/tab/Potentials/3525045000640711143" TargetMode="External"/><Relationship Id="rId34" Type="http://schemas.openxmlformats.org/officeDocument/2006/relationships/hyperlink" Target="https://crm.zoho.com/crm/org685875245/tab/Potentials/3525045000625113080" TargetMode="External"/><Relationship Id="rId55" Type="http://schemas.openxmlformats.org/officeDocument/2006/relationships/hyperlink" Target="https://crm.zoho.com/crm/org685875245/tab/Potentials/3525045000652108042" TargetMode="External"/><Relationship Id="rId76" Type="http://schemas.openxmlformats.org/officeDocument/2006/relationships/hyperlink" Target="https://crm.zoho.com/crm/org685875245/tab/Potentials/3525045000644518184" TargetMode="External"/><Relationship Id="rId97" Type="http://schemas.openxmlformats.org/officeDocument/2006/relationships/hyperlink" Target="https://one.zoho.com/zohoone/geovictoria/home/cxapp/crm/org685875245/tab/Potentials/3525045000627572267" TargetMode="External"/><Relationship Id="rId120" Type="http://schemas.openxmlformats.org/officeDocument/2006/relationships/hyperlink" Target="https://crm.zoho.com/crm/org685875245/tab/Potentials/3525045000621513339" TargetMode="External"/><Relationship Id="rId141" Type="http://schemas.openxmlformats.org/officeDocument/2006/relationships/hyperlink" Target="https://one.zoho.com/zohoone/geovictoria/home/cxapp/crm/org685875245/tab/Potentials/3525045000628639012" TargetMode="External"/><Relationship Id="rId7" Type="http://schemas.openxmlformats.org/officeDocument/2006/relationships/hyperlink" Target="https://crm.zoho.com/crm/org685875245/tab/Potentials/3525045000551049269" TargetMode="External"/><Relationship Id="rId162" Type="http://schemas.openxmlformats.org/officeDocument/2006/relationships/hyperlink" Target="https://crm.zoho.com/crm/org685875245/tab/Potentials/3525045000628571138" TargetMode="External"/><Relationship Id="rId183" Type="http://schemas.openxmlformats.org/officeDocument/2006/relationships/hyperlink" Target="https://crm.zoho.com/crm/org685875245/tab/Potentials/3525045000626778007" TargetMode="External"/><Relationship Id="rId218" Type="http://schemas.microsoft.com/office/2019/04/relationships/namedSheetView" Target="../namedSheetViews/namedSheetView2.xml"/><Relationship Id="rId24" Type="http://schemas.openxmlformats.org/officeDocument/2006/relationships/hyperlink" Target="https://crm.zoho.com/crm/org685875245/tab/Potentials/3525045000629256121" TargetMode="External"/><Relationship Id="rId45" Type="http://schemas.openxmlformats.org/officeDocument/2006/relationships/hyperlink" Target="https://crm.zoho.com/crm/org685875245/tab/Potentials/3525045000636381028" TargetMode="External"/><Relationship Id="rId66" Type="http://schemas.openxmlformats.org/officeDocument/2006/relationships/hyperlink" Target="https://crm.zoho.com/crm/org685875245/tab/Potentials/3525045000654550038" TargetMode="External"/><Relationship Id="rId87" Type="http://schemas.openxmlformats.org/officeDocument/2006/relationships/hyperlink" Target="https://crm.zoho.com/crm/org685875245/tab/Potentials/3525045000600118001" TargetMode="External"/><Relationship Id="rId110" Type="http://schemas.openxmlformats.org/officeDocument/2006/relationships/hyperlink" Target="https://one.zoho.com/zohoone/geovictoria/home/cxapp/crm/org685875245/tab/Potentials/3525045000630888031" TargetMode="External"/><Relationship Id="rId131" Type="http://schemas.openxmlformats.org/officeDocument/2006/relationships/hyperlink" Target="https://crm.zoho.com/crm/org685875245/tab/Potentials/3525045000572032346" TargetMode="External"/><Relationship Id="rId152" Type="http://schemas.openxmlformats.org/officeDocument/2006/relationships/hyperlink" Target="https://crm.zoho.com/crm/org685875245/tab/Potentials/3525045000572032091" TargetMode="External"/><Relationship Id="rId173" Type="http://schemas.openxmlformats.org/officeDocument/2006/relationships/hyperlink" Target="https://crm.zoho.com/crm/org685875245/tab/Potentials/3525045000626778012" TargetMode="External"/><Relationship Id="rId194" Type="http://schemas.openxmlformats.org/officeDocument/2006/relationships/hyperlink" Target="https://crm.zoho.com/crm/org685875245/tab/Potentials/3525045000629854045" TargetMode="External"/><Relationship Id="rId208" Type="http://schemas.openxmlformats.org/officeDocument/2006/relationships/hyperlink" Target="https://crm.zoho.com/crm/org685875245/tab/Potentials/3525045000572032091" TargetMode="External"/><Relationship Id="rId14" Type="http://schemas.openxmlformats.org/officeDocument/2006/relationships/hyperlink" Target="https://crm.zoho.com/crm/org685875245/tab/Potentials/3525045000572000304" TargetMode="External"/><Relationship Id="rId30" Type="http://schemas.openxmlformats.org/officeDocument/2006/relationships/hyperlink" Target="https://crm.zoho.com/crm/org685875245/tab/Potentials/3525045000604694655" TargetMode="External"/><Relationship Id="rId35" Type="http://schemas.openxmlformats.org/officeDocument/2006/relationships/hyperlink" Target="https://crm.zoho.com/crm/org685875245/tab/Potentials/3525045000621513309" TargetMode="External"/><Relationship Id="rId56" Type="http://schemas.openxmlformats.org/officeDocument/2006/relationships/hyperlink" Target="https://crm.zoho.com/crm/org685875245/tab/Potentials/3525045000654550017" TargetMode="External"/><Relationship Id="rId77" Type="http://schemas.openxmlformats.org/officeDocument/2006/relationships/hyperlink" Target="https://crm.zoho.com/crm/org685875245/tab/Potentials/3525045000648952329" TargetMode="External"/><Relationship Id="rId100" Type="http://schemas.openxmlformats.org/officeDocument/2006/relationships/hyperlink" Target="https://one.zoho.com/zohoone/geovictoria/home/cxapp/crm/org685875245/tab/Potentials/3525045000627572053" TargetMode="External"/><Relationship Id="rId105" Type="http://schemas.openxmlformats.org/officeDocument/2006/relationships/hyperlink" Target="https://one.zoho.com/zohoone/geovictoria/home/cxapp/crm/org685875245/tab/Potentials/3525045000659812019" TargetMode="External"/><Relationship Id="rId126" Type="http://schemas.openxmlformats.org/officeDocument/2006/relationships/hyperlink" Target="https://one.zoho.com/zohoone/geovictoria/home/cxapp/crm/org685875245/tab/Potentials/3525045000632446183" TargetMode="External"/><Relationship Id="rId147" Type="http://schemas.openxmlformats.org/officeDocument/2006/relationships/hyperlink" Target="https://crm.zoho.com/crm/org685875245/tab/Potentials/3525045000595320112" TargetMode="External"/><Relationship Id="rId168" Type="http://schemas.openxmlformats.org/officeDocument/2006/relationships/hyperlink" Target="https://crm.zoho.com/crm/org685875245/tab/Potentials/3525045000635497385" TargetMode="External"/><Relationship Id="rId8" Type="http://schemas.openxmlformats.org/officeDocument/2006/relationships/hyperlink" Target="https://crm.zoho.com/crm/org685875245/tab/Potentials/3525045000587156042" TargetMode="External"/><Relationship Id="rId51" Type="http://schemas.openxmlformats.org/officeDocument/2006/relationships/hyperlink" Target="https://one.zoho.com/zohoone/geovictoria/home/cxapp/crm/org685875245/tab/Potentials/3525045000600118157" TargetMode="External"/><Relationship Id="rId72" Type="http://schemas.openxmlformats.org/officeDocument/2006/relationships/hyperlink" Target="https://crm.zoho.com/crm/org685875245/tab/Potentials/3525045000631317127" TargetMode="External"/><Relationship Id="rId93" Type="http://schemas.openxmlformats.org/officeDocument/2006/relationships/hyperlink" Target="https://one.zoho.com/zohoone/geovictoria/home/cxapp/crm/org685875245/tab/Potentials/3525045000649952832" TargetMode="External"/><Relationship Id="rId98" Type="http://schemas.openxmlformats.org/officeDocument/2006/relationships/hyperlink" Target="https://one.zoho.com/zohoone/geovictoria/home/cxapp/crm/org685875245/tab/Potentials/3525045000650412062" TargetMode="External"/><Relationship Id="rId121" Type="http://schemas.openxmlformats.org/officeDocument/2006/relationships/hyperlink" Target="https://one.zoho.com/zohoone/geovictoria/home/cxapp/crm/org685875245/tab/Potentials/3525045000630888010" TargetMode="External"/><Relationship Id="rId142" Type="http://schemas.openxmlformats.org/officeDocument/2006/relationships/hyperlink" Target="https://crm.zoho.com/crm/org685875245/tab/Accounts/3525045000354852479?pfrom=gsearch" TargetMode="External"/><Relationship Id="rId163" Type="http://schemas.openxmlformats.org/officeDocument/2006/relationships/hyperlink" Target="https://crm.zoho.com/crm/org685875245/tab/Potentials/3525045000628571143" TargetMode="External"/><Relationship Id="rId184" Type="http://schemas.openxmlformats.org/officeDocument/2006/relationships/hyperlink" Target="https://crm.zoho.com/crm/org685875245/tab/Potentials/3525045000654550017" TargetMode="External"/><Relationship Id="rId189" Type="http://schemas.openxmlformats.org/officeDocument/2006/relationships/hyperlink" Target="https://crm.zoho.com/crm/org685875245/tab/Potentials/3525045000656787008" TargetMode="External"/><Relationship Id="rId3" Type="http://schemas.openxmlformats.org/officeDocument/2006/relationships/hyperlink" Target="https://crm.zoho.com/crm/org685875245/tab/Potentials/3525045000611440001" TargetMode="External"/><Relationship Id="rId214" Type="http://schemas.openxmlformats.org/officeDocument/2006/relationships/vmlDrawing" Target="../drawings/vmlDrawing2.vml"/><Relationship Id="rId25" Type="http://schemas.openxmlformats.org/officeDocument/2006/relationships/hyperlink" Target="https://crm.zoho.com/crm/org685875245/tab/Potentials/3525045000621433070" TargetMode="External"/><Relationship Id="rId46" Type="http://schemas.openxmlformats.org/officeDocument/2006/relationships/hyperlink" Target="https://one.zoho.com/zohoone/geovictoria/home/cxapp/crm/org685875245/tab/Potentials/3525045000629837148" TargetMode="External"/><Relationship Id="rId67" Type="http://schemas.openxmlformats.org/officeDocument/2006/relationships/hyperlink" Target="https://crm.zoho.com/crm/org685875245/tab/Potentials/3525045000647942371" TargetMode="External"/><Relationship Id="rId116" Type="http://schemas.openxmlformats.org/officeDocument/2006/relationships/hyperlink" Target="https://one.zoho.com/zohoone/geovictoria/home/cxapp/crm/org685875245/tab/Potentials/3525045000600073103" TargetMode="External"/><Relationship Id="rId137" Type="http://schemas.openxmlformats.org/officeDocument/2006/relationships/hyperlink" Target="https://one.zoho.com/zohoone/geovictoria/home/cxapp/crm/org685875245/tab/Potentials/3525045000623197367" TargetMode="External"/><Relationship Id="rId158" Type="http://schemas.openxmlformats.org/officeDocument/2006/relationships/hyperlink" Target="https://crm.zoho.com/crm/org685875245/tab/Potentials/3525045000626482031" TargetMode="External"/><Relationship Id="rId20" Type="http://schemas.openxmlformats.org/officeDocument/2006/relationships/hyperlink" Target="https://one.zoho.com/zohoone/geovictoria/home/cxapp/crm/org685875245/tab/Potentials/3525045000550655116" TargetMode="External"/><Relationship Id="rId41" Type="http://schemas.openxmlformats.org/officeDocument/2006/relationships/hyperlink" Target="https://crm.zoho.com/crm/org685875245/tab/Potentials/3525045000600292215" TargetMode="External"/><Relationship Id="rId62" Type="http://schemas.openxmlformats.org/officeDocument/2006/relationships/hyperlink" Target="https://crm.zoho.com/crm/org685875245/tab/Potentials/3525045000654550003" TargetMode="External"/><Relationship Id="rId83" Type="http://schemas.openxmlformats.org/officeDocument/2006/relationships/hyperlink" Target="https://crm.zoho.com/crm/org685875245/tab/Potentials/3525045000656803217" TargetMode="External"/><Relationship Id="rId88" Type="http://schemas.openxmlformats.org/officeDocument/2006/relationships/hyperlink" Target="https://crm.zoho.com/crm/org685875245/tab/Potentials/3525045000573675667" TargetMode="External"/><Relationship Id="rId111" Type="http://schemas.openxmlformats.org/officeDocument/2006/relationships/hyperlink" Target="https://one.zoho.com/zohoone/geovictoria/home/cxapp/crm/org685875245/tab/Potentials/3525045000654308091" TargetMode="External"/><Relationship Id="rId132" Type="http://schemas.openxmlformats.org/officeDocument/2006/relationships/hyperlink" Target="https://crm.zoho.com/crm/org685875245/tab/Potentials/3525045000446188001" TargetMode="External"/><Relationship Id="rId153" Type="http://schemas.openxmlformats.org/officeDocument/2006/relationships/hyperlink" Target="https://crm.zoho.com/crm/org685875245/tab/Potentials/3525045000584501001" TargetMode="External"/><Relationship Id="rId174" Type="http://schemas.openxmlformats.org/officeDocument/2006/relationships/hyperlink" Target="https://crm.zoho.com/crm/org685875245/tab/Potentials/3525045000626778002" TargetMode="External"/><Relationship Id="rId179" Type="http://schemas.openxmlformats.org/officeDocument/2006/relationships/hyperlink" Target="https://crm.zoho.com/crm/org685875245/tab/Potentials/3525045000630888016" TargetMode="External"/><Relationship Id="rId195" Type="http://schemas.openxmlformats.org/officeDocument/2006/relationships/hyperlink" Target="https://crm.zoho.com/crm/org685875245/tab/Potentials/3525045000658487842" TargetMode="External"/><Relationship Id="rId209" Type="http://schemas.openxmlformats.org/officeDocument/2006/relationships/hyperlink" Target="https://crm.zoho.com/crm/org685875245/tab/Potentials/3525045000660670635" TargetMode="External"/><Relationship Id="rId190" Type="http://schemas.openxmlformats.org/officeDocument/2006/relationships/hyperlink" Target="https://crm.zoho.com/crm/org685875245/tab/Potentials/3525045000629854040" TargetMode="External"/><Relationship Id="rId204" Type="http://schemas.openxmlformats.org/officeDocument/2006/relationships/hyperlink" Target="https://crm.zoho.com/crm/org685875245/tab/Potentials/3525045000669682095" TargetMode="External"/><Relationship Id="rId15" Type="http://schemas.openxmlformats.org/officeDocument/2006/relationships/hyperlink" Target="https://one.zoho.com/zohoone/geovictoria/home/cxapp/crm/org685875245/tab/Potentials/3525045000565252283" TargetMode="External"/><Relationship Id="rId36" Type="http://schemas.openxmlformats.org/officeDocument/2006/relationships/hyperlink" Target="https://crm.zoho.com/crm/org685875245/tab/Potentials/3525045000629854040" TargetMode="External"/><Relationship Id="rId57" Type="http://schemas.openxmlformats.org/officeDocument/2006/relationships/hyperlink" Target="https://crm.zoho.com/crm/org685875245/tab/Potentials/3525045000626778002" TargetMode="External"/><Relationship Id="rId106" Type="http://schemas.openxmlformats.org/officeDocument/2006/relationships/hyperlink" Target="https://one.zoho.com/zohoone/geovictoria/home/cxapp/crm/org685875245/tab/Potentials/3525045000600073103" TargetMode="External"/><Relationship Id="rId127" Type="http://schemas.openxmlformats.org/officeDocument/2006/relationships/hyperlink" Target="https://one.zoho.com/zohoone/geovictoria/home/cxapp/crm/org685875245/tab/Potentials/3525045000630888063" TargetMode="External"/><Relationship Id="rId10" Type="http://schemas.openxmlformats.org/officeDocument/2006/relationships/hyperlink" Target="https://crm.zoho.com/crm/org685875245/tab/Potentials/3525045000572000372" TargetMode="External"/><Relationship Id="rId31" Type="http://schemas.openxmlformats.org/officeDocument/2006/relationships/hyperlink" Target="https://crm.zoho.com/crm/org685875245/tab/Potentials/3525045000604694631" TargetMode="External"/><Relationship Id="rId52" Type="http://schemas.openxmlformats.org/officeDocument/2006/relationships/hyperlink" Target="https://crm.zoho.com/crm/org685875245/tab/Potentials/3525045000627459302" TargetMode="External"/><Relationship Id="rId73" Type="http://schemas.openxmlformats.org/officeDocument/2006/relationships/hyperlink" Target="https://crm.zoho.com/crm/org685875245/tab/Potentials/3525045000654478083" TargetMode="External"/><Relationship Id="rId78" Type="http://schemas.openxmlformats.org/officeDocument/2006/relationships/hyperlink" Target="https://crm.zoho.com/crm/org685875245/tab/Potentials/3525045000654478109" TargetMode="External"/><Relationship Id="rId94" Type="http://schemas.openxmlformats.org/officeDocument/2006/relationships/hyperlink" Target="https://one.zoho.com/zohoone/geovictoria/home/cxapp/crm/org685875245/tab/Potentials/3525045000627572262" TargetMode="External"/><Relationship Id="rId99" Type="http://schemas.openxmlformats.org/officeDocument/2006/relationships/hyperlink" Target="https://one.zoho.com/zohoone/geovictoria/home/cxapp/crm/org685875245/tab/Potentials/3525045000627572048" TargetMode="External"/><Relationship Id="rId101" Type="http://schemas.openxmlformats.org/officeDocument/2006/relationships/hyperlink" Target="https://one.zoho.com/zohoone/geovictoria/home/cxapp/crm/org685875245/tab/Potentials/3525045000654308113" TargetMode="External"/><Relationship Id="rId122" Type="http://schemas.openxmlformats.org/officeDocument/2006/relationships/hyperlink" Target="https://one.zoho.com/zohoone/geovictoria/home/cxapp/crm/org685875245/tab/Potentials/3525045000630888010" TargetMode="External"/><Relationship Id="rId143" Type="http://schemas.openxmlformats.org/officeDocument/2006/relationships/hyperlink" Target="https://crm.zoho.com/crm/org685875245/tab/Potentials/3525045000592368068" TargetMode="External"/><Relationship Id="rId148" Type="http://schemas.openxmlformats.org/officeDocument/2006/relationships/hyperlink" Target="https://crm.zoho.com/crm/org685875245/tab/Potentials/3525045000570490063" TargetMode="External"/><Relationship Id="rId164" Type="http://schemas.openxmlformats.org/officeDocument/2006/relationships/hyperlink" Target="https://crm.zoho.com/crm/org685875245/tab/Potentials/3525045000630888021" TargetMode="External"/><Relationship Id="rId169" Type="http://schemas.openxmlformats.org/officeDocument/2006/relationships/hyperlink" Target="https://crm.zoho.com/crm/org685875245/tab/Potentials/3525045000636381034" TargetMode="External"/><Relationship Id="rId185" Type="http://schemas.openxmlformats.org/officeDocument/2006/relationships/hyperlink" Target="https://crm.zoho.com/crm/org685875245/tab/Potentials/3525045000647942371" TargetMode="External"/><Relationship Id="rId4" Type="http://schemas.openxmlformats.org/officeDocument/2006/relationships/hyperlink" Target="https://crm.zoho.com/crm/org685875245/tab/Potentials/3525045000572139579" TargetMode="External"/><Relationship Id="rId9" Type="http://schemas.openxmlformats.org/officeDocument/2006/relationships/hyperlink" Target="https://crm.zoho.com/crm/org685875245/tab/Potentials/3525045000558763013" TargetMode="External"/><Relationship Id="rId180" Type="http://schemas.openxmlformats.org/officeDocument/2006/relationships/hyperlink" Target="https://crm.zoho.com/crm/org685875245/tab/Potentials/3525045000630888036" TargetMode="External"/><Relationship Id="rId210" Type="http://schemas.openxmlformats.org/officeDocument/2006/relationships/hyperlink" Target="https://crm.zoho.com/crm/org685875245/tab/Potentials/3525045000572032116" TargetMode="External"/><Relationship Id="rId215" Type="http://schemas.openxmlformats.org/officeDocument/2006/relationships/comments" Target="../comments2.xml"/><Relationship Id="rId26" Type="http://schemas.openxmlformats.org/officeDocument/2006/relationships/hyperlink" Target="https://crm.zoho.com/crm/org685875245/tab/Potentials/3525045000626778007" TargetMode="External"/><Relationship Id="rId47" Type="http://schemas.openxmlformats.org/officeDocument/2006/relationships/hyperlink" Target="https://one.zoho.com/zohoone/geovictoria/home/cxapp/crm/org685875245/tab/Potentials/3525045000630888005" TargetMode="External"/><Relationship Id="rId68" Type="http://schemas.openxmlformats.org/officeDocument/2006/relationships/hyperlink" Target="https://crm.zoho.com/crm/org685875245/tab/Potentials/3525045000640805394" TargetMode="External"/><Relationship Id="rId89" Type="http://schemas.openxmlformats.org/officeDocument/2006/relationships/hyperlink" Target="https://crm.zoho.com/crm/org685875245/tab/Potentials/3525045000573675642" TargetMode="External"/><Relationship Id="rId112" Type="http://schemas.openxmlformats.org/officeDocument/2006/relationships/hyperlink" Target="https://one.zoho.com/zohoone/geovictoria/home/cxapp/crm/org685875245/tab/Potentials/3525045000654308099" TargetMode="External"/><Relationship Id="rId133" Type="http://schemas.openxmlformats.org/officeDocument/2006/relationships/hyperlink" Target="https://crm.zoho.com/crm/org685875245/tab/Potentials/3525045000593463334" TargetMode="External"/><Relationship Id="rId154" Type="http://schemas.openxmlformats.org/officeDocument/2006/relationships/hyperlink" Target="https://crm.zoho.com/crm/org685875245/tab/Potentials/3525045000620695800" TargetMode="External"/><Relationship Id="rId175" Type="http://schemas.openxmlformats.org/officeDocument/2006/relationships/hyperlink" Target="https://crm.zoho.com/crm/org685875245/tab/Potentials/3525045000627572015" TargetMode="External"/><Relationship Id="rId196" Type="http://schemas.openxmlformats.org/officeDocument/2006/relationships/hyperlink" Target="https://crm.zoho.com/crm/org685875245/tab/Potentials/3525045000649952823" TargetMode="External"/><Relationship Id="rId200" Type="http://schemas.openxmlformats.org/officeDocument/2006/relationships/hyperlink" Target="https://crm.zoho.com/crm/org685875245/tab/Potentials/3525045000630427535" TargetMode="External"/><Relationship Id="rId16" Type="http://schemas.openxmlformats.org/officeDocument/2006/relationships/hyperlink" Target="https://one.zoho.com/zohoone/geovictoria/home/cxapp/crm/org685875245/tab/Potentials/3525045000550655091" TargetMode="External"/><Relationship Id="rId37" Type="http://schemas.openxmlformats.org/officeDocument/2006/relationships/hyperlink" Target="https://crm.zoho.com/crm/org685875245/tab/Potentials/3525045000629854045" TargetMode="External"/><Relationship Id="rId58" Type="http://schemas.openxmlformats.org/officeDocument/2006/relationships/hyperlink" Target="https://crm.zoho.com/crm/org685875245/tab/Potentials/3525045000654561001" TargetMode="External"/><Relationship Id="rId79" Type="http://schemas.openxmlformats.org/officeDocument/2006/relationships/hyperlink" Target="https://crm.zoho.com/crm/org685875245/tab/Potentials/3525045000654478119" TargetMode="External"/><Relationship Id="rId102" Type="http://schemas.openxmlformats.org/officeDocument/2006/relationships/hyperlink" Target="https://one.zoho.com/zohoone/geovictoria/home/cxapp/crm/org685875245/tab/Potentials/3525045000583773080" TargetMode="External"/><Relationship Id="rId123" Type="http://schemas.openxmlformats.org/officeDocument/2006/relationships/hyperlink" Target="https://one.zoho.com/zohoone/geovictoria/home/cxapp/crm/org685875245/tab/Potentials/3525045000648042037" TargetMode="External"/><Relationship Id="rId144" Type="http://schemas.openxmlformats.org/officeDocument/2006/relationships/hyperlink" Target="https://crm.zoho.com/crm/org685875245/tab/Potentials/3525045000583832704" TargetMode="External"/><Relationship Id="rId90" Type="http://schemas.openxmlformats.org/officeDocument/2006/relationships/hyperlink" Target="https://one.zoho.com/zohoone/geovictoria/home/cxapp/crm/org685875245/tab/Potentials/3525045000583773080" TargetMode="External"/><Relationship Id="rId165" Type="http://schemas.openxmlformats.org/officeDocument/2006/relationships/hyperlink" Target="https://crm.zoho.com/crm/org685875245/tab/Potentials/3525045000630427535" TargetMode="External"/><Relationship Id="rId186" Type="http://schemas.openxmlformats.org/officeDocument/2006/relationships/hyperlink" Target="https://crm.zoho.com/crm/org685875245/tab/Potentials/3525045000632551189" TargetMode="External"/><Relationship Id="rId211" Type="http://schemas.openxmlformats.org/officeDocument/2006/relationships/hyperlink" Target="https://crm.zoho.com/crm/org685875245/tab/Potentials/3525045000669682291" TargetMode="External"/><Relationship Id="rId27" Type="http://schemas.openxmlformats.org/officeDocument/2006/relationships/hyperlink" Target="https://crm.zoho.com/crm/org685875245/tab/Potentials/3525045000600738055" TargetMode="External"/><Relationship Id="rId48" Type="http://schemas.openxmlformats.org/officeDocument/2006/relationships/hyperlink" Target="https://one.zoho.com/zohoone/geovictoria/home/cxapp/crm/org685875245/tab/Accounts/3525045000152361120?pfrom=gsearch" TargetMode="External"/><Relationship Id="rId69" Type="http://schemas.openxmlformats.org/officeDocument/2006/relationships/hyperlink" Target="https://crm.zoho.com/crm/org685875245/tab/Potentials/3525045000642992567" TargetMode="External"/><Relationship Id="rId113" Type="http://schemas.openxmlformats.org/officeDocument/2006/relationships/hyperlink" Target="https://one.zoho.com/zohoone/geovictoria/home/cxapp/crm/org685875245/tab/Potentials/3525045000648042053" TargetMode="External"/><Relationship Id="rId134" Type="http://schemas.openxmlformats.org/officeDocument/2006/relationships/hyperlink" Target="https://crm.zoho.com/crm/org685875245/tab/Potentials/3525045000654550024" TargetMode="External"/><Relationship Id="rId80" Type="http://schemas.openxmlformats.org/officeDocument/2006/relationships/hyperlink" Target="https://crm.zoho.com/crm/org685875245/tab/Potentials/3525045000650438136" TargetMode="External"/><Relationship Id="rId155" Type="http://schemas.openxmlformats.org/officeDocument/2006/relationships/hyperlink" Target="https://crm.zoho.com/crm/org685875245/tab/Potentials/3525045000572032346" TargetMode="External"/><Relationship Id="rId176" Type="http://schemas.openxmlformats.org/officeDocument/2006/relationships/hyperlink" Target="https://crm.zoho.com/crm/org685875245/tab/Potentials/3525045000643797068" TargetMode="External"/><Relationship Id="rId197" Type="http://schemas.openxmlformats.org/officeDocument/2006/relationships/hyperlink" Target="https://crm.zoho.com/crm/org685875245/tab/Potentials/3525045000653616122" TargetMode="External"/><Relationship Id="rId201" Type="http://schemas.openxmlformats.org/officeDocument/2006/relationships/hyperlink" Target="https://crm.zoho.com/crm/org685875245/tab/Potentials/3525045000628571148" TargetMode="External"/><Relationship Id="rId17" Type="http://schemas.openxmlformats.org/officeDocument/2006/relationships/hyperlink" Target="https://one.zoho.com/zohoone/geovictoria/home/cxapp/crm/org685875245/tab/Potentials/3525045000572032178" TargetMode="External"/><Relationship Id="rId38" Type="http://schemas.openxmlformats.org/officeDocument/2006/relationships/hyperlink" Target="https://crm.zoho.com/crm/org685875245/tab/Potentials/3525045000630124155" TargetMode="External"/><Relationship Id="rId59" Type="http://schemas.openxmlformats.org/officeDocument/2006/relationships/hyperlink" Target="https://crm.zoho.com/crm/org685875245/tab/Potentials/3525045000654389374" TargetMode="External"/><Relationship Id="rId103" Type="http://schemas.openxmlformats.org/officeDocument/2006/relationships/hyperlink" Target="https://one.zoho.com/zohoone/geovictoria/home/cxapp/crm/org685875245/tab/Potentials/3525045000583773080" TargetMode="External"/><Relationship Id="rId124" Type="http://schemas.openxmlformats.org/officeDocument/2006/relationships/hyperlink" Target="https://one.zoho.com/zohoone/geovictoria/home/cxapp/crm/org685875245/tab/Potentials/3525045000648042030" TargetMode="External"/><Relationship Id="rId70" Type="http://schemas.openxmlformats.org/officeDocument/2006/relationships/hyperlink" Target="https://crm.zoho.com/crm/org685875245/tab/Potentials/3525045000621513363" TargetMode="External"/><Relationship Id="rId91" Type="http://schemas.openxmlformats.org/officeDocument/2006/relationships/hyperlink" Target="https://one.zoho.com/zohoone/geovictoria/home/cxapp/crm/org685875245/tab/Potentials/3525045000600118133" TargetMode="External"/><Relationship Id="rId145" Type="http://schemas.openxmlformats.org/officeDocument/2006/relationships/hyperlink" Target="https://crm.zoho.com/crm/org685875245/tab/Potentials/3525045000628571148" TargetMode="External"/><Relationship Id="rId166" Type="http://schemas.openxmlformats.org/officeDocument/2006/relationships/hyperlink" Target="https://crm.zoho.com/crm/org685875245/tab/Potentials/3525045000630888299" TargetMode="External"/><Relationship Id="rId187" Type="http://schemas.openxmlformats.org/officeDocument/2006/relationships/hyperlink" Target="https://crm.zoho.com/crm/org685875245/tab/Potentials/3525045000626786017" TargetMode="External"/><Relationship Id="rId1" Type="http://schemas.openxmlformats.org/officeDocument/2006/relationships/hyperlink" Target="https://crm.zoho.com/crm/org685875245/tab/Potentials/3525045000611440001" TargetMode="External"/><Relationship Id="rId212" Type="http://schemas.openxmlformats.org/officeDocument/2006/relationships/hyperlink" Target="https://crm.zoho.com/crm/org685875245/tab/Potentials/3525045000654478133" TargetMode="External"/><Relationship Id="rId28" Type="http://schemas.openxmlformats.org/officeDocument/2006/relationships/hyperlink" Target="https://crm.zoho.com/crm/org685875245/tab/Potentials/3525045000616092666" TargetMode="External"/><Relationship Id="rId49" Type="http://schemas.openxmlformats.org/officeDocument/2006/relationships/hyperlink" Target="https://one.zoho.com/zohoone/geovictoria/home/cxapp/crm/org685875245/tab/Potentials/3525045000626305452" TargetMode="External"/><Relationship Id="rId114" Type="http://schemas.openxmlformats.org/officeDocument/2006/relationships/hyperlink" Target="https://one.zoho.com/zohoone/geovictoria/home/cxapp/crm/org685875245/tab/Potentials/3525045000644512040" TargetMode="External"/><Relationship Id="rId60" Type="http://schemas.openxmlformats.org/officeDocument/2006/relationships/hyperlink" Target="https://crm.zoho.com/crm/org685875245/tab/Potentials/3525045000631323439" TargetMode="External"/><Relationship Id="rId81" Type="http://schemas.openxmlformats.org/officeDocument/2006/relationships/hyperlink" Target="https://crm.zoho.com/crm/org685875245/tab/Potentials/3525045000648952329" TargetMode="External"/><Relationship Id="rId135" Type="http://schemas.openxmlformats.org/officeDocument/2006/relationships/hyperlink" Target="https://crm.zoho.com/crm/org685875245/tab/Potentials/3525045000644478092" TargetMode="External"/><Relationship Id="rId156" Type="http://schemas.openxmlformats.org/officeDocument/2006/relationships/hyperlink" Target="https://crm.zoho.com/crm/org685875245/tab/Potentials/3525045000593463334" TargetMode="External"/><Relationship Id="rId177" Type="http://schemas.openxmlformats.org/officeDocument/2006/relationships/hyperlink" Target="https://crm.zoho.com/crm/org685875245/tab/Potentials/3525045000471958359" TargetMode="External"/><Relationship Id="rId198" Type="http://schemas.openxmlformats.org/officeDocument/2006/relationships/hyperlink" Target="https://crm.zoho.com/crm/org685875245/tab/Potentials/3525045000630888026" TargetMode="External"/><Relationship Id="rId202" Type="http://schemas.openxmlformats.org/officeDocument/2006/relationships/hyperlink" Target="https://one.zoho.com/zohoone/geovictoria/home/cxapp/crm/org685875245/tab/Accounts/3525045000118304484?pfrom=gsearch" TargetMode="External"/><Relationship Id="rId18" Type="http://schemas.openxmlformats.org/officeDocument/2006/relationships/hyperlink" Target="https://one.zoho.com/zohoone/geovictoria/home/cxapp/crm/org685875245/tab/Potentials/3525045000550655116" TargetMode="External"/><Relationship Id="rId39" Type="http://schemas.openxmlformats.org/officeDocument/2006/relationships/hyperlink" Target="https://crm.zoho.com/crm/org685875245/tab/Accounts/3525045000300440282?pfrom=gsearch" TargetMode="External"/><Relationship Id="rId50" Type="http://schemas.openxmlformats.org/officeDocument/2006/relationships/hyperlink" Target="https://one.zoho.com/zohoone/geovictoria/home/cxapp/crm/org685875245/tab/Potentials/3525045000600118201" TargetMode="External"/><Relationship Id="rId104" Type="http://schemas.openxmlformats.org/officeDocument/2006/relationships/hyperlink" Target="https://one.zoho.com/zohoone/geovictoria/home/cxapp/crm/org685875245/tab/Potentials/3525045000659235049" TargetMode="External"/><Relationship Id="rId125" Type="http://schemas.openxmlformats.org/officeDocument/2006/relationships/hyperlink" Target="https://one.zoho.com/zohoone/geovictoria/home/cxapp/crm/org685875245/tab/Potentials/3525045000639910076" TargetMode="External"/><Relationship Id="rId146" Type="http://schemas.openxmlformats.org/officeDocument/2006/relationships/hyperlink" Target="https://crm.zoho.com/crm/org685875245/tab/Potentials/3525045000636661622" TargetMode="External"/><Relationship Id="rId167" Type="http://schemas.openxmlformats.org/officeDocument/2006/relationships/hyperlink" Target="https://crm.zoho.com/crm/org685875245/tab/Potentials/3525045000632324107" TargetMode="External"/><Relationship Id="rId188" Type="http://schemas.openxmlformats.org/officeDocument/2006/relationships/hyperlink" Target="https://crm.zoho.com/crm/org685875245/tab/Potentials/3525045000654550045" TargetMode="External"/><Relationship Id="rId71" Type="http://schemas.openxmlformats.org/officeDocument/2006/relationships/hyperlink" Target="https://crm.zoho.com/crm/org685875245/tab/Potentials/3525045000630721337" TargetMode="External"/><Relationship Id="rId92" Type="http://schemas.openxmlformats.org/officeDocument/2006/relationships/hyperlink" Target="https://one.zoho.com/zohoone/geovictoria/home/cxapp/crm/org685875245/tab/Potentials/3525045000623197167" TargetMode="External"/><Relationship Id="rId213" Type="http://schemas.openxmlformats.org/officeDocument/2006/relationships/hyperlink" Target="https://crm.zoho.com/crm/org685875245/tab/Potentials/3525045000666649318" TargetMode="External"/><Relationship Id="rId2" Type="http://schemas.openxmlformats.org/officeDocument/2006/relationships/hyperlink" Target="https://crm.zoho.com/crm/org685875245/tab/Potentials/3525045000583797033" TargetMode="External"/><Relationship Id="rId29" Type="http://schemas.openxmlformats.org/officeDocument/2006/relationships/hyperlink" Target="https://crm.zoho.com/crm/org685875245/tab/Potentials/3525045000621513261" TargetMode="External"/><Relationship Id="rId40" Type="http://schemas.openxmlformats.org/officeDocument/2006/relationships/hyperlink" Target="https://crm.zoho.com/crm/org685875245/tab/Potentials/3525045000587062977" TargetMode="External"/><Relationship Id="rId115" Type="http://schemas.openxmlformats.org/officeDocument/2006/relationships/hyperlink" Target="https://one.zoho.com/zohoone/geovictoria/home/cxapp/crm/org685875245/tab/Potentials/3525045000627572001" TargetMode="External"/><Relationship Id="rId136" Type="http://schemas.openxmlformats.org/officeDocument/2006/relationships/hyperlink" Target="https://one.zoho.com/zohoone/geovictoria/home/cxapp/crm/org685875245/tab/Potentials/3525045000634463014" TargetMode="External"/><Relationship Id="rId157" Type="http://schemas.openxmlformats.org/officeDocument/2006/relationships/hyperlink" Target="https://crm.zoho.com/crm/org685875245/tab/Potentials/3525045000633548490" TargetMode="External"/><Relationship Id="rId178" Type="http://schemas.openxmlformats.org/officeDocument/2006/relationships/hyperlink" Target="https://crm.zoho.com/crm/org685875245/tab/Potentials/3525045000630207042" TargetMode="External"/><Relationship Id="rId61" Type="http://schemas.openxmlformats.org/officeDocument/2006/relationships/hyperlink" Target="https://crm.zoho.com/crm/org685875245/tab/Potentials/3525045000631323444" TargetMode="External"/><Relationship Id="rId82" Type="http://schemas.openxmlformats.org/officeDocument/2006/relationships/hyperlink" Target="https://crm.zoho.com/crm/org685875245/tab/Potentials/3525045000656803217" TargetMode="External"/><Relationship Id="rId199" Type="http://schemas.openxmlformats.org/officeDocument/2006/relationships/hyperlink" Target="https://one.zoho.com/zohoone/geovictoria/home/cxapp/crm/org685875245/tab/Potentials/3525045000632446183" TargetMode="External"/><Relationship Id="rId203" Type="http://schemas.openxmlformats.org/officeDocument/2006/relationships/hyperlink" Target="https://crm.zoho.com/crm/org685875245/tab/Potentials/3525045000654478133" TargetMode="External"/><Relationship Id="rId19" Type="http://schemas.openxmlformats.org/officeDocument/2006/relationships/hyperlink" Target="https://one.zoho.com/zohoone/geovictoria/home/cxapp/crm/org685875245/tab/Potentials/3525045000593453013"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2" Type="http://schemas.openxmlformats.org/officeDocument/2006/relationships/hyperlink" Target="https://crm.zoho.com/crm/org685875245/tab/Accounts/3525045000025412986" TargetMode="External"/><Relationship Id="rId1" Type="http://schemas.openxmlformats.org/officeDocument/2006/relationships/hyperlink" Target="https://crm.zoho.com/crm/org685875245/tab/Accounts/3525045000506213377"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 Id="rId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561"/>
  <sheetViews>
    <sheetView tabSelected="1" workbookViewId="0">
      <pane xSplit="6" ySplit="2" topLeftCell="AW13" activePane="bottomRight" state="frozen"/>
      <selection pane="bottomRight" activeCell="AZ17" sqref="AZ17"/>
      <selection pane="bottomLeft" activeCell="A3" sqref="A3"/>
      <selection pane="topRight"/>
    </sheetView>
  </sheetViews>
  <sheetFormatPr defaultColWidth="9.140625" defaultRowHeight="0" customHeight="1" zeroHeight="1"/>
  <cols>
    <col min="1" max="1" width="11.42578125" style="832" customWidth="1"/>
    <col min="2" max="2" width="16.7109375" style="285" customWidth="1"/>
    <col min="3" max="3" width="14.85546875" style="286" customWidth="1"/>
    <col min="4" max="4" width="8" style="288" customWidth="1"/>
    <col min="5" max="5" width="18.5703125" style="285" customWidth="1"/>
    <col min="6" max="6" width="42" style="289" customWidth="1"/>
    <col min="7" max="7" width="22" style="289" customWidth="1"/>
    <col min="8" max="8" width="14.85546875" style="538" customWidth="1"/>
    <col min="9" max="9" width="13.28515625" style="289" customWidth="1"/>
    <col min="10" max="10" width="11.140625" style="285" bestFit="1" customWidth="1"/>
    <col min="11" max="11" width="7.42578125" style="287" customWidth="1"/>
    <col min="12" max="12" width="12.7109375" style="287" customWidth="1"/>
    <col min="13" max="13" width="11.42578125" style="649" customWidth="1"/>
    <col min="14" max="14" width="35.5703125" style="288" customWidth="1"/>
    <col min="15" max="17" width="11.42578125" style="539" customWidth="1"/>
    <col min="18" max="19" width="11.42578125" style="288" customWidth="1"/>
    <col min="20" max="20" width="17.28515625" style="285" customWidth="1"/>
    <col min="21" max="21" width="14.42578125" style="285" customWidth="1"/>
    <col min="22" max="22" width="15" style="291" customWidth="1"/>
    <col min="23" max="23" width="14.28515625" style="292" customWidth="1"/>
    <col min="24" max="24" width="14.5703125" style="292" customWidth="1"/>
    <col min="25" max="25" width="15" style="293" customWidth="1"/>
    <col min="26" max="26" width="17.42578125" style="294" customWidth="1"/>
    <col min="27" max="27" width="14.5703125" style="295" bestFit="1" customWidth="1"/>
    <col min="28" max="30" width="14.5703125" style="295" customWidth="1"/>
    <col min="31" max="31" width="8.7109375" style="284" customWidth="1"/>
    <col min="32" max="33" width="9.7109375" style="284" customWidth="1"/>
    <col min="34" max="34" width="13.7109375" style="285" customWidth="1"/>
    <col min="35" max="36" width="13.7109375" style="289" customWidth="1"/>
    <col min="37" max="37" width="13.7109375" style="285" customWidth="1"/>
    <col min="38" max="38" width="14.42578125" style="285" customWidth="1"/>
    <col min="39" max="39" width="16" style="287" customWidth="1"/>
    <col min="40" max="40" width="13.140625" style="287" customWidth="1"/>
    <col min="41" max="41" width="11.5703125" style="287" customWidth="1"/>
    <col min="42" max="42" width="16" style="287" customWidth="1"/>
    <col min="43" max="45" width="14.42578125" style="287" customWidth="1"/>
    <col min="46" max="61" width="10.42578125" style="287" customWidth="1"/>
    <col min="62" max="63" width="10.42578125" style="285" customWidth="1"/>
    <col min="64" max="64" width="12.7109375" style="287" customWidth="1"/>
    <col min="65" max="65" width="17.28515625" style="287" customWidth="1"/>
    <col min="66" max="67" width="20.140625" style="287" customWidth="1"/>
    <col min="68" max="68" width="11.42578125" style="287" hidden="1" customWidth="1"/>
    <col min="69" max="88" width="11.42578125" style="287" customWidth="1"/>
    <col min="89" max="89" width="9.140625" style="287" customWidth="1"/>
    <col min="90" max="16384" width="9.140625" style="287"/>
  </cols>
  <sheetData>
    <row r="1" spans="1:94" ht="15" customHeight="1">
      <c r="B1" s="579"/>
      <c r="C1" s="580"/>
      <c r="G1" s="289" t="s">
        <v>0</v>
      </c>
      <c r="H1" s="580"/>
      <c r="K1" s="554"/>
      <c r="L1" s="554"/>
      <c r="N1" s="554"/>
      <c r="O1" s="555"/>
      <c r="P1" s="555"/>
      <c r="Q1" s="555"/>
      <c r="R1" s="554"/>
      <c r="U1" s="290">
        <f>COUNTA(B3:B561)</f>
        <v>488</v>
      </c>
      <c r="V1" s="291">
        <f t="shared" ref="V1:AD1" si="0">SUM(V3:V561)</f>
        <v>147639.60000000003</v>
      </c>
      <c r="W1" s="291">
        <f t="shared" si="0"/>
        <v>152066.18000000008</v>
      </c>
      <c r="X1" s="291">
        <f t="shared" si="0"/>
        <v>161268.6100000001</v>
      </c>
      <c r="Y1" s="291">
        <f t="shared" si="0"/>
        <v>165755.68740000002</v>
      </c>
      <c r="Z1" s="291">
        <f t="shared" si="0"/>
        <v>170217.8697999999</v>
      </c>
      <c r="AA1" s="291">
        <f t="shared" si="0"/>
        <v>190347.44399999996</v>
      </c>
      <c r="AB1" s="291">
        <f t="shared" si="0"/>
        <v>182605.60930000019</v>
      </c>
      <c r="AC1" s="291">
        <f t="shared" si="0"/>
        <v>184136.46480000007</v>
      </c>
      <c r="AD1" s="291">
        <f t="shared" si="0"/>
        <v>175678.97220000002</v>
      </c>
      <c r="AF1" s="296"/>
      <c r="AG1" s="296"/>
      <c r="AI1" s="297"/>
      <c r="AJ1" s="297"/>
      <c r="AK1" s="290"/>
      <c r="AL1" s="290"/>
      <c r="AT1" s="287">
        <f t="shared" ref="AT1:BI1" si="1">COUNTIF(AT$3:AT$555,"*OK*")</f>
        <v>5</v>
      </c>
      <c r="AU1" s="287">
        <f t="shared" si="1"/>
        <v>1</v>
      </c>
      <c r="AV1" s="287">
        <f t="shared" si="1"/>
        <v>28</v>
      </c>
      <c r="AW1" s="287">
        <f t="shared" si="1"/>
        <v>5</v>
      </c>
      <c r="AX1" s="287">
        <f t="shared" si="1"/>
        <v>13</v>
      </c>
      <c r="AY1" s="287">
        <f t="shared" si="1"/>
        <v>7</v>
      </c>
      <c r="AZ1" s="287">
        <f t="shared" si="1"/>
        <v>11</v>
      </c>
      <c r="BA1" s="287">
        <f t="shared" si="1"/>
        <v>2</v>
      </c>
      <c r="BB1" s="287">
        <f t="shared" si="1"/>
        <v>0</v>
      </c>
      <c r="BC1" s="287">
        <f t="shared" si="1"/>
        <v>0</v>
      </c>
      <c r="BD1" s="287">
        <f t="shared" si="1"/>
        <v>5</v>
      </c>
      <c r="BE1" s="287">
        <f t="shared" si="1"/>
        <v>0</v>
      </c>
      <c r="BF1" s="287">
        <f t="shared" si="1"/>
        <v>0</v>
      </c>
      <c r="BG1" s="287">
        <f t="shared" si="1"/>
        <v>0</v>
      </c>
      <c r="BH1" s="287">
        <f t="shared" si="1"/>
        <v>1</v>
      </c>
      <c r="BI1" s="287">
        <f t="shared" si="1"/>
        <v>2</v>
      </c>
    </row>
    <row r="2" spans="1:94" s="326" customFormat="1" ht="27.95" customHeight="1">
      <c r="A2" s="833" t="s">
        <v>1</v>
      </c>
      <c r="B2" s="581" t="s">
        <v>2</v>
      </c>
      <c r="C2" s="582" t="s">
        <v>3</v>
      </c>
      <c r="D2" s="828" t="s">
        <v>4</v>
      </c>
      <c r="E2" s="298" t="s">
        <v>5</v>
      </c>
      <c r="F2" s="300" t="s">
        <v>6</v>
      </c>
      <c r="G2" s="300" t="s">
        <v>7</v>
      </c>
      <c r="H2" s="582" t="s">
        <v>8</v>
      </c>
      <c r="I2" s="300" t="s">
        <v>9</v>
      </c>
      <c r="J2" s="298" t="s">
        <v>10</v>
      </c>
      <c r="K2" s="582" t="s">
        <v>11</v>
      </c>
      <c r="L2" s="582" t="s">
        <v>12</v>
      </c>
      <c r="M2" s="299" t="s">
        <v>13</v>
      </c>
      <c r="N2" s="556" t="s">
        <v>14</v>
      </c>
      <c r="O2" s="557" t="s">
        <v>15</v>
      </c>
      <c r="P2" s="557" t="s">
        <v>16</v>
      </c>
      <c r="Q2" s="557" t="s">
        <v>17</v>
      </c>
      <c r="R2" s="556" t="s">
        <v>18</v>
      </c>
      <c r="S2" s="299" t="s">
        <v>19</v>
      </c>
      <c r="T2" s="298" t="s">
        <v>20</v>
      </c>
      <c r="U2" s="301" t="s">
        <v>21</v>
      </c>
      <c r="V2" s="302" t="s">
        <v>22</v>
      </c>
      <c r="W2" s="302" t="s">
        <v>23</v>
      </c>
      <c r="X2" s="303" t="s">
        <v>24</v>
      </c>
      <c r="Y2" s="304" t="s">
        <v>25</v>
      </c>
      <c r="Z2" s="305" t="s">
        <v>26</v>
      </c>
      <c r="AA2" s="301" t="s">
        <v>27</v>
      </c>
      <c r="AB2" s="301" t="s">
        <v>28</v>
      </c>
      <c r="AC2" s="301" t="s">
        <v>29</v>
      </c>
      <c r="AD2" s="301" t="s">
        <v>30</v>
      </c>
      <c r="AE2" s="306" t="s">
        <v>31</v>
      </c>
      <c r="AF2" s="304" t="s">
        <v>32</v>
      </c>
      <c r="AG2" s="301"/>
      <c r="AH2" s="307" t="s">
        <v>33</v>
      </c>
      <c r="AI2" s="308" t="s">
        <v>34</v>
      </c>
      <c r="AJ2" s="308" t="s">
        <v>35</v>
      </c>
      <c r="AK2" s="309" t="s">
        <v>36</v>
      </c>
      <c r="AL2" s="304" t="s">
        <v>37</v>
      </c>
      <c r="AM2" s="310" t="s">
        <v>38</v>
      </c>
      <c r="AN2" s="310" t="s">
        <v>39</v>
      </c>
      <c r="AO2" s="310" t="s">
        <v>40</v>
      </c>
      <c r="AP2" s="310" t="s">
        <v>41</v>
      </c>
      <c r="AQ2" s="311" t="s">
        <v>42</v>
      </c>
      <c r="AR2" s="311" t="s">
        <v>43</v>
      </c>
      <c r="AS2" s="311" t="s">
        <v>44</v>
      </c>
      <c r="AT2" s="312" t="s">
        <v>45</v>
      </c>
      <c r="AU2" s="312" t="s">
        <v>46</v>
      </c>
      <c r="AV2" s="313" t="s">
        <v>47</v>
      </c>
      <c r="AW2" s="314" t="s">
        <v>48</v>
      </c>
      <c r="AX2" s="315" t="s">
        <v>49</v>
      </c>
      <c r="AY2" s="316" t="s">
        <v>50</v>
      </c>
      <c r="AZ2" s="317" t="s">
        <v>51</v>
      </c>
      <c r="BA2" s="318" t="s">
        <v>52</v>
      </c>
      <c r="BB2" s="319" t="s">
        <v>53</v>
      </c>
      <c r="BC2" s="320" t="s">
        <v>54</v>
      </c>
      <c r="BD2" s="312" t="s">
        <v>55</v>
      </c>
      <c r="BE2" s="312" t="s">
        <v>56</v>
      </c>
      <c r="BF2" s="321" t="s">
        <v>57</v>
      </c>
      <c r="BG2" s="321" t="s">
        <v>58</v>
      </c>
      <c r="BH2" s="321" t="s">
        <v>59</v>
      </c>
      <c r="BI2" s="321" t="s">
        <v>60</v>
      </c>
      <c r="BJ2" s="321" t="s">
        <v>61</v>
      </c>
      <c r="BK2" s="322" t="s">
        <v>62</v>
      </c>
      <c r="BL2" s="311" t="s">
        <v>63</v>
      </c>
      <c r="BM2" s="311" t="s">
        <v>64</v>
      </c>
      <c r="BN2" s="323" t="s">
        <v>65</v>
      </c>
      <c r="BO2" s="323" t="s">
        <v>66</v>
      </c>
      <c r="BP2" s="324" t="s">
        <v>67</v>
      </c>
      <c r="BQ2" s="607" t="s">
        <v>68</v>
      </c>
      <c r="BR2" s="324"/>
      <c r="BS2" s="324"/>
      <c r="BT2" s="324"/>
      <c r="BU2" s="324"/>
      <c r="BV2" s="324"/>
      <c r="BW2" s="324"/>
      <c r="BX2" s="324"/>
      <c r="BY2" s="324"/>
      <c r="BZ2" s="324"/>
      <c r="CA2" s="324"/>
      <c r="CB2" s="324"/>
      <c r="CC2" s="324"/>
      <c r="CD2" s="324"/>
      <c r="CE2" s="324"/>
      <c r="CF2" s="324"/>
      <c r="CG2" s="324"/>
      <c r="CH2" s="324"/>
      <c r="CI2" s="324"/>
      <c r="CJ2" s="324"/>
      <c r="CK2" s="324"/>
      <c r="CL2" s="325" t="s">
        <v>69</v>
      </c>
      <c r="CN2" s="325" t="s">
        <v>70</v>
      </c>
    </row>
    <row r="3" spans="1:94" ht="14.25" customHeight="1">
      <c r="A3" s="834" t="s">
        <v>71</v>
      </c>
      <c r="B3" s="560" t="s">
        <v>72</v>
      </c>
      <c r="C3" s="329">
        <f>AD3</f>
        <v>5979.3046000000004</v>
      </c>
      <c r="D3" s="332">
        <v>1</v>
      </c>
      <c r="E3" s="331" t="s">
        <v>73</v>
      </c>
      <c r="F3" s="429" t="s">
        <v>74</v>
      </c>
      <c r="G3" s="533" t="s">
        <v>75</v>
      </c>
      <c r="H3" s="650">
        <f>IF(LEN(TRIM($G3&amp;""))=0, $C3, SUMIF($G$3:$G$561, TRIM($G3), $C$3:$C$561))</f>
        <v>0</v>
      </c>
      <c r="I3" s="417" t="s">
        <v>76</v>
      </c>
      <c r="J3" s="331"/>
      <c r="K3" s="560"/>
      <c r="L3" s="560" t="str">
        <f>HYPERLINK("https://crm.zoho.com/crm/org685875245/tab/Accounts/3525045000260992026","https://crm.zoho.com/crm/org685875245/tab/Accounts/3525045000260992026")</f>
        <v>https://crm.zoho.com/crm/org685875245/tab/Accounts/3525045000260992026</v>
      </c>
      <c r="M3" s="391" t="s">
        <v>77</v>
      </c>
      <c r="N3" s="560"/>
      <c r="O3" s="561" t="s">
        <v>78</v>
      </c>
      <c r="P3" s="561" t="s">
        <v>79</v>
      </c>
      <c r="Q3" s="561" t="s">
        <v>80</v>
      </c>
      <c r="R3" s="560" t="s">
        <v>81</v>
      </c>
      <c r="S3" s="332"/>
      <c r="T3" s="331"/>
      <c r="U3" s="334" t="s">
        <v>82</v>
      </c>
      <c r="V3" s="335">
        <v>2440.36</v>
      </c>
      <c r="W3" s="335">
        <v>3186.1</v>
      </c>
      <c r="X3" s="335">
        <v>4304.34</v>
      </c>
      <c r="Y3" s="336">
        <v>4411.6400000000003</v>
      </c>
      <c r="Z3" s="337">
        <v>4070.0877999999998</v>
      </c>
      <c r="AA3" s="338">
        <v>5804.78</v>
      </c>
      <c r="AB3" s="338">
        <v>5002.2184999999999</v>
      </c>
      <c r="AC3" s="634">
        <v>5772.7130999999999</v>
      </c>
      <c r="AD3" s="338">
        <v>5979.3046000000004</v>
      </c>
      <c r="AE3" s="339">
        <v>3582</v>
      </c>
      <c r="AF3" s="340">
        <v>1355</v>
      </c>
      <c r="AG3" s="334"/>
      <c r="AH3" s="411" t="s">
        <v>83</v>
      </c>
      <c r="AI3" s="407" t="s">
        <v>83</v>
      </c>
      <c r="AJ3" s="407" t="s">
        <v>84</v>
      </c>
      <c r="AK3" s="408" t="s">
        <v>85</v>
      </c>
      <c r="AL3" s="412" t="s">
        <v>86</v>
      </c>
      <c r="AM3" s="328"/>
      <c r="AN3" s="328"/>
      <c r="AO3" s="328"/>
      <c r="AP3" s="328"/>
      <c r="AQ3" s="328"/>
      <c r="AR3" s="451" t="s">
        <v>87</v>
      </c>
      <c r="AS3" s="344" t="s">
        <v>88</v>
      </c>
      <c r="AT3" s="521"/>
      <c r="AU3" s="521"/>
      <c r="AV3" s="521"/>
      <c r="AW3" s="521"/>
      <c r="AX3" s="521"/>
      <c r="AY3" s="521"/>
      <c r="AZ3" s="521"/>
      <c r="BA3" s="521"/>
      <c r="BB3" s="521"/>
      <c r="BC3" s="521"/>
      <c r="BD3" s="521"/>
      <c r="BE3" s="521"/>
      <c r="BF3" s="521"/>
      <c r="BG3" s="521"/>
      <c r="BH3" s="521"/>
      <c r="BI3" s="521"/>
      <c r="BJ3" s="664">
        <f>COUNTIF(AT3:BI3,"*OP*")</f>
        <v>0</v>
      </c>
      <c r="BK3" s="344" t="s">
        <v>89</v>
      </c>
      <c r="BL3" s="328">
        <f>(COUNTIF(AT3:AV3,"*OK*")*3) + (COUNTIF(AW3:AY3,"*OK*")*2) + COUNTIF(AZ3:BB3,"*OK*")+COUNTIF(BK3:BK3,"SI")*0.5</f>
        <v>0</v>
      </c>
      <c r="BM3" s="328" t="str">
        <f>IF(BL3&lt;0.6,"Demasiado Riesgo",IF(BL3&lt;=5,"Riesgo Medio",IF(BL3&lt;=11,"Riesgo Bajo","Cliente Blindado")))</f>
        <v>Demasiado Riesgo</v>
      </c>
      <c r="BN3" s="328"/>
      <c r="BO3" s="328" t="s">
        <v>90</v>
      </c>
      <c r="BP3" s="328">
        <v>0</v>
      </c>
      <c r="BQ3" s="328" t="s">
        <v>91</v>
      </c>
      <c r="BR3" s="328"/>
      <c r="BS3" s="328"/>
      <c r="BT3" s="328"/>
      <c r="BU3" s="328"/>
      <c r="BV3" s="328"/>
      <c r="BW3" s="328"/>
      <c r="BX3" s="328"/>
      <c r="BY3" s="328"/>
      <c r="BZ3" s="328"/>
      <c r="CA3" s="328"/>
      <c r="CB3" s="328"/>
      <c r="CC3" s="328"/>
      <c r="CD3" s="328"/>
      <c r="CE3" s="328"/>
      <c r="CF3" s="328"/>
      <c r="CG3" s="328"/>
      <c r="CH3" s="328"/>
      <c r="CI3" s="328"/>
      <c r="CJ3" s="328"/>
      <c r="CK3" s="328"/>
      <c r="CL3" s="328">
        <f>COUNTIF(AT3:BH3,"*OK*")</f>
        <v>0</v>
      </c>
      <c r="CM3" s="328"/>
      <c r="CN3" s="328">
        <f>COUNTIF(AT3:BH3,"*OP*")</f>
        <v>0</v>
      </c>
    </row>
    <row r="4" spans="1:94" ht="14.25" customHeight="1">
      <c r="A4" s="834">
        <v>24596</v>
      </c>
      <c r="B4" s="560" t="s">
        <v>92</v>
      </c>
      <c r="C4" s="329">
        <f t="shared" ref="C4:C67" si="2">AD4</f>
        <v>5311.2583000000004</v>
      </c>
      <c r="D4" s="332">
        <f>COUNTIF(AT4:BH4,"*OK*")</f>
        <v>0</v>
      </c>
      <c r="E4" s="331" t="s">
        <v>93</v>
      </c>
      <c r="F4" s="330" t="s">
        <v>94</v>
      </c>
      <c r="G4" s="533" t="s">
        <v>95</v>
      </c>
      <c r="H4" s="650">
        <f>IF(LEN(TRIM($G4&amp;""))=0, $C4, SUMIF($G$3:$G$561, TRIM($G4), $C$3:$C$561))</f>
        <v>5311.2583000000004</v>
      </c>
      <c r="I4" s="417" t="s">
        <v>76</v>
      </c>
      <c r="J4" s="331"/>
      <c r="K4" s="328"/>
      <c r="L4" s="328" t="str">
        <f>HYPERLINK("https://crm.zoho.com/crm/org685875245/tab/Accounts/3525045000297139312","https://crm.zoho.com/crm/org685875245/tab/Accounts/3525045000297139312")</f>
        <v>https://crm.zoho.com/crm/org685875245/tab/Accounts/3525045000297139312</v>
      </c>
      <c r="M4" s="341" t="s">
        <v>96</v>
      </c>
      <c r="N4" s="341"/>
      <c r="O4" s="548" t="s">
        <v>97</v>
      </c>
      <c r="P4" s="548" t="s">
        <v>98</v>
      </c>
      <c r="Q4" s="548" t="s">
        <v>99</v>
      </c>
      <c r="R4" s="341"/>
      <c r="S4" s="341"/>
      <c r="T4" s="331"/>
      <c r="U4" s="344" t="s">
        <v>82</v>
      </c>
      <c r="V4" s="335">
        <v>4855.91</v>
      </c>
      <c r="W4" s="335">
        <v>5513.91</v>
      </c>
      <c r="X4" s="335">
        <v>5601.06</v>
      </c>
      <c r="Y4" s="336">
        <v>5689.01</v>
      </c>
      <c r="Z4" s="337">
        <v>5229.4378999999999</v>
      </c>
      <c r="AA4" s="338">
        <v>5285.23</v>
      </c>
      <c r="AB4" s="338">
        <v>5332.1193000000003</v>
      </c>
      <c r="AC4" s="634">
        <v>5485.3038999999999</v>
      </c>
      <c r="AD4" s="338">
        <v>5311.2583000000004</v>
      </c>
      <c r="AE4" s="339">
        <v>4909</v>
      </c>
      <c r="AF4" s="340">
        <v>120</v>
      </c>
      <c r="AG4" s="334"/>
      <c r="AH4" s="411"/>
      <c r="AI4" s="407" t="s">
        <v>100</v>
      </c>
      <c r="AJ4" s="407" t="s">
        <v>101</v>
      </c>
      <c r="AK4" s="408" t="s">
        <v>102</v>
      </c>
      <c r="AL4" s="412" t="s">
        <v>103</v>
      </c>
      <c r="AM4" s="328"/>
      <c r="AN4" s="328" t="s">
        <v>104</v>
      </c>
      <c r="AO4" s="328" t="s">
        <v>105</v>
      </c>
      <c r="AP4" s="328"/>
      <c r="AQ4" s="328"/>
      <c r="AR4" s="451"/>
      <c r="AS4" s="344" t="s">
        <v>103</v>
      </c>
      <c r="AT4" s="345"/>
      <c r="AU4" s="345"/>
      <c r="AV4" s="345"/>
      <c r="AW4" s="345"/>
      <c r="AX4" s="345"/>
      <c r="AY4" s="345"/>
      <c r="AZ4" s="345"/>
      <c r="BA4" s="345"/>
      <c r="BB4" s="345"/>
      <c r="BC4" s="345"/>
      <c r="BD4" s="345"/>
      <c r="BE4" s="345"/>
      <c r="BF4" s="345"/>
      <c r="BG4" s="345"/>
      <c r="BH4" s="345"/>
      <c r="BI4" s="345"/>
      <c r="BJ4" s="364">
        <f>COUNTIF(AT4:BI4,"*OP*")</f>
        <v>0</v>
      </c>
      <c r="BK4" s="375" t="s">
        <v>103</v>
      </c>
      <c r="BL4" s="328">
        <f>(COUNTIF(AT4:AV4,"*OK*")*3) + (COUNTIF(AW4:AY4,"*OK*")*2) + COUNTIF(AZ4:BB4,"*OK*")+COUNTIF(BK4:BK4,"SI")*0.5</f>
        <v>0</v>
      </c>
      <c r="BM4" s="328" t="str">
        <f>IF(BL4&lt;0.6,"Demasiado Riesgo",IF(BL4&lt;=5,"Riesgo Medio",IF(BL4&lt;=11,"Riesgo Bajo","Cliente Blindado")))</f>
        <v>Demasiado Riesgo</v>
      </c>
      <c r="BN4" s="328"/>
      <c r="BO4" s="349"/>
      <c r="BP4" s="349">
        <v>0</v>
      </c>
      <c r="BQ4" s="349"/>
      <c r="BR4" s="349"/>
      <c r="BS4" s="349"/>
      <c r="BT4" s="349"/>
      <c r="BU4" s="349"/>
      <c r="BV4" s="349"/>
      <c r="BW4" s="349"/>
      <c r="BX4" s="349"/>
      <c r="BY4" s="349"/>
      <c r="BZ4" s="349"/>
      <c r="CA4" s="349"/>
      <c r="CB4" s="349"/>
      <c r="CC4" s="349"/>
      <c r="CD4" s="349"/>
      <c r="CE4" s="349"/>
      <c r="CF4" s="349"/>
      <c r="CG4" s="349"/>
      <c r="CH4" s="349"/>
      <c r="CI4" s="349"/>
      <c r="CJ4" s="349"/>
      <c r="CK4" s="349"/>
      <c r="CL4" s="349">
        <f>COUNTIF(AT4:BH4,"*OK*")</f>
        <v>0</v>
      </c>
      <c r="CM4" s="349"/>
      <c r="CN4" s="349">
        <f>COUNTIF(AT4:BH4,"*OP*")</f>
        <v>0</v>
      </c>
    </row>
    <row r="5" spans="1:94" ht="14.25" customHeight="1">
      <c r="A5" s="835">
        <v>7126</v>
      </c>
      <c r="B5" s="560" t="s">
        <v>106</v>
      </c>
      <c r="C5" s="329">
        <f t="shared" si="2"/>
        <v>4026.7107999999998</v>
      </c>
      <c r="D5" s="352">
        <f>COUNTIF(AT5:BH5,"*OK*")</f>
        <v>0</v>
      </c>
      <c r="E5" s="351" t="s">
        <v>93</v>
      </c>
      <c r="F5" s="350" t="s">
        <v>107</v>
      </c>
      <c r="G5" s="622"/>
      <c r="H5" s="650">
        <f>IF(LEN(TRIM($G5&amp;""))=0, $C5, SUMIF($G$3:$G$561, TRIM($G5), $C$3:$C$561))</f>
        <v>4026.7107999999998</v>
      </c>
      <c r="I5" s="416" t="s">
        <v>76</v>
      </c>
      <c r="J5" s="351"/>
      <c r="K5" s="349"/>
      <c r="L5" s="349" t="str">
        <f>HYPERLINK("https://crm.zoho.com/crm/org685875245/tab/Accounts/3525045000108826075","https://crm.zoho.com/crm/org685875245/tab/Accounts/3525045000108826075")</f>
        <v>https://crm.zoho.com/crm/org685875245/tab/Accounts/3525045000108826075</v>
      </c>
      <c r="M5" s="359" t="s">
        <v>77</v>
      </c>
      <c r="N5" s="359"/>
      <c r="O5" s="545" t="s">
        <v>108</v>
      </c>
      <c r="P5" s="545" t="s">
        <v>109</v>
      </c>
      <c r="Q5" s="545" t="s">
        <v>110</v>
      </c>
      <c r="R5" s="359" t="s">
        <v>111</v>
      </c>
      <c r="S5" s="359"/>
      <c r="T5" s="351"/>
      <c r="U5" s="362" t="s">
        <v>82</v>
      </c>
      <c r="V5" s="355">
        <v>4214.41</v>
      </c>
      <c r="W5" s="355">
        <v>3964.51</v>
      </c>
      <c r="X5" s="355">
        <v>3887.79</v>
      </c>
      <c r="Y5" s="356">
        <v>4227.6400000000003</v>
      </c>
      <c r="Z5" s="337">
        <v>4237.0509000000002</v>
      </c>
      <c r="AA5" s="365">
        <v>4182.7700000000004</v>
      </c>
      <c r="AB5" s="365">
        <v>4869.1067000000003</v>
      </c>
      <c r="AC5" s="635">
        <v>4990.7674999999999</v>
      </c>
      <c r="AD5" s="365">
        <v>4026.7107999999998</v>
      </c>
      <c r="AE5" s="357">
        <v>1065</v>
      </c>
      <c r="AF5" s="358">
        <v>600</v>
      </c>
      <c r="AG5" s="354"/>
      <c r="AH5" s="414"/>
      <c r="AI5" s="401" t="s">
        <v>112</v>
      </c>
      <c r="AJ5" s="401" t="s">
        <v>113</v>
      </c>
      <c r="AK5" s="402" t="s">
        <v>114</v>
      </c>
      <c r="AL5" s="415" t="s">
        <v>103</v>
      </c>
      <c r="AM5" s="349"/>
      <c r="AN5" s="349" t="s">
        <v>104</v>
      </c>
      <c r="AO5" s="349" t="s">
        <v>105</v>
      </c>
      <c r="AP5" s="349"/>
      <c r="AQ5" s="349"/>
      <c r="AR5" s="453" t="s">
        <v>115</v>
      </c>
      <c r="AS5" s="362" t="s">
        <v>103</v>
      </c>
      <c r="AT5" s="345"/>
      <c r="AU5" s="345"/>
      <c r="AV5" s="345"/>
      <c r="AW5" s="345"/>
      <c r="AX5" s="594"/>
      <c r="AY5" s="345"/>
      <c r="AZ5" s="345"/>
      <c r="BA5" s="345"/>
      <c r="BB5" s="345"/>
      <c r="BC5" s="345"/>
      <c r="BD5" s="345"/>
      <c r="BE5" s="345"/>
      <c r="BF5" s="345"/>
      <c r="BG5" s="345"/>
      <c r="BH5" s="345"/>
      <c r="BI5" s="345"/>
      <c r="BJ5" s="346">
        <f>COUNTIF(AT5:BI5,"*OP*")</f>
        <v>0</v>
      </c>
      <c r="BK5" s="362" t="s">
        <v>103</v>
      </c>
      <c r="BL5" s="349">
        <f>(COUNTIF(AT5:AV5,"*OK*")*3) + (COUNTIF(AW5:AY5,"*OK*")*2) + COUNTIF(AZ5:BB5,"*OK*")+COUNTIF(BK5:BK5,"SI")*0.5</f>
        <v>0</v>
      </c>
      <c r="BM5" s="349" t="str">
        <f>IF(BL5&lt;0.6,"Demasiado Riesgo",IF(BL5&lt;=5,"Riesgo Medio",IF(BL5&lt;=11,"Riesgo Bajo","Cliente Blindado")))</f>
        <v>Demasiado Riesgo</v>
      </c>
      <c r="BN5" s="349"/>
      <c r="BO5" s="349"/>
      <c r="BP5" s="349">
        <v>0</v>
      </c>
      <c r="BQ5" s="349"/>
      <c r="BR5" s="349"/>
      <c r="BS5" s="349"/>
      <c r="BT5" s="349"/>
      <c r="BU5" s="349"/>
      <c r="BV5" s="349"/>
      <c r="BW5" s="349"/>
      <c r="BX5" s="349"/>
      <c r="BY5" s="349"/>
      <c r="BZ5" s="349"/>
      <c r="CA5" s="349"/>
      <c r="CB5" s="349"/>
      <c r="CC5" s="349"/>
      <c r="CD5" s="349"/>
      <c r="CE5" s="349"/>
      <c r="CF5" s="349"/>
      <c r="CG5" s="349"/>
      <c r="CH5" s="349"/>
      <c r="CI5" s="349"/>
      <c r="CJ5" s="349"/>
      <c r="CK5" s="349"/>
      <c r="CL5" s="349">
        <f>COUNTIF(AT5:BH5,"*OK*")</f>
        <v>0</v>
      </c>
      <c r="CM5" s="349"/>
      <c r="CN5" s="349">
        <f>COUNTIF(AT5:BH5,"*OP*")</f>
        <v>0</v>
      </c>
    </row>
    <row r="6" spans="1:94" ht="14.25" customHeight="1">
      <c r="A6" s="835">
        <v>38530</v>
      </c>
      <c r="B6" s="560" t="s">
        <v>116</v>
      </c>
      <c r="C6" s="329">
        <f t="shared" si="2"/>
        <v>4522.0700999999999</v>
      </c>
      <c r="D6" s="352">
        <f>COUNTIF(AX6:BI6,"OK")</f>
        <v>0</v>
      </c>
      <c r="E6" s="331" t="s">
        <v>73</v>
      </c>
      <c r="F6" s="350" t="s">
        <v>117</v>
      </c>
      <c r="G6" s="623"/>
      <c r="H6" s="650">
        <f>IF(LEN(TRIM($G6&amp;""))=0, $C6, SUMIF($G$3:$G$561, TRIM($G6), $C$3:$C$561))</f>
        <v>4522.0700999999999</v>
      </c>
      <c r="I6" s="500" t="s">
        <v>76</v>
      </c>
      <c r="J6" s="349"/>
      <c r="K6" s="349"/>
      <c r="L6" s="349" t="str">
        <f>HYPERLINK("https://crm.zoho.com/crm/org685875245/tab/Accounts/3525045000545668197","https://crm.zoho.com/crm/org685875245/tab/Accounts/3525045000545668197")</f>
        <v>https://crm.zoho.com/crm/org685875245/tab/Accounts/3525045000545668197</v>
      </c>
      <c r="M6" s="553"/>
      <c r="N6" s="352"/>
      <c r="O6" s="540"/>
      <c r="P6" s="540"/>
      <c r="Q6" s="540"/>
      <c r="R6" s="352"/>
      <c r="S6" s="352"/>
      <c r="T6" s="349" t="s">
        <v>88</v>
      </c>
      <c r="U6" s="362"/>
      <c r="V6" s="387"/>
      <c r="W6" s="381"/>
      <c r="X6" s="381"/>
      <c r="Y6" s="863"/>
      <c r="Z6" s="629"/>
      <c r="AA6" s="864">
        <v>4030.2629000000002</v>
      </c>
      <c r="AB6" s="864">
        <v>3626.8409999999999</v>
      </c>
      <c r="AC6" s="862">
        <v>4797.4035000000003</v>
      </c>
      <c r="AD6" s="864">
        <v>4522.0700999999999</v>
      </c>
      <c r="AE6" s="348"/>
      <c r="AF6" s="371" t="s">
        <v>103</v>
      </c>
      <c r="AG6" s="362"/>
      <c r="AH6" s="631"/>
      <c r="AI6" s="401"/>
      <c r="AJ6" s="401"/>
      <c r="AK6" s="402"/>
      <c r="AL6" s="632" t="s">
        <v>103</v>
      </c>
      <c r="AM6" s="349"/>
      <c r="AN6" s="349"/>
      <c r="AO6" s="349"/>
      <c r="AP6" s="349"/>
      <c r="AQ6" s="349"/>
      <c r="AR6" s="453"/>
      <c r="AS6" s="453"/>
      <c r="AT6" s="445"/>
      <c r="AU6" s="445"/>
      <c r="AV6" s="445"/>
      <c r="AW6" s="445"/>
      <c r="AX6" s="445"/>
      <c r="AY6" s="445"/>
      <c r="AZ6" s="738"/>
      <c r="BA6" s="445"/>
      <c r="BB6" s="445"/>
      <c r="BC6" s="445"/>
      <c r="BD6" s="445"/>
      <c r="BE6" s="445"/>
      <c r="BF6" s="445"/>
      <c r="BG6" s="445"/>
      <c r="BH6" s="445"/>
      <c r="BI6" s="445"/>
      <c r="BJ6" s="446">
        <f>COUNTIF(AT6:BI6,"*OP*")</f>
        <v>0</v>
      </c>
      <c r="BK6" s="450"/>
      <c r="BL6" s="349">
        <f>(COUNTIF(AT6:AV6,"*OK*")*3) + (COUNTIF(AW6:AY6,"*OK*")*2) + COUNTIF(AZ6:BB6,"*OK*")+COUNTIF(BK6:BK6,"SI")*0.5</f>
        <v>0</v>
      </c>
      <c r="BM6" s="349" t="str">
        <f>IF(BL6&lt;0.6,"Demasiado Riesgo",IF(BL6&lt;=5,"Riesgo Medio",IF(BL6&lt;=11,"Riesgo Bajo","Cliente Blindado")))</f>
        <v>Demasiado Riesgo</v>
      </c>
      <c r="BN6" s="349"/>
      <c r="BO6" s="328"/>
      <c r="BP6" s="328"/>
      <c r="BQ6" s="328"/>
      <c r="BR6" s="328"/>
      <c r="BS6" s="328"/>
      <c r="BT6" s="328"/>
      <c r="BU6" s="328"/>
      <c r="BV6" s="328"/>
      <c r="BW6" s="328"/>
      <c r="BX6" s="328"/>
      <c r="BY6" s="328"/>
      <c r="BZ6" s="328"/>
      <c r="CA6" s="328"/>
      <c r="CB6" s="328"/>
      <c r="CC6" s="328"/>
      <c r="CD6" s="328"/>
      <c r="CE6" s="328"/>
      <c r="CF6" s="328"/>
      <c r="CG6" s="328"/>
      <c r="CH6" s="328"/>
      <c r="CI6" s="328"/>
      <c r="CJ6" s="328"/>
      <c r="CK6" s="328"/>
      <c r="CL6" s="328">
        <f>COUNTIF(AT6:BH6,"*OK*")</f>
        <v>0</v>
      </c>
    </row>
    <row r="7" spans="1:94" ht="14.25" customHeight="1">
      <c r="A7" s="834"/>
      <c r="B7" s="560" t="s">
        <v>118</v>
      </c>
      <c r="C7" s="329">
        <f t="shared" si="2"/>
        <v>4041.9425999999999</v>
      </c>
      <c r="D7" s="332">
        <f>COUNTIF(AT7:BH7,"*OK*")</f>
        <v>0</v>
      </c>
      <c r="E7" s="423" t="s">
        <v>93</v>
      </c>
      <c r="F7" s="330" t="s">
        <v>119</v>
      </c>
      <c r="G7" s="621"/>
      <c r="H7" s="650">
        <f>IF(LEN(TRIM($G7&amp;""))=0, $C7, SUMIF($G$3:$G$561, TRIM($G7), $C$3:$C$561))</f>
        <v>4041.9425999999999</v>
      </c>
      <c r="I7" s="417" t="s">
        <v>76</v>
      </c>
      <c r="J7" s="331" t="s">
        <v>119</v>
      </c>
      <c r="K7" s="328"/>
      <c r="L7" s="328"/>
      <c r="M7" s="391"/>
      <c r="N7" s="332"/>
      <c r="O7" s="541"/>
      <c r="P7" s="651"/>
      <c r="Q7" s="651"/>
      <c r="R7" s="332"/>
      <c r="S7" s="332"/>
      <c r="T7" s="423"/>
      <c r="U7" s="344" t="s">
        <v>82</v>
      </c>
      <c r="V7" s="335">
        <v>2852.64</v>
      </c>
      <c r="W7" s="335">
        <v>2862.77</v>
      </c>
      <c r="X7" s="335">
        <v>2889.44</v>
      </c>
      <c r="Y7" s="336">
        <v>3071.38</v>
      </c>
      <c r="Z7" s="337">
        <v>3295.2622000000001</v>
      </c>
      <c r="AA7" s="338">
        <v>3510.54</v>
      </c>
      <c r="AB7" s="338"/>
      <c r="AC7" s="634">
        <v>3977.2561000000001</v>
      </c>
      <c r="AD7" s="338">
        <v>4041.9425999999999</v>
      </c>
      <c r="AE7" s="339"/>
      <c r="AF7" s="340">
        <v>200</v>
      </c>
      <c r="AG7" s="334"/>
      <c r="AH7" s="411"/>
      <c r="AI7" s="407" t="s">
        <v>83</v>
      </c>
      <c r="AJ7" s="407" t="s">
        <v>120</v>
      </c>
      <c r="AK7" s="408" t="s">
        <v>121</v>
      </c>
      <c r="AL7" s="412" t="s">
        <v>103</v>
      </c>
      <c r="AM7" s="328"/>
      <c r="AN7" s="328"/>
      <c r="AO7" s="328"/>
      <c r="AP7" s="328"/>
      <c r="AQ7" s="328"/>
      <c r="AR7" s="451"/>
      <c r="AS7" s="344" t="s">
        <v>103</v>
      </c>
      <c r="AT7" s="345"/>
      <c r="AU7" s="345"/>
      <c r="AV7" s="345"/>
      <c r="AW7" s="345"/>
      <c r="AX7" s="594"/>
      <c r="AY7" s="345"/>
      <c r="AZ7" s="345"/>
      <c r="BA7" s="345"/>
      <c r="BB7" s="345"/>
      <c r="BC7" s="345"/>
      <c r="BD7" s="345"/>
      <c r="BE7" s="345"/>
      <c r="BF7" s="345"/>
      <c r="BG7" s="345"/>
      <c r="BH7" s="345"/>
      <c r="BI7" s="345"/>
      <c r="BJ7" s="346">
        <f>COUNTIF(AT7:BI7,"*OP*")</f>
        <v>0</v>
      </c>
      <c r="BK7" s="344" t="s">
        <v>103</v>
      </c>
      <c r="BL7" s="328">
        <f>(COUNTIF(AT7:AV7,"*OK*")*3) + (COUNTIF(AW7:AY7,"*OK*")*2) + COUNTIF(AZ7:BB7,"*OK*")+COUNTIF(BK7:BK7,"SI")*0.5</f>
        <v>0</v>
      </c>
      <c r="BM7" s="328" t="str">
        <f>IF(BL7&lt;0.6,"Demasiado Riesgo",IF(BL7&lt;=5,"Riesgo Medio",IF(BL7&lt;=11,"Riesgo Bajo","Cliente Blindado")))</f>
        <v>Demasiado Riesgo</v>
      </c>
      <c r="BN7" s="328"/>
      <c r="BO7" s="328"/>
      <c r="BP7" s="328">
        <v>0</v>
      </c>
      <c r="BQ7" s="328"/>
      <c r="BR7" s="328"/>
      <c r="BS7" s="328"/>
      <c r="BT7" s="328"/>
      <c r="BU7" s="328"/>
      <c r="BV7" s="328"/>
      <c r="BW7" s="328"/>
      <c r="BX7" s="328"/>
      <c r="BY7" s="328"/>
      <c r="BZ7" s="328"/>
      <c r="CA7" s="328"/>
      <c r="CB7" s="328"/>
      <c r="CC7" s="328"/>
      <c r="CD7" s="328"/>
      <c r="CE7" s="328"/>
      <c r="CF7" s="328"/>
      <c r="CG7" s="328"/>
      <c r="CH7" s="328"/>
      <c r="CI7" s="328"/>
      <c r="CJ7" s="328"/>
      <c r="CK7" s="328"/>
      <c r="CL7" s="328">
        <f>COUNTIF(AT7:BH7,"*OK*")</f>
        <v>0</v>
      </c>
      <c r="CM7" s="328"/>
      <c r="CN7" s="328">
        <f>COUNTIF(AT7:BH7,"*OP*")</f>
        <v>0</v>
      </c>
    </row>
    <row r="8" spans="1:94" ht="14.25" customHeight="1">
      <c r="A8" s="834">
        <v>21115</v>
      </c>
      <c r="B8" s="560" t="s">
        <v>122</v>
      </c>
      <c r="C8" s="329">
        <f t="shared" si="2"/>
        <v>3750.85</v>
      </c>
      <c r="D8" s="332">
        <f>COUNTIF(AT8:BH8,"*OK*")</f>
        <v>1</v>
      </c>
      <c r="E8" s="331" t="s">
        <v>93</v>
      </c>
      <c r="F8" s="330" t="s">
        <v>123</v>
      </c>
      <c r="G8" s="533" t="s">
        <v>124</v>
      </c>
      <c r="H8" s="650">
        <f>IF(LEN(TRIM($G8&amp;""))=0, $C8, SUMIF($G$3:$G$561, TRIM($G8), $C$3:$C$561))</f>
        <v>6088.85</v>
      </c>
      <c r="I8" s="417" t="s">
        <v>76</v>
      </c>
      <c r="J8" s="331"/>
      <c r="K8" s="328" t="s">
        <v>125</v>
      </c>
      <c r="L8" s="328" t="str">
        <f>HYPERLINK("https://crm.zoho.com/crm/org685875245/tab/Accounts/3525045000374250631","https://crm.zoho.com/crm/org685875245/tab/Accounts/3525045000374250631")</f>
        <v>https://crm.zoho.com/crm/org685875245/tab/Accounts/3525045000374250631</v>
      </c>
      <c r="M8" s="341" t="s">
        <v>96</v>
      </c>
      <c r="N8" s="341"/>
      <c r="O8" s="548" t="s">
        <v>126</v>
      </c>
      <c r="P8" s="548" t="s">
        <v>127</v>
      </c>
      <c r="Q8" s="548" t="s">
        <v>128</v>
      </c>
      <c r="R8" s="341"/>
      <c r="S8" s="341"/>
      <c r="T8" s="331"/>
      <c r="U8" s="344" t="s">
        <v>82</v>
      </c>
      <c r="V8" s="335">
        <v>2906</v>
      </c>
      <c r="W8" s="335">
        <v>2906</v>
      </c>
      <c r="X8" s="335">
        <v>3706</v>
      </c>
      <c r="Y8" s="336">
        <v>2906</v>
      </c>
      <c r="Z8" s="337">
        <v>2906</v>
      </c>
      <c r="AA8" s="338">
        <v>3750.85</v>
      </c>
      <c r="AB8" s="338">
        <v>3750.85</v>
      </c>
      <c r="AC8" s="634">
        <v>3750.85</v>
      </c>
      <c r="AD8" s="338">
        <v>3750.85</v>
      </c>
      <c r="AE8" s="339">
        <v>3242</v>
      </c>
      <c r="AF8" s="340">
        <v>2000</v>
      </c>
      <c r="AG8" s="334"/>
      <c r="AH8" s="411"/>
      <c r="AI8" s="407" t="s">
        <v>129</v>
      </c>
      <c r="AJ8" s="407" t="s">
        <v>130</v>
      </c>
      <c r="AK8" s="408" t="s">
        <v>131</v>
      </c>
      <c r="AL8" s="412" t="s">
        <v>103</v>
      </c>
      <c r="AM8" s="328"/>
      <c r="AN8" s="328" t="s">
        <v>104</v>
      </c>
      <c r="AO8" s="328" t="s">
        <v>132</v>
      </c>
      <c r="AP8" s="328"/>
      <c r="AQ8" s="328"/>
      <c r="AR8" s="451"/>
      <c r="AS8" s="375" t="s">
        <v>103</v>
      </c>
      <c r="AT8" s="345"/>
      <c r="AU8" s="345"/>
      <c r="AV8" s="345"/>
      <c r="AW8" s="345"/>
      <c r="AX8" s="345"/>
      <c r="AY8" s="345" t="s">
        <v>133</v>
      </c>
      <c r="AZ8" s="345"/>
      <c r="BA8" s="345"/>
      <c r="BB8" s="345"/>
      <c r="BC8" s="345"/>
      <c r="BD8" s="345"/>
      <c r="BE8" s="345"/>
      <c r="BF8" s="345"/>
      <c r="BG8" s="345"/>
      <c r="BH8" s="345"/>
      <c r="BI8" s="345"/>
      <c r="BJ8" s="364">
        <f>COUNTIF(AT8:BI8,"*OP*")</f>
        <v>0</v>
      </c>
      <c r="BK8" s="375" t="s">
        <v>103</v>
      </c>
      <c r="BL8" s="328">
        <f>(COUNTIF(AT8:AV8,"*OK*")*3) + (COUNTIF(AW8:AY8,"*OK*")*2) + COUNTIF(AZ8:BB8,"*OK*")+COUNTIF(BK8:BK8,"SI")*0.5</f>
        <v>2</v>
      </c>
      <c r="BM8" s="328" t="str">
        <f>IF(BL8&lt;0.6,"Demasiado Riesgo",IF(BL8&lt;=5,"Riesgo Medio",IF(BL8&lt;=11,"Riesgo Bajo","Cliente Blindado")))</f>
        <v>Riesgo Medio</v>
      </c>
      <c r="BN8" s="328" t="s">
        <v>134</v>
      </c>
      <c r="BO8" s="349"/>
      <c r="BP8" s="349">
        <v>0</v>
      </c>
      <c r="BQ8" s="349"/>
      <c r="BR8" s="349"/>
      <c r="BS8" s="349"/>
      <c r="BT8" s="349"/>
      <c r="BU8" s="349"/>
      <c r="BV8" s="349"/>
      <c r="BW8" s="349"/>
      <c r="BX8" s="349"/>
      <c r="BY8" s="349"/>
      <c r="BZ8" s="349"/>
      <c r="CA8" s="349"/>
      <c r="CB8" s="349"/>
      <c r="CC8" s="349"/>
      <c r="CD8" s="349"/>
      <c r="CE8" s="349"/>
      <c r="CF8" s="349"/>
      <c r="CG8" s="349"/>
      <c r="CH8" s="349"/>
      <c r="CI8" s="349"/>
      <c r="CJ8" s="349"/>
      <c r="CK8" s="349"/>
      <c r="CL8" s="349">
        <f>COUNTIF(AT8:BH8,"*OK*")</f>
        <v>1</v>
      </c>
      <c r="CM8" s="349"/>
      <c r="CN8" s="349">
        <f>COUNTIF(AT8:BH8,"*OP*")</f>
        <v>0</v>
      </c>
    </row>
    <row r="9" spans="1:94" ht="14.25" customHeight="1">
      <c r="A9" s="835">
        <v>30644</v>
      </c>
      <c r="B9" s="560" t="s">
        <v>135</v>
      </c>
      <c r="C9" s="329">
        <f t="shared" si="2"/>
        <v>3430.4636</v>
      </c>
      <c r="D9" s="352">
        <f>COUNTIF(AT9:BH9,"*OK*")</f>
        <v>0</v>
      </c>
      <c r="E9" s="351" t="s">
        <v>93</v>
      </c>
      <c r="F9" s="350" t="s">
        <v>136</v>
      </c>
      <c r="G9" s="622" t="s">
        <v>137</v>
      </c>
      <c r="H9" s="650">
        <f>IF(LEN(TRIM($G9&amp;""))=0, $C9, SUMIF($G$3:$G$561, TRIM($G9), $C$3:$C$561))</f>
        <v>4176.8212999999996</v>
      </c>
      <c r="I9" s="416" t="s">
        <v>76</v>
      </c>
      <c r="J9" s="351"/>
      <c r="K9" s="349"/>
      <c r="L9" s="349" t="str">
        <f>HYPERLINK("https://crm.zoho.com/crm/org685875245/tab/Accounts/3525045000446689264","https://crm.zoho.com/crm/org685875245/tab/Accounts/3525045000446689264")</f>
        <v>https://crm.zoho.com/crm/org685875245/tab/Accounts/3525045000446689264</v>
      </c>
      <c r="M9" s="359" t="s">
        <v>77</v>
      </c>
      <c r="N9" s="359"/>
      <c r="O9" s="545" t="s">
        <v>138</v>
      </c>
      <c r="P9" s="545" t="s">
        <v>139</v>
      </c>
      <c r="Q9" s="545" t="s">
        <v>140</v>
      </c>
      <c r="R9" s="359" t="s">
        <v>141</v>
      </c>
      <c r="S9" s="359"/>
      <c r="T9" s="351"/>
      <c r="U9" s="362" t="s">
        <v>142</v>
      </c>
      <c r="V9" s="355">
        <v>2436.17</v>
      </c>
      <c r="W9" s="355">
        <v>2750.35</v>
      </c>
      <c r="X9" s="355">
        <v>3261.23</v>
      </c>
      <c r="Y9" s="356">
        <v>3380.57</v>
      </c>
      <c r="Z9" s="337">
        <v>3430.9087</v>
      </c>
      <c r="AA9" s="367">
        <v>3436.49</v>
      </c>
      <c r="AB9" s="367">
        <v>3516.2948000000001</v>
      </c>
      <c r="AC9" s="636">
        <v>3652.4096</v>
      </c>
      <c r="AD9" s="367">
        <v>3430.4636</v>
      </c>
      <c r="AE9" s="357">
        <v>1624</v>
      </c>
      <c r="AF9" s="358">
        <v>1300</v>
      </c>
      <c r="AG9" s="354"/>
      <c r="AH9" s="359"/>
      <c r="AI9" s="361" t="s">
        <v>83</v>
      </c>
      <c r="AJ9" s="361" t="s">
        <v>143</v>
      </c>
      <c r="AK9" s="362" t="s">
        <v>144</v>
      </c>
      <c r="AL9" s="358" t="s">
        <v>103</v>
      </c>
      <c r="AM9" s="349"/>
      <c r="AN9" s="349" t="s">
        <v>104</v>
      </c>
      <c r="AO9" s="349"/>
      <c r="AP9" s="349"/>
      <c r="AQ9" s="349"/>
      <c r="AR9" s="453"/>
      <c r="AS9" s="363" t="s">
        <v>88</v>
      </c>
      <c r="AT9" s="345"/>
      <c r="AU9" s="345"/>
      <c r="AV9" s="345"/>
      <c r="AW9" s="345"/>
      <c r="AX9" s="345"/>
      <c r="AY9" s="345"/>
      <c r="AZ9" s="345"/>
      <c r="BA9" s="345"/>
      <c r="BB9" s="345"/>
      <c r="BC9" s="345"/>
      <c r="BD9" s="345"/>
      <c r="BE9" s="345"/>
      <c r="BF9" s="345"/>
      <c r="BG9" s="345"/>
      <c r="BH9" s="345"/>
      <c r="BI9" s="345"/>
      <c r="BJ9" s="364">
        <f>COUNTIF(AT9:BI9,"*OP*")</f>
        <v>0</v>
      </c>
      <c r="BK9" s="363" t="s">
        <v>89</v>
      </c>
      <c r="BL9" s="349">
        <f>(COUNTIF(AT9:AV9,"*OK*")*3) + (COUNTIF(AW9:AY9,"*OK*")*2) + COUNTIF(AZ9:BB9,"*OK*")+COUNTIF(BK9:BK9,"SI")*0.5</f>
        <v>0</v>
      </c>
      <c r="BM9" s="349" t="str">
        <f>IF(BL9&lt;0.6,"Demasiado Riesgo",IF(BL9&lt;=5,"Riesgo Medio",IF(BL9&lt;=11,"Riesgo Bajo","Cliente Blindado")))</f>
        <v>Demasiado Riesgo</v>
      </c>
      <c r="BN9" s="349"/>
      <c r="BO9" s="349"/>
      <c r="BP9" s="349">
        <v>0</v>
      </c>
      <c r="BQ9" s="349"/>
      <c r="BR9" s="349"/>
      <c r="BS9" s="349"/>
      <c r="BT9" s="349"/>
      <c r="BU9" s="349"/>
      <c r="BV9" s="349"/>
      <c r="BW9" s="349"/>
      <c r="BX9" s="349"/>
      <c r="BY9" s="349"/>
      <c r="BZ9" s="349"/>
      <c r="CA9" s="349"/>
      <c r="CB9" s="349"/>
      <c r="CC9" s="349"/>
      <c r="CD9" s="349"/>
      <c r="CE9" s="349"/>
      <c r="CF9" s="349"/>
      <c r="CG9" s="349"/>
      <c r="CH9" s="349"/>
      <c r="CI9" s="349"/>
      <c r="CJ9" s="349"/>
      <c r="CK9" s="349"/>
      <c r="CL9" s="349">
        <f>COUNTIF(AT9:BH9,"*OK*")</f>
        <v>0</v>
      </c>
      <c r="CM9" s="349"/>
      <c r="CN9" s="349">
        <f>COUNTIF(AT9:BH9,"*OP*")</f>
        <v>0</v>
      </c>
    </row>
    <row r="10" spans="1:94" ht="14.25" customHeight="1">
      <c r="A10" s="834">
        <v>21746</v>
      </c>
      <c r="B10" s="560" t="s">
        <v>145</v>
      </c>
      <c r="C10" s="329">
        <f t="shared" si="2"/>
        <v>2469.2637999999997</v>
      </c>
      <c r="D10" s="332">
        <f>COUNTIF(AT10:BH10,"*OK*")</f>
        <v>0</v>
      </c>
      <c r="E10" s="331" t="s">
        <v>93</v>
      </c>
      <c r="F10" s="464" t="s">
        <v>146</v>
      </c>
      <c r="G10" s="533"/>
      <c r="H10" s="650">
        <f>IF(LEN(TRIM($G10&amp;""))=0, $C10, SUMIF($G$3:$G$561, TRIM($G10), $C$3:$C$561))</f>
        <v>2469.2637999999997</v>
      </c>
      <c r="I10" s="417" t="s">
        <v>76</v>
      </c>
      <c r="J10" s="331"/>
      <c r="K10" s="328"/>
      <c r="L10" s="328" t="str">
        <f>HYPERLINK("https://crm.zoho.com/crm/org685875245/tab/Accounts/3525045000235830157","https://crm.zoho.com/crm/org685875245/tab/Accounts/3525045000235830157")</f>
        <v>https://crm.zoho.com/crm/org685875245/tab/Accounts/3525045000235830157</v>
      </c>
      <c r="M10" s="341" t="s">
        <v>77</v>
      </c>
      <c r="N10" s="341"/>
      <c r="O10" s="548" t="s">
        <v>147</v>
      </c>
      <c r="P10" s="548" t="s">
        <v>148</v>
      </c>
      <c r="Q10" s="548" t="s">
        <v>149</v>
      </c>
      <c r="R10" s="332" t="s">
        <v>81</v>
      </c>
      <c r="S10" s="341"/>
      <c r="T10" s="331"/>
      <c r="U10" s="344" t="s">
        <v>82</v>
      </c>
      <c r="V10" s="335">
        <v>2248.5500000000002</v>
      </c>
      <c r="W10" s="335">
        <v>2266.2199999999998</v>
      </c>
      <c r="X10" s="335">
        <v>2393.4299999999998</v>
      </c>
      <c r="Y10" s="336">
        <v>2366.17</v>
      </c>
      <c r="Z10" s="337">
        <v>2521.1147000000001</v>
      </c>
      <c r="AA10" s="347">
        <v>2517.37</v>
      </c>
      <c r="AB10" s="347">
        <v>2581.0536000000002</v>
      </c>
      <c r="AC10" s="638">
        <v>2631.0646999999999</v>
      </c>
      <c r="AD10" s="347">
        <v>2469.2637999999997</v>
      </c>
      <c r="AE10" s="339">
        <v>1061</v>
      </c>
      <c r="AF10" s="340">
        <v>500</v>
      </c>
      <c r="AG10" s="334"/>
      <c r="AH10" s="341"/>
      <c r="AI10" s="343" t="s">
        <v>83</v>
      </c>
      <c r="AJ10" s="343" t="s">
        <v>150</v>
      </c>
      <c r="AK10" s="344" t="s">
        <v>151</v>
      </c>
      <c r="AL10" s="340" t="s">
        <v>103</v>
      </c>
      <c r="AM10" s="328"/>
      <c r="AN10" s="328" t="s">
        <v>152</v>
      </c>
      <c r="AO10" s="328"/>
      <c r="AP10" s="328"/>
      <c r="AQ10" s="328"/>
      <c r="AR10" s="451" t="s">
        <v>153</v>
      </c>
      <c r="AS10" s="375" t="s">
        <v>88</v>
      </c>
      <c r="AT10" s="345"/>
      <c r="AU10" s="345"/>
      <c r="AV10" s="345"/>
      <c r="AW10" s="345"/>
      <c r="AX10" s="345"/>
      <c r="AY10" s="345"/>
      <c r="AZ10" s="345"/>
      <c r="BA10" s="345"/>
      <c r="BB10" s="345"/>
      <c r="BC10" s="345"/>
      <c r="BD10" s="345"/>
      <c r="BE10" s="345"/>
      <c r="BF10" s="345"/>
      <c r="BG10" s="345"/>
      <c r="BH10" s="345"/>
      <c r="BI10" s="345"/>
      <c r="BJ10" s="364">
        <f>COUNTIF(AT10:BI10,"*OP*")</f>
        <v>0</v>
      </c>
      <c r="BK10" s="375" t="s">
        <v>89</v>
      </c>
      <c r="BL10" s="328">
        <f>(COUNTIF(AT10:AV10,"*OK*")*3) + (COUNTIF(AW10:AY10,"*OK*")*2) + COUNTIF(AZ10:BB10,"*OK*")+COUNTIF(BK10:BK10,"SI")*0.5</f>
        <v>0</v>
      </c>
      <c r="BM10" s="328" t="str">
        <f>IF(BL10&lt;0.6,"Demasiado Riesgo",IF(BL10&lt;=5,"Riesgo Medio",IF(BL10&lt;=11,"Riesgo Bajo","Cliente Blindado")))</f>
        <v>Demasiado Riesgo</v>
      </c>
      <c r="BN10" s="328"/>
      <c r="BO10" s="349"/>
      <c r="BP10" s="349">
        <v>0</v>
      </c>
      <c r="BQ10" s="349"/>
      <c r="BR10" s="349"/>
      <c r="BS10" s="349"/>
      <c r="BT10" s="349"/>
      <c r="BU10" s="349"/>
      <c r="BV10" s="349"/>
      <c r="BW10" s="349"/>
      <c r="BX10" s="349"/>
      <c r="BY10" s="349"/>
      <c r="BZ10" s="349"/>
      <c r="CA10" s="349"/>
      <c r="CB10" s="349"/>
      <c r="CC10" s="349"/>
      <c r="CD10" s="349"/>
      <c r="CE10" s="349"/>
      <c r="CF10" s="349"/>
      <c r="CG10" s="349"/>
      <c r="CH10" s="349"/>
      <c r="CI10" s="349"/>
      <c r="CJ10" s="349"/>
      <c r="CK10" s="349"/>
      <c r="CL10" s="349">
        <f>COUNTIF(AT10:BH10,"*OK*")</f>
        <v>0</v>
      </c>
      <c r="CM10" s="349"/>
      <c r="CN10" s="349">
        <f>COUNTIF(AT10:BH10,"*OP*")</f>
        <v>0</v>
      </c>
      <c r="CP10" s="326"/>
    </row>
    <row r="11" spans="1:94" ht="14.25" customHeight="1">
      <c r="A11" s="835">
        <v>20338</v>
      </c>
      <c r="B11" s="560" t="s">
        <v>154</v>
      </c>
      <c r="C11" s="329">
        <f t="shared" si="2"/>
        <v>2258.1678000000002</v>
      </c>
      <c r="D11" s="352">
        <f>COUNTIF(AT11:BH11,"*OK*")</f>
        <v>0</v>
      </c>
      <c r="E11" s="351" t="s">
        <v>93</v>
      </c>
      <c r="F11" s="429" t="s">
        <v>155</v>
      </c>
      <c r="G11" s="622"/>
      <c r="H11" s="650">
        <f>IF(LEN(TRIM($G11&amp;""))=0, $C11, SUMIF($G$3:$G$561, TRIM($G11), $C$3:$C$561))</f>
        <v>2258.1678000000002</v>
      </c>
      <c r="I11" s="416" t="s">
        <v>76</v>
      </c>
      <c r="J11" s="351"/>
      <c r="K11" s="349"/>
      <c r="L11" s="349" t="str">
        <f>HYPERLINK("https://crm.zoho.com/crm/org685875245/tab/Accounts/3525045000188435082","https://crm.zoho.com/crm/org685875245/tab/Accounts/3525045000188435082")</f>
        <v>https://crm.zoho.com/crm/org685875245/tab/Accounts/3525045000188435082</v>
      </c>
      <c r="M11" s="359" t="s">
        <v>96</v>
      </c>
      <c r="N11" s="460" t="s">
        <v>156</v>
      </c>
      <c r="O11" s="549" t="s">
        <v>157</v>
      </c>
      <c r="P11" s="549" t="s">
        <v>158</v>
      </c>
      <c r="Q11" s="549" t="s">
        <v>159</v>
      </c>
      <c r="R11" s="391" t="s">
        <v>160</v>
      </c>
      <c r="S11" s="460"/>
      <c r="T11" s="351"/>
      <c r="U11" s="362" t="s">
        <v>82</v>
      </c>
      <c r="V11" s="355">
        <v>2241.41</v>
      </c>
      <c r="W11" s="355">
        <v>2295.5300000000002</v>
      </c>
      <c r="X11" s="355">
        <v>2210.88</v>
      </c>
      <c r="Y11" s="356">
        <v>2185.94</v>
      </c>
      <c r="Z11" s="337">
        <v>2239.7269000000001</v>
      </c>
      <c r="AA11" s="365">
        <v>2191.06</v>
      </c>
      <c r="AB11" s="365">
        <v>2197.4220999999998</v>
      </c>
      <c r="AC11" s="635">
        <v>2465.3353999999999</v>
      </c>
      <c r="AD11" s="365">
        <v>2258.1678000000002</v>
      </c>
      <c r="AE11" s="357">
        <v>938</v>
      </c>
      <c r="AF11" s="358">
        <v>500</v>
      </c>
      <c r="AG11" s="354"/>
      <c r="AH11" s="359"/>
      <c r="AI11" s="361" t="s">
        <v>83</v>
      </c>
      <c r="AJ11" s="361" t="s">
        <v>161</v>
      </c>
      <c r="AK11" s="362" t="s">
        <v>162</v>
      </c>
      <c r="AL11" s="358" t="s">
        <v>103</v>
      </c>
      <c r="AM11" s="349"/>
      <c r="AN11" s="349" t="s">
        <v>104</v>
      </c>
      <c r="AO11" s="349"/>
      <c r="AP11" s="349"/>
      <c r="AQ11" s="349" t="s">
        <v>163</v>
      </c>
      <c r="AR11" s="453" t="s">
        <v>164</v>
      </c>
      <c r="AS11" s="371" t="s">
        <v>103</v>
      </c>
      <c r="AT11" s="345"/>
      <c r="AU11" s="345"/>
      <c r="AV11" s="345"/>
      <c r="AW11" s="345"/>
      <c r="AX11" s="345"/>
      <c r="AY11" s="345"/>
      <c r="AZ11" s="345"/>
      <c r="BA11" s="345"/>
      <c r="BB11" s="345"/>
      <c r="BC11" s="345"/>
      <c r="BD11" s="345"/>
      <c r="BE11" s="345"/>
      <c r="BF11" s="345"/>
      <c r="BG11" s="345"/>
      <c r="BH11" s="345"/>
      <c r="BI11" s="345"/>
      <c r="BJ11" s="364">
        <f>COUNTIF(AT11:BI11,"*OP*")</f>
        <v>0</v>
      </c>
      <c r="BK11" s="363" t="s">
        <v>103</v>
      </c>
      <c r="BL11" s="349">
        <f>(COUNTIF(AT11:AV11,"*OK*")*3) + (COUNTIF(AW11:AY11,"*OK*")*2) + COUNTIF(AZ11:BB11,"*OK*")+COUNTIF(BK11:BK11,"SI")*0.5</f>
        <v>0</v>
      </c>
      <c r="BM11" s="349" t="str">
        <f>IF(BL11&lt;0.6,"Demasiado Riesgo",IF(BL11&lt;=5,"Riesgo Medio",IF(BL11&lt;=11,"Riesgo Bajo","Cliente Blindado")))</f>
        <v>Demasiado Riesgo</v>
      </c>
      <c r="BN11" s="349"/>
      <c r="BO11" s="349"/>
      <c r="BP11" s="349">
        <v>0</v>
      </c>
      <c r="BQ11" s="349"/>
      <c r="BR11" s="349"/>
      <c r="BS11" s="349"/>
      <c r="BT11" s="349"/>
      <c r="BU11" s="349"/>
      <c r="BV11" s="349"/>
      <c r="BW11" s="349"/>
      <c r="BX11" s="349"/>
      <c r="BY11" s="349"/>
      <c r="BZ11" s="349"/>
      <c r="CA11" s="349"/>
      <c r="CB11" s="349"/>
      <c r="CC11" s="349"/>
      <c r="CD11" s="349"/>
      <c r="CE11" s="349"/>
      <c r="CF11" s="349"/>
      <c r="CG11" s="349"/>
      <c r="CH11" s="349"/>
      <c r="CI11" s="349"/>
      <c r="CJ11" s="349"/>
      <c r="CK11" s="349"/>
      <c r="CL11" s="349">
        <f>COUNTIF(AT11:BH11,"*OK*")</f>
        <v>0</v>
      </c>
      <c r="CM11" s="349"/>
      <c r="CN11" s="349">
        <f>COUNTIF(AT11:BH11,"*OP*")</f>
        <v>0</v>
      </c>
    </row>
    <row r="12" spans="1:94" ht="14.25" customHeight="1">
      <c r="A12" s="834">
        <v>28362</v>
      </c>
      <c r="B12" s="560" t="s">
        <v>165</v>
      </c>
      <c r="C12" s="329">
        <f t="shared" si="2"/>
        <v>2140.3863000000001</v>
      </c>
      <c r="D12" s="332">
        <f>COUNTIF(AT12:BH12,"*OK*")</f>
        <v>1</v>
      </c>
      <c r="E12" s="331" t="s">
        <v>93</v>
      </c>
      <c r="F12" s="330" t="s">
        <v>166</v>
      </c>
      <c r="G12" s="331"/>
      <c r="H12" s="650">
        <f>IF(LEN(TRIM($G12&amp;""))=0, $C12, SUMIF($G$3:$G$561, TRIM($G12), $C$3:$C$561))</f>
        <v>2140.3863000000001</v>
      </c>
      <c r="I12" s="417" t="s">
        <v>76</v>
      </c>
      <c r="J12" s="331"/>
      <c r="K12" s="328"/>
      <c r="L12" s="328"/>
      <c r="M12" s="341" t="s">
        <v>167</v>
      </c>
      <c r="N12" s="341"/>
      <c r="O12" s="548" t="s">
        <v>168</v>
      </c>
      <c r="P12" s="548" t="s">
        <v>169</v>
      </c>
      <c r="Q12" s="548" t="s">
        <v>170</v>
      </c>
      <c r="R12" s="341" t="s">
        <v>171</v>
      </c>
      <c r="S12" s="341"/>
      <c r="T12" s="331"/>
      <c r="U12" s="344" t="s">
        <v>82</v>
      </c>
      <c r="V12" s="335">
        <v>2635.78</v>
      </c>
      <c r="W12" s="335">
        <v>2477.12</v>
      </c>
      <c r="X12" s="335">
        <v>2238.1</v>
      </c>
      <c r="Y12" s="336">
        <v>2313.69</v>
      </c>
      <c r="Z12" s="337">
        <v>2169.8897000000002</v>
      </c>
      <c r="AA12" s="338">
        <v>2173.35</v>
      </c>
      <c r="AB12" s="338">
        <v>2337.4803999999999</v>
      </c>
      <c r="AC12" s="634">
        <v>2365.8489</v>
      </c>
      <c r="AD12" s="338">
        <v>2140.3863000000001</v>
      </c>
      <c r="AE12" s="339">
        <v>2225</v>
      </c>
      <c r="AF12" s="340">
        <v>3000</v>
      </c>
      <c r="AG12" s="334"/>
      <c r="AH12" s="341"/>
      <c r="AI12" s="343" t="s">
        <v>83</v>
      </c>
      <c r="AJ12" s="343" t="s">
        <v>143</v>
      </c>
      <c r="AK12" s="344" t="s">
        <v>172</v>
      </c>
      <c r="AL12" s="340" t="s">
        <v>103</v>
      </c>
      <c r="AM12" s="328"/>
      <c r="AN12" s="328" t="s">
        <v>152</v>
      </c>
      <c r="AO12" s="328"/>
      <c r="AP12" s="328"/>
      <c r="AQ12" s="328"/>
      <c r="AR12" s="451"/>
      <c r="AS12" s="344" t="s">
        <v>88</v>
      </c>
      <c r="AT12" s="345" t="s">
        <v>173</v>
      </c>
      <c r="AU12" s="345" t="s">
        <v>173</v>
      </c>
      <c r="AV12" s="345" t="s">
        <v>174</v>
      </c>
      <c r="AW12" s="345"/>
      <c r="AX12" s="345"/>
      <c r="AY12" s="345"/>
      <c r="AZ12" s="345"/>
      <c r="BA12" s="421"/>
      <c r="BB12" s="345"/>
      <c r="BC12" s="345"/>
      <c r="BD12" s="345"/>
      <c r="BE12" s="345"/>
      <c r="BF12" s="345"/>
      <c r="BG12" s="345"/>
      <c r="BH12" s="345"/>
      <c r="BI12" s="345"/>
      <c r="BJ12" s="364">
        <f>COUNTIF(AT12:BI12,"*OP*")</f>
        <v>2</v>
      </c>
      <c r="BK12" s="375" t="s">
        <v>89</v>
      </c>
      <c r="BL12" s="328">
        <f>(COUNTIF(AT12:AV12,"*OK*")*3) + (COUNTIF(AW12:AY12,"*OK*")*2) + COUNTIF(AZ12:BB12,"*OK*")+COUNTIF(BK12:BK12,"SI")*0.5</f>
        <v>3</v>
      </c>
      <c r="BM12" s="328" t="str">
        <f>IF(BL12&lt;0.6,"Demasiado Riesgo",IF(BL12&lt;=5,"Riesgo Medio",IF(BL12&lt;=11,"Riesgo Bajo","Cliente Blindado")))</f>
        <v>Riesgo Medio</v>
      </c>
      <c r="BN12" s="328"/>
      <c r="BO12" s="328"/>
      <c r="BP12" s="328">
        <v>0</v>
      </c>
      <c r="BQ12" s="328"/>
      <c r="BR12" s="328"/>
      <c r="BS12" s="328"/>
      <c r="BT12" s="328"/>
      <c r="BU12" s="328"/>
      <c r="BV12" s="328"/>
      <c r="BW12" s="328"/>
      <c r="BX12" s="328"/>
      <c r="BY12" s="328"/>
      <c r="BZ12" s="328"/>
      <c r="CA12" s="328"/>
      <c r="CB12" s="328"/>
      <c r="CC12" s="328"/>
      <c r="CD12" s="328"/>
      <c r="CE12" s="328"/>
      <c r="CF12" s="328"/>
      <c r="CG12" s="328"/>
      <c r="CH12" s="328"/>
      <c r="CI12" s="328"/>
      <c r="CJ12" s="328"/>
      <c r="CK12" s="328"/>
      <c r="CL12" s="328">
        <f>COUNTIF(AT12:BH12,"*OK*")</f>
        <v>1</v>
      </c>
      <c r="CM12" s="328"/>
      <c r="CN12" s="328">
        <f>COUNTIF(AT12:BH12,"*OP*")</f>
        <v>2</v>
      </c>
    </row>
    <row r="13" spans="1:94" ht="14.25" customHeight="1">
      <c r="A13" s="835">
        <v>21115</v>
      </c>
      <c r="B13" s="560" t="s">
        <v>175</v>
      </c>
      <c r="C13" s="329">
        <f t="shared" si="2"/>
        <v>2338</v>
      </c>
      <c r="D13" s="352">
        <f>COUNTIF(AT13:BH13,"*OK*")</f>
        <v>1</v>
      </c>
      <c r="E13" s="351" t="s">
        <v>93</v>
      </c>
      <c r="F13" s="432" t="s">
        <v>176</v>
      </c>
      <c r="G13" s="533" t="s">
        <v>124</v>
      </c>
      <c r="H13" s="650">
        <f>IF(LEN(TRIM($G13&amp;""))=0, $C13, SUMIF($G$3:$G$561, TRIM($G13), $C$3:$C$561))</f>
        <v>6088.85</v>
      </c>
      <c r="I13" s="416" t="s">
        <v>76</v>
      </c>
      <c r="J13" s="351"/>
      <c r="K13" s="349" t="s">
        <v>125</v>
      </c>
      <c r="L13" s="349" t="str">
        <f>HYPERLINK("https://crm.zoho.com/crm/org685875245/tab/Accounts/3525045000133599062","https://crm.zoho.com/crm/org685875245/tab/Accounts/3525045000133599062")</f>
        <v>https://crm.zoho.com/crm/org685875245/tab/Accounts/3525045000133599062</v>
      </c>
      <c r="M13" s="553" t="s">
        <v>96</v>
      </c>
      <c r="N13" s="352"/>
      <c r="O13" s="540" t="s">
        <v>126</v>
      </c>
      <c r="P13" s="540" t="s">
        <v>127</v>
      </c>
      <c r="Q13" s="540" t="s">
        <v>128</v>
      </c>
      <c r="R13" s="352"/>
      <c r="S13" s="352"/>
      <c r="T13" s="351"/>
      <c r="U13" s="362" t="s">
        <v>82</v>
      </c>
      <c r="V13" s="355">
        <v>2338</v>
      </c>
      <c r="W13" s="355">
        <v>2338</v>
      </c>
      <c r="X13" s="355">
        <v>2338</v>
      </c>
      <c r="Y13" s="356">
        <v>2338</v>
      </c>
      <c r="Z13" s="337">
        <v>2338</v>
      </c>
      <c r="AA13" s="365">
        <v>2338</v>
      </c>
      <c r="AB13" s="365">
        <v>2338</v>
      </c>
      <c r="AC13" s="635">
        <v>2338</v>
      </c>
      <c r="AD13" s="365">
        <v>2338</v>
      </c>
      <c r="AE13" s="357">
        <v>3242</v>
      </c>
      <c r="AF13" s="358">
        <v>3000</v>
      </c>
      <c r="AG13" s="354"/>
      <c r="AH13" s="359"/>
      <c r="AI13" s="361" t="s">
        <v>83</v>
      </c>
      <c r="AJ13" s="361" t="s">
        <v>130</v>
      </c>
      <c r="AK13" s="362" t="s">
        <v>177</v>
      </c>
      <c r="AL13" s="358" t="s">
        <v>103</v>
      </c>
      <c r="AM13" s="349"/>
      <c r="AN13" s="349" t="s">
        <v>104</v>
      </c>
      <c r="AO13" s="349" t="s">
        <v>132</v>
      </c>
      <c r="AP13" s="349"/>
      <c r="AQ13" s="349"/>
      <c r="AR13" s="453"/>
      <c r="AS13" s="363" t="s">
        <v>88</v>
      </c>
      <c r="AT13" s="345"/>
      <c r="AU13" s="345"/>
      <c r="AV13" s="345"/>
      <c r="AW13" s="345"/>
      <c r="AX13" s="345"/>
      <c r="AY13" s="345"/>
      <c r="AZ13" s="345" t="s">
        <v>178</v>
      </c>
      <c r="BA13" s="345" t="s">
        <v>179</v>
      </c>
      <c r="BB13" s="345"/>
      <c r="BC13" s="345"/>
      <c r="BD13" s="345"/>
      <c r="BE13" s="345"/>
      <c r="BF13" s="345"/>
      <c r="BG13" s="345"/>
      <c r="BH13" s="345"/>
      <c r="BI13" s="345"/>
      <c r="BJ13" s="364">
        <f>COUNTIF(AT13:BI13,"*OP*")</f>
        <v>1</v>
      </c>
      <c r="BK13" s="363" t="s">
        <v>89</v>
      </c>
      <c r="BL13" s="349">
        <f>(COUNTIF(AT13:AV13,"*OK*")*3) + (COUNTIF(AW13:AY13,"*OK*")*2) + COUNTIF(AZ13:BB13,"*OK*")+COUNTIF(BK13:BK13,"SI")*0.5</f>
        <v>1</v>
      </c>
      <c r="BM13" s="349" t="str">
        <f>IF(BL13&lt;0.6,"Demasiado Riesgo",IF(BL13&lt;=5,"Riesgo Medio",IF(BL13&lt;=11,"Riesgo Bajo","Cliente Blindado")))</f>
        <v>Riesgo Medio</v>
      </c>
      <c r="BN13" s="349"/>
      <c r="BO13" s="349"/>
      <c r="BP13" s="349"/>
      <c r="BQ13" s="349"/>
      <c r="BR13" s="349"/>
      <c r="BS13" s="349"/>
      <c r="BT13" s="349"/>
      <c r="BU13" s="349"/>
      <c r="BV13" s="349"/>
      <c r="BW13" s="349"/>
      <c r="BX13" s="349"/>
      <c r="BY13" s="349"/>
      <c r="BZ13" s="349"/>
      <c r="CA13" s="349"/>
      <c r="CB13" s="349"/>
      <c r="CC13" s="349"/>
      <c r="CD13" s="349"/>
      <c r="CE13" s="349"/>
      <c r="CF13" s="349"/>
      <c r="CG13" s="349"/>
      <c r="CH13" s="349"/>
      <c r="CI13" s="349"/>
      <c r="CJ13" s="349"/>
      <c r="CK13" s="349"/>
      <c r="CL13" s="349">
        <f>COUNTIF(AT13:BH13,"*OK*")</f>
        <v>1</v>
      </c>
      <c r="CM13" s="349"/>
      <c r="CN13" s="349">
        <f>COUNTIF(AT13:BH13,"*OP*")</f>
        <v>1</v>
      </c>
    </row>
    <row r="14" spans="1:94" s="285" customFormat="1" ht="14.25" customHeight="1">
      <c r="A14" s="836">
        <v>31120</v>
      </c>
      <c r="B14" s="560" t="s">
        <v>180</v>
      </c>
      <c r="C14" s="329">
        <f t="shared" si="2"/>
        <v>1952.8145</v>
      </c>
      <c r="D14" s="332">
        <f>COUNTIF(AT14:BH14,"*OK*")</f>
        <v>2</v>
      </c>
      <c r="E14" s="331" t="s">
        <v>73</v>
      </c>
      <c r="F14" s="426" t="s">
        <v>181</v>
      </c>
      <c r="G14" s="533" t="s">
        <v>182</v>
      </c>
      <c r="H14" s="650">
        <f>IF(LEN(TRIM($G14&amp;""))=0, $C14, SUMIF($G$3:$G$561, TRIM($G14), $C$3:$C$561))</f>
        <v>1952.8145</v>
      </c>
      <c r="I14" s="417" t="s">
        <v>76</v>
      </c>
      <c r="J14" s="331"/>
      <c r="K14" s="560"/>
      <c r="L14" s="560" t="str">
        <f>HYPERLINK("https://crm.zoho.com/crm/org685875245/tab/Accounts/3525045000467366531","https://crm.zoho.com/crm/org685875245/tab/Accounts/3525045000467366531")</f>
        <v>https://crm.zoho.com/crm/org685875245/tab/Accounts/3525045000467366531</v>
      </c>
      <c r="M14" s="391" t="s">
        <v>77</v>
      </c>
      <c r="N14" s="560" t="s">
        <v>183</v>
      </c>
      <c r="O14" s="561" t="s">
        <v>184</v>
      </c>
      <c r="P14" s="561" t="s">
        <v>185</v>
      </c>
      <c r="Q14" s="561" t="s">
        <v>186</v>
      </c>
      <c r="R14" s="560" t="s">
        <v>81</v>
      </c>
      <c r="S14" s="332"/>
      <c r="T14" s="331"/>
      <c r="U14" s="334" t="s">
        <v>82</v>
      </c>
      <c r="V14" s="335">
        <v>1653.11</v>
      </c>
      <c r="W14" s="335">
        <v>2016.69</v>
      </c>
      <c r="X14" s="335">
        <v>1954.18</v>
      </c>
      <c r="Y14" s="336">
        <v>2017.09</v>
      </c>
      <c r="Z14" s="337">
        <v>2044.2294999999999</v>
      </c>
      <c r="AA14" s="347">
        <v>2021.82</v>
      </c>
      <c r="AB14" s="347">
        <v>1399.2923000000001</v>
      </c>
      <c r="AC14" s="638">
        <v>2076.3530000000001</v>
      </c>
      <c r="AD14" s="347">
        <v>1952.8145</v>
      </c>
      <c r="AE14" s="339">
        <v>661</v>
      </c>
      <c r="AF14" s="340">
        <v>636</v>
      </c>
      <c r="AG14" s="334"/>
      <c r="AH14" s="341" t="s">
        <v>83</v>
      </c>
      <c r="AI14" s="343" t="s">
        <v>83</v>
      </c>
      <c r="AJ14" s="343" t="s">
        <v>113</v>
      </c>
      <c r="AK14" s="344" t="s">
        <v>187</v>
      </c>
      <c r="AL14" s="340" t="s">
        <v>188</v>
      </c>
      <c r="AM14" s="328"/>
      <c r="AN14" s="328"/>
      <c r="AO14" s="328"/>
      <c r="AP14" s="328"/>
      <c r="AQ14" s="328"/>
      <c r="AR14" s="451"/>
      <c r="AS14" s="372" t="s">
        <v>88</v>
      </c>
      <c r="AT14" s="345"/>
      <c r="AU14" s="345"/>
      <c r="AV14" s="345"/>
      <c r="AW14" s="345"/>
      <c r="AX14" s="345"/>
      <c r="AY14" s="421" t="s">
        <v>189</v>
      </c>
      <c r="AZ14" s="421" t="s">
        <v>190</v>
      </c>
      <c r="BA14" s="345"/>
      <c r="BB14" s="345"/>
      <c r="BC14" s="345"/>
      <c r="BD14" s="345"/>
      <c r="BE14" s="345"/>
      <c r="BF14" s="345"/>
      <c r="BG14" s="345"/>
      <c r="BH14" s="345"/>
      <c r="BI14" s="345"/>
      <c r="BJ14" s="364">
        <f>COUNTIF(AT14:BI14,"*OP*")</f>
        <v>0</v>
      </c>
      <c r="BK14" s="375" t="s">
        <v>89</v>
      </c>
      <c r="BL14" s="328">
        <f>(COUNTIF(AT14:AV14,"*OK*")*3) + (COUNTIF(AW14:AY14,"*OK*")*2) + COUNTIF(AZ14:BB14,"*OK*")+COUNTIF(BK14:BK14,"SI")*0.5</f>
        <v>3</v>
      </c>
      <c r="BM14" s="328" t="str">
        <f>IF(BL14&lt;0.6,"Demasiado Riesgo",IF(BL14&lt;=5,"Riesgo Medio",IF(BL14&lt;=11,"Riesgo Bajo","Cliente Blindado")))</f>
        <v>Riesgo Medio</v>
      </c>
      <c r="BN14" s="328"/>
      <c r="BO14" s="349" t="s">
        <v>191</v>
      </c>
      <c r="BP14" s="349">
        <v>0</v>
      </c>
      <c r="BQ14" s="349" t="s">
        <v>192</v>
      </c>
      <c r="BR14" s="349"/>
      <c r="BS14" s="349"/>
      <c r="BT14" s="349"/>
      <c r="BU14" s="349"/>
      <c r="BV14" s="349"/>
      <c r="BW14" s="349"/>
      <c r="BX14" s="349"/>
      <c r="BY14" s="349"/>
      <c r="BZ14" s="349"/>
      <c r="CA14" s="349"/>
      <c r="CB14" s="349"/>
      <c r="CC14" s="349"/>
      <c r="CD14" s="349"/>
      <c r="CE14" s="349"/>
      <c r="CF14" s="349"/>
      <c r="CG14" s="349"/>
      <c r="CH14" s="349"/>
      <c r="CI14" s="349"/>
      <c r="CJ14" s="349"/>
      <c r="CK14" s="349"/>
      <c r="CL14" s="349">
        <f>COUNTIF(AT14:BH14,"*OK*")</f>
        <v>2</v>
      </c>
      <c r="CM14" s="349"/>
      <c r="CN14" s="349">
        <f>COUNTIF(AT14:BH14,"*OP*")</f>
        <v>0</v>
      </c>
      <c r="CO14" s="287"/>
      <c r="CP14" s="287"/>
    </row>
    <row r="15" spans="1:94" ht="14.25" customHeight="1">
      <c r="A15" s="835">
        <v>3115</v>
      </c>
      <c r="B15" s="560" t="s">
        <v>193</v>
      </c>
      <c r="C15" s="329">
        <f t="shared" si="2"/>
        <v>1912.2517</v>
      </c>
      <c r="D15" s="352">
        <f>COUNTIF(AT15:BH15,"*OK*")</f>
        <v>0</v>
      </c>
      <c r="E15" s="351" t="s">
        <v>93</v>
      </c>
      <c r="F15" s="429" t="s">
        <v>194</v>
      </c>
      <c r="G15" s="622"/>
      <c r="H15" s="650">
        <f>IF(LEN(TRIM($G15&amp;""))=0, $C15, SUMIF($G$3:$G$561, TRIM($G15), $C$3:$C$561))</f>
        <v>1912.2517</v>
      </c>
      <c r="I15" s="416" t="s">
        <v>76</v>
      </c>
      <c r="J15" s="351"/>
      <c r="K15" s="349"/>
      <c r="L15" s="349" t="str">
        <f>HYPERLINK("https://crm.zoho.com/crm/org685875245/tab/Accounts/3525045000152712240","https://crm.zoho.com/crm/org685875245/tab/Accounts/3525045000152712240")</f>
        <v>https://crm.zoho.com/crm/org685875245/tab/Accounts/3525045000152712240</v>
      </c>
      <c r="M15" s="359" t="s">
        <v>96</v>
      </c>
      <c r="N15" s="460" t="s">
        <v>195</v>
      </c>
      <c r="O15" s="549" t="s">
        <v>184</v>
      </c>
      <c r="P15" s="549" t="s">
        <v>196</v>
      </c>
      <c r="Q15" s="549" t="s">
        <v>197</v>
      </c>
      <c r="R15" s="332" t="s">
        <v>81</v>
      </c>
      <c r="S15" s="460"/>
      <c r="T15" s="351"/>
      <c r="U15" s="362" t="s">
        <v>198</v>
      </c>
      <c r="V15" s="355">
        <v>2009.84</v>
      </c>
      <c r="W15" s="355">
        <v>2008</v>
      </c>
      <c r="X15" s="355">
        <v>1913.59</v>
      </c>
      <c r="Y15" s="356">
        <v>1975.19</v>
      </c>
      <c r="Z15" s="337">
        <v>2001.7678000000001</v>
      </c>
      <c r="AA15" s="365">
        <v>1979.82</v>
      </c>
      <c r="AB15" s="365">
        <v>1996.5198</v>
      </c>
      <c r="AC15" s="635">
        <v>2033.2239999999999</v>
      </c>
      <c r="AD15" s="365">
        <v>1912.2517</v>
      </c>
      <c r="AE15" s="357">
        <v>1002</v>
      </c>
      <c r="AF15" s="358">
        <v>1177</v>
      </c>
      <c r="AG15" s="354"/>
      <c r="AH15" s="359"/>
      <c r="AI15" s="361" t="s">
        <v>83</v>
      </c>
      <c r="AJ15" s="361" t="s">
        <v>199</v>
      </c>
      <c r="AK15" s="362" t="s">
        <v>200</v>
      </c>
      <c r="AL15" s="358" t="s">
        <v>103</v>
      </c>
      <c r="AM15" s="349"/>
      <c r="AN15" s="349" t="s">
        <v>152</v>
      </c>
      <c r="AO15" s="349"/>
      <c r="AP15" s="349"/>
      <c r="AQ15" s="349"/>
      <c r="AR15" s="453"/>
      <c r="AS15" s="362" t="s">
        <v>103</v>
      </c>
      <c r="AT15" s="345"/>
      <c r="AU15" s="345"/>
      <c r="AV15" s="345"/>
      <c r="AW15" s="345"/>
      <c r="AX15" s="345"/>
      <c r="AY15" s="345"/>
      <c r="AZ15" s="345"/>
      <c r="BA15" s="345"/>
      <c r="BB15" s="345"/>
      <c r="BC15" s="345"/>
      <c r="BD15" s="345"/>
      <c r="BE15" s="345"/>
      <c r="BF15" s="345"/>
      <c r="BG15" s="345"/>
      <c r="BH15" s="345"/>
      <c r="BI15" s="345"/>
      <c r="BJ15" s="364">
        <f>COUNTIF(AT15:BI15,"*OP*")</f>
        <v>0</v>
      </c>
      <c r="BK15" s="363" t="s">
        <v>103</v>
      </c>
      <c r="BL15" s="349">
        <f>(COUNTIF(AT15:AV15,"*OK*")*3) + (COUNTIF(AW15:AY15,"*OK*")*2) + COUNTIF(AZ15:BB15,"*OK*")+COUNTIF(BK15:BK15,"SI")*0.5</f>
        <v>0</v>
      </c>
      <c r="BM15" s="349" t="str">
        <f>IF(BL15&lt;0.6,"Demasiado Riesgo",IF(BL15&lt;=5,"Riesgo Medio",IF(BL15&lt;=11,"Riesgo Bajo","Cliente Blindado")))</f>
        <v>Demasiado Riesgo</v>
      </c>
      <c r="BN15" s="349"/>
      <c r="BO15" s="328"/>
      <c r="BP15" s="328">
        <v>0</v>
      </c>
      <c r="BQ15" s="328"/>
      <c r="BR15" s="328"/>
      <c r="BS15" s="328"/>
      <c r="BT15" s="328"/>
      <c r="BU15" s="328"/>
      <c r="BV15" s="328"/>
      <c r="BW15" s="328"/>
      <c r="BX15" s="328"/>
      <c r="BY15" s="328"/>
      <c r="BZ15" s="328"/>
      <c r="CA15" s="328"/>
      <c r="CB15" s="328"/>
      <c r="CC15" s="328"/>
      <c r="CD15" s="328"/>
      <c r="CE15" s="328"/>
      <c r="CF15" s="328"/>
      <c r="CG15" s="328"/>
      <c r="CH15" s="328"/>
      <c r="CI15" s="328"/>
      <c r="CJ15" s="328"/>
      <c r="CK15" s="328"/>
      <c r="CL15" s="328">
        <f>COUNTIF(AT15:BH15,"*OK*")</f>
        <v>0</v>
      </c>
      <c r="CM15" s="328"/>
      <c r="CN15" s="328">
        <f>COUNTIF(AT15:BH15,"*OP*")</f>
        <v>0</v>
      </c>
    </row>
    <row r="16" spans="1:94" ht="14.25" customHeight="1">
      <c r="A16" s="837">
        <v>31781</v>
      </c>
      <c r="B16" s="560" t="s">
        <v>201</v>
      </c>
      <c r="C16" s="329">
        <f t="shared" si="2"/>
        <v>1651.2081000000001</v>
      </c>
      <c r="D16" s="352">
        <v>1</v>
      </c>
      <c r="E16" s="331" t="s">
        <v>73</v>
      </c>
      <c r="F16" s="854" t="s">
        <v>202</v>
      </c>
      <c r="G16" s="622" t="s">
        <v>203</v>
      </c>
      <c r="H16" s="650">
        <f>IF(LEN(TRIM($G16&amp;""))=0, $C16, SUMIF($G$3:$G$561, TRIM($G16), $C$3:$C$561))</f>
        <v>1651.2081000000001</v>
      </c>
      <c r="I16" s="416" t="s">
        <v>76</v>
      </c>
      <c r="J16" s="351"/>
      <c r="K16" s="558"/>
      <c r="L16" s="558" t="str">
        <f>HYPERLINK("https://crm.zoho.com/crm/org685875245/tab/Accounts/3525045000478422670","https://crm.zoho.com/crm/org685875245/tab/Accounts/3525045000478422670")</f>
        <v>https://crm.zoho.com/crm/org685875245/tab/Accounts/3525045000478422670</v>
      </c>
      <c r="M16" s="553" t="s">
        <v>77</v>
      </c>
      <c r="N16" s="562" t="s">
        <v>204</v>
      </c>
      <c r="O16" s="563" t="s">
        <v>205</v>
      </c>
      <c r="P16" s="564">
        <v>5219622197821</v>
      </c>
      <c r="Q16" s="565" t="s">
        <v>206</v>
      </c>
      <c r="R16" s="562" t="s">
        <v>207</v>
      </c>
      <c r="S16" s="430" t="s">
        <v>208</v>
      </c>
      <c r="T16" s="351"/>
      <c r="U16" s="354" t="s">
        <v>209</v>
      </c>
      <c r="V16" s="355">
        <v>2193.2600000000002</v>
      </c>
      <c r="W16" s="355">
        <v>2095.65</v>
      </c>
      <c r="X16" s="355">
        <v>1721.32</v>
      </c>
      <c r="Y16" s="356">
        <v>1776.73</v>
      </c>
      <c r="Z16" s="337">
        <v>1831.5446999999999</v>
      </c>
      <c r="AA16" s="365">
        <v>1806.37</v>
      </c>
      <c r="AB16" s="365">
        <v>1816.4659999999999</v>
      </c>
      <c r="AC16" s="635">
        <v>1805.3797</v>
      </c>
      <c r="AD16" s="365">
        <v>1651.2081000000001</v>
      </c>
      <c r="AE16" s="357">
        <v>822</v>
      </c>
      <c r="AF16" s="358">
        <v>1260</v>
      </c>
      <c r="AG16" s="354"/>
      <c r="AH16" s="359" t="s">
        <v>210</v>
      </c>
      <c r="AI16" s="361" t="s">
        <v>210</v>
      </c>
      <c r="AJ16" s="361" t="s">
        <v>101</v>
      </c>
      <c r="AK16" s="362" t="s">
        <v>211</v>
      </c>
      <c r="AL16" s="358" t="s">
        <v>101</v>
      </c>
      <c r="AM16" s="349"/>
      <c r="AN16" s="349"/>
      <c r="AO16" s="349"/>
      <c r="AP16" s="349"/>
      <c r="AQ16" s="349"/>
      <c r="AR16" s="453" t="s">
        <v>115</v>
      </c>
      <c r="AS16" s="363" t="s">
        <v>88</v>
      </c>
      <c r="AT16" s="345"/>
      <c r="AU16" s="345"/>
      <c r="AV16" s="345" t="s">
        <v>212</v>
      </c>
      <c r="AW16" s="345" t="s">
        <v>179</v>
      </c>
      <c r="AX16" s="345" t="s">
        <v>179</v>
      </c>
      <c r="AY16" s="345"/>
      <c r="AZ16" s="345"/>
      <c r="BA16" s="345"/>
      <c r="BB16" s="345"/>
      <c r="BC16" s="345"/>
      <c r="BD16" s="345"/>
      <c r="BE16" s="345"/>
      <c r="BF16" s="345"/>
      <c r="BG16" s="345"/>
      <c r="BH16" s="345"/>
      <c r="BI16" s="345"/>
      <c r="BJ16" s="364">
        <f>COUNTIF(AT16:BI16,"*OP*")</f>
        <v>3</v>
      </c>
      <c r="BK16" s="363" t="s">
        <v>103</v>
      </c>
      <c r="BL16" s="349">
        <f>(COUNTIF(AT16:AV16,"*OK*")*3) + (COUNTIF(AW16:AY16,"*OK*")*2) + COUNTIF(AZ16:BB16,"*OK*")+COUNTIF(BK16:BK16,"SI")*0.5</f>
        <v>0</v>
      </c>
      <c r="BM16" s="349" t="str">
        <f>IF(BL16&lt;0.6,"Demasiado Riesgo",IF(BL16&lt;=5,"Riesgo Medio",IF(BL16&lt;=11,"Riesgo Bajo","Cliente Blindado")))</f>
        <v>Demasiado Riesgo</v>
      </c>
      <c r="BN16" s="349"/>
      <c r="BO16" s="349" t="s">
        <v>213</v>
      </c>
      <c r="BP16" s="349">
        <v>0</v>
      </c>
      <c r="BQ16" s="328" t="s">
        <v>91</v>
      </c>
      <c r="BR16" s="349"/>
      <c r="BS16" s="349"/>
      <c r="BT16" s="349"/>
      <c r="BU16" s="349"/>
      <c r="BV16" s="349"/>
      <c r="BW16" s="349"/>
      <c r="BX16" s="349"/>
      <c r="BY16" s="349"/>
      <c r="BZ16" s="349"/>
      <c r="CA16" s="349"/>
      <c r="CB16" s="349"/>
      <c r="CC16" s="349"/>
      <c r="CD16" s="349"/>
      <c r="CE16" s="349"/>
      <c r="CF16" s="349"/>
      <c r="CG16" s="349"/>
      <c r="CH16" s="349"/>
      <c r="CI16" s="349"/>
      <c r="CJ16" s="349"/>
      <c r="CK16" s="349"/>
      <c r="CL16" s="349">
        <f>COUNTIF(AT16:BH16,"*OK*")</f>
        <v>0</v>
      </c>
      <c r="CM16" s="349"/>
      <c r="CN16" s="349">
        <f>COUNTIF(AT16:BH16,"*OP*")</f>
        <v>3</v>
      </c>
    </row>
    <row r="17" spans="1:93" ht="14.25" customHeight="1">
      <c r="A17" s="836">
        <v>26102</v>
      </c>
      <c r="B17" s="560" t="s">
        <v>214</v>
      </c>
      <c r="C17" s="329">
        <f t="shared" si="2"/>
        <v>1944.5673000000002</v>
      </c>
      <c r="D17" s="332">
        <f>COUNTIF(AT17:BH17,"*OK*")</f>
        <v>1</v>
      </c>
      <c r="E17" s="331" t="s">
        <v>73</v>
      </c>
      <c r="F17" s="855" t="s">
        <v>215</v>
      </c>
      <c r="G17" s="533" t="s">
        <v>216</v>
      </c>
      <c r="H17" s="650">
        <f>IF(LEN(TRIM($G17&amp;""))=0, $C17, SUMIF($G$3:$G$561, TRIM($G17), $C$3:$C$561))</f>
        <v>1944.5673000000002</v>
      </c>
      <c r="I17" s="417" t="s">
        <v>76</v>
      </c>
      <c r="J17" s="331"/>
      <c r="K17" s="560"/>
      <c r="L17" s="560" t="str">
        <f>HYPERLINK("https://crm.zoho.com/crm/org685875245/tab/Accounts/3525045000344765038","https://crm.zoho.com/crm/org685875245/tab/Accounts/3525045000344765038")</f>
        <v>https://crm.zoho.com/crm/org685875245/tab/Accounts/3525045000344765038</v>
      </c>
      <c r="M17" s="391" t="s">
        <v>96</v>
      </c>
      <c r="N17" s="566" t="s">
        <v>217</v>
      </c>
      <c r="O17" s="567" t="s">
        <v>218</v>
      </c>
      <c r="P17" s="567"/>
      <c r="Q17" s="693" t="s">
        <v>219</v>
      </c>
      <c r="R17" s="562" t="s">
        <v>207</v>
      </c>
      <c r="S17" s="331" t="s">
        <v>220</v>
      </c>
      <c r="T17" s="331"/>
      <c r="U17" s="334" t="s">
        <v>142</v>
      </c>
      <c r="V17" s="335">
        <v>1244.95</v>
      </c>
      <c r="W17" s="335">
        <v>1189.6099999999999</v>
      </c>
      <c r="X17" s="335">
        <v>1274.8900000000001</v>
      </c>
      <c r="Y17" s="336">
        <v>1289.6199999999999</v>
      </c>
      <c r="Z17" s="337">
        <v>1283.7945999999999</v>
      </c>
      <c r="AA17" s="338">
        <v>1467.56</v>
      </c>
      <c r="AB17" s="338">
        <v>1549.2671</v>
      </c>
      <c r="AC17" s="634">
        <v>1799.0799</v>
      </c>
      <c r="AD17" s="338">
        <v>1944.5673000000002</v>
      </c>
      <c r="AE17" s="339">
        <v>526</v>
      </c>
      <c r="AF17" s="340">
        <v>150</v>
      </c>
      <c r="AG17" s="334"/>
      <c r="AH17" s="341" t="s">
        <v>221</v>
      </c>
      <c r="AI17" s="343" t="s">
        <v>100</v>
      </c>
      <c r="AJ17" s="343" t="s">
        <v>222</v>
      </c>
      <c r="AK17" s="344" t="s">
        <v>223</v>
      </c>
      <c r="AL17" s="340" t="s">
        <v>224</v>
      </c>
      <c r="AM17" s="328"/>
      <c r="AN17" s="328"/>
      <c r="AO17" s="328"/>
      <c r="AP17" s="328"/>
      <c r="AQ17" s="328"/>
      <c r="AR17" s="451"/>
      <c r="AS17" s="344" t="s">
        <v>88</v>
      </c>
      <c r="AT17" s="345"/>
      <c r="AU17" s="345"/>
      <c r="AV17" s="594"/>
      <c r="AW17" s="345"/>
      <c r="AX17" s="345"/>
      <c r="AY17" s="345"/>
      <c r="AZ17" s="421" t="s">
        <v>225</v>
      </c>
      <c r="BA17" s="345"/>
      <c r="BB17" s="345"/>
      <c r="BC17" s="345"/>
      <c r="BD17" s="345"/>
      <c r="BE17" s="345"/>
      <c r="BF17" s="345"/>
      <c r="BG17" s="345"/>
      <c r="BH17" s="345"/>
      <c r="BI17" s="345"/>
      <c r="BJ17" s="346">
        <f>COUNTIF(AT17:BI17,"*OP*")</f>
        <v>0</v>
      </c>
      <c r="BK17" s="344" t="s">
        <v>88</v>
      </c>
      <c r="BL17" s="328">
        <f>(COUNTIF(AT17:AV17,"*OK*")*3) + (COUNTIF(AW17:AY17,"*OK*")*2) + COUNTIF(AZ17:BB17,"*OK*")+COUNTIF(BK17:BK17,"SI")*0.5</f>
        <v>1.5</v>
      </c>
      <c r="BM17" s="328" t="str">
        <f>IF(BL17&lt;0.6,"Demasiado Riesgo",IF(BL17&lt;=5,"Riesgo Medio",IF(BL17&lt;=11,"Riesgo Bajo","Cliente Blindado")))</f>
        <v>Riesgo Medio</v>
      </c>
      <c r="BN17" s="328"/>
      <c r="BO17" s="328" t="s">
        <v>226</v>
      </c>
      <c r="BP17" s="328">
        <v>0</v>
      </c>
      <c r="BQ17" s="328" t="s">
        <v>227</v>
      </c>
      <c r="BR17" s="328"/>
      <c r="BS17" s="328"/>
      <c r="BT17" s="328"/>
      <c r="BU17" s="328"/>
      <c r="BV17" s="328"/>
      <c r="BW17" s="328"/>
      <c r="BX17" s="328"/>
      <c r="BY17" s="328"/>
      <c r="BZ17" s="328"/>
      <c r="CA17" s="328"/>
      <c r="CB17" s="328"/>
      <c r="CC17" s="328"/>
      <c r="CD17" s="328"/>
      <c r="CE17" s="328"/>
      <c r="CF17" s="328"/>
      <c r="CG17" s="328"/>
      <c r="CH17" s="328"/>
      <c r="CI17" s="328"/>
      <c r="CJ17" s="328"/>
      <c r="CK17" s="328"/>
      <c r="CL17" s="328">
        <f>COUNTIF(AT17:BH17,"*OK*")</f>
        <v>1</v>
      </c>
      <c r="CM17" s="328"/>
      <c r="CN17" s="328">
        <f>COUNTIF(AT17:BH17,"*OP*")</f>
        <v>0</v>
      </c>
    </row>
    <row r="18" spans="1:93" ht="14.25" customHeight="1">
      <c r="A18" s="834">
        <v>26808</v>
      </c>
      <c r="B18" s="560" t="s">
        <v>228</v>
      </c>
      <c r="C18" s="329">
        <f t="shared" si="2"/>
        <v>1620.7506000000001</v>
      </c>
      <c r="D18" s="332">
        <f>COUNTIF(AT18:BH18,"*OK*")</f>
        <v>0</v>
      </c>
      <c r="E18" s="331" t="s">
        <v>93</v>
      </c>
      <c r="F18" s="330" t="s">
        <v>229</v>
      </c>
      <c r="G18" s="533" t="s">
        <v>230</v>
      </c>
      <c r="H18" s="650">
        <f>IF(LEN(TRIM($G18&amp;""))=0, $C18, SUMIF($G$3:$G$561, TRIM($G18), $C$3:$C$561))</f>
        <v>3660.4305000000004</v>
      </c>
      <c r="I18" s="417" t="s">
        <v>76</v>
      </c>
      <c r="J18" s="331"/>
      <c r="K18" s="328"/>
      <c r="L18" s="328" t="str">
        <f>HYPERLINK("https://crm.zoho.com/crm/org685875245/tab/Accounts/3525045000269312009","https://crm.zoho.com/crm/org685875245/tab/Accounts/3525045000269312009")</f>
        <v>https://crm.zoho.com/crm/org685875245/tab/Accounts/3525045000269312009</v>
      </c>
      <c r="M18" s="341" t="s">
        <v>77</v>
      </c>
      <c r="N18" s="341"/>
      <c r="O18" s="548" t="s">
        <v>231</v>
      </c>
      <c r="P18" s="548"/>
      <c r="Q18" s="626" t="s">
        <v>232</v>
      </c>
      <c r="R18" s="341"/>
      <c r="S18" s="341"/>
      <c r="T18" s="331"/>
      <c r="U18" s="344" t="s">
        <v>233</v>
      </c>
      <c r="V18" s="335">
        <v>2001.8</v>
      </c>
      <c r="W18" s="335">
        <v>1993.95</v>
      </c>
      <c r="X18" s="335">
        <v>1888.74</v>
      </c>
      <c r="Y18" s="336">
        <v>1968.47</v>
      </c>
      <c r="Z18" s="337">
        <v>1954.2221999999999</v>
      </c>
      <c r="AA18" s="347">
        <v>1945.82</v>
      </c>
      <c r="AB18" s="347">
        <v>1939.5340000000001</v>
      </c>
      <c r="AC18" s="638">
        <v>1782.8997999999999</v>
      </c>
      <c r="AD18" s="347">
        <v>1620.7506000000001</v>
      </c>
      <c r="AE18" s="339">
        <v>3424</v>
      </c>
      <c r="AF18" s="340">
        <v>3060</v>
      </c>
      <c r="AG18" s="334"/>
      <c r="AH18" s="341"/>
      <c r="AI18" s="343" t="s">
        <v>83</v>
      </c>
      <c r="AJ18" s="343" t="s">
        <v>234</v>
      </c>
      <c r="AK18" s="344" t="s">
        <v>235</v>
      </c>
      <c r="AL18" s="340" t="s">
        <v>103</v>
      </c>
      <c r="AM18" s="328"/>
      <c r="AN18" s="328" t="s">
        <v>236</v>
      </c>
      <c r="AO18" s="328"/>
      <c r="AP18" s="328"/>
      <c r="AQ18" s="328"/>
      <c r="AR18" s="451"/>
      <c r="AS18" s="344" t="s">
        <v>103</v>
      </c>
      <c r="AT18" s="345"/>
      <c r="AU18" s="345" t="s">
        <v>173</v>
      </c>
      <c r="AV18" s="594" t="s">
        <v>173</v>
      </c>
      <c r="AW18" s="345"/>
      <c r="AX18" s="345"/>
      <c r="AY18" s="345" t="s">
        <v>237</v>
      </c>
      <c r="AZ18" s="345"/>
      <c r="BA18" s="345"/>
      <c r="BB18" s="345"/>
      <c r="BC18" s="345"/>
      <c r="BD18" s="345"/>
      <c r="BE18" s="345"/>
      <c r="BF18" s="345"/>
      <c r="BG18" s="345"/>
      <c r="BH18" s="345"/>
      <c r="BI18" s="345" t="s">
        <v>179</v>
      </c>
      <c r="BJ18" s="346">
        <f>COUNTIF(AT18:BI18,"*OP*")</f>
        <v>4</v>
      </c>
      <c r="BK18" s="344" t="s">
        <v>103</v>
      </c>
      <c r="BL18" s="328">
        <f>(COUNTIF(AT18:AV18,"*OK*")*3) + (COUNTIF(AW18:AY18,"*OK*")*2) + COUNTIF(AZ18:BB18,"*OK*")+COUNTIF(BK18:BK18,"SI")*0.5</f>
        <v>0</v>
      </c>
      <c r="BM18" s="328" t="str">
        <f>IF(BL18&lt;0.6,"Demasiado Riesgo",IF(BL18&lt;=5,"Riesgo Medio",IF(BL18&lt;=11,"Riesgo Bajo","Cliente Blindado")))</f>
        <v>Demasiado Riesgo</v>
      </c>
      <c r="BN18" s="328"/>
      <c r="BO18" s="328"/>
      <c r="BP18" s="328">
        <v>0</v>
      </c>
      <c r="BQ18" s="328"/>
      <c r="BR18" s="328"/>
      <c r="BS18" s="328"/>
      <c r="BT18" s="328"/>
      <c r="BU18" s="328"/>
      <c r="BV18" s="328"/>
      <c r="BW18" s="328"/>
      <c r="BX18" s="328"/>
      <c r="BY18" s="328"/>
      <c r="BZ18" s="328"/>
      <c r="CA18" s="328"/>
      <c r="CB18" s="328"/>
      <c r="CC18" s="328"/>
      <c r="CD18" s="328"/>
      <c r="CE18" s="328"/>
      <c r="CF18" s="328"/>
      <c r="CG18" s="328"/>
      <c r="CH18" s="328"/>
      <c r="CI18" s="328"/>
      <c r="CJ18" s="328"/>
      <c r="CK18" s="328"/>
      <c r="CL18" s="328">
        <f>COUNTIF(AT18:BH18,"*OK*")</f>
        <v>0</v>
      </c>
      <c r="CM18" s="328"/>
      <c r="CN18" s="328">
        <f>COUNTIF(AT18:BH18,"*OP*")</f>
        <v>3</v>
      </c>
    </row>
    <row r="19" spans="1:93" ht="14.25" customHeight="1">
      <c r="A19" s="834">
        <v>37069</v>
      </c>
      <c r="B19" s="560" t="s">
        <v>238</v>
      </c>
      <c r="C19" s="329">
        <f t="shared" si="2"/>
        <v>1103.7528</v>
      </c>
      <c r="D19" s="332">
        <f>COUNTIF(AX19:BI19,"OK")</f>
        <v>0</v>
      </c>
      <c r="E19" s="328" t="s">
        <v>93</v>
      </c>
      <c r="F19" s="376" t="s">
        <v>239</v>
      </c>
      <c r="G19" s="621"/>
      <c r="H19" s="650">
        <f>IF(LEN(TRIM($G19&amp;""))=0, $C19, SUMIF($G$3:$G$561, TRIM($G19), $C$3:$C$561))</f>
        <v>1103.7528</v>
      </c>
      <c r="I19" s="416" t="s">
        <v>76</v>
      </c>
      <c r="J19" s="328"/>
      <c r="K19" s="328"/>
      <c r="L19" s="328"/>
      <c r="M19" s="391"/>
      <c r="N19" s="332"/>
      <c r="O19" s="541" t="s">
        <v>240</v>
      </c>
      <c r="P19" s="541" t="s">
        <v>241</v>
      </c>
      <c r="Q19" s="541" t="s">
        <v>242</v>
      </c>
      <c r="R19" s="332" t="s">
        <v>81</v>
      </c>
      <c r="S19" s="332"/>
      <c r="T19" s="328" t="s">
        <v>88</v>
      </c>
      <c r="U19" s="344"/>
      <c r="V19" s="335"/>
      <c r="W19" s="335"/>
      <c r="X19" s="335"/>
      <c r="Y19" s="336"/>
      <c r="Z19" s="337">
        <v>1019.0818</v>
      </c>
      <c r="AA19" s="405">
        <v>1007.91</v>
      </c>
      <c r="AB19" s="405">
        <v>1016.4101000000001</v>
      </c>
      <c r="AC19" s="642">
        <v>1727.5069000000001</v>
      </c>
      <c r="AD19" s="405">
        <v>1103.7528</v>
      </c>
      <c r="AE19" s="339">
        <v>241</v>
      </c>
      <c r="AF19" s="340" t="s">
        <v>103</v>
      </c>
      <c r="AG19" s="334"/>
      <c r="AH19" s="328"/>
      <c r="AI19" s="343"/>
      <c r="AJ19" s="343"/>
      <c r="AK19" s="344"/>
      <c r="AL19" s="372" t="s">
        <v>103</v>
      </c>
      <c r="AM19" s="328"/>
      <c r="AN19" s="328"/>
      <c r="AO19" s="328"/>
      <c r="AP19" s="328"/>
      <c r="AQ19" s="328"/>
      <c r="AR19" s="451"/>
      <c r="AS19" s="344"/>
      <c r="AT19" s="345"/>
      <c r="AU19" s="345"/>
      <c r="AV19" s="345"/>
      <c r="AW19" s="345" t="s">
        <v>173</v>
      </c>
      <c r="AX19" s="345" t="s">
        <v>173</v>
      </c>
      <c r="AY19" s="345"/>
      <c r="AZ19" s="345"/>
      <c r="BA19" s="345"/>
      <c r="BB19" s="345"/>
      <c r="BC19" s="345"/>
      <c r="BD19" s="345"/>
      <c r="BE19" s="345"/>
      <c r="BF19" s="345"/>
      <c r="BG19" s="345"/>
      <c r="BH19" s="345"/>
      <c r="BI19" s="345"/>
      <c r="BJ19" s="346">
        <f>COUNTIF(AT19:BI19,"*OP*")</f>
        <v>2</v>
      </c>
      <c r="BK19" s="344" t="s">
        <v>103</v>
      </c>
      <c r="BL19" s="328">
        <f>(COUNTIF(AT19:AV19,"*OK*")*3) + (COUNTIF(AW19:AY19,"*OK*")*2) + COUNTIF(AZ19:BB19,"*OK*")+COUNTIF(BK19:BK19,"SI")*0.5</f>
        <v>0</v>
      </c>
      <c r="BM19" s="328" t="str">
        <f>IF(BL19&lt;0.6,"Demasiado Riesgo",IF(BL19&lt;=5,"Riesgo Medio",IF(BL19&lt;=11,"Riesgo Bajo","Cliente Blindado")))</f>
        <v>Demasiado Riesgo</v>
      </c>
      <c r="BN19" s="328"/>
      <c r="BO19" s="349"/>
      <c r="BP19" s="349">
        <v>0</v>
      </c>
      <c r="BQ19" s="349"/>
      <c r="BR19" s="349"/>
      <c r="BS19" s="349"/>
      <c r="BT19" s="349"/>
      <c r="BU19" s="349"/>
      <c r="BV19" s="349"/>
      <c r="BW19" s="349"/>
      <c r="BX19" s="349"/>
      <c r="BY19" s="349"/>
      <c r="BZ19" s="349"/>
      <c r="CA19" s="349"/>
      <c r="CB19" s="349"/>
      <c r="CC19" s="349"/>
      <c r="CD19" s="349"/>
      <c r="CE19" s="349"/>
      <c r="CF19" s="349"/>
      <c r="CG19" s="349"/>
      <c r="CH19" s="349"/>
      <c r="CI19" s="349"/>
      <c r="CJ19" s="349"/>
      <c r="CK19" s="349"/>
      <c r="CL19" s="349">
        <f>COUNTIF(AT19:BH19,"*OK*")</f>
        <v>0</v>
      </c>
      <c r="CM19" s="349"/>
      <c r="CN19" s="349">
        <f>COUNTIF(AT19:BH19,"*OP*")</f>
        <v>2</v>
      </c>
    </row>
    <row r="20" spans="1:93" ht="14.25" customHeight="1">
      <c r="A20" s="835">
        <v>32725</v>
      </c>
      <c r="B20" s="560" t="s">
        <v>243</v>
      </c>
      <c r="C20" s="329">
        <f t="shared" si="2"/>
        <v>1779.8013000000001</v>
      </c>
      <c r="D20" s="352">
        <f>COUNTIF(AT20:BH20,"*OK*")</f>
        <v>1</v>
      </c>
      <c r="E20" s="331" t="s">
        <v>73</v>
      </c>
      <c r="F20" s="855" t="s">
        <v>244</v>
      </c>
      <c r="G20" s="622" t="s">
        <v>245</v>
      </c>
      <c r="H20" s="650">
        <f>IF(LEN(TRIM($G20&amp;""))=0, $C20, SUMIF($G$3:$G$561, TRIM($G20), $C$3:$C$561))</f>
        <v>1779.8013000000001</v>
      </c>
      <c r="I20" s="416" t="s">
        <v>76</v>
      </c>
      <c r="J20" s="351"/>
      <c r="K20" s="558"/>
      <c r="L20" s="558" t="str">
        <f>HYPERLINK("https://crm.zoho.com/crm/org685875245/tab/Accounts/3525045000416193121","https://crm.zoho.com/crm/org685875245/tab/Accounts/3525045000416193121")</f>
        <v>https://crm.zoho.com/crm/org685875245/tab/Accounts/3525045000416193121</v>
      </c>
      <c r="M20" s="553" t="s">
        <v>77</v>
      </c>
      <c r="N20" s="558" t="s">
        <v>246</v>
      </c>
      <c r="O20" s="559" t="s">
        <v>247</v>
      </c>
      <c r="P20" s="559" t="s">
        <v>248</v>
      </c>
      <c r="Q20" s="559" t="s">
        <v>249</v>
      </c>
      <c r="R20" s="558"/>
      <c r="S20" s="352"/>
      <c r="T20" s="351"/>
      <c r="U20" s="354" t="s">
        <v>82</v>
      </c>
      <c r="V20" s="355">
        <v>1621.79</v>
      </c>
      <c r="W20" s="355">
        <v>1899.63</v>
      </c>
      <c r="X20" s="355">
        <v>2064.25</v>
      </c>
      <c r="Y20" s="356">
        <v>2613.52</v>
      </c>
      <c r="Z20" s="337">
        <v>2817.7265000000002</v>
      </c>
      <c r="AA20" s="367">
        <v>3838.96</v>
      </c>
      <c r="AB20" s="367">
        <v>2439.1536000000001</v>
      </c>
      <c r="AC20" s="636">
        <v>1725.1597999999999</v>
      </c>
      <c r="AD20" s="367">
        <v>1779.8013000000001</v>
      </c>
      <c r="AE20" s="357">
        <v>2147</v>
      </c>
      <c r="AF20" s="358">
        <v>3000</v>
      </c>
      <c r="AG20" s="354"/>
      <c r="AH20" s="359" t="s">
        <v>83</v>
      </c>
      <c r="AI20" s="361" t="s">
        <v>83</v>
      </c>
      <c r="AJ20" s="361" t="s">
        <v>101</v>
      </c>
      <c r="AK20" s="362" t="s">
        <v>250</v>
      </c>
      <c r="AL20" s="358" t="s">
        <v>101</v>
      </c>
      <c r="AM20" s="349"/>
      <c r="AN20" s="349"/>
      <c r="AO20" s="349"/>
      <c r="AP20" s="349"/>
      <c r="AQ20" s="349"/>
      <c r="AR20" s="453" t="s">
        <v>115</v>
      </c>
      <c r="AS20" s="363" t="s">
        <v>88</v>
      </c>
      <c r="AT20" s="345"/>
      <c r="AU20" s="345"/>
      <c r="AV20" s="345"/>
      <c r="AW20" s="345"/>
      <c r="AX20" s="345" t="s">
        <v>251</v>
      </c>
      <c r="AY20" s="345"/>
      <c r="AZ20" s="345"/>
      <c r="BA20" s="345"/>
      <c r="BB20" s="345"/>
      <c r="BC20" s="345"/>
      <c r="BD20" s="345"/>
      <c r="BE20" s="345"/>
      <c r="BF20" s="345"/>
      <c r="BG20" s="345"/>
      <c r="BH20" s="345"/>
      <c r="BI20" s="345"/>
      <c r="BJ20" s="364">
        <f>COUNTIF(AT20:BI20,"*OP*")</f>
        <v>0</v>
      </c>
      <c r="BK20" s="363" t="s">
        <v>103</v>
      </c>
      <c r="BL20" s="349">
        <f>(COUNTIF(AT20:AV20,"*OK*")*3) + (COUNTIF(AW20:AY20,"*OK*")*2) + COUNTIF(AZ20:BB20,"*OK*")+COUNTIF(BK20:BK20,"SI")*0.5</f>
        <v>2</v>
      </c>
      <c r="BM20" s="349" t="str">
        <f>IF(BL20&lt;0.6,"Demasiado Riesgo",IF(BL20&lt;=5,"Riesgo Medio",IF(BL20&lt;=11,"Riesgo Bajo","Cliente Blindado")))</f>
        <v>Riesgo Medio</v>
      </c>
      <c r="BN20" s="349"/>
      <c r="BO20" s="328" t="s">
        <v>252</v>
      </c>
      <c r="BP20" s="328">
        <v>0</v>
      </c>
      <c r="BQ20" s="328" t="s">
        <v>192</v>
      </c>
      <c r="BR20" s="328"/>
      <c r="BS20" s="328"/>
      <c r="BT20" s="328"/>
      <c r="BU20" s="328"/>
      <c r="BV20" s="328"/>
      <c r="BW20" s="328"/>
      <c r="BX20" s="328"/>
      <c r="BY20" s="328"/>
      <c r="BZ20" s="328"/>
      <c r="CA20" s="328"/>
      <c r="CB20" s="328"/>
      <c r="CC20" s="328"/>
      <c r="CD20" s="328"/>
      <c r="CE20" s="328"/>
      <c r="CF20" s="328"/>
      <c r="CG20" s="328"/>
      <c r="CH20" s="328"/>
      <c r="CI20" s="328"/>
      <c r="CJ20" s="328"/>
      <c r="CK20" s="328"/>
      <c r="CL20" s="328">
        <f>COUNTIF(AT20:BH20,"*OK*")</f>
        <v>1</v>
      </c>
      <c r="CM20" s="328"/>
      <c r="CN20" s="328">
        <f>COUNTIF(AT20:BH20,"*OP*")</f>
        <v>0</v>
      </c>
    </row>
    <row r="21" spans="1:93" ht="14.25" customHeight="1">
      <c r="A21" s="835">
        <v>21102</v>
      </c>
      <c r="B21" s="560" t="s">
        <v>253</v>
      </c>
      <c r="C21" s="329">
        <f t="shared" si="2"/>
        <v>1610.3477</v>
      </c>
      <c r="D21" s="352">
        <f>COUNTIF(AT21:BH21,"*OK*")</f>
        <v>0</v>
      </c>
      <c r="E21" s="351" t="s">
        <v>93</v>
      </c>
      <c r="F21" s="432" t="s">
        <v>254</v>
      </c>
      <c r="G21" s="622"/>
      <c r="H21" s="650">
        <f>IF(LEN(TRIM($G21&amp;""))=0, $C21, SUMIF($G$3:$G$561, TRIM($G21), $C$3:$C$561))</f>
        <v>1610.3477</v>
      </c>
      <c r="I21" s="413" t="s">
        <v>76</v>
      </c>
      <c r="J21" s="351"/>
      <c r="K21" s="349"/>
      <c r="L21" s="349" t="str">
        <f>HYPERLINK("https://crm.zoho.com/crm/org685875245/tab/Accounts/3525045000199863226","https://crm.zoho.com/crm/org685875245/tab/Accounts/3525045000199863226")</f>
        <v>https://crm.zoho.com/crm/org685875245/tab/Accounts/3525045000199863226</v>
      </c>
      <c r="M21" s="359" t="s">
        <v>96</v>
      </c>
      <c r="N21" s="359"/>
      <c r="O21" s="545" t="s">
        <v>255</v>
      </c>
      <c r="P21" s="545" t="s">
        <v>256</v>
      </c>
      <c r="Q21" s="545" t="s">
        <v>257</v>
      </c>
      <c r="R21" s="359"/>
      <c r="S21" s="359"/>
      <c r="T21" s="351"/>
      <c r="U21" s="362" t="s">
        <v>198</v>
      </c>
      <c r="V21" s="355">
        <v>1627.97</v>
      </c>
      <c r="W21" s="355">
        <v>1653.86</v>
      </c>
      <c r="X21" s="355">
        <v>1582.48</v>
      </c>
      <c r="Y21" s="356">
        <v>1628.98</v>
      </c>
      <c r="Z21" s="337">
        <v>1660.2541000000001</v>
      </c>
      <c r="AA21" s="365">
        <v>1633.05</v>
      </c>
      <c r="AB21" s="365">
        <v>1662.5563999999999</v>
      </c>
      <c r="AC21" s="635">
        <v>1701.7467999999999</v>
      </c>
      <c r="AD21" s="365">
        <v>1610.3477</v>
      </c>
      <c r="AE21" s="357">
        <v>708</v>
      </c>
      <c r="AF21" s="358">
        <v>800</v>
      </c>
      <c r="AG21" s="354"/>
      <c r="AH21" s="359"/>
      <c r="AI21" s="361" t="s">
        <v>258</v>
      </c>
      <c r="AJ21" s="361" t="s">
        <v>130</v>
      </c>
      <c r="AK21" s="362" t="s">
        <v>259</v>
      </c>
      <c r="AL21" s="358" t="s">
        <v>103</v>
      </c>
      <c r="AM21" s="349"/>
      <c r="AN21" s="349" t="s">
        <v>152</v>
      </c>
      <c r="AO21" s="349"/>
      <c r="AP21" s="349"/>
      <c r="AQ21" s="349"/>
      <c r="AR21" s="453"/>
      <c r="AS21" s="371" t="s">
        <v>88</v>
      </c>
      <c r="AT21" s="345" t="s">
        <v>260</v>
      </c>
      <c r="AU21" s="345" t="s">
        <v>261</v>
      </c>
      <c r="AV21" s="345" t="s">
        <v>262</v>
      </c>
      <c r="AW21" s="345" t="s">
        <v>173</v>
      </c>
      <c r="AX21" s="345"/>
      <c r="AY21" s="345"/>
      <c r="AZ21" s="345"/>
      <c r="BA21" s="345"/>
      <c r="BB21" s="345"/>
      <c r="BC21" s="345"/>
      <c r="BD21" s="345"/>
      <c r="BE21" s="345"/>
      <c r="BF21" s="345"/>
      <c r="BG21" s="345"/>
      <c r="BH21" s="345"/>
      <c r="BI21" s="345"/>
      <c r="BJ21" s="364">
        <f>COUNTIF(AT21:BI21,"*OP*")</f>
        <v>3</v>
      </c>
      <c r="BK21" s="363" t="s">
        <v>103</v>
      </c>
      <c r="BL21" s="349">
        <f>(COUNTIF(AT21:AV21,"*OK*")*3) + (COUNTIF(AW21:AY21,"*OK*")*2) + COUNTIF(AZ21:BB21,"*OK*")+COUNTIF(BK21:BK21,"SI")*0.5</f>
        <v>0</v>
      </c>
      <c r="BM21" s="349" t="str">
        <f>IF(BL21&lt;0.6,"Demasiado Riesgo",IF(BL21&lt;=5,"Riesgo Medio",IF(BL21&lt;=11,"Riesgo Bajo","Cliente Blindado")))</f>
        <v>Demasiado Riesgo</v>
      </c>
      <c r="BN21" s="349" t="s">
        <v>134</v>
      </c>
      <c r="BO21" s="349"/>
      <c r="BP21" s="349">
        <v>0</v>
      </c>
      <c r="BQ21" s="349"/>
      <c r="BR21" s="349"/>
      <c r="BS21" s="349"/>
      <c r="BT21" s="349"/>
      <c r="BU21" s="349"/>
      <c r="BV21" s="349"/>
      <c r="BW21" s="349"/>
      <c r="BX21" s="349"/>
      <c r="BY21" s="349"/>
      <c r="BZ21" s="349"/>
      <c r="CA21" s="349"/>
      <c r="CB21" s="349"/>
      <c r="CC21" s="349"/>
      <c r="CD21" s="349"/>
      <c r="CE21" s="349"/>
      <c r="CF21" s="349"/>
      <c r="CG21" s="349"/>
      <c r="CH21" s="349"/>
      <c r="CI21" s="349"/>
      <c r="CJ21" s="349"/>
      <c r="CK21" s="349"/>
      <c r="CL21" s="349">
        <f>COUNTIF(AT21:BH21,"*OK*")</f>
        <v>0</v>
      </c>
      <c r="CM21" s="349"/>
      <c r="CN21" s="349">
        <f>COUNTIF(AT21:BH21,"*OP*")</f>
        <v>3</v>
      </c>
      <c r="CO21" s="285"/>
    </row>
    <row r="22" spans="1:93" ht="14.25" customHeight="1">
      <c r="A22" s="835">
        <v>3946</v>
      </c>
      <c r="B22" s="560" t="s">
        <v>263</v>
      </c>
      <c r="C22" s="329">
        <f t="shared" si="2"/>
        <v>1605.0247999999999</v>
      </c>
      <c r="D22" s="352">
        <f>COUNTIF(AT22:BH22,"*OK*")</f>
        <v>0</v>
      </c>
      <c r="E22" s="351" t="s">
        <v>93</v>
      </c>
      <c r="F22" s="429" t="s">
        <v>264</v>
      </c>
      <c r="G22" s="622"/>
      <c r="H22" s="650">
        <f>IF(LEN(TRIM($G22&amp;""))=0, $C22, SUMIF($G$3:$G$561, TRIM($G22), $C$3:$C$561))</f>
        <v>1605.0247999999999</v>
      </c>
      <c r="I22" s="413" t="s">
        <v>76</v>
      </c>
      <c r="J22" s="351"/>
      <c r="K22" s="349"/>
      <c r="L22" s="349" t="str">
        <f>HYPERLINK("https://crm.zoho.com/crm/org685875245/tab/Accounts/3525045000025417377","https://crm.zoho.com/crm/org685875245/tab/Accounts/3525045000025417377")</f>
        <v>https://crm.zoho.com/crm/org685875245/tab/Accounts/3525045000025417377</v>
      </c>
      <c r="M22" s="359" t="s">
        <v>77</v>
      </c>
      <c r="N22" s="460" t="s">
        <v>265</v>
      </c>
      <c r="O22" s="549" t="s">
        <v>266</v>
      </c>
      <c r="P22" s="549" t="s">
        <v>267</v>
      </c>
      <c r="Q22" s="549" t="s">
        <v>268</v>
      </c>
      <c r="R22" s="359" t="s">
        <v>111</v>
      </c>
      <c r="S22" s="460"/>
      <c r="T22" s="351"/>
      <c r="U22" s="362" t="s">
        <v>82</v>
      </c>
      <c r="V22" s="355">
        <v>1686.99</v>
      </c>
      <c r="W22" s="355">
        <v>1802.97</v>
      </c>
      <c r="X22" s="355">
        <v>1790.42</v>
      </c>
      <c r="Y22" s="356">
        <v>1873.76</v>
      </c>
      <c r="Z22" s="337">
        <v>1906.7852</v>
      </c>
      <c r="AA22" s="365">
        <v>1852.39</v>
      </c>
      <c r="AB22" s="365">
        <v>1641.9793</v>
      </c>
      <c r="AC22" s="635">
        <v>1627.1865</v>
      </c>
      <c r="AD22" s="365">
        <v>1605.0247999999999</v>
      </c>
      <c r="AE22" s="357">
        <v>685</v>
      </c>
      <c r="AF22" s="358">
        <v>500</v>
      </c>
      <c r="AG22" s="354"/>
      <c r="AH22" s="359"/>
      <c r="AI22" s="361" t="s">
        <v>129</v>
      </c>
      <c r="AJ22" s="361" t="s">
        <v>130</v>
      </c>
      <c r="AK22" s="362" t="s">
        <v>269</v>
      </c>
      <c r="AL22" s="358" t="s">
        <v>103</v>
      </c>
      <c r="AM22" s="349"/>
      <c r="AN22" s="349" t="s">
        <v>152</v>
      </c>
      <c r="AO22" s="349"/>
      <c r="AP22" s="349"/>
      <c r="AQ22" s="349"/>
      <c r="AR22" s="453"/>
      <c r="AS22" s="371" t="s">
        <v>103</v>
      </c>
      <c r="AT22" s="345"/>
      <c r="AU22" s="345"/>
      <c r="AV22" s="345"/>
      <c r="AW22" s="345"/>
      <c r="AX22" s="345"/>
      <c r="AY22" s="345"/>
      <c r="AZ22" s="345"/>
      <c r="BA22" s="345"/>
      <c r="BB22" s="345"/>
      <c r="BC22" s="345"/>
      <c r="BD22" s="345"/>
      <c r="BE22" s="345"/>
      <c r="BF22" s="345"/>
      <c r="BG22" s="345"/>
      <c r="BH22" s="345"/>
      <c r="BI22" s="345"/>
      <c r="BJ22" s="364">
        <f>COUNTIF(AT22:BI22,"*OP*")</f>
        <v>0</v>
      </c>
      <c r="BK22" s="363" t="s">
        <v>103</v>
      </c>
      <c r="BL22" s="349">
        <f>(COUNTIF(AT22:AV22,"*OK*")*3) + (COUNTIF(AW22:AY22,"*OK*")*2) + COUNTIF(AZ22:BB22,"*OK*")+COUNTIF(BK22:BK22,"SI")*0.5</f>
        <v>0</v>
      </c>
      <c r="BM22" s="349" t="str">
        <f>IF(BL22&lt;0.6,"Demasiado Riesgo",IF(BL22&lt;=5,"Riesgo Medio",IF(BL22&lt;=11,"Riesgo Bajo","Cliente Blindado")))</f>
        <v>Demasiado Riesgo</v>
      </c>
      <c r="BN22" s="349"/>
      <c r="BO22" s="349"/>
      <c r="BP22" s="349"/>
      <c r="BQ22" s="349"/>
      <c r="BR22" s="349"/>
      <c r="BS22" s="349"/>
      <c r="BT22" s="349"/>
      <c r="BU22" s="349"/>
      <c r="BV22" s="349"/>
      <c r="BW22" s="349"/>
      <c r="BX22" s="349"/>
      <c r="BY22" s="349"/>
      <c r="BZ22" s="349"/>
      <c r="CA22" s="349"/>
      <c r="CB22" s="349"/>
      <c r="CC22" s="349"/>
      <c r="CD22" s="349"/>
      <c r="CE22" s="349"/>
      <c r="CF22" s="349"/>
      <c r="CG22" s="349"/>
      <c r="CH22" s="349"/>
      <c r="CI22" s="349"/>
      <c r="CJ22" s="349"/>
      <c r="CK22" s="349"/>
      <c r="CL22" s="349">
        <f>COUNTIF(AT22:BH22,"*OK*")</f>
        <v>0</v>
      </c>
    </row>
    <row r="23" spans="1:93" ht="14.25" customHeight="1">
      <c r="A23" s="835">
        <v>24950</v>
      </c>
      <c r="B23" s="560" t="s">
        <v>270</v>
      </c>
      <c r="C23" s="329">
        <f t="shared" si="2"/>
        <v>1387.4171999999999</v>
      </c>
      <c r="D23" s="352">
        <f>COUNTIF(AT23:BH23,"*OK*")</f>
        <v>0</v>
      </c>
      <c r="E23" s="351" t="s">
        <v>93</v>
      </c>
      <c r="F23" s="424" t="s">
        <v>271</v>
      </c>
      <c r="G23" s="622"/>
      <c r="H23" s="650">
        <f>IF(LEN(TRIM($G23&amp;""))=0, $C23, SUMIF($G$3:$G$561, TRIM($G23), $C$3:$C$561))</f>
        <v>1387.4171999999999</v>
      </c>
      <c r="I23" s="413" t="s">
        <v>76</v>
      </c>
      <c r="J23" s="351"/>
      <c r="K23" s="349"/>
      <c r="L23" s="349"/>
      <c r="M23" s="359" t="s">
        <v>77</v>
      </c>
      <c r="N23" s="460" t="s">
        <v>272</v>
      </c>
      <c r="O23" s="549" t="s">
        <v>273</v>
      </c>
      <c r="P23" s="549" t="s">
        <v>274</v>
      </c>
      <c r="Q23" s="549" t="s">
        <v>275</v>
      </c>
      <c r="R23" s="359" t="s">
        <v>111</v>
      </c>
      <c r="S23" s="460"/>
      <c r="T23" s="351"/>
      <c r="U23" s="362" t="s">
        <v>82</v>
      </c>
      <c r="V23" s="355">
        <v>1287.8</v>
      </c>
      <c r="W23" s="355">
        <v>1324.06</v>
      </c>
      <c r="X23" s="355">
        <v>1313.45</v>
      </c>
      <c r="Y23" s="356">
        <v>1206.49</v>
      </c>
      <c r="Z23" s="337">
        <v>1212.9037000000001</v>
      </c>
      <c r="AA23" s="367">
        <v>1505.86</v>
      </c>
      <c r="AB23" s="367">
        <v>1407.0710999999999</v>
      </c>
      <c r="AC23" s="636">
        <v>1525.6514999999999</v>
      </c>
      <c r="AD23" s="367">
        <v>1387.4171999999999</v>
      </c>
      <c r="AE23" s="357">
        <v>1366</v>
      </c>
      <c r="AF23" s="358">
        <v>1500</v>
      </c>
      <c r="AG23" s="354"/>
      <c r="AH23" s="359"/>
      <c r="AI23" s="361" t="s">
        <v>112</v>
      </c>
      <c r="AJ23" s="361" t="s">
        <v>120</v>
      </c>
      <c r="AK23" s="362" t="s">
        <v>276</v>
      </c>
      <c r="AL23" s="358" t="s">
        <v>103</v>
      </c>
      <c r="AM23" s="349"/>
      <c r="AN23" s="349" t="s">
        <v>152</v>
      </c>
      <c r="AO23" s="349"/>
      <c r="AP23" s="349"/>
      <c r="AQ23" s="349" t="s">
        <v>277</v>
      </c>
      <c r="AR23" s="453"/>
      <c r="AS23" s="371" t="s">
        <v>88</v>
      </c>
      <c r="AT23" s="345"/>
      <c r="AU23" s="345"/>
      <c r="AV23" s="345"/>
      <c r="AW23" s="345"/>
      <c r="AX23" s="345"/>
      <c r="AY23" s="345"/>
      <c r="AZ23" s="345"/>
      <c r="BA23" s="345"/>
      <c r="BB23" s="345"/>
      <c r="BC23" s="345"/>
      <c r="BD23" s="345"/>
      <c r="BE23" s="345"/>
      <c r="BF23" s="345"/>
      <c r="BG23" s="345"/>
      <c r="BH23" s="345"/>
      <c r="BI23" s="345"/>
      <c r="BJ23" s="364">
        <f>COUNTIF(AT23:BI23,"*OP*")</f>
        <v>0</v>
      </c>
      <c r="BK23" s="363" t="s">
        <v>89</v>
      </c>
      <c r="BL23" s="349">
        <f>(COUNTIF(AT23:AV23,"*OK*")*3) + (COUNTIF(AW23:AY23,"*OK*")*2) + COUNTIF(AZ23:BB23,"*OK*")+COUNTIF(BK23:BK23,"SI")*0.5</f>
        <v>0</v>
      </c>
      <c r="BM23" s="349" t="str">
        <f>IF(BL23&lt;0.6,"Demasiado Riesgo",IF(BL23&lt;=5,"Riesgo Medio",IF(BL23&lt;=11,"Riesgo Bajo","Cliente Blindado")))</f>
        <v>Demasiado Riesgo</v>
      </c>
      <c r="BN23" s="349"/>
      <c r="BO23" s="328"/>
      <c r="BP23" s="328">
        <v>0</v>
      </c>
      <c r="BQ23" s="328"/>
      <c r="BR23" s="328"/>
      <c r="BS23" s="328"/>
      <c r="BT23" s="328"/>
      <c r="BU23" s="328"/>
      <c r="BV23" s="328"/>
      <c r="BW23" s="328"/>
      <c r="BX23" s="328"/>
      <c r="BY23" s="328"/>
      <c r="BZ23" s="328"/>
      <c r="CA23" s="328"/>
      <c r="CB23" s="328"/>
      <c r="CC23" s="328"/>
      <c r="CD23" s="328"/>
      <c r="CE23" s="328"/>
      <c r="CF23" s="328"/>
      <c r="CG23" s="328"/>
      <c r="CH23" s="328"/>
      <c r="CI23" s="328"/>
      <c r="CJ23" s="328"/>
      <c r="CK23" s="328"/>
      <c r="CL23" s="328">
        <f>COUNTIF(AT23:BH23,"*OK*")</f>
        <v>0</v>
      </c>
      <c r="CM23" s="328"/>
      <c r="CN23" s="328">
        <f>COUNTIF(AT23:BH23,"*OP*")</f>
        <v>0</v>
      </c>
    </row>
    <row r="24" spans="1:93" ht="14.25" customHeight="1">
      <c r="A24" s="834">
        <v>33731</v>
      </c>
      <c r="B24" s="560" t="s">
        <v>278</v>
      </c>
      <c r="C24" s="329">
        <f t="shared" si="2"/>
        <v>1368.6533999999999</v>
      </c>
      <c r="D24" s="332">
        <f>COUNTIF(AT24:BH24,"*OK*")</f>
        <v>0</v>
      </c>
      <c r="E24" s="331" t="s">
        <v>73</v>
      </c>
      <c r="F24" s="429" t="s">
        <v>279</v>
      </c>
      <c r="G24" s="331"/>
      <c r="H24" s="650">
        <f>IF(LEN(TRIM($G24&amp;""))=0, $C24, SUMIF($G$3:$G$561, TRIM($G24), $C$3:$C$561))</f>
        <v>1368.6533999999999</v>
      </c>
      <c r="I24" s="331" t="s">
        <v>76</v>
      </c>
      <c r="J24" s="331"/>
      <c r="K24" s="560"/>
      <c r="L24" s="560" t="str">
        <f>HYPERLINK("https://crm.zoho.com/crm/org685875245/tab/Accounts/3525045000505513537","https://crm.zoho.com/crm/org685875245/tab/Accounts/3525045000505513537")</f>
        <v>https://crm.zoho.com/crm/org685875245/tab/Accounts/3525045000505513537</v>
      </c>
      <c r="M24" s="391" t="s">
        <v>77</v>
      </c>
      <c r="N24" s="566" t="s">
        <v>280</v>
      </c>
      <c r="O24" s="567" t="s">
        <v>281</v>
      </c>
      <c r="P24" s="567" t="s">
        <v>282</v>
      </c>
      <c r="Q24" s="567" t="s">
        <v>283</v>
      </c>
      <c r="R24" s="560" t="s">
        <v>81</v>
      </c>
      <c r="S24" s="430" t="s">
        <v>284</v>
      </c>
      <c r="T24" s="331"/>
      <c r="U24" s="334" t="s">
        <v>285</v>
      </c>
      <c r="V24" s="335">
        <v>1218.08</v>
      </c>
      <c r="W24" s="335">
        <v>1170.6099999999999</v>
      </c>
      <c r="X24" s="335">
        <v>1135.45</v>
      </c>
      <c r="Y24" s="336">
        <v>1315.65</v>
      </c>
      <c r="Z24" s="337">
        <v>1446.5878</v>
      </c>
      <c r="AA24" s="347">
        <v>1419.3</v>
      </c>
      <c r="AB24" s="347">
        <v>1428.9665</v>
      </c>
      <c r="AC24" s="638">
        <v>1471.6668999999999</v>
      </c>
      <c r="AD24" s="347">
        <v>1368.6533999999999</v>
      </c>
      <c r="AE24" s="339">
        <v>569</v>
      </c>
      <c r="AF24" s="340">
        <v>250</v>
      </c>
      <c r="AG24" s="334"/>
      <c r="AH24" s="341"/>
      <c r="AI24" s="343" t="s">
        <v>100</v>
      </c>
      <c r="AJ24" s="343" t="s">
        <v>130</v>
      </c>
      <c r="AK24" s="344" t="s">
        <v>286</v>
      </c>
      <c r="AL24" s="340" t="s">
        <v>287</v>
      </c>
      <c r="AM24" s="328"/>
      <c r="AN24" s="328"/>
      <c r="AO24" s="328"/>
      <c r="AP24" s="328"/>
      <c r="AQ24" s="328"/>
      <c r="AR24" s="451"/>
      <c r="AS24" s="344" t="s">
        <v>103</v>
      </c>
      <c r="AT24" s="345"/>
      <c r="AU24" s="345"/>
      <c r="AV24" s="345" t="s">
        <v>179</v>
      </c>
      <c r="AW24" s="345" t="s">
        <v>288</v>
      </c>
      <c r="AX24" s="345"/>
      <c r="AY24" s="345"/>
      <c r="AZ24" s="345"/>
      <c r="BA24" s="345"/>
      <c r="BB24" s="345"/>
      <c r="BC24" s="345"/>
      <c r="BD24" s="345"/>
      <c r="BE24" s="345"/>
      <c r="BF24" s="345"/>
      <c r="BG24" s="345"/>
      <c r="BH24" s="345"/>
      <c r="BI24" s="345"/>
      <c r="BJ24" s="364">
        <f>COUNTIF(AT24:BI24,"*OP*")</f>
        <v>1</v>
      </c>
      <c r="BK24" s="375" t="s">
        <v>103</v>
      </c>
      <c r="BL24" s="328">
        <f>(COUNTIF(AT24:AV24,"*OK*")*3) + (COUNTIF(AW24:AY24,"*OK*")*2) + COUNTIF(AZ24:BB24,"*OK*")+COUNTIF(BK24:BK24,"SI")*0.5</f>
        <v>0</v>
      </c>
      <c r="BM24" s="328" t="str">
        <f>IF(BL24&lt;0.6,"Demasiado Riesgo",IF(BL24&lt;=5,"Riesgo Medio",IF(BL24&lt;=11,"Riesgo Bajo","Cliente Blindado")))</f>
        <v>Demasiado Riesgo</v>
      </c>
      <c r="BN24" s="328"/>
      <c r="BO24" s="328" t="s">
        <v>289</v>
      </c>
      <c r="BP24" s="328">
        <v>0</v>
      </c>
      <c r="BQ24" s="287" t="s">
        <v>290</v>
      </c>
      <c r="BR24" s="328"/>
      <c r="BS24" s="328"/>
      <c r="BT24" s="328"/>
      <c r="BU24" s="328"/>
      <c r="BV24" s="328"/>
      <c r="BW24" s="328"/>
      <c r="BX24" s="328"/>
      <c r="BY24" s="328"/>
      <c r="BZ24" s="328"/>
      <c r="CA24" s="328"/>
      <c r="CB24" s="328"/>
      <c r="CC24" s="328"/>
      <c r="CD24" s="328"/>
      <c r="CE24" s="328"/>
      <c r="CF24" s="328"/>
      <c r="CG24" s="328"/>
      <c r="CH24" s="328"/>
      <c r="CI24" s="328"/>
      <c r="CJ24" s="328"/>
      <c r="CK24" s="328"/>
      <c r="CL24" s="328">
        <f>COUNTIF(AT24:BH24,"*OK*")</f>
        <v>0</v>
      </c>
      <c r="CM24" s="328"/>
      <c r="CN24" s="328">
        <f>COUNTIF(AT24:BH24,"*OP*")</f>
        <v>1</v>
      </c>
    </row>
    <row r="25" spans="1:93" ht="14.25" customHeight="1">
      <c r="A25" s="834">
        <v>17458</v>
      </c>
      <c r="B25" s="560" t="s">
        <v>291</v>
      </c>
      <c r="C25" s="329">
        <f t="shared" si="2"/>
        <v>1417.5</v>
      </c>
      <c r="D25" s="332">
        <f>COUNTIF(AT25:BH25,"*OK*")</f>
        <v>4</v>
      </c>
      <c r="E25" s="331" t="s">
        <v>93</v>
      </c>
      <c r="F25" s="331" t="s">
        <v>292</v>
      </c>
      <c r="G25" s="331"/>
      <c r="H25" s="650">
        <f>IF(LEN(TRIM($G25&amp;""))=0, $C25, SUMIF($G$3:$G$561, TRIM($G25), $C$3:$C$561))</f>
        <v>1417.5</v>
      </c>
      <c r="I25" s="410" t="s">
        <v>76</v>
      </c>
      <c r="J25" s="331"/>
      <c r="K25" s="328"/>
      <c r="L25" s="328" t="str">
        <f>HYPERLINK("https://crm.zoho.com/crm/org685875245/tab/Accounts/3525045000069562306","https://crm.zoho.com/crm/org685875245/tab/Accounts/3525045000069562306")</f>
        <v>https://crm.zoho.com/crm/org685875245/tab/Accounts/3525045000069562306</v>
      </c>
      <c r="M25" s="341" t="s">
        <v>77</v>
      </c>
      <c r="N25" s="341"/>
      <c r="O25" s="548" t="s">
        <v>293</v>
      </c>
      <c r="P25" s="548" t="s">
        <v>294</v>
      </c>
      <c r="Q25" s="548" t="s">
        <v>295</v>
      </c>
      <c r="R25" s="341" t="s">
        <v>296</v>
      </c>
      <c r="S25" s="341"/>
      <c r="T25" s="331"/>
      <c r="U25" s="344" t="s">
        <v>82</v>
      </c>
      <c r="V25" s="335">
        <v>1417.5</v>
      </c>
      <c r="W25" s="335">
        <v>1417.5</v>
      </c>
      <c r="X25" s="335">
        <v>1417.5</v>
      </c>
      <c r="Y25" s="336">
        <v>1417.5</v>
      </c>
      <c r="Z25" s="337">
        <v>1417.5</v>
      </c>
      <c r="AA25" s="347">
        <v>1417.5</v>
      </c>
      <c r="AB25" s="347">
        <v>1417.5</v>
      </c>
      <c r="AC25" s="638">
        <v>1417.5</v>
      </c>
      <c r="AD25" s="347">
        <v>1417.5</v>
      </c>
      <c r="AE25" s="339">
        <v>949</v>
      </c>
      <c r="AF25" s="340">
        <v>800</v>
      </c>
      <c r="AG25" s="334"/>
      <c r="AH25" s="341"/>
      <c r="AI25" s="343" t="s">
        <v>83</v>
      </c>
      <c r="AJ25" s="343" t="s">
        <v>297</v>
      </c>
      <c r="AK25" s="344" t="s">
        <v>298</v>
      </c>
      <c r="AL25" s="340" t="s">
        <v>103</v>
      </c>
      <c r="AM25" s="328"/>
      <c r="AN25" s="328" t="s">
        <v>104</v>
      </c>
      <c r="AO25" s="328"/>
      <c r="AP25" s="328"/>
      <c r="AQ25" s="328"/>
      <c r="AR25" s="451"/>
      <c r="AS25" s="375" t="s">
        <v>103</v>
      </c>
      <c r="AT25" s="345" t="s">
        <v>299</v>
      </c>
      <c r="AU25" s="345"/>
      <c r="AV25" s="421" t="s">
        <v>300</v>
      </c>
      <c r="AW25" s="345" t="s">
        <v>299</v>
      </c>
      <c r="AX25" s="345" t="s">
        <v>300</v>
      </c>
      <c r="AY25" s="345"/>
      <c r="AZ25" s="345"/>
      <c r="BA25" s="594"/>
      <c r="BB25" s="345"/>
      <c r="BC25" s="345"/>
      <c r="BD25" s="345"/>
      <c r="BE25" s="345"/>
      <c r="BF25" s="345"/>
      <c r="BG25" s="345"/>
      <c r="BH25" s="345"/>
      <c r="BI25" s="345"/>
      <c r="BJ25" s="364">
        <f>COUNTIF(AT25:BI25,"*OP*")</f>
        <v>0</v>
      </c>
      <c r="BK25" s="375" t="s">
        <v>89</v>
      </c>
      <c r="BL25" s="328">
        <f>(COUNTIF(AT25:AV25,"*OK*")*3) + (COUNTIF(AW25:AY25,"*OK*")*2) + COUNTIF(AZ25:BB25,"*OK*")+COUNTIF(BK25:BK25,"SI")*0.5</f>
        <v>10</v>
      </c>
      <c r="BM25" s="328" t="str">
        <f>IF(BL25&lt;0.6,"Demasiado Riesgo",IF(BL25&lt;=5,"Riesgo Medio",IF(BL25&lt;=11,"Riesgo Bajo","Cliente Blindado")))</f>
        <v>Riesgo Bajo</v>
      </c>
      <c r="BN25" s="328"/>
      <c r="BO25" s="349"/>
      <c r="BP25" s="349">
        <v>0</v>
      </c>
      <c r="BQ25" s="349"/>
      <c r="BR25" s="349"/>
      <c r="BS25" s="349"/>
      <c r="BT25" s="349"/>
      <c r="BU25" s="349"/>
      <c r="BV25" s="349"/>
      <c r="BW25" s="349"/>
      <c r="BX25" s="349"/>
      <c r="BY25" s="349"/>
      <c r="BZ25" s="349"/>
      <c r="CA25" s="349"/>
      <c r="CB25" s="349"/>
      <c r="CC25" s="349"/>
      <c r="CD25" s="349"/>
      <c r="CE25" s="349"/>
      <c r="CF25" s="349"/>
      <c r="CG25" s="349"/>
      <c r="CH25" s="349"/>
      <c r="CI25" s="349"/>
      <c r="CJ25" s="349"/>
      <c r="CK25" s="349"/>
      <c r="CL25" s="349">
        <f>COUNTIF(AT25:BH25,"*OK*")</f>
        <v>4</v>
      </c>
      <c r="CM25" s="349"/>
      <c r="CN25" s="349">
        <f>COUNTIF(AT25:BH25,"*OP*")</f>
        <v>0</v>
      </c>
    </row>
    <row r="26" spans="1:93" ht="14.25" customHeight="1">
      <c r="A26" s="837">
        <v>26081</v>
      </c>
      <c r="B26" s="560" t="s">
        <v>301</v>
      </c>
      <c r="C26" s="329">
        <f t="shared" si="2"/>
        <v>1370.9895000000001</v>
      </c>
      <c r="D26" s="352">
        <f>COUNTIF(AT26:BH26,"*OK*")</f>
        <v>1</v>
      </c>
      <c r="E26" s="351" t="s">
        <v>93</v>
      </c>
      <c r="F26" s="351" t="s">
        <v>302</v>
      </c>
      <c r="G26" s="622"/>
      <c r="H26" s="650">
        <f>IF(LEN(TRIM($G26&amp;""))=0, $C26, SUMIF($G$3:$G$561, TRIM($G26), $C$3:$C$561))</f>
        <v>1370.9895000000001</v>
      </c>
      <c r="I26" s="413" t="s">
        <v>76</v>
      </c>
      <c r="J26" s="351"/>
      <c r="K26" s="349"/>
      <c r="L26" s="349" t="str">
        <f>HYPERLINK("https://crm.zoho.com/crm/org685875245/tab/Accounts/3525045000316185373","https://crm.zoho.com/crm/org685875245/tab/Accounts/3525045000316185373")</f>
        <v>https://crm.zoho.com/crm/org685875245/tab/Accounts/3525045000316185373</v>
      </c>
      <c r="M26" s="359" t="s">
        <v>77</v>
      </c>
      <c r="N26" s="359"/>
      <c r="O26" s="545" t="s">
        <v>303</v>
      </c>
      <c r="P26" s="545"/>
      <c r="Q26" s="550" t="s">
        <v>304</v>
      </c>
      <c r="R26" s="359"/>
      <c r="S26" s="359"/>
      <c r="T26" s="351"/>
      <c r="U26" s="362" t="s">
        <v>198</v>
      </c>
      <c r="V26" s="355">
        <v>1333.25</v>
      </c>
      <c r="W26" s="355">
        <v>1406.47</v>
      </c>
      <c r="X26" s="355">
        <v>1356.38</v>
      </c>
      <c r="Y26" s="356">
        <v>1365.71</v>
      </c>
      <c r="Z26" s="337">
        <v>1402.0427999999999</v>
      </c>
      <c r="AA26" s="365">
        <v>1353.09</v>
      </c>
      <c r="AB26" s="365">
        <v>1396.1418000000001</v>
      </c>
      <c r="AC26" s="635">
        <v>1400.4377999999999</v>
      </c>
      <c r="AD26" s="365">
        <v>1370.9895000000001</v>
      </c>
      <c r="AE26" s="357">
        <v>943</v>
      </c>
      <c r="AF26" s="358">
        <v>1500</v>
      </c>
      <c r="AG26" s="354"/>
      <c r="AH26" s="359"/>
      <c r="AI26" s="361" t="s">
        <v>112</v>
      </c>
      <c r="AJ26" s="361" t="s">
        <v>130</v>
      </c>
      <c r="AK26" s="362" t="s">
        <v>305</v>
      </c>
      <c r="AL26" s="358" t="s">
        <v>103</v>
      </c>
      <c r="AM26" s="349"/>
      <c r="AN26" s="349" t="s">
        <v>152</v>
      </c>
      <c r="AO26" s="349"/>
      <c r="AP26" s="349"/>
      <c r="AQ26" s="349"/>
      <c r="AR26" s="453"/>
      <c r="AS26" s="371" t="s">
        <v>88</v>
      </c>
      <c r="AT26" s="345"/>
      <c r="AU26" s="345"/>
      <c r="AV26" s="345"/>
      <c r="AW26" s="345" t="s">
        <v>306</v>
      </c>
      <c r="AX26" s="345"/>
      <c r="AY26" s="345"/>
      <c r="AZ26" s="345"/>
      <c r="BA26" s="345"/>
      <c r="BB26" s="345" t="s">
        <v>173</v>
      </c>
      <c r="BC26" s="345"/>
      <c r="BD26" s="345"/>
      <c r="BE26" s="345"/>
      <c r="BF26" s="345"/>
      <c r="BG26" s="345"/>
      <c r="BH26" s="345"/>
      <c r="BI26" s="345" t="s">
        <v>307</v>
      </c>
      <c r="BJ26" s="364">
        <f>COUNTIF(AT26:BI26,"*OP*")</f>
        <v>2</v>
      </c>
      <c r="BK26" s="363" t="s">
        <v>89</v>
      </c>
      <c r="BL26" s="349">
        <f>(COUNTIF(AT26:AV26,"*OK*")*3) + (COUNTIF(AW26:AY26,"*OK*")*2) + COUNTIF(AZ26:BB26,"*OK*")+COUNTIF(BK26:BK26,"SI")*0.5</f>
        <v>2</v>
      </c>
      <c r="BM26" s="349" t="str">
        <f>IF(BL26&lt;0.6,"Demasiado Riesgo",IF(BL26&lt;=5,"Riesgo Medio",IF(BL26&lt;=11,"Riesgo Bajo","Cliente Blindado")))</f>
        <v>Riesgo Medio</v>
      </c>
      <c r="BN26" s="349" t="s">
        <v>134</v>
      </c>
      <c r="BO26" s="328"/>
      <c r="BP26" s="328">
        <v>0</v>
      </c>
      <c r="BQ26" s="328"/>
      <c r="BR26" s="328"/>
      <c r="BS26" s="328"/>
      <c r="BT26" s="328"/>
      <c r="BU26" s="328"/>
      <c r="BV26" s="328"/>
      <c r="BW26" s="328"/>
      <c r="BX26" s="328"/>
      <c r="BY26" s="328"/>
      <c r="BZ26" s="328"/>
      <c r="CA26" s="328"/>
      <c r="CB26" s="328"/>
      <c r="CC26" s="328"/>
      <c r="CD26" s="328"/>
      <c r="CE26" s="328"/>
      <c r="CF26" s="328"/>
      <c r="CG26" s="328"/>
      <c r="CH26" s="328"/>
      <c r="CI26" s="328"/>
      <c r="CJ26" s="328"/>
      <c r="CK26" s="328"/>
      <c r="CL26" s="328">
        <f>COUNTIF(AT26:BH26,"*OK*")</f>
        <v>1</v>
      </c>
      <c r="CM26" s="328"/>
      <c r="CN26" s="328">
        <f>COUNTIF(AT26:BH26,"*OP*")</f>
        <v>1</v>
      </c>
    </row>
    <row r="27" spans="1:93" ht="14.25" customHeight="1">
      <c r="A27" s="835">
        <v>38318</v>
      </c>
      <c r="B27" s="560" t="s">
        <v>308</v>
      </c>
      <c r="C27" s="329">
        <f t="shared" si="2"/>
        <v>1371.4128000000001</v>
      </c>
      <c r="D27" s="352">
        <f>COUNTIF(AX27:BI27,"OK")</f>
        <v>0</v>
      </c>
      <c r="E27" s="331" t="s">
        <v>73</v>
      </c>
      <c r="F27" s="350" t="s">
        <v>309</v>
      </c>
      <c r="G27" s="624" t="s">
        <v>310</v>
      </c>
      <c r="H27" s="650">
        <f>IF(LEN(TRIM($G27&amp;""))=0, $C27, SUMIF($G$3:$G$561, TRIM($G27), $C$3:$C$561))</f>
        <v>1371.4128000000001</v>
      </c>
      <c r="I27" s="500" t="s">
        <v>76</v>
      </c>
      <c r="J27" s="500" t="s">
        <v>103</v>
      </c>
      <c r="K27" s="558"/>
      <c r="L27" s="558" t="str">
        <f>HYPERLINK("https://crm.zoho.com/crm/org685875245/tab/Accounts/3525045000380249726","https://crm.zoho.com/crm/org685875245/tab/Accounts/3525045000380249726")</f>
        <v>https://crm.zoho.com/crm/org685875245/tab/Accounts/3525045000380249726</v>
      </c>
      <c r="M27" s="553"/>
      <c r="N27" s="568" t="s">
        <v>103</v>
      </c>
      <c r="O27" s="569" t="s">
        <v>311</v>
      </c>
      <c r="P27" s="569" t="s">
        <v>312</v>
      </c>
      <c r="Q27" s="569" t="s">
        <v>313</v>
      </c>
      <c r="R27" s="568"/>
      <c r="S27" s="500" t="s">
        <v>314</v>
      </c>
      <c r="T27" s="500" t="s">
        <v>88</v>
      </c>
      <c r="U27" s="467" t="s">
        <v>315</v>
      </c>
      <c r="V27" s="500" t="s">
        <v>103</v>
      </c>
      <c r="W27" s="500" t="s">
        <v>103</v>
      </c>
      <c r="X27" s="500" t="s">
        <v>103</v>
      </c>
      <c r="Y27" s="511" t="s">
        <v>103</v>
      </c>
      <c r="Z27" s="517" t="s">
        <v>103</v>
      </c>
      <c r="AA27" s="518">
        <v>1354.16</v>
      </c>
      <c r="AB27" s="518">
        <v>1368.4659999999999</v>
      </c>
      <c r="AC27" s="639">
        <v>1393.6239</v>
      </c>
      <c r="AD27" s="518">
        <v>1371.4128000000001</v>
      </c>
      <c r="AE27" s="348">
        <v>392</v>
      </c>
      <c r="AF27" s="371" t="s">
        <v>103</v>
      </c>
      <c r="AG27" s="362"/>
      <c r="AH27" s="349"/>
      <c r="AI27" s="370"/>
      <c r="AJ27" s="361"/>
      <c r="AK27" s="362"/>
      <c r="AL27" s="371" t="s">
        <v>103</v>
      </c>
      <c r="AM27" s="349"/>
      <c r="AN27" s="349"/>
      <c r="AO27" s="349"/>
      <c r="AP27" s="349"/>
      <c r="AQ27" s="349"/>
      <c r="AR27" s="453"/>
      <c r="AS27" s="449"/>
      <c r="AT27" s="445"/>
      <c r="AU27" s="445"/>
      <c r="AV27" s="445"/>
      <c r="AW27" s="445"/>
      <c r="AX27" s="445"/>
      <c r="AY27" s="445"/>
      <c r="AZ27" s="445"/>
      <c r="BA27" s="445"/>
      <c r="BB27" s="445"/>
      <c r="BC27" s="445"/>
      <c r="BD27" s="445"/>
      <c r="BE27" s="445"/>
      <c r="BF27" s="445"/>
      <c r="BG27" s="445"/>
      <c r="BH27" s="445"/>
      <c r="BI27" s="445"/>
      <c r="BJ27" s="446">
        <f>COUNTIF(AT27:BI27,"*OP*")</f>
        <v>0</v>
      </c>
      <c r="BK27" s="450"/>
      <c r="BL27" s="349">
        <f>(COUNTIF(AT27:AV27,"*OK*")*3) + (COUNTIF(AW27:AY27,"*OK*")*2) + COUNTIF(AZ27:BB27,"*OK*")+COUNTIF(BK27:BK27,"SI")*0.5</f>
        <v>0</v>
      </c>
      <c r="BM27" s="349" t="str">
        <f>IF(BL27&lt;0.6,"Demasiado Riesgo",IF(BL27&lt;=5,"Riesgo Medio",IF(BL27&lt;=11,"Riesgo Bajo","Cliente Blindado")))</f>
        <v>Demasiado Riesgo</v>
      </c>
      <c r="BN27" s="349"/>
      <c r="BO27" s="328" t="s">
        <v>316</v>
      </c>
      <c r="BP27" s="328">
        <v>0</v>
      </c>
      <c r="BQ27" s="328" t="s">
        <v>317</v>
      </c>
      <c r="BR27" s="328"/>
      <c r="BS27" s="328"/>
      <c r="BT27" s="328"/>
      <c r="BU27" s="328"/>
      <c r="BV27" s="328"/>
      <c r="BW27" s="328"/>
      <c r="BX27" s="328"/>
      <c r="BY27" s="328"/>
      <c r="BZ27" s="328"/>
      <c r="CA27" s="328"/>
      <c r="CB27" s="328"/>
      <c r="CC27" s="328"/>
      <c r="CD27" s="328"/>
      <c r="CE27" s="328"/>
      <c r="CF27" s="328"/>
      <c r="CG27" s="328"/>
      <c r="CH27" s="328"/>
      <c r="CI27" s="328"/>
      <c r="CJ27" s="328"/>
      <c r="CK27" s="328"/>
      <c r="CL27" s="328">
        <f>COUNTIF(AT27:BH27,"*OK*")</f>
        <v>0</v>
      </c>
      <c r="CM27" s="328"/>
      <c r="CN27" s="328">
        <f>COUNTIF(AT27:BH27,"*OP*")</f>
        <v>0</v>
      </c>
    </row>
    <row r="28" spans="1:93" ht="14.25" customHeight="1">
      <c r="A28" s="834">
        <v>21541</v>
      </c>
      <c r="B28" s="560" t="s">
        <v>318</v>
      </c>
      <c r="C28" s="329">
        <f t="shared" si="2"/>
        <v>1276.1038000000001</v>
      </c>
      <c r="D28" s="332">
        <f>COUNTIF(AT28:BH28,"*OK*")</f>
        <v>0</v>
      </c>
      <c r="E28" s="331" t="s">
        <v>93</v>
      </c>
      <c r="F28" s="429" t="s">
        <v>319</v>
      </c>
      <c r="G28" s="331" t="s">
        <v>320</v>
      </c>
      <c r="H28" s="650">
        <f>IF(LEN(TRIM($G28&amp;""))=0, $C28, SUMIF($G$3:$G$561, TRIM($G28), $C$3:$C$561))</f>
        <v>2111.8101999999999</v>
      </c>
      <c r="I28" s="410" t="s">
        <v>76</v>
      </c>
      <c r="J28" s="331"/>
      <c r="K28" s="328"/>
      <c r="L28" s="328" t="str">
        <f>HYPERLINK("https://crm.zoho.com/crm/org685875245/tab/Accounts/3525045000152361120","https://crm.zoho.com/crm/org685875245/tab/Accounts/3525045000152361120")</f>
        <v>https://crm.zoho.com/crm/org685875245/tab/Accounts/3525045000152361120</v>
      </c>
      <c r="M28" s="341" t="s">
        <v>77</v>
      </c>
      <c r="N28" s="341" t="s">
        <v>321</v>
      </c>
      <c r="O28" s="548" t="s">
        <v>322</v>
      </c>
      <c r="P28" s="548" t="s">
        <v>323</v>
      </c>
      <c r="Q28" s="548" t="s">
        <v>324</v>
      </c>
      <c r="R28" s="341"/>
      <c r="S28" s="341"/>
      <c r="T28" s="331"/>
      <c r="U28" s="344" t="s">
        <v>82</v>
      </c>
      <c r="V28" s="335">
        <v>1170.52</v>
      </c>
      <c r="W28" s="335">
        <v>1169.45</v>
      </c>
      <c r="X28" s="335">
        <v>1114.47</v>
      </c>
      <c r="Y28" s="336">
        <v>1150.3399999999999</v>
      </c>
      <c r="Z28" s="337">
        <v>2046.1938</v>
      </c>
      <c r="AA28" s="347">
        <v>1321.19</v>
      </c>
      <c r="AB28" s="347">
        <v>1332.3384000000001</v>
      </c>
      <c r="AC28" s="638">
        <v>1356.8323</v>
      </c>
      <c r="AD28" s="347">
        <v>1276.1038000000001</v>
      </c>
      <c r="AE28" s="339">
        <v>1099</v>
      </c>
      <c r="AF28" s="340">
        <v>200</v>
      </c>
      <c r="AG28" s="334"/>
      <c r="AH28" s="341"/>
      <c r="AI28" s="343" t="s">
        <v>83</v>
      </c>
      <c r="AJ28" s="343" t="s">
        <v>199</v>
      </c>
      <c r="AK28" s="344" t="s">
        <v>325</v>
      </c>
      <c r="AL28" s="340" t="s">
        <v>103</v>
      </c>
      <c r="AM28" s="328"/>
      <c r="AN28" s="328" t="s">
        <v>152</v>
      </c>
      <c r="AO28" s="328"/>
      <c r="AP28" s="328"/>
      <c r="AQ28" s="328" t="s">
        <v>326</v>
      </c>
      <c r="AR28" s="451"/>
      <c r="AS28" s="372" t="s">
        <v>103</v>
      </c>
      <c r="AT28" s="345"/>
      <c r="AU28" s="345"/>
      <c r="AV28" s="421" t="s">
        <v>179</v>
      </c>
      <c r="AW28" s="345"/>
      <c r="AX28" s="345"/>
      <c r="AY28" s="345"/>
      <c r="AZ28" s="345" t="s">
        <v>173</v>
      </c>
      <c r="BA28" s="345"/>
      <c r="BB28" s="345"/>
      <c r="BC28" s="345"/>
      <c r="BD28" s="345"/>
      <c r="BE28" s="345"/>
      <c r="BF28" s="345"/>
      <c r="BG28" s="345"/>
      <c r="BH28" s="345"/>
      <c r="BI28" s="345"/>
      <c r="BJ28" s="364">
        <f>COUNTIF(AT28:BI28,"*OP*")</f>
        <v>2</v>
      </c>
      <c r="BK28" s="375" t="s">
        <v>103</v>
      </c>
      <c r="BL28" s="328">
        <f>(COUNTIF(AT28:AV28,"*OK*")*3) + (COUNTIF(AW28:AY28,"*OK*")*2) + COUNTIF(AZ28:BB28,"*OK*")+COUNTIF(BK28:BK28,"SI")*0.5</f>
        <v>0</v>
      </c>
      <c r="BM28" s="328" t="str">
        <f>IF(BL28&lt;0.6,"Demasiado Riesgo",IF(BL28&lt;=5,"Riesgo Medio",IF(BL28&lt;=11,"Riesgo Bajo","Cliente Blindado")))</f>
        <v>Demasiado Riesgo</v>
      </c>
      <c r="BN28" s="328"/>
      <c r="BO28" s="390"/>
      <c r="BP28" s="390"/>
      <c r="BQ28" s="390"/>
      <c r="BR28" s="390"/>
      <c r="BS28" s="390"/>
      <c r="BT28" s="390"/>
      <c r="BU28" s="390"/>
      <c r="BV28" s="390"/>
      <c r="BW28" s="390"/>
      <c r="BX28" s="390"/>
      <c r="BY28" s="390"/>
      <c r="BZ28" s="390"/>
      <c r="CA28" s="390"/>
      <c r="CB28" s="390"/>
      <c r="CC28" s="390"/>
      <c r="CD28" s="390"/>
      <c r="CE28" s="390"/>
      <c r="CF28" s="390"/>
      <c r="CG28" s="390"/>
      <c r="CH28" s="390"/>
      <c r="CI28" s="390"/>
      <c r="CJ28" s="390"/>
      <c r="CK28" s="390"/>
      <c r="CL28" s="390">
        <f>COUNTIF(AT28:BH28,"*OK*")</f>
        <v>0</v>
      </c>
      <c r="CM28" s="326"/>
      <c r="CN28" s="326"/>
    </row>
    <row r="29" spans="1:93" ht="14.25" customHeight="1">
      <c r="A29" s="835">
        <v>33503</v>
      </c>
      <c r="B29" s="560" t="s">
        <v>327</v>
      </c>
      <c r="C29" s="329">
        <f t="shared" si="2"/>
        <v>916.11480000000006</v>
      </c>
      <c r="D29" s="352">
        <f>COUNTIF(AT29:BH29,"*OK*")</f>
        <v>1</v>
      </c>
      <c r="E29" s="331" t="s">
        <v>73</v>
      </c>
      <c r="F29" s="429" t="s">
        <v>328</v>
      </c>
      <c r="G29" s="622" t="s">
        <v>329</v>
      </c>
      <c r="H29" s="650">
        <f>IF(LEN(TRIM($G29&amp;""))=0, $C29, SUMIF($G$3:$G$561, TRIM($G29), $C$3:$C$561))</f>
        <v>916.11480000000006</v>
      </c>
      <c r="I29" s="413" t="s">
        <v>76</v>
      </c>
      <c r="J29" s="351"/>
      <c r="K29" s="558"/>
      <c r="L29" s="558" t="str">
        <f>HYPERLINK("https://crm.zoho.com/crm/org685875245/tab/Accounts/3525045000363350205","https://crm.zoho.com/crm/org685875245/tab/Accounts/3525045000363350205")</f>
        <v>https://crm.zoho.com/crm/org685875245/tab/Accounts/3525045000363350205</v>
      </c>
      <c r="M29" s="553" t="s">
        <v>96</v>
      </c>
      <c r="N29" s="562" t="s">
        <v>330</v>
      </c>
      <c r="O29" s="563" t="s">
        <v>331</v>
      </c>
      <c r="P29" s="563" t="s">
        <v>332</v>
      </c>
      <c r="Q29" s="563" t="s">
        <v>333</v>
      </c>
      <c r="R29" s="560" t="s">
        <v>81</v>
      </c>
      <c r="S29" s="430" t="s">
        <v>284</v>
      </c>
      <c r="T29" s="351"/>
      <c r="U29" s="354" t="s">
        <v>209</v>
      </c>
      <c r="V29" s="355">
        <v>962.87</v>
      </c>
      <c r="W29" s="355">
        <v>961.98</v>
      </c>
      <c r="X29" s="355">
        <v>1265.51</v>
      </c>
      <c r="Y29" s="356">
        <v>1306.25</v>
      </c>
      <c r="Z29" s="337">
        <v>1323.8242</v>
      </c>
      <c r="AA29" s="367">
        <v>1552.84</v>
      </c>
      <c r="AB29" s="367">
        <v>1339.3387</v>
      </c>
      <c r="AC29" s="636">
        <v>1344.6270999999999</v>
      </c>
      <c r="AD29" s="367">
        <v>916.11480000000006</v>
      </c>
      <c r="AE29" s="357">
        <v>428</v>
      </c>
      <c r="AF29" s="358">
        <v>200</v>
      </c>
      <c r="AG29" s="354"/>
      <c r="AH29" s="359" t="s">
        <v>83</v>
      </c>
      <c r="AI29" s="361" t="s">
        <v>83</v>
      </c>
      <c r="AJ29" s="361" t="s">
        <v>101</v>
      </c>
      <c r="AK29" s="362" t="s">
        <v>334</v>
      </c>
      <c r="AL29" s="358" t="s">
        <v>101</v>
      </c>
      <c r="AM29" s="349"/>
      <c r="AN29" s="349"/>
      <c r="AO29" s="349"/>
      <c r="AP29" s="349"/>
      <c r="AQ29" s="349"/>
      <c r="AR29" s="453"/>
      <c r="AS29" s="371" t="s">
        <v>88</v>
      </c>
      <c r="AT29" s="345"/>
      <c r="AU29" s="345" t="s">
        <v>335</v>
      </c>
      <c r="AV29" s="345" t="s">
        <v>173</v>
      </c>
      <c r="AW29" s="345" t="s">
        <v>336</v>
      </c>
      <c r="AX29" s="421" t="s">
        <v>337</v>
      </c>
      <c r="AY29" s="345"/>
      <c r="AZ29" s="345"/>
      <c r="BA29" s="345"/>
      <c r="BB29" s="345"/>
      <c r="BC29" s="345"/>
      <c r="BD29" s="345"/>
      <c r="BE29" s="345"/>
      <c r="BF29" s="345"/>
      <c r="BG29" s="345"/>
      <c r="BH29" s="345"/>
      <c r="BI29" s="345"/>
      <c r="BJ29" s="346">
        <f>COUNTIF(AT29:BI29,"*OP*")</f>
        <v>2</v>
      </c>
      <c r="BK29" s="362" t="s">
        <v>89</v>
      </c>
      <c r="BL29" s="349">
        <f>(COUNTIF(AT29:AV29,"*OK*")*3) + (COUNTIF(AW29:AY29,"*OK*")*2) + COUNTIF(AZ29:BB29,"*OK*")+COUNTIF(BK29:BK29,"SI")*0.5</f>
        <v>2</v>
      </c>
      <c r="BM29" s="349" t="str">
        <f>IF(BL29&lt;0.6,"Demasiado Riesgo",IF(BL29&lt;=5,"Riesgo Medio",IF(BL29&lt;=11,"Riesgo Bajo","Cliente Blindado")))</f>
        <v>Riesgo Medio</v>
      </c>
      <c r="BN29" s="349"/>
      <c r="BO29" s="349" t="s">
        <v>338</v>
      </c>
      <c r="BP29" s="349">
        <v>0</v>
      </c>
      <c r="BQ29" s="349" t="s">
        <v>192</v>
      </c>
      <c r="BR29" s="349"/>
      <c r="BS29" s="349"/>
      <c r="BT29" s="349"/>
      <c r="BU29" s="349"/>
      <c r="BV29" s="349"/>
      <c r="BW29" s="349"/>
      <c r="BX29" s="349"/>
      <c r="BY29" s="349"/>
      <c r="BZ29" s="349"/>
      <c r="CA29" s="349"/>
      <c r="CB29" s="349"/>
      <c r="CC29" s="349"/>
      <c r="CD29" s="349"/>
      <c r="CE29" s="349"/>
      <c r="CF29" s="349"/>
      <c r="CG29" s="349"/>
      <c r="CH29" s="349"/>
      <c r="CI29" s="349"/>
      <c r="CJ29" s="349"/>
      <c r="CK29" s="349"/>
      <c r="CL29" s="349">
        <f>COUNTIF(AT29:BH29,"*OK*")</f>
        <v>1</v>
      </c>
      <c r="CM29" s="349"/>
      <c r="CN29" s="349">
        <f>COUNTIF(AT29:BH29,"*OP*")</f>
        <v>2</v>
      </c>
    </row>
    <row r="30" spans="1:93" ht="14.25" customHeight="1">
      <c r="A30" s="837">
        <v>34024</v>
      </c>
      <c r="B30" s="560" t="s">
        <v>339</v>
      </c>
      <c r="C30" s="329">
        <f t="shared" si="2"/>
        <v>1235.4304999999999</v>
      </c>
      <c r="D30" s="352">
        <f>COUNTIF(AT30:BH30,"*OK*")</f>
        <v>0</v>
      </c>
      <c r="E30" s="351" t="s">
        <v>93</v>
      </c>
      <c r="F30" s="350" t="s">
        <v>340</v>
      </c>
      <c r="G30" s="622"/>
      <c r="H30" s="650">
        <f>IF(LEN(TRIM($G30&amp;""))=0, $C30, SUMIF($G$3:$G$561, TRIM($G30), $C$3:$C$561))</f>
        <v>1235.4304999999999</v>
      </c>
      <c r="I30" s="351" t="s">
        <v>76</v>
      </c>
      <c r="J30" s="351"/>
      <c r="K30" s="349"/>
      <c r="L30" s="349"/>
      <c r="M30" s="553" t="s">
        <v>167</v>
      </c>
      <c r="N30" s="352"/>
      <c r="O30" s="540" t="s">
        <v>341</v>
      </c>
      <c r="P30" s="540" t="s">
        <v>342</v>
      </c>
      <c r="Q30" s="540" t="s">
        <v>343</v>
      </c>
      <c r="R30" s="359" t="s">
        <v>111</v>
      </c>
      <c r="S30" s="352"/>
      <c r="T30" s="351"/>
      <c r="U30" s="362" t="s">
        <v>344</v>
      </c>
      <c r="V30" s="355">
        <v>1262.51</v>
      </c>
      <c r="W30" s="355">
        <v>1310.1500000000001</v>
      </c>
      <c r="X30" s="355">
        <v>1213.82</v>
      </c>
      <c r="Y30" s="356">
        <v>1280.31</v>
      </c>
      <c r="Z30" s="337">
        <v>1316.7761</v>
      </c>
      <c r="AA30" s="365">
        <v>1306.57</v>
      </c>
      <c r="AB30" s="365">
        <v>1343.1709000000001</v>
      </c>
      <c r="AC30" s="635">
        <v>1326.6126999999999</v>
      </c>
      <c r="AD30" s="365">
        <v>1235.4304999999999</v>
      </c>
      <c r="AE30" s="357">
        <v>329</v>
      </c>
      <c r="AF30" s="358">
        <v>400</v>
      </c>
      <c r="AG30" s="354"/>
      <c r="AH30" s="359"/>
      <c r="AI30" s="361" t="s">
        <v>83</v>
      </c>
      <c r="AJ30" s="361" t="s">
        <v>345</v>
      </c>
      <c r="AK30" s="362" t="s">
        <v>346</v>
      </c>
      <c r="AL30" s="358" t="s">
        <v>347</v>
      </c>
      <c r="AM30" s="349"/>
      <c r="AN30" s="349"/>
      <c r="AO30" s="349"/>
      <c r="AP30" s="349"/>
      <c r="AQ30" s="349"/>
      <c r="AR30" s="453"/>
      <c r="AS30" s="371" t="s">
        <v>103</v>
      </c>
      <c r="AT30" s="345"/>
      <c r="AU30" s="345"/>
      <c r="AV30" s="345"/>
      <c r="AW30" s="345" t="s">
        <v>307</v>
      </c>
      <c r="AX30" s="345"/>
      <c r="AY30" s="345"/>
      <c r="AZ30" s="345"/>
      <c r="BA30" s="421"/>
      <c r="BB30" s="345"/>
      <c r="BC30" s="345"/>
      <c r="BD30" s="345"/>
      <c r="BE30" s="345"/>
      <c r="BF30" s="345"/>
      <c r="BG30" s="345"/>
      <c r="BH30" s="345"/>
      <c r="BI30" s="345"/>
      <c r="BJ30" s="364">
        <f>COUNTIF(AT30:BI30,"*OP*")</f>
        <v>1</v>
      </c>
      <c r="BK30" s="363" t="s">
        <v>103</v>
      </c>
      <c r="BL30" s="349">
        <f>(COUNTIF(AT30:AV30,"*OK*")*3) + (COUNTIF(AW30:AY30,"*OK*")*2) + COUNTIF(AZ30:BB30,"*OK*")+COUNTIF(BK30:BK30,"SI")*0.5</f>
        <v>0</v>
      </c>
      <c r="BM30" s="349" t="str">
        <f>IF(BL30&lt;0.6,"Demasiado Riesgo",IF(BL30&lt;=5,"Riesgo Medio",IF(BL30&lt;=11,"Riesgo Bajo","Cliente Blindado")))</f>
        <v>Demasiado Riesgo</v>
      </c>
      <c r="BN30" s="349"/>
      <c r="BO30" s="328"/>
      <c r="BP30" s="328">
        <v>0</v>
      </c>
      <c r="BQ30" s="328"/>
      <c r="BR30" s="328"/>
      <c r="BS30" s="328"/>
      <c r="BT30" s="328"/>
      <c r="BU30" s="328"/>
      <c r="BV30" s="328"/>
      <c r="BW30" s="328"/>
      <c r="BX30" s="328"/>
      <c r="BY30" s="328"/>
      <c r="BZ30" s="328"/>
      <c r="CA30" s="328"/>
      <c r="CB30" s="328"/>
      <c r="CC30" s="328"/>
      <c r="CD30" s="328"/>
      <c r="CE30" s="328"/>
      <c r="CF30" s="328"/>
      <c r="CG30" s="328"/>
      <c r="CH30" s="328"/>
      <c r="CI30" s="328"/>
      <c r="CJ30" s="328"/>
      <c r="CK30" s="328"/>
      <c r="CL30" s="328">
        <f>COUNTIF(AT30:BH30,"*OK*")</f>
        <v>0</v>
      </c>
      <c r="CM30" s="328"/>
      <c r="CN30" s="328">
        <f>COUNTIF(AT30:BH30,"*OP*")</f>
        <v>1</v>
      </c>
    </row>
    <row r="31" spans="1:93" ht="14.25" customHeight="1">
      <c r="A31" s="835">
        <v>26808</v>
      </c>
      <c r="B31" s="560" t="s">
        <v>228</v>
      </c>
      <c r="C31" s="329">
        <f t="shared" si="2"/>
        <v>1259.0508</v>
      </c>
      <c r="D31" s="352">
        <f>COUNTIF(AT31:BH31,"*OK*")</f>
        <v>0</v>
      </c>
      <c r="E31" s="351" t="s">
        <v>93</v>
      </c>
      <c r="F31" s="456" t="s">
        <v>348</v>
      </c>
      <c r="G31" s="622" t="s">
        <v>230</v>
      </c>
      <c r="H31" s="650">
        <f>IF(LEN(TRIM($G31&amp;""))=0, $C31, SUMIF($G$3:$G$561, TRIM($G31), $C$3:$C$561))</f>
        <v>3660.4305000000004</v>
      </c>
      <c r="I31" s="413" t="s">
        <v>76</v>
      </c>
      <c r="J31" s="351"/>
      <c r="K31" s="349"/>
      <c r="L31" s="349" t="str">
        <f>HYPERLINK("https://crm.zoho.com/crm/org685875245/tab/Accounts/3525045000269312009","https://crm.zoho.com/crm/org685875245/tab/Accounts/3525045000269312009")</f>
        <v>https://crm.zoho.com/crm/org685875245/tab/Accounts/3525045000269312009</v>
      </c>
      <c r="M31" s="359" t="s">
        <v>77</v>
      </c>
      <c r="N31" s="359"/>
      <c r="O31" s="545"/>
      <c r="P31" s="545"/>
      <c r="Q31" s="545"/>
      <c r="R31" s="359"/>
      <c r="S31" s="359"/>
      <c r="T31" s="351"/>
      <c r="U31" s="362" t="s">
        <v>82</v>
      </c>
      <c r="V31" s="355">
        <v>1227.06</v>
      </c>
      <c r="W31" s="355">
        <v>1269.21</v>
      </c>
      <c r="X31" s="355">
        <v>1157.99</v>
      </c>
      <c r="Y31" s="356">
        <v>1184.5999999999999</v>
      </c>
      <c r="Z31" s="337">
        <v>1204.1803</v>
      </c>
      <c r="AA31" s="367">
        <v>1200.46</v>
      </c>
      <c r="AB31" s="367">
        <v>1198.6033</v>
      </c>
      <c r="AC31" s="636">
        <v>1310.7107000000001</v>
      </c>
      <c r="AD31" s="367">
        <v>1259.0508</v>
      </c>
      <c r="AE31" s="357">
        <v>3424</v>
      </c>
      <c r="AF31" s="358">
        <v>3060</v>
      </c>
      <c r="AG31" s="354"/>
      <c r="AH31" s="359"/>
      <c r="AI31" s="370" t="s">
        <v>83</v>
      </c>
      <c r="AJ31" s="361" t="s">
        <v>113</v>
      </c>
      <c r="AK31" s="362" t="s">
        <v>349</v>
      </c>
      <c r="AL31" s="358" t="s">
        <v>103</v>
      </c>
      <c r="AM31" s="349"/>
      <c r="AN31" s="349" t="s">
        <v>236</v>
      </c>
      <c r="AO31" s="349"/>
      <c r="AP31" s="349"/>
      <c r="AQ31" s="349"/>
      <c r="AR31" s="453"/>
      <c r="AS31" s="371" t="s">
        <v>103</v>
      </c>
      <c r="AT31" s="345"/>
      <c r="AU31" s="345"/>
      <c r="AV31" s="345"/>
      <c r="AW31" s="345" t="s">
        <v>179</v>
      </c>
      <c r="AX31" s="345"/>
      <c r="AY31" s="345"/>
      <c r="AZ31" s="345"/>
      <c r="BA31" s="345"/>
      <c r="BB31" s="345"/>
      <c r="BC31" s="345"/>
      <c r="BD31" s="345"/>
      <c r="BE31" s="345"/>
      <c r="BF31" s="345"/>
      <c r="BG31" s="345"/>
      <c r="BH31" s="345"/>
      <c r="BI31" s="345"/>
      <c r="BJ31" s="364">
        <f>COUNTIF(AT31:BI31,"*OP*")</f>
        <v>1</v>
      </c>
      <c r="BK31" s="363" t="s">
        <v>103</v>
      </c>
      <c r="BL31" s="349">
        <f>(COUNTIF(AT31:AV31,"*OK*")*3) + (COUNTIF(AW31:AY31,"*OK*")*2) + COUNTIF(AZ31:BB31,"*OK*")+COUNTIF(BK31:BK31,"SI")*0.5</f>
        <v>0</v>
      </c>
      <c r="BM31" s="349" t="str">
        <f>IF(BL31&lt;0.6,"Demasiado Riesgo",IF(BL31&lt;=5,"Riesgo Medio",IF(BL31&lt;=11,"Riesgo Bajo","Cliente Blindado")))</f>
        <v>Demasiado Riesgo</v>
      </c>
      <c r="BN31" s="349"/>
      <c r="BO31" s="349"/>
      <c r="BP31" s="349">
        <v>0</v>
      </c>
      <c r="BQ31" s="349"/>
      <c r="BR31" s="349"/>
      <c r="BS31" s="349"/>
      <c r="BT31" s="349"/>
      <c r="BU31" s="349"/>
      <c r="BV31" s="349"/>
      <c r="BW31" s="349"/>
      <c r="BX31" s="349"/>
      <c r="BY31" s="349"/>
      <c r="BZ31" s="349"/>
      <c r="CA31" s="349"/>
      <c r="CB31" s="349"/>
      <c r="CC31" s="349"/>
      <c r="CD31" s="349"/>
      <c r="CE31" s="349"/>
      <c r="CF31" s="349"/>
      <c r="CG31" s="349"/>
      <c r="CH31" s="349"/>
      <c r="CI31" s="349"/>
      <c r="CJ31" s="349"/>
      <c r="CK31" s="349"/>
      <c r="CL31" s="349">
        <f>COUNTIF(AT31:BH31,"*OK*")</f>
        <v>0</v>
      </c>
      <c r="CM31" s="349"/>
      <c r="CN31" s="349">
        <f>COUNTIF(AT31:BH31,"*OP*")</f>
        <v>1</v>
      </c>
    </row>
    <row r="32" spans="1:93" ht="14.25" customHeight="1">
      <c r="A32" s="835">
        <v>36114</v>
      </c>
      <c r="B32" s="560" t="s">
        <v>350</v>
      </c>
      <c r="C32" s="329">
        <f t="shared" si="2"/>
        <v>1184.4371000000001</v>
      </c>
      <c r="D32" s="352">
        <f>COUNTIF(AT32:BH32,"*OK*")</f>
        <v>0</v>
      </c>
      <c r="E32" s="331" t="s">
        <v>73</v>
      </c>
      <c r="F32" s="350" t="s">
        <v>351</v>
      </c>
      <c r="G32" s="622"/>
      <c r="H32" s="650">
        <f>IF(LEN(TRIM($G32&amp;""))=0, $C32, SUMIF($G$3:$G$561, TRIM($G32), $C$3:$C$561))</f>
        <v>1184.4371000000001</v>
      </c>
      <c r="I32" s="500" t="s">
        <v>76</v>
      </c>
      <c r="J32" s="351"/>
      <c r="K32" s="558"/>
      <c r="L32" s="558" t="str">
        <f>HYPERLINK("https://crm.zoho.com/crm/org685875245/tab/Accounts/3525045000417780328","https://crm.zoho.com/crm/org685875245/tab/Accounts/3525045000417780328")</f>
        <v>https://crm.zoho.com/crm/org685875245/tab/Accounts/3525045000417780328</v>
      </c>
      <c r="M32" s="553"/>
      <c r="N32" s="558"/>
      <c r="O32" s="559" t="s">
        <v>352</v>
      </c>
      <c r="P32" s="559" t="s">
        <v>353</v>
      </c>
      <c r="Q32" s="559" t="s">
        <v>354</v>
      </c>
      <c r="R32" s="558" t="s">
        <v>314</v>
      </c>
      <c r="S32" s="352"/>
      <c r="T32" s="351" t="s">
        <v>88</v>
      </c>
      <c r="U32" s="354" t="s">
        <v>82</v>
      </c>
      <c r="V32" s="355"/>
      <c r="W32" s="355"/>
      <c r="X32" s="355">
        <v>770.08</v>
      </c>
      <c r="Y32" s="356">
        <v>806.84</v>
      </c>
      <c r="Z32" s="337">
        <v>807.98630000000003</v>
      </c>
      <c r="AA32" s="338">
        <v>885.52</v>
      </c>
      <c r="AB32" s="338">
        <v>1079.3307</v>
      </c>
      <c r="AC32" s="634">
        <v>1298.7988</v>
      </c>
      <c r="AD32" s="338">
        <v>1184.4371000000001</v>
      </c>
      <c r="AE32" s="357">
        <v>490</v>
      </c>
      <c r="AF32" s="358">
        <v>500</v>
      </c>
      <c r="AG32" s="354"/>
      <c r="AH32" s="359"/>
      <c r="AI32" s="361" t="s">
        <v>83</v>
      </c>
      <c r="AJ32" s="361" t="s">
        <v>84</v>
      </c>
      <c r="AK32" s="362" t="s">
        <v>355</v>
      </c>
      <c r="AL32" s="358" t="s">
        <v>103</v>
      </c>
      <c r="AM32" s="349"/>
      <c r="AN32" s="349"/>
      <c r="AO32" s="349"/>
      <c r="AP32" s="349"/>
      <c r="AQ32" s="349"/>
      <c r="AR32" s="453"/>
      <c r="AS32" s="371" t="s">
        <v>103</v>
      </c>
      <c r="AT32" s="345"/>
      <c r="AU32" s="345"/>
      <c r="AV32" s="345"/>
      <c r="AW32" s="345"/>
      <c r="AX32" s="345"/>
      <c r="AY32" s="345"/>
      <c r="AZ32" s="345"/>
      <c r="BA32" s="345"/>
      <c r="BB32" s="345"/>
      <c r="BC32" s="345"/>
      <c r="BD32" s="345"/>
      <c r="BE32" s="345"/>
      <c r="BF32" s="345"/>
      <c r="BG32" s="345"/>
      <c r="BH32" s="345"/>
      <c r="BI32" s="345"/>
      <c r="BJ32" s="364">
        <f>COUNTIF(AT32:BI32,"*OP*")</f>
        <v>0</v>
      </c>
      <c r="BK32" s="363" t="s">
        <v>103</v>
      </c>
      <c r="BL32" s="349">
        <f>(COUNTIF(AT32:AV32,"*OK*")*3) + (COUNTIF(AW32:AY32,"*OK*")*2) + COUNTIF(AZ32:BB32,"*OK*")+COUNTIF(BK32:BK32,"SI")*0.5</f>
        <v>0</v>
      </c>
      <c r="BM32" s="349" t="str">
        <f>IF(BL32&lt;0.6,"Demasiado Riesgo",IF(BL32&lt;=5,"Riesgo Medio",IF(BL32&lt;=11,"Riesgo Bajo","Cliente Blindado")))</f>
        <v>Demasiado Riesgo</v>
      </c>
      <c r="BN32" s="349"/>
      <c r="BO32" s="328" t="s">
        <v>356</v>
      </c>
      <c r="BP32" s="328">
        <v>0</v>
      </c>
      <c r="BQ32" s="328" t="s">
        <v>317</v>
      </c>
      <c r="BR32" s="328"/>
      <c r="BS32" s="328"/>
      <c r="BT32" s="328"/>
      <c r="BU32" s="328"/>
      <c r="BV32" s="328"/>
      <c r="BW32" s="328"/>
      <c r="BX32" s="328"/>
      <c r="BY32" s="328"/>
      <c r="BZ32" s="328"/>
      <c r="CA32" s="328"/>
      <c r="CB32" s="328"/>
      <c r="CC32" s="328"/>
      <c r="CD32" s="328"/>
      <c r="CE32" s="328"/>
      <c r="CF32" s="328"/>
      <c r="CG32" s="328"/>
      <c r="CH32" s="328"/>
      <c r="CI32" s="328"/>
      <c r="CJ32" s="328"/>
      <c r="CK32" s="328"/>
      <c r="CL32" s="328">
        <f>COUNTIF(AT32:BH32,"*OK*")</f>
        <v>0</v>
      </c>
      <c r="CM32" s="328"/>
      <c r="CN32" s="328">
        <f>COUNTIF(AT32:BH32,"*OP*")</f>
        <v>0</v>
      </c>
    </row>
    <row r="33" spans="1:94" ht="14.25">
      <c r="A33" s="834">
        <v>6588</v>
      </c>
      <c r="B33" s="560" t="s">
        <v>357</v>
      </c>
      <c r="C33" s="329">
        <f t="shared" si="2"/>
        <v>1211.0926999999999</v>
      </c>
      <c r="D33" s="332">
        <f>COUNTIF(AT33:BH33,"*OK*")</f>
        <v>1</v>
      </c>
      <c r="E33" s="331" t="s">
        <v>93</v>
      </c>
      <c r="F33" s="461" t="s">
        <v>358</v>
      </c>
      <c r="G33" s="533" t="s">
        <v>358</v>
      </c>
      <c r="H33" s="650">
        <f>IF(LEN(TRIM($G33&amp;""))=0, $C33, SUMIF($G$3:$G$561, TRIM($G33), $C$3:$C$561))</f>
        <v>2091.1147999999998</v>
      </c>
      <c r="I33" s="410" t="s">
        <v>76</v>
      </c>
      <c r="J33" s="331"/>
      <c r="K33" s="328"/>
      <c r="L33" s="328" t="str">
        <f>HYPERLINK("https://crm.zoho.com/crm/org685875245/tab/Accounts/3525045000079373188","https://crm.zoho.com/crm/org685875245/tab/Accounts/3525045000079373188")</f>
        <v>https://crm.zoho.com/crm/org685875245/tab/Accounts/3525045000079373188</v>
      </c>
      <c r="M33" s="341" t="s">
        <v>96</v>
      </c>
      <c r="N33" s="341"/>
      <c r="O33" s="545" t="s">
        <v>359</v>
      </c>
      <c r="P33" s="545"/>
      <c r="Q33" s="545" t="s">
        <v>360</v>
      </c>
      <c r="R33" s="359" t="s">
        <v>111</v>
      </c>
      <c r="S33" s="341"/>
      <c r="T33" s="331"/>
      <c r="U33" s="344" t="s">
        <v>198</v>
      </c>
      <c r="V33" s="335">
        <v>1803.81</v>
      </c>
      <c r="W33" s="335">
        <v>1787.44</v>
      </c>
      <c r="X33" s="335">
        <v>1790.94</v>
      </c>
      <c r="Y33" s="336">
        <v>1778.47</v>
      </c>
      <c r="Z33" s="337">
        <v>1512.3312000000001</v>
      </c>
      <c r="AA33" s="338">
        <v>1823.83</v>
      </c>
      <c r="AB33" s="338">
        <v>1825.5624</v>
      </c>
      <c r="AC33" s="634">
        <v>1282.134</v>
      </c>
      <c r="AD33" s="338">
        <v>1211.0926999999999</v>
      </c>
      <c r="AE33" s="339">
        <v>858</v>
      </c>
      <c r="AF33" s="340">
        <v>800</v>
      </c>
      <c r="AG33" s="334"/>
      <c r="AH33" s="341"/>
      <c r="AI33" s="343" t="s">
        <v>83</v>
      </c>
      <c r="AJ33" s="343" t="s">
        <v>130</v>
      </c>
      <c r="AK33" s="344" t="s">
        <v>361</v>
      </c>
      <c r="AL33" s="340" t="s">
        <v>103</v>
      </c>
      <c r="AM33" s="328"/>
      <c r="AN33" s="328" t="s">
        <v>152</v>
      </c>
      <c r="AO33" s="328"/>
      <c r="AP33" s="328"/>
      <c r="AQ33" s="328"/>
      <c r="AR33" s="451"/>
      <c r="AS33" s="372" t="s">
        <v>88</v>
      </c>
      <c r="AT33" s="345" t="s">
        <v>173</v>
      </c>
      <c r="AU33" s="345"/>
      <c r="AV33" s="345"/>
      <c r="AW33" s="345"/>
      <c r="AX33" s="345"/>
      <c r="AY33" s="345"/>
      <c r="AZ33" s="345"/>
      <c r="BA33" s="345"/>
      <c r="BB33" s="345"/>
      <c r="BC33" s="345"/>
      <c r="BD33" s="345" t="s">
        <v>362</v>
      </c>
      <c r="BE33" s="345"/>
      <c r="BF33" s="345"/>
      <c r="BG33" s="345"/>
      <c r="BH33" s="345"/>
      <c r="BI33" s="345"/>
      <c r="BJ33" s="364">
        <f>COUNTIF(AT33:BI33,"*OP*")</f>
        <v>1</v>
      </c>
      <c r="BK33" s="375" t="s">
        <v>89</v>
      </c>
      <c r="BL33" s="328">
        <f>(COUNTIF(AT33:AV33,"*OK*")*3) + (COUNTIF(AW33:AY33,"*OK*")*2) + COUNTIF(AZ33:BB33,"*OK*")+COUNTIF(BK33:BK33,"SI")*0.5</f>
        <v>0</v>
      </c>
      <c r="BM33" s="328" t="str">
        <f>IF(BL33&lt;0.6,"Demasiado Riesgo",IF(BL33&lt;=5,"Riesgo Medio",IF(BL33&lt;=11,"Riesgo Bajo","Cliente Blindado")))</f>
        <v>Demasiado Riesgo</v>
      </c>
      <c r="BN33" s="328"/>
      <c r="BO33" s="349"/>
      <c r="BP33" s="349">
        <v>0</v>
      </c>
      <c r="BQ33" s="349"/>
      <c r="BR33" s="349"/>
      <c r="BS33" s="349"/>
      <c r="BT33" s="349"/>
      <c r="BU33" s="349"/>
      <c r="BV33" s="349"/>
      <c r="BW33" s="349"/>
      <c r="BX33" s="349"/>
      <c r="BY33" s="349"/>
      <c r="BZ33" s="349"/>
      <c r="CA33" s="349"/>
      <c r="CB33" s="349"/>
      <c r="CC33" s="349"/>
      <c r="CD33" s="349"/>
      <c r="CE33" s="349"/>
      <c r="CF33" s="349"/>
      <c r="CG33" s="349"/>
      <c r="CH33" s="349"/>
      <c r="CI33" s="349"/>
      <c r="CJ33" s="349"/>
      <c r="CK33" s="349"/>
      <c r="CL33" s="349">
        <f>COUNTIF(AT33:BH33,"*OK*")</f>
        <v>1</v>
      </c>
      <c r="CM33" s="349"/>
      <c r="CN33" s="349">
        <f>COUNTIF(AT33:BH33,"*OP*")</f>
        <v>1</v>
      </c>
    </row>
    <row r="34" spans="1:94" ht="14.25" customHeight="1">
      <c r="A34" s="834">
        <v>20005</v>
      </c>
      <c r="B34" s="560" t="s">
        <v>363</v>
      </c>
      <c r="C34" s="329">
        <f t="shared" si="2"/>
        <v>1606.2912999999999</v>
      </c>
      <c r="D34" s="332">
        <f>COUNTIF(AT34:BH34,"*OK*")</f>
        <v>1</v>
      </c>
      <c r="E34" s="331" t="s">
        <v>93</v>
      </c>
      <c r="F34" s="331" t="s">
        <v>364</v>
      </c>
      <c r="G34" s="533" t="s">
        <v>365</v>
      </c>
      <c r="H34" s="650">
        <f>IF(LEN(TRIM($G34&amp;""))=0, $C34, SUMIF($G$3:$G$561, TRIM($G34), $C$3:$C$561))</f>
        <v>4240.7285999999995</v>
      </c>
      <c r="I34" s="410" t="s">
        <v>76</v>
      </c>
      <c r="J34" s="331"/>
      <c r="K34" s="328" t="s">
        <v>125</v>
      </c>
      <c r="L34" s="328"/>
      <c r="M34" s="341" t="s">
        <v>96</v>
      </c>
      <c r="N34" s="341" t="s">
        <v>366</v>
      </c>
      <c r="O34" s="548" t="s">
        <v>367</v>
      </c>
      <c r="P34" s="548" t="s">
        <v>368</v>
      </c>
      <c r="Q34" s="548" t="s">
        <v>369</v>
      </c>
      <c r="R34" s="341" t="s">
        <v>160</v>
      </c>
      <c r="S34" s="341"/>
      <c r="T34" s="331"/>
      <c r="U34" s="344" t="s">
        <v>82</v>
      </c>
      <c r="V34" s="335" t="s">
        <v>370</v>
      </c>
      <c r="W34" s="335">
        <v>1242.47</v>
      </c>
      <c r="X34" s="335">
        <v>1190.68</v>
      </c>
      <c r="Y34" s="336">
        <v>1226.73</v>
      </c>
      <c r="Z34" s="337">
        <v>1233.9902</v>
      </c>
      <c r="AA34" s="347">
        <v>1231.8900000000001</v>
      </c>
      <c r="AB34" s="347">
        <v>1239.9742000000001</v>
      </c>
      <c r="AC34" s="638">
        <v>1281.5472</v>
      </c>
      <c r="AD34" s="347">
        <v>1606.2912999999999</v>
      </c>
      <c r="AE34" s="339">
        <v>1417</v>
      </c>
      <c r="AF34" s="340">
        <v>500</v>
      </c>
      <c r="AG34" s="334"/>
      <c r="AH34" s="341"/>
      <c r="AI34" s="343" t="s">
        <v>258</v>
      </c>
      <c r="AJ34" s="343" t="s">
        <v>150</v>
      </c>
      <c r="AK34" s="344" t="s">
        <v>371</v>
      </c>
      <c r="AL34" s="340" t="s">
        <v>103</v>
      </c>
      <c r="AM34" s="328"/>
      <c r="AN34" s="328" t="s">
        <v>104</v>
      </c>
      <c r="AO34" s="328"/>
      <c r="AP34" s="328"/>
      <c r="AQ34" s="328"/>
      <c r="AR34" s="451"/>
      <c r="AS34" s="344" t="s">
        <v>103</v>
      </c>
      <c r="AT34" s="345"/>
      <c r="AU34" s="345"/>
      <c r="AV34" s="345"/>
      <c r="AW34" s="345"/>
      <c r="AX34" s="345"/>
      <c r="AY34" s="421" t="s">
        <v>337</v>
      </c>
      <c r="AZ34" s="345"/>
      <c r="BA34" s="345"/>
      <c r="BB34" s="345"/>
      <c r="BC34" s="345"/>
      <c r="BD34" s="345"/>
      <c r="BE34" s="345"/>
      <c r="BF34" s="345"/>
      <c r="BG34" s="345"/>
      <c r="BH34" s="345"/>
      <c r="BI34" s="345"/>
      <c r="BJ34" s="364">
        <f>COUNTIF(AT34:BI34,"*OP*")</f>
        <v>0</v>
      </c>
      <c r="BK34" s="375" t="s">
        <v>103</v>
      </c>
      <c r="BL34" s="328">
        <f>(COUNTIF(AT34:AV34,"*OK*")*3) + (COUNTIF(AW34:AY34,"*OK*")*2) + COUNTIF(AZ34:BB34,"*OK*")+COUNTIF(BK34:BK34,"SI")*0.5</f>
        <v>2</v>
      </c>
      <c r="BM34" s="328" t="str">
        <f>IF(BL34&lt;0.6,"Demasiado Riesgo",IF(BL34&lt;=5,"Riesgo Medio",IF(BL34&lt;=11,"Riesgo Bajo","Cliente Blindado")))</f>
        <v>Riesgo Medio</v>
      </c>
      <c r="BN34" s="328"/>
      <c r="BO34" s="328"/>
      <c r="BP34" s="328">
        <v>0</v>
      </c>
      <c r="BQ34" s="328"/>
      <c r="BR34" s="328"/>
      <c r="BS34" s="328"/>
      <c r="BT34" s="328"/>
      <c r="BU34" s="328"/>
      <c r="BV34" s="328"/>
      <c r="BW34" s="328"/>
      <c r="BX34" s="328"/>
      <c r="BY34" s="328"/>
      <c r="BZ34" s="328"/>
      <c r="CA34" s="328"/>
      <c r="CB34" s="328"/>
      <c r="CC34" s="328"/>
      <c r="CD34" s="328"/>
      <c r="CE34" s="328"/>
      <c r="CF34" s="328"/>
      <c r="CG34" s="328"/>
      <c r="CH34" s="328"/>
      <c r="CI34" s="328"/>
      <c r="CJ34" s="328"/>
      <c r="CK34" s="328"/>
      <c r="CL34" s="328">
        <f>COUNTIF(AT34:BH34,"*OK*")</f>
        <v>1</v>
      </c>
      <c r="CM34" s="328"/>
      <c r="CN34" s="328">
        <f>COUNTIF(AT34:BH34,"*OP*")</f>
        <v>0</v>
      </c>
    </row>
    <row r="35" spans="1:94" ht="14.25" customHeight="1">
      <c r="A35" s="838">
        <v>22501</v>
      </c>
      <c r="B35" s="560" t="s">
        <v>372</v>
      </c>
      <c r="C35" s="329">
        <f t="shared" si="2"/>
        <v>1401.5551999999998</v>
      </c>
      <c r="D35" s="332">
        <f>COUNTIF(AT35:BH35,"*OK*")</f>
        <v>2</v>
      </c>
      <c r="E35" s="331" t="s">
        <v>73</v>
      </c>
      <c r="F35" s="426" t="s">
        <v>373</v>
      </c>
      <c r="G35" s="533"/>
      <c r="H35" s="650">
        <f>IF(LEN(TRIM($G35&amp;""))=0, $C35, SUMIF($G$3:$G$561, TRIM($G35), $C$3:$C$561))</f>
        <v>1401.5551999999998</v>
      </c>
      <c r="I35" s="410" t="s">
        <v>76</v>
      </c>
      <c r="J35" s="331"/>
      <c r="K35" s="560"/>
      <c r="L35" s="560" t="str">
        <f>HYPERLINK("https://crm.zoho.com/crm/org685875245/tab/Accounts/3525045000240910580","https://crm.zoho.com/crm/org685875245/tab/Accounts/3525045000240910580")</f>
        <v>https://crm.zoho.com/crm/org685875245/tab/Accounts/3525045000240910580</v>
      </c>
      <c r="M35" s="391" t="s">
        <v>96</v>
      </c>
      <c r="N35" s="560" t="s">
        <v>374</v>
      </c>
      <c r="O35" s="561" t="s">
        <v>375</v>
      </c>
      <c r="P35" s="561" t="s">
        <v>376</v>
      </c>
      <c r="Q35" s="561" t="s">
        <v>377</v>
      </c>
      <c r="R35" s="560"/>
      <c r="S35" s="332"/>
      <c r="T35" s="331"/>
      <c r="U35" s="334" t="s">
        <v>198</v>
      </c>
      <c r="V35" s="335">
        <v>1167.9000000000001</v>
      </c>
      <c r="W35" s="335">
        <v>1166.83</v>
      </c>
      <c r="X35" s="335">
        <v>1156.68</v>
      </c>
      <c r="Y35" s="336">
        <v>1205.44</v>
      </c>
      <c r="Z35" s="337">
        <v>1250.8895</v>
      </c>
      <c r="AA35" s="347">
        <v>1248.74</v>
      </c>
      <c r="AB35" s="347">
        <v>1128.0958000000001</v>
      </c>
      <c r="AC35" s="638">
        <v>1252.7348</v>
      </c>
      <c r="AD35" s="347">
        <v>1401.5551999999998</v>
      </c>
      <c r="AE35" s="339">
        <v>489</v>
      </c>
      <c r="AF35" s="340">
        <v>200</v>
      </c>
      <c r="AG35" s="334"/>
      <c r="AH35" s="341" t="s">
        <v>378</v>
      </c>
      <c r="AI35" s="343" t="s">
        <v>379</v>
      </c>
      <c r="AJ35" s="343" t="s">
        <v>130</v>
      </c>
      <c r="AK35" s="344" t="s">
        <v>380</v>
      </c>
      <c r="AL35" s="340" t="s">
        <v>224</v>
      </c>
      <c r="AM35" s="328"/>
      <c r="AN35" s="328"/>
      <c r="AO35" s="328"/>
      <c r="AP35" s="328"/>
      <c r="AQ35" s="328"/>
      <c r="AR35" s="451"/>
      <c r="AS35" s="344" t="s">
        <v>88</v>
      </c>
      <c r="AT35" s="345"/>
      <c r="AU35" s="345"/>
      <c r="AV35" s="660" t="s">
        <v>381</v>
      </c>
      <c r="AW35" s="345"/>
      <c r="AX35" s="421" t="s">
        <v>381</v>
      </c>
      <c r="AY35" s="345"/>
      <c r="AZ35" s="345"/>
      <c r="BA35" s="594"/>
      <c r="BB35" s="345"/>
      <c r="BC35" s="345"/>
      <c r="BD35" s="345"/>
      <c r="BE35" s="345"/>
      <c r="BF35" s="345"/>
      <c r="BG35" s="345"/>
      <c r="BH35" s="345"/>
      <c r="BI35" s="345"/>
      <c r="BJ35" s="364">
        <f>COUNTIF(AT35:BI35,"*OP*")</f>
        <v>0</v>
      </c>
      <c r="BK35" s="375" t="s">
        <v>89</v>
      </c>
      <c r="BL35" s="328">
        <f>(COUNTIF(AT35:AV35,"*OK*")*3) + (COUNTIF(AW35:AY35,"*OK*")*2) + COUNTIF(AZ35:BB35,"*OK*")+COUNTIF(BK35:BK35,"SI")*0.5</f>
        <v>5</v>
      </c>
      <c r="BM35" s="328" t="str">
        <f>IF(BL35&lt;0.6,"Demasiado Riesgo",IF(BL35&lt;=5,"Riesgo Medio",IF(BL35&lt;=11,"Riesgo Bajo","Cliente Blindado")))</f>
        <v>Riesgo Medio</v>
      </c>
      <c r="BN35" s="328"/>
      <c r="BO35" s="328" t="s">
        <v>382</v>
      </c>
      <c r="BP35" s="328">
        <v>0</v>
      </c>
      <c r="BQ35" s="349" t="s">
        <v>91</v>
      </c>
      <c r="BR35" s="328"/>
      <c r="BS35" s="328"/>
      <c r="BT35" s="328"/>
      <c r="BU35" s="328"/>
      <c r="BV35" s="328"/>
      <c r="BW35" s="328"/>
      <c r="BX35" s="328"/>
      <c r="BY35" s="328"/>
      <c r="BZ35" s="328"/>
      <c r="CA35" s="328"/>
      <c r="CB35" s="328"/>
      <c r="CC35" s="328"/>
      <c r="CD35" s="328"/>
      <c r="CE35" s="328"/>
      <c r="CF35" s="328"/>
      <c r="CG35" s="328"/>
      <c r="CH35" s="328"/>
      <c r="CI35" s="328"/>
      <c r="CJ35" s="328"/>
      <c r="CK35" s="328"/>
      <c r="CL35" s="328">
        <f>COUNTIF(AT35:BH35,"*OK*")</f>
        <v>2</v>
      </c>
      <c r="CM35" s="328"/>
      <c r="CN35" s="328">
        <f>COUNTIF(AT35:BH35,"*OP*")</f>
        <v>0</v>
      </c>
    </row>
    <row r="36" spans="1:94" s="425" customFormat="1" ht="14.25" customHeight="1">
      <c r="A36" s="835">
        <v>37414</v>
      </c>
      <c r="B36" s="560" t="s">
        <v>383</v>
      </c>
      <c r="C36" s="329">
        <f t="shared" si="2"/>
        <v>1176.1588999999999</v>
      </c>
      <c r="D36" s="352">
        <f>COUNTIF(AX36:BI36,"OK")</f>
        <v>0</v>
      </c>
      <c r="E36" s="349" t="s">
        <v>93</v>
      </c>
      <c r="F36" s="350" t="s">
        <v>384</v>
      </c>
      <c r="G36" s="623"/>
      <c r="H36" s="650">
        <f>IF(LEN(TRIM($G36&amp;""))=0, $C36, SUMIF($G$3:$G$561, TRIM($G36), $C$3:$C$561))</f>
        <v>1176.1588999999999</v>
      </c>
      <c r="I36" s="368" t="s">
        <v>76</v>
      </c>
      <c r="J36" s="349"/>
      <c r="K36" s="349"/>
      <c r="L36" s="349" t="str">
        <f>HYPERLINK("https://crm.zoho.com/crm/org685875245/tab/Accounts/3525045000578056486","https://crm.zoho.com/crm/org685875245/tab/Accounts/3525045000578056486")</f>
        <v>https://crm.zoho.com/crm/org685875245/tab/Accounts/3525045000578056486</v>
      </c>
      <c r="M36" s="553"/>
      <c r="N36" s="352"/>
      <c r="O36" s="540" t="s">
        <v>385</v>
      </c>
      <c r="P36" s="540" t="s">
        <v>386</v>
      </c>
      <c r="Q36" s="540"/>
      <c r="R36" s="352"/>
      <c r="S36" s="352"/>
      <c r="T36" s="351" t="s">
        <v>88</v>
      </c>
      <c r="U36" s="334" t="s">
        <v>387</v>
      </c>
      <c r="V36" s="335"/>
      <c r="W36" s="335"/>
      <c r="X36" s="335">
        <v>1718</v>
      </c>
      <c r="Y36" s="336">
        <v>1755.95</v>
      </c>
      <c r="Z36" s="337">
        <v>1702.9757999999999</v>
      </c>
      <c r="AA36" s="369">
        <v>1716.36</v>
      </c>
      <c r="AB36" s="369">
        <v>1275.6983</v>
      </c>
      <c r="AC36" s="640">
        <v>1252.6772000000001</v>
      </c>
      <c r="AD36" s="369">
        <v>1176.1588999999999</v>
      </c>
      <c r="AE36" s="357">
        <v>598</v>
      </c>
      <c r="AF36" s="358" t="s">
        <v>103</v>
      </c>
      <c r="AG36" s="354"/>
      <c r="AH36" s="349"/>
      <c r="AI36" s="361"/>
      <c r="AJ36" s="361"/>
      <c r="AK36" s="362"/>
      <c r="AL36" s="371" t="s">
        <v>84</v>
      </c>
      <c r="AM36" s="349"/>
      <c r="AN36" s="349"/>
      <c r="AO36" s="349"/>
      <c r="AP36" s="349"/>
      <c r="AQ36" s="349"/>
      <c r="AR36" s="453"/>
      <c r="AS36" s="363"/>
      <c r="AT36" s="345"/>
      <c r="AU36" s="345"/>
      <c r="AV36" s="345"/>
      <c r="AW36" s="345"/>
      <c r="AX36" s="345"/>
      <c r="AY36" s="345"/>
      <c r="AZ36" s="345"/>
      <c r="BA36" s="345"/>
      <c r="BB36" s="345"/>
      <c r="BC36" s="345"/>
      <c r="BD36" s="345"/>
      <c r="BE36" s="345"/>
      <c r="BF36" s="345"/>
      <c r="BG36" s="345"/>
      <c r="BH36" s="345"/>
      <c r="BI36" s="345"/>
      <c r="BJ36" s="364">
        <f>COUNTIF(AT36:BI36,"*OP*")</f>
        <v>0</v>
      </c>
      <c r="BK36" s="363" t="s">
        <v>103</v>
      </c>
      <c r="BL36" s="349">
        <f>(COUNTIF(AT36:AV36,"*OK*")*3) + (COUNTIF(AW36:AY36,"*OK*")*2) + COUNTIF(AZ36:BB36,"*OK*")+COUNTIF(BK36:BK36,"SI")*0.5</f>
        <v>0</v>
      </c>
      <c r="BM36" s="349" t="str">
        <f>IF(BL36&lt;0.6,"Demasiado Riesgo",IF(BL36&lt;=5,"Riesgo Medio",IF(BL36&lt;=11,"Riesgo Bajo","Cliente Blindado")))</f>
        <v>Demasiado Riesgo</v>
      </c>
      <c r="BN36" s="349"/>
      <c r="BO36" s="349"/>
      <c r="BP36" s="349">
        <v>0</v>
      </c>
      <c r="BQ36" s="349"/>
      <c r="BR36" s="349"/>
      <c r="BS36" s="349"/>
      <c r="BT36" s="349"/>
      <c r="BU36" s="349"/>
      <c r="BV36" s="349"/>
      <c r="BW36" s="349"/>
      <c r="BX36" s="349"/>
      <c r="BY36" s="349"/>
      <c r="BZ36" s="349"/>
      <c r="CA36" s="349"/>
      <c r="CB36" s="349"/>
      <c r="CC36" s="349"/>
      <c r="CD36" s="349"/>
      <c r="CE36" s="349"/>
      <c r="CF36" s="349"/>
      <c r="CG36" s="349"/>
      <c r="CH36" s="349"/>
      <c r="CI36" s="349"/>
      <c r="CJ36" s="349"/>
      <c r="CK36" s="349"/>
      <c r="CL36" s="349">
        <f>COUNTIF(AT36:BH36,"*OK*")</f>
        <v>0</v>
      </c>
      <c r="CM36" s="349"/>
      <c r="CN36" s="349">
        <f>COUNTIF(AT36:BH36,"*OP*")</f>
        <v>0</v>
      </c>
      <c r="CO36" s="287"/>
      <c r="CP36" s="287"/>
    </row>
    <row r="37" spans="1:94" s="425" customFormat="1" ht="14.25" customHeight="1">
      <c r="A37" s="836">
        <v>26084</v>
      </c>
      <c r="B37" s="560" t="s">
        <v>388</v>
      </c>
      <c r="C37" s="329">
        <f t="shared" si="2"/>
        <v>1232.1274000000001</v>
      </c>
      <c r="D37" s="332">
        <f>COUNTIF(AT37:BH37,"*OK*")</f>
        <v>1</v>
      </c>
      <c r="E37" s="331" t="s">
        <v>73</v>
      </c>
      <c r="F37" s="856" t="s">
        <v>389</v>
      </c>
      <c r="G37" s="533"/>
      <c r="H37" s="650">
        <f>IF(LEN(TRIM($G37&amp;""))=0, $C37, SUMIF($G$3:$G$561, TRIM($G37), $C$3:$C$561))</f>
        <v>1232.1274000000001</v>
      </c>
      <c r="I37" s="410" t="s">
        <v>76</v>
      </c>
      <c r="J37" s="331"/>
      <c r="K37" s="560"/>
      <c r="L37" s="560" t="str">
        <f>HYPERLINK("https://crm.zoho.com/crm/org685875245/tab/Accounts/3525045000212428171","https://crm.zoho.com/crm/org685875245/tab/Accounts/3525045000212428171")</f>
        <v>https://crm.zoho.com/crm/org685875245/tab/Accounts/3525045000212428171</v>
      </c>
      <c r="M37" s="391" t="s">
        <v>96</v>
      </c>
      <c r="N37" s="560" t="s">
        <v>390</v>
      </c>
      <c r="O37" s="561" t="s">
        <v>391</v>
      </c>
      <c r="P37" s="561" t="s">
        <v>392</v>
      </c>
      <c r="Q37" s="561" t="s">
        <v>393</v>
      </c>
      <c r="R37" s="560" t="s">
        <v>81</v>
      </c>
      <c r="S37" s="332"/>
      <c r="T37" s="331"/>
      <c r="U37" s="334" t="s">
        <v>394</v>
      </c>
      <c r="V37" s="335">
        <v>1089.82</v>
      </c>
      <c r="W37" s="335">
        <v>1088.82</v>
      </c>
      <c r="X37" s="335">
        <v>1031.23</v>
      </c>
      <c r="Y37" s="336">
        <v>1061.1199999999999</v>
      </c>
      <c r="Z37" s="337">
        <v>831.45640000000003</v>
      </c>
      <c r="AA37" s="338">
        <v>834.69</v>
      </c>
      <c r="AB37" s="338">
        <v>859.16039999999998</v>
      </c>
      <c r="AC37" s="634">
        <v>1252.2266</v>
      </c>
      <c r="AD37" s="338">
        <v>1232.1274000000001</v>
      </c>
      <c r="AE37" s="339">
        <v>374</v>
      </c>
      <c r="AF37" s="340">
        <v>324</v>
      </c>
      <c r="AG37" s="334"/>
      <c r="AH37" s="341" t="s">
        <v>83</v>
      </c>
      <c r="AI37" s="343" t="s">
        <v>83</v>
      </c>
      <c r="AJ37" s="343" t="s">
        <v>120</v>
      </c>
      <c r="AK37" s="344" t="s">
        <v>395</v>
      </c>
      <c r="AL37" s="340" t="s">
        <v>396</v>
      </c>
      <c r="AM37" s="328"/>
      <c r="AN37" s="328"/>
      <c r="AO37" s="328"/>
      <c r="AP37" s="328"/>
      <c r="AQ37" s="328"/>
      <c r="AR37" s="451"/>
      <c r="AS37" s="372" t="s">
        <v>88</v>
      </c>
      <c r="AT37" s="345"/>
      <c r="AU37" s="345" t="s">
        <v>397</v>
      </c>
      <c r="AV37" s="345"/>
      <c r="AW37" s="345"/>
      <c r="AX37" s="421" t="s">
        <v>398</v>
      </c>
      <c r="AY37" s="345"/>
      <c r="AZ37" s="345"/>
      <c r="BA37" s="345"/>
      <c r="BB37" s="345"/>
      <c r="BC37" s="345"/>
      <c r="BD37" s="345"/>
      <c r="BE37" s="345"/>
      <c r="BF37" s="345"/>
      <c r="BG37" s="345"/>
      <c r="BH37" s="345"/>
      <c r="BI37" s="345"/>
      <c r="BJ37" s="364">
        <f>COUNTIF(AT37:BI37,"*OP*")</f>
        <v>1</v>
      </c>
      <c r="BK37" s="375" t="s">
        <v>89</v>
      </c>
      <c r="BL37" s="328">
        <f>(COUNTIF(AT37:AV37,"*OK*")*3) + (COUNTIF(AW37:AY37,"*OK*")*2) + COUNTIF(AZ37:BB37,"*OK*")+COUNTIF(BK37:BK37,"SI")*0.5</f>
        <v>2</v>
      </c>
      <c r="BM37" s="328" t="str">
        <f>IF(BL37&lt;0.6,"Demasiado Riesgo",IF(BL37&lt;=5,"Riesgo Medio",IF(BL37&lt;=11,"Riesgo Bajo","Cliente Blindado")))</f>
        <v>Riesgo Medio</v>
      </c>
      <c r="BN37" s="328"/>
      <c r="BO37" s="349" t="s">
        <v>399</v>
      </c>
      <c r="BP37" s="349">
        <v>0</v>
      </c>
      <c r="BQ37" s="349" t="s">
        <v>400</v>
      </c>
      <c r="BR37" s="349"/>
      <c r="BS37" s="349"/>
      <c r="BT37" s="349"/>
      <c r="BU37" s="349"/>
      <c r="BV37" s="349"/>
      <c r="BW37" s="349"/>
      <c r="BX37" s="349"/>
      <c r="BY37" s="349"/>
      <c r="BZ37" s="349"/>
      <c r="CA37" s="349"/>
      <c r="CB37" s="349"/>
      <c r="CC37" s="349"/>
      <c r="CD37" s="349"/>
      <c r="CE37" s="349"/>
      <c r="CF37" s="349"/>
      <c r="CG37" s="349"/>
      <c r="CH37" s="349"/>
      <c r="CI37" s="349"/>
      <c r="CJ37" s="349"/>
      <c r="CK37" s="349"/>
      <c r="CL37" s="349">
        <f>COUNTIF(AT37:BH37,"*OK*")</f>
        <v>1</v>
      </c>
      <c r="CM37" s="349"/>
      <c r="CN37" s="349">
        <f>COUNTIF(AT37:BH37,"*OP*")</f>
        <v>1</v>
      </c>
      <c r="CO37" s="287"/>
      <c r="CP37" s="287"/>
    </row>
    <row r="38" spans="1:94" ht="14.25" customHeight="1">
      <c r="A38" s="834">
        <v>21150</v>
      </c>
      <c r="B38" s="560" t="s">
        <v>401</v>
      </c>
      <c r="C38" s="329">
        <f t="shared" si="2"/>
        <v>1250</v>
      </c>
      <c r="D38" s="332">
        <f>COUNTIF(AT38:BH38,"*OK*")</f>
        <v>2</v>
      </c>
      <c r="E38" s="331" t="s">
        <v>93</v>
      </c>
      <c r="F38" s="433" t="s">
        <v>402</v>
      </c>
      <c r="G38" s="533"/>
      <c r="H38" s="650">
        <f>IF(LEN(TRIM($G38&amp;""))=0, $C38, SUMIF($G$3:$G$561, TRIM($G38), $C$3:$C$561))</f>
        <v>1250</v>
      </c>
      <c r="I38" s="410" t="s">
        <v>76</v>
      </c>
      <c r="J38" s="331"/>
      <c r="K38" s="328"/>
      <c r="L38" s="328" t="str">
        <f>HYPERLINK("https://crm.zoho.com/crm/org685875245/tab/Accounts/3525045000188390027","https://crm.zoho.com/crm/org685875245/tab/Accounts/3525045000188390027")</f>
        <v>https://crm.zoho.com/crm/org685875245/tab/Accounts/3525045000188390027</v>
      </c>
      <c r="M38" s="341" t="s">
        <v>96</v>
      </c>
      <c r="N38" s="341" t="s">
        <v>403</v>
      </c>
      <c r="O38" s="548" t="s">
        <v>404</v>
      </c>
      <c r="P38" s="548" t="s">
        <v>405</v>
      </c>
      <c r="Q38" s="548" t="s">
        <v>406</v>
      </c>
      <c r="R38" s="391" t="s">
        <v>160</v>
      </c>
      <c r="S38" s="341"/>
      <c r="T38" s="331"/>
      <c r="U38" s="344" t="s">
        <v>387</v>
      </c>
      <c r="V38" s="335">
        <v>1359.76</v>
      </c>
      <c r="W38" s="335">
        <v>1358.51</v>
      </c>
      <c r="X38" s="335">
        <v>1294.6400000000001</v>
      </c>
      <c r="Y38" s="336">
        <v>1336.32</v>
      </c>
      <c r="Z38" s="337">
        <v>1288</v>
      </c>
      <c r="AA38" s="347">
        <v>1250</v>
      </c>
      <c r="AB38" s="347">
        <v>1250</v>
      </c>
      <c r="AC38" s="638">
        <v>1250</v>
      </c>
      <c r="AD38" s="347">
        <v>1250</v>
      </c>
      <c r="AE38" s="339">
        <v>1285</v>
      </c>
      <c r="AF38" s="340">
        <v>300</v>
      </c>
      <c r="AG38" s="334"/>
      <c r="AH38" s="341"/>
      <c r="AI38" s="342" t="s">
        <v>83</v>
      </c>
      <c r="AJ38" s="343" t="s">
        <v>130</v>
      </c>
      <c r="AK38" s="344" t="s">
        <v>407</v>
      </c>
      <c r="AL38" s="340" t="s">
        <v>103</v>
      </c>
      <c r="AM38" s="328"/>
      <c r="AN38" s="328" t="s">
        <v>152</v>
      </c>
      <c r="AO38" s="328"/>
      <c r="AP38" s="328"/>
      <c r="AQ38" s="328"/>
      <c r="AR38" s="451" t="s">
        <v>153</v>
      </c>
      <c r="AS38" s="344" t="s">
        <v>103</v>
      </c>
      <c r="AT38" s="345"/>
      <c r="AU38" s="345"/>
      <c r="AV38" s="421" t="s">
        <v>408</v>
      </c>
      <c r="AW38" s="345"/>
      <c r="AX38" s="421" t="s">
        <v>408</v>
      </c>
      <c r="AY38" s="345"/>
      <c r="AZ38" s="345"/>
      <c r="BA38" s="345"/>
      <c r="BB38" s="345"/>
      <c r="BC38" s="345"/>
      <c r="BD38" s="345"/>
      <c r="BE38" s="345"/>
      <c r="BF38" s="345"/>
      <c r="BG38" s="345"/>
      <c r="BH38" s="345"/>
      <c r="BI38" s="345"/>
      <c r="BJ38" s="364">
        <f>COUNTIF(AT38:BI38,"*OP*")</f>
        <v>0</v>
      </c>
      <c r="BK38" s="375" t="s">
        <v>103</v>
      </c>
      <c r="BL38" s="328">
        <f>(COUNTIF(AT38:AV38,"*OK*")*3) + (COUNTIF(AW38:AY38,"*OK*")*2) + COUNTIF(AZ38:BB38,"*OK*")+COUNTIF(BK38:BK38,"SI")*0.5</f>
        <v>5</v>
      </c>
      <c r="BM38" s="328" t="str">
        <f>IF(BL38&lt;0.6,"Demasiado Riesgo",IF(BL38&lt;=5,"Riesgo Medio",IF(BL38&lt;=11,"Riesgo Bajo","Cliente Blindado")))</f>
        <v>Riesgo Medio</v>
      </c>
      <c r="BN38" s="328"/>
      <c r="BO38" s="328"/>
      <c r="BP38" s="328">
        <v>0</v>
      </c>
      <c r="BQ38" s="328"/>
      <c r="BR38" s="328"/>
      <c r="BS38" s="328"/>
      <c r="BT38" s="328"/>
      <c r="BU38" s="328"/>
      <c r="BV38" s="328"/>
      <c r="BW38" s="328"/>
      <c r="BX38" s="328"/>
      <c r="BY38" s="328"/>
      <c r="BZ38" s="328"/>
      <c r="CA38" s="328"/>
      <c r="CB38" s="328"/>
      <c r="CC38" s="328"/>
      <c r="CD38" s="328"/>
      <c r="CE38" s="328"/>
      <c r="CF38" s="328"/>
      <c r="CG38" s="328"/>
      <c r="CH38" s="328"/>
      <c r="CI38" s="328"/>
      <c r="CJ38" s="328"/>
      <c r="CK38" s="328"/>
      <c r="CL38" s="328">
        <f>COUNTIF(AT38:BH38,"*OK*")</f>
        <v>2</v>
      </c>
      <c r="CM38" s="328"/>
      <c r="CN38" s="328">
        <f>COUNTIF(AT38:BH38,"*OP*")</f>
        <v>0</v>
      </c>
    </row>
    <row r="39" spans="1:94" ht="14.25" customHeight="1">
      <c r="A39" s="836">
        <v>20103</v>
      </c>
      <c r="B39" s="560" t="s">
        <v>409</v>
      </c>
      <c r="C39" s="329">
        <f t="shared" si="2"/>
        <v>1103.5833</v>
      </c>
      <c r="D39" s="332">
        <f>COUNTIF(AT39:BH39,"*OK*")</f>
        <v>0</v>
      </c>
      <c r="E39" s="331" t="s">
        <v>93</v>
      </c>
      <c r="F39" s="429" t="s">
        <v>410</v>
      </c>
      <c r="G39" s="533"/>
      <c r="H39" s="650">
        <f>IF(LEN(TRIM($G39&amp;""))=0, $C39, SUMIF($G$3:$G$561, TRIM($G39), $C$3:$C$561))</f>
        <v>1103.5833</v>
      </c>
      <c r="I39" s="410" t="s">
        <v>76</v>
      </c>
      <c r="J39" s="331"/>
      <c r="K39" s="328"/>
      <c r="L39" s="328" t="str">
        <f>HYPERLINK("https://crm.zoho.com/crm/org685875245/tab/Accounts/3525045000394740282","https://crm.zoho.com/crm/org685875245/tab/Accounts/3525045000394740282")</f>
        <v>https://crm.zoho.com/crm/org685875245/tab/Accounts/3525045000394740282</v>
      </c>
      <c r="M39" s="341" t="s">
        <v>167</v>
      </c>
      <c r="N39" s="341" t="s">
        <v>411</v>
      </c>
      <c r="O39" s="548" t="s">
        <v>412</v>
      </c>
      <c r="P39" s="548" t="s">
        <v>312</v>
      </c>
      <c r="Q39" s="548" t="s">
        <v>413</v>
      </c>
      <c r="R39" s="332" t="s">
        <v>160</v>
      </c>
      <c r="S39" s="341"/>
      <c r="T39" s="331"/>
      <c r="U39" s="344" t="s">
        <v>82</v>
      </c>
      <c r="V39" s="335">
        <v>1299.95</v>
      </c>
      <c r="W39" s="335">
        <v>1216.24</v>
      </c>
      <c r="X39" s="335">
        <v>1172.74</v>
      </c>
      <c r="Y39" s="336">
        <v>1203.43</v>
      </c>
      <c r="Z39" s="337">
        <v>1183.857</v>
      </c>
      <c r="AA39" s="347">
        <v>1174.4100000000001</v>
      </c>
      <c r="AB39" s="347">
        <v>1219.9929</v>
      </c>
      <c r="AC39" s="638">
        <v>1224.2573</v>
      </c>
      <c r="AD39" s="347">
        <v>1103.5833</v>
      </c>
      <c r="AE39" s="339">
        <v>384</v>
      </c>
      <c r="AF39" s="340">
        <v>600</v>
      </c>
      <c r="AG39" s="334"/>
      <c r="AH39" s="341"/>
      <c r="AI39" s="343" t="s">
        <v>83</v>
      </c>
      <c r="AJ39" s="343" t="s">
        <v>297</v>
      </c>
      <c r="AK39" s="344" t="s">
        <v>414</v>
      </c>
      <c r="AL39" s="340" t="s">
        <v>103</v>
      </c>
      <c r="AM39" s="328"/>
      <c r="AN39" s="328" t="s">
        <v>152</v>
      </c>
      <c r="AO39" s="328"/>
      <c r="AP39" s="328"/>
      <c r="AQ39" s="328"/>
      <c r="AR39" s="451"/>
      <c r="AS39" s="375" t="s">
        <v>103</v>
      </c>
      <c r="AT39" s="345" t="s">
        <v>173</v>
      </c>
      <c r="AU39" s="345"/>
      <c r="AV39" s="345" t="s">
        <v>173</v>
      </c>
      <c r="AW39" s="345" t="s">
        <v>173</v>
      </c>
      <c r="AX39" s="345"/>
      <c r="AY39" s="345"/>
      <c r="AZ39" s="345"/>
      <c r="BA39" s="345" t="s">
        <v>173</v>
      </c>
      <c r="BB39" s="345"/>
      <c r="BC39" s="345"/>
      <c r="BD39" s="345"/>
      <c r="BE39" s="345"/>
      <c r="BF39" s="345"/>
      <c r="BG39" s="345"/>
      <c r="BH39" s="345"/>
      <c r="BI39" s="345"/>
      <c r="BJ39" s="364">
        <f>COUNTIF(AT39:BI39,"*OP*")</f>
        <v>4</v>
      </c>
      <c r="BK39" s="375" t="s">
        <v>103</v>
      </c>
      <c r="BL39" s="328">
        <f>(COUNTIF(AT39:AV39,"*OK*")*3) + (COUNTIF(AW39:AY39,"*OK*")*2) + COUNTIF(AZ39:BB39,"*OK*")+COUNTIF(BK39:BK39,"SI")*0.5</f>
        <v>0</v>
      </c>
      <c r="BM39" s="328" t="str">
        <f>IF(BL39&lt;0.6,"Demasiado Riesgo",IF(BL39&lt;=5,"Riesgo Medio",IF(BL39&lt;=11,"Riesgo Bajo","Cliente Blindado")))</f>
        <v>Demasiado Riesgo</v>
      </c>
      <c r="BN39" s="328"/>
      <c r="BO39" s="328"/>
      <c r="BP39" s="328">
        <v>0</v>
      </c>
      <c r="BQ39" s="328"/>
      <c r="BR39" s="328"/>
      <c r="BS39" s="328"/>
      <c r="BT39" s="328"/>
      <c r="BU39" s="328"/>
      <c r="BV39" s="328"/>
      <c r="BW39" s="328"/>
      <c r="BX39" s="328"/>
      <c r="BY39" s="328"/>
      <c r="BZ39" s="328"/>
      <c r="CA39" s="328"/>
      <c r="CB39" s="328"/>
      <c r="CC39" s="328"/>
      <c r="CD39" s="328"/>
      <c r="CE39" s="328"/>
      <c r="CF39" s="328"/>
      <c r="CG39" s="328"/>
      <c r="CH39" s="328"/>
      <c r="CI39" s="328"/>
      <c r="CJ39" s="328"/>
      <c r="CK39" s="328"/>
      <c r="CL39" s="328">
        <f>COUNTIF(AT39:BH39,"*OK*")</f>
        <v>0</v>
      </c>
      <c r="CM39" s="328"/>
      <c r="CN39" s="328">
        <f>COUNTIF(AT39:BH39,"*OP*")</f>
        <v>4</v>
      </c>
      <c r="CO39" s="425"/>
    </row>
    <row r="40" spans="1:94" ht="15" customHeight="1">
      <c r="A40" s="836">
        <v>26664</v>
      </c>
      <c r="B40" s="560" t="s">
        <v>415</v>
      </c>
      <c r="C40" s="329">
        <f t="shared" si="2"/>
        <v>1212.7483</v>
      </c>
      <c r="D40" s="332">
        <f>COUNTIF(AT40:BH40,"*OK*")</f>
        <v>0</v>
      </c>
      <c r="E40" s="331" t="s">
        <v>93</v>
      </c>
      <c r="F40" s="331" t="s">
        <v>416</v>
      </c>
      <c r="G40" s="331"/>
      <c r="H40" s="650">
        <f>IF(LEN(TRIM($G40&amp;""))=0, $C40, SUMIF($G$3:$G$561, TRIM($G40), $C$3:$C$561))</f>
        <v>1212.7483</v>
      </c>
      <c r="I40" s="410" t="s">
        <v>76</v>
      </c>
      <c r="J40" s="331"/>
      <c r="K40" s="328"/>
      <c r="L40" s="328" t="str">
        <f>HYPERLINK("https://crm.zoho.com/crm/org685875245/tab/Accounts/3525045000118304484","https://crm.zoho.com/crm/org685875245/tab/Accounts/3525045000118304484")</f>
        <v>https://crm.zoho.com/crm/org685875245/tab/Accounts/3525045000118304484</v>
      </c>
      <c r="M40" s="341" t="s">
        <v>96</v>
      </c>
      <c r="N40" s="341"/>
      <c r="O40" s="548" t="s">
        <v>417</v>
      </c>
      <c r="P40" s="548" t="s">
        <v>418</v>
      </c>
      <c r="Q40" s="548" t="s">
        <v>419</v>
      </c>
      <c r="R40" s="341" t="s">
        <v>160</v>
      </c>
      <c r="S40" s="341"/>
      <c r="T40" s="331"/>
      <c r="U40" s="344" t="s">
        <v>82</v>
      </c>
      <c r="V40" s="335">
        <v>1092.5</v>
      </c>
      <c r="W40" s="335">
        <v>1104.54</v>
      </c>
      <c r="X40" s="335">
        <v>1079.95</v>
      </c>
      <c r="Y40" s="336">
        <v>1118.99</v>
      </c>
      <c r="Z40" s="337">
        <v>1158.5989</v>
      </c>
      <c r="AA40" s="347">
        <v>1154.47</v>
      </c>
      <c r="AB40" s="347">
        <v>1193.0142000000001</v>
      </c>
      <c r="AC40" s="638">
        <v>1222.8683000000001</v>
      </c>
      <c r="AD40" s="347">
        <v>1212.7483</v>
      </c>
      <c r="AE40" s="339">
        <v>1110</v>
      </c>
      <c r="AF40" s="340">
        <v>200</v>
      </c>
      <c r="AG40" s="334"/>
      <c r="AH40" s="341"/>
      <c r="AI40" s="342" t="s">
        <v>83</v>
      </c>
      <c r="AJ40" s="343" t="s">
        <v>199</v>
      </c>
      <c r="AK40" s="344" t="s">
        <v>420</v>
      </c>
      <c r="AL40" s="340" t="s">
        <v>103</v>
      </c>
      <c r="AM40" s="328"/>
      <c r="AN40" s="328" t="s">
        <v>104</v>
      </c>
      <c r="AO40" s="328"/>
      <c r="AP40" s="328"/>
      <c r="AQ40" s="328"/>
      <c r="AR40" s="451"/>
      <c r="AS40" s="372" t="s">
        <v>88</v>
      </c>
      <c r="AT40" s="345"/>
      <c r="AU40" s="345"/>
      <c r="AV40" s="345"/>
      <c r="AW40" s="345"/>
      <c r="AX40" s="345"/>
      <c r="AY40" s="345"/>
      <c r="AZ40" s="345"/>
      <c r="BA40" s="345"/>
      <c r="BB40" s="345"/>
      <c r="BC40" s="345"/>
      <c r="BD40" s="345"/>
      <c r="BE40" s="345"/>
      <c r="BF40" s="345"/>
      <c r="BG40" s="345"/>
      <c r="BH40" s="345"/>
      <c r="BI40" s="345"/>
      <c r="BJ40" s="364">
        <f>COUNTIF(AT40:BI40,"*OP*")</f>
        <v>0</v>
      </c>
      <c r="BK40" s="375" t="s">
        <v>89</v>
      </c>
      <c r="BL40" s="328">
        <f>(COUNTIF(AT40:AV40,"*OK*")*3) + (COUNTIF(AW40:AY40,"*OK*")*2) + COUNTIF(AZ40:BB40,"*OK*")+COUNTIF(BK40:BK40,"SI")*0.5</f>
        <v>0</v>
      </c>
      <c r="BM40" s="328" t="str">
        <f>IF(BL40&lt;0.6,"Demasiado Riesgo",IF(BL40&lt;=5,"Riesgo Medio",IF(BL40&lt;=11,"Riesgo Bajo","Cliente Blindado")))</f>
        <v>Demasiado Riesgo</v>
      </c>
      <c r="BN40" s="328"/>
      <c r="BO40" s="328"/>
      <c r="BP40" s="328">
        <v>0</v>
      </c>
      <c r="BQ40" s="328"/>
      <c r="BR40" s="328"/>
      <c r="BS40" s="328"/>
      <c r="BT40" s="328"/>
      <c r="BU40" s="328"/>
      <c r="BV40" s="328"/>
      <c r="BW40" s="328"/>
      <c r="BX40" s="328"/>
      <c r="BY40" s="328"/>
      <c r="BZ40" s="328"/>
      <c r="CA40" s="328"/>
      <c r="CB40" s="328"/>
      <c r="CC40" s="328"/>
      <c r="CD40" s="328"/>
      <c r="CE40" s="328"/>
      <c r="CF40" s="328"/>
      <c r="CG40" s="328"/>
      <c r="CH40" s="328"/>
      <c r="CI40" s="328"/>
      <c r="CJ40" s="328"/>
      <c r="CK40" s="328"/>
      <c r="CL40" s="328">
        <f>COUNTIF(AT40:BH40,"*OK*")</f>
        <v>0</v>
      </c>
      <c r="CM40" s="328"/>
      <c r="CN40" s="328">
        <f>COUNTIF(AT40:BH40,"*OP*")</f>
        <v>0</v>
      </c>
    </row>
    <row r="41" spans="1:94" ht="15" customHeight="1">
      <c r="A41" s="835">
        <v>34962</v>
      </c>
      <c r="B41" s="560" t="s">
        <v>421</v>
      </c>
      <c r="C41" s="329">
        <f t="shared" si="2"/>
        <v>1276.3797</v>
      </c>
      <c r="D41" s="352">
        <f>COUNTIF(AT41:BH41,"*OK*")</f>
        <v>0</v>
      </c>
      <c r="E41" s="351" t="s">
        <v>93</v>
      </c>
      <c r="F41" s="350" t="s">
        <v>422</v>
      </c>
      <c r="G41" s="351"/>
      <c r="H41" s="650">
        <f>IF(LEN(TRIM($G41&amp;""))=0, $C41, SUMIF($G$3:$G$561, TRIM($G41), $C$3:$C$561))</f>
        <v>1276.3797</v>
      </c>
      <c r="I41" s="416" t="s">
        <v>76</v>
      </c>
      <c r="J41" s="351"/>
      <c r="K41" s="349"/>
      <c r="L41" s="349" t="str">
        <f>HYPERLINK("https://crm.zoho.com/crm/org685875245/tab/Accounts/3525045000375387064","https://crm.zoho.com/crm/org685875245/tab/Accounts/3525045000375387064")</f>
        <v>https://crm.zoho.com/crm/org685875245/tab/Accounts/3525045000375387064</v>
      </c>
      <c r="M41" s="553"/>
      <c r="N41" s="352"/>
      <c r="O41" s="540" t="s">
        <v>423</v>
      </c>
      <c r="P41" s="540" t="s">
        <v>424</v>
      </c>
      <c r="Q41" s="540" t="s">
        <v>425</v>
      </c>
      <c r="R41" s="341"/>
      <c r="S41" s="352"/>
      <c r="T41" s="351" t="s">
        <v>88</v>
      </c>
      <c r="U41" s="354" t="s">
        <v>394</v>
      </c>
      <c r="V41" s="355">
        <v>1148.48</v>
      </c>
      <c r="W41" s="355">
        <v>1220.45</v>
      </c>
      <c r="X41" s="355">
        <v>1113.3599999999999</v>
      </c>
      <c r="Y41" s="356">
        <v>1128.68</v>
      </c>
      <c r="Z41" s="337">
        <v>1143.8672999999999</v>
      </c>
      <c r="AA41" s="338">
        <v>1203.32</v>
      </c>
      <c r="AB41" s="338">
        <v>1196.8747000000001</v>
      </c>
      <c r="AC41" s="634">
        <v>1216.7656999999999</v>
      </c>
      <c r="AD41" s="338">
        <v>1276.3797</v>
      </c>
      <c r="AE41" s="357">
        <v>569</v>
      </c>
      <c r="AF41" s="358">
        <v>60000</v>
      </c>
      <c r="AG41" s="354"/>
      <c r="AH41" s="359"/>
      <c r="AI41" s="370" t="s">
        <v>83</v>
      </c>
      <c r="AJ41" s="361" t="s">
        <v>297</v>
      </c>
      <c r="AK41" s="362" t="s">
        <v>426</v>
      </c>
      <c r="AL41" s="358" t="s">
        <v>103</v>
      </c>
      <c r="AM41" s="349"/>
      <c r="AN41" s="349"/>
      <c r="AO41" s="349"/>
      <c r="AP41" s="349"/>
      <c r="AQ41" s="349"/>
      <c r="AR41" s="453"/>
      <c r="AS41" s="371" t="s">
        <v>103</v>
      </c>
      <c r="AT41" s="345"/>
      <c r="AU41" s="345"/>
      <c r="AV41" s="345"/>
      <c r="AW41" s="345" t="s">
        <v>427</v>
      </c>
      <c r="AX41" s="345"/>
      <c r="AY41" s="345" t="s">
        <v>427</v>
      </c>
      <c r="AZ41" s="345"/>
      <c r="BA41" s="345"/>
      <c r="BB41" s="345"/>
      <c r="BC41" s="345"/>
      <c r="BD41" s="345"/>
      <c r="BE41" s="345"/>
      <c r="BF41" s="345"/>
      <c r="BG41" s="345"/>
      <c r="BH41" s="345"/>
      <c r="BI41" s="345"/>
      <c r="BJ41" s="364">
        <f>COUNTIF(AT41:BI41,"*OP*")</f>
        <v>2</v>
      </c>
      <c r="BK41" s="363" t="s">
        <v>103</v>
      </c>
      <c r="BL41" s="349">
        <f>(COUNTIF(AT41:AV41,"*OK*")*3) + (COUNTIF(AW41:AY41,"*OK*")*2) + COUNTIF(AZ41:BB41,"*OK*")+COUNTIF(BK41:BK41,"SI")*0.5</f>
        <v>0</v>
      </c>
      <c r="BM41" s="349" t="str">
        <f>IF(BL41&lt;0.6,"Demasiado Riesgo",IF(BL41&lt;=5,"Riesgo Medio",IF(BL41&lt;=11,"Riesgo Bajo","Cliente Blindado")))</f>
        <v>Demasiado Riesgo</v>
      </c>
      <c r="BN41" s="349"/>
      <c r="BO41" s="349"/>
      <c r="BP41" s="349">
        <v>0</v>
      </c>
      <c r="BQ41" s="349"/>
      <c r="BR41" s="349"/>
      <c r="BS41" s="349"/>
      <c r="BT41" s="349"/>
      <c r="BU41" s="349"/>
      <c r="BV41" s="349"/>
      <c r="BW41" s="349"/>
      <c r="BX41" s="349"/>
      <c r="BY41" s="349"/>
      <c r="BZ41" s="349"/>
      <c r="CA41" s="349"/>
      <c r="CB41" s="349"/>
      <c r="CC41" s="349"/>
      <c r="CD41" s="349"/>
      <c r="CE41" s="349"/>
      <c r="CF41" s="349"/>
      <c r="CG41" s="349"/>
      <c r="CH41" s="349"/>
      <c r="CI41" s="349"/>
      <c r="CJ41" s="349"/>
      <c r="CK41" s="349"/>
      <c r="CL41" s="349">
        <f>COUNTIF(AT41:BH41,"*OK*")</f>
        <v>0</v>
      </c>
      <c r="CM41" s="349"/>
      <c r="CN41" s="349">
        <f>COUNTIF(AT41:BH41,"*OP*")</f>
        <v>2</v>
      </c>
    </row>
    <row r="42" spans="1:94" ht="14.25" customHeight="1">
      <c r="A42" s="835">
        <v>32312</v>
      </c>
      <c r="B42" s="560" t="s">
        <v>428</v>
      </c>
      <c r="C42" s="329">
        <f t="shared" si="2"/>
        <v>1167.7704000000001</v>
      </c>
      <c r="D42" s="352">
        <f>COUNTIF(AT42:BH42,"*OK*")</f>
        <v>0</v>
      </c>
      <c r="E42" s="331" t="s">
        <v>73</v>
      </c>
      <c r="F42" s="855" t="s">
        <v>429</v>
      </c>
      <c r="G42" s="622" t="s">
        <v>430</v>
      </c>
      <c r="H42" s="650">
        <f>IF(LEN(TRIM($G42&amp;""))=0, $C42, SUMIF($G$3:$G$561, TRIM($G42), $C$3:$C$561))</f>
        <v>1167.7704000000001</v>
      </c>
      <c r="I42" s="351" t="s">
        <v>76</v>
      </c>
      <c r="J42" s="351"/>
      <c r="K42" s="558"/>
      <c r="L42" s="558"/>
      <c r="M42" s="553" t="s">
        <v>77</v>
      </c>
      <c r="N42" s="560" t="s">
        <v>431</v>
      </c>
      <c r="O42" s="559" t="s">
        <v>432</v>
      </c>
      <c r="P42" s="559" t="s">
        <v>433</v>
      </c>
      <c r="Q42" s="559" t="s">
        <v>434</v>
      </c>
      <c r="R42" s="560" t="s">
        <v>81</v>
      </c>
      <c r="S42" s="331" t="s">
        <v>220</v>
      </c>
      <c r="T42" s="351"/>
      <c r="U42" s="354" t="s">
        <v>82</v>
      </c>
      <c r="V42" s="355">
        <v>1044.07</v>
      </c>
      <c r="W42" s="355">
        <v>1388.5</v>
      </c>
      <c r="X42" s="355">
        <v>1179.6300000000001</v>
      </c>
      <c r="Y42" s="356">
        <v>1219.8900000000001</v>
      </c>
      <c r="Z42" s="337">
        <v>1217.8143</v>
      </c>
      <c r="AA42" s="367">
        <v>1247.8900000000001</v>
      </c>
      <c r="AB42" s="367">
        <v>1219.2311</v>
      </c>
      <c r="AC42" s="636">
        <v>1154.8008</v>
      </c>
      <c r="AD42" s="367">
        <v>1167.7704000000001</v>
      </c>
      <c r="AE42" s="357">
        <v>531</v>
      </c>
      <c r="AF42" s="358">
        <v>300</v>
      </c>
      <c r="AG42" s="354"/>
      <c r="AH42" s="359" t="s">
        <v>83</v>
      </c>
      <c r="AI42" s="370" t="s">
        <v>83</v>
      </c>
      <c r="AJ42" s="361" t="s">
        <v>84</v>
      </c>
      <c r="AK42" s="362" t="s">
        <v>435</v>
      </c>
      <c r="AL42" s="358" t="s">
        <v>436</v>
      </c>
      <c r="AM42" s="349"/>
      <c r="AN42" s="349"/>
      <c r="AO42" s="349"/>
      <c r="AP42" s="349"/>
      <c r="AQ42" s="349"/>
      <c r="AR42" s="453" t="s">
        <v>115</v>
      </c>
      <c r="AS42" s="371" t="s">
        <v>103</v>
      </c>
      <c r="AT42" s="345"/>
      <c r="AU42" s="345"/>
      <c r="AV42" s="345"/>
      <c r="AW42" s="345"/>
      <c r="AX42" s="345"/>
      <c r="AY42" s="345"/>
      <c r="AZ42" s="345"/>
      <c r="BA42" s="345"/>
      <c r="BB42" s="345"/>
      <c r="BC42" s="345"/>
      <c r="BD42" s="345"/>
      <c r="BE42" s="345"/>
      <c r="BF42" s="345"/>
      <c r="BG42" s="345"/>
      <c r="BH42" s="345"/>
      <c r="BI42" s="345"/>
      <c r="BJ42" s="364">
        <f>COUNTIF(AT42:BI42,"*OP*")</f>
        <v>0</v>
      </c>
      <c r="BK42" s="363" t="s">
        <v>103</v>
      </c>
      <c r="BL42" s="349">
        <f>(COUNTIF(AT42:AV42,"*OK*")*3) + (COUNTIF(AW42:AY42,"*OK*")*2) + COUNTIF(AZ42:BB42,"*OK*")+COUNTIF(BK42:BK42,"SI")*0.5</f>
        <v>0</v>
      </c>
      <c r="BM42" s="349" t="str">
        <f>IF(BL42&lt;0.6,"Demasiado Riesgo",IF(BL42&lt;=5,"Riesgo Medio",IF(BL42&lt;=11,"Riesgo Bajo","Cliente Blindado")))</f>
        <v>Demasiado Riesgo</v>
      </c>
      <c r="BN42" s="349"/>
      <c r="BO42" s="349" t="s">
        <v>437</v>
      </c>
      <c r="BP42" s="349">
        <v>0</v>
      </c>
      <c r="BQ42" s="349" t="s">
        <v>91</v>
      </c>
      <c r="BR42" s="349"/>
      <c r="BS42" s="349"/>
      <c r="BT42" s="349"/>
      <c r="BU42" s="349"/>
      <c r="BV42" s="349"/>
      <c r="BW42" s="349"/>
      <c r="BX42" s="349"/>
      <c r="BY42" s="349"/>
      <c r="BZ42" s="349"/>
      <c r="CA42" s="349"/>
      <c r="CB42" s="349"/>
      <c r="CC42" s="349"/>
      <c r="CD42" s="349"/>
      <c r="CE42" s="349"/>
      <c r="CF42" s="349"/>
      <c r="CG42" s="349"/>
      <c r="CH42" s="349"/>
      <c r="CI42" s="349"/>
      <c r="CJ42" s="349"/>
      <c r="CK42" s="349"/>
      <c r="CL42" s="349">
        <f>COUNTIF(AT42:BH42,"*OK*")</f>
        <v>0</v>
      </c>
      <c r="CM42" s="349"/>
      <c r="CN42" s="349">
        <f>COUNTIF(AT42:BH42,"*OP*")</f>
        <v>0</v>
      </c>
    </row>
    <row r="43" spans="1:94" ht="14.25" customHeight="1">
      <c r="A43" s="834">
        <v>31768</v>
      </c>
      <c r="B43" s="560" t="s">
        <v>438</v>
      </c>
      <c r="C43" s="329">
        <f t="shared" si="2"/>
        <v>1051.2152000000001</v>
      </c>
      <c r="D43" s="332">
        <f>COUNTIF(AT43:BH43,"*OK*")</f>
        <v>0</v>
      </c>
      <c r="E43" s="331" t="s">
        <v>439</v>
      </c>
      <c r="F43" s="824" t="s">
        <v>440</v>
      </c>
      <c r="G43" s="533"/>
      <c r="H43" s="650">
        <f>IF(LEN(TRIM($G43&amp;""))=0, $C43, SUMIF($G$3:$G$561, TRIM($G43), $C$3:$C$561))</f>
        <v>1051.2152000000001</v>
      </c>
      <c r="I43" s="417" t="s">
        <v>76</v>
      </c>
      <c r="J43" s="331"/>
      <c r="K43" s="328"/>
      <c r="L43" s="328"/>
      <c r="M43" s="391" t="s">
        <v>96</v>
      </c>
      <c r="N43" s="332"/>
      <c r="O43" s="541" t="s">
        <v>441</v>
      </c>
      <c r="P43" s="541" t="s">
        <v>442</v>
      </c>
      <c r="Q43" s="541" t="s">
        <v>443</v>
      </c>
      <c r="R43" s="332"/>
      <c r="S43" s="332"/>
      <c r="T43" s="331"/>
      <c r="U43" s="334" t="s">
        <v>82</v>
      </c>
      <c r="V43" s="335">
        <v>413.5</v>
      </c>
      <c r="W43" s="335">
        <v>399.9</v>
      </c>
      <c r="X43" s="335">
        <v>1036.2</v>
      </c>
      <c r="Y43" s="336">
        <v>1072.81</v>
      </c>
      <c r="Z43" s="337">
        <v>1083.9512</v>
      </c>
      <c r="AA43" s="365">
        <v>1046</v>
      </c>
      <c r="AB43" s="365">
        <v>1127.1141</v>
      </c>
      <c r="AC43" s="635">
        <v>1147.835</v>
      </c>
      <c r="AD43" s="365">
        <v>1051.2152000000001</v>
      </c>
      <c r="AE43" s="339">
        <v>333</v>
      </c>
      <c r="AF43" s="340">
        <v>50</v>
      </c>
      <c r="AG43" s="334"/>
      <c r="AH43" s="341"/>
      <c r="AI43" s="342" t="s">
        <v>444</v>
      </c>
      <c r="AJ43" s="343" t="s">
        <v>143</v>
      </c>
      <c r="AK43" s="344" t="s">
        <v>445</v>
      </c>
      <c r="AL43" s="340" t="s">
        <v>103</v>
      </c>
      <c r="AM43" s="328"/>
      <c r="AN43" s="328"/>
      <c r="AO43" s="328"/>
      <c r="AP43" s="328"/>
      <c r="AQ43" s="328"/>
      <c r="AR43" s="451"/>
      <c r="AS43" s="344" t="s">
        <v>88</v>
      </c>
      <c r="AT43" s="345"/>
      <c r="AU43" s="345"/>
      <c r="AV43" s="345"/>
      <c r="AW43" s="345"/>
      <c r="AX43" s="345"/>
      <c r="AY43" s="345"/>
      <c r="AZ43" s="345"/>
      <c r="BA43" s="345"/>
      <c r="BB43" s="345"/>
      <c r="BC43" s="345"/>
      <c r="BD43" s="345"/>
      <c r="BE43" s="345"/>
      <c r="BF43" s="345"/>
      <c r="BG43" s="345"/>
      <c r="BH43" s="345"/>
      <c r="BI43" s="345"/>
      <c r="BJ43" s="364">
        <f>COUNTIF(AT43:BI43,"*OP*")</f>
        <v>0</v>
      </c>
      <c r="BK43" s="375" t="s">
        <v>89</v>
      </c>
      <c r="BL43" s="328">
        <f>(COUNTIF(AT43:AV43,"*OK*")*3) + (COUNTIF(AW43:AY43,"*OK*")*2) + COUNTIF(AZ43:BB43,"*OK*")+COUNTIF(BK43:BK43,"SI")*0.5</f>
        <v>0</v>
      </c>
      <c r="BM43" s="328" t="str">
        <f>IF(BL43&lt;0.6,"Demasiado Riesgo",IF(BL43&lt;=5,"Riesgo Medio",IF(BL43&lt;=11,"Riesgo Bajo","Cliente Blindado")))</f>
        <v>Demasiado Riesgo</v>
      </c>
      <c r="BN43" s="328"/>
      <c r="BO43" s="349"/>
      <c r="BP43" s="349">
        <v>0</v>
      </c>
      <c r="BQ43" s="349"/>
      <c r="BR43" s="349"/>
      <c r="BS43" s="349"/>
      <c r="BT43" s="349"/>
      <c r="BU43" s="349"/>
      <c r="BV43" s="349"/>
      <c r="BW43" s="349"/>
      <c r="BX43" s="349"/>
      <c r="BY43" s="349"/>
      <c r="BZ43" s="349"/>
      <c r="CA43" s="349"/>
      <c r="CB43" s="349"/>
      <c r="CC43" s="349"/>
      <c r="CD43" s="349"/>
      <c r="CE43" s="349"/>
      <c r="CF43" s="349"/>
      <c r="CG43" s="349"/>
      <c r="CH43" s="349"/>
      <c r="CI43" s="349"/>
      <c r="CJ43" s="349"/>
      <c r="CK43" s="349"/>
      <c r="CL43" s="349">
        <f>COUNTIF(AT43:BH43,"*OK*")</f>
        <v>0</v>
      </c>
      <c r="CM43" s="349"/>
      <c r="CN43" s="349">
        <f>COUNTIF(AT43:BH43,"*OP*")</f>
        <v>0</v>
      </c>
    </row>
    <row r="44" spans="1:94" ht="14.25" customHeight="1">
      <c r="A44" s="835">
        <v>20569</v>
      </c>
      <c r="B44" s="560" t="s">
        <v>446</v>
      </c>
      <c r="C44" s="329">
        <f t="shared" si="2"/>
        <v>1085.0993000000001</v>
      </c>
      <c r="D44" s="352">
        <f>COUNTIF(AT44:BH44,"*OK*")</f>
        <v>0</v>
      </c>
      <c r="E44" s="351" t="s">
        <v>93</v>
      </c>
      <c r="F44" s="426" t="s">
        <v>447</v>
      </c>
      <c r="G44" s="351"/>
      <c r="H44" s="650">
        <f>IF(LEN(TRIM($G44&amp;""))=0, $C44, SUMIF($G$3:$G$561, TRIM($G44), $C$3:$C$561))</f>
        <v>1085.0993000000001</v>
      </c>
      <c r="I44" s="413" t="s">
        <v>76</v>
      </c>
      <c r="J44" s="351"/>
      <c r="K44" s="349"/>
      <c r="L44" s="349" t="str">
        <f>HYPERLINK("https://crm.zoho.com/crm/org685875245/tab/Accounts/3525045000191388216","https://crm.zoho.com/crm/org685875245/tab/Accounts/3525045000191388216")</f>
        <v>https://crm.zoho.com/crm/org685875245/tab/Accounts/3525045000191388216</v>
      </c>
      <c r="M44" s="359" t="s">
        <v>96</v>
      </c>
      <c r="N44" s="359"/>
      <c r="O44" s="545" t="s">
        <v>448</v>
      </c>
      <c r="P44" s="545" t="s">
        <v>449</v>
      </c>
      <c r="Q44" s="545" t="s">
        <v>450</v>
      </c>
      <c r="R44" s="359" t="s">
        <v>111</v>
      </c>
      <c r="S44" s="359"/>
      <c r="T44" s="351"/>
      <c r="U44" s="362" t="s">
        <v>142</v>
      </c>
      <c r="V44" s="355">
        <v>1389.15</v>
      </c>
      <c r="W44" s="355">
        <v>1273.6600000000001</v>
      </c>
      <c r="X44" s="355">
        <v>1165.78</v>
      </c>
      <c r="Y44" s="356">
        <v>1134.58</v>
      </c>
      <c r="Z44" s="337">
        <v>1148.6219000000001</v>
      </c>
      <c r="AA44" s="365">
        <v>1100.1199999999999</v>
      </c>
      <c r="AB44" s="365">
        <v>1133.8965000000001</v>
      </c>
      <c r="AC44" s="635">
        <v>1128.1986999999999</v>
      </c>
      <c r="AD44" s="365">
        <v>1085.0993000000001</v>
      </c>
      <c r="AE44" s="357">
        <v>328</v>
      </c>
      <c r="AF44" s="358">
        <v>800</v>
      </c>
      <c r="AG44" s="354"/>
      <c r="AH44" s="359"/>
      <c r="AI44" s="361" t="s">
        <v>83</v>
      </c>
      <c r="AJ44" s="361" t="s">
        <v>143</v>
      </c>
      <c r="AK44" s="362" t="s">
        <v>451</v>
      </c>
      <c r="AL44" s="358" t="s">
        <v>103</v>
      </c>
      <c r="AM44" s="349"/>
      <c r="AN44" s="349" t="s">
        <v>152</v>
      </c>
      <c r="AO44" s="349"/>
      <c r="AP44" s="349"/>
      <c r="AQ44" s="349"/>
      <c r="AR44" s="453"/>
      <c r="AS44" s="362" t="s">
        <v>88</v>
      </c>
      <c r="AT44" s="345"/>
      <c r="AU44" s="345"/>
      <c r="AV44" s="345"/>
      <c r="AW44" s="345"/>
      <c r="AX44" s="345"/>
      <c r="AY44" s="345"/>
      <c r="AZ44" s="345"/>
      <c r="BA44" s="345"/>
      <c r="BB44" s="345"/>
      <c r="BC44" s="345"/>
      <c r="BD44" s="345"/>
      <c r="BE44" s="345"/>
      <c r="BF44" s="345"/>
      <c r="BG44" s="345"/>
      <c r="BH44" s="345"/>
      <c r="BI44" s="345"/>
      <c r="BJ44" s="346">
        <f>COUNTIF(AT44:BI44,"*OP*")</f>
        <v>0</v>
      </c>
      <c r="BK44" s="362" t="s">
        <v>89</v>
      </c>
      <c r="BL44" s="349">
        <f>(COUNTIF(AT44:AV44,"*OK*")*3) + (COUNTIF(AW44:AY44,"*OK*")*2) + COUNTIF(AZ44:BB44,"*OK*")+COUNTIF(BK44:BK44,"SI")*0.5</f>
        <v>0</v>
      </c>
      <c r="BM44" s="349" t="str">
        <f>IF(BL44&lt;0.6,"Demasiado Riesgo",IF(BL44&lt;=5,"Riesgo Medio",IF(BL44&lt;=11,"Riesgo Bajo","Cliente Blindado")))</f>
        <v>Demasiado Riesgo</v>
      </c>
      <c r="BN44" s="349"/>
      <c r="BO44" s="328"/>
      <c r="BP44" s="328">
        <v>0</v>
      </c>
      <c r="BQ44" s="328"/>
      <c r="BR44" s="328"/>
      <c r="BS44" s="328"/>
      <c r="BT44" s="328"/>
      <c r="BU44" s="328"/>
      <c r="BV44" s="328"/>
      <c r="BW44" s="328"/>
      <c r="BX44" s="328"/>
      <c r="BY44" s="328"/>
      <c r="BZ44" s="328"/>
      <c r="CA44" s="328"/>
      <c r="CB44" s="328"/>
      <c r="CC44" s="328"/>
      <c r="CD44" s="328"/>
      <c r="CE44" s="328"/>
      <c r="CF44" s="328"/>
      <c r="CG44" s="328"/>
      <c r="CH44" s="328"/>
      <c r="CI44" s="328"/>
      <c r="CJ44" s="328"/>
      <c r="CK44" s="328"/>
      <c r="CL44" s="328">
        <f>COUNTIF(AT44:BH44,"*OK*")</f>
        <v>0</v>
      </c>
      <c r="CM44" s="328"/>
      <c r="CN44" s="328">
        <f>COUNTIF(AT44:BH44,"*OP*")</f>
        <v>0</v>
      </c>
    </row>
    <row r="45" spans="1:94" ht="14.25" customHeight="1">
      <c r="A45" s="834">
        <v>34609</v>
      </c>
      <c r="B45" s="560" t="s">
        <v>452</v>
      </c>
      <c r="C45" s="329">
        <f t="shared" si="2"/>
        <v>1041.9426000000001</v>
      </c>
      <c r="D45" s="332">
        <f>COUNTIF(AX45:BI45,"OK")</f>
        <v>0</v>
      </c>
      <c r="E45" s="331" t="s">
        <v>73</v>
      </c>
      <c r="F45" s="376" t="s">
        <v>453</v>
      </c>
      <c r="G45" s="621"/>
      <c r="H45" s="650">
        <f>IF(LEN(TRIM($G45&amp;""))=0, $C45, SUMIF($G$3:$G$561, TRIM($G45), $C$3:$C$561))</f>
        <v>1041.9426000000001</v>
      </c>
      <c r="I45" s="500" t="s">
        <v>76</v>
      </c>
      <c r="J45" s="328"/>
      <c r="K45" s="560"/>
      <c r="L45" s="560"/>
      <c r="M45" s="391"/>
      <c r="N45" s="560" t="s">
        <v>454</v>
      </c>
      <c r="O45" s="561" t="s">
        <v>455</v>
      </c>
      <c r="P45" s="561" t="s">
        <v>456</v>
      </c>
      <c r="Q45" s="561" t="s">
        <v>457</v>
      </c>
      <c r="R45" s="560"/>
      <c r="S45" s="332"/>
      <c r="T45" s="349" t="s">
        <v>88</v>
      </c>
      <c r="U45" s="344"/>
      <c r="V45" s="335"/>
      <c r="W45" s="335"/>
      <c r="X45" s="335"/>
      <c r="Y45" s="336"/>
      <c r="Z45" s="337">
        <v>1035.2577000000001</v>
      </c>
      <c r="AA45" s="435">
        <v>1051.33</v>
      </c>
      <c r="AB45" s="435">
        <v>1097.0775000000001</v>
      </c>
      <c r="AC45" s="641">
        <v>1105.5105000000001</v>
      </c>
      <c r="AD45" s="435">
        <v>1041.9426000000001</v>
      </c>
      <c r="AE45" s="339">
        <v>465</v>
      </c>
      <c r="AF45" s="340" t="s">
        <v>103</v>
      </c>
      <c r="AG45" s="334"/>
      <c r="AH45" s="328"/>
      <c r="AI45" s="342"/>
      <c r="AJ45" s="343"/>
      <c r="AK45" s="344"/>
      <c r="AL45" s="372" t="s">
        <v>103</v>
      </c>
      <c r="AM45" s="328"/>
      <c r="AN45" s="328"/>
      <c r="AO45" s="328"/>
      <c r="AP45" s="328"/>
      <c r="AQ45" s="328"/>
      <c r="AR45" s="451"/>
      <c r="AS45" s="375"/>
      <c r="AT45" s="345"/>
      <c r="AU45" s="345"/>
      <c r="AV45" s="345"/>
      <c r="AW45" s="345"/>
      <c r="AX45" s="345"/>
      <c r="AY45" s="345"/>
      <c r="AZ45" s="345"/>
      <c r="BA45" s="345"/>
      <c r="BB45" s="345"/>
      <c r="BC45" s="345"/>
      <c r="BD45" s="345"/>
      <c r="BE45" s="345"/>
      <c r="BF45" s="345"/>
      <c r="BG45" s="345"/>
      <c r="BH45" s="345"/>
      <c r="BI45" s="345"/>
      <c r="BJ45" s="364">
        <f>COUNTIF(AT45:BI45,"*OP*")</f>
        <v>0</v>
      </c>
      <c r="BK45" s="375" t="s">
        <v>103</v>
      </c>
      <c r="BL45" s="328">
        <f>(COUNTIF(AT45:AV45,"*OK*")*3) + (COUNTIF(AW45:AY45,"*OK*")*2) + COUNTIF(AZ45:BB45,"*OK*")+COUNTIF(BK45:BK45,"SI")*0.5</f>
        <v>0</v>
      </c>
      <c r="BM45" s="328" t="str">
        <f>IF(BL45&lt;0.6,"Demasiado Riesgo",IF(BL45&lt;=5,"Riesgo Medio",IF(BL45&lt;=11,"Riesgo Bajo","Cliente Blindado")))</f>
        <v>Demasiado Riesgo</v>
      </c>
      <c r="BN45" s="328"/>
      <c r="BO45" s="328" t="s">
        <v>356</v>
      </c>
      <c r="BP45" s="328">
        <v>0</v>
      </c>
      <c r="BQ45" s="328" t="s">
        <v>317</v>
      </c>
      <c r="BR45" s="328"/>
      <c r="BS45" s="328"/>
      <c r="BT45" s="328"/>
      <c r="BU45" s="328"/>
      <c r="BV45" s="328"/>
      <c r="BW45" s="328"/>
      <c r="BX45" s="328"/>
      <c r="BY45" s="328"/>
      <c r="BZ45" s="328"/>
      <c r="CA45" s="328"/>
      <c r="CB45" s="328"/>
      <c r="CC45" s="328"/>
      <c r="CD45" s="328"/>
      <c r="CE45" s="328"/>
      <c r="CF45" s="328"/>
      <c r="CG45" s="328"/>
      <c r="CH45" s="328"/>
      <c r="CI45" s="328"/>
      <c r="CJ45" s="328"/>
      <c r="CK45" s="328"/>
      <c r="CL45" s="328">
        <f>COUNTIF(AT45:BH45,"*OK*")</f>
        <v>0</v>
      </c>
      <c r="CM45" s="328"/>
      <c r="CN45" s="328">
        <f>COUNTIF(AT45:BH45,"*OP*")</f>
        <v>0</v>
      </c>
    </row>
    <row r="46" spans="1:94" ht="14.25" customHeight="1">
      <c r="A46" s="839">
        <v>25521</v>
      </c>
      <c r="B46" s="560" t="s">
        <v>458</v>
      </c>
      <c r="C46" s="329">
        <f t="shared" si="2"/>
        <v>976.59270000000004</v>
      </c>
      <c r="D46" s="352">
        <f>COUNTIF(AT46:BH46,"*OK*")</f>
        <v>0</v>
      </c>
      <c r="E46" s="351" t="s">
        <v>439</v>
      </c>
      <c r="F46" s="823" t="s">
        <v>459</v>
      </c>
      <c r="G46" s="622"/>
      <c r="H46" s="650">
        <f>IF(LEN(TRIM($G46&amp;""))=0, $C46, SUMIF($G$3:$G$561, TRIM($G46), $C$3:$C$561))</f>
        <v>976.59270000000004</v>
      </c>
      <c r="I46" s="413" t="s">
        <v>76</v>
      </c>
      <c r="J46" s="351"/>
      <c r="K46" s="349"/>
      <c r="L46" s="349" t="str">
        <f>HYPERLINK("https://crm.zoho.com/crm/org685875245/tab/Accounts/3525045000323377150","https://crm.zoho.com/crm/org685875245/tab/Accounts/3525045000323377150")</f>
        <v>https://crm.zoho.com/crm/org685875245/tab/Accounts/3525045000323377150</v>
      </c>
      <c r="M46" s="553" t="s">
        <v>77</v>
      </c>
      <c r="N46" s="359"/>
      <c r="O46" s="545" t="s">
        <v>460</v>
      </c>
      <c r="P46" s="545" t="s">
        <v>461</v>
      </c>
      <c r="Q46" s="545" t="s">
        <v>462</v>
      </c>
      <c r="R46" s="359"/>
      <c r="S46" s="359"/>
      <c r="T46" s="351"/>
      <c r="U46" s="354" t="s">
        <v>82</v>
      </c>
      <c r="V46" s="355">
        <v>1500.17</v>
      </c>
      <c r="W46" s="355">
        <v>1448.08</v>
      </c>
      <c r="X46" s="355">
        <v>1603.74</v>
      </c>
      <c r="Y46" s="356">
        <v>1357.91</v>
      </c>
      <c r="Z46" s="337">
        <v>1353.7166999999999</v>
      </c>
      <c r="AA46" s="338">
        <v>1446.28</v>
      </c>
      <c r="AB46" s="338">
        <v>1297.8789999999999</v>
      </c>
      <c r="AC46" s="634">
        <v>1103.0343</v>
      </c>
      <c r="AD46" s="338">
        <v>976.59270000000004</v>
      </c>
      <c r="AE46" s="357">
        <v>820</v>
      </c>
      <c r="AF46" s="358">
        <v>200</v>
      </c>
      <c r="AG46" s="354"/>
      <c r="AH46" s="359"/>
      <c r="AI46" s="370" t="s">
        <v>83</v>
      </c>
      <c r="AJ46" s="361" t="s">
        <v>297</v>
      </c>
      <c r="AK46" s="362" t="s">
        <v>463</v>
      </c>
      <c r="AL46" s="358" t="s">
        <v>103</v>
      </c>
      <c r="AM46" s="349"/>
      <c r="AN46" s="349"/>
      <c r="AO46" s="349"/>
      <c r="AP46" s="349"/>
      <c r="AQ46" s="349" t="s">
        <v>464</v>
      </c>
      <c r="AR46" s="453"/>
      <c r="AS46" s="371" t="s">
        <v>89</v>
      </c>
      <c r="AT46" s="445"/>
      <c r="AU46" s="445"/>
      <c r="AV46" s="445"/>
      <c r="AW46" s="445"/>
      <c r="AX46" s="445"/>
      <c r="AY46" s="445"/>
      <c r="AZ46" s="445"/>
      <c r="BA46" s="445"/>
      <c r="BB46" s="445"/>
      <c r="BC46" s="445"/>
      <c r="BD46" s="445"/>
      <c r="BE46" s="445"/>
      <c r="BF46" s="445"/>
      <c r="BG46" s="445"/>
      <c r="BH46" s="445"/>
      <c r="BI46" s="445"/>
      <c r="BJ46" s="446">
        <f>COUNTIF(AT46:BI46,"*OP*")</f>
        <v>0</v>
      </c>
      <c r="BK46" s="363" t="s">
        <v>103</v>
      </c>
      <c r="BL46" s="349">
        <f>(COUNTIF(AT46:AV46,"*OK*")*3) + (COUNTIF(AW46:AY46,"*OK*")*2) + COUNTIF(AZ46:BB46,"*OK*")+COUNTIF(BK46:BK46,"SI")*0.5</f>
        <v>0</v>
      </c>
      <c r="BM46" s="349" t="str">
        <f>IF(BL46&lt;0.6,"Demasiado Riesgo",IF(BL46&lt;=5,"Riesgo Medio",IF(BL46&lt;=11,"Riesgo Bajo","Cliente Blindado")))</f>
        <v>Demasiado Riesgo</v>
      </c>
      <c r="BN46" s="349"/>
      <c r="BO46" s="328"/>
      <c r="BP46" s="328">
        <v>0</v>
      </c>
      <c r="BQ46" s="328"/>
      <c r="BR46" s="328"/>
      <c r="BS46" s="328"/>
      <c r="BT46" s="328"/>
      <c r="BU46" s="328"/>
      <c r="BV46" s="328"/>
      <c r="BW46" s="328"/>
      <c r="BX46" s="328"/>
      <c r="BY46" s="328"/>
      <c r="BZ46" s="328"/>
      <c r="CA46" s="328"/>
      <c r="CB46" s="328"/>
      <c r="CC46" s="328"/>
      <c r="CD46" s="328"/>
      <c r="CE46" s="328"/>
      <c r="CF46" s="328"/>
      <c r="CG46" s="328"/>
      <c r="CH46" s="328"/>
      <c r="CI46" s="328"/>
      <c r="CJ46" s="328"/>
      <c r="CK46" s="328"/>
      <c r="CL46" s="328">
        <f>COUNTIF(AT46:BH46,"*OK*")</f>
        <v>0</v>
      </c>
      <c r="CM46" s="328"/>
      <c r="CN46" s="328">
        <f>COUNTIF(AT46:BH46,"*OP*")</f>
        <v>0</v>
      </c>
    </row>
    <row r="47" spans="1:94" ht="14.25" customHeight="1">
      <c r="A47" s="836">
        <v>6341</v>
      </c>
      <c r="B47" s="560" t="s">
        <v>465</v>
      </c>
      <c r="C47" s="329">
        <f t="shared" si="2"/>
        <v>926.91669999999999</v>
      </c>
      <c r="D47" s="332">
        <f>COUNTIF(AT47:BH47,"*OK*")</f>
        <v>0</v>
      </c>
      <c r="E47" s="331" t="s">
        <v>73</v>
      </c>
      <c r="F47" s="429" t="s">
        <v>466</v>
      </c>
      <c r="G47" s="874" t="s">
        <v>467</v>
      </c>
      <c r="H47" s="650">
        <f>IF(LEN(TRIM($G47&amp;""))=0, $C47, SUMIF($G$3:$G$561, TRIM($G47), $C$3:$C$561))</f>
        <v>926.91669999999999</v>
      </c>
      <c r="I47" s="410" t="s">
        <v>76</v>
      </c>
      <c r="J47" s="331"/>
      <c r="K47" s="560"/>
      <c r="L47" s="560" t="str">
        <f>HYPERLINK("https://crm.zoho.com/crm/org685875245/tab/Accounts/3525045000069397259","https://crm.zoho.com/crm/org685875245/tab/Accounts/3525045000069397259")</f>
        <v>https://crm.zoho.com/crm/org685875245/tab/Accounts/3525045000069397259</v>
      </c>
      <c r="M47" s="391" t="s">
        <v>96</v>
      </c>
      <c r="N47" s="560" t="s">
        <v>468</v>
      </c>
      <c r="O47" s="561" t="s">
        <v>78</v>
      </c>
      <c r="P47" s="561" t="s">
        <v>469</v>
      </c>
      <c r="Q47" s="561" t="s">
        <v>470</v>
      </c>
      <c r="R47" s="560"/>
      <c r="S47" s="430" t="s">
        <v>471</v>
      </c>
      <c r="T47" s="331"/>
      <c r="U47" s="334" t="s">
        <v>198</v>
      </c>
      <c r="V47" s="335">
        <v>854.05</v>
      </c>
      <c r="W47" s="335">
        <v>904.72</v>
      </c>
      <c r="X47" s="335">
        <v>874.45</v>
      </c>
      <c r="Y47" s="336">
        <v>868.85</v>
      </c>
      <c r="Z47" s="337">
        <v>884.81780000000003</v>
      </c>
      <c r="AA47" s="338">
        <v>946.99</v>
      </c>
      <c r="AB47" s="338">
        <v>993.34320000000002</v>
      </c>
      <c r="AC47" s="634">
        <v>972.53009999999995</v>
      </c>
      <c r="AD47" s="338">
        <v>926.91669999999999</v>
      </c>
      <c r="AE47" s="339">
        <v>218</v>
      </c>
      <c r="AF47" s="340">
        <v>200</v>
      </c>
      <c r="AG47" s="334"/>
      <c r="AH47" s="341" t="s">
        <v>472</v>
      </c>
      <c r="AI47" s="342" t="s">
        <v>129</v>
      </c>
      <c r="AJ47" s="343" t="s">
        <v>222</v>
      </c>
      <c r="AK47" s="344" t="s">
        <v>473</v>
      </c>
      <c r="AL47" s="340" t="s">
        <v>474</v>
      </c>
      <c r="AM47" s="328"/>
      <c r="AN47" s="328"/>
      <c r="AO47" s="328"/>
      <c r="AP47" s="328"/>
      <c r="AQ47" s="328"/>
      <c r="AR47" s="451"/>
      <c r="AS47" s="372" t="s">
        <v>88</v>
      </c>
      <c r="AT47" s="345" t="s">
        <v>179</v>
      </c>
      <c r="AU47" s="345"/>
      <c r="AV47" s="345" t="s">
        <v>173</v>
      </c>
      <c r="AW47" s="345"/>
      <c r="AX47" s="345"/>
      <c r="AY47" s="345"/>
      <c r="AZ47" s="345"/>
      <c r="BA47" s="345"/>
      <c r="BB47" s="345"/>
      <c r="BC47" s="345"/>
      <c r="BD47" s="345"/>
      <c r="BE47" s="345"/>
      <c r="BF47" s="345"/>
      <c r="BG47" s="345"/>
      <c r="BH47" s="345"/>
      <c r="BI47" s="345"/>
      <c r="BJ47" s="364">
        <f>COUNTIF(AT47:BI47,"*OP*")</f>
        <v>2</v>
      </c>
      <c r="BK47" s="375" t="s">
        <v>89</v>
      </c>
      <c r="BL47" s="328">
        <f>(COUNTIF(AT47:AV47,"*OK*")*3) + (COUNTIF(AW47:AY47,"*OK*")*2) + COUNTIF(AZ47:BB47,"*OK*")+COUNTIF(BK47:BK47,"SI")*0.5</f>
        <v>0</v>
      </c>
      <c r="BM47" s="328" t="str">
        <f>IF(BL47&lt;0.6,"Demasiado Riesgo",IF(BL47&lt;=5,"Riesgo Medio",IF(BL47&lt;=11,"Riesgo Bajo","Cliente Blindado")))</f>
        <v>Demasiado Riesgo</v>
      </c>
      <c r="BN47" s="328"/>
      <c r="BO47" s="349" t="s">
        <v>475</v>
      </c>
      <c r="BP47" s="349">
        <v>0</v>
      </c>
      <c r="BQ47" s="349" t="s">
        <v>192</v>
      </c>
      <c r="BR47" s="349"/>
      <c r="BS47" s="349"/>
      <c r="BT47" s="349"/>
      <c r="BU47" s="349"/>
      <c r="BV47" s="349"/>
      <c r="BW47" s="349"/>
      <c r="BX47" s="349"/>
      <c r="BY47" s="349"/>
      <c r="BZ47" s="349"/>
      <c r="CA47" s="349"/>
      <c r="CB47" s="349"/>
      <c r="CC47" s="349"/>
      <c r="CD47" s="349"/>
      <c r="CE47" s="349"/>
      <c r="CF47" s="349"/>
      <c r="CG47" s="349"/>
      <c r="CH47" s="349"/>
      <c r="CI47" s="349"/>
      <c r="CJ47" s="349"/>
      <c r="CK47" s="349"/>
      <c r="CL47" s="349">
        <f>COUNTIF(AT47:BH47,"*OK*")</f>
        <v>0</v>
      </c>
      <c r="CM47" s="349"/>
      <c r="CN47" s="349">
        <f>COUNTIF(AT47:BH47,"*OP*")</f>
        <v>2</v>
      </c>
    </row>
    <row r="48" spans="1:94" ht="14.25" customHeight="1">
      <c r="A48" s="835">
        <v>33849</v>
      </c>
      <c r="B48" s="560" t="s">
        <v>476</v>
      </c>
      <c r="C48" s="329">
        <f t="shared" si="2"/>
        <v>1051.7108000000001</v>
      </c>
      <c r="D48" s="352">
        <f>COUNTIF(AT48:BH48,"*OK*")</f>
        <v>0</v>
      </c>
      <c r="E48" s="351" t="s">
        <v>93</v>
      </c>
      <c r="F48" s="456" t="s">
        <v>477</v>
      </c>
      <c r="G48" s="622"/>
      <c r="H48" s="650">
        <f>IF(LEN(TRIM($G48&amp;""))=0, $C48, SUMIF($G$3:$G$561, TRIM($G48), $C$3:$C$561))</f>
        <v>1051.7108000000001</v>
      </c>
      <c r="I48" s="416" t="s">
        <v>76</v>
      </c>
      <c r="J48" s="351"/>
      <c r="K48" s="349"/>
      <c r="L48" s="349" t="str">
        <f>HYPERLINK("https://crm.zoho.com/crm/org685875245/tab/Accounts/3525045000459175562","https://crm.zoho.com/crm/org685875245/tab/Accounts/3525045000459175562")</f>
        <v>https://crm.zoho.com/crm/org685875245/tab/Accounts/3525045000459175562</v>
      </c>
      <c r="M48" s="553" t="s">
        <v>167</v>
      </c>
      <c r="N48" s="352"/>
      <c r="O48" s="540" t="s">
        <v>478</v>
      </c>
      <c r="P48" s="540" t="s">
        <v>479</v>
      </c>
      <c r="Q48" s="540" t="s">
        <v>480</v>
      </c>
      <c r="R48" s="359" t="s">
        <v>481</v>
      </c>
      <c r="S48" s="352"/>
      <c r="T48" s="351" t="s">
        <v>88</v>
      </c>
      <c r="U48" s="362" t="s">
        <v>82</v>
      </c>
      <c r="V48" s="355"/>
      <c r="W48" s="355"/>
      <c r="X48" s="355">
        <v>834.64</v>
      </c>
      <c r="Y48" s="356">
        <v>1128</v>
      </c>
      <c r="Z48" s="337">
        <v>916.30700000000002</v>
      </c>
      <c r="AA48" s="367">
        <v>959.68</v>
      </c>
      <c r="AB48" s="367">
        <v>937.41359999999997</v>
      </c>
      <c r="AC48" s="636">
        <v>961.62990000000002</v>
      </c>
      <c r="AD48" s="367">
        <v>1051.7108000000001</v>
      </c>
      <c r="AE48" s="357">
        <v>2223</v>
      </c>
      <c r="AF48" s="358">
        <v>5500</v>
      </c>
      <c r="AG48" s="354"/>
      <c r="AH48" s="359"/>
      <c r="AI48" s="370" t="s">
        <v>83</v>
      </c>
      <c r="AJ48" s="361" t="s">
        <v>113</v>
      </c>
      <c r="AK48" s="362" t="s">
        <v>482</v>
      </c>
      <c r="AL48" s="358" t="s">
        <v>483</v>
      </c>
      <c r="AM48" s="349"/>
      <c r="AN48" s="349" t="s">
        <v>484</v>
      </c>
      <c r="AO48" s="349"/>
      <c r="AP48" s="349"/>
      <c r="AQ48" s="349"/>
      <c r="AR48" s="453"/>
      <c r="AS48" s="371" t="s">
        <v>103</v>
      </c>
      <c r="AT48" s="345"/>
      <c r="AU48" s="345"/>
      <c r="AV48" s="345" t="s">
        <v>427</v>
      </c>
      <c r="AW48" s="345"/>
      <c r="AX48" s="345"/>
      <c r="AY48" s="345"/>
      <c r="AZ48" s="345"/>
      <c r="BA48" s="345"/>
      <c r="BB48" s="345"/>
      <c r="BC48" s="345"/>
      <c r="BD48" s="345"/>
      <c r="BE48" s="345"/>
      <c r="BF48" s="345"/>
      <c r="BG48" s="345"/>
      <c r="BH48" s="345"/>
      <c r="BI48" s="345"/>
      <c r="BJ48" s="364">
        <f>COUNTIF(AT48:BI48,"*OP*")</f>
        <v>1</v>
      </c>
      <c r="BK48" s="363" t="s">
        <v>103</v>
      </c>
      <c r="BL48" s="349">
        <f>(COUNTIF(AT48:AV48,"*OK*")*3) + (COUNTIF(AW48:AY48,"*OK*")*2) + COUNTIF(AZ48:BB48,"*OK*")+COUNTIF(BK48:BK48,"SI")*0.5</f>
        <v>0</v>
      </c>
      <c r="BM48" s="349" t="str">
        <f>IF(BL48&lt;0.6,"Demasiado Riesgo",IF(BL48&lt;=5,"Riesgo Medio",IF(BL48&lt;=11,"Riesgo Bajo","Cliente Blindado")))</f>
        <v>Demasiado Riesgo</v>
      </c>
      <c r="BN48" s="349"/>
      <c r="BO48" s="328"/>
      <c r="BP48" s="328">
        <v>0</v>
      </c>
      <c r="BQ48" s="328"/>
      <c r="BR48" s="328"/>
      <c r="BS48" s="328"/>
      <c r="BT48" s="328"/>
      <c r="BU48" s="328"/>
      <c r="BV48" s="328"/>
      <c r="BW48" s="328"/>
      <c r="BX48" s="328"/>
      <c r="BY48" s="328"/>
      <c r="BZ48" s="328"/>
      <c r="CA48" s="328"/>
      <c r="CB48" s="328"/>
      <c r="CC48" s="328"/>
      <c r="CD48" s="328"/>
      <c r="CE48" s="328"/>
      <c r="CF48" s="328"/>
      <c r="CG48" s="328"/>
      <c r="CH48" s="328"/>
      <c r="CI48" s="328"/>
      <c r="CJ48" s="328"/>
      <c r="CK48" s="328"/>
      <c r="CL48" s="328">
        <f>COUNTIF(AT48:BH48,"*OK*")</f>
        <v>0</v>
      </c>
      <c r="CM48" s="328"/>
      <c r="CN48" s="328">
        <f>COUNTIF(AT48:BH48,"*OP*")</f>
        <v>1</v>
      </c>
    </row>
    <row r="49" spans="1:94" ht="14.25" customHeight="1">
      <c r="A49" s="834">
        <v>26509</v>
      </c>
      <c r="B49" s="560" t="s">
        <v>485</v>
      </c>
      <c r="C49" s="329">
        <f t="shared" si="2"/>
        <v>893.70859999999993</v>
      </c>
      <c r="D49" s="332">
        <f>COUNTIF(AX49:BI49,"OK")</f>
        <v>0</v>
      </c>
      <c r="E49" s="331" t="s">
        <v>73</v>
      </c>
      <c r="F49" s="536" t="s">
        <v>486</v>
      </c>
      <c r="G49" s="875"/>
      <c r="H49" s="650">
        <f>IF(LEN(TRIM($G49&amp;""))=0, $C49, SUMIF($G$3:$G$561, TRIM($G49), $C$3:$C$561))</f>
        <v>893.70859999999993</v>
      </c>
      <c r="I49" s="501" t="s">
        <v>76</v>
      </c>
      <c r="J49" s="501" t="s">
        <v>103</v>
      </c>
      <c r="K49" s="560"/>
      <c r="L49" s="560"/>
      <c r="M49" s="391"/>
      <c r="N49" s="572" t="s">
        <v>103</v>
      </c>
      <c r="O49" s="573" t="s">
        <v>487</v>
      </c>
      <c r="P49" s="573">
        <v>2211129139</v>
      </c>
      <c r="Q49" s="574" t="s">
        <v>488</v>
      </c>
      <c r="R49" s="572"/>
      <c r="S49" s="501" t="s">
        <v>103</v>
      </c>
      <c r="T49" s="501" t="s">
        <v>88</v>
      </c>
      <c r="U49" s="469" t="s">
        <v>103</v>
      </c>
      <c r="V49" s="501" t="s">
        <v>103</v>
      </c>
      <c r="W49" s="501" t="s">
        <v>103</v>
      </c>
      <c r="X49" s="501" t="s">
        <v>103</v>
      </c>
      <c r="Y49" s="470" t="s">
        <v>103</v>
      </c>
      <c r="Z49" s="513" t="s">
        <v>103</v>
      </c>
      <c r="AA49" s="518">
        <v>897.4</v>
      </c>
      <c r="AB49" s="518">
        <v>944.84649999999999</v>
      </c>
      <c r="AC49" s="639">
        <v>952.5933</v>
      </c>
      <c r="AD49" s="518">
        <v>893.70859999999993</v>
      </c>
      <c r="AE49" s="327">
        <v>384</v>
      </c>
      <c r="AF49" s="372" t="s">
        <v>103</v>
      </c>
      <c r="AG49" s="344"/>
      <c r="AH49" s="328"/>
      <c r="AI49" s="342"/>
      <c r="AJ49" s="343"/>
      <c r="AK49" s="344"/>
      <c r="AL49" s="372" t="s">
        <v>103</v>
      </c>
      <c r="AM49" s="328"/>
      <c r="AN49" s="328"/>
      <c r="AO49" s="328"/>
      <c r="AP49" s="328"/>
      <c r="AQ49" s="328"/>
      <c r="AR49" s="451"/>
      <c r="AS49" s="451"/>
      <c r="AT49" s="445"/>
      <c r="AU49" s="445"/>
      <c r="AV49" s="445"/>
      <c r="AW49" s="445"/>
      <c r="AX49" s="445"/>
      <c r="AY49" s="445"/>
      <c r="AZ49" s="738"/>
      <c r="BA49" s="445"/>
      <c r="BB49" s="445"/>
      <c r="BC49" s="445"/>
      <c r="BD49" s="445"/>
      <c r="BE49" s="445"/>
      <c r="BF49" s="445"/>
      <c r="BG49" s="445"/>
      <c r="BH49" s="445"/>
      <c r="BI49" s="445"/>
      <c r="BJ49" s="290">
        <f>COUNTIF(AT49:BI49,"*OP*")</f>
        <v>0</v>
      </c>
      <c r="BK49" s="451"/>
      <c r="BL49" s="328">
        <f>(COUNTIF(AT49:AV49,"*OK*")*3) + (COUNTIF(AW49:AY49,"*OK*")*2) + COUNTIF(AZ49:BB49,"*OK*")+COUNTIF(BK49:BK49,"SI")*0.5</f>
        <v>0</v>
      </c>
      <c r="BM49" s="328" t="str">
        <f>IF(BL49&lt;0.6,"Demasiado Riesgo",IF(BL49&lt;=5,"Riesgo Medio",IF(BL49&lt;=11,"Riesgo Bajo","Cliente Blindado")))</f>
        <v>Demasiado Riesgo</v>
      </c>
      <c r="BN49" s="328"/>
      <c r="BO49" s="328" t="s">
        <v>356</v>
      </c>
      <c r="BP49" s="328">
        <v>0</v>
      </c>
      <c r="BQ49" s="328" t="s">
        <v>317</v>
      </c>
      <c r="BR49" s="328"/>
      <c r="BS49" s="328"/>
      <c r="BT49" s="328"/>
      <c r="BU49" s="328"/>
      <c r="BV49" s="328"/>
      <c r="BW49" s="328"/>
      <c r="BX49" s="328"/>
      <c r="BY49" s="328"/>
      <c r="BZ49" s="328"/>
      <c r="CA49" s="328"/>
      <c r="CB49" s="328"/>
      <c r="CC49" s="328"/>
      <c r="CD49" s="328"/>
      <c r="CE49" s="328"/>
      <c r="CF49" s="328"/>
      <c r="CG49" s="328"/>
      <c r="CH49" s="328"/>
      <c r="CI49" s="328"/>
      <c r="CJ49" s="328"/>
      <c r="CK49" s="328"/>
      <c r="CL49" s="328">
        <f>COUNTIF(AT49:BH49,"*OK*")</f>
        <v>0</v>
      </c>
      <c r="CM49" s="328"/>
      <c r="CN49" s="328">
        <f>COUNTIF(AT49:BH49,"*OP*")</f>
        <v>0</v>
      </c>
      <c r="CP49" s="425"/>
    </row>
    <row r="50" spans="1:94" ht="14.25" customHeight="1">
      <c r="A50" s="835">
        <v>30597</v>
      </c>
      <c r="B50" s="560" t="s">
        <v>489</v>
      </c>
      <c r="C50" s="329">
        <f t="shared" si="2"/>
        <v>856.34660000000008</v>
      </c>
      <c r="D50" s="352">
        <f>COUNTIF(AT50:BH50,"*OK*")</f>
        <v>0</v>
      </c>
      <c r="E50" s="351" t="s">
        <v>93</v>
      </c>
      <c r="F50" s="426" t="s">
        <v>490</v>
      </c>
      <c r="G50" s="622"/>
      <c r="H50" s="650">
        <f>IF(LEN(TRIM($G50&amp;""))=0, $C50, SUMIF($G$3:$G$561, TRIM($G50), $C$3:$C$561))</f>
        <v>856.34660000000008</v>
      </c>
      <c r="I50" s="413" t="s">
        <v>76</v>
      </c>
      <c r="J50" s="351"/>
      <c r="K50" s="349"/>
      <c r="L50" s="349" t="str">
        <f>HYPERLINK("https://crm.zoho.com/crm/org685875245/tab/Accounts/3525045000511564020","https://crm.zoho.com/crm/org685875245/tab/Accounts/3525045000511564020")</f>
        <v>https://crm.zoho.com/crm/org685875245/tab/Accounts/3525045000511564020</v>
      </c>
      <c r="M50" s="359" t="s">
        <v>96</v>
      </c>
      <c r="N50" s="359"/>
      <c r="O50" s="545" t="s">
        <v>491</v>
      </c>
      <c r="P50" s="545" t="s">
        <v>492</v>
      </c>
      <c r="Q50" s="545" t="s">
        <v>493</v>
      </c>
      <c r="R50" s="359" t="s">
        <v>481</v>
      </c>
      <c r="S50" s="359"/>
      <c r="T50" s="351"/>
      <c r="U50" s="362" t="s">
        <v>394</v>
      </c>
      <c r="V50" s="355">
        <v>1159.33</v>
      </c>
      <c r="W50" s="355">
        <v>932.08</v>
      </c>
      <c r="X50" s="355">
        <v>914.69</v>
      </c>
      <c r="Y50" s="356">
        <v>960.03</v>
      </c>
      <c r="Z50" s="337">
        <v>932.9162</v>
      </c>
      <c r="AA50" s="365">
        <v>899.49</v>
      </c>
      <c r="AB50" s="365">
        <v>922.89340000000004</v>
      </c>
      <c r="AC50" s="635">
        <v>929.41510000000005</v>
      </c>
      <c r="AD50" s="365">
        <v>856.34660000000008</v>
      </c>
      <c r="AE50" s="357">
        <v>383</v>
      </c>
      <c r="AF50" s="358">
        <v>350</v>
      </c>
      <c r="AG50" s="354"/>
      <c r="AH50" s="359"/>
      <c r="AI50" s="361" t="s">
        <v>258</v>
      </c>
      <c r="AJ50" s="361" t="s">
        <v>130</v>
      </c>
      <c r="AK50" s="362" t="s">
        <v>494</v>
      </c>
      <c r="AL50" s="358" t="s">
        <v>396</v>
      </c>
      <c r="AM50" s="349"/>
      <c r="AN50" s="349" t="s">
        <v>152</v>
      </c>
      <c r="AO50" s="349"/>
      <c r="AP50" s="349"/>
      <c r="AQ50" s="349"/>
      <c r="AR50" s="453"/>
      <c r="AS50" s="363" t="s">
        <v>88</v>
      </c>
      <c r="AT50" s="345"/>
      <c r="AU50" s="345"/>
      <c r="AV50" s="345"/>
      <c r="AW50" s="345"/>
      <c r="AX50" s="345"/>
      <c r="AY50" s="345"/>
      <c r="AZ50" s="345"/>
      <c r="BA50" s="345"/>
      <c r="BB50" s="345"/>
      <c r="BC50" s="345"/>
      <c r="BD50" s="345"/>
      <c r="BE50" s="345"/>
      <c r="BF50" s="345"/>
      <c r="BG50" s="345"/>
      <c r="BH50" s="345"/>
      <c r="BI50" s="345"/>
      <c r="BJ50" s="364">
        <f>COUNTIF(AT50:BI50,"*OP*")</f>
        <v>0</v>
      </c>
      <c r="BK50" s="363" t="s">
        <v>89</v>
      </c>
      <c r="BL50" s="349">
        <f>(COUNTIF(AT50:AV50,"*OK*")*3) + (COUNTIF(AW50:AY50,"*OK*")*2) + COUNTIF(AZ50:BB50,"*OK*")+COUNTIF(BK50:BK50,"SI")*0.5</f>
        <v>0</v>
      </c>
      <c r="BM50" s="349" t="str">
        <f>IF(BL50&lt;0.6,"Demasiado Riesgo",IF(BL50&lt;=5,"Riesgo Medio",IF(BL50&lt;=11,"Riesgo Bajo","Cliente Blindado")))</f>
        <v>Demasiado Riesgo</v>
      </c>
      <c r="BN50" s="349"/>
      <c r="BO50" s="328"/>
      <c r="BP50" s="328">
        <v>0</v>
      </c>
      <c r="BQ50" s="328"/>
      <c r="BR50" s="328"/>
      <c r="BS50" s="328"/>
      <c r="BT50" s="328"/>
      <c r="BU50" s="328"/>
      <c r="BV50" s="328"/>
      <c r="BW50" s="328"/>
      <c r="BX50" s="328"/>
      <c r="BY50" s="328"/>
      <c r="BZ50" s="328"/>
      <c r="CA50" s="328"/>
      <c r="CB50" s="328"/>
      <c r="CC50" s="328"/>
      <c r="CD50" s="328"/>
      <c r="CE50" s="328"/>
      <c r="CF50" s="328"/>
      <c r="CG50" s="328"/>
      <c r="CH50" s="328"/>
      <c r="CI50" s="328"/>
      <c r="CJ50" s="328"/>
      <c r="CK50" s="328"/>
      <c r="CL50" s="328">
        <f>COUNTIF(AT50:BH50,"*OK*")</f>
        <v>0</v>
      </c>
      <c r="CM50" s="328"/>
      <c r="CN50" s="328">
        <f>COUNTIF(AT50:BH50,"*OP*")</f>
        <v>0</v>
      </c>
    </row>
    <row r="51" spans="1:94" ht="14.25" customHeight="1">
      <c r="A51" s="834">
        <v>38808</v>
      </c>
      <c r="B51" s="560" t="s">
        <v>495</v>
      </c>
      <c r="C51" s="329">
        <f t="shared" si="2"/>
        <v>863.68650000000002</v>
      </c>
      <c r="D51" s="332">
        <f>COUNTIF(AX51:BI51,"OK")</f>
        <v>0</v>
      </c>
      <c r="E51" s="331" t="s">
        <v>73</v>
      </c>
      <c r="F51" s="536" t="s">
        <v>496</v>
      </c>
      <c r="G51" s="875" t="s">
        <v>497</v>
      </c>
      <c r="H51" s="650">
        <f>IF(LEN(TRIM($G51&amp;""))=0, $C51, SUMIF($G$3:$G$561, TRIM($G51), $C$3:$C$561))</f>
        <v>863.68650000000002</v>
      </c>
      <c r="I51" s="501" t="s">
        <v>76</v>
      </c>
      <c r="J51" s="501" t="s">
        <v>103</v>
      </c>
      <c r="K51" s="560"/>
      <c r="L51" s="560" t="str">
        <f>HYPERLINK("https://crm.zoho.com/crm/org685875245/tab/Accounts/3525045000577986714","https://crm.zoho.com/crm/org685875245/tab/Accounts/3525045000577986714")</f>
        <v>https://crm.zoho.com/crm/org685875245/tab/Accounts/3525045000577986714</v>
      </c>
      <c r="M51" s="391"/>
      <c r="N51" s="572" t="s">
        <v>498</v>
      </c>
      <c r="O51" s="573" t="s">
        <v>499</v>
      </c>
      <c r="P51" s="573" t="s">
        <v>500</v>
      </c>
      <c r="Q51" s="573" t="s">
        <v>501</v>
      </c>
      <c r="R51" s="572"/>
      <c r="S51" s="501" t="s">
        <v>103</v>
      </c>
      <c r="T51" s="501"/>
      <c r="U51" s="469" t="s">
        <v>198</v>
      </c>
      <c r="V51" s="501" t="s">
        <v>103</v>
      </c>
      <c r="W51" s="501" t="s">
        <v>103</v>
      </c>
      <c r="X51" s="501" t="s">
        <v>103</v>
      </c>
      <c r="Y51" s="470" t="s">
        <v>103</v>
      </c>
      <c r="Z51" s="513" t="s">
        <v>103</v>
      </c>
      <c r="AA51" s="518">
        <v>857.06</v>
      </c>
      <c r="AB51" s="518">
        <v>855.65139999999997</v>
      </c>
      <c r="AC51" s="639">
        <v>927.12660000000005</v>
      </c>
      <c r="AD51" s="518">
        <v>863.68650000000002</v>
      </c>
      <c r="AE51" s="327">
        <v>290</v>
      </c>
      <c r="AF51" s="372">
        <v>200</v>
      </c>
      <c r="AG51" s="344"/>
      <c r="AH51" s="328"/>
      <c r="AI51" s="343"/>
      <c r="AJ51" s="343"/>
      <c r="AK51" s="344"/>
      <c r="AL51" s="372" t="s">
        <v>103</v>
      </c>
      <c r="AM51" s="328"/>
      <c r="AN51" s="328"/>
      <c r="AO51" s="328"/>
      <c r="AP51" s="328"/>
      <c r="AQ51" s="328"/>
      <c r="AR51" s="451"/>
      <c r="AS51" s="444"/>
      <c r="AT51" s="445"/>
      <c r="AU51" s="445"/>
      <c r="AV51" s="445"/>
      <c r="AW51" s="445"/>
      <c r="AX51" s="445"/>
      <c r="AY51" s="445"/>
      <c r="AZ51" s="445"/>
      <c r="BA51" s="445"/>
      <c r="BB51" s="445"/>
      <c r="BC51" s="445"/>
      <c r="BD51" s="445"/>
      <c r="BE51" s="445"/>
      <c r="BF51" s="445"/>
      <c r="BG51" s="445"/>
      <c r="BH51" s="445"/>
      <c r="BI51" s="445"/>
      <c r="BJ51" s="446">
        <f>COUNTIF(AT51:BI51,"*OP*")</f>
        <v>0</v>
      </c>
      <c r="BK51" s="447"/>
      <c r="BL51" s="328">
        <f>(COUNTIF(AT51:AV51,"*OK*")*3) + (COUNTIF(AW51:AY51,"*OK*")*2) + COUNTIF(AZ51:BB51,"*OK*")+COUNTIF(BK51:BK51,"SI")*0.5</f>
        <v>0</v>
      </c>
      <c r="BM51" s="328" t="str">
        <f>IF(BL51&lt;0.6,"Demasiado Riesgo",IF(BL51&lt;=5,"Riesgo Medio",IF(BL51&lt;=11,"Riesgo Bajo","Cliente Blindado")))</f>
        <v>Demasiado Riesgo</v>
      </c>
      <c r="BN51" s="328"/>
      <c r="BO51" s="328" t="s">
        <v>399</v>
      </c>
      <c r="BP51" s="328">
        <v>0</v>
      </c>
      <c r="BQ51" s="328"/>
      <c r="BR51" s="328"/>
      <c r="BS51" s="328"/>
      <c r="BT51" s="328"/>
      <c r="BU51" s="328"/>
      <c r="BV51" s="328"/>
      <c r="BW51" s="328"/>
      <c r="BX51" s="328"/>
      <c r="BY51" s="328"/>
      <c r="BZ51" s="328"/>
      <c r="CA51" s="328"/>
      <c r="CB51" s="328"/>
      <c r="CC51" s="328"/>
      <c r="CD51" s="328"/>
      <c r="CE51" s="328"/>
      <c r="CF51" s="328"/>
      <c r="CG51" s="328"/>
      <c r="CH51" s="328"/>
      <c r="CI51" s="328"/>
      <c r="CJ51" s="328"/>
      <c r="CK51" s="328"/>
      <c r="CL51" s="328">
        <f>COUNTIF(AT51:BH51,"*OK*")</f>
        <v>0</v>
      </c>
      <c r="CM51" s="328"/>
      <c r="CN51" s="328">
        <f>COUNTIF(AT51:BH51,"*OP*")</f>
        <v>0</v>
      </c>
    </row>
    <row r="52" spans="1:94" s="425" customFormat="1" ht="14.25" customHeight="1">
      <c r="A52" s="836">
        <v>31422</v>
      </c>
      <c r="B52" s="560" t="s">
        <v>502</v>
      </c>
      <c r="C52" s="329">
        <f t="shared" si="2"/>
        <v>850.96910000000003</v>
      </c>
      <c r="D52" s="332">
        <f>COUNTIF(AT52:BH52,"*OK*")</f>
        <v>0</v>
      </c>
      <c r="E52" s="331" t="s">
        <v>73</v>
      </c>
      <c r="F52" s="330" t="s">
        <v>503</v>
      </c>
      <c r="G52" s="533"/>
      <c r="H52" s="650">
        <f>IF(LEN(TRIM($G52&amp;""))=0, $C52, SUMIF($G$3:$G$561, TRIM($G52), $C$3:$C$561))</f>
        <v>850.96910000000003</v>
      </c>
      <c r="I52" s="331" t="s">
        <v>76</v>
      </c>
      <c r="J52" s="331"/>
      <c r="K52" s="560"/>
      <c r="L52" s="560" t="str">
        <f>HYPERLINK("https://crm.zoho.com/crm/org685875245/tab/Accounts/3525045000444479020","https://crm.zoho.com/crm/org685875245/tab/Accounts/3525045000444479020")</f>
        <v>https://crm.zoho.com/crm/org685875245/tab/Accounts/3525045000444479020</v>
      </c>
      <c r="M52" s="391"/>
      <c r="N52" s="560"/>
      <c r="O52" s="561" t="s">
        <v>504</v>
      </c>
      <c r="P52" s="561" t="s">
        <v>505</v>
      </c>
      <c r="Q52" s="561" t="s">
        <v>506</v>
      </c>
      <c r="R52" s="560" t="s">
        <v>171</v>
      </c>
      <c r="S52" s="332"/>
      <c r="T52" s="351" t="s">
        <v>88</v>
      </c>
      <c r="U52" s="354" t="s">
        <v>285</v>
      </c>
      <c r="V52" s="335">
        <v>856.03</v>
      </c>
      <c r="W52" s="335">
        <v>868.46</v>
      </c>
      <c r="X52" s="335">
        <v>869.2</v>
      </c>
      <c r="Y52" s="336">
        <v>878.98</v>
      </c>
      <c r="Z52" s="337">
        <v>903.98220000000003</v>
      </c>
      <c r="AA52" s="367">
        <v>918.83</v>
      </c>
      <c r="AB52" s="367">
        <v>931.84119999999996</v>
      </c>
      <c r="AC52" s="636">
        <v>918.1875</v>
      </c>
      <c r="AD52" s="367">
        <v>850.96910000000003</v>
      </c>
      <c r="AE52" s="339">
        <v>673</v>
      </c>
      <c r="AF52" s="340">
        <v>598</v>
      </c>
      <c r="AG52" s="334"/>
      <c r="AH52" s="341"/>
      <c r="AI52" s="342" t="s">
        <v>507</v>
      </c>
      <c r="AJ52" s="343" t="s">
        <v>143</v>
      </c>
      <c r="AK52" s="344" t="s">
        <v>508</v>
      </c>
      <c r="AL52" s="340" t="s">
        <v>103</v>
      </c>
      <c r="AM52" s="328"/>
      <c r="AN52" s="328"/>
      <c r="AO52" s="328"/>
      <c r="AP52" s="328"/>
      <c r="AQ52" s="328"/>
      <c r="AR52" s="451"/>
      <c r="AS52" s="372" t="s">
        <v>103</v>
      </c>
      <c r="AT52" s="345"/>
      <c r="AU52" s="345"/>
      <c r="AV52" s="345"/>
      <c r="AW52" s="345"/>
      <c r="AX52" s="345"/>
      <c r="AY52" s="345"/>
      <c r="AZ52" s="345"/>
      <c r="BA52" s="345"/>
      <c r="BB52" s="345"/>
      <c r="BC52" s="345"/>
      <c r="BD52" s="345"/>
      <c r="BE52" s="345"/>
      <c r="BF52" s="345"/>
      <c r="BG52" s="345"/>
      <c r="BH52" s="345"/>
      <c r="BI52" s="345"/>
      <c r="BJ52" s="364">
        <f>COUNTIF(AT52:BI52,"*OP*")</f>
        <v>0</v>
      </c>
      <c r="BK52" s="375" t="s">
        <v>103</v>
      </c>
      <c r="BL52" s="328">
        <f>(COUNTIF(AT52:AV52,"*OK*")*3) + (COUNTIF(AW52:AY52,"*OK*")*2) + COUNTIF(AZ52:BB52,"*OK*")+COUNTIF(BK52:BK52,"SI")*0.5</f>
        <v>0</v>
      </c>
      <c r="BM52" s="328" t="str">
        <f>IF(BL52&lt;0.6,"Demasiado Riesgo",IF(BL52&lt;=5,"Riesgo Medio",IF(BL52&lt;=11,"Riesgo Bajo","Cliente Blindado")))</f>
        <v>Demasiado Riesgo</v>
      </c>
      <c r="BN52" s="328"/>
      <c r="BO52" s="328" t="s">
        <v>356</v>
      </c>
      <c r="BP52" s="328">
        <v>0</v>
      </c>
      <c r="BQ52" s="328" t="s">
        <v>317</v>
      </c>
      <c r="BR52" s="328"/>
      <c r="BS52" s="328"/>
      <c r="BT52" s="328"/>
      <c r="BU52" s="328"/>
      <c r="BV52" s="328"/>
      <c r="BW52" s="328"/>
      <c r="BX52" s="328"/>
      <c r="BY52" s="328"/>
      <c r="BZ52" s="328"/>
      <c r="CA52" s="328"/>
      <c r="CB52" s="328"/>
      <c r="CC52" s="328"/>
      <c r="CD52" s="328"/>
      <c r="CE52" s="328"/>
      <c r="CF52" s="328"/>
      <c r="CG52" s="328"/>
      <c r="CH52" s="328"/>
      <c r="CI52" s="328"/>
      <c r="CJ52" s="328"/>
      <c r="CK52" s="328"/>
      <c r="CL52" s="328">
        <f>COUNTIF(AT52:BH52,"*OK*")</f>
        <v>0</v>
      </c>
      <c r="CM52" s="328"/>
      <c r="CN52" s="328">
        <f>COUNTIF(AT52:BH52,"*OP*")</f>
        <v>0</v>
      </c>
      <c r="CO52" s="287"/>
      <c r="CP52" s="287"/>
    </row>
    <row r="53" spans="1:94" ht="14.25" customHeight="1">
      <c r="A53" s="834">
        <v>3455</v>
      </c>
      <c r="B53" s="560" t="s">
        <v>509</v>
      </c>
      <c r="C53" s="329">
        <f t="shared" si="2"/>
        <v>855.55520000000001</v>
      </c>
      <c r="D53" s="332">
        <f>COUNTIF(AT53:BH53,"*OK*")</f>
        <v>2</v>
      </c>
      <c r="E53" s="331" t="s">
        <v>93</v>
      </c>
      <c r="F53" s="331" t="s">
        <v>510</v>
      </c>
      <c r="G53" s="331"/>
      <c r="H53" s="650">
        <f>IF(LEN(TRIM($G53&amp;""))=0, $C53, SUMIF($G$3:$G$561, TRIM($G53), $C$3:$C$561))</f>
        <v>855.55520000000001</v>
      </c>
      <c r="I53" s="410" t="s">
        <v>76</v>
      </c>
      <c r="J53" s="331"/>
      <c r="K53" s="328"/>
      <c r="L53" s="328" t="str">
        <f>HYPERLINK("https://crm.zoho.com/crm/org685875245/tab/Accounts/3525045000025416632","https://crm.zoho.com/crm/org685875245/tab/Accounts/3525045000025416632")</f>
        <v>https://crm.zoho.com/crm/org685875245/tab/Accounts/3525045000025416632</v>
      </c>
      <c r="M53" s="341" t="s">
        <v>96</v>
      </c>
      <c r="N53" s="341"/>
      <c r="O53" s="548" t="s">
        <v>511</v>
      </c>
      <c r="P53" s="548" t="s">
        <v>512</v>
      </c>
      <c r="Q53" s="548" t="s">
        <v>513</v>
      </c>
      <c r="R53" s="359" t="s">
        <v>481</v>
      </c>
      <c r="S53" s="341"/>
      <c r="T53" s="331"/>
      <c r="U53" s="344" t="s">
        <v>198</v>
      </c>
      <c r="V53" s="335">
        <v>1056.67</v>
      </c>
      <c r="W53" s="335">
        <v>1055.71</v>
      </c>
      <c r="X53" s="335">
        <v>1006.07</v>
      </c>
      <c r="Y53" s="336">
        <v>883.72</v>
      </c>
      <c r="Z53" s="337">
        <v>895.60540000000003</v>
      </c>
      <c r="AA53" s="347">
        <v>866</v>
      </c>
      <c r="AB53" s="347">
        <v>893.25739999999996</v>
      </c>
      <c r="AC53" s="638">
        <v>909.67899999999997</v>
      </c>
      <c r="AD53" s="347">
        <v>855.55520000000001</v>
      </c>
      <c r="AE53" s="339">
        <v>606</v>
      </c>
      <c r="AF53" s="340">
        <v>400</v>
      </c>
      <c r="AG53" s="334"/>
      <c r="AH53" s="341"/>
      <c r="AI53" s="343" t="s">
        <v>514</v>
      </c>
      <c r="AJ53" s="343" t="s">
        <v>130</v>
      </c>
      <c r="AK53" s="344" t="s">
        <v>515</v>
      </c>
      <c r="AL53" s="340" t="s">
        <v>103</v>
      </c>
      <c r="AM53" s="328"/>
      <c r="AN53" s="328" t="s">
        <v>152</v>
      </c>
      <c r="AO53" s="328"/>
      <c r="AP53" s="328"/>
      <c r="AQ53" s="328"/>
      <c r="AR53" s="451"/>
      <c r="AS53" s="372" t="s">
        <v>88</v>
      </c>
      <c r="AT53" s="345"/>
      <c r="AU53" s="345"/>
      <c r="AV53" s="421" t="s">
        <v>225</v>
      </c>
      <c r="AW53" s="345" t="s">
        <v>103</v>
      </c>
      <c r="AX53" s="421" t="s">
        <v>225</v>
      </c>
      <c r="AY53" s="345"/>
      <c r="AZ53" s="345"/>
      <c r="BA53" s="421"/>
      <c r="BB53" s="345"/>
      <c r="BC53" s="345"/>
      <c r="BD53" s="345"/>
      <c r="BE53" s="345"/>
      <c r="BF53" s="345"/>
      <c r="BG53" s="345"/>
      <c r="BH53" s="345"/>
      <c r="BI53" s="345"/>
      <c r="BJ53" s="364">
        <f>COUNTIF(AT53:BI53,"*OP*")</f>
        <v>0</v>
      </c>
      <c r="BK53" s="375" t="s">
        <v>89</v>
      </c>
      <c r="BL53" s="328">
        <f>(COUNTIF(AT53:AV53,"*OK*")*3) + (COUNTIF(AW53:AY53,"*OK*")*2) + COUNTIF(AZ53:BB53,"*OK*")+COUNTIF(BK53:BK53,"SI")*0.5</f>
        <v>5</v>
      </c>
      <c r="BM53" s="328" t="str">
        <f>IF(BL53&lt;0.6,"Demasiado Riesgo",IF(BL53&lt;=5,"Riesgo Medio",IF(BL53&lt;=11,"Riesgo Bajo","Cliente Blindado")))</f>
        <v>Riesgo Medio</v>
      </c>
      <c r="BN53" s="328"/>
      <c r="BO53" s="349"/>
      <c r="BP53" s="349">
        <v>0</v>
      </c>
      <c r="BQ53" s="349"/>
      <c r="BR53" s="349"/>
      <c r="BS53" s="349"/>
      <c r="BT53" s="349"/>
      <c r="BU53" s="349"/>
      <c r="BV53" s="349"/>
      <c r="BW53" s="349"/>
      <c r="BX53" s="349"/>
      <c r="BY53" s="349"/>
      <c r="BZ53" s="349"/>
      <c r="CA53" s="349"/>
      <c r="CB53" s="349"/>
      <c r="CC53" s="349"/>
      <c r="CD53" s="349"/>
      <c r="CE53" s="349"/>
      <c r="CF53" s="349"/>
      <c r="CG53" s="349"/>
      <c r="CH53" s="349"/>
      <c r="CI53" s="349"/>
      <c r="CJ53" s="349"/>
      <c r="CK53" s="349"/>
      <c r="CL53" s="349">
        <f>COUNTIF(AT53:BH53,"*OK*")</f>
        <v>2</v>
      </c>
      <c r="CM53" s="349"/>
      <c r="CN53" s="349">
        <f>COUNTIF(AT53:BH53,"*OP*")</f>
        <v>0</v>
      </c>
    </row>
    <row r="54" spans="1:94" ht="14.25" customHeight="1">
      <c r="A54" s="835">
        <v>24336</v>
      </c>
      <c r="B54" s="560" t="s">
        <v>516</v>
      </c>
      <c r="C54" s="329">
        <f t="shared" si="2"/>
        <v>822.79250000000002</v>
      </c>
      <c r="D54" s="352">
        <f>COUNTIF(AT54:BH54,"*OK*")</f>
        <v>0</v>
      </c>
      <c r="E54" s="351" t="s">
        <v>93</v>
      </c>
      <c r="F54" s="429" t="s">
        <v>517</v>
      </c>
      <c r="G54" s="351"/>
      <c r="H54" s="650">
        <f>IF(LEN(TRIM($G54&amp;""))=0, $C54, SUMIF($G$3:$G$561, TRIM($G54), $C$3:$C$561))</f>
        <v>822.79250000000002</v>
      </c>
      <c r="I54" s="413" t="s">
        <v>76</v>
      </c>
      <c r="J54" s="351"/>
      <c r="K54" s="349"/>
      <c r="L54" s="349" t="str">
        <f>HYPERLINK("https://crm.zoho.com/crm/org685875245/tab/Accounts/3525045000272607068","https://crm.zoho.com/crm/org685875245/tab/Accounts/3525045000272607068")</f>
        <v>https://crm.zoho.com/crm/org685875245/tab/Accounts/3525045000272607068</v>
      </c>
      <c r="M54" s="359" t="s">
        <v>77</v>
      </c>
      <c r="N54" s="359" t="s">
        <v>518</v>
      </c>
      <c r="O54" s="545" t="s">
        <v>519</v>
      </c>
      <c r="P54" s="545" t="s">
        <v>520</v>
      </c>
      <c r="Q54" s="545" t="s">
        <v>521</v>
      </c>
      <c r="R54" s="359" t="s">
        <v>160</v>
      </c>
      <c r="S54" s="359"/>
      <c r="T54" s="351"/>
      <c r="U54" s="362" t="s">
        <v>82</v>
      </c>
      <c r="V54" s="355">
        <v>1027.48</v>
      </c>
      <c r="W54" s="355">
        <v>832.46</v>
      </c>
      <c r="X54" s="355">
        <v>819.61</v>
      </c>
      <c r="Y54" s="356">
        <v>832.43</v>
      </c>
      <c r="Z54" s="337">
        <v>848.54160000000002</v>
      </c>
      <c r="AA54" s="365">
        <v>847.98</v>
      </c>
      <c r="AB54" s="365">
        <v>871.78480000000002</v>
      </c>
      <c r="AC54" s="635">
        <v>903.77250000000004</v>
      </c>
      <c r="AD54" s="365">
        <v>822.79250000000002</v>
      </c>
      <c r="AE54" s="357">
        <v>1055</v>
      </c>
      <c r="AF54" s="358">
        <v>1200</v>
      </c>
      <c r="AG54" s="354"/>
      <c r="AH54" s="359"/>
      <c r="AI54" s="370" t="s">
        <v>83</v>
      </c>
      <c r="AJ54" s="361" t="s">
        <v>143</v>
      </c>
      <c r="AK54" s="362" t="s">
        <v>522</v>
      </c>
      <c r="AL54" s="358" t="s">
        <v>103</v>
      </c>
      <c r="AM54" s="349"/>
      <c r="AN54" s="349" t="s">
        <v>104</v>
      </c>
      <c r="AO54" s="349"/>
      <c r="AP54" s="349"/>
      <c r="AQ54" s="349"/>
      <c r="AR54" s="453"/>
      <c r="AS54" s="371" t="s">
        <v>88</v>
      </c>
      <c r="AT54" s="345"/>
      <c r="AU54" s="345"/>
      <c r="AV54" s="345"/>
      <c r="AW54" s="345"/>
      <c r="AX54" s="345"/>
      <c r="AY54" s="345"/>
      <c r="AZ54" s="421"/>
      <c r="BA54" s="345"/>
      <c r="BB54" s="345"/>
      <c r="BC54" s="345"/>
      <c r="BD54" s="345"/>
      <c r="BE54" s="345"/>
      <c r="BF54" s="345"/>
      <c r="BG54" s="345"/>
      <c r="BH54" s="345"/>
      <c r="BI54" s="345"/>
      <c r="BJ54" s="364">
        <f>COUNTIF(AT54:BI54,"*OP*")</f>
        <v>0</v>
      </c>
      <c r="BK54" s="363" t="s">
        <v>103</v>
      </c>
      <c r="BL54" s="349">
        <f>(COUNTIF(AT54:AV54,"*OK*")*3) + (COUNTIF(AW54:AY54,"*OK*")*2) + COUNTIF(AZ54:BB54,"*OK*")+COUNTIF(BK54:BK54,"SI")*0.5</f>
        <v>0</v>
      </c>
      <c r="BM54" s="349" t="str">
        <f>IF(BL54&lt;0.6,"Demasiado Riesgo",IF(BL54&lt;=5,"Riesgo Medio",IF(BL54&lt;=11,"Riesgo Bajo","Cliente Blindado")))</f>
        <v>Demasiado Riesgo</v>
      </c>
      <c r="BN54" s="349"/>
      <c r="BO54" s="328"/>
      <c r="BP54" s="328">
        <v>0</v>
      </c>
      <c r="BQ54" s="328"/>
      <c r="BR54" s="328"/>
      <c r="BS54" s="328"/>
      <c r="BT54" s="328"/>
      <c r="BU54" s="328"/>
      <c r="BV54" s="328"/>
      <c r="BW54" s="328"/>
      <c r="BX54" s="328"/>
      <c r="BY54" s="328"/>
      <c r="BZ54" s="328"/>
      <c r="CA54" s="328"/>
      <c r="CB54" s="328"/>
      <c r="CC54" s="328"/>
      <c r="CD54" s="328"/>
      <c r="CE54" s="328"/>
      <c r="CF54" s="328"/>
      <c r="CG54" s="328"/>
      <c r="CH54" s="328"/>
      <c r="CI54" s="328"/>
      <c r="CJ54" s="328"/>
      <c r="CK54" s="328"/>
      <c r="CL54" s="328">
        <f>COUNTIF(AT54:BH54,"*OK*")</f>
        <v>0</v>
      </c>
      <c r="CM54" s="328"/>
      <c r="CN54" s="328">
        <f>COUNTIF(AT54:BH54,"*OP*")</f>
        <v>0</v>
      </c>
    </row>
    <row r="55" spans="1:94" s="425" customFormat="1" ht="14.25" customHeight="1">
      <c r="A55" s="837">
        <v>24766</v>
      </c>
      <c r="B55" s="560" t="s">
        <v>523</v>
      </c>
      <c r="C55" s="329">
        <f t="shared" si="2"/>
        <v>878.21799999999996</v>
      </c>
      <c r="D55" s="352">
        <f>COUNTIF(AT55:BH55,"*OK*")</f>
        <v>1</v>
      </c>
      <c r="E55" s="331" t="s">
        <v>73</v>
      </c>
      <c r="F55" s="429" t="s">
        <v>524</v>
      </c>
      <c r="G55" s="622"/>
      <c r="H55" s="650">
        <f>IF(LEN(TRIM($G55&amp;""))=0, $C55, SUMIF($G$3:$G$561, TRIM($G55), $C$3:$C$561))</f>
        <v>878.21799999999996</v>
      </c>
      <c r="I55" s="413" t="s">
        <v>76</v>
      </c>
      <c r="J55" s="351"/>
      <c r="K55" s="558"/>
      <c r="L55" s="558" t="str">
        <f>HYPERLINK("https://crm.zoho.com/crm/org685875245/tab/Accounts/3525045000252648254","https://crm.zoho.com/crm/org685875245/tab/Accounts/3525045000252648254")</f>
        <v>https://crm.zoho.com/crm/org685875245/tab/Accounts/3525045000252648254</v>
      </c>
      <c r="M55" s="553" t="s">
        <v>525</v>
      </c>
      <c r="N55" s="570" t="s">
        <v>526</v>
      </c>
      <c r="O55" s="571" t="s">
        <v>527</v>
      </c>
      <c r="P55" s="571" t="s">
        <v>528</v>
      </c>
      <c r="Q55" s="571" t="s">
        <v>529</v>
      </c>
      <c r="R55" s="570" t="s">
        <v>171</v>
      </c>
      <c r="S55" s="430" t="s">
        <v>284</v>
      </c>
      <c r="T55" s="351"/>
      <c r="U55" s="354" t="s">
        <v>82</v>
      </c>
      <c r="V55" s="355">
        <v>1362.93</v>
      </c>
      <c r="W55" s="355">
        <v>1354.17</v>
      </c>
      <c r="X55" s="355">
        <v>1254.71</v>
      </c>
      <c r="Y55" s="356">
        <v>1008.74</v>
      </c>
      <c r="Z55" s="337">
        <v>1022.3089</v>
      </c>
      <c r="AA55" s="367">
        <v>1029.6199999999999</v>
      </c>
      <c r="AB55" s="367">
        <v>912.62390000000005</v>
      </c>
      <c r="AC55" s="636">
        <v>901.44529999999997</v>
      </c>
      <c r="AD55" s="367">
        <v>878.21799999999996</v>
      </c>
      <c r="AE55" s="357">
        <v>413</v>
      </c>
      <c r="AF55" s="358">
        <v>600</v>
      </c>
      <c r="AG55" s="354"/>
      <c r="AH55" s="359" t="s">
        <v>83</v>
      </c>
      <c r="AI55" s="370" t="s">
        <v>83</v>
      </c>
      <c r="AJ55" s="361" t="s">
        <v>113</v>
      </c>
      <c r="AK55" s="362" t="s">
        <v>530</v>
      </c>
      <c r="AL55" s="358" t="s">
        <v>483</v>
      </c>
      <c r="AM55" s="349"/>
      <c r="AN55" s="349"/>
      <c r="AO55" s="349"/>
      <c r="AP55" s="349"/>
      <c r="AQ55" s="349"/>
      <c r="AR55" s="453" t="s">
        <v>531</v>
      </c>
      <c r="AS55" s="362" t="s">
        <v>532</v>
      </c>
      <c r="AT55" s="345"/>
      <c r="AU55" s="345" t="s">
        <v>533</v>
      </c>
      <c r="AV55" s="345" t="s">
        <v>534</v>
      </c>
      <c r="AW55" s="345"/>
      <c r="AX55" s="345" t="s">
        <v>535</v>
      </c>
      <c r="AY55" s="345"/>
      <c r="AZ55" s="421" t="s">
        <v>381</v>
      </c>
      <c r="BA55" s="345"/>
      <c r="BB55" s="345" t="s">
        <v>536</v>
      </c>
      <c r="BC55" s="345"/>
      <c r="BD55" s="345"/>
      <c r="BE55" s="345"/>
      <c r="BF55" s="345"/>
      <c r="BG55" s="345"/>
      <c r="BH55" s="345"/>
      <c r="BI55" s="345"/>
      <c r="BJ55" s="428">
        <f>COUNTIF(AT55:BI55,"*OP*")</f>
        <v>2</v>
      </c>
      <c r="BK55" s="632" t="s">
        <v>103</v>
      </c>
      <c r="BL55" s="349">
        <f>(COUNTIF(AT55:AV55,"*OK*")*3) + (COUNTIF(AW55:AY55,"*OK*")*2) + COUNTIF(AZ55:BB55,"*OK*")+COUNTIF(BK55:BK55,"SI")*0.5</f>
        <v>1</v>
      </c>
      <c r="BM55" s="349" t="str">
        <f>IF(BL55&lt;0.6,"Demasiado Riesgo",IF(BL55&lt;=5,"Riesgo Medio",IF(BL55&lt;=11,"Riesgo Bajo","Cliente Blindado")))</f>
        <v>Riesgo Medio</v>
      </c>
      <c r="BN55" s="349"/>
      <c r="BO55" s="328" t="s">
        <v>537</v>
      </c>
      <c r="BP55" s="328">
        <v>0</v>
      </c>
      <c r="BQ55" s="328" t="s">
        <v>17</v>
      </c>
      <c r="BR55" s="328"/>
      <c r="BS55" s="328"/>
      <c r="BT55" s="328"/>
      <c r="BU55" s="328"/>
      <c r="BV55" s="328"/>
      <c r="BW55" s="328"/>
      <c r="BX55" s="328"/>
      <c r="BY55" s="328"/>
      <c r="BZ55" s="328"/>
      <c r="CA55" s="328"/>
      <c r="CB55" s="328"/>
      <c r="CC55" s="328"/>
      <c r="CD55" s="328"/>
      <c r="CE55" s="328"/>
      <c r="CF55" s="328"/>
      <c r="CG55" s="328"/>
      <c r="CH55" s="328"/>
      <c r="CI55" s="328"/>
      <c r="CJ55" s="328"/>
      <c r="CK55" s="328"/>
      <c r="CL55" s="328">
        <f>COUNTIF(AT55:BH55,"*OK*")</f>
        <v>1</v>
      </c>
      <c r="CM55" s="328"/>
      <c r="CN55" s="328">
        <f>COUNTIF(AT55:BH55,"*OP*")</f>
        <v>2</v>
      </c>
      <c r="CO55" s="287"/>
      <c r="CP55" s="287"/>
    </row>
    <row r="56" spans="1:94" ht="14.25" customHeight="1">
      <c r="A56" s="834">
        <v>27983</v>
      </c>
      <c r="B56" s="560" t="s">
        <v>538</v>
      </c>
      <c r="C56" s="329">
        <f t="shared" si="2"/>
        <v>830.02210000000002</v>
      </c>
      <c r="D56" s="332">
        <f>COUNTIF(AT56:BH56,"*OK*")</f>
        <v>2</v>
      </c>
      <c r="E56" s="331" t="s">
        <v>93</v>
      </c>
      <c r="F56" s="426" t="s">
        <v>539</v>
      </c>
      <c r="G56" s="622" t="s">
        <v>540</v>
      </c>
      <c r="H56" s="650">
        <f>IF(LEN(TRIM($G56&amp;""))=0, $C56, SUMIF($G$3:$G$561, TRIM($G56), $C$3:$C$561))</f>
        <v>1381.8985</v>
      </c>
      <c r="I56" s="410" t="s">
        <v>76</v>
      </c>
      <c r="J56" s="331"/>
      <c r="K56" s="328"/>
      <c r="L56" s="328" t="str">
        <f>HYPERLINK("https://crm.zoho.com/crm/org685875245/tab/Accounts/3525045000324636081","https://crm.zoho.com/crm/org685875245/tab/Accounts/3525045000324636081")</f>
        <v>https://crm.zoho.com/crm/org685875245/tab/Accounts/3525045000324636081</v>
      </c>
      <c r="M56" s="341" t="s">
        <v>96</v>
      </c>
      <c r="N56" s="341"/>
      <c r="O56" s="548" t="s">
        <v>541</v>
      </c>
      <c r="P56" s="548" t="s">
        <v>542</v>
      </c>
      <c r="Q56" s="548" t="s">
        <v>543</v>
      </c>
      <c r="R56" s="359" t="s">
        <v>111</v>
      </c>
      <c r="S56" s="341"/>
      <c r="T56" s="331"/>
      <c r="U56" s="344" t="s">
        <v>198</v>
      </c>
      <c r="V56" s="335">
        <v>637.92999999999995</v>
      </c>
      <c r="W56" s="335">
        <v>618.28</v>
      </c>
      <c r="X56" s="335">
        <v>776.1</v>
      </c>
      <c r="Y56" s="336">
        <v>811.8</v>
      </c>
      <c r="Z56" s="337">
        <v>877.02279999999996</v>
      </c>
      <c r="AA56" s="347">
        <v>864.72</v>
      </c>
      <c r="AB56" s="347">
        <v>836.80970000000002</v>
      </c>
      <c r="AC56" s="638">
        <v>896.3202</v>
      </c>
      <c r="AD56" s="347">
        <v>830.02210000000002</v>
      </c>
      <c r="AE56" s="339">
        <v>312</v>
      </c>
      <c r="AF56" s="340">
        <v>500</v>
      </c>
      <c r="AG56" s="334"/>
      <c r="AH56" s="341"/>
      <c r="AI56" s="343" t="s">
        <v>258</v>
      </c>
      <c r="AJ56" s="343" t="s">
        <v>130</v>
      </c>
      <c r="AK56" s="344" t="s">
        <v>544</v>
      </c>
      <c r="AL56" s="340" t="s">
        <v>103</v>
      </c>
      <c r="AM56" s="328"/>
      <c r="AN56" s="328" t="s">
        <v>104</v>
      </c>
      <c r="AO56" s="328"/>
      <c r="AP56" s="328"/>
      <c r="AQ56" s="328"/>
      <c r="AR56" s="451"/>
      <c r="AS56" s="372" t="s">
        <v>88</v>
      </c>
      <c r="AT56" s="345"/>
      <c r="AU56" s="345"/>
      <c r="AV56" s="345" t="s">
        <v>545</v>
      </c>
      <c r="AW56" s="345"/>
      <c r="AX56" s="345"/>
      <c r="AY56" s="345"/>
      <c r="AZ56" s="345" t="s">
        <v>545</v>
      </c>
      <c r="BA56" s="345"/>
      <c r="BB56" s="345"/>
      <c r="BC56" s="345"/>
      <c r="BD56" s="345"/>
      <c r="BE56" s="345"/>
      <c r="BF56" s="345"/>
      <c r="BG56" s="345"/>
      <c r="BH56" s="345"/>
      <c r="BI56" s="345" t="s">
        <v>173</v>
      </c>
      <c r="BJ56" s="364">
        <f>COUNTIF(AT56:BI56,"*OP*")</f>
        <v>1</v>
      </c>
      <c r="BK56" s="375" t="s">
        <v>89</v>
      </c>
      <c r="BL56" s="328">
        <f>(COUNTIF(AT56:AV56,"*OK*")*3) + (COUNTIF(AW56:AY56,"*OK*")*2) + COUNTIF(AZ56:BB56,"*OK*")+COUNTIF(BK56:BK56,"SI")*0.5</f>
        <v>4</v>
      </c>
      <c r="BM56" s="328" t="str">
        <f>IF(BL56&lt;0.6,"Demasiado Riesgo",IF(BL56&lt;=5,"Riesgo Medio",IF(BL56&lt;=11,"Riesgo Bajo","Cliente Blindado")))</f>
        <v>Riesgo Medio</v>
      </c>
      <c r="BN56" s="328"/>
      <c r="BO56" s="328"/>
      <c r="BP56" s="328">
        <v>0</v>
      </c>
      <c r="BQ56" s="328"/>
      <c r="BR56" s="328"/>
      <c r="BS56" s="328"/>
      <c r="BT56" s="328"/>
      <c r="BU56" s="328"/>
      <c r="BV56" s="328"/>
      <c r="BW56" s="328"/>
      <c r="BX56" s="328"/>
      <c r="BY56" s="328"/>
      <c r="BZ56" s="328"/>
      <c r="CA56" s="328"/>
      <c r="CB56" s="328"/>
      <c r="CC56" s="328"/>
      <c r="CD56" s="328"/>
      <c r="CE56" s="328"/>
      <c r="CF56" s="328"/>
      <c r="CG56" s="328"/>
      <c r="CH56" s="328"/>
      <c r="CI56" s="328"/>
      <c r="CJ56" s="328"/>
      <c r="CK56" s="328"/>
      <c r="CL56" s="328">
        <f>COUNTIF(AT56:BH56,"*OK*")</f>
        <v>2</v>
      </c>
      <c r="CM56" s="328"/>
      <c r="CN56" s="328">
        <f>COUNTIF(AT56:BH56,"*OP*")</f>
        <v>0</v>
      </c>
    </row>
    <row r="57" spans="1:94" ht="14.25" customHeight="1">
      <c r="A57" s="835">
        <v>38784</v>
      </c>
      <c r="B57" s="560" t="s">
        <v>546</v>
      </c>
      <c r="C57" s="329">
        <f t="shared" si="2"/>
        <v>1087.0309</v>
      </c>
      <c r="D57" s="352">
        <f>COUNTIF(AX57:BI57,"OK")</f>
        <v>0</v>
      </c>
      <c r="E57" s="331" t="s">
        <v>73</v>
      </c>
      <c r="F57" s="330" t="s">
        <v>547</v>
      </c>
      <c r="G57" s="624"/>
      <c r="H57" s="650">
        <f>IF(LEN(TRIM($G57&amp;""))=0, $C57, SUMIF($G$3:$G$561, TRIM($G57), $C$3:$C$561))</f>
        <v>1087.0309</v>
      </c>
      <c r="I57" s="500" t="s">
        <v>76</v>
      </c>
      <c r="J57" s="500" t="s">
        <v>103</v>
      </c>
      <c r="K57" s="558"/>
      <c r="L57" s="558" t="str">
        <f>HYPERLINK("https://crm.zoho.com/crm/org685875245/tab/Accounts/3525045000630418441","https://crm.zoho.com/crm/org685875245/tab/Accounts/3525045000630418441")</f>
        <v>https://crm.zoho.com/crm/org685875245/tab/Accounts/3525045000630418441</v>
      </c>
      <c r="M57" s="553"/>
      <c r="N57" s="568" t="s">
        <v>103</v>
      </c>
      <c r="O57" s="569" t="s">
        <v>548</v>
      </c>
      <c r="P57" s="569" t="s">
        <v>549</v>
      </c>
      <c r="Q57" s="569" t="s">
        <v>550</v>
      </c>
      <c r="R57" s="568"/>
      <c r="S57" s="500" t="s">
        <v>103</v>
      </c>
      <c r="T57" s="500" t="s">
        <v>88</v>
      </c>
      <c r="U57" s="467" t="s">
        <v>103</v>
      </c>
      <c r="V57" s="500" t="s">
        <v>103</v>
      </c>
      <c r="W57" s="500" t="s">
        <v>103</v>
      </c>
      <c r="X57" s="500" t="s">
        <v>103</v>
      </c>
      <c r="Y57" s="511" t="s">
        <v>103</v>
      </c>
      <c r="Z57" s="517" t="s">
        <v>103</v>
      </c>
      <c r="AA57" s="518">
        <v>791.81</v>
      </c>
      <c r="AB57" s="518">
        <v>829.20389999999998</v>
      </c>
      <c r="AC57" s="639">
        <v>890.15890000000002</v>
      </c>
      <c r="AD57" s="518">
        <v>1087.0309</v>
      </c>
      <c r="AE57" s="357">
        <v>336</v>
      </c>
      <c r="AF57" s="358" t="s">
        <v>103</v>
      </c>
      <c r="AG57" s="354"/>
      <c r="AH57" s="349"/>
      <c r="AI57" s="370"/>
      <c r="AJ57" s="361"/>
      <c r="AK57" s="362"/>
      <c r="AL57" s="371" t="s">
        <v>103</v>
      </c>
      <c r="AM57" s="349"/>
      <c r="AN57" s="349"/>
      <c r="AO57" s="349"/>
      <c r="AP57" s="349"/>
      <c r="AQ57" s="349"/>
      <c r="AR57" s="453"/>
      <c r="AS57" s="449"/>
      <c r="AT57" s="445"/>
      <c r="AU57" s="445"/>
      <c r="AV57" s="445"/>
      <c r="AW57" s="445"/>
      <c r="AX57" s="445"/>
      <c r="AY57" s="445"/>
      <c r="AZ57" s="445"/>
      <c r="BA57" s="445"/>
      <c r="BB57" s="445"/>
      <c r="BC57" s="445"/>
      <c r="BD57" s="445"/>
      <c r="BE57" s="445"/>
      <c r="BF57" s="445"/>
      <c r="BG57" s="445"/>
      <c r="BH57" s="445"/>
      <c r="BI57" s="445"/>
      <c r="BJ57" s="446">
        <f>COUNTIF(AT57:BI57,"*OP*")</f>
        <v>0</v>
      </c>
      <c r="BK57" s="450"/>
      <c r="BL57" s="349">
        <f>(COUNTIF(AT57:AV57,"*OK*")*3) + (COUNTIF(AW57:AY57,"*OK*")*2) + COUNTIF(AZ57:BB57,"*OK*")+COUNTIF(BK57:BK57,"SI")*0.5</f>
        <v>0</v>
      </c>
      <c r="BM57" s="349" t="str">
        <f>IF(BL57&lt;0.6,"Demasiado Riesgo",IF(BL57&lt;=5,"Riesgo Medio",IF(BL57&lt;=11,"Riesgo Bajo","Cliente Blindado")))</f>
        <v>Demasiado Riesgo</v>
      </c>
      <c r="BN57" s="349"/>
      <c r="BO57" s="349"/>
      <c r="BP57" s="349">
        <v>0</v>
      </c>
      <c r="BQ57" s="349"/>
      <c r="BR57" s="349"/>
      <c r="BS57" s="349"/>
      <c r="BT57" s="349"/>
      <c r="BU57" s="349"/>
      <c r="BV57" s="349"/>
      <c r="BW57" s="349"/>
      <c r="BX57" s="349"/>
      <c r="BY57" s="349"/>
      <c r="BZ57" s="349"/>
      <c r="CA57" s="349"/>
      <c r="CB57" s="349"/>
      <c r="CC57" s="349"/>
      <c r="CD57" s="349"/>
      <c r="CE57" s="349"/>
      <c r="CF57" s="349"/>
      <c r="CG57" s="349"/>
      <c r="CH57" s="349"/>
      <c r="CI57" s="349"/>
      <c r="CJ57" s="349"/>
      <c r="CK57" s="349"/>
      <c r="CL57" s="349">
        <f>COUNTIF(AT57:BH57,"*OK*")</f>
        <v>0</v>
      </c>
      <c r="CM57" s="349"/>
      <c r="CN57" s="349">
        <f>COUNTIF(AT57:BH57,"*OP*")</f>
        <v>0</v>
      </c>
    </row>
    <row r="58" spans="1:94" ht="14.25" customHeight="1">
      <c r="A58" s="834">
        <v>35601</v>
      </c>
      <c r="B58" s="560" t="s">
        <v>551</v>
      </c>
      <c r="C58" s="329">
        <f t="shared" si="2"/>
        <v>841.61149999999998</v>
      </c>
      <c r="D58" s="332">
        <f>COUNTIF(AT58:BH58,"*OK*")</f>
        <v>0</v>
      </c>
      <c r="E58" s="331" t="s">
        <v>73</v>
      </c>
      <c r="F58" s="854" t="s">
        <v>552</v>
      </c>
      <c r="G58" s="331"/>
      <c r="H58" s="650">
        <f>IF(LEN(TRIM($G58&amp;""))=0, $C58, SUMIF($G$3:$G$561, TRIM($G58), $C$3:$C$561))</f>
        <v>841.61149999999998</v>
      </c>
      <c r="I58" s="331" t="s">
        <v>76</v>
      </c>
      <c r="J58" s="331"/>
      <c r="K58" s="560"/>
      <c r="L58" s="560" t="str">
        <f>HYPERLINK("https://crm.zoho.com/crm/org685875245/tab/Accounts/3525045000533674268","https://crm.zoho.com/crm/org685875245/tab/Accounts/3525045000533674268")</f>
        <v>https://crm.zoho.com/crm/org685875245/tab/Accounts/3525045000533674268</v>
      </c>
      <c r="M58" s="391" t="s">
        <v>77</v>
      </c>
      <c r="N58" s="560" t="s">
        <v>553</v>
      </c>
      <c r="O58" s="561" t="s">
        <v>554</v>
      </c>
      <c r="P58" s="561" t="s">
        <v>555</v>
      </c>
      <c r="Q58" s="561" t="s">
        <v>556</v>
      </c>
      <c r="R58" s="560"/>
      <c r="S58" s="430" t="s">
        <v>208</v>
      </c>
      <c r="T58" s="331"/>
      <c r="U58" s="334" t="s">
        <v>557</v>
      </c>
      <c r="V58" s="335">
        <v>742.45</v>
      </c>
      <c r="W58" s="335">
        <v>785.23</v>
      </c>
      <c r="X58" s="335">
        <v>740.03</v>
      </c>
      <c r="Y58" s="336">
        <v>772.41</v>
      </c>
      <c r="Z58" s="337">
        <v>788.5752</v>
      </c>
      <c r="AA58" s="347">
        <v>782.79</v>
      </c>
      <c r="AB58" s="347">
        <v>832.60350000000005</v>
      </c>
      <c r="AC58" s="638">
        <v>886.05139999999994</v>
      </c>
      <c r="AD58" s="347">
        <v>841.61149999999998</v>
      </c>
      <c r="AE58" s="339">
        <v>294</v>
      </c>
      <c r="AF58" s="340">
        <v>300</v>
      </c>
      <c r="AG58" s="334"/>
      <c r="AH58" s="341"/>
      <c r="AI58" s="342" t="s">
        <v>83</v>
      </c>
      <c r="AJ58" s="343" t="s">
        <v>199</v>
      </c>
      <c r="AK58" s="344" t="s">
        <v>558</v>
      </c>
      <c r="AL58" s="340" t="s">
        <v>559</v>
      </c>
      <c r="AM58" s="328"/>
      <c r="AN58" s="328"/>
      <c r="AO58" s="328"/>
      <c r="AP58" s="328"/>
      <c r="AQ58" s="328"/>
      <c r="AR58" s="451"/>
      <c r="AS58" s="372" t="s">
        <v>103</v>
      </c>
      <c r="AT58" s="345"/>
      <c r="AU58" s="345"/>
      <c r="AV58" s="345"/>
      <c r="AW58" s="345"/>
      <c r="AX58" s="345"/>
      <c r="AY58" s="345"/>
      <c r="AZ58" s="345"/>
      <c r="BA58" s="345"/>
      <c r="BB58" s="345"/>
      <c r="BC58" s="345"/>
      <c r="BD58" s="345"/>
      <c r="BE58" s="345"/>
      <c r="BF58" s="345"/>
      <c r="BG58" s="345"/>
      <c r="BH58" s="345"/>
      <c r="BI58" s="345"/>
      <c r="BJ58" s="364">
        <f>COUNTIF(AT58:BI58,"*OP*")</f>
        <v>0</v>
      </c>
      <c r="BK58" s="375" t="s">
        <v>103</v>
      </c>
      <c r="BL58" s="328">
        <f>(COUNTIF(AT58:AV58,"*OK*")*3) + (COUNTIF(AW58:AY58,"*OK*")*2) + COUNTIF(AZ58:BB58,"*OK*")+COUNTIF(BK58:BK58,"SI")*0.5</f>
        <v>0</v>
      </c>
      <c r="BM58" s="328" t="str">
        <f>IF(BL58&lt;0.6,"Demasiado Riesgo",IF(BL58&lt;=5,"Riesgo Medio",IF(BL58&lt;=11,"Riesgo Bajo","Cliente Blindado")))</f>
        <v>Demasiado Riesgo</v>
      </c>
      <c r="BN58" s="328"/>
      <c r="BO58" s="349"/>
      <c r="BP58" s="349">
        <v>0</v>
      </c>
      <c r="BQ58" s="349"/>
      <c r="BR58" s="349"/>
      <c r="BS58" s="349"/>
      <c r="BT58" s="349"/>
      <c r="BU58" s="349"/>
      <c r="BV58" s="349"/>
      <c r="BW58" s="349"/>
      <c r="BX58" s="349"/>
      <c r="BY58" s="349"/>
      <c r="BZ58" s="349"/>
      <c r="CA58" s="349"/>
      <c r="CB58" s="349"/>
      <c r="CC58" s="349"/>
      <c r="CD58" s="349"/>
      <c r="CE58" s="349"/>
      <c r="CF58" s="349"/>
      <c r="CG58" s="349"/>
      <c r="CH58" s="349"/>
      <c r="CI58" s="349"/>
      <c r="CJ58" s="349"/>
      <c r="CK58" s="349"/>
      <c r="CL58" s="349">
        <f>COUNTIF(AT58:BH58,"*OK*")</f>
        <v>0</v>
      </c>
      <c r="CM58" s="349"/>
      <c r="CN58" s="349">
        <f>COUNTIF(AT58:BH58,"*OP*")</f>
        <v>0</v>
      </c>
    </row>
    <row r="59" spans="1:94" ht="14.25" customHeight="1">
      <c r="A59" s="834">
        <v>36200</v>
      </c>
      <c r="B59" s="560" t="s">
        <v>560</v>
      </c>
      <c r="C59" s="329">
        <f t="shared" si="2"/>
        <v>813.46579999999994</v>
      </c>
      <c r="D59" s="332">
        <f>COUNTIF(AT59:BH59,"*OK*")</f>
        <v>1</v>
      </c>
      <c r="E59" s="331" t="s">
        <v>73</v>
      </c>
      <c r="F59" s="331" t="s">
        <v>561</v>
      </c>
      <c r="G59" s="533"/>
      <c r="H59" s="650">
        <f>IF(LEN(TRIM($G59&amp;""))=0, $C59, SUMIF($G$3:$G$561, TRIM($G59), $C$3:$C$561))</f>
        <v>813.46579999999994</v>
      </c>
      <c r="I59" s="333" t="s">
        <v>562</v>
      </c>
      <c r="J59" s="331"/>
      <c r="K59" s="560"/>
      <c r="L59" s="560" t="str">
        <f>HYPERLINK("https://crm.zoho.com/crm/org685875245/tab/Accounts/3525045000582917522","https://crm.zoho.com/crm/org685875245/tab/Accounts/3525045000582917522")</f>
        <v>https://crm.zoho.com/crm/org685875245/tab/Accounts/3525045000582917522</v>
      </c>
      <c r="M59" s="391"/>
      <c r="N59" s="560"/>
      <c r="O59" s="561" t="s">
        <v>563</v>
      </c>
      <c r="P59" s="561" t="s">
        <v>564</v>
      </c>
      <c r="Q59" s="561" t="s">
        <v>565</v>
      </c>
      <c r="R59" s="560"/>
      <c r="S59" s="332"/>
      <c r="T59" s="397" t="s">
        <v>88</v>
      </c>
      <c r="U59" s="334" t="s">
        <v>394</v>
      </c>
      <c r="V59" s="335"/>
      <c r="W59" s="335"/>
      <c r="X59" s="335">
        <v>24.3</v>
      </c>
      <c r="Y59" s="336">
        <v>25.08</v>
      </c>
      <c r="Z59" s="337">
        <v>896.02940000000001</v>
      </c>
      <c r="AA59" s="365">
        <v>324.94</v>
      </c>
      <c r="AB59" s="365">
        <v>852.48230000000001</v>
      </c>
      <c r="AC59" s="635">
        <v>868.15440000000001</v>
      </c>
      <c r="AD59" s="365">
        <v>813.46579999999994</v>
      </c>
      <c r="AE59" s="339">
        <v>266</v>
      </c>
      <c r="AF59" s="340">
        <v>50</v>
      </c>
      <c r="AG59" s="334"/>
      <c r="AH59" s="341"/>
      <c r="AI59" s="422" t="s">
        <v>83</v>
      </c>
      <c r="AJ59" s="343" t="s">
        <v>396</v>
      </c>
      <c r="AK59" s="344" t="s">
        <v>566</v>
      </c>
      <c r="AL59" s="340" t="s">
        <v>396</v>
      </c>
      <c r="AM59" s="328"/>
      <c r="AN59" s="328"/>
      <c r="AO59" s="328"/>
      <c r="AP59" s="328"/>
      <c r="AQ59" s="328"/>
      <c r="AR59" s="451"/>
      <c r="AS59" s="372" t="s">
        <v>103</v>
      </c>
      <c r="AT59" s="345"/>
      <c r="AU59" s="345"/>
      <c r="AV59" s="345" t="s">
        <v>133</v>
      </c>
      <c r="AW59" s="345"/>
      <c r="AX59" s="345"/>
      <c r="AY59" s="345"/>
      <c r="AZ59" s="345"/>
      <c r="BA59" s="345"/>
      <c r="BB59" s="345"/>
      <c r="BC59" s="345"/>
      <c r="BD59" s="345"/>
      <c r="BE59" s="345"/>
      <c r="BF59" s="345"/>
      <c r="BG59" s="345"/>
      <c r="BH59" s="345"/>
      <c r="BI59" s="345"/>
      <c r="BJ59" s="364">
        <f>COUNTIF(AT59:BI59,"*OP*")</f>
        <v>0</v>
      </c>
      <c r="BK59" s="375" t="s">
        <v>103</v>
      </c>
      <c r="BL59" s="328">
        <f>(COUNTIF(AT59:AV59,"*OK*")*3) + (COUNTIF(AW59:AY59,"*OK*")*2) + COUNTIF(AZ59:BB59,"*OK*")+COUNTIF(BK59:BK59,"SI")*0.5</f>
        <v>3</v>
      </c>
      <c r="BM59" s="328" t="str">
        <f>IF(BL59&lt;0.6,"Demasiado Riesgo",IF(BL59&lt;=5,"Riesgo Medio",IF(BL59&lt;=11,"Riesgo Bajo","Cliente Blindado")))</f>
        <v>Riesgo Medio</v>
      </c>
      <c r="BN59" s="328"/>
      <c r="BO59" s="328" t="s">
        <v>567</v>
      </c>
      <c r="BP59" s="328">
        <v>0</v>
      </c>
      <c r="BQ59" s="328"/>
      <c r="BR59" s="328"/>
      <c r="BS59" s="328"/>
      <c r="BT59" s="328"/>
      <c r="BU59" s="328"/>
      <c r="BV59" s="328"/>
      <c r="BW59" s="328"/>
      <c r="BX59" s="328"/>
      <c r="BY59" s="328"/>
      <c r="BZ59" s="328"/>
      <c r="CA59" s="328"/>
      <c r="CB59" s="328"/>
      <c r="CC59" s="328"/>
      <c r="CD59" s="328"/>
      <c r="CE59" s="328"/>
      <c r="CF59" s="328"/>
      <c r="CG59" s="328"/>
      <c r="CH59" s="328"/>
      <c r="CI59" s="328"/>
      <c r="CJ59" s="328"/>
      <c r="CK59" s="328"/>
      <c r="CL59" s="328">
        <f>COUNTIF(AT59:BH59,"*OK*")</f>
        <v>1</v>
      </c>
      <c r="CM59" s="328"/>
      <c r="CN59" s="328">
        <f>COUNTIF(AT59:BH59,"*OP*")</f>
        <v>0</v>
      </c>
    </row>
    <row r="60" spans="1:94" ht="14.25" customHeight="1">
      <c r="A60" s="836">
        <v>22786</v>
      </c>
      <c r="B60" s="560" t="s">
        <v>568</v>
      </c>
      <c r="C60" s="329">
        <f t="shared" si="2"/>
        <v>834.10100000000011</v>
      </c>
      <c r="D60" s="332">
        <v>1</v>
      </c>
      <c r="E60" s="331" t="s">
        <v>73</v>
      </c>
      <c r="F60" s="856" t="s">
        <v>569</v>
      </c>
      <c r="G60" s="533"/>
      <c r="H60" s="650">
        <f>IF(LEN(TRIM($G60&amp;""))=0, $C60, SUMIF($G$3:$G$561, TRIM($G60), $C$3:$C$561))</f>
        <v>834.10100000000011</v>
      </c>
      <c r="I60" s="410" t="s">
        <v>76</v>
      </c>
      <c r="J60" s="331"/>
      <c r="K60" s="560"/>
      <c r="L60" s="560" t="str">
        <f>HYPERLINK("https://crm.zoho.com/crm/org685875245/tab/Accounts/3525045000136022031","https://crm.zoho.com/crm/org685875245/tab/Accounts/3525045000136022031")</f>
        <v>https://crm.zoho.com/crm/org685875245/tab/Accounts/3525045000136022031</v>
      </c>
      <c r="M60" s="391" t="s">
        <v>96</v>
      </c>
      <c r="N60" s="560" t="s">
        <v>570</v>
      </c>
      <c r="O60" s="561" t="s">
        <v>571</v>
      </c>
      <c r="P60" s="561" t="s">
        <v>572</v>
      </c>
      <c r="Q60" s="561" t="s">
        <v>573</v>
      </c>
      <c r="R60" s="560" t="s">
        <v>81</v>
      </c>
      <c r="S60" s="332"/>
      <c r="T60" s="331"/>
      <c r="U60" s="334" t="s">
        <v>82</v>
      </c>
      <c r="V60" s="335">
        <v>864.85</v>
      </c>
      <c r="W60" s="335">
        <v>936.04</v>
      </c>
      <c r="X60" s="335">
        <v>885.35</v>
      </c>
      <c r="Y60" s="336">
        <v>923.35</v>
      </c>
      <c r="Z60" s="337">
        <v>943.37159999999994</v>
      </c>
      <c r="AA60" s="347">
        <v>833.57</v>
      </c>
      <c r="AB60" s="347">
        <v>872.10230000000001</v>
      </c>
      <c r="AC60" s="638">
        <v>867.21310000000005</v>
      </c>
      <c r="AD60" s="347">
        <v>834.10100000000011</v>
      </c>
      <c r="AE60" s="339">
        <v>224</v>
      </c>
      <c r="AF60" s="340">
        <v>190</v>
      </c>
      <c r="AG60" s="334"/>
      <c r="AH60" s="341" t="s">
        <v>83</v>
      </c>
      <c r="AI60" s="342" t="s">
        <v>83</v>
      </c>
      <c r="AJ60" s="343" t="s">
        <v>574</v>
      </c>
      <c r="AK60" s="344" t="s">
        <v>575</v>
      </c>
      <c r="AL60" s="340" t="s">
        <v>576</v>
      </c>
      <c r="AM60" s="328"/>
      <c r="AN60" s="328"/>
      <c r="AO60" s="328"/>
      <c r="AP60" s="328"/>
      <c r="AQ60" s="328"/>
      <c r="AR60" s="451"/>
      <c r="AS60" s="372" t="s">
        <v>577</v>
      </c>
      <c r="AT60" s="345"/>
      <c r="AU60" s="345" t="s">
        <v>578</v>
      </c>
      <c r="AV60" s="345" t="s">
        <v>179</v>
      </c>
      <c r="AW60" s="345"/>
      <c r="AX60" s="345" t="s">
        <v>579</v>
      </c>
      <c r="AY60" s="345"/>
      <c r="AZ60" s="345"/>
      <c r="BA60" s="345"/>
      <c r="BB60" s="345"/>
      <c r="BC60" s="345"/>
      <c r="BD60" s="345"/>
      <c r="BE60" s="345"/>
      <c r="BF60" s="345"/>
      <c r="BG60" s="345"/>
      <c r="BH60" s="345"/>
      <c r="BI60" s="345"/>
      <c r="BJ60" s="364">
        <f>COUNTIF(AT60:BI60,"*OP*")</f>
        <v>2</v>
      </c>
      <c r="BK60" s="375" t="s">
        <v>103</v>
      </c>
      <c r="BL60" s="328">
        <f>(COUNTIF(AT60:AV60,"*OK*")*3) + (COUNTIF(AW60:AY60,"*OK*")*2) + COUNTIF(AZ60:BB60,"*OK*")+COUNTIF(BK60:BK60,"SI")*0.5</f>
        <v>0</v>
      </c>
      <c r="BM60" s="328" t="str">
        <f>IF(BL60&lt;0.6,"Demasiado Riesgo",IF(BL60&lt;=5,"Riesgo Medio",IF(BL60&lt;=11,"Riesgo Bajo","Cliente Blindado")))</f>
        <v>Demasiado Riesgo</v>
      </c>
      <c r="BN60" s="328"/>
      <c r="BO60" s="328" t="s">
        <v>437</v>
      </c>
      <c r="BP60" s="328">
        <v>0</v>
      </c>
      <c r="BQ60" s="328" t="s">
        <v>17</v>
      </c>
      <c r="BR60" s="328"/>
      <c r="BS60" s="328"/>
      <c r="BT60" s="328"/>
      <c r="BU60" s="328"/>
      <c r="BV60" s="328"/>
      <c r="BW60" s="328"/>
      <c r="BX60" s="328"/>
      <c r="BY60" s="328"/>
      <c r="BZ60" s="328"/>
      <c r="CA60" s="328"/>
      <c r="CB60" s="328"/>
      <c r="CC60" s="328"/>
      <c r="CD60" s="328"/>
      <c r="CE60" s="328"/>
      <c r="CF60" s="328"/>
      <c r="CG60" s="328"/>
      <c r="CH60" s="328"/>
      <c r="CI60" s="328"/>
      <c r="CJ60" s="328"/>
      <c r="CK60" s="328"/>
      <c r="CL60" s="328">
        <f>COUNTIF(AT60:BH60,"*OK*")</f>
        <v>0</v>
      </c>
      <c r="CM60" s="328"/>
      <c r="CN60" s="328">
        <f>COUNTIF(AT60:BH60,"*OP*")</f>
        <v>2</v>
      </c>
    </row>
    <row r="61" spans="1:94" ht="14.25" customHeight="1">
      <c r="A61" s="834">
        <v>38201</v>
      </c>
      <c r="B61" s="560" t="s">
        <v>580</v>
      </c>
      <c r="C61" s="329">
        <f t="shared" si="2"/>
        <v>809.60260000000005</v>
      </c>
      <c r="D61" s="332">
        <f>COUNTIF(AX61:BI61,"OK")</f>
        <v>0</v>
      </c>
      <c r="E61" s="331" t="s">
        <v>73</v>
      </c>
      <c r="F61" s="856" t="s">
        <v>581</v>
      </c>
      <c r="G61" s="621"/>
      <c r="H61" s="650">
        <f>IF(LEN(TRIM($G61&amp;""))=0, $C61, SUMIF($G$3:$G$561, TRIM($G61), $C$3:$C$561))</f>
        <v>809.60260000000005</v>
      </c>
      <c r="I61" s="500" t="s">
        <v>76</v>
      </c>
      <c r="J61" s="328"/>
      <c r="K61" s="560"/>
      <c r="L61" s="560" t="str">
        <f>HYPERLINK("https://crm.zoho.com/crm/org685875245/tab/Accounts/3525045000526296256","https://crm.zoho.com/crm/org685875245/tab/Accounts/3525045000526296256")</f>
        <v>https://crm.zoho.com/crm/org685875245/tab/Accounts/3525045000526296256</v>
      </c>
      <c r="M61" s="391"/>
      <c r="N61" s="560"/>
      <c r="O61" s="561" t="s">
        <v>582</v>
      </c>
      <c r="P61" s="561" t="s">
        <v>583</v>
      </c>
      <c r="Q61" s="561" t="s">
        <v>584</v>
      </c>
      <c r="R61" s="560"/>
      <c r="S61" s="332"/>
      <c r="T61" s="349" t="s">
        <v>88</v>
      </c>
      <c r="U61" s="344" t="s">
        <v>585</v>
      </c>
      <c r="V61" s="335"/>
      <c r="W61" s="335"/>
      <c r="X61" s="335"/>
      <c r="Y61" s="336"/>
      <c r="Z61" s="337">
        <v>759.11189999999999</v>
      </c>
      <c r="AA61" s="369">
        <v>794.5</v>
      </c>
      <c r="AB61" s="369">
        <v>847.87270000000001</v>
      </c>
      <c r="AC61" s="640">
        <v>860.81949999999995</v>
      </c>
      <c r="AD61" s="369">
        <v>809.60260000000005</v>
      </c>
      <c r="AE61" s="339">
        <v>309</v>
      </c>
      <c r="AF61" s="340" t="s">
        <v>103</v>
      </c>
      <c r="AG61" s="334"/>
      <c r="AH61" s="328"/>
      <c r="AI61" s="343"/>
      <c r="AJ61" s="343"/>
      <c r="AK61" s="344"/>
      <c r="AL61" s="372" t="s">
        <v>103</v>
      </c>
      <c r="AM61" s="328"/>
      <c r="AN61" s="328"/>
      <c r="AO61" s="328"/>
      <c r="AP61" s="328"/>
      <c r="AQ61" s="328"/>
      <c r="AR61" s="451"/>
      <c r="AS61" s="451"/>
      <c r="AT61" s="445"/>
      <c r="AU61" s="445"/>
      <c r="AV61" s="445"/>
      <c r="AW61" s="445"/>
      <c r="AX61" s="445"/>
      <c r="AY61" s="445"/>
      <c r="AZ61" s="445"/>
      <c r="BA61" s="445"/>
      <c r="BB61" s="445"/>
      <c r="BC61" s="445"/>
      <c r="BD61" s="445"/>
      <c r="BE61" s="445"/>
      <c r="BF61" s="445"/>
      <c r="BG61" s="445"/>
      <c r="BH61" s="445"/>
      <c r="BI61" s="445"/>
      <c r="BJ61" s="446">
        <f>COUNTIF(AT61:BI61,"*OP*")</f>
        <v>0</v>
      </c>
      <c r="BK61" s="447"/>
      <c r="BL61" s="328">
        <f>(COUNTIF(AT61:AV61,"*OK*")*3) + (COUNTIF(AW61:AY61,"*OK*")*2) + COUNTIF(AZ61:BB61,"*OK*")+COUNTIF(BK61:BK61,"SI")*0.5</f>
        <v>0</v>
      </c>
      <c r="BM61" s="328" t="str">
        <f>IF(BL61&lt;0.6,"Demasiado Riesgo",IF(BL61&lt;=5,"Riesgo Medio",IF(BL61&lt;=11,"Riesgo Bajo","Cliente Blindado")))</f>
        <v>Demasiado Riesgo</v>
      </c>
      <c r="BN61" s="328"/>
      <c r="BO61" s="328"/>
      <c r="BP61" s="328">
        <v>0</v>
      </c>
      <c r="BQ61" s="328"/>
      <c r="BR61" s="328"/>
      <c r="BS61" s="328"/>
      <c r="BT61" s="328"/>
      <c r="BU61" s="328"/>
      <c r="BV61" s="328"/>
      <c r="BW61" s="328"/>
      <c r="BX61" s="328"/>
      <c r="BY61" s="328"/>
      <c r="BZ61" s="328"/>
      <c r="CA61" s="328"/>
      <c r="CB61" s="328"/>
      <c r="CC61" s="328"/>
      <c r="CD61" s="328"/>
      <c r="CE61" s="328"/>
      <c r="CF61" s="328"/>
      <c r="CG61" s="328"/>
      <c r="CH61" s="328"/>
      <c r="CI61" s="328"/>
      <c r="CJ61" s="328"/>
      <c r="CK61" s="328"/>
      <c r="CL61" s="328">
        <f>COUNTIF(AT61:BH61,"*OK*")</f>
        <v>0</v>
      </c>
      <c r="CM61" s="328"/>
      <c r="CN61" s="328">
        <f>COUNTIF(AT61:BH61,"*OP*")</f>
        <v>0</v>
      </c>
    </row>
    <row r="62" spans="1:94" ht="14.25" customHeight="1">
      <c r="A62" s="834">
        <v>35510</v>
      </c>
      <c r="B62" s="560" t="s">
        <v>586</v>
      </c>
      <c r="C62" s="329">
        <f t="shared" si="2"/>
        <v>807.11919999999998</v>
      </c>
      <c r="D62" s="332">
        <f>COUNTIF(AT62:BH62,"*OK*")</f>
        <v>1</v>
      </c>
      <c r="E62" s="331" t="s">
        <v>93</v>
      </c>
      <c r="F62" s="330" t="s">
        <v>587</v>
      </c>
      <c r="G62" s="331"/>
      <c r="H62" s="650">
        <f>IF(LEN(TRIM($G62&amp;""))=0, $C62, SUMIF($G$3:$G$561, TRIM($G62), $C$3:$C$561))</f>
        <v>807.11919999999998</v>
      </c>
      <c r="I62" s="416" t="s">
        <v>76</v>
      </c>
      <c r="J62" s="331"/>
      <c r="K62" s="328"/>
      <c r="L62" s="328" t="str">
        <f>HYPERLINK("https://crm.zoho.com/crm/org685875245/tab/Accounts/3525045000502956105","https://crm.zoho.com/crm/org685875245/tab/Accounts/3525045000502956105")</f>
        <v>https://crm.zoho.com/crm/org685875245/tab/Accounts/3525045000502956105</v>
      </c>
      <c r="M62" s="391"/>
      <c r="N62" s="332"/>
      <c r="O62" s="541" t="s">
        <v>588</v>
      </c>
      <c r="P62" s="541" t="s">
        <v>589</v>
      </c>
      <c r="Q62" s="541" t="s">
        <v>590</v>
      </c>
      <c r="R62" s="359" t="s">
        <v>481</v>
      </c>
      <c r="S62" s="332"/>
      <c r="T62" s="331" t="s">
        <v>88</v>
      </c>
      <c r="U62" s="334" t="s">
        <v>394</v>
      </c>
      <c r="V62" s="335">
        <v>783.05</v>
      </c>
      <c r="W62" s="335">
        <v>782.34</v>
      </c>
      <c r="X62" s="335">
        <v>745.56</v>
      </c>
      <c r="Y62" s="336">
        <v>859.34</v>
      </c>
      <c r="Z62" s="337">
        <v>816.30529999999999</v>
      </c>
      <c r="AA62" s="338">
        <v>848.49</v>
      </c>
      <c r="AB62" s="338">
        <v>847.87270000000001</v>
      </c>
      <c r="AC62" s="634">
        <v>844.97619999999995</v>
      </c>
      <c r="AD62" s="338">
        <v>807.11919999999998</v>
      </c>
      <c r="AE62" s="339">
        <v>315</v>
      </c>
      <c r="AF62" s="340">
        <v>200</v>
      </c>
      <c r="AG62" s="334"/>
      <c r="AH62" s="341"/>
      <c r="AI62" s="343" t="s">
        <v>83</v>
      </c>
      <c r="AJ62" s="343" t="s">
        <v>574</v>
      </c>
      <c r="AK62" s="344" t="s">
        <v>591</v>
      </c>
      <c r="AL62" s="340" t="s">
        <v>103</v>
      </c>
      <c r="AM62" s="328"/>
      <c r="AN62" s="328"/>
      <c r="AO62" s="328"/>
      <c r="AP62" s="328"/>
      <c r="AQ62" s="328"/>
      <c r="AR62" s="451"/>
      <c r="AS62" s="372" t="s">
        <v>103</v>
      </c>
      <c r="AT62" s="345"/>
      <c r="AU62" s="345"/>
      <c r="AV62" s="345"/>
      <c r="AW62" s="345"/>
      <c r="AX62" s="345"/>
      <c r="AY62" s="345" t="s">
        <v>362</v>
      </c>
      <c r="AZ62" s="345"/>
      <c r="BA62" s="345"/>
      <c r="BB62" s="345"/>
      <c r="BC62" s="345"/>
      <c r="BD62" s="345"/>
      <c r="BE62" s="345"/>
      <c r="BF62" s="345"/>
      <c r="BG62" s="345"/>
      <c r="BH62" s="345"/>
      <c r="BI62" s="345"/>
      <c r="BJ62" s="364">
        <f>COUNTIF(AT62:BI62,"*OP*")</f>
        <v>0</v>
      </c>
      <c r="BK62" s="375" t="s">
        <v>103</v>
      </c>
      <c r="BL62" s="328">
        <f>(COUNTIF(AT62:AV62,"*OK*")*3) + (COUNTIF(AW62:AY62,"*OK*")*2) + COUNTIF(AZ62:BB62,"*OK*")+COUNTIF(BK62:BK62,"SI")*0.5</f>
        <v>2</v>
      </c>
      <c r="BM62" s="328" t="str">
        <f>IF(BL62&lt;0.6,"Demasiado Riesgo",IF(BL62&lt;=5,"Riesgo Medio",IF(BL62&lt;=11,"Riesgo Bajo","Cliente Blindado")))</f>
        <v>Riesgo Medio</v>
      </c>
      <c r="BN62" s="328"/>
      <c r="BO62" s="349"/>
      <c r="BP62" s="349">
        <v>0</v>
      </c>
      <c r="BQ62" s="349"/>
      <c r="BR62" s="349"/>
      <c r="BS62" s="349"/>
      <c r="BT62" s="349"/>
      <c r="BU62" s="349"/>
      <c r="BV62" s="349"/>
      <c r="BW62" s="349"/>
      <c r="BX62" s="349"/>
      <c r="BY62" s="349"/>
      <c r="BZ62" s="349"/>
      <c r="CA62" s="349"/>
      <c r="CB62" s="349"/>
      <c r="CC62" s="349"/>
      <c r="CD62" s="349"/>
      <c r="CE62" s="349"/>
      <c r="CF62" s="349"/>
      <c r="CG62" s="349"/>
      <c r="CH62" s="349"/>
      <c r="CI62" s="349"/>
      <c r="CJ62" s="349"/>
      <c r="CK62" s="349"/>
      <c r="CL62" s="349">
        <f>COUNTIF(AT62:BH62,"*OK*")</f>
        <v>1</v>
      </c>
      <c r="CM62" s="349"/>
      <c r="CN62" s="349">
        <f>COUNTIF(AT62:BH62,"*OP*")</f>
        <v>0</v>
      </c>
    </row>
    <row r="63" spans="1:94" ht="14.25" customHeight="1">
      <c r="A63" s="835">
        <v>18764</v>
      </c>
      <c r="B63" s="560" t="s">
        <v>592</v>
      </c>
      <c r="C63" s="329">
        <f t="shared" si="2"/>
        <v>792.71519999999998</v>
      </c>
      <c r="D63" s="352">
        <f>COUNTIF(AT63:BH63,"*OK*")</f>
        <v>0</v>
      </c>
      <c r="E63" s="351" t="s">
        <v>93</v>
      </c>
      <c r="F63" s="351" t="s">
        <v>593</v>
      </c>
      <c r="G63" s="533" t="s">
        <v>320</v>
      </c>
      <c r="H63" s="650">
        <f>IF(LEN(TRIM($G63&amp;""))=0, $C63, SUMIF($G$3:$G$561, TRIM($G63), $C$3:$C$561))</f>
        <v>2111.8101999999999</v>
      </c>
      <c r="I63" s="413" t="s">
        <v>76</v>
      </c>
      <c r="J63" s="351"/>
      <c r="K63" s="349"/>
      <c r="L63" s="349" t="str">
        <f>HYPERLINK("https://crm.zoho.com/crm/org685875245/tab/Accounts/3525045000152361120","https://crm.zoho.com/crm/org685875245/tab/Accounts/3525045000152361120")</f>
        <v>https://crm.zoho.com/crm/org685875245/tab/Accounts/3525045000152361120</v>
      </c>
      <c r="M63" s="359" t="s">
        <v>96</v>
      </c>
      <c r="N63" s="359"/>
      <c r="O63" s="545" t="s">
        <v>322</v>
      </c>
      <c r="P63" s="545" t="s">
        <v>323</v>
      </c>
      <c r="Q63" s="545" t="s">
        <v>324</v>
      </c>
      <c r="R63" s="359"/>
      <c r="S63" s="359"/>
      <c r="T63" s="351"/>
      <c r="U63" s="362" t="s">
        <v>585</v>
      </c>
      <c r="V63" s="355">
        <v>467.51</v>
      </c>
      <c r="W63" s="355">
        <v>467.08</v>
      </c>
      <c r="X63" s="355">
        <v>445.12</v>
      </c>
      <c r="Y63" s="356">
        <v>459.45</v>
      </c>
      <c r="Z63" s="337">
        <v>854.26089999999999</v>
      </c>
      <c r="AA63" s="365">
        <v>820.73</v>
      </c>
      <c r="AB63" s="365">
        <v>827.64819999999997</v>
      </c>
      <c r="AC63" s="635">
        <v>842.86379999999997</v>
      </c>
      <c r="AD63" s="365">
        <v>792.71519999999998</v>
      </c>
      <c r="AE63" s="357">
        <v>630</v>
      </c>
      <c r="AF63" s="358">
        <v>200</v>
      </c>
      <c r="AG63" s="354"/>
      <c r="AH63" s="359"/>
      <c r="AI63" s="427" t="s">
        <v>83</v>
      </c>
      <c r="AJ63" s="361" t="s">
        <v>199</v>
      </c>
      <c r="AK63" s="362" t="s">
        <v>594</v>
      </c>
      <c r="AL63" s="358" t="s">
        <v>199</v>
      </c>
      <c r="AM63" s="349"/>
      <c r="AN63" s="349" t="s">
        <v>152</v>
      </c>
      <c r="AO63" s="349"/>
      <c r="AP63" s="349"/>
      <c r="AQ63" s="349"/>
      <c r="AR63" s="453"/>
      <c r="AS63" s="371"/>
      <c r="AT63" s="345" t="s">
        <v>595</v>
      </c>
      <c r="AU63" s="345"/>
      <c r="AV63" s="345" t="s">
        <v>173</v>
      </c>
      <c r="AW63" s="345"/>
      <c r="AX63" s="345"/>
      <c r="AY63" s="345"/>
      <c r="AZ63" s="345" t="s">
        <v>596</v>
      </c>
      <c r="BA63" s="345"/>
      <c r="BB63" s="345"/>
      <c r="BC63" s="345"/>
      <c r="BD63" s="345"/>
      <c r="BE63" s="345"/>
      <c r="BF63" s="345"/>
      <c r="BG63" s="345"/>
      <c r="BH63" s="345"/>
      <c r="BI63" s="345"/>
      <c r="BJ63" s="364">
        <f>COUNTIF(AT63:BI63,"*OP*")</f>
        <v>2</v>
      </c>
      <c r="BK63" s="363" t="s">
        <v>103</v>
      </c>
      <c r="BL63" s="349">
        <f>(COUNTIF(AT63:AV63,"*OK*")*3) + (COUNTIF(AW63:AY63,"*OK*")*2) + COUNTIF(AZ63:BB63,"*OK*")+COUNTIF(BK63:BK63,"SI")*0.5</f>
        <v>0</v>
      </c>
      <c r="BM63" s="349" t="str">
        <f>IF(BL63&lt;0.6,"Demasiado Riesgo",IF(BL63&lt;=5,"Riesgo Medio",IF(BL63&lt;=11,"Riesgo Bajo","Cliente Blindado")))</f>
        <v>Demasiado Riesgo</v>
      </c>
      <c r="BN63" s="349"/>
      <c r="BO63" s="328"/>
      <c r="BP63" s="328">
        <v>0</v>
      </c>
      <c r="BQ63" s="328"/>
      <c r="BR63" s="328"/>
      <c r="BS63" s="328"/>
      <c r="BT63" s="328"/>
      <c r="BU63" s="328"/>
      <c r="BV63" s="328"/>
      <c r="BW63" s="328"/>
      <c r="BX63" s="328"/>
      <c r="BY63" s="328"/>
      <c r="BZ63" s="328"/>
      <c r="CA63" s="328"/>
      <c r="CB63" s="328"/>
      <c r="CC63" s="328"/>
      <c r="CD63" s="328"/>
      <c r="CE63" s="328"/>
      <c r="CF63" s="328"/>
      <c r="CG63" s="328"/>
      <c r="CH63" s="328"/>
      <c r="CI63" s="328"/>
      <c r="CJ63" s="328"/>
      <c r="CK63" s="328"/>
      <c r="CL63" s="328">
        <f>COUNTIF(AT63:BH63,"*OK*")</f>
        <v>0</v>
      </c>
      <c r="CM63" s="328"/>
      <c r="CN63" s="328">
        <f>COUNTIF(AT63:BH63,"*OP*")</f>
        <v>2</v>
      </c>
    </row>
    <row r="64" spans="1:94" ht="14.25" customHeight="1">
      <c r="A64" s="837">
        <v>23468</v>
      </c>
      <c r="B64" s="560" t="s">
        <v>597</v>
      </c>
      <c r="C64" s="329">
        <f t="shared" si="2"/>
        <v>782.06399999999996</v>
      </c>
      <c r="D64" s="352">
        <f>COUNTIF(AT64:BH64,"*OK*")</f>
        <v>1</v>
      </c>
      <c r="E64" s="351" t="s">
        <v>93</v>
      </c>
      <c r="F64" s="351" t="s">
        <v>598</v>
      </c>
      <c r="G64" s="622"/>
      <c r="H64" s="650">
        <f>IF(LEN(TRIM($G64&amp;""))=0, $C64, SUMIF($G$3:$G$561, TRIM($G64), $C$3:$C$561))</f>
        <v>782.06399999999996</v>
      </c>
      <c r="I64" s="413" t="s">
        <v>76</v>
      </c>
      <c r="J64" s="351"/>
      <c r="K64" s="349"/>
      <c r="L64" s="349" t="str">
        <f>HYPERLINK("https://crm.zoho.com/crm/org685875245/tab/Accounts/3525045000271013014","https://crm.zoho.com/crm/org685875245/tab/Accounts/3525045000271013014")</f>
        <v>https://crm.zoho.com/crm/org685875245/tab/Accounts/3525045000271013014</v>
      </c>
      <c r="M64" s="359" t="s">
        <v>96</v>
      </c>
      <c r="N64" s="359"/>
      <c r="O64" s="545" t="s">
        <v>341</v>
      </c>
      <c r="P64" s="545" t="s">
        <v>599</v>
      </c>
      <c r="Q64" s="545" t="s">
        <v>600</v>
      </c>
      <c r="R64" s="359"/>
      <c r="S64" s="359"/>
      <c r="T64" s="351"/>
      <c r="U64" s="362" t="s">
        <v>82</v>
      </c>
      <c r="V64" s="355">
        <v>609.77</v>
      </c>
      <c r="W64" s="355">
        <v>576.03</v>
      </c>
      <c r="X64" s="355">
        <v>729.48</v>
      </c>
      <c r="Y64" s="356">
        <v>389.14</v>
      </c>
      <c r="Z64" s="337">
        <v>791.95479999999998</v>
      </c>
      <c r="AA64" s="367">
        <v>800.18</v>
      </c>
      <c r="AB64" s="367">
        <v>737.30060000000003</v>
      </c>
      <c r="AC64" s="636">
        <v>826.11090000000002</v>
      </c>
      <c r="AD64" s="367">
        <v>782.06399999999996</v>
      </c>
      <c r="AE64" s="357">
        <v>735</v>
      </c>
      <c r="AF64" s="358">
        <v>710</v>
      </c>
      <c r="AG64" s="354"/>
      <c r="AH64" s="359"/>
      <c r="AI64" s="370" t="s">
        <v>601</v>
      </c>
      <c r="AJ64" s="361" t="s">
        <v>143</v>
      </c>
      <c r="AK64" s="362" t="s">
        <v>602</v>
      </c>
      <c r="AL64" s="358" t="s">
        <v>103</v>
      </c>
      <c r="AM64" s="349"/>
      <c r="AN64" s="349" t="s">
        <v>152</v>
      </c>
      <c r="AO64" s="349"/>
      <c r="AP64" s="349"/>
      <c r="AQ64" s="349"/>
      <c r="AR64" s="453" t="s">
        <v>603</v>
      </c>
      <c r="AS64" s="371" t="s">
        <v>88</v>
      </c>
      <c r="AT64" s="345"/>
      <c r="AU64" s="345"/>
      <c r="AV64" s="345"/>
      <c r="AW64" s="345" t="s">
        <v>604</v>
      </c>
      <c r="AX64" s="421" t="s">
        <v>605</v>
      </c>
      <c r="AY64" s="345"/>
      <c r="AZ64" s="345"/>
      <c r="BA64" s="345"/>
      <c r="BB64" s="345"/>
      <c r="BC64" s="345"/>
      <c r="BD64" s="345"/>
      <c r="BE64" s="345"/>
      <c r="BF64" s="345"/>
      <c r="BG64" s="345"/>
      <c r="BH64" s="345"/>
      <c r="BI64" s="345"/>
      <c r="BJ64" s="364">
        <f>COUNTIF(AT64:BI64,"*OP*")</f>
        <v>1</v>
      </c>
      <c r="BK64" s="363" t="s">
        <v>103</v>
      </c>
      <c r="BL64" s="349">
        <f>(COUNTIF(AT64:AV64,"*OK*")*3) + (COUNTIF(AW64:AY64,"*OK*")*2) + COUNTIF(AZ64:BB64,"*OK*")+COUNTIF(BK64:BK64,"SI")*0.5</f>
        <v>2</v>
      </c>
      <c r="BM64" s="349" t="str">
        <f>IF(BL64&lt;0.6,"Demasiado Riesgo",IF(BL64&lt;=5,"Riesgo Medio",IF(BL64&lt;=11,"Riesgo Bajo","Cliente Blindado")))</f>
        <v>Riesgo Medio</v>
      </c>
      <c r="BN64" s="349"/>
      <c r="BO64" s="349"/>
      <c r="BP64" s="349">
        <v>0</v>
      </c>
      <c r="BQ64" s="349"/>
      <c r="BR64" s="349"/>
      <c r="BS64" s="349"/>
      <c r="BT64" s="349"/>
      <c r="BU64" s="349"/>
      <c r="BV64" s="349"/>
      <c r="BW64" s="349"/>
      <c r="BX64" s="349"/>
      <c r="BY64" s="349"/>
      <c r="BZ64" s="349"/>
      <c r="CA64" s="349"/>
      <c r="CB64" s="349"/>
      <c r="CC64" s="349"/>
      <c r="CD64" s="349"/>
      <c r="CE64" s="349"/>
      <c r="CF64" s="349"/>
      <c r="CG64" s="349"/>
      <c r="CH64" s="349"/>
      <c r="CI64" s="349"/>
      <c r="CJ64" s="349"/>
      <c r="CK64" s="349"/>
      <c r="CL64" s="349">
        <f>COUNTIF(AT64:BH64,"*OK*")</f>
        <v>1</v>
      </c>
      <c r="CM64" s="349"/>
      <c r="CN64" s="349">
        <f>COUNTIF(AT64:BH64,"*OP*")</f>
        <v>1</v>
      </c>
    </row>
    <row r="65" spans="1:94" ht="14.25" customHeight="1">
      <c r="A65" s="835">
        <v>26664</v>
      </c>
      <c r="B65" s="560" t="s">
        <v>606</v>
      </c>
      <c r="C65" s="329">
        <f t="shared" si="2"/>
        <v>790.56279999999992</v>
      </c>
      <c r="D65" s="352">
        <f>COUNTIF(AT65:BH65,"*OK*")</f>
        <v>1</v>
      </c>
      <c r="E65" s="351" t="s">
        <v>93</v>
      </c>
      <c r="F65" s="351" t="s">
        <v>607</v>
      </c>
      <c r="G65" s="622" t="s">
        <v>607</v>
      </c>
      <c r="H65" s="650">
        <f>IF(LEN(TRIM($G65&amp;""))=0, $C65, SUMIF($G$3:$G$561, TRIM($G65), $C$3:$C$561))</f>
        <v>1141.2802999999999</v>
      </c>
      <c r="I65" s="413" t="s">
        <v>76</v>
      </c>
      <c r="J65" s="351"/>
      <c r="K65" s="349"/>
      <c r="L65" s="349" t="str">
        <f>HYPERLINK("https://crm.zoho.com/crm/org685875245/tab/Accounts/3525045000118304484","https://crm.zoho.com/crm/org685875245/tab/Accounts/3525045000118304484")</f>
        <v>https://crm.zoho.com/crm/org685875245/tab/Accounts/3525045000118304484</v>
      </c>
      <c r="M65" s="359" t="s">
        <v>96</v>
      </c>
      <c r="N65" s="359"/>
      <c r="O65" s="545" t="s">
        <v>417</v>
      </c>
      <c r="P65" s="545" t="s">
        <v>418</v>
      </c>
      <c r="Q65" s="545" t="s">
        <v>419</v>
      </c>
      <c r="R65" s="341" t="s">
        <v>160</v>
      </c>
      <c r="S65" s="359"/>
      <c r="T65" s="351"/>
      <c r="U65" s="362" t="s">
        <v>585</v>
      </c>
      <c r="V65" s="355">
        <v>769.71</v>
      </c>
      <c r="W65" s="355">
        <v>767.85</v>
      </c>
      <c r="X65" s="355">
        <v>730.09</v>
      </c>
      <c r="Y65" s="356">
        <v>766.13</v>
      </c>
      <c r="Z65" s="337">
        <v>785.39779999999996</v>
      </c>
      <c r="AA65" s="365">
        <v>776.79</v>
      </c>
      <c r="AB65" s="365">
        <v>797.45550000000003</v>
      </c>
      <c r="AC65" s="635">
        <v>809.18200000000002</v>
      </c>
      <c r="AD65" s="365">
        <v>790.56279999999992</v>
      </c>
      <c r="AE65" s="357">
        <v>1110</v>
      </c>
      <c r="AF65" s="358">
        <v>400</v>
      </c>
      <c r="AG65" s="354"/>
      <c r="AH65" s="359"/>
      <c r="AI65" s="370" t="s">
        <v>83</v>
      </c>
      <c r="AJ65" s="361" t="s">
        <v>199</v>
      </c>
      <c r="AK65" s="362" t="s">
        <v>608</v>
      </c>
      <c r="AL65" s="358" t="s">
        <v>199</v>
      </c>
      <c r="AM65" s="349"/>
      <c r="AN65" s="349" t="s">
        <v>104</v>
      </c>
      <c r="AO65" s="349"/>
      <c r="AP65" s="349"/>
      <c r="AQ65" s="349"/>
      <c r="AR65" s="453"/>
      <c r="AS65" s="371" t="s">
        <v>88</v>
      </c>
      <c r="AT65" s="345"/>
      <c r="AU65" s="345"/>
      <c r="AV65" s="345"/>
      <c r="AW65" s="345" t="s">
        <v>179</v>
      </c>
      <c r="AX65" s="345" t="s">
        <v>609</v>
      </c>
      <c r="AY65" s="345"/>
      <c r="AZ65" s="421" t="s">
        <v>610</v>
      </c>
      <c r="BA65" s="345"/>
      <c r="BB65" s="345"/>
      <c r="BC65" s="345"/>
      <c r="BD65" s="345"/>
      <c r="BE65" s="345"/>
      <c r="BF65" s="345"/>
      <c r="BG65" s="345"/>
      <c r="BH65" s="345"/>
      <c r="BI65" s="345"/>
      <c r="BJ65" s="364">
        <f>COUNTIF(AT65:BI65,"*OP*")</f>
        <v>2</v>
      </c>
      <c r="BK65" s="363" t="s">
        <v>89</v>
      </c>
      <c r="BL65" s="349">
        <f>(COUNTIF(AT65:AV65,"*OK*")*3) + (COUNTIF(AW65:AY65,"*OK*")*2) + COUNTIF(AZ65:BB65,"*OK*")+COUNTIF(BK65:BK65,"SI")*0.5</f>
        <v>1</v>
      </c>
      <c r="BM65" s="349" t="str">
        <f>IF(BL65&lt;0.6,"Demasiado Riesgo",IF(BL65&lt;=5,"Riesgo Medio",IF(BL65&lt;=11,"Riesgo Bajo","Cliente Blindado")))</f>
        <v>Riesgo Medio</v>
      </c>
      <c r="BN65" s="349"/>
      <c r="BO65" s="328"/>
      <c r="BP65" s="328">
        <v>0</v>
      </c>
      <c r="BQ65" s="328"/>
      <c r="BR65" s="328"/>
      <c r="BS65" s="328"/>
      <c r="BT65" s="328"/>
      <c r="BU65" s="328"/>
      <c r="BV65" s="328"/>
      <c r="BW65" s="328"/>
      <c r="BX65" s="328"/>
      <c r="BY65" s="328"/>
      <c r="BZ65" s="328"/>
      <c r="CA65" s="328"/>
      <c r="CB65" s="328"/>
      <c r="CC65" s="328"/>
      <c r="CD65" s="328"/>
      <c r="CE65" s="328"/>
      <c r="CF65" s="328"/>
      <c r="CG65" s="328"/>
      <c r="CH65" s="328"/>
      <c r="CI65" s="328"/>
      <c r="CJ65" s="328"/>
      <c r="CK65" s="328"/>
      <c r="CL65" s="328">
        <f>COUNTIF(AT65:BH65,"*OK*")</f>
        <v>1</v>
      </c>
      <c r="CM65" s="328"/>
      <c r="CN65" s="328">
        <f>COUNTIF(AT65:BH65,"*OP*")</f>
        <v>2</v>
      </c>
    </row>
    <row r="66" spans="1:94" ht="14.25" customHeight="1">
      <c r="A66" s="835">
        <v>36858</v>
      </c>
      <c r="B66" s="560" t="s">
        <v>611</v>
      </c>
      <c r="C66" s="329">
        <f t="shared" si="2"/>
        <v>776.49009999999998</v>
      </c>
      <c r="D66" s="352">
        <f>COUNTIF(AT66:BH66,"*OK*")</f>
        <v>0</v>
      </c>
      <c r="E66" s="331" t="s">
        <v>73</v>
      </c>
      <c r="F66" s="856" t="s">
        <v>612</v>
      </c>
      <c r="G66" s="622"/>
      <c r="H66" s="650">
        <f>IF(LEN(TRIM($G66&amp;""))=0, $C66, SUMIF($G$3:$G$561, TRIM($G66), $C$3:$C$561))</f>
        <v>776.49009999999998</v>
      </c>
      <c r="I66" s="353" t="s">
        <v>76</v>
      </c>
      <c r="J66" s="351"/>
      <c r="K66" s="558"/>
      <c r="L66" s="558" t="str">
        <f>HYPERLINK("https://crm.zoho.com/crm/org685875245/tab/Accounts/3525045000587145112","https://crm.zoho.com/crm/org685875245/tab/Accounts/3525045000587145112")</f>
        <v>https://crm.zoho.com/crm/org685875245/tab/Accounts/3525045000587145112</v>
      </c>
      <c r="M66" s="553" t="s">
        <v>77</v>
      </c>
      <c r="N66" s="558" t="s">
        <v>613</v>
      </c>
      <c r="O66" s="559" t="s">
        <v>614</v>
      </c>
      <c r="P66" s="559" t="s">
        <v>615</v>
      </c>
      <c r="Q66" s="559" t="s">
        <v>616</v>
      </c>
      <c r="R66" s="558" t="s">
        <v>171</v>
      </c>
      <c r="S66" s="352"/>
      <c r="T66" s="420"/>
      <c r="U66" s="354" t="s">
        <v>617</v>
      </c>
      <c r="V66" s="355"/>
      <c r="W66" s="355"/>
      <c r="X66" s="355">
        <v>1573.95</v>
      </c>
      <c r="Y66" s="356">
        <v>755.87</v>
      </c>
      <c r="Z66" s="337">
        <v>757.37879999999996</v>
      </c>
      <c r="AA66" s="365">
        <v>738.79</v>
      </c>
      <c r="AB66" s="365">
        <v>760.57899999999995</v>
      </c>
      <c r="AC66" s="635">
        <v>800.96699999999998</v>
      </c>
      <c r="AD66" s="365">
        <v>776.49009999999998</v>
      </c>
      <c r="AE66" s="357">
        <v>412</v>
      </c>
      <c r="AF66" s="358">
        <v>400</v>
      </c>
      <c r="AG66" s="354"/>
      <c r="AH66" s="359"/>
      <c r="AI66" s="370" t="s">
        <v>618</v>
      </c>
      <c r="AJ66" s="361">
        <v>6</v>
      </c>
      <c r="AK66" s="362" t="s">
        <v>619</v>
      </c>
      <c r="AL66" s="358" t="s">
        <v>222</v>
      </c>
      <c r="AM66" s="349"/>
      <c r="AN66" s="349"/>
      <c r="AO66" s="349"/>
      <c r="AP66" s="349"/>
      <c r="AQ66" s="349"/>
      <c r="AR66" s="453"/>
      <c r="AS66" s="371" t="s">
        <v>103</v>
      </c>
      <c r="AT66" s="345"/>
      <c r="AU66" s="345"/>
      <c r="AV66" s="345"/>
      <c r="AW66" s="345"/>
      <c r="AX66" s="345"/>
      <c r="AY66" s="345" t="s">
        <v>173</v>
      </c>
      <c r="AZ66" s="345"/>
      <c r="BA66" s="345"/>
      <c r="BB66" s="345"/>
      <c r="BC66" s="345"/>
      <c r="BD66" s="345"/>
      <c r="BE66" s="345"/>
      <c r="BF66" s="345"/>
      <c r="BG66" s="345"/>
      <c r="BH66" s="345"/>
      <c r="BI66" s="345"/>
      <c r="BJ66" s="364">
        <f>COUNTIF(AT66:BI66,"*OP*")</f>
        <v>1</v>
      </c>
      <c r="BK66" s="363" t="s">
        <v>103</v>
      </c>
      <c r="BL66" s="349">
        <f>(COUNTIF(AT66:AV66,"*OK*")*3) + (COUNTIF(AW66:AY66,"*OK*")*2) + COUNTIF(AZ66:BB66,"*OK*")+COUNTIF(BK66:BK66,"SI")*0.5</f>
        <v>0</v>
      </c>
      <c r="BM66" s="349" t="str">
        <f>IF(BL66&lt;0.6,"Demasiado Riesgo",IF(BL66&lt;=5,"Riesgo Medio",IF(BL66&lt;=11,"Riesgo Bajo","Cliente Blindado")))</f>
        <v>Demasiado Riesgo</v>
      </c>
      <c r="BN66" s="349"/>
      <c r="BO66" s="349"/>
      <c r="BP66" s="349">
        <v>0</v>
      </c>
      <c r="BQ66" s="349"/>
      <c r="BR66" s="349"/>
      <c r="BS66" s="349"/>
      <c r="BT66" s="349"/>
      <c r="BU66" s="349"/>
      <c r="BV66" s="349"/>
      <c r="BW66" s="349"/>
      <c r="BX66" s="349"/>
      <c r="BY66" s="349"/>
      <c r="BZ66" s="349"/>
      <c r="CA66" s="349"/>
      <c r="CB66" s="349"/>
      <c r="CC66" s="349"/>
      <c r="CD66" s="349"/>
      <c r="CE66" s="349"/>
      <c r="CF66" s="349"/>
      <c r="CG66" s="349"/>
      <c r="CH66" s="349"/>
      <c r="CI66" s="349"/>
      <c r="CJ66" s="349"/>
      <c r="CK66" s="349"/>
      <c r="CL66" s="349">
        <f>COUNTIF(AT66:BH66,"*OK*")</f>
        <v>0</v>
      </c>
      <c r="CM66" s="349"/>
      <c r="CN66" s="349">
        <f>COUNTIF(AT66:BH66,"*OP*")</f>
        <v>1</v>
      </c>
    </row>
    <row r="67" spans="1:94" ht="14.25" customHeight="1">
      <c r="A67" s="834" t="s">
        <v>620</v>
      </c>
      <c r="B67" s="560" t="s">
        <v>621</v>
      </c>
      <c r="C67" s="329">
        <f t="shared" si="2"/>
        <v>708.26710000000003</v>
      </c>
      <c r="D67" s="332">
        <f>COUNTIF(AT67:BH67,"*OK*")</f>
        <v>0</v>
      </c>
      <c r="E67" s="331" t="s">
        <v>93</v>
      </c>
      <c r="F67" s="331" t="s">
        <v>622</v>
      </c>
      <c r="G67" s="533" t="s">
        <v>623</v>
      </c>
      <c r="H67" s="650">
        <f>IF(LEN(TRIM($G67&amp;""))=0, $C67, SUMIF($G$3:$G$561, TRIM($G67), $C$3:$C$561))</f>
        <v>708.26710000000003</v>
      </c>
      <c r="I67" s="333" t="s">
        <v>76</v>
      </c>
      <c r="J67" s="331"/>
      <c r="K67" s="328"/>
      <c r="L67" s="328"/>
      <c r="M67" s="341" t="s">
        <v>77</v>
      </c>
      <c r="N67" s="341"/>
      <c r="O67" s="548" t="s">
        <v>624</v>
      </c>
      <c r="P67" s="548" t="s">
        <v>625</v>
      </c>
      <c r="Q67" s="548" t="s">
        <v>626</v>
      </c>
      <c r="R67" s="341"/>
      <c r="S67" s="341"/>
      <c r="T67" s="331"/>
      <c r="U67" s="344" t="s">
        <v>233</v>
      </c>
      <c r="V67" s="335">
        <v>744.41</v>
      </c>
      <c r="W67" s="335">
        <v>720.75</v>
      </c>
      <c r="X67" s="335">
        <v>700.8</v>
      </c>
      <c r="Y67" s="336">
        <v>725.41</v>
      </c>
      <c r="Z67" s="337">
        <v>760.1662</v>
      </c>
      <c r="AA67" s="347">
        <v>735.35</v>
      </c>
      <c r="AB67" s="347">
        <v>762.32770000000005</v>
      </c>
      <c r="AC67" s="638">
        <v>791.15</v>
      </c>
      <c r="AD67" s="347">
        <v>708.26710000000003</v>
      </c>
      <c r="AE67" s="339">
        <v>479</v>
      </c>
      <c r="AF67" s="340">
        <v>2000</v>
      </c>
      <c r="AG67" s="334"/>
      <c r="AH67" s="341"/>
      <c r="AI67" s="342" t="s">
        <v>83</v>
      </c>
      <c r="AJ67" s="343" t="s">
        <v>234</v>
      </c>
      <c r="AK67" s="344" t="s">
        <v>627</v>
      </c>
      <c r="AL67" s="340" t="s">
        <v>103</v>
      </c>
      <c r="AM67" s="328"/>
      <c r="AN67" s="328" t="s">
        <v>152</v>
      </c>
      <c r="AO67" s="328"/>
      <c r="AP67" s="328"/>
      <c r="AQ67" s="328"/>
      <c r="AR67" s="451"/>
      <c r="AS67" s="344" t="s">
        <v>88</v>
      </c>
      <c r="AT67" s="345"/>
      <c r="AU67" s="345"/>
      <c r="AV67" s="345"/>
      <c r="AW67" s="345"/>
      <c r="AX67" s="345"/>
      <c r="AY67" s="345"/>
      <c r="AZ67" s="345"/>
      <c r="BA67" s="345"/>
      <c r="BB67" s="345"/>
      <c r="BC67" s="345"/>
      <c r="BD67" s="345"/>
      <c r="BE67" s="345"/>
      <c r="BF67" s="345"/>
      <c r="BG67" s="345"/>
      <c r="BH67" s="345"/>
      <c r="BI67" s="345"/>
      <c r="BJ67" s="364">
        <f>COUNTIF(AT67:BI67,"*OP*")</f>
        <v>0</v>
      </c>
      <c r="BK67" s="375" t="s">
        <v>89</v>
      </c>
      <c r="BL67" s="328">
        <f>(COUNTIF(AT67:AV67,"*OK*")*3) + (COUNTIF(AW67:AY67,"*OK*")*2) + COUNTIF(AZ67:BB67,"*OK*")+COUNTIF(BK67:BK67,"SI")*0.5</f>
        <v>0</v>
      </c>
      <c r="BM67" s="328" t="str">
        <f>IF(BL67&lt;0.6,"Demasiado Riesgo",IF(BL67&lt;=5,"Riesgo Medio",IF(BL67&lt;=11,"Riesgo Bajo","Cliente Blindado")))</f>
        <v>Demasiado Riesgo</v>
      </c>
      <c r="BN67" s="328"/>
      <c r="BO67" s="328"/>
      <c r="BP67" s="328">
        <v>0</v>
      </c>
      <c r="BQ67" s="328"/>
      <c r="BR67" s="328"/>
      <c r="BS67" s="328"/>
      <c r="BT67" s="328"/>
      <c r="BU67" s="328"/>
      <c r="BV67" s="328"/>
      <c r="BW67" s="328"/>
      <c r="BX67" s="328"/>
      <c r="BY67" s="328"/>
      <c r="BZ67" s="328"/>
      <c r="CA67" s="328"/>
      <c r="CB67" s="328"/>
      <c r="CC67" s="328"/>
      <c r="CD67" s="328"/>
      <c r="CE67" s="328"/>
      <c r="CF67" s="328"/>
      <c r="CG67" s="328"/>
      <c r="CH67" s="328"/>
      <c r="CI67" s="328"/>
      <c r="CJ67" s="328"/>
      <c r="CK67" s="328"/>
      <c r="CL67" s="328">
        <f>COUNTIF(AT67:BH67,"*OK*")</f>
        <v>0</v>
      </c>
      <c r="CM67" s="328"/>
      <c r="CN67" s="328">
        <f>COUNTIF(AT67:BH67,"*OP*")</f>
        <v>0</v>
      </c>
      <c r="CO67" s="425"/>
    </row>
    <row r="68" spans="1:94" s="425" customFormat="1" ht="14.25" customHeight="1">
      <c r="A68" s="834">
        <v>30644</v>
      </c>
      <c r="B68" s="560" t="s">
        <v>628</v>
      </c>
      <c r="C68" s="329">
        <f t="shared" ref="C68:C131" si="3">AD68</f>
        <v>746.35769999999991</v>
      </c>
      <c r="D68" s="332">
        <f>COUNTIF(AT68:BH68,"*OK*")</f>
        <v>1</v>
      </c>
      <c r="E68" s="331" t="s">
        <v>93</v>
      </c>
      <c r="F68" s="331" t="s">
        <v>629</v>
      </c>
      <c r="G68" s="622" t="s">
        <v>137</v>
      </c>
      <c r="H68" s="650">
        <f>IF(LEN(TRIM($G68&amp;""))=0, $C68, SUMIF($G$3:$G$561, TRIM($G68), $C$3:$C$561))</f>
        <v>4176.8212999999996</v>
      </c>
      <c r="I68" s="410" t="s">
        <v>76</v>
      </c>
      <c r="J68" s="331"/>
      <c r="K68" s="328"/>
      <c r="L68" s="328" t="str">
        <f>HYPERLINK("https://crm.zoho.com/crm/org685875245/tab/Accounts/3525045000480423000","https://crm.zoho.com/crm/org685875245/tab/Accounts/3525045000480423000")</f>
        <v>https://crm.zoho.com/crm/org685875245/tab/Accounts/3525045000480423000</v>
      </c>
      <c r="M68" s="341" t="s">
        <v>77</v>
      </c>
      <c r="N68" s="341"/>
      <c r="O68" s="548" t="s">
        <v>82</v>
      </c>
      <c r="P68" s="548"/>
      <c r="Q68" s="548"/>
      <c r="R68" s="341"/>
      <c r="S68" s="341"/>
      <c r="T68" s="331"/>
      <c r="U68" s="344" t="s">
        <v>142</v>
      </c>
      <c r="V68" s="335">
        <v>606.61</v>
      </c>
      <c r="W68" s="335">
        <v>606.04999999999995</v>
      </c>
      <c r="X68" s="335">
        <v>668.02</v>
      </c>
      <c r="Y68" s="336">
        <v>667.97</v>
      </c>
      <c r="Z68" s="337">
        <v>674.53510000000006</v>
      </c>
      <c r="AA68" s="338">
        <v>710.34</v>
      </c>
      <c r="AB68" s="338">
        <v>728.42719999999997</v>
      </c>
      <c r="AC68" s="634">
        <v>791.10900000000004</v>
      </c>
      <c r="AD68" s="338">
        <v>746.35769999999991</v>
      </c>
      <c r="AE68" s="339">
        <v>1624</v>
      </c>
      <c r="AF68" s="340">
        <v>200</v>
      </c>
      <c r="AG68" s="334"/>
      <c r="AH68" s="341"/>
      <c r="AI68" s="342" t="s">
        <v>83</v>
      </c>
      <c r="AJ68" s="343" t="s">
        <v>297</v>
      </c>
      <c r="AK68" s="344" t="s">
        <v>630</v>
      </c>
      <c r="AL68" s="340" t="s">
        <v>103</v>
      </c>
      <c r="AM68" s="328"/>
      <c r="AN68" s="328" t="s">
        <v>104</v>
      </c>
      <c r="AO68" s="328"/>
      <c r="AP68" s="328"/>
      <c r="AQ68" s="328"/>
      <c r="AR68" s="451"/>
      <c r="AS68" s="344" t="s">
        <v>88</v>
      </c>
      <c r="AT68" s="345"/>
      <c r="AU68" s="345"/>
      <c r="AV68" s="345" t="s">
        <v>631</v>
      </c>
      <c r="AW68" s="345"/>
      <c r="AX68" s="345" t="s">
        <v>173</v>
      </c>
      <c r="AY68" s="421" t="s">
        <v>337</v>
      </c>
      <c r="AZ68" s="345"/>
      <c r="BA68" s="345"/>
      <c r="BB68" s="345"/>
      <c r="BC68" s="345"/>
      <c r="BD68" s="345"/>
      <c r="BE68" s="345"/>
      <c r="BF68" s="345"/>
      <c r="BG68" s="345"/>
      <c r="BH68" s="345"/>
      <c r="BI68" s="345"/>
      <c r="BJ68" s="364">
        <f>COUNTIF(AT68:BI68,"*OP*")</f>
        <v>2</v>
      </c>
      <c r="BK68" s="375" t="s">
        <v>89</v>
      </c>
      <c r="BL68" s="328">
        <f>(COUNTIF(AT68:AV68,"*OK*")*3) + (COUNTIF(AW68:AY68,"*OK*")*2) + COUNTIF(AZ68:BB68,"*OK*")+COUNTIF(BK68:BK68,"SI")*0.5</f>
        <v>2</v>
      </c>
      <c r="BM68" s="328" t="str">
        <f>IF(BL68&lt;0.6,"Demasiado Riesgo",IF(BL68&lt;=5,"Riesgo Medio",IF(BL68&lt;=11,"Riesgo Bajo","Cliente Blindado")))</f>
        <v>Riesgo Medio</v>
      </c>
      <c r="BN68" s="328"/>
      <c r="BO68" s="328"/>
      <c r="BP68" s="328">
        <v>0</v>
      </c>
      <c r="BQ68" s="328"/>
      <c r="BR68" s="328"/>
      <c r="BS68" s="328"/>
      <c r="BT68" s="328"/>
      <c r="BU68" s="328"/>
      <c r="BV68" s="328"/>
      <c r="BW68" s="328"/>
      <c r="BX68" s="328"/>
      <c r="BY68" s="328"/>
      <c r="BZ68" s="328"/>
      <c r="CA68" s="328"/>
      <c r="CB68" s="328"/>
      <c r="CC68" s="328"/>
      <c r="CD68" s="328"/>
      <c r="CE68" s="328"/>
      <c r="CF68" s="328"/>
      <c r="CG68" s="328"/>
      <c r="CH68" s="328"/>
      <c r="CI68" s="328"/>
      <c r="CJ68" s="328"/>
      <c r="CK68" s="328"/>
      <c r="CL68" s="328">
        <f>COUNTIF(AT68:BH68,"*OK*")</f>
        <v>1</v>
      </c>
      <c r="CM68" s="328"/>
      <c r="CN68" s="328">
        <f>COUNTIF(AT68:BH68,"*OP*")</f>
        <v>2</v>
      </c>
      <c r="CO68" s="287"/>
      <c r="CP68" s="287"/>
    </row>
    <row r="69" spans="1:94" ht="14.25" customHeight="1">
      <c r="A69" s="835">
        <v>27187</v>
      </c>
      <c r="B69" s="560" t="s">
        <v>632</v>
      </c>
      <c r="C69" s="329">
        <f t="shared" si="3"/>
        <v>724.27599999999995</v>
      </c>
      <c r="D69" s="352">
        <f>COUNTIF(AT69:BH69,"*OK*")</f>
        <v>3</v>
      </c>
      <c r="E69" s="351" t="s">
        <v>439</v>
      </c>
      <c r="F69" s="821" t="s">
        <v>633</v>
      </c>
      <c r="G69" s="622"/>
      <c r="H69" s="650">
        <f>IF(LEN(TRIM($G69&amp;""))=0, $C69, SUMIF($G$3:$G$561, TRIM($G69), $C$3:$C$561))</f>
        <v>724.27599999999995</v>
      </c>
      <c r="I69" s="413" t="s">
        <v>76</v>
      </c>
      <c r="J69" s="351"/>
      <c r="K69" s="349"/>
      <c r="L69" s="349" t="str">
        <f>HYPERLINK("https://crm.zoho.com/crm/org685875245/tab/Accounts/3525045000385457715","https://crm.zoho.com/crm/org685875245/tab/Accounts/3525045000385457715")</f>
        <v>https://crm.zoho.com/crm/org685875245/tab/Accounts/3525045000385457715</v>
      </c>
      <c r="M69" s="553" t="s">
        <v>77</v>
      </c>
      <c r="N69" s="352" t="s">
        <v>634</v>
      </c>
      <c r="O69" s="540" t="s">
        <v>635</v>
      </c>
      <c r="P69" s="540"/>
      <c r="Q69" s="544" t="s">
        <v>636</v>
      </c>
      <c r="R69" s="352"/>
      <c r="S69" s="352"/>
      <c r="T69" s="351"/>
      <c r="U69" s="354" t="s">
        <v>82</v>
      </c>
      <c r="V69" s="355">
        <v>141.46</v>
      </c>
      <c r="W69" s="355">
        <v>141.33000000000001</v>
      </c>
      <c r="X69" s="355">
        <v>134.68</v>
      </c>
      <c r="Y69" s="356">
        <v>817.67</v>
      </c>
      <c r="Z69" s="337">
        <v>844.79459999999995</v>
      </c>
      <c r="AA69" s="347">
        <v>828.35</v>
      </c>
      <c r="AB69" s="347">
        <v>796.52260000000001</v>
      </c>
      <c r="AC69" s="638">
        <v>770.09490000000005</v>
      </c>
      <c r="AD69" s="347">
        <v>724.27599999999995</v>
      </c>
      <c r="AE69" s="357">
        <v>178</v>
      </c>
      <c r="AF69" s="358">
        <v>200</v>
      </c>
      <c r="AG69" s="354"/>
      <c r="AH69" s="359"/>
      <c r="AI69" s="360" t="s">
        <v>83</v>
      </c>
      <c r="AJ69" s="361" t="s">
        <v>130</v>
      </c>
      <c r="AK69" s="362" t="s">
        <v>637</v>
      </c>
      <c r="AL69" s="358" t="s">
        <v>103</v>
      </c>
      <c r="AM69" s="349"/>
      <c r="AN69" s="349"/>
      <c r="AO69" s="349"/>
      <c r="AP69" s="349"/>
      <c r="AQ69" s="349"/>
      <c r="AR69" s="453"/>
      <c r="AS69" s="363" t="s">
        <v>103</v>
      </c>
      <c r="AT69" s="345" t="s">
        <v>638</v>
      </c>
      <c r="AU69" s="345"/>
      <c r="AV69" s="345" t="s">
        <v>638</v>
      </c>
      <c r="AW69" s="345"/>
      <c r="AX69" s="345" t="s">
        <v>638</v>
      </c>
      <c r="AY69" s="345"/>
      <c r="AZ69" s="345"/>
      <c r="BA69" s="345"/>
      <c r="BB69" s="345"/>
      <c r="BC69" s="345"/>
      <c r="BD69" s="345"/>
      <c r="BE69" s="345"/>
      <c r="BF69" s="345"/>
      <c r="BG69" s="345"/>
      <c r="BH69" s="345"/>
      <c r="BI69" s="345" t="s">
        <v>300</v>
      </c>
      <c r="BJ69" s="364">
        <f>COUNTIF(AT69:BI69,"*OP*")</f>
        <v>0</v>
      </c>
      <c r="BK69" s="363" t="s">
        <v>103</v>
      </c>
      <c r="BL69" s="349">
        <f>(COUNTIF(AT69:AV69,"*OK*")*3) + (COUNTIF(AW69:AY69,"*OK*")*2) + COUNTIF(AZ69:BB69,"*OK*")+COUNTIF(BK69:BK69,"SI")*0.5</f>
        <v>8</v>
      </c>
      <c r="BM69" s="349" t="str">
        <f>IF(BL69&lt;0.6,"Demasiado Riesgo",IF(BL69&lt;=5,"Riesgo Medio",IF(BL69&lt;=11,"Riesgo Bajo","Cliente Blindado")))</f>
        <v>Riesgo Bajo</v>
      </c>
      <c r="BN69" s="349"/>
      <c r="BO69" s="349"/>
      <c r="BP69" s="349"/>
      <c r="BQ69" s="349"/>
      <c r="BR69" s="349"/>
      <c r="BS69" s="349"/>
      <c r="BT69" s="349"/>
      <c r="BU69" s="349"/>
      <c r="BV69" s="349"/>
      <c r="BW69" s="349"/>
      <c r="BX69" s="349"/>
      <c r="BY69" s="349"/>
      <c r="BZ69" s="349"/>
      <c r="CA69" s="349"/>
      <c r="CB69" s="349"/>
      <c r="CC69" s="349"/>
      <c r="CD69" s="349"/>
      <c r="CE69" s="349"/>
      <c r="CF69" s="349"/>
      <c r="CG69" s="349"/>
      <c r="CH69" s="349"/>
      <c r="CI69" s="349"/>
      <c r="CJ69" s="349"/>
      <c r="CK69" s="349"/>
      <c r="CL69" s="349">
        <f>COUNTIF(AT69:BH69,"*OK*")</f>
        <v>3</v>
      </c>
      <c r="CM69" s="349"/>
      <c r="CN69" s="349">
        <f>COUNTIF(AT69:BH69,"*OP*")</f>
        <v>0</v>
      </c>
    </row>
    <row r="70" spans="1:94" s="425" customFormat="1" ht="14.25" customHeight="1">
      <c r="A70" s="835">
        <v>38133</v>
      </c>
      <c r="B70" s="560" t="s">
        <v>639</v>
      </c>
      <c r="C70" s="329">
        <f t="shared" si="3"/>
        <v>705.73950000000002</v>
      </c>
      <c r="D70" s="352">
        <f>COUNTIF(AX70:BI70,"OK")</f>
        <v>0</v>
      </c>
      <c r="E70" s="500" t="s">
        <v>439</v>
      </c>
      <c r="F70" s="825" t="s">
        <v>640</v>
      </c>
      <c r="G70" s="536"/>
      <c r="H70" s="650">
        <f>IF(LEN(TRIM($G70&amp;""))=0, $C70, SUMIF($G$3:$G$561, TRIM($G70), $C$3:$C$561))</f>
        <v>705.73950000000002</v>
      </c>
      <c r="I70" s="500" t="s">
        <v>76</v>
      </c>
      <c r="J70" s="500" t="s">
        <v>103</v>
      </c>
      <c r="K70" s="349"/>
      <c r="L70" s="349"/>
      <c r="M70" s="553" t="s">
        <v>77</v>
      </c>
      <c r="N70" s="500" t="s">
        <v>641</v>
      </c>
      <c r="O70" s="542" t="s">
        <v>138</v>
      </c>
      <c r="P70" s="542" t="s">
        <v>642</v>
      </c>
      <c r="Q70" s="542" t="s">
        <v>643</v>
      </c>
      <c r="R70" s="500"/>
      <c r="S70" s="500" t="s">
        <v>103</v>
      </c>
      <c r="T70" s="500" t="s">
        <v>88</v>
      </c>
      <c r="U70" s="467" t="s">
        <v>103</v>
      </c>
      <c r="V70" s="500" t="s">
        <v>103</v>
      </c>
      <c r="W70" s="500" t="s">
        <v>103</v>
      </c>
      <c r="X70" s="500" t="s">
        <v>103</v>
      </c>
      <c r="Y70" s="511" t="s">
        <v>103</v>
      </c>
      <c r="Z70" s="517" t="s">
        <v>103</v>
      </c>
      <c r="AA70" s="518">
        <v>769.07</v>
      </c>
      <c r="AB70" s="518">
        <v>741.21879999999999</v>
      </c>
      <c r="AC70" s="639">
        <v>756.01900000000001</v>
      </c>
      <c r="AD70" s="518">
        <v>705.73950000000002</v>
      </c>
      <c r="AE70" s="348">
        <v>248</v>
      </c>
      <c r="AF70" s="371" t="s">
        <v>103</v>
      </c>
      <c r="AG70" s="362"/>
      <c r="AH70" s="349"/>
      <c r="AI70" s="361"/>
      <c r="AJ70" s="361"/>
      <c r="AK70" s="362"/>
      <c r="AL70" s="371" t="s">
        <v>103</v>
      </c>
      <c r="AM70" s="349"/>
      <c r="AN70" s="349"/>
      <c r="AO70" s="349"/>
      <c r="AP70" s="349"/>
      <c r="AQ70" s="349"/>
      <c r="AR70" s="453"/>
      <c r="AS70" s="449"/>
      <c r="AT70" s="345" t="s">
        <v>644</v>
      </c>
      <c r="AU70" s="345"/>
      <c r="AV70" s="345" t="s">
        <v>644</v>
      </c>
      <c r="AW70" s="345"/>
      <c r="AX70" s="345" t="s">
        <v>299</v>
      </c>
      <c r="AY70" s="345"/>
      <c r="AZ70" s="345"/>
      <c r="BA70" s="345"/>
      <c r="BB70" s="345"/>
      <c r="BC70" s="345"/>
      <c r="BD70" s="345"/>
      <c r="BE70" s="345"/>
      <c r="BF70" s="345"/>
      <c r="BG70" s="345"/>
      <c r="BH70" s="345"/>
      <c r="BI70" s="345" t="s">
        <v>645</v>
      </c>
      <c r="BJ70" s="364">
        <f>COUNTIF(AT70:BI70,"*OP*")</f>
        <v>1</v>
      </c>
      <c r="BK70" s="450"/>
      <c r="BL70" s="349">
        <f>(COUNTIF(AT70:AV70,"*OK*")*3) + (COUNTIF(AW70:AY70,"*OK*")*2) + COUNTIF(AZ70:BB70,"*OK*")+COUNTIF(BK70:BK70,"SI")*0.5</f>
        <v>8</v>
      </c>
      <c r="BM70" s="349" t="str">
        <f>IF(BL70&lt;0.6,"Demasiado Riesgo",IF(BL70&lt;=5,"Riesgo Medio",IF(BL70&lt;=11,"Riesgo Bajo","Cliente Blindado")))</f>
        <v>Riesgo Bajo</v>
      </c>
      <c r="BN70" s="349"/>
      <c r="BO70" s="349"/>
      <c r="BP70" s="349">
        <v>0</v>
      </c>
      <c r="BQ70" s="349"/>
      <c r="BR70" s="349"/>
      <c r="BS70" s="349"/>
      <c r="BT70" s="349"/>
      <c r="BU70" s="349"/>
      <c r="BV70" s="349"/>
      <c r="BW70" s="349"/>
      <c r="BX70" s="349"/>
      <c r="BY70" s="349"/>
      <c r="BZ70" s="349"/>
      <c r="CA70" s="349"/>
      <c r="CB70" s="349"/>
      <c r="CC70" s="349"/>
      <c r="CD70" s="349"/>
      <c r="CE70" s="349"/>
      <c r="CF70" s="349"/>
      <c r="CG70" s="349"/>
      <c r="CH70" s="349"/>
      <c r="CI70" s="349"/>
      <c r="CJ70" s="349"/>
      <c r="CK70" s="349"/>
      <c r="CL70" s="349">
        <f>COUNTIF(AT70:BH70,"*OK*")</f>
        <v>3</v>
      </c>
      <c r="CM70" s="349"/>
      <c r="CN70" s="349">
        <f>COUNTIF(AT70:BH70,"*OP*")</f>
        <v>0</v>
      </c>
      <c r="CO70" s="287"/>
      <c r="CP70" s="287"/>
    </row>
    <row r="71" spans="1:94" ht="14.25" customHeight="1">
      <c r="A71" s="836">
        <v>23418</v>
      </c>
      <c r="B71" s="560" t="s">
        <v>646</v>
      </c>
      <c r="C71" s="329">
        <f t="shared" si="3"/>
        <v>593.54300000000001</v>
      </c>
      <c r="D71" s="352">
        <f>COUNTIF(AT71:BH71,"*OK*")</f>
        <v>0</v>
      </c>
      <c r="E71" s="331" t="s">
        <v>73</v>
      </c>
      <c r="F71" s="431" t="s">
        <v>647</v>
      </c>
      <c r="G71" s="533"/>
      <c r="H71" s="650">
        <f>IF(LEN(TRIM($G71&amp;""))=0, $C71, SUMIF($G$3:$G$561, TRIM($G71), $C$3:$C$561))</f>
        <v>593.54300000000001</v>
      </c>
      <c r="I71" s="410" t="s">
        <v>76</v>
      </c>
      <c r="J71" s="331"/>
      <c r="K71" s="560"/>
      <c r="L71" s="560" t="str">
        <f>HYPERLINK("https://crm.zoho.com/crm/org685875245/tab/Accounts/3525045000256954023","https://crm.zoho.com/crm/org685875245/tab/Accounts/3525045000256954023")</f>
        <v>https://crm.zoho.com/crm/org685875245/tab/Accounts/3525045000256954023</v>
      </c>
      <c r="M71" s="391" t="s">
        <v>525</v>
      </c>
      <c r="N71" s="560" t="s">
        <v>648</v>
      </c>
      <c r="O71" s="561" t="s">
        <v>649</v>
      </c>
      <c r="P71" s="561" t="s">
        <v>650</v>
      </c>
      <c r="Q71" s="561" t="s">
        <v>651</v>
      </c>
      <c r="R71" s="558" t="s">
        <v>171</v>
      </c>
      <c r="S71" s="332"/>
      <c r="T71" s="331"/>
      <c r="U71" s="334" t="s">
        <v>394</v>
      </c>
      <c r="V71" s="335"/>
      <c r="W71" s="335"/>
      <c r="X71" s="335">
        <v>538.86</v>
      </c>
      <c r="Y71" s="336">
        <v>580.30999999999995</v>
      </c>
      <c r="Z71" s="337">
        <v>601.46849999999995</v>
      </c>
      <c r="AA71" s="347">
        <v>598.16999999999996</v>
      </c>
      <c r="AB71" s="347">
        <v>599.47569999999996</v>
      </c>
      <c r="AC71" s="638">
        <v>748.10609999999997</v>
      </c>
      <c r="AD71" s="347">
        <v>593.54300000000001</v>
      </c>
      <c r="AE71" s="339">
        <v>721</v>
      </c>
      <c r="AF71" s="340">
        <v>1000</v>
      </c>
      <c r="AG71" s="334"/>
      <c r="AH71" s="341" t="s">
        <v>83</v>
      </c>
      <c r="AI71" s="342" t="s">
        <v>83</v>
      </c>
      <c r="AJ71" s="343" t="s">
        <v>396</v>
      </c>
      <c r="AK71" s="344" t="s">
        <v>652</v>
      </c>
      <c r="AL71" s="340" t="s">
        <v>396</v>
      </c>
      <c r="AM71" s="328"/>
      <c r="AN71" s="328"/>
      <c r="AO71" s="328"/>
      <c r="AP71" s="328"/>
      <c r="AQ71" s="328"/>
      <c r="AR71" s="451" t="s">
        <v>653</v>
      </c>
      <c r="AS71" s="372" t="s">
        <v>88</v>
      </c>
      <c r="AT71" s="345"/>
      <c r="AU71" s="345"/>
      <c r="AV71" s="421" t="s">
        <v>654</v>
      </c>
      <c r="AW71" s="345"/>
      <c r="AX71" s="345"/>
      <c r="AY71" s="345"/>
      <c r="AZ71" s="345"/>
      <c r="BA71" s="345"/>
      <c r="BB71" s="345"/>
      <c r="BC71" s="345"/>
      <c r="BD71" s="345"/>
      <c r="BE71" s="345"/>
      <c r="BF71" s="345"/>
      <c r="BG71" s="345"/>
      <c r="BH71" s="345"/>
      <c r="BI71" s="345"/>
      <c r="BJ71" s="364">
        <f>COUNTIF(AT71:BI71,"*OP*")</f>
        <v>0</v>
      </c>
      <c r="BK71" s="344" t="s">
        <v>89</v>
      </c>
      <c r="BL71" s="328">
        <f>(COUNTIF(AT71:AV71,"*OK*")*3) + (COUNTIF(AW71:AY71,"*OK*")*2) + COUNTIF(AZ71:BB71,"*OK*")+COUNTIF(BK71:BK71,"SI")*0.5</f>
        <v>0</v>
      </c>
      <c r="BM71" s="328" t="str">
        <f>IF(BL71&lt;0.6,"Demasiado Riesgo",IF(BL71&lt;=5,"Riesgo Medio",IF(BL71&lt;=11,"Riesgo Bajo","Cliente Blindado")))</f>
        <v>Demasiado Riesgo</v>
      </c>
      <c r="BN71" s="328"/>
      <c r="BO71" s="349"/>
      <c r="BP71" s="349">
        <v>0</v>
      </c>
      <c r="BQ71" s="349"/>
      <c r="BR71" s="349"/>
      <c r="BS71" s="349"/>
      <c r="BT71" s="349"/>
      <c r="BU71" s="349"/>
      <c r="BV71" s="349"/>
      <c r="BW71" s="349"/>
      <c r="BX71" s="349"/>
      <c r="BY71" s="349"/>
      <c r="BZ71" s="349"/>
      <c r="CA71" s="349"/>
      <c r="CB71" s="349"/>
      <c r="CC71" s="349"/>
      <c r="CD71" s="349"/>
      <c r="CE71" s="349"/>
      <c r="CF71" s="349"/>
      <c r="CG71" s="349"/>
      <c r="CH71" s="349"/>
      <c r="CI71" s="349"/>
      <c r="CJ71" s="349"/>
      <c r="CK71" s="349"/>
      <c r="CL71" s="349">
        <f>COUNTIF(AT71:BH71,"*OK*")</f>
        <v>0</v>
      </c>
      <c r="CM71" s="349"/>
      <c r="CN71" s="349">
        <f>COUNTIF(AT71:BH71,"*OP*")</f>
        <v>0</v>
      </c>
    </row>
    <row r="72" spans="1:94" ht="14.25" customHeight="1">
      <c r="A72" s="836">
        <v>1207</v>
      </c>
      <c r="B72" s="560" t="s">
        <v>655</v>
      </c>
      <c r="C72" s="329">
        <f t="shared" si="3"/>
        <v>698.30460000000005</v>
      </c>
      <c r="D72" s="332">
        <f>COUNTIF(AT72:BH72,"*OK*")</f>
        <v>0</v>
      </c>
      <c r="E72" s="331" t="s">
        <v>73</v>
      </c>
      <c r="F72" s="429" t="s">
        <v>656</v>
      </c>
      <c r="G72" s="533"/>
      <c r="H72" s="650">
        <f>IF(LEN(TRIM($G72&amp;""))=0, $C72, SUMIF($G$3:$G$561, TRIM($G72), $C$3:$C$561))</f>
        <v>698.30460000000005</v>
      </c>
      <c r="I72" s="410" t="s">
        <v>76</v>
      </c>
      <c r="J72" s="331"/>
      <c r="K72" s="560"/>
      <c r="L72" s="560" t="str">
        <f>HYPERLINK("https://crm.zoho.com/crm/org685875245/tab/Accounts/3525045000008382277","https://crm.zoho.com/crm/org685875245/tab/Accounts/3525045000008382277")</f>
        <v>https://crm.zoho.com/crm/org685875245/tab/Accounts/3525045000008382277</v>
      </c>
      <c r="M72" s="391" t="s">
        <v>96</v>
      </c>
      <c r="N72" s="560" t="s">
        <v>657</v>
      </c>
      <c r="O72" s="561" t="s">
        <v>658</v>
      </c>
      <c r="P72" s="561" t="s">
        <v>659</v>
      </c>
      <c r="Q72" s="561" t="s">
        <v>660</v>
      </c>
      <c r="R72" s="558" t="s">
        <v>171</v>
      </c>
      <c r="S72" s="430" t="s">
        <v>284</v>
      </c>
      <c r="T72" s="331"/>
      <c r="U72" s="334" t="s">
        <v>82</v>
      </c>
      <c r="V72" s="335">
        <v>611.62</v>
      </c>
      <c r="W72" s="335">
        <v>661.98</v>
      </c>
      <c r="X72" s="335">
        <v>650.27</v>
      </c>
      <c r="Y72" s="336">
        <v>691.23</v>
      </c>
      <c r="Z72" s="337">
        <v>695.45920000000001</v>
      </c>
      <c r="AA72" s="347">
        <v>692.85</v>
      </c>
      <c r="AB72" s="347">
        <v>729.07719999999995</v>
      </c>
      <c r="AC72" s="638">
        <v>742.48059999999998</v>
      </c>
      <c r="AD72" s="347">
        <v>698.30460000000005</v>
      </c>
      <c r="AE72" s="339">
        <v>142</v>
      </c>
      <c r="AF72" s="340">
        <v>200</v>
      </c>
      <c r="AG72" s="334"/>
      <c r="AH72" s="341" t="s">
        <v>83</v>
      </c>
      <c r="AI72" s="342" t="s">
        <v>83</v>
      </c>
      <c r="AJ72" s="343" t="s">
        <v>143</v>
      </c>
      <c r="AK72" s="344" t="s">
        <v>661</v>
      </c>
      <c r="AL72" s="340" t="s">
        <v>662</v>
      </c>
      <c r="AM72" s="328"/>
      <c r="AN72" s="328"/>
      <c r="AO72" s="328"/>
      <c r="AP72" s="328"/>
      <c r="AQ72" s="328"/>
      <c r="AR72" s="451"/>
      <c r="AS72" s="372" t="s">
        <v>103</v>
      </c>
      <c r="AT72" s="345"/>
      <c r="AU72" s="345"/>
      <c r="AV72" s="345"/>
      <c r="AW72" s="345"/>
      <c r="AX72" s="345"/>
      <c r="AY72" s="345"/>
      <c r="AZ72" s="345"/>
      <c r="BA72" s="345"/>
      <c r="BB72" s="345"/>
      <c r="BC72" s="345"/>
      <c r="BD72" s="345"/>
      <c r="BE72" s="345"/>
      <c r="BF72" s="345"/>
      <c r="BG72" s="345"/>
      <c r="BH72" s="345"/>
      <c r="BI72" s="345"/>
      <c r="BJ72" s="364">
        <f>COUNTIF(AT72:BI72,"*OP*")</f>
        <v>0</v>
      </c>
      <c r="BK72" s="375" t="s">
        <v>103</v>
      </c>
      <c r="BL72" s="328">
        <f>(COUNTIF(AT72:AV72,"*OK*")*3) + (COUNTIF(AW72:AY72,"*OK*")*2) + COUNTIF(AZ72:BB72,"*OK*")+COUNTIF(BK72:BK72,"SI")*0.5</f>
        <v>0</v>
      </c>
      <c r="BM72" s="328" t="str">
        <f>IF(BL72&lt;0.6,"Demasiado Riesgo",IF(BL72&lt;=5,"Riesgo Medio",IF(BL72&lt;=11,"Riesgo Bajo","Cliente Blindado")))</f>
        <v>Demasiado Riesgo</v>
      </c>
      <c r="BN72" s="328"/>
      <c r="BO72" s="349"/>
      <c r="BP72" s="349">
        <v>0</v>
      </c>
      <c r="BQ72" s="349"/>
      <c r="BR72" s="349"/>
      <c r="BS72" s="349"/>
      <c r="BT72" s="349"/>
      <c r="BU72" s="349"/>
      <c r="BV72" s="349"/>
      <c r="BW72" s="349"/>
      <c r="BX72" s="349"/>
      <c r="BY72" s="349"/>
      <c r="BZ72" s="349"/>
      <c r="CA72" s="349"/>
      <c r="CB72" s="349"/>
      <c r="CC72" s="349"/>
      <c r="CD72" s="349"/>
      <c r="CE72" s="349"/>
      <c r="CF72" s="349"/>
      <c r="CG72" s="349"/>
      <c r="CH72" s="349"/>
      <c r="CI72" s="349"/>
      <c r="CJ72" s="349"/>
      <c r="CK72" s="349"/>
      <c r="CL72" s="349">
        <f>COUNTIF(AT72:BH72,"*OK*")</f>
        <v>0</v>
      </c>
      <c r="CM72" s="349"/>
      <c r="CN72" s="349">
        <f>COUNTIF(AT72:BH72,"*OP*")</f>
        <v>0</v>
      </c>
    </row>
    <row r="73" spans="1:94" ht="14.25" customHeight="1">
      <c r="A73" s="834">
        <v>26808</v>
      </c>
      <c r="B73" s="560" t="s">
        <v>228</v>
      </c>
      <c r="C73" s="329">
        <f t="shared" si="3"/>
        <v>649.00660000000005</v>
      </c>
      <c r="D73" s="332">
        <f>COUNTIF(AT73:BH73,"*OK*")</f>
        <v>1</v>
      </c>
      <c r="E73" s="331" t="s">
        <v>93</v>
      </c>
      <c r="F73" s="331" t="s">
        <v>663</v>
      </c>
      <c r="G73" s="533" t="s">
        <v>230</v>
      </c>
      <c r="H73" s="650">
        <f>IF(LEN(TRIM($G73&amp;""))=0, $C73, SUMIF($G$3:$G$561, TRIM($G73), $C$3:$C$561))</f>
        <v>3660.4305000000004</v>
      </c>
      <c r="I73" s="410" t="s">
        <v>76</v>
      </c>
      <c r="J73" s="331"/>
      <c r="K73" s="328"/>
      <c r="L73" s="328" t="str">
        <f>HYPERLINK("https://crm.zoho.com/crm/org685875245/tab/Accounts/3525045000269312009","https://crm.zoho.com/crm/org685875245/tab/Accounts/3525045000269312009")</f>
        <v>https://crm.zoho.com/crm/org685875245/tab/Accounts/3525045000269312009</v>
      </c>
      <c r="M73" s="341" t="s">
        <v>77</v>
      </c>
      <c r="N73" s="341"/>
      <c r="O73" s="548"/>
      <c r="P73" s="548"/>
      <c r="Q73" s="548"/>
      <c r="R73" s="341" t="s">
        <v>664</v>
      </c>
      <c r="S73" s="341"/>
      <c r="T73" s="331"/>
      <c r="U73" s="344" t="s">
        <v>82</v>
      </c>
      <c r="V73" s="335">
        <v>820.45</v>
      </c>
      <c r="W73" s="335">
        <v>788.45</v>
      </c>
      <c r="X73" s="335">
        <v>664.32</v>
      </c>
      <c r="Y73" s="336">
        <v>669.17</v>
      </c>
      <c r="Z73" s="337">
        <v>650.61789999999996</v>
      </c>
      <c r="AA73" s="338">
        <v>714.56</v>
      </c>
      <c r="AB73" s="338">
        <v>732.57579999999996</v>
      </c>
      <c r="AC73" s="634">
        <v>724.09770000000003</v>
      </c>
      <c r="AD73" s="338">
        <v>649.00660000000005</v>
      </c>
      <c r="AE73" s="339">
        <v>3424</v>
      </c>
      <c r="AF73" s="340">
        <v>3060</v>
      </c>
      <c r="AG73" s="334"/>
      <c r="AH73" s="341"/>
      <c r="AI73" s="342" t="s">
        <v>83</v>
      </c>
      <c r="AJ73" s="343" t="s">
        <v>113</v>
      </c>
      <c r="AK73" s="344" t="s">
        <v>665</v>
      </c>
      <c r="AL73" s="340" t="s">
        <v>103</v>
      </c>
      <c r="AM73" s="328"/>
      <c r="AN73" s="328" t="s">
        <v>236</v>
      </c>
      <c r="AO73" s="328"/>
      <c r="AP73" s="328"/>
      <c r="AQ73" s="328"/>
      <c r="AR73" s="451"/>
      <c r="AS73" s="372" t="s">
        <v>103</v>
      </c>
      <c r="AT73" s="345"/>
      <c r="AU73" s="345"/>
      <c r="AV73" s="345"/>
      <c r="AW73" s="421" t="s">
        <v>133</v>
      </c>
      <c r="AX73" s="345"/>
      <c r="AY73" s="345"/>
      <c r="AZ73" s="345"/>
      <c r="BA73" s="345"/>
      <c r="BB73" s="345"/>
      <c r="BC73" s="345"/>
      <c r="BD73" s="345"/>
      <c r="BE73" s="345"/>
      <c r="BF73" s="345"/>
      <c r="BG73" s="345"/>
      <c r="BH73" s="345"/>
      <c r="BI73" s="345"/>
      <c r="BJ73" s="364">
        <f>COUNTIF(AT73:BI73,"*OP*")</f>
        <v>0</v>
      </c>
      <c r="BK73" s="375" t="s">
        <v>103</v>
      </c>
      <c r="BL73" s="328">
        <f>(COUNTIF(AT73:AV73,"*OK*")*3) + (COUNTIF(AW73:AY73,"*OK*")*2) + COUNTIF(AZ73:BB73,"*OK*")+COUNTIF(BK73:BK73,"SI")*0.5</f>
        <v>2</v>
      </c>
      <c r="BM73" s="328" t="str">
        <f>IF(BL73&lt;0.6,"Demasiado Riesgo",IF(BL73&lt;=5,"Riesgo Medio",IF(BL73&lt;=11,"Riesgo Bajo","Cliente Blindado")))</f>
        <v>Riesgo Medio</v>
      </c>
      <c r="BN73" s="328"/>
      <c r="BO73" s="328"/>
      <c r="BP73" s="328">
        <v>0</v>
      </c>
      <c r="BQ73" s="328"/>
      <c r="BR73" s="328"/>
      <c r="BS73" s="328"/>
      <c r="BT73" s="328"/>
      <c r="BU73" s="328"/>
      <c r="BV73" s="328"/>
      <c r="BW73" s="328"/>
      <c r="BX73" s="328"/>
      <c r="BY73" s="328"/>
      <c r="BZ73" s="328"/>
      <c r="CA73" s="328"/>
      <c r="CB73" s="328"/>
      <c r="CC73" s="328"/>
      <c r="CD73" s="328"/>
      <c r="CE73" s="328"/>
      <c r="CF73" s="328"/>
      <c r="CG73" s="328"/>
      <c r="CH73" s="328"/>
      <c r="CI73" s="328"/>
      <c r="CJ73" s="328"/>
      <c r="CK73" s="328"/>
      <c r="CL73" s="328">
        <f>COUNTIF(AT73:BH73,"*OK*")</f>
        <v>1</v>
      </c>
      <c r="CM73" s="328"/>
      <c r="CN73" s="328">
        <f>COUNTIF(AT73:BH73,"*OP*")</f>
        <v>0</v>
      </c>
    </row>
    <row r="74" spans="1:94" ht="14.25" customHeight="1">
      <c r="A74" s="836">
        <v>21190</v>
      </c>
      <c r="B74" s="560" t="s">
        <v>666</v>
      </c>
      <c r="C74" s="329">
        <f t="shared" si="3"/>
        <v>665.46360000000004</v>
      </c>
      <c r="D74" s="332">
        <f>COUNTIF(AT74:BH74,"*OK*")</f>
        <v>0</v>
      </c>
      <c r="E74" s="331" t="s">
        <v>73</v>
      </c>
      <c r="F74" s="431" t="s">
        <v>667</v>
      </c>
      <c r="G74" s="331"/>
      <c r="H74" s="650">
        <f>IF(LEN(TRIM($G74&amp;""))=0, $C74, SUMIF($G$3:$G$561, TRIM($G74), $C$3:$C$561))</f>
        <v>665.46360000000004</v>
      </c>
      <c r="I74" s="410" t="s">
        <v>76</v>
      </c>
      <c r="J74" s="331"/>
      <c r="K74" s="560"/>
      <c r="L74" s="560" t="str">
        <f>HYPERLINK("https://crm.zoho.com/crm/org685875245/tab/Accounts/3525045000187101102","https://crm.zoho.com/crm/org685875245/tab/Accounts/3525045000187101102")</f>
        <v>https://crm.zoho.com/crm/org685875245/tab/Accounts/3525045000187101102</v>
      </c>
      <c r="M74" s="391" t="s">
        <v>96</v>
      </c>
      <c r="N74" s="560"/>
      <c r="O74" s="561" t="s">
        <v>668</v>
      </c>
      <c r="P74" s="561" t="s">
        <v>669</v>
      </c>
      <c r="Q74" s="561" t="s">
        <v>670</v>
      </c>
      <c r="R74" s="560" t="s">
        <v>81</v>
      </c>
      <c r="S74" s="332"/>
      <c r="T74" s="331"/>
      <c r="U74" s="334" t="s">
        <v>387</v>
      </c>
      <c r="V74" s="335">
        <v>659.8</v>
      </c>
      <c r="W74" s="335">
        <v>659.2</v>
      </c>
      <c r="X74" s="335">
        <v>628.21</v>
      </c>
      <c r="Y74" s="336">
        <v>648.42999999999995</v>
      </c>
      <c r="Z74" s="337">
        <v>657.15179999999998</v>
      </c>
      <c r="AA74" s="347" t="s">
        <v>103</v>
      </c>
      <c r="AB74" s="347">
        <v>728.25440000000003</v>
      </c>
      <c r="AC74" s="638">
        <v>707.56200000000001</v>
      </c>
      <c r="AD74" s="347">
        <v>665.46360000000004</v>
      </c>
      <c r="AE74" s="339">
        <v>373</v>
      </c>
      <c r="AF74" s="340">
        <v>200</v>
      </c>
      <c r="AG74" s="334"/>
      <c r="AH74" s="341" t="s">
        <v>83</v>
      </c>
      <c r="AI74" s="343" t="s">
        <v>83</v>
      </c>
      <c r="AJ74" s="343" t="s">
        <v>130</v>
      </c>
      <c r="AK74" s="344" t="s">
        <v>671</v>
      </c>
      <c r="AL74" s="340" t="s">
        <v>224</v>
      </c>
      <c r="AM74" s="328"/>
      <c r="AN74" s="328"/>
      <c r="AO74" s="328"/>
      <c r="AP74" s="328"/>
      <c r="AQ74" s="328"/>
      <c r="AR74" s="451"/>
      <c r="AS74" s="372" t="s">
        <v>103</v>
      </c>
      <c r="AT74" s="345"/>
      <c r="AU74" s="345"/>
      <c r="AV74" s="345"/>
      <c r="AW74" s="345"/>
      <c r="AX74" s="345"/>
      <c r="AY74" s="345"/>
      <c r="AZ74" s="345"/>
      <c r="BA74" s="345"/>
      <c r="BB74" s="345"/>
      <c r="BC74" s="345"/>
      <c r="BD74" s="345"/>
      <c r="BE74" s="345"/>
      <c r="BF74" s="345"/>
      <c r="BG74" s="345"/>
      <c r="BH74" s="345"/>
      <c r="BI74" s="345"/>
      <c r="BJ74" s="364">
        <f>COUNTIF(AT74:BI74,"*OP*")</f>
        <v>0</v>
      </c>
      <c r="BK74" s="375" t="s">
        <v>103</v>
      </c>
      <c r="BL74" s="328">
        <f>(COUNTIF(AT74:AV74,"*OK*")*3) + (COUNTIF(AW74:AY74,"*OK*")*2) + COUNTIF(AZ74:BB74,"*OK*")+COUNTIF(BK74:BK74,"SI")*0.5</f>
        <v>0</v>
      </c>
      <c r="BM74" s="328" t="str">
        <f>IF(BL74&lt;0.6,"Demasiado Riesgo",IF(BL74&lt;=5,"Riesgo Medio",IF(BL74&lt;=11,"Riesgo Bajo","Cliente Blindado")))</f>
        <v>Demasiado Riesgo</v>
      </c>
      <c r="BN74" s="328"/>
      <c r="BO74" s="349"/>
      <c r="BP74" s="349">
        <v>0</v>
      </c>
      <c r="BQ74" s="349"/>
      <c r="BR74" s="349"/>
      <c r="BS74" s="349"/>
      <c r="BT74" s="349"/>
      <c r="BU74" s="349"/>
      <c r="BV74" s="349"/>
      <c r="BW74" s="349"/>
      <c r="BX74" s="349"/>
      <c r="BY74" s="349"/>
      <c r="BZ74" s="349"/>
      <c r="CA74" s="349"/>
      <c r="CB74" s="349"/>
      <c r="CC74" s="349"/>
      <c r="CD74" s="349"/>
      <c r="CE74" s="349"/>
      <c r="CF74" s="349"/>
      <c r="CG74" s="349"/>
      <c r="CH74" s="349"/>
      <c r="CI74" s="349"/>
      <c r="CJ74" s="349"/>
      <c r="CK74" s="349"/>
      <c r="CL74" s="349">
        <f>COUNTIF(AT74:BH74,"*OK*")</f>
        <v>0</v>
      </c>
      <c r="CM74" s="349"/>
      <c r="CN74" s="349">
        <f>COUNTIF(AT74:BH74,"*OP*")</f>
        <v>0</v>
      </c>
    </row>
    <row r="75" spans="1:94" s="285" customFormat="1" ht="14.25" customHeight="1">
      <c r="A75" s="834">
        <v>20005</v>
      </c>
      <c r="B75" s="560" t="s">
        <v>363</v>
      </c>
      <c r="C75" s="329">
        <f t="shared" si="3"/>
        <v>897.01969999999994</v>
      </c>
      <c r="D75" s="332">
        <f>COUNTIF(AT75:BH75,"*OK*")</f>
        <v>0</v>
      </c>
      <c r="E75" s="331" t="s">
        <v>93</v>
      </c>
      <c r="F75" s="331" t="s">
        <v>672</v>
      </c>
      <c r="G75" s="533" t="s">
        <v>365</v>
      </c>
      <c r="H75" s="650">
        <f>IF(LEN(TRIM($G75&amp;""))=0, $C75, SUMIF($G$3:$G$561, TRIM($G75), $C$3:$C$561))</f>
        <v>4240.7285999999995</v>
      </c>
      <c r="I75" s="410" t="s">
        <v>76</v>
      </c>
      <c r="J75" s="331"/>
      <c r="K75" s="328" t="s">
        <v>125</v>
      </c>
      <c r="L75" s="328"/>
      <c r="M75" s="341" t="s">
        <v>96</v>
      </c>
      <c r="N75" s="341"/>
      <c r="O75" s="548" t="s">
        <v>367</v>
      </c>
      <c r="P75" s="548" t="s">
        <v>368</v>
      </c>
      <c r="Q75" s="548" t="s">
        <v>369</v>
      </c>
      <c r="R75" s="341" t="s">
        <v>160</v>
      </c>
      <c r="S75" s="341"/>
      <c r="T75" s="331"/>
      <c r="U75" s="344" t="s">
        <v>82</v>
      </c>
      <c r="V75" s="335">
        <v>670.53</v>
      </c>
      <c r="W75" s="335">
        <v>658.32</v>
      </c>
      <c r="X75" s="335">
        <v>636.21</v>
      </c>
      <c r="Y75" s="336">
        <v>658.97</v>
      </c>
      <c r="Z75" s="337">
        <v>677.077</v>
      </c>
      <c r="AA75" s="338">
        <v>699.36</v>
      </c>
      <c r="AB75" s="338">
        <v>705.26409999999998</v>
      </c>
      <c r="AC75" s="634">
        <v>706.49390000000005</v>
      </c>
      <c r="AD75" s="338">
        <v>897.01969999999994</v>
      </c>
      <c r="AE75" s="339">
        <v>1417</v>
      </c>
      <c r="AF75" s="340">
        <v>200</v>
      </c>
      <c r="AG75" s="334"/>
      <c r="AH75" s="341"/>
      <c r="AI75" s="343" t="s">
        <v>258</v>
      </c>
      <c r="AJ75" s="343" t="s">
        <v>150</v>
      </c>
      <c r="AK75" s="344" t="s">
        <v>673</v>
      </c>
      <c r="AL75" s="340" t="s">
        <v>103</v>
      </c>
      <c r="AM75" s="328"/>
      <c r="AN75" s="328" t="s">
        <v>104</v>
      </c>
      <c r="AO75" s="328"/>
      <c r="AP75" s="328"/>
      <c r="AQ75" s="328"/>
      <c r="AR75" s="451"/>
      <c r="AS75" s="372" t="s">
        <v>674</v>
      </c>
      <c r="AT75" s="345"/>
      <c r="AU75" s="345"/>
      <c r="AV75" s="345"/>
      <c r="AW75" s="345"/>
      <c r="AX75" s="345"/>
      <c r="AY75" s="345"/>
      <c r="AZ75" s="345"/>
      <c r="BA75" s="345"/>
      <c r="BB75" s="345"/>
      <c r="BC75" s="345"/>
      <c r="BD75" s="345"/>
      <c r="BE75" s="345"/>
      <c r="BF75" s="345"/>
      <c r="BG75" s="345"/>
      <c r="BH75" s="345"/>
      <c r="BI75" s="345"/>
      <c r="BJ75" s="364">
        <f>COUNTIF(AT75:BI75,"*OP*")</f>
        <v>0</v>
      </c>
      <c r="BK75" s="375" t="s">
        <v>103</v>
      </c>
      <c r="BL75" s="328">
        <f>(COUNTIF(AT75:AV75,"*OK*")*3) + (COUNTIF(AW75:AY75,"*OK*")*2) + COUNTIF(AZ75:BB75,"*OK*")+COUNTIF(BK75:BK75,"SI")*0.5</f>
        <v>0</v>
      </c>
      <c r="BM75" s="328" t="str">
        <f>IF(BL75&lt;0.6,"Demasiado Riesgo",IF(BL75&lt;=5,"Riesgo Medio",IF(BL75&lt;=11,"Riesgo Bajo","Cliente Blindado")))</f>
        <v>Demasiado Riesgo</v>
      </c>
      <c r="BN75" s="328"/>
      <c r="BO75" s="349"/>
      <c r="BP75" s="349">
        <v>0</v>
      </c>
      <c r="BQ75" s="349"/>
      <c r="BR75" s="349"/>
      <c r="BS75" s="349"/>
      <c r="BT75" s="349"/>
      <c r="BU75" s="349"/>
      <c r="BV75" s="349"/>
      <c r="BW75" s="349"/>
      <c r="BX75" s="349"/>
      <c r="BY75" s="349"/>
      <c r="BZ75" s="349"/>
      <c r="CA75" s="349"/>
      <c r="CB75" s="349"/>
      <c r="CC75" s="349"/>
      <c r="CD75" s="349"/>
      <c r="CE75" s="349"/>
      <c r="CF75" s="349"/>
      <c r="CG75" s="349"/>
      <c r="CH75" s="349"/>
      <c r="CI75" s="349"/>
      <c r="CJ75" s="349"/>
      <c r="CK75" s="349"/>
      <c r="CL75" s="349">
        <f>COUNTIF(AT75:BH75,"*OK*")</f>
        <v>0</v>
      </c>
      <c r="CM75" s="349"/>
      <c r="CN75" s="349">
        <f>COUNTIF(AT75:BH75,"*OP*")</f>
        <v>0</v>
      </c>
      <c r="CO75" s="287"/>
      <c r="CP75" s="287"/>
    </row>
    <row r="76" spans="1:94" ht="14.25" customHeight="1">
      <c r="A76" s="835">
        <v>23369</v>
      </c>
      <c r="B76" s="560" t="s">
        <v>675</v>
      </c>
      <c r="C76" s="329">
        <f t="shared" si="3"/>
        <v>658.94039999999995</v>
      </c>
      <c r="D76" s="352">
        <f>COUNTIF(AT76:BH76,"*OK*")</f>
        <v>3</v>
      </c>
      <c r="E76" s="351" t="s">
        <v>439</v>
      </c>
      <c r="F76" s="822" t="s">
        <v>676</v>
      </c>
      <c r="G76" s="622"/>
      <c r="H76" s="650">
        <f>IF(LEN(TRIM($G76&amp;""))=0, $C76, SUMIF($G$3:$G$561, TRIM($G76), $C$3:$C$561))</f>
        <v>658.94039999999995</v>
      </c>
      <c r="I76" s="413" t="s">
        <v>562</v>
      </c>
      <c r="J76" s="351"/>
      <c r="K76" s="349"/>
      <c r="L76" s="349" t="str">
        <f>HYPERLINK("https://crm.zoho.com/crm/org685875245/tab/Accounts/3525045000303849074","https://crm.zoho.com/crm/org685875245/tab/Accounts/3525045000303849074")</f>
        <v>https://crm.zoho.com/crm/org685875245/tab/Accounts/3525045000303849074</v>
      </c>
      <c r="M76" s="553" t="s">
        <v>77</v>
      </c>
      <c r="N76" s="352" t="s">
        <v>634</v>
      </c>
      <c r="O76" s="540" t="s">
        <v>677</v>
      </c>
      <c r="P76" s="540" t="s">
        <v>678</v>
      </c>
      <c r="Q76" s="540" t="s">
        <v>679</v>
      </c>
      <c r="R76" s="553" t="s">
        <v>160</v>
      </c>
      <c r="S76" s="352"/>
      <c r="T76" s="351"/>
      <c r="U76" s="354" t="s">
        <v>394</v>
      </c>
      <c r="V76" s="355">
        <v>187.28</v>
      </c>
      <c r="W76" s="355">
        <v>200.63</v>
      </c>
      <c r="X76" s="355">
        <v>199.79</v>
      </c>
      <c r="Y76" s="356">
        <v>172.96</v>
      </c>
      <c r="Z76" s="337">
        <v>399.37150000000003</v>
      </c>
      <c r="AA76" s="338">
        <v>422.53</v>
      </c>
      <c r="AB76" s="338">
        <v>664.93039999999996</v>
      </c>
      <c r="AC76" s="634">
        <v>686.07370000000003</v>
      </c>
      <c r="AD76" s="338">
        <v>658.94039999999995</v>
      </c>
      <c r="AE76" s="357">
        <v>241</v>
      </c>
      <c r="AF76" s="358">
        <v>10</v>
      </c>
      <c r="AG76" s="354"/>
      <c r="AH76" s="359"/>
      <c r="AI76" s="360" t="s">
        <v>83</v>
      </c>
      <c r="AJ76" s="361" t="s">
        <v>130</v>
      </c>
      <c r="AK76" s="362" t="s">
        <v>680</v>
      </c>
      <c r="AL76" s="358" t="s">
        <v>103</v>
      </c>
      <c r="AM76" s="349"/>
      <c r="AN76" s="349"/>
      <c r="AO76" s="349"/>
      <c r="AP76" s="349"/>
      <c r="AQ76" s="349"/>
      <c r="AR76" s="453"/>
      <c r="AS76" s="371" t="s">
        <v>88</v>
      </c>
      <c r="AT76" s="445"/>
      <c r="AU76" s="445"/>
      <c r="AV76" s="445" t="s">
        <v>300</v>
      </c>
      <c r="AW76" s="445"/>
      <c r="AX76" s="445"/>
      <c r="AY76" s="445"/>
      <c r="AZ76" s="445"/>
      <c r="BA76" s="445" t="s">
        <v>300</v>
      </c>
      <c r="BB76" s="445"/>
      <c r="BC76" s="445"/>
      <c r="BD76" s="445" t="s">
        <v>300</v>
      </c>
      <c r="BE76" s="445"/>
      <c r="BF76" s="445"/>
      <c r="BG76" s="445"/>
      <c r="BH76" s="445"/>
      <c r="BI76" s="445"/>
      <c r="BJ76" s="446">
        <f>COUNTIF(AT76:BI76,"*OP*")</f>
        <v>0</v>
      </c>
      <c r="BK76" s="363" t="s">
        <v>681</v>
      </c>
      <c r="BL76" s="349">
        <f>(COUNTIF(AT76:AV76,"*OK*")*3) + (COUNTIF(AW76:AY76,"*OK*")*2) + COUNTIF(AZ76:BB76,"*OK*")+COUNTIF(BK76:BK76,"SI")*0.5</f>
        <v>4</v>
      </c>
      <c r="BM76" s="349" t="str">
        <f>IF(BL76&lt;0.6,"Demasiado Riesgo",IF(BL76&lt;=5,"Riesgo Medio",IF(BL76&lt;=11,"Riesgo Bajo","Cliente Blindado")))</f>
        <v>Riesgo Medio</v>
      </c>
      <c r="BN76" s="349"/>
      <c r="BO76" s="349"/>
      <c r="BP76" s="349">
        <v>0</v>
      </c>
      <c r="BQ76" s="349"/>
      <c r="BR76" s="349"/>
      <c r="BS76" s="349"/>
      <c r="BT76" s="349"/>
      <c r="BU76" s="349"/>
      <c r="BV76" s="349"/>
      <c r="BW76" s="349"/>
      <c r="BX76" s="349"/>
      <c r="BY76" s="349"/>
      <c r="BZ76" s="349"/>
      <c r="CA76" s="349"/>
      <c r="CB76" s="349"/>
      <c r="CC76" s="349"/>
      <c r="CD76" s="349"/>
      <c r="CE76" s="349"/>
      <c r="CF76" s="349"/>
      <c r="CG76" s="349"/>
      <c r="CH76" s="349"/>
      <c r="CI76" s="349"/>
      <c r="CJ76" s="349"/>
      <c r="CK76" s="349"/>
      <c r="CL76" s="349">
        <f>COUNTIF(AT76:BH76,"*OK*")</f>
        <v>3</v>
      </c>
      <c r="CM76" s="349"/>
      <c r="CN76" s="349">
        <f>COUNTIF(AT76:BH76,"*OP*")</f>
        <v>0</v>
      </c>
    </row>
    <row r="77" spans="1:94" s="425" customFormat="1" ht="14.25" customHeight="1">
      <c r="A77" s="837">
        <v>26665</v>
      </c>
      <c r="B77" s="560" t="s">
        <v>682</v>
      </c>
      <c r="C77" s="329">
        <f t="shared" si="3"/>
        <v>617.36590000000001</v>
      </c>
      <c r="D77" s="352">
        <f>COUNTIF(AT77:BH77,"*OK*")</f>
        <v>0</v>
      </c>
      <c r="E77" s="331" t="s">
        <v>73</v>
      </c>
      <c r="F77" s="857" t="s">
        <v>683</v>
      </c>
      <c r="G77" s="622"/>
      <c r="H77" s="650">
        <f>IF(LEN(TRIM($G77&amp;""))=0, $C77, SUMIF($G$3:$G$561, TRIM($G77), $C$3:$C$561))</f>
        <v>617.36590000000001</v>
      </c>
      <c r="I77" s="413" t="s">
        <v>76</v>
      </c>
      <c r="J77" s="351"/>
      <c r="K77" s="558"/>
      <c r="L77" s="558" t="str">
        <f>HYPERLINK("https://crm.zoho.com/crm/org685875245/tab/Accounts/3525045000353562087","https://crm.zoho.com/crm/org685875245/tab/Accounts/3525045000353562087")</f>
        <v>https://crm.zoho.com/crm/org685875245/tab/Accounts/3525045000353562087</v>
      </c>
      <c r="M77" s="553" t="s">
        <v>96</v>
      </c>
      <c r="N77" s="558"/>
      <c r="O77" s="559" t="s">
        <v>684</v>
      </c>
      <c r="P77" s="559" t="s">
        <v>685</v>
      </c>
      <c r="Q77" s="559" t="s">
        <v>686</v>
      </c>
      <c r="R77" s="558" t="s">
        <v>171</v>
      </c>
      <c r="S77" s="331" t="s">
        <v>220</v>
      </c>
      <c r="T77" s="351"/>
      <c r="U77" s="354" t="s">
        <v>209</v>
      </c>
      <c r="V77" s="355">
        <v>714.35</v>
      </c>
      <c r="W77" s="355">
        <v>640.35</v>
      </c>
      <c r="X77" s="355">
        <v>615.91</v>
      </c>
      <c r="Y77" s="356">
        <v>614.28</v>
      </c>
      <c r="Z77" s="337">
        <v>683.81659999999999</v>
      </c>
      <c r="AA77" s="365">
        <v>662.64</v>
      </c>
      <c r="AB77" s="365">
        <v>735.24530000000004</v>
      </c>
      <c r="AC77" s="635">
        <v>676.49559999999997</v>
      </c>
      <c r="AD77" s="365">
        <v>617.36590000000001</v>
      </c>
      <c r="AE77" s="357">
        <v>321</v>
      </c>
      <c r="AF77" s="358">
        <v>300</v>
      </c>
      <c r="AG77" s="354"/>
      <c r="AH77" s="359" t="s">
        <v>687</v>
      </c>
      <c r="AI77" s="361" t="s">
        <v>258</v>
      </c>
      <c r="AJ77" s="361" t="s">
        <v>101</v>
      </c>
      <c r="AK77" s="362" t="s">
        <v>688</v>
      </c>
      <c r="AL77" s="358" t="s">
        <v>101</v>
      </c>
      <c r="AM77" s="349"/>
      <c r="AN77" s="349"/>
      <c r="AO77" s="349"/>
      <c r="AP77" s="349"/>
      <c r="AQ77" s="349"/>
      <c r="AR77" s="453"/>
      <c r="AS77" s="371" t="s">
        <v>88</v>
      </c>
      <c r="AT77" s="345"/>
      <c r="AU77" s="345"/>
      <c r="AV77" s="345"/>
      <c r="AW77" s="345"/>
      <c r="AX77" s="345"/>
      <c r="AY77" s="345"/>
      <c r="AZ77" s="345"/>
      <c r="BA77" s="345"/>
      <c r="BB77" s="345"/>
      <c r="BC77" s="345"/>
      <c r="BD77" s="345"/>
      <c r="BE77" s="345"/>
      <c r="BF77" s="345"/>
      <c r="BG77" s="345"/>
      <c r="BH77" s="345"/>
      <c r="BI77" s="345"/>
      <c r="BJ77" s="364">
        <f>COUNTIF(AT77:BI77,"*OP*")</f>
        <v>0</v>
      </c>
      <c r="BK77" s="363" t="s">
        <v>103</v>
      </c>
      <c r="BL77" s="349">
        <f>(COUNTIF(AT77:AV77,"*OK*")*3) + (COUNTIF(AW77:AY77,"*OK*")*2) + COUNTIF(AZ77:BB77,"*OK*")+COUNTIF(BK77:BK77,"SI")*0.5</f>
        <v>0</v>
      </c>
      <c r="BM77" s="349" t="str">
        <f>IF(BL77&lt;0.6,"Demasiado Riesgo",IF(BL77&lt;=5,"Riesgo Medio",IF(BL77&lt;=11,"Riesgo Bajo","Cliente Blindado")))</f>
        <v>Demasiado Riesgo</v>
      </c>
      <c r="BN77" s="349"/>
      <c r="BO77" s="349"/>
      <c r="BP77" s="349">
        <v>0</v>
      </c>
      <c r="BQ77" s="349"/>
      <c r="BR77" s="349"/>
      <c r="BS77" s="349"/>
      <c r="BT77" s="349"/>
      <c r="BU77" s="349"/>
      <c r="BV77" s="349"/>
      <c r="BW77" s="349"/>
      <c r="BX77" s="349"/>
      <c r="BY77" s="349"/>
      <c r="BZ77" s="349"/>
      <c r="CA77" s="349"/>
      <c r="CB77" s="349"/>
      <c r="CC77" s="349"/>
      <c r="CD77" s="349"/>
      <c r="CE77" s="349"/>
      <c r="CF77" s="349"/>
      <c r="CG77" s="349"/>
      <c r="CH77" s="349"/>
      <c r="CI77" s="349"/>
      <c r="CJ77" s="349"/>
      <c r="CK77" s="349"/>
      <c r="CL77" s="349">
        <f>COUNTIF(AT77:BH77,"*OK*")</f>
        <v>0</v>
      </c>
      <c r="CM77" s="349"/>
      <c r="CN77" s="349">
        <f>COUNTIF(AT77:BH77,"*OP*")</f>
        <v>0</v>
      </c>
      <c r="CO77" s="287"/>
      <c r="CP77" s="287"/>
    </row>
    <row r="78" spans="1:94" ht="14.25" customHeight="1">
      <c r="A78" s="835" t="s">
        <v>689</v>
      </c>
      <c r="B78" s="560" t="s">
        <v>690</v>
      </c>
      <c r="C78" s="329">
        <f t="shared" si="3"/>
        <v>613.13290000000006</v>
      </c>
      <c r="D78" s="352">
        <f>COUNTIF(AT78:BH78,"*OK*")</f>
        <v>0</v>
      </c>
      <c r="E78" s="351" t="s">
        <v>93</v>
      </c>
      <c r="F78" s="351" t="s">
        <v>691</v>
      </c>
      <c r="G78" s="622"/>
      <c r="H78" s="650">
        <f>IF(LEN(TRIM($G78&amp;""))=0, $C78, SUMIF($G$3:$G$561, TRIM($G78), $C$3:$C$561))</f>
        <v>613.13290000000006</v>
      </c>
      <c r="I78" s="413" t="s">
        <v>76</v>
      </c>
      <c r="J78" s="351"/>
      <c r="K78" s="349"/>
      <c r="L78" s="349" t="str">
        <f>HYPERLINK("https://crm.zoho.com/crm/org685875245/tab/Accounts/3525045000305241333","https://crm.zoho.com/crm/org685875245/tab/Accounts/3525045000305241333")</f>
        <v>https://crm.zoho.com/crm/org685875245/tab/Accounts/3525045000305241333</v>
      </c>
      <c r="M78" s="359" t="s">
        <v>77</v>
      </c>
      <c r="N78" s="359"/>
      <c r="O78" s="545" t="s">
        <v>692</v>
      </c>
      <c r="P78" s="545" t="s">
        <v>693</v>
      </c>
      <c r="Q78" s="545" t="s">
        <v>694</v>
      </c>
      <c r="R78" s="359"/>
      <c r="S78" s="359"/>
      <c r="T78" s="351"/>
      <c r="U78" s="362" t="s">
        <v>82</v>
      </c>
      <c r="V78" s="355">
        <v>627.09</v>
      </c>
      <c r="W78" s="355">
        <v>584.22</v>
      </c>
      <c r="X78" s="355">
        <v>569.35</v>
      </c>
      <c r="Y78" s="356">
        <v>594.17999999999995</v>
      </c>
      <c r="Z78" s="337">
        <v>562.22979999999995</v>
      </c>
      <c r="AA78" s="365">
        <v>578.46</v>
      </c>
      <c r="AB78" s="365">
        <v>606.52719999999999</v>
      </c>
      <c r="AC78" s="635">
        <v>662.93309999999997</v>
      </c>
      <c r="AD78" s="365">
        <v>613.13290000000006</v>
      </c>
      <c r="AE78" s="357">
        <v>307</v>
      </c>
      <c r="AF78" s="358">
        <v>150</v>
      </c>
      <c r="AG78" s="354"/>
      <c r="AH78" s="359"/>
      <c r="AI78" s="370" t="s">
        <v>83</v>
      </c>
      <c r="AJ78" s="361" t="s">
        <v>396</v>
      </c>
      <c r="AK78" s="362" t="s">
        <v>695</v>
      </c>
      <c r="AL78" s="358" t="s">
        <v>103</v>
      </c>
      <c r="AM78" s="349"/>
      <c r="AN78" s="349" t="s">
        <v>104</v>
      </c>
      <c r="AO78" s="349"/>
      <c r="AP78" s="349"/>
      <c r="AQ78" s="349"/>
      <c r="AR78" s="453"/>
      <c r="AS78" s="371"/>
      <c r="AT78" s="345"/>
      <c r="AU78" s="345"/>
      <c r="AV78" s="345"/>
      <c r="AW78" s="345"/>
      <c r="AX78" s="345"/>
      <c r="AY78" s="345"/>
      <c r="AZ78" s="345"/>
      <c r="BA78" s="345"/>
      <c r="BB78" s="345"/>
      <c r="BC78" s="345"/>
      <c r="BD78" s="345"/>
      <c r="BE78" s="345"/>
      <c r="BF78" s="345"/>
      <c r="BG78" s="345"/>
      <c r="BH78" s="345"/>
      <c r="BI78" s="345" t="s">
        <v>696</v>
      </c>
      <c r="BJ78" s="364">
        <f>COUNTIF(AT78:BI78,"*OP*")</f>
        <v>1</v>
      </c>
      <c r="BK78" s="363" t="s">
        <v>103</v>
      </c>
      <c r="BL78" s="349">
        <f>(COUNTIF(AT78:AV78,"*OK*")*3) + (COUNTIF(AW78:AY78,"*OK*")*2) + COUNTIF(AZ78:BB78,"*OK*")+COUNTIF(BK78:BK78,"SI")*0.5</f>
        <v>0</v>
      </c>
      <c r="BM78" s="349" t="str">
        <f>IF(BL78&lt;0.6,"Demasiado Riesgo",IF(BL78&lt;=5,"Riesgo Medio",IF(BL78&lt;=11,"Riesgo Bajo","Cliente Blindado")))</f>
        <v>Demasiado Riesgo</v>
      </c>
      <c r="BN78" s="349"/>
      <c r="BO78" s="349"/>
      <c r="BP78" s="349">
        <v>0</v>
      </c>
      <c r="BQ78" s="349"/>
      <c r="BR78" s="349"/>
      <c r="BS78" s="349"/>
      <c r="BT78" s="349"/>
      <c r="BU78" s="349"/>
      <c r="BV78" s="349"/>
      <c r="BW78" s="349"/>
      <c r="BX78" s="349"/>
      <c r="BY78" s="349"/>
      <c r="BZ78" s="349"/>
      <c r="CA78" s="349"/>
      <c r="CB78" s="349"/>
      <c r="CC78" s="349"/>
      <c r="CD78" s="349"/>
      <c r="CE78" s="349"/>
      <c r="CF78" s="349"/>
      <c r="CG78" s="349"/>
      <c r="CH78" s="349"/>
      <c r="CI78" s="349"/>
      <c r="CJ78" s="349"/>
      <c r="CK78" s="349"/>
      <c r="CL78" s="349">
        <f>COUNTIF(AT78:BH78,"*OK*")</f>
        <v>0</v>
      </c>
      <c r="CM78" s="349"/>
      <c r="CN78" s="349">
        <f>COUNTIF(AT78:BH78,"*OP*")</f>
        <v>0</v>
      </c>
    </row>
    <row r="79" spans="1:94" ht="14.25" customHeight="1">
      <c r="A79" s="836">
        <v>35427</v>
      </c>
      <c r="B79" s="560" t="s">
        <v>697</v>
      </c>
      <c r="C79" s="329">
        <f t="shared" si="3"/>
        <v>555.73939999999993</v>
      </c>
      <c r="D79" s="352">
        <f>COUNTIF(AT79:BH79,"*OK*")</f>
        <v>2</v>
      </c>
      <c r="E79" s="331" t="s">
        <v>73</v>
      </c>
      <c r="F79" s="856" t="s">
        <v>698</v>
      </c>
      <c r="G79" s="622"/>
      <c r="H79" s="650">
        <f>IF(LEN(TRIM($G79&amp;""))=0, $C79, SUMIF($G$3:$G$561, TRIM($G79), $C$3:$C$561))</f>
        <v>555.73939999999993</v>
      </c>
      <c r="I79" s="353" t="s">
        <v>76</v>
      </c>
      <c r="J79" s="351"/>
      <c r="K79" s="558"/>
      <c r="L79" s="558" t="str">
        <f>HYPERLINK("https://crm.zoho.com/crm/org685875245/tab/Accounts/3525045000256468003","https://crm.zoho.com/crm/org685875245/tab/Accounts/3525045000256468003")</f>
        <v>https://crm.zoho.com/crm/org685875245/tab/Accounts/3525045000256468003</v>
      </c>
      <c r="M79" s="553" t="s">
        <v>96</v>
      </c>
      <c r="N79" s="558"/>
      <c r="O79" s="559" t="s">
        <v>699</v>
      </c>
      <c r="P79" s="559" t="s">
        <v>700</v>
      </c>
      <c r="Q79" s="559" t="s">
        <v>701</v>
      </c>
      <c r="R79" s="558"/>
      <c r="S79" s="352"/>
      <c r="T79" s="351"/>
      <c r="U79" s="354" t="s">
        <v>82</v>
      </c>
      <c r="V79" s="355">
        <v>332.25</v>
      </c>
      <c r="W79" s="355">
        <v>788.02</v>
      </c>
      <c r="X79" s="355">
        <v>644.27</v>
      </c>
      <c r="Y79" s="356">
        <v>576.42999999999995</v>
      </c>
      <c r="Z79" s="337">
        <v>632.7088</v>
      </c>
      <c r="AA79" s="367">
        <v>640.16999999999996</v>
      </c>
      <c r="AB79" s="367">
        <v>725.43100000000004</v>
      </c>
      <c r="AC79" s="636">
        <v>659.90290000000005</v>
      </c>
      <c r="AD79" s="367">
        <v>555.73939999999993</v>
      </c>
      <c r="AE79" s="357">
        <v>172</v>
      </c>
      <c r="AF79" s="358">
        <v>500</v>
      </c>
      <c r="AG79" s="354"/>
      <c r="AH79" s="359"/>
      <c r="AI79" s="370" t="s">
        <v>83</v>
      </c>
      <c r="AJ79" s="361" t="s">
        <v>396</v>
      </c>
      <c r="AK79" s="362" t="s">
        <v>702</v>
      </c>
      <c r="AL79" s="358" t="s">
        <v>396</v>
      </c>
      <c r="AM79" s="349"/>
      <c r="AN79" s="349"/>
      <c r="AO79" s="349"/>
      <c r="AP79" s="349"/>
      <c r="AQ79" s="349"/>
      <c r="AR79" s="453"/>
      <c r="AS79" s="371" t="s">
        <v>103</v>
      </c>
      <c r="AT79" s="345"/>
      <c r="AU79" s="345" t="s">
        <v>605</v>
      </c>
      <c r="AV79" s="345" t="s">
        <v>605</v>
      </c>
      <c r="AW79" s="345" t="s">
        <v>179</v>
      </c>
      <c r="AX79" s="345"/>
      <c r="AY79" s="345"/>
      <c r="AZ79" s="345"/>
      <c r="BA79" s="345"/>
      <c r="BB79" s="345"/>
      <c r="BC79" s="345"/>
      <c r="BD79" s="345"/>
      <c r="BE79" s="345"/>
      <c r="BF79" s="345"/>
      <c r="BG79" s="345"/>
      <c r="BH79" s="345"/>
      <c r="BI79" s="345"/>
      <c r="BJ79" s="364">
        <f>COUNTIF(AT79:BI79,"*OP*")</f>
        <v>1</v>
      </c>
      <c r="BK79" s="363" t="s">
        <v>103</v>
      </c>
      <c r="BL79" s="349">
        <f>(COUNTIF(AT79:AV79,"*OK*")*3) + (COUNTIF(AW79:AY79,"*OK*")*2) + COUNTIF(AZ79:BB79,"*OK*")+COUNTIF(BK79:BK79,"SI")*0.5</f>
        <v>6</v>
      </c>
      <c r="BM79" s="349" t="str">
        <f>IF(BL79&lt;0.6,"Demasiado Riesgo",IF(BL79&lt;=5,"Riesgo Medio",IF(BL79&lt;=11,"Riesgo Bajo","Cliente Blindado")))</f>
        <v>Riesgo Bajo</v>
      </c>
      <c r="BN79" s="349"/>
      <c r="BO79" s="349"/>
      <c r="BP79" s="349">
        <v>0</v>
      </c>
      <c r="BQ79" s="349"/>
      <c r="BR79" s="349"/>
      <c r="BS79" s="349"/>
      <c r="BT79" s="349"/>
      <c r="BU79" s="349"/>
      <c r="BV79" s="349"/>
      <c r="BW79" s="349"/>
      <c r="BX79" s="349"/>
      <c r="BY79" s="349"/>
      <c r="BZ79" s="349"/>
      <c r="CA79" s="349"/>
      <c r="CB79" s="349"/>
      <c r="CC79" s="349"/>
      <c r="CD79" s="349"/>
      <c r="CE79" s="349"/>
      <c r="CF79" s="349"/>
      <c r="CG79" s="349"/>
      <c r="CH79" s="349"/>
      <c r="CI79" s="349"/>
      <c r="CJ79" s="349"/>
      <c r="CK79" s="349"/>
      <c r="CL79" s="349">
        <f>COUNTIF(AT79:BH79,"*OK*")</f>
        <v>2</v>
      </c>
      <c r="CM79" s="349"/>
      <c r="CN79" s="349">
        <f>COUNTIF(AT79:BH79,"*OP*")</f>
        <v>1</v>
      </c>
    </row>
    <row r="80" spans="1:94" ht="14.25">
      <c r="A80" s="837">
        <v>20416</v>
      </c>
      <c r="B80" s="560" t="s">
        <v>703</v>
      </c>
      <c r="C80" s="329">
        <f t="shared" si="3"/>
        <v>628.25829999999996</v>
      </c>
      <c r="D80" s="352">
        <f>COUNTIF(AT80:BH80,"*OK*")</f>
        <v>1</v>
      </c>
      <c r="E80" s="351" t="s">
        <v>93</v>
      </c>
      <c r="F80" s="426" t="s">
        <v>704</v>
      </c>
      <c r="G80" s="676" t="s">
        <v>705</v>
      </c>
      <c r="H80" s="650">
        <f>IF(LEN(TRIM($G80&amp;""))=0, $C80, SUMIF($G$3:$G$561, TRIM($G80), $C$3:$C$561))</f>
        <v>986.47569999999996</v>
      </c>
      <c r="I80" s="413" t="s">
        <v>76</v>
      </c>
      <c r="J80" s="351"/>
      <c r="K80" s="349"/>
      <c r="L80" s="349"/>
      <c r="M80" s="359" t="s">
        <v>96</v>
      </c>
      <c r="N80" s="359"/>
      <c r="O80" s="545" t="s">
        <v>706</v>
      </c>
      <c r="P80" s="545" t="s">
        <v>707</v>
      </c>
      <c r="Q80" s="545" t="s">
        <v>708</v>
      </c>
      <c r="R80" s="359" t="s">
        <v>111</v>
      </c>
      <c r="S80" s="359"/>
      <c r="T80" s="351"/>
      <c r="U80" s="362" t="s">
        <v>82</v>
      </c>
      <c r="V80" s="355">
        <v>651.63</v>
      </c>
      <c r="W80" s="355">
        <v>668.4</v>
      </c>
      <c r="X80" s="355">
        <v>628.70000000000005</v>
      </c>
      <c r="Y80" s="356">
        <v>663.17</v>
      </c>
      <c r="Z80" s="337">
        <v>700.93589999999995</v>
      </c>
      <c r="AA80" s="367">
        <v>721.78</v>
      </c>
      <c r="AB80" s="367">
        <v>676.08270000000005</v>
      </c>
      <c r="AC80" s="636">
        <v>656.28359999999998</v>
      </c>
      <c r="AD80" s="367">
        <v>628.25829999999996</v>
      </c>
      <c r="AE80" s="357">
        <v>365</v>
      </c>
      <c r="AF80" s="358">
        <v>100</v>
      </c>
      <c r="AG80" s="354"/>
      <c r="AH80" s="359"/>
      <c r="AI80" s="427" t="s">
        <v>83</v>
      </c>
      <c r="AJ80" s="361" t="s">
        <v>143</v>
      </c>
      <c r="AK80" s="362" t="s">
        <v>709</v>
      </c>
      <c r="AL80" s="358" t="s">
        <v>103</v>
      </c>
      <c r="AM80" s="349"/>
      <c r="AN80" s="349" t="s">
        <v>152</v>
      </c>
      <c r="AO80" s="349"/>
      <c r="AP80" s="349"/>
      <c r="AQ80" s="349"/>
      <c r="AR80" s="453"/>
      <c r="AS80" s="371" t="s">
        <v>88</v>
      </c>
      <c r="AT80" s="345"/>
      <c r="AU80" s="345"/>
      <c r="AV80" s="421" t="s">
        <v>300</v>
      </c>
      <c r="AW80" s="345"/>
      <c r="AX80" s="345"/>
      <c r="AY80" s="345"/>
      <c r="AZ80" s="421"/>
      <c r="BA80" s="421"/>
      <c r="BB80" s="345"/>
      <c r="BC80" s="345"/>
      <c r="BD80" s="345"/>
      <c r="BE80" s="345"/>
      <c r="BF80" s="345"/>
      <c r="BG80" s="345"/>
      <c r="BH80" s="345"/>
      <c r="BI80" s="345"/>
      <c r="BJ80" s="364">
        <f>COUNTIF(AT80:BI80,"*OP*")</f>
        <v>0</v>
      </c>
      <c r="BK80" s="363" t="s">
        <v>89</v>
      </c>
      <c r="BL80" s="349">
        <f>(COUNTIF(AT80:AV80,"*OK*")*3) + (COUNTIF(AW80:AY80,"*OK*")*2) + COUNTIF(AZ80:BB80,"*OK*")+COUNTIF(BK80:BK80,"SI")*0.5</f>
        <v>3</v>
      </c>
      <c r="BM80" s="349" t="str">
        <f>IF(BL80&lt;0.6,"Demasiado Riesgo",IF(BL80&lt;=5,"Riesgo Medio",IF(BL80&lt;=11,"Riesgo Bajo","Cliente Blindado")))</f>
        <v>Riesgo Medio</v>
      </c>
      <c r="BN80" s="349"/>
      <c r="BO80" s="328"/>
      <c r="BP80" s="328">
        <v>0</v>
      </c>
      <c r="BQ80" s="328"/>
      <c r="BR80" s="328"/>
      <c r="BS80" s="328"/>
      <c r="BT80" s="328"/>
      <c r="BU80" s="328"/>
      <c r="BV80" s="328"/>
      <c r="BW80" s="328"/>
      <c r="BX80" s="328"/>
      <c r="BY80" s="328"/>
      <c r="BZ80" s="328"/>
      <c r="CA80" s="328"/>
      <c r="CB80" s="328"/>
      <c r="CC80" s="328"/>
      <c r="CD80" s="328"/>
      <c r="CE80" s="328"/>
      <c r="CF80" s="328"/>
      <c r="CG80" s="328"/>
      <c r="CH80" s="328"/>
      <c r="CI80" s="328"/>
      <c r="CJ80" s="328"/>
      <c r="CK80" s="328"/>
      <c r="CL80" s="328">
        <f>COUNTIF(AT80:BH80,"*OK*")</f>
        <v>1</v>
      </c>
      <c r="CM80" s="328"/>
      <c r="CN80" s="328">
        <f>COUNTIF(AT80:BH80,"*OP*")</f>
        <v>0</v>
      </c>
    </row>
    <row r="81" spans="1:94" ht="15" customHeight="1">
      <c r="A81" s="835">
        <v>33251</v>
      </c>
      <c r="B81" s="560" t="s">
        <v>710</v>
      </c>
      <c r="C81" s="329">
        <f t="shared" si="3"/>
        <v>608.096</v>
      </c>
      <c r="D81" s="352">
        <f>COUNTIF(AT81:BH81,"*OK*")</f>
        <v>0</v>
      </c>
      <c r="E81" s="351" t="s">
        <v>439</v>
      </c>
      <c r="F81" s="826" t="s">
        <v>711</v>
      </c>
      <c r="G81" s="676"/>
      <c r="H81" s="650">
        <f>IF(LEN(TRIM($G81&amp;""))=0, $C81, SUMIF($G$3:$G$561, TRIM($G81), $C$3:$C$561))</f>
        <v>608.096</v>
      </c>
      <c r="I81" s="413" t="s">
        <v>76</v>
      </c>
      <c r="J81" s="672"/>
      <c r="K81" s="349"/>
      <c r="L81" s="349" t="str">
        <f>HYPERLINK("https://crm.zoho.com/crm/org685875245/tab/Accounts/3525045000506213377","https://crm.zoho.com/crm/org685875245/tab/Accounts/3525045000506213377")</f>
        <v>https://crm.zoho.com/crm/org685875245/tab/Accounts/3525045000506213377</v>
      </c>
      <c r="M81" s="553" t="s">
        <v>77</v>
      </c>
      <c r="N81" s="684" t="s">
        <v>712</v>
      </c>
      <c r="O81" s="686" t="s">
        <v>713</v>
      </c>
      <c r="P81" s="686" t="s">
        <v>505</v>
      </c>
      <c r="Q81" s="686" t="s">
        <v>714</v>
      </c>
      <c r="R81" s="698" t="s">
        <v>715</v>
      </c>
      <c r="S81" s="698"/>
      <c r="T81" s="351"/>
      <c r="U81" s="354" t="s">
        <v>82</v>
      </c>
      <c r="V81" s="355">
        <v>539.52</v>
      </c>
      <c r="W81" s="355">
        <v>536.27</v>
      </c>
      <c r="X81" s="355">
        <v>521.59</v>
      </c>
      <c r="Y81" s="356">
        <v>538.38</v>
      </c>
      <c r="Z81" s="337">
        <v>551.13610000000006</v>
      </c>
      <c r="AA81" s="347">
        <v>547.82000000000005</v>
      </c>
      <c r="AB81" s="347">
        <v>555.18809999999996</v>
      </c>
      <c r="AC81" s="638">
        <v>640.96730000000002</v>
      </c>
      <c r="AD81" s="347">
        <v>608.096</v>
      </c>
      <c r="AE81" s="357">
        <v>230</v>
      </c>
      <c r="AF81" s="358">
        <v>200</v>
      </c>
      <c r="AG81" s="354"/>
      <c r="AH81" s="359"/>
      <c r="AI81" s="361" t="s">
        <v>716</v>
      </c>
      <c r="AJ81" s="361" t="s">
        <v>199</v>
      </c>
      <c r="AK81" s="362" t="s">
        <v>717</v>
      </c>
      <c r="AL81" s="358" t="s">
        <v>103</v>
      </c>
      <c r="AM81" s="349"/>
      <c r="AN81" s="349"/>
      <c r="AO81" s="349"/>
      <c r="AP81" s="349"/>
      <c r="AQ81" s="349"/>
      <c r="AR81" s="453"/>
      <c r="AS81" s="362" t="s">
        <v>103</v>
      </c>
      <c r="AT81" s="345"/>
      <c r="AU81" s="345"/>
      <c r="AV81" s="345" t="s">
        <v>718</v>
      </c>
      <c r="AW81" s="345"/>
      <c r="AX81" s="345"/>
      <c r="AY81" s="345"/>
      <c r="AZ81" s="345"/>
      <c r="BA81" s="345"/>
      <c r="BB81" s="345"/>
      <c r="BC81" s="345"/>
      <c r="BD81" s="345"/>
      <c r="BE81" s="345"/>
      <c r="BF81" s="345"/>
      <c r="BG81" s="345"/>
      <c r="BH81" s="345"/>
      <c r="BI81" s="345"/>
      <c r="BJ81" s="346">
        <f>COUNTIF(AT81:BI81,"*OP*")</f>
        <v>1</v>
      </c>
      <c r="BK81" s="362" t="s">
        <v>103</v>
      </c>
      <c r="BL81" s="349">
        <f>(COUNTIF(AT81:AV81,"*OK*")*3) + (COUNTIF(AW81:AY81,"*OK*")*2) + COUNTIF(AZ81:BB81,"*OK*")+COUNTIF(BK81:BK81,"SI")*0.5</f>
        <v>0</v>
      </c>
      <c r="BM81" s="349" t="str">
        <f>IF(BL81&lt;0.6,"Demasiado Riesgo",IF(BL81&lt;=5,"Riesgo Medio",IF(BL81&lt;=11,"Riesgo Bajo","Cliente Blindado")))</f>
        <v>Demasiado Riesgo</v>
      </c>
      <c r="BN81" s="349"/>
      <c r="BO81" s="349"/>
      <c r="BP81" s="349">
        <v>0</v>
      </c>
      <c r="BQ81" s="349"/>
      <c r="BR81" s="349"/>
      <c r="BS81" s="349"/>
      <c r="BT81" s="349"/>
      <c r="BU81" s="349"/>
      <c r="BV81" s="349"/>
      <c r="BW81" s="349"/>
      <c r="BX81" s="349"/>
      <c r="BY81" s="349"/>
      <c r="BZ81" s="349"/>
      <c r="CA81" s="349"/>
      <c r="CB81" s="349"/>
      <c r="CC81" s="349"/>
      <c r="CD81" s="349"/>
      <c r="CE81" s="349"/>
      <c r="CF81" s="349"/>
      <c r="CG81" s="349"/>
      <c r="CH81" s="349"/>
      <c r="CI81" s="349"/>
      <c r="CJ81" s="349"/>
      <c r="CK81" s="349"/>
      <c r="CL81" s="349">
        <f>COUNTIF(AT81:BH81,"*OK*")</f>
        <v>0</v>
      </c>
      <c r="CM81" s="349"/>
      <c r="CN81" s="349">
        <f>COUNTIF(AT81:BH81,"*OP*")</f>
        <v>1</v>
      </c>
    </row>
    <row r="82" spans="1:94" ht="14.25" customHeight="1">
      <c r="A82" s="835">
        <v>5901</v>
      </c>
      <c r="B82" s="560" t="s">
        <v>719</v>
      </c>
      <c r="C82" s="329">
        <f t="shared" si="3"/>
        <v>551.87639999999999</v>
      </c>
      <c r="D82" s="352">
        <f>COUNTIF(AT82:BH82,"*OK*")</f>
        <v>1</v>
      </c>
      <c r="E82" s="351" t="s">
        <v>93</v>
      </c>
      <c r="F82" s="351" t="s">
        <v>720</v>
      </c>
      <c r="G82" s="622" t="s">
        <v>540</v>
      </c>
      <c r="H82" s="650">
        <f>IF(LEN(TRIM($G82&amp;""))=0, $C82, SUMIF($G$3:$G$561, TRIM($G82), $C$3:$C$561))</f>
        <v>1381.8985</v>
      </c>
      <c r="I82" s="413" t="s">
        <v>76</v>
      </c>
      <c r="J82" s="351"/>
      <c r="K82" s="349"/>
      <c r="L82" s="349" t="str">
        <f>HYPERLINK("https://crm.zoho.com/crm/org685875245/tab/Accounts/3525045000010332421","https://crm.zoho.com/crm/org685875245/tab/Accounts/3525045000010332421")</f>
        <v>https://crm.zoho.com/crm/org685875245/tab/Accounts/3525045000010332421</v>
      </c>
      <c r="M82" s="359" t="s">
        <v>77</v>
      </c>
      <c r="N82" s="359"/>
      <c r="O82" s="545" t="s">
        <v>541</v>
      </c>
      <c r="P82" s="545" t="s">
        <v>542</v>
      </c>
      <c r="Q82" s="545" t="s">
        <v>543</v>
      </c>
      <c r="R82" s="359"/>
      <c r="S82" s="359"/>
      <c r="T82" s="351"/>
      <c r="U82" s="362" t="s">
        <v>82</v>
      </c>
      <c r="V82" s="355">
        <v>148</v>
      </c>
      <c r="W82" s="355">
        <v>166.96</v>
      </c>
      <c r="X82" s="355">
        <v>153.58000000000001</v>
      </c>
      <c r="Y82" s="356">
        <v>158.53</v>
      </c>
      <c r="Z82" s="337">
        <v>156.79069999999999</v>
      </c>
      <c r="AA82" s="367">
        <v>918.77</v>
      </c>
      <c r="AB82" s="367">
        <v>490.28530000000001</v>
      </c>
      <c r="AC82" s="636">
        <v>628.86180000000002</v>
      </c>
      <c r="AD82" s="367">
        <v>551.87639999999999</v>
      </c>
      <c r="AE82" s="357">
        <v>226</v>
      </c>
      <c r="AF82" s="358">
        <v>300</v>
      </c>
      <c r="AG82" s="354"/>
      <c r="AH82" s="359"/>
      <c r="AI82" s="427" t="s">
        <v>83</v>
      </c>
      <c r="AJ82" s="361" t="s">
        <v>130</v>
      </c>
      <c r="AK82" s="362" t="s">
        <v>721</v>
      </c>
      <c r="AL82" s="358" t="s">
        <v>103</v>
      </c>
      <c r="AM82" s="349"/>
      <c r="AN82" s="349" t="s">
        <v>152</v>
      </c>
      <c r="AO82" s="349"/>
      <c r="AP82" s="349"/>
      <c r="AQ82" s="349"/>
      <c r="AR82" s="453"/>
      <c r="AS82" s="371"/>
      <c r="AT82" s="345"/>
      <c r="AU82" s="345"/>
      <c r="AV82" s="345" t="s">
        <v>300</v>
      </c>
      <c r="AW82" s="345"/>
      <c r="AX82" s="345"/>
      <c r="AY82" s="345"/>
      <c r="AZ82" s="345"/>
      <c r="BA82" s="345"/>
      <c r="BB82" s="345"/>
      <c r="BC82" s="345"/>
      <c r="BD82" s="345"/>
      <c r="BE82" s="345"/>
      <c r="BF82" s="345"/>
      <c r="BG82" s="345"/>
      <c r="BH82" s="345"/>
      <c r="BI82" s="345"/>
      <c r="BJ82" s="364">
        <f>COUNTIF(AT82:BI82,"*OP*")</f>
        <v>0</v>
      </c>
      <c r="BK82" s="363" t="s">
        <v>103</v>
      </c>
      <c r="BL82" s="349">
        <f>(COUNTIF(AT82:AV82,"*OK*")*3) + (COUNTIF(AW82:AY82,"*OK*")*2) + COUNTIF(AZ82:BB82,"*OK*")+COUNTIF(BK82:BK82,"SI")*0.5</f>
        <v>3</v>
      </c>
      <c r="BM82" s="349" t="str">
        <f>IF(BL82&lt;0.6,"Demasiado Riesgo",IF(BL82&lt;=5,"Riesgo Medio",IF(BL82&lt;=11,"Riesgo Bajo","Cliente Blindado")))</f>
        <v>Riesgo Medio</v>
      </c>
      <c r="BN82" s="349"/>
      <c r="BO82" s="349"/>
      <c r="BP82" s="349">
        <v>0</v>
      </c>
      <c r="BQ82" s="349"/>
      <c r="BR82" s="349"/>
      <c r="BS82" s="349"/>
      <c r="BT82" s="349"/>
      <c r="BU82" s="349"/>
      <c r="BV82" s="349"/>
      <c r="BW82" s="349"/>
      <c r="BX82" s="349"/>
      <c r="BY82" s="349"/>
      <c r="BZ82" s="349"/>
      <c r="CA82" s="349"/>
      <c r="CB82" s="349"/>
      <c r="CC82" s="349"/>
      <c r="CD82" s="349"/>
      <c r="CE82" s="349"/>
      <c r="CF82" s="349"/>
      <c r="CG82" s="349"/>
      <c r="CH82" s="349"/>
      <c r="CI82" s="349"/>
      <c r="CJ82" s="349"/>
      <c r="CK82" s="349"/>
      <c r="CL82" s="349">
        <f>COUNTIF(AT82:BH82,"*OK*")</f>
        <v>1</v>
      </c>
      <c r="CM82" s="349"/>
      <c r="CN82" s="349">
        <f>COUNTIF(AT82:BH82,"*OP*")</f>
        <v>0</v>
      </c>
    </row>
    <row r="83" spans="1:94" ht="14.25" customHeight="1">
      <c r="A83" s="837">
        <v>26820</v>
      </c>
      <c r="B83" s="560" t="s">
        <v>722</v>
      </c>
      <c r="C83" s="329">
        <f t="shared" si="3"/>
        <v>583.99559999999997</v>
      </c>
      <c r="D83" s="352">
        <v>1</v>
      </c>
      <c r="E83" s="331" t="s">
        <v>73</v>
      </c>
      <c r="F83" s="856" t="s">
        <v>723</v>
      </c>
      <c r="G83" s="622"/>
      <c r="H83" s="650">
        <f>IF(LEN(TRIM($G83&amp;""))=0, $C83, SUMIF($G$3:$G$561, TRIM($G83), $C$3:$C$561))</f>
        <v>583.99559999999997</v>
      </c>
      <c r="I83" s="413" t="s">
        <v>76</v>
      </c>
      <c r="J83" s="351"/>
      <c r="K83" s="558"/>
      <c r="L83" s="558" t="str">
        <f>HYPERLINK("https://crm.zoho.com/crm/org685875245/tab/Accounts/3525045000278421021","https://crm.zoho.com/crm/org685875245/tab/Accounts/3525045000278421021")</f>
        <v>https://crm.zoho.com/crm/org685875245/tab/Accounts/3525045000278421021</v>
      </c>
      <c r="M83" s="553" t="s">
        <v>96</v>
      </c>
      <c r="N83" s="558" t="s">
        <v>724</v>
      </c>
      <c r="O83" s="559" t="s">
        <v>725</v>
      </c>
      <c r="P83" s="559">
        <v>7291052817</v>
      </c>
      <c r="Q83" s="575" t="s">
        <v>726</v>
      </c>
      <c r="R83" s="558"/>
      <c r="S83" s="352"/>
      <c r="T83" s="351"/>
      <c r="U83" s="354" t="s">
        <v>82</v>
      </c>
      <c r="V83" s="355">
        <v>782.19</v>
      </c>
      <c r="W83" s="355">
        <v>781.48</v>
      </c>
      <c r="X83" s="355">
        <v>774.75</v>
      </c>
      <c r="Y83" s="356">
        <v>887.72</v>
      </c>
      <c r="Z83" s="337">
        <v>808.79240000000004</v>
      </c>
      <c r="AA83" s="365">
        <v>616.07000000000005</v>
      </c>
      <c r="AB83" s="365">
        <v>609.73080000000004</v>
      </c>
      <c r="AC83" s="635">
        <v>624.29660000000001</v>
      </c>
      <c r="AD83" s="365">
        <v>583.99559999999997</v>
      </c>
      <c r="AE83" s="357">
        <v>366</v>
      </c>
      <c r="AF83" s="358">
        <v>500</v>
      </c>
      <c r="AG83" s="354"/>
      <c r="AH83" s="359" t="s">
        <v>727</v>
      </c>
      <c r="AI83" s="370" t="s">
        <v>258</v>
      </c>
      <c r="AJ83" s="361" t="s">
        <v>728</v>
      </c>
      <c r="AK83" s="362" t="s">
        <v>729</v>
      </c>
      <c r="AL83" s="358" t="s">
        <v>728</v>
      </c>
      <c r="AM83" s="349"/>
      <c r="AN83" s="349"/>
      <c r="AO83" s="349"/>
      <c r="AP83" s="349"/>
      <c r="AQ83" s="349"/>
      <c r="AR83" s="453"/>
      <c r="AS83" s="371" t="s">
        <v>88</v>
      </c>
      <c r="AT83" s="345"/>
      <c r="AU83" s="345"/>
      <c r="AV83" s="345"/>
      <c r="AW83" s="345"/>
      <c r="AX83" s="345"/>
      <c r="AY83" s="345"/>
      <c r="AZ83" s="345"/>
      <c r="BA83" s="345"/>
      <c r="BB83" s="345"/>
      <c r="BC83" s="345"/>
      <c r="BD83" s="345"/>
      <c r="BE83" s="345"/>
      <c r="BF83" s="345"/>
      <c r="BG83" s="345"/>
      <c r="BH83" s="345"/>
      <c r="BI83" s="345"/>
      <c r="BJ83" s="364">
        <f>COUNTIF(AT83:BI83,"*OP*")</f>
        <v>0</v>
      </c>
      <c r="BK83" s="363" t="s">
        <v>103</v>
      </c>
      <c r="BL83" s="349">
        <f>(COUNTIF(AT83:AV83,"*OK*")*3) + (COUNTIF(AW83:AY83,"*OK*")*2) + COUNTIF(AZ83:BB83,"*OK*")+COUNTIF(BK83:BK83,"SI")*0.5</f>
        <v>0</v>
      </c>
      <c r="BM83" s="349" t="str">
        <f>IF(BL83&lt;0.6,"Demasiado Riesgo",IF(BL83&lt;=5,"Riesgo Medio",IF(BL83&lt;=11,"Riesgo Bajo","Cliente Blindado")))</f>
        <v>Demasiado Riesgo</v>
      </c>
      <c r="BN83" s="349"/>
      <c r="BO83" s="328"/>
      <c r="BP83" s="328">
        <v>0</v>
      </c>
      <c r="BQ83" s="328"/>
      <c r="BR83" s="328"/>
      <c r="BS83" s="328"/>
      <c r="BT83" s="328"/>
      <c r="BU83" s="328"/>
      <c r="BV83" s="328"/>
      <c r="BW83" s="328"/>
      <c r="BX83" s="328"/>
      <c r="BY83" s="328"/>
      <c r="BZ83" s="328"/>
      <c r="CA83" s="328"/>
      <c r="CB83" s="328"/>
      <c r="CC83" s="328"/>
      <c r="CD83" s="328"/>
      <c r="CE83" s="328"/>
      <c r="CF83" s="328"/>
      <c r="CG83" s="328"/>
      <c r="CH83" s="328"/>
      <c r="CI83" s="328"/>
      <c r="CJ83" s="328"/>
      <c r="CK83" s="328"/>
      <c r="CL83" s="328">
        <f>COUNTIF(AT83:BH83,"*OK*")</f>
        <v>0</v>
      </c>
      <c r="CM83" s="328"/>
      <c r="CN83" s="328">
        <f>COUNTIF(AT83:BH83,"*OP*")</f>
        <v>0</v>
      </c>
    </row>
    <row r="84" spans="1:94" ht="14.25" customHeight="1">
      <c r="A84" s="836">
        <v>2075</v>
      </c>
      <c r="B84" s="560" t="s">
        <v>730</v>
      </c>
      <c r="C84" s="329">
        <f t="shared" si="3"/>
        <v>551.6893</v>
      </c>
      <c r="D84" s="332">
        <f>COUNTIF(AT84:BH84,"*OK*")</f>
        <v>0</v>
      </c>
      <c r="E84" s="331" t="s">
        <v>73</v>
      </c>
      <c r="F84" s="331" t="s">
        <v>731</v>
      </c>
      <c r="G84" s="533"/>
      <c r="H84" s="650">
        <f>IF(LEN(TRIM($G84&amp;""))=0, $C84, SUMIF($G$3:$G$561, TRIM($G84), $C$3:$C$561))</f>
        <v>551.6893</v>
      </c>
      <c r="I84" s="410" t="s">
        <v>76</v>
      </c>
      <c r="J84" s="331"/>
      <c r="K84" s="560"/>
      <c r="L84" s="560" t="str">
        <f>HYPERLINK("https://crm.zoho.com/crm/org685875245/tab/Accounts/3525045000025415384","https://crm.zoho.com/crm/org685875245/tab/Accounts/3525045000025415384")</f>
        <v>https://crm.zoho.com/crm/org685875245/tab/Accounts/3525045000025415384</v>
      </c>
      <c r="M84" s="391" t="s">
        <v>96</v>
      </c>
      <c r="N84" s="560"/>
      <c r="O84" s="561" t="s">
        <v>732</v>
      </c>
      <c r="P84" s="561" t="s">
        <v>733</v>
      </c>
      <c r="Q84" s="561" t="s">
        <v>734</v>
      </c>
      <c r="R84" s="560"/>
      <c r="S84" s="332"/>
      <c r="T84" s="331"/>
      <c r="U84" s="334" t="s">
        <v>394</v>
      </c>
      <c r="V84" s="335">
        <v>544.42999999999995</v>
      </c>
      <c r="W84" s="335">
        <v>521.82000000000005</v>
      </c>
      <c r="X84" s="335">
        <v>514.15</v>
      </c>
      <c r="Y84" s="336">
        <v>548.1</v>
      </c>
      <c r="Z84" s="337">
        <v>551.06389999999999</v>
      </c>
      <c r="AA84" s="338">
        <v>579.9</v>
      </c>
      <c r="AB84" s="338">
        <v>611.17650000000003</v>
      </c>
      <c r="AC84" s="634">
        <v>617.93460000000005</v>
      </c>
      <c r="AD84" s="338">
        <v>551.6893</v>
      </c>
      <c r="AE84" s="339">
        <v>136</v>
      </c>
      <c r="AF84" s="340">
        <v>100</v>
      </c>
      <c r="AG84" s="334"/>
      <c r="AH84" s="341" t="s">
        <v>83</v>
      </c>
      <c r="AI84" s="342" t="s">
        <v>83</v>
      </c>
      <c r="AJ84" s="343" t="s">
        <v>120</v>
      </c>
      <c r="AK84" s="344" t="s">
        <v>735</v>
      </c>
      <c r="AL84" s="340" t="s">
        <v>396</v>
      </c>
      <c r="AM84" s="328"/>
      <c r="AN84" s="328"/>
      <c r="AO84" s="328"/>
      <c r="AP84" s="328"/>
      <c r="AQ84" s="328"/>
      <c r="AR84" s="451"/>
      <c r="AS84" s="372" t="s">
        <v>103</v>
      </c>
      <c r="AT84" s="345"/>
      <c r="AU84" s="345"/>
      <c r="AV84" s="345"/>
      <c r="AW84" s="345"/>
      <c r="AX84" s="345"/>
      <c r="AY84" s="345"/>
      <c r="AZ84" s="345"/>
      <c r="BA84" s="345"/>
      <c r="BB84" s="345"/>
      <c r="BC84" s="345"/>
      <c r="BD84" s="345"/>
      <c r="BE84" s="345"/>
      <c r="BF84" s="345"/>
      <c r="BG84" s="345"/>
      <c r="BH84" s="345"/>
      <c r="BI84" s="345"/>
      <c r="BJ84" s="364">
        <f>COUNTIF(AT84:BI84,"*OP*")</f>
        <v>0</v>
      </c>
      <c r="BK84" s="375" t="s">
        <v>103</v>
      </c>
      <c r="BL84" s="328">
        <f>(COUNTIF(AT84:AV84,"*OK*")*3) + (COUNTIF(AW84:AY84,"*OK*")*2) + COUNTIF(AZ84:BB84,"*OK*")+COUNTIF(BK84:BK84,"SI")*0.5</f>
        <v>0</v>
      </c>
      <c r="BM84" s="328" t="str">
        <f>IF(BL84&lt;0.6,"Demasiado Riesgo",IF(BL84&lt;=5,"Riesgo Medio",IF(BL84&lt;=11,"Riesgo Bajo","Cliente Blindado")))</f>
        <v>Demasiado Riesgo</v>
      </c>
      <c r="BN84" s="328"/>
      <c r="BO84" s="328"/>
      <c r="BP84" s="328">
        <v>0</v>
      </c>
      <c r="BQ84" s="328"/>
      <c r="BR84" s="328"/>
      <c r="BS84" s="328"/>
      <c r="BT84" s="328"/>
      <c r="BU84" s="328"/>
      <c r="BV84" s="328"/>
      <c r="BW84" s="328"/>
      <c r="BX84" s="328"/>
      <c r="BY84" s="328"/>
      <c r="BZ84" s="328"/>
      <c r="CA84" s="328"/>
      <c r="CB84" s="328"/>
      <c r="CC84" s="328"/>
      <c r="CD84" s="328"/>
      <c r="CE84" s="328"/>
      <c r="CF84" s="328"/>
      <c r="CG84" s="328"/>
      <c r="CH84" s="328"/>
      <c r="CI84" s="328"/>
      <c r="CJ84" s="328"/>
      <c r="CK84" s="328"/>
      <c r="CL84" s="328">
        <f>COUNTIF(AT84:BH84,"*OK*")</f>
        <v>0</v>
      </c>
      <c r="CM84" s="328"/>
      <c r="CN84" s="328">
        <f>COUNTIF(AT84:BH84,"*OP*")</f>
        <v>0</v>
      </c>
    </row>
    <row r="85" spans="1:94" ht="14.25" customHeight="1">
      <c r="A85" s="835">
        <v>35128</v>
      </c>
      <c r="B85" s="560" t="s">
        <v>736</v>
      </c>
      <c r="C85" s="329">
        <f t="shared" si="3"/>
        <v>564.98339999999996</v>
      </c>
      <c r="D85" s="352">
        <f>COUNTIF(AT85:BH85,"*OK*")</f>
        <v>0</v>
      </c>
      <c r="E85" s="351" t="s">
        <v>93</v>
      </c>
      <c r="F85" s="433" t="s">
        <v>737</v>
      </c>
      <c r="G85" s="622"/>
      <c r="H85" s="650">
        <f>IF(LEN(TRIM($G85&amp;""))=0, $C85, SUMIF($G$3:$G$561, TRIM($G85), $C$3:$C$561))</f>
        <v>564.98339999999996</v>
      </c>
      <c r="I85" s="353" t="s">
        <v>76</v>
      </c>
      <c r="J85" s="351"/>
      <c r="K85" s="349"/>
      <c r="L85" s="349"/>
      <c r="M85" s="553" t="s">
        <v>167</v>
      </c>
      <c r="N85" s="684" t="s">
        <v>738</v>
      </c>
      <c r="O85" s="687" t="s">
        <v>739</v>
      </c>
      <c r="P85" s="687" t="s">
        <v>740</v>
      </c>
      <c r="Q85" s="687" t="s">
        <v>741</v>
      </c>
      <c r="R85" s="684"/>
      <c r="S85" s="684"/>
      <c r="T85" s="351"/>
      <c r="U85" s="362" t="s">
        <v>82</v>
      </c>
      <c r="V85" s="355">
        <v>684.45</v>
      </c>
      <c r="W85" s="355">
        <v>707</v>
      </c>
      <c r="X85" s="355">
        <v>680.66</v>
      </c>
      <c r="Y85" s="356">
        <v>684.05</v>
      </c>
      <c r="Z85" s="337">
        <v>691.80859999999996</v>
      </c>
      <c r="AA85" s="365">
        <v>679.94</v>
      </c>
      <c r="AB85" s="365">
        <v>685.67349999999999</v>
      </c>
      <c r="AC85" s="635">
        <v>611.28750000000002</v>
      </c>
      <c r="AD85" s="365">
        <v>564.98339999999996</v>
      </c>
      <c r="AE85" s="357">
        <v>438</v>
      </c>
      <c r="AF85" s="358">
        <v>200</v>
      </c>
      <c r="AG85" s="354"/>
      <c r="AH85" s="359"/>
      <c r="AI85" s="361" t="s">
        <v>83</v>
      </c>
      <c r="AJ85" s="361" t="s">
        <v>396</v>
      </c>
      <c r="AK85" s="362" t="s">
        <v>742</v>
      </c>
      <c r="AL85" s="358" t="s">
        <v>103</v>
      </c>
      <c r="AM85" s="349"/>
      <c r="AN85" s="349" t="s">
        <v>484</v>
      </c>
      <c r="AO85" s="349"/>
      <c r="AP85" s="349"/>
      <c r="AQ85" s="349"/>
      <c r="AR85" s="453"/>
      <c r="AS85" s="371" t="s">
        <v>103</v>
      </c>
      <c r="AT85" s="345"/>
      <c r="AU85" s="345"/>
      <c r="AV85" s="345"/>
      <c r="AW85" s="345"/>
      <c r="AX85" s="345"/>
      <c r="AY85" s="345"/>
      <c r="AZ85" s="345"/>
      <c r="BA85" s="345"/>
      <c r="BB85" s="345"/>
      <c r="BC85" s="345"/>
      <c r="BD85" s="345"/>
      <c r="BE85" s="345"/>
      <c r="BF85" s="345"/>
      <c r="BG85" s="345"/>
      <c r="BH85" s="345"/>
      <c r="BI85" s="345"/>
      <c r="BJ85" s="364">
        <f>COUNTIF(AT85:BI85,"*OP*")</f>
        <v>0</v>
      </c>
      <c r="BK85" s="363" t="s">
        <v>103</v>
      </c>
      <c r="BL85" s="349">
        <f>(COUNTIF(AT85:AV85,"*OK*")*3) + (COUNTIF(AW85:AY85,"*OK*")*2) + COUNTIF(AZ85:BB85,"*OK*")+COUNTIF(BK85:BK85,"SI")*0.5</f>
        <v>0</v>
      </c>
      <c r="BM85" s="349" t="str">
        <f>IF(BL85&lt;0.6,"Demasiado Riesgo",IF(BL85&lt;=5,"Riesgo Medio",IF(BL85&lt;=11,"Riesgo Bajo","Cliente Blindado")))</f>
        <v>Demasiado Riesgo</v>
      </c>
      <c r="BN85" s="349"/>
      <c r="BO85" s="328"/>
      <c r="BP85" s="328">
        <v>0</v>
      </c>
      <c r="BQ85" s="328"/>
      <c r="BR85" s="328"/>
      <c r="BS85" s="328"/>
      <c r="BT85" s="328"/>
      <c r="BU85" s="328"/>
      <c r="BV85" s="328"/>
      <c r="BW85" s="328"/>
      <c r="BX85" s="328"/>
      <c r="BY85" s="328"/>
      <c r="BZ85" s="328"/>
      <c r="CA85" s="328"/>
      <c r="CB85" s="328"/>
      <c r="CC85" s="328"/>
      <c r="CD85" s="328"/>
      <c r="CE85" s="328"/>
      <c r="CF85" s="328"/>
      <c r="CG85" s="328"/>
      <c r="CH85" s="328"/>
      <c r="CI85" s="328"/>
      <c r="CJ85" s="328"/>
      <c r="CK85" s="328"/>
      <c r="CL85" s="328">
        <f>COUNTIF(AT85:BH85,"*OK*")</f>
        <v>0</v>
      </c>
      <c r="CM85" s="328"/>
      <c r="CN85" s="328">
        <f>COUNTIF(AT85:BH85,"*OP*")</f>
        <v>0</v>
      </c>
    </row>
    <row r="86" spans="1:94" ht="14.25" customHeight="1">
      <c r="A86" s="837">
        <v>25238</v>
      </c>
      <c r="B86" s="560" t="s">
        <v>743</v>
      </c>
      <c r="C86" s="329">
        <f t="shared" si="3"/>
        <v>560.94039999999995</v>
      </c>
      <c r="D86" s="352">
        <f>COUNTIF(AT86:BH86,"*OK*")</f>
        <v>0</v>
      </c>
      <c r="E86" s="331" t="s">
        <v>73</v>
      </c>
      <c r="F86" s="351" t="s">
        <v>744</v>
      </c>
      <c r="G86" s="622"/>
      <c r="H86" s="650">
        <f>IF(LEN(TRIM($G86&amp;""))=0, $C86, SUMIF($G$3:$G$561, TRIM($G86), $C$3:$C$561))</f>
        <v>560.94039999999995</v>
      </c>
      <c r="I86" s="413" t="s">
        <v>76</v>
      </c>
      <c r="J86" s="351"/>
      <c r="K86" s="558"/>
      <c r="L86" s="558" t="str">
        <f>HYPERLINK("https://crm.zoho.com/crm/org685875245/tab/Accounts/3525045000269171061","https://crm.zoho.com/crm/org685875245/tab/Accounts/3525045000269171061")</f>
        <v>https://crm.zoho.com/crm/org685875245/tab/Accounts/3525045000269171061</v>
      </c>
      <c r="M86" s="553" t="s">
        <v>167</v>
      </c>
      <c r="N86" s="558"/>
      <c r="O86" s="559" t="s">
        <v>745</v>
      </c>
      <c r="P86" s="559" t="s">
        <v>746</v>
      </c>
      <c r="Q86" s="559" t="s">
        <v>747</v>
      </c>
      <c r="R86" s="558"/>
      <c r="S86" s="352"/>
      <c r="T86" s="351"/>
      <c r="U86" s="354" t="s">
        <v>142</v>
      </c>
      <c r="V86" s="355">
        <v>558.54</v>
      </c>
      <c r="W86" s="355">
        <v>568.36</v>
      </c>
      <c r="X86" s="355">
        <v>538.36</v>
      </c>
      <c r="Y86" s="356">
        <v>548.91</v>
      </c>
      <c r="Z86" s="337">
        <v>570.02949999999998</v>
      </c>
      <c r="AA86" s="367">
        <v>597.74</v>
      </c>
      <c r="AB86" s="367">
        <v>582.23469999999998</v>
      </c>
      <c r="AC86" s="636">
        <v>596.42650000000003</v>
      </c>
      <c r="AD86" s="367">
        <v>560.94039999999995</v>
      </c>
      <c r="AE86" s="357">
        <v>170</v>
      </c>
      <c r="AF86" s="358">
        <v>500</v>
      </c>
      <c r="AG86" s="354"/>
      <c r="AH86" s="359" t="s">
        <v>221</v>
      </c>
      <c r="AI86" s="370" t="s">
        <v>100</v>
      </c>
      <c r="AJ86" s="361" t="s">
        <v>574</v>
      </c>
      <c r="AK86" s="362" t="s">
        <v>748</v>
      </c>
      <c r="AL86" s="358" t="s">
        <v>662</v>
      </c>
      <c r="AM86" s="349"/>
      <c r="AN86" s="349"/>
      <c r="AO86" s="349"/>
      <c r="AP86" s="349"/>
      <c r="AQ86" s="349"/>
      <c r="AR86" s="453"/>
      <c r="AS86" s="371" t="s">
        <v>88</v>
      </c>
      <c r="AT86" s="345"/>
      <c r="AU86" s="345"/>
      <c r="AV86" s="345"/>
      <c r="AW86" s="345"/>
      <c r="AX86" s="345"/>
      <c r="AY86" s="345" t="s">
        <v>749</v>
      </c>
      <c r="AZ86" s="345"/>
      <c r="BA86" s="345"/>
      <c r="BB86" s="345"/>
      <c r="BC86" s="345"/>
      <c r="BD86" s="345"/>
      <c r="BE86" s="345"/>
      <c r="BF86" s="345"/>
      <c r="BG86" s="345"/>
      <c r="BH86" s="345"/>
      <c r="BI86" s="345"/>
      <c r="BJ86" s="364">
        <f>COUNTIF(AT86:BI86,"*OP*")</f>
        <v>1</v>
      </c>
      <c r="BK86" s="363" t="s">
        <v>89</v>
      </c>
      <c r="BL86" s="349">
        <f>(COUNTIF(AT86:AV86,"*OK*")*3) + (COUNTIF(AW86:AY86,"*OK*")*2) + COUNTIF(AZ86:BB86,"*OK*")+COUNTIF(BK86:BK86,"SI")*0.5</f>
        <v>0</v>
      </c>
      <c r="BM86" s="349" t="str">
        <f>IF(BL86&lt;0.6,"Demasiado Riesgo",IF(BL86&lt;=5,"Riesgo Medio",IF(BL86&lt;=11,"Riesgo Bajo","Cliente Blindado")))</f>
        <v>Demasiado Riesgo</v>
      </c>
      <c r="BN86" s="349"/>
      <c r="BO86" s="328"/>
      <c r="BP86" s="328">
        <v>0</v>
      </c>
      <c r="BQ86" s="328"/>
      <c r="BR86" s="328"/>
      <c r="BS86" s="328"/>
      <c r="BT86" s="328"/>
      <c r="BU86" s="328"/>
      <c r="BV86" s="328"/>
      <c r="BW86" s="328"/>
      <c r="BX86" s="328"/>
      <c r="BY86" s="328"/>
      <c r="BZ86" s="328"/>
      <c r="CA86" s="328"/>
      <c r="CB86" s="328"/>
      <c r="CC86" s="328"/>
      <c r="CD86" s="328"/>
      <c r="CE86" s="328"/>
      <c r="CF86" s="328"/>
      <c r="CG86" s="328"/>
      <c r="CH86" s="328"/>
      <c r="CI86" s="328"/>
      <c r="CJ86" s="328"/>
      <c r="CK86" s="328"/>
      <c r="CL86" s="328">
        <f>COUNTIF(AT86:BH86,"*OK*")</f>
        <v>0</v>
      </c>
      <c r="CM86" s="328"/>
      <c r="CN86" s="328">
        <f>COUNTIF(AT86:BH86,"*OP*")</f>
        <v>1</v>
      </c>
    </row>
    <row r="87" spans="1:94" ht="14.25" customHeight="1">
      <c r="A87" s="834">
        <v>6588</v>
      </c>
      <c r="B87" s="560" t="s">
        <v>750</v>
      </c>
      <c r="C87" s="329">
        <f t="shared" si="3"/>
        <v>540.78369999999995</v>
      </c>
      <c r="D87" s="332">
        <f>COUNTIF(AT87:BH87,"*OK*")</f>
        <v>0</v>
      </c>
      <c r="E87" s="331" t="s">
        <v>93</v>
      </c>
      <c r="F87" s="331" t="s">
        <v>751</v>
      </c>
      <c r="G87" s="533" t="s">
        <v>358</v>
      </c>
      <c r="H87" s="650">
        <f>IF(LEN(TRIM($G87&amp;""))=0, $C87, SUMIF($G$3:$G$561, TRIM($G87), $C$3:$C$561))</f>
        <v>2091.1147999999998</v>
      </c>
      <c r="I87" s="410" t="s">
        <v>76</v>
      </c>
      <c r="J87" s="331"/>
      <c r="K87" s="328"/>
      <c r="L87" s="328"/>
      <c r="M87" s="341" t="s">
        <v>96</v>
      </c>
      <c r="N87" s="341"/>
      <c r="O87" s="548" t="s">
        <v>82</v>
      </c>
      <c r="P87" s="548" t="s">
        <v>82</v>
      </c>
      <c r="Q87" s="548" t="s">
        <v>82</v>
      </c>
      <c r="R87" s="359" t="s">
        <v>111</v>
      </c>
      <c r="S87" s="341"/>
      <c r="T87" s="331"/>
      <c r="U87" s="344" t="s">
        <v>82</v>
      </c>
      <c r="V87" s="335">
        <v>560.61</v>
      </c>
      <c r="W87" s="335">
        <v>582.99</v>
      </c>
      <c r="X87" s="335">
        <v>546.85</v>
      </c>
      <c r="Y87" s="336">
        <v>571.17999999999995</v>
      </c>
      <c r="Z87" s="337">
        <v>597.12180000000001</v>
      </c>
      <c r="AA87" s="338">
        <v>555.78</v>
      </c>
      <c r="AB87" s="338">
        <v>572.96950000000004</v>
      </c>
      <c r="AC87" s="634">
        <v>555.9239</v>
      </c>
      <c r="AD87" s="338">
        <v>540.78369999999995</v>
      </c>
      <c r="AE87" s="339">
        <v>858</v>
      </c>
      <c r="AF87" s="340">
        <v>200</v>
      </c>
      <c r="AG87" s="334"/>
      <c r="AH87" s="341"/>
      <c r="AI87" s="342" t="s">
        <v>83</v>
      </c>
      <c r="AJ87" s="343" t="s">
        <v>130</v>
      </c>
      <c r="AK87" s="344" t="s">
        <v>752</v>
      </c>
      <c r="AL87" s="340" t="s">
        <v>103</v>
      </c>
      <c r="AM87" s="328"/>
      <c r="AN87" s="328" t="s">
        <v>152</v>
      </c>
      <c r="AO87" s="328"/>
      <c r="AP87" s="328"/>
      <c r="AQ87" s="328"/>
      <c r="AR87" s="451"/>
      <c r="AS87" s="344"/>
      <c r="AT87" s="345"/>
      <c r="AU87" s="345"/>
      <c r="AV87" s="345"/>
      <c r="AW87" s="345"/>
      <c r="AX87" s="345"/>
      <c r="AY87" s="345"/>
      <c r="AZ87" s="345"/>
      <c r="BA87" s="345"/>
      <c r="BB87" s="345"/>
      <c r="BC87" s="345"/>
      <c r="BD87" s="345"/>
      <c r="BE87" s="345"/>
      <c r="BF87" s="345"/>
      <c r="BG87" s="345"/>
      <c r="BH87" s="345"/>
      <c r="BI87" s="345"/>
      <c r="BJ87" s="364">
        <f>COUNTIF(AT87:BI87,"*OP*")</f>
        <v>0</v>
      </c>
      <c r="BK87" s="375" t="s">
        <v>103</v>
      </c>
      <c r="BL87" s="328">
        <f>(COUNTIF(AT87:AV87,"*OK*")*3) + (COUNTIF(AW87:AY87,"*OK*")*2) + COUNTIF(AZ87:BB87,"*OK*")+COUNTIF(BK87:BK87,"SI")*0.5</f>
        <v>0</v>
      </c>
      <c r="BM87" s="328" t="str">
        <f>IF(BL87&lt;0.6,"Demasiado Riesgo",IF(BL87&lt;=5,"Riesgo Medio",IF(BL87&lt;=11,"Riesgo Bajo","Cliente Blindado")))</f>
        <v>Demasiado Riesgo</v>
      </c>
      <c r="BN87" s="328"/>
      <c r="BO87" s="349"/>
      <c r="BP87" s="349">
        <v>0</v>
      </c>
      <c r="BQ87" s="349"/>
      <c r="BR87" s="349"/>
      <c r="BS87" s="349"/>
      <c r="BT87" s="349"/>
      <c r="BU87" s="349"/>
      <c r="BV87" s="349"/>
      <c r="BW87" s="349"/>
      <c r="BX87" s="349"/>
      <c r="BY87" s="349"/>
      <c r="BZ87" s="349"/>
      <c r="CA87" s="349"/>
      <c r="CB87" s="349"/>
      <c r="CC87" s="349"/>
      <c r="CD87" s="349"/>
      <c r="CE87" s="349"/>
      <c r="CF87" s="349"/>
      <c r="CG87" s="349"/>
      <c r="CH87" s="349"/>
      <c r="CI87" s="349"/>
      <c r="CJ87" s="349"/>
      <c r="CK87" s="349"/>
      <c r="CL87" s="349">
        <f>COUNTIF(AT87:BH87,"*OK*")</f>
        <v>0</v>
      </c>
      <c r="CM87" s="349"/>
      <c r="CN87" s="349">
        <f>COUNTIF(AT87:BH87,"*OP*")</f>
        <v>0</v>
      </c>
      <c r="CP87" s="425"/>
    </row>
    <row r="88" spans="1:94" s="285" customFormat="1" ht="14.25" customHeight="1">
      <c r="A88" s="834">
        <v>27573</v>
      </c>
      <c r="B88" s="560" t="s">
        <v>753</v>
      </c>
      <c r="C88" s="329">
        <f t="shared" si="3"/>
        <v>544.82560000000001</v>
      </c>
      <c r="D88" s="332">
        <f>COUNTIF(AT88:BH88,"*OK*")</f>
        <v>0</v>
      </c>
      <c r="E88" s="331" t="s">
        <v>73</v>
      </c>
      <c r="F88" s="331" t="s">
        <v>754</v>
      </c>
      <c r="G88" s="533"/>
      <c r="H88" s="650">
        <f>IF(LEN(TRIM($G88&amp;""))=0, $C88, SUMIF($G$3:$G$561, TRIM($G88), $C$3:$C$561))</f>
        <v>544.82560000000001</v>
      </c>
      <c r="I88" s="333" t="s">
        <v>76</v>
      </c>
      <c r="J88" s="331"/>
      <c r="K88" s="560"/>
      <c r="L88" s="560" t="str">
        <f>HYPERLINK("https://crm.zoho.com/crm/org685875245/tab/Accounts/3525045000374297001","https://crm.zoho.com/crm/org685875245/tab/Accounts/3525045000374297001")</f>
        <v>https://crm.zoho.com/crm/org685875245/tab/Accounts/3525045000374297001</v>
      </c>
      <c r="M88" s="391" t="s">
        <v>77</v>
      </c>
      <c r="N88" s="560"/>
      <c r="O88" s="561" t="s">
        <v>755</v>
      </c>
      <c r="P88" s="561">
        <v>5585516857</v>
      </c>
      <c r="Q88" s="576" t="s">
        <v>756</v>
      </c>
      <c r="R88" s="560"/>
      <c r="S88" s="332"/>
      <c r="T88" s="331"/>
      <c r="U88" s="334" t="s">
        <v>315</v>
      </c>
      <c r="V88" s="335">
        <v>553.38</v>
      </c>
      <c r="W88" s="335">
        <v>545.66</v>
      </c>
      <c r="X88" s="335">
        <v>503.97</v>
      </c>
      <c r="Y88" s="336">
        <v>522.55999999999995</v>
      </c>
      <c r="Z88" s="337">
        <v>529.59209999999996</v>
      </c>
      <c r="AA88" s="347">
        <v>516.67999999999995</v>
      </c>
      <c r="AB88" s="347">
        <v>528.20370000000003</v>
      </c>
      <c r="AC88" s="638">
        <v>550.08420000000001</v>
      </c>
      <c r="AD88" s="347">
        <v>544.82560000000001</v>
      </c>
      <c r="AE88" s="339">
        <v>210</v>
      </c>
      <c r="AF88" s="340">
        <v>500</v>
      </c>
      <c r="AG88" s="334"/>
      <c r="AH88" s="341" t="s">
        <v>472</v>
      </c>
      <c r="AI88" s="342" t="s">
        <v>83</v>
      </c>
      <c r="AJ88" s="343" t="s">
        <v>161</v>
      </c>
      <c r="AK88" s="344" t="s">
        <v>757</v>
      </c>
      <c r="AL88" s="340" t="s">
        <v>161</v>
      </c>
      <c r="AM88" s="328"/>
      <c r="AN88" s="328"/>
      <c r="AO88" s="328"/>
      <c r="AP88" s="328"/>
      <c r="AQ88" s="328"/>
      <c r="AR88" s="451"/>
      <c r="AS88" s="375" t="s">
        <v>103</v>
      </c>
      <c r="AT88" s="345"/>
      <c r="AU88" s="345"/>
      <c r="AV88" s="345"/>
      <c r="AW88" s="345"/>
      <c r="AX88" s="345"/>
      <c r="AY88" s="345"/>
      <c r="AZ88" s="345"/>
      <c r="BA88" s="345"/>
      <c r="BB88" s="345"/>
      <c r="BC88" s="345"/>
      <c r="BD88" s="345"/>
      <c r="BE88" s="345"/>
      <c r="BF88" s="345"/>
      <c r="BG88" s="345"/>
      <c r="BH88" s="345"/>
      <c r="BI88" s="345"/>
      <c r="BJ88" s="364">
        <f>COUNTIF(AT88:BI88,"*OP*")</f>
        <v>0</v>
      </c>
      <c r="BK88" s="375" t="s">
        <v>103</v>
      </c>
      <c r="BL88" s="328">
        <f>(COUNTIF(AT88:AV88,"*OK*")*3) + (COUNTIF(AW88:AY88,"*OK*")*2) + COUNTIF(AZ88:BB88,"*OK*")+COUNTIF(BK88:BK88,"SI")*0.5</f>
        <v>0</v>
      </c>
      <c r="BM88" s="328" t="str">
        <f>IF(BL88&lt;0.6,"Demasiado Riesgo",IF(BL88&lt;=5,"Riesgo Medio",IF(BL88&lt;=11,"Riesgo Bajo","Cliente Blindado")))</f>
        <v>Demasiado Riesgo</v>
      </c>
      <c r="BN88" s="328"/>
      <c r="BO88" s="349"/>
      <c r="BP88" s="349">
        <v>0</v>
      </c>
      <c r="BQ88" s="349"/>
      <c r="BR88" s="349"/>
      <c r="BS88" s="349"/>
      <c r="BT88" s="349"/>
      <c r="BU88" s="349"/>
      <c r="BV88" s="349"/>
      <c r="BW88" s="349"/>
      <c r="BX88" s="349"/>
      <c r="BY88" s="349"/>
      <c r="BZ88" s="349"/>
      <c r="CA88" s="349"/>
      <c r="CB88" s="349"/>
      <c r="CC88" s="349"/>
      <c r="CD88" s="349"/>
      <c r="CE88" s="349"/>
      <c r="CF88" s="349"/>
      <c r="CG88" s="349"/>
      <c r="CH88" s="349"/>
      <c r="CI88" s="349"/>
      <c r="CJ88" s="349"/>
      <c r="CK88" s="349"/>
      <c r="CL88" s="349">
        <f>COUNTIF(AT88:BH88,"*OK*")</f>
        <v>0</v>
      </c>
      <c r="CM88" s="349"/>
      <c r="CN88" s="349">
        <f>COUNTIF(AT88:BH88,"*OP*")</f>
        <v>0</v>
      </c>
      <c r="CO88" s="287"/>
      <c r="CP88" s="287"/>
    </row>
    <row r="89" spans="1:94" s="285" customFormat="1" ht="14.25" customHeight="1">
      <c r="A89" s="835">
        <v>23652</v>
      </c>
      <c r="B89" s="560" t="s">
        <v>758</v>
      </c>
      <c r="C89" s="329">
        <f t="shared" si="3"/>
        <v>555.14400000000001</v>
      </c>
      <c r="D89" s="352">
        <f>COUNTIF(AT89:BH89,"*OK*")</f>
        <v>1</v>
      </c>
      <c r="E89" s="351" t="s">
        <v>93</v>
      </c>
      <c r="F89" s="351" t="s">
        <v>759</v>
      </c>
      <c r="G89" s="622"/>
      <c r="H89" s="650">
        <f>IF(LEN(TRIM($G89&amp;""))=0, $C89, SUMIF($G$3:$G$561, TRIM($G89), $C$3:$C$561))</f>
        <v>555.14400000000001</v>
      </c>
      <c r="I89" s="413" t="s">
        <v>76</v>
      </c>
      <c r="J89" s="351"/>
      <c r="K89" s="349"/>
      <c r="L89" s="349" t="str">
        <f>HYPERLINK("https://crm.zoho.com/crm/org685875245/tab/Accounts/3525045000318641064","https://crm.zoho.com/crm/org685875245/tab/Accounts/3525045000318641064")</f>
        <v>https://crm.zoho.com/crm/org685875245/tab/Accounts/3525045000318641064</v>
      </c>
      <c r="M89" s="359" t="s">
        <v>96</v>
      </c>
      <c r="N89" s="359"/>
      <c r="O89" s="545" t="s">
        <v>760</v>
      </c>
      <c r="P89" s="545" t="s">
        <v>761</v>
      </c>
      <c r="Q89" s="545" t="s">
        <v>762</v>
      </c>
      <c r="R89" s="359"/>
      <c r="S89" s="359"/>
      <c r="T89" s="351"/>
      <c r="U89" s="362" t="s">
        <v>82</v>
      </c>
      <c r="V89" s="355">
        <v>1791.87</v>
      </c>
      <c r="W89" s="355">
        <v>501.19</v>
      </c>
      <c r="X89" s="355">
        <v>517.15</v>
      </c>
      <c r="Y89" s="356">
        <v>432.99</v>
      </c>
      <c r="Z89" s="337">
        <v>517.87900000000002</v>
      </c>
      <c r="AA89" s="367">
        <v>544.78</v>
      </c>
      <c r="AB89" s="367">
        <v>515.20699999999999</v>
      </c>
      <c r="AC89" s="636">
        <v>543.4171</v>
      </c>
      <c r="AD89" s="367">
        <v>555.14400000000001</v>
      </c>
      <c r="AE89" s="357">
        <v>1507</v>
      </c>
      <c r="AF89" s="358">
        <v>300</v>
      </c>
      <c r="AG89" s="354"/>
      <c r="AH89" s="359"/>
      <c r="AI89" s="370" t="s">
        <v>83</v>
      </c>
      <c r="AJ89" s="361" t="s">
        <v>113</v>
      </c>
      <c r="AK89" s="362" t="s">
        <v>763</v>
      </c>
      <c r="AL89" s="358" t="s">
        <v>103</v>
      </c>
      <c r="AM89" s="349"/>
      <c r="AN89" s="349" t="s">
        <v>152</v>
      </c>
      <c r="AO89" s="349"/>
      <c r="AP89" s="349"/>
      <c r="AQ89" s="349"/>
      <c r="AR89" s="453"/>
      <c r="AS89" s="362"/>
      <c r="AT89" s="345"/>
      <c r="AU89" s="345"/>
      <c r="AV89" s="345"/>
      <c r="AW89" s="345" t="s">
        <v>764</v>
      </c>
      <c r="AX89" s="345"/>
      <c r="AY89" s="345"/>
      <c r="AZ89" s="345"/>
      <c r="BA89" s="345"/>
      <c r="BB89" s="345"/>
      <c r="BC89" s="345"/>
      <c r="BD89" s="345"/>
      <c r="BE89" s="345"/>
      <c r="BF89" s="345"/>
      <c r="BG89" s="345"/>
      <c r="BH89" s="345"/>
      <c r="BI89" s="345"/>
      <c r="BJ89" s="364">
        <f>COUNTIF(AT89:BI89,"*OP*")</f>
        <v>0</v>
      </c>
      <c r="BK89" s="362" t="s">
        <v>103</v>
      </c>
      <c r="BL89" s="349">
        <f>(COUNTIF(AT89:AV89,"*OK*")*3) + (COUNTIF(AW89:AY89,"*OK*")*2) + COUNTIF(AZ89:BB89,"*OK*")+COUNTIF(BK89:BK89,"SI")*0.5</f>
        <v>2</v>
      </c>
      <c r="BM89" s="349" t="str">
        <f>IF(BL89&lt;0.6,"Demasiado Riesgo",IF(BL89&lt;=5,"Riesgo Medio",IF(BL89&lt;=11,"Riesgo Bajo","Cliente Blindado")))</f>
        <v>Riesgo Medio</v>
      </c>
      <c r="BN89" s="349"/>
      <c r="BO89" s="328"/>
      <c r="BP89" s="328">
        <v>0</v>
      </c>
      <c r="BQ89" s="328"/>
      <c r="BR89" s="328"/>
      <c r="BS89" s="328"/>
      <c r="BT89" s="328"/>
      <c r="BU89" s="328"/>
      <c r="BV89" s="328"/>
      <c r="BW89" s="328"/>
      <c r="BX89" s="328"/>
      <c r="BY89" s="328"/>
      <c r="BZ89" s="328"/>
      <c r="CA89" s="328"/>
      <c r="CB89" s="328"/>
      <c r="CC89" s="328"/>
      <c r="CD89" s="328"/>
      <c r="CE89" s="328"/>
      <c r="CF89" s="328"/>
      <c r="CG89" s="328"/>
      <c r="CH89" s="328"/>
      <c r="CI89" s="328"/>
      <c r="CJ89" s="328"/>
      <c r="CK89" s="328"/>
      <c r="CL89" s="328">
        <f>COUNTIF(AT89:BH89,"*OK*")</f>
        <v>1</v>
      </c>
      <c r="CM89" s="328"/>
      <c r="CN89" s="328">
        <f>COUNTIF(AT89:BH89,"*OP*")</f>
        <v>0</v>
      </c>
      <c r="CO89" s="287"/>
      <c r="CP89" s="287"/>
    </row>
    <row r="90" spans="1:94" ht="14.25" customHeight="1">
      <c r="A90" s="840">
        <v>6975</v>
      </c>
      <c r="B90" s="560" t="s">
        <v>765</v>
      </c>
      <c r="C90" s="329">
        <f t="shared" si="3"/>
        <v>429.91059999999999</v>
      </c>
      <c r="D90" s="332">
        <f>COUNTIF(AT90:BH90,"*OK*")</f>
        <v>1</v>
      </c>
      <c r="E90" s="331" t="s">
        <v>73</v>
      </c>
      <c r="F90" s="331" t="s">
        <v>766</v>
      </c>
      <c r="G90" s="533"/>
      <c r="H90" s="650">
        <f>IF(LEN(TRIM($G90&amp;""))=0, $C90, SUMIF($G$3:$G$561, TRIM($G90), $C$3:$C$561))</f>
        <v>429.91059999999999</v>
      </c>
      <c r="I90" s="410" t="s">
        <v>76</v>
      </c>
      <c r="J90" s="331"/>
      <c r="K90" s="560"/>
      <c r="L90" s="560" t="str">
        <f>HYPERLINK("https://crm.zoho.com/crm/org685875245/tab/Accounts/3525045000094546145","https://crm.zoho.com/crm/org685875245/tab/Accounts/3525045000094546145")</f>
        <v>https://crm.zoho.com/crm/org685875245/tab/Accounts/3525045000094546145</v>
      </c>
      <c r="M90" s="391" t="s">
        <v>96</v>
      </c>
      <c r="N90" s="560"/>
      <c r="O90" s="561" t="s">
        <v>767</v>
      </c>
      <c r="P90" s="561" t="s">
        <v>768</v>
      </c>
      <c r="Q90" s="561" t="s">
        <v>769</v>
      </c>
      <c r="R90" s="560" t="s">
        <v>81</v>
      </c>
      <c r="S90" s="332"/>
      <c r="T90" s="331"/>
      <c r="U90" s="334" t="s">
        <v>82</v>
      </c>
      <c r="V90" s="335">
        <v>540.14</v>
      </c>
      <c r="W90" s="335">
        <v>550.03</v>
      </c>
      <c r="X90" s="335">
        <v>539</v>
      </c>
      <c r="Y90" s="336">
        <v>495.1</v>
      </c>
      <c r="Z90" s="337">
        <v>450.03550000000001</v>
      </c>
      <c r="AA90" s="365">
        <v>434.87</v>
      </c>
      <c r="AB90" s="365">
        <v>448.85570000000001</v>
      </c>
      <c r="AC90" s="635">
        <v>541.17330000000004</v>
      </c>
      <c r="AD90" s="365">
        <v>429.91059999999999</v>
      </c>
      <c r="AE90" s="339">
        <v>108</v>
      </c>
      <c r="AF90" s="340">
        <v>250</v>
      </c>
      <c r="AG90" s="334"/>
      <c r="AH90" s="341" t="s">
        <v>687</v>
      </c>
      <c r="AI90" s="342" t="s">
        <v>258</v>
      </c>
      <c r="AJ90" s="343" t="s">
        <v>84</v>
      </c>
      <c r="AK90" s="344" t="s">
        <v>770</v>
      </c>
      <c r="AL90" s="340" t="s">
        <v>86</v>
      </c>
      <c r="AM90" s="328"/>
      <c r="AN90" s="328"/>
      <c r="AO90" s="328"/>
      <c r="AP90" s="328"/>
      <c r="AQ90" s="328"/>
      <c r="AR90" s="451"/>
      <c r="AS90" s="372" t="s">
        <v>88</v>
      </c>
      <c r="AT90" s="345"/>
      <c r="AU90" s="345"/>
      <c r="AV90" s="421" t="s">
        <v>398</v>
      </c>
      <c r="AW90" s="345"/>
      <c r="AX90" s="345"/>
      <c r="AY90" s="345"/>
      <c r="AZ90" s="345"/>
      <c r="BA90" s="345"/>
      <c r="BB90" s="345"/>
      <c r="BC90" s="345"/>
      <c r="BD90" s="345"/>
      <c r="BE90" s="345"/>
      <c r="BF90" s="345"/>
      <c r="BG90" s="345"/>
      <c r="BH90" s="345"/>
      <c r="BI90" s="345"/>
      <c r="BJ90" s="364">
        <f>COUNTIF(AT90:BI90,"*OP*")</f>
        <v>0</v>
      </c>
      <c r="BK90" s="375" t="s">
        <v>89</v>
      </c>
      <c r="BL90" s="328">
        <f>(COUNTIF(AT90:AV90,"*OK*")*3) + (COUNTIF(AW90:AY90,"*OK*")*2) + COUNTIF(AZ90:BB90,"*OK*")+COUNTIF(BK90:BK90,"SI")*0.5</f>
        <v>3</v>
      </c>
      <c r="BM90" s="328" t="str">
        <f>IF(BL90&lt;0.6,"Demasiado Riesgo",IF(BL90&lt;=5,"Riesgo Medio",IF(BL90&lt;=11,"Riesgo Bajo","Cliente Blindado")))</f>
        <v>Riesgo Medio</v>
      </c>
      <c r="BN90" s="328"/>
      <c r="BO90" s="349"/>
      <c r="BP90" s="349">
        <v>0</v>
      </c>
      <c r="BQ90" s="349"/>
      <c r="BR90" s="349"/>
      <c r="BS90" s="349"/>
      <c r="BT90" s="349"/>
      <c r="BU90" s="349"/>
      <c r="BV90" s="349"/>
      <c r="BW90" s="349"/>
      <c r="BX90" s="349"/>
      <c r="BY90" s="349"/>
      <c r="BZ90" s="349"/>
      <c r="CA90" s="349"/>
      <c r="CB90" s="349"/>
      <c r="CC90" s="349"/>
      <c r="CD90" s="349"/>
      <c r="CE90" s="349"/>
      <c r="CF90" s="349"/>
      <c r="CG90" s="349"/>
      <c r="CH90" s="349"/>
      <c r="CI90" s="349"/>
      <c r="CJ90" s="349"/>
      <c r="CK90" s="349"/>
      <c r="CL90" s="349">
        <f>COUNTIF(AT90:BH90,"*OK*")</f>
        <v>1</v>
      </c>
      <c r="CM90" s="349"/>
      <c r="CN90" s="349">
        <f>COUNTIF(AT90:BH90,"*OP*")</f>
        <v>0</v>
      </c>
    </row>
    <row r="91" spans="1:94" s="425" customFormat="1" ht="14.25" customHeight="1">
      <c r="A91" s="836">
        <v>32676</v>
      </c>
      <c r="B91" s="560" t="s">
        <v>771</v>
      </c>
      <c r="C91" s="329">
        <f t="shared" si="3"/>
        <v>539.61040000000003</v>
      </c>
      <c r="D91" s="332">
        <f>COUNTIF(AT91:BH91,"*OK*")</f>
        <v>0</v>
      </c>
      <c r="E91" s="331" t="s">
        <v>73</v>
      </c>
      <c r="F91" s="331" t="s">
        <v>772</v>
      </c>
      <c r="G91" s="622" t="s">
        <v>773</v>
      </c>
      <c r="H91" s="650">
        <f>IF(LEN(TRIM($G91&amp;""))=0, $C91, SUMIF($G$3:$G$561, TRIM($G91), $C$3:$C$561))</f>
        <v>709.99</v>
      </c>
      <c r="I91" s="410" t="s">
        <v>76</v>
      </c>
      <c r="J91" s="331"/>
      <c r="K91" s="560"/>
      <c r="L91" s="560" t="str">
        <f>HYPERLINK("https://crm.zoho.com/crm/org685875245/tab/Accounts/3525045000439364137","https://crm.zoho.com/crm/org685875245/tab/Accounts/3525045000439364137")</f>
        <v>https://crm.zoho.com/crm/org685875245/tab/Accounts/3525045000439364137</v>
      </c>
      <c r="M91" s="391" t="s">
        <v>96</v>
      </c>
      <c r="N91" s="560"/>
      <c r="O91" s="561" t="s">
        <v>706</v>
      </c>
      <c r="P91" s="561" t="s">
        <v>774</v>
      </c>
      <c r="Q91" s="561" t="s">
        <v>775</v>
      </c>
      <c r="R91" s="560"/>
      <c r="S91" s="332"/>
      <c r="T91" s="351" t="s">
        <v>88</v>
      </c>
      <c r="U91" s="334" t="s">
        <v>387</v>
      </c>
      <c r="V91" s="335">
        <v>565.12</v>
      </c>
      <c r="W91" s="335">
        <v>517.21</v>
      </c>
      <c r="X91" s="335">
        <v>553.52</v>
      </c>
      <c r="Y91" s="336">
        <v>553.38</v>
      </c>
      <c r="Z91" s="337">
        <v>568.91459999999995</v>
      </c>
      <c r="AA91" s="347">
        <v>548.67999999999995</v>
      </c>
      <c r="AB91" s="347">
        <v>531.12270000000001</v>
      </c>
      <c r="AC91" s="638">
        <v>540.88689999999997</v>
      </c>
      <c r="AD91" s="347">
        <v>539.61040000000003</v>
      </c>
      <c r="AE91" s="339">
        <v>289</v>
      </c>
      <c r="AF91" s="340">
        <v>300</v>
      </c>
      <c r="AG91" s="334"/>
      <c r="AH91" s="341" t="s">
        <v>83</v>
      </c>
      <c r="AI91" s="343" t="s">
        <v>83</v>
      </c>
      <c r="AJ91" s="343" t="s">
        <v>84</v>
      </c>
      <c r="AK91" s="344" t="s">
        <v>776</v>
      </c>
      <c r="AL91" s="340" t="s">
        <v>86</v>
      </c>
      <c r="AM91" s="328"/>
      <c r="AN91" s="328"/>
      <c r="AO91" s="328"/>
      <c r="AP91" s="328"/>
      <c r="AQ91" s="328"/>
      <c r="AR91" s="451"/>
      <c r="AS91" s="344" t="s">
        <v>103</v>
      </c>
      <c r="AT91" s="345"/>
      <c r="AU91" s="345"/>
      <c r="AV91" s="345"/>
      <c r="AW91" s="345"/>
      <c r="AX91" s="345"/>
      <c r="AY91" s="345"/>
      <c r="AZ91" s="345"/>
      <c r="BA91" s="345"/>
      <c r="BB91" s="345"/>
      <c r="BC91" s="345"/>
      <c r="BD91" s="345"/>
      <c r="BE91" s="345"/>
      <c r="BF91" s="345"/>
      <c r="BG91" s="345"/>
      <c r="BH91" s="345"/>
      <c r="BI91" s="345"/>
      <c r="BJ91" s="346">
        <f>COUNTIF(AT91:BI91,"*OP*")</f>
        <v>0</v>
      </c>
      <c r="BK91" s="344" t="s">
        <v>103</v>
      </c>
      <c r="BL91" s="328">
        <f>(COUNTIF(AT91:AV91,"*OK*")*3) + (COUNTIF(AW91:AY91,"*OK*")*2) + COUNTIF(AZ91:BB91,"*OK*")+COUNTIF(BK91:BK91,"SI")*0.5</f>
        <v>0</v>
      </c>
      <c r="BM91" s="328" t="str">
        <f>IF(BL91&lt;0.6,"Demasiado Riesgo",IF(BL91&lt;=5,"Riesgo Medio",IF(BL91&lt;=11,"Riesgo Bajo","Cliente Blindado")))</f>
        <v>Demasiado Riesgo</v>
      </c>
      <c r="BN91" s="328"/>
      <c r="BO91" s="328"/>
      <c r="BP91" s="328">
        <v>0</v>
      </c>
      <c r="BQ91" s="328"/>
      <c r="BR91" s="328"/>
      <c r="BS91" s="328"/>
      <c r="BT91" s="328"/>
      <c r="BU91" s="328"/>
      <c r="BV91" s="328"/>
      <c r="BW91" s="328"/>
      <c r="BX91" s="328"/>
      <c r="BY91" s="328"/>
      <c r="BZ91" s="328"/>
      <c r="CA91" s="328"/>
      <c r="CB91" s="328"/>
      <c r="CC91" s="328"/>
      <c r="CD91" s="328"/>
      <c r="CE91" s="328"/>
      <c r="CF91" s="328"/>
      <c r="CG91" s="328"/>
      <c r="CH91" s="328"/>
      <c r="CI91" s="328"/>
      <c r="CJ91" s="328"/>
      <c r="CK91" s="328"/>
      <c r="CL91" s="328">
        <f>COUNTIF(AT91:BH91,"*OK*")</f>
        <v>0</v>
      </c>
      <c r="CM91" s="328"/>
      <c r="CN91" s="328">
        <f>COUNTIF(AT91:BH91,"*OP*")</f>
        <v>0</v>
      </c>
      <c r="CO91" s="287"/>
      <c r="CP91" s="287"/>
    </row>
    <row r="92" spans="1:94" ht="14.25" customHeight="1">
      <c r="A92" s="835">
        <v>38736</v>
      </c>
      <c r="B92" s="560" t="s">
        <v>777</v>
      </c>
      <c r="C92" s="329">
        <f t="shared" si="3"/>
        <v>475.99329999999998</v>
      </c>
      <c r="D92" s="352">
        <f>COUNTIF(AX92:BI92,"OK")</f>
        <v>0</v>
      </c>
      <c r="E92" s="500" t="s">
        <v>439</v>
      </c>
      <c r="F92" s="537" t="s">
        <v>778</v>
      </c>
      <c r="G92" s="624"/>
      <c r="H92" s="650">
        <f>IF(LEN(TRIM($G92&amp;""))=0, $C92, SUMIF($G$3:$G$561, TRIM($G92), $C$3:$C$561))</f>
        <v>475.99329999999998</v>
      </c>
      <c r="I92" s="500" t="s">
        <v>562</v>
      </c>
      <c r="J92" s="500" t="s">
        <v>103</v>
      </c>
      <c r="K92" s="349"/>
      <c r="L92" s="349" t="str">
        <f>HYPERLINK("https://crm.zoho.com/crm/org685875245/tab/Accounts/3525045000350643029","https://crm.zoho.com/crm/org685875245/tab/Accounts/3525045000350643029")</f>
        <v>https://crm.zoho.com/crm/org685875245/tab/Accounts/3525045000350643029</v>
      </c>
      <c r="M92" s="553"/>
      <c r="N92" s="500" t="s">
        <v>103</v>
      </c>
      <c r="O92" s="542" t="s">
        <v>779</v>
      </c>
      <c r="P92" s="542"/>
      <c r="Q92" s="546" t="s">
        <v>780</v>
      </c>
      <c r="R92" s="500"/>
      <c r="S92" s="500" t="s">
        <v>103</v>
      </c>
      <c r="T92" s="500" t="s">
        <v>88</v>
      </c>
      <c r="U92" s="467" t="s">
        <v>103</v>
      </c>
      <c r="V92" s="500" t="s">
        <v>103</v>
      </c>
      <c r="W92" s="500" t="s">
        <v>103</v>
      </c>
      <c r="X92" s="500" t="s">
        <v>103</v>
      </c>
      <c r="Y92" s="511" t="s">
        <v>103</v>
      </c>
      <c r="Z92" s="517" t="s">
        <v>103</v>
      </c>
      <c r="AA92" s="518">
        <v>482.81</v>
      </c>
      <c r="AB92" s="518">
        <v>525.20280000000002</v>
      </c>
      <c r="AC92" s="639">
        <v>537.20540000000005</v>
      </c>
      <c r="AD92" s="518">
        <v>475.99329999999998</v>
      </c>
      <c r="AE92" s="357">
        <v>139</v>
      </c>
      <c r="AF92" s="358" t="s">
        <v>103</v>
      </c>
      <c r="AG92" s="354"/>
      <c r="AH92" s="349"/>
      <c r="AI92" s="361"/>
      <c r="AJ92" s="361"/>
      <c r="AK92" s="362"/>
      <c r="AL92" s="371" t="s">
        <v>103</v>
      </c>
      <c r="AM92" s="349"/>
      <c r="AN92" s="349"/>
      <c r="AO92" s="349"/>
      <c r="AP92" s="349"/>
      <c r="AQ92" s="349"/>
      <c r="AR92" s="453"/>
      <c r="AS92" s="450"/>
      <c r="AT92" s="345"/>
      <c r="AU92" s="345"/>
      <c r="AV92" s="345"/>
      <c r="AW92" s="440" t="s">
        <v>173</v>
      </c>
      <c r="AX92" s="345"/>
      <c r="AY92" s="345"/>
      <c r="AZ92" s="345"/>
      <c r="BA92" s="345"/>
      <c r="BB92" s="345"/>
      <c r="BC92" s="345"/>
      <c r="BD92" s="345"/>
      <c r="BE92" s="345"/>
      <c r="BF92" s="345"/>
      <c r="BG92" s="345"/>
      <c r="BH92" s="345"/>
      <c r="BI92" s="345"/>
      <c r="BJ92" s="364">
        <f>COUNTIF(AT92:BI92,"*OP*")</f>
        <v>1</v>
      </c>
      <c r="BK92" s="450"/>
      <c r="BL92" s="349">
        <f>(COUNTIF(AT92:AV92,"*OK*")*3) + (COUNTIF(AW92:AY92,"*OK*")*2) + COUNTIF(AZ92:BB92,"*OK*")+COUNTIF(BK92:BK92,"SI")*0.5</f>
        <v>0</v>
      </c>
      <c r="BM92" s="349" t="str">
        <f>IF(BL92&lt;0.6,"Demasiado Riesgo",IF(BL92&lt;=5,"Riesgo Medio",IF(BL92&lt;=11,"Riesgo Bajo","Cliente Blindado")))</f>
        <v>Demasiado Riesgo</v>
      </c>
      <c r="BN92" s="349"/>
      <c r="BO92" s="328"/>
      <c r="BP92" s="328">
        <v>0</v>
      </c>
      <c r="BQ92" s="328"/>
      <c r="BR92" s="328"/>
      <c r="BS92" s="328"/>
      <c r="BT92" s="328"/>
      <c r="BU92" s="328"/>
      <c r="BV92" s="328"/>
      <c r="BW92" s="328"/>
      <c r="BX92" s="328"/>
      <c r="BY92" s="328"/>
      <c r="BZ92" s="328"/>
      <c r="CA92" s="328"/>
      <c r="CB92" s="328"/>
      <c r="CC92" s="328"/>
      <c r="CD92" s="328"/>
      <c r="CE92" s="328"/>
      <c r="CF92" s="328"/>
      <c r="CG92" s="328"/>
      <c r="CH92" s="328"/>
      <c r="CI92" s="328"/>
      <c r="CJ92" s="328"/>
      <c r="CK92" s="328"/>
      <c r="CL92" s="328">
        <f>COUNTIF(AT92:BH92,"*OK*")</f>
        <v>0</v>
      </c>
      <c r="CM92" s="328"/>
      <c r="CN92" s="328">
        <f>COUNTIF(AT92:BH92,"*OP*")</f>
        <v>1</v>
      </c>
    </row>
    <row r="93" spans="1:94" s="285" customFormat="1" ht="14.25" customHeight="1">
      <c r="A93" s="835"/>
      <c r="B93" s="560" t="s">
        <v>781</v>
      </c>
      <c r="C93" s="329">
        <f t="shared" si="3"/>
        <v>500.10039999999998</v>
      </c>
      <c r="D93" s="352">
        <f>COUNTIF(AT93:BH93,"*OK*")</f>
        <v>0</v>
      </c>
      <c r="E93" s="331" t="s">
        <v>782</v>
      </c>
      <c r="F93" s="351" t="s">
        <v>783</v>
      </c>
      <c r="G93" s="622"/>
      <c r="H93" s="650">
        <f>IF(LEN(TRIM($G93&amp;""))=0, $C93, SUMIF($G$3:$G$561, TRIM($G93), $C$3:$C$561))</f>
        <v>500.10039999999998</v>
      </c>
      <c r="I93" s="353" t="s">
        <v>76</v>
      </c>
      <c r="J93" s="351"/>
      <c r="K93" s="349"/>
      <c r="L93" s="349" t="str">
        <f>HYPERLINK("https://crm.zoho.com/crm/org685875245/tab/Accounts/3525045000194616020","https://crm.zoho.com/crm/org685875245/tab/Accounts/3525045000194616020")</f>
        <v>https://crm.zoho.com/crm/org685875245/tab/Accounts/3525045000194616020</v>
      </c>
      <c r="M93" s="553"/>
      <c r="N93" s="352"/>
      <c r="O93" s="540"/>
      <c r="P93" s="540"/>
      <c r="Q93" s="540"/>
      <c r="R93" s="352"/>
      <c r="S93" s="352"/>
      <c r="T93" s="351"/>
      <c r="U93" s="354" t="s">
        <v>82</v>
      </c>
      <c r="V93" s="355">
        <v>525.62</v>
      </c>
      <c r="W93" s="355">
        <v>525.14</v>
      </c>
      <c r="X93" s="355">
        <v>500.45</v>
      </c>
      <c r="Y93" s="356">
        <v>516.55999999999995</v>
      </c>
      <c r="Z93" s="337">
        <v>523.51110000000006</v>
      </c>
      <c r="AA93" s="365">
        <v>517.77</v>
      </c>
      <c r="AB93" s="365">
        <v>522.1386</v>
      </c>
      <c r="AC93" s="635">
        <v>531.73770000000002</v>
      </c>
      <c r="AD93" s="365">
        <v>500.10039999999998</v>
      </c>
      <c r="AE93" s="357"/>
      <c r="AF93" s="358">
        <v>300</v>
      </c>
      <c r="AG93" s="354"/>
      <c r="AH93" s="359"/>
      <c r="AI93" s="361" t="s">
        <v>83</v>
      </c>
      <c r="AJ93" s="361" t="s">
        <v>120</v>
      </c>
      <c r="AK93" s="362" t="s">
        <v>784</v>
      </c>
      <c r="AL93" s="358" t="s">
        <v>103</v>
      </c>
      <c r="AM93" s="349"/>
      <c r="AN93" s="349"/>
      <c r="AO93" s="349"/>
      <c r="AP93" s="349"/>
      <c r="AQ93" s="349"/>
      <c r="AR93" s="453"/>
      <c r="AS93" s="363" t="s">
        <v>103</v>
      </c>
      <c r="AT93" s="345"/>
      <c r="AU93" s="345"/>
      <c r="AV93" s="594"/>
      <c r="AW93" s="345"/>
      <c r="AX93" s="345"/>
      <c r="AY93" s="345"/>
      <c r="AZ93" s="345"/>
      <c r="BA93" s="345"/>
      <c r="BB93" s="345"/>
      <c r="BC93" s="345"/>
      <c r="BD93" s="345"/>
      <c r="BE93" s="345"/>
      <c r="BF93" s="345"/>
      <c r="BG93" s="345"/>
      <c r="BH93" s="345"/>
      <c r="BI93" s="345"/>
      <c r="BJ93" s="346">
        <f>COUNTIF(AT93:BI93,"*OP*")</f>
        <v>0</v>
      </c>
      <c r="BK93" s="362" t="s">
        <v>103</v>
      </c>
      <c r="BL93" s="349">
        <f>(COUNTIF(AT93:AV93,"*OK*")*3) + (COUNTIF(AW93:AY93,"*OK*")*2) + COUNTIF(AZ93:BB93,"*OK*")+COUNTIF(BK93:BK93,"SI")*0.5</f>
        <v>0</v>
      </c>
      <c r="BM93" s="349" t="str">
        <f>IF(BL93&lt;0.6,"Demasiado Riesgo",IF(BL93&lt;=5,"Riesgo Medio",IF(BL93&lt;=11,"Riesgo Bajo","Cliente Blindado")))</f>
        <v>Demasiado Riesgo</v>
      </c>
      <c r="BN93" s="349"/>
      <c r="BO93" s="349"/>
      <c r="BP93" s="349">
        <v>0</v>
      </c>
      <c r="BQ93" s="349"/>
      <c r="BR93" s="349"/>
      <c r="BS93" s="349"/>
      <c r="BT93" s="349"/>
      <c r="BU93" s="349"/>
      <c r="BV93" s="349"/>
      <c r="BW93" s="349"/>
      <c r="BX93" s="349"/>
      <c r="BY93" s="349"/>
      <c r="BZ93" s="349"/>
      <c r="CA93" s="349"/>
      <c r="CB93" s="349"/>
      <c r="CC93" s="349"/>
      <c r="CD93" s="349"/>
      <c r="CE93" s="349"/>
      <c r="CF93" s="349"/>
      <c r="CG93" s="349"/>
      <c r="CH93" s="349"/>
      <c r="CI93" s="349"/>
      <c r="CJ93" s="349"/>
      <c r="CK93" s="349"/>
      <c r="CL93" s="349">
        <f>COUNTIF(AT93:BH93,"*OK*")</f>
        <v>0</v>
      </c>
      <c r="CM93" s="349"/>
      <c r="CN93" s="349">
        <f>COUNTIF(AT93:BH93,"*OP*")</f>
        <v>0</v>
      </c>
      <c r="CO93" s="287"/>
      <c r="CP93" s="287"/>
    </row>
    <row r="94" spans="1:94" ht="14.25" customHeight="1">
      <c r="A94" s="834">
        <v>24591</v>
      </c>
      <c r="B94" s="560" t="s">
        <v>785</v>
      </c>
      <c r="C94" s="329">
        <f t="shared" si="3"/>
        <v>321.58280000000002</v>
      </c>
      <c r="D94" s="332">
        <f>COUNTIF(AT94:BH94,"*OK*")</f>
        <v>0</v>
      </c>
      <c r="E94" s="331" t="s">
        <v>439</v>
      </c>
      <c r="F94" s="827" t="s">
        <v>786</v>
      </c>
      <c r="G94" s="533"/>
      <c r="H94" s="650">
        <f>IF(LEN(TRIM($G94&amp;""))=0, $C94, SUMIF($G$3:$G$561, TRIM($G94), $C$3:$C$561))</f>
        <v>321.58280000000002</v>
      </c>
      <c r="I94" s="441" t="s">
        <v>76</v>
      </c>
      <c r="J94" s="331"/>
      <c r="K94" s="328"/>
      <c r="L94" s="328"/>
      <c r="M94" s="391" t="s">
        <v>787</v>
      </c>
      <c r="N94" s="596" t="s">
        <v>788</v>
      </c>
      <c r="O94" s="541" t="s">
        <v>240</v>
      </c>
      <c r="P94" s="541" t="s">
        <v>789</v>
      </c>
      <c r="Q94" s="541" t="s">
        <v>790</v>
      </c>
      <c r="R94" s="332" t="s">
        <v>314</v>
      </c>
      <c r="S94" s="332"/>
      <c r="T94" s="331"/>
      <c r="U94" s="334" t="s">
        <v>82</v>
      </c>
      <c r="V94" s="335">
        <v>587.47</v>
      </c>
      <c r="W94" s="335">
        <v>546.73</v>
      </c>
      <c r="X94" s="335">
        <v>555.5</v>
      </c>
      <c r="Y94" s="336">
        <v>569.42999999999995</v>
      </c>
      <c r="Z94" s="337">
        <v>585.10659999999996</v>
      </c>
      <c r="AA94" s="365">
        <v>574.73</v>
      </c>
      <c r="AB94" s="365">
        <v>543.6019</v>
      </c>
      <c r="AC94" s="635">
        <v>521.03110000000004</v>
      </c>
      <c r="AD94" s="365">
        <v>321.58280000000002</v>
      </c>
      <c r="AE94" s="339">
        <v>139</v>
      </c>
      <c r="AF94" s="340">
        <v>200</v>
      </c>
      <c r="AG94" s="334"/>
      <c r="AH94" s="341"/>
      <c r="AI94" s="343" t="s">
        <v>258</v>
      </c>
      <c r="AJ94" s="343" t="s">
        <v>113</v>
      </c>
      <c r="AK94" s="344" t="s">
        <v>791</v>
      </c>
      <c r="AL94" s="340" t="s">
        <v>103</v>
      </c>
      <c r="AM94" s="328"/>
      <c r="AN94" s="328"/>
      <c r="AO94" s="328"/>
      <c r="AP94" s="328"/>
      <c r="AQ94" s="328"/>
      <c r="AR94" s="451"/>
      <c r="AS94" s="344" t="s">
        <v>103</v>
      </c>
      <c r="AT94" s="345" t="s">
        <v>179</v>
      </c>
      <c r="AU94" s="345"/>
      <c r="AV94" s="345"/>
      <c r="AW94" s="345" t="s">
        <v>173</v>
      </c>
      <c r="AX94" s="345"/>
      <c r="AY94" s="345"/>
      <c r="AZ94" s="345"/>
      <c r="BA94" s="345"/>
      <c r="BB94" s="345"/>
      <c r="BC94" s="345"/>
      <c r="BD94" s="345"/>
      <c r="BE94" s="345"/>
      <c r="BF94" s="345"/>
      <c r="BG94" s="345"/>
      <c r="BH94" s="345"/>
      <c r="BI94" s="345"/>
      <c r="BJ94" s="346">
        <f>COUNTIF(AT94:BI94,"*OP*")</f>
        <v>2</v>
      </c>
      <c r="BK94" s="344" t="s">
        <v>103</v>
      </c>
      <c r="BL94" s="328">
        <f>(COUNTIF(AT94:AV94,"*OK*")*3) + (COUNTIF(AW94:AY94,"*OK*")*2) + COUNTIF(AZ94:BB94,"*OK*")+COUNTIF(BK94:BK94,"SI")*0.5</f>
        <v>0</v>
      </c>
      <c r="BM94" s="328" t="str">
        <f>IF(BL94&lt;0.6,"Demasiado Riesgo",IF(BL94&lt;=5,"Riesgo Medio",IF(BL94&lt;=11,"Riesgo Bajo","Cliente Blindado")))</f>
        <v>Demasiado Riesgo</v>
      </c>
      <c r="BN94" s="328"/>
      <c r="BO94" s="328"/>
      <c r="BP94" s="328">
        <v>0</v>
      </c>
      <c r="BQ94" s="328"/>
      <c r="BR94" s="328"/>
      <c r="BS94" s="328"/>
      <c r="BT94" s="328"/>
      <c r="BU94" s="328"/>
      <c r="BV94" s="328"/>
      <c r="BW94" s="328"/>
      <c r="BX94" s="328"/>
      <c r="BY94" s="328"/>
      <c r="BZ94" s="328"/>
      <c r="CA94" s="328"/>
      <c r="CB94" s="328"/>
      <c r="CC94" s="328"/>
      <c r="CD94" s="328"/>
      <c r="CE94" s="328"/>
      <c r="CF94" s="328"/>
      <c r="CG94" s="328"/>
      <c r="CH94" s="328"/>
      <c r="CI94" s="328"/>
      <c r="CJ94" s="328"/>
      <c r="CK94" s="328"/>
      <c r="CL94" s="328">
        <f>COUNTIF(AT94:BH94,"*OK*")</f>
        <v>0</v>
      </c>
      <c r="CM94" s="328"/>
      <c r="CN94" s="328">
        <f>COUNTIF(AT94:BH94,"*OP*")</f>
        <v>2</v>
      </c>
    </row>
    <row r="95" spans="1:94" ht="14.25" customHeight="1">
      <c r="A95" s="836">
        <v>21582</v>
      </c>
      <c r="B95" s="560" t="s">
        <v>792</v>
      </c>
      <c r="C95" s="329">
        <f t="shared" si="3"/>
        <v>497.10429999999997</v>
      </c>
      <c r="D95" s="332">
        <f>COUNTIF(AT95:BH95,"*OK*")</f>
        <v>0</v>
      </c>
      <c r="E95" s="331" t="s">
        <v>73</v>
      </c>
      <c r="F95" s="331" t="s">
        <v>793</v>
      </c>
      <c r="G95" s="533"/>
      <c r="H95" s="650">
        <f>IF(LEN(TRIM($G95&amp;""))=0, $C95, SUMIF($G$3:$G$561, TRIM($G95), $C$3:$C$561))</f>
        <v>497.10429999999997</v>
      </c>
      <c r="I95" s="410" t="s">
        <v>76</v>
      </c>
      <c r="J95" s="331"/>
      <c r="K95" s="560"/>
      <c r="L95" s="560" t="str">
        <f>HYPERLINK("https://crm.zoho.com/crm/org685875245/tab/Accounts/3525045000223883010","https://crm.zoho.com/crm/org685875245/tab/Accounts/3525045000223883010")</f>
        <v>https://crm.zoho.com/crm/org685875245/tab/Accounts/3525045000223883010</v>
      </c>
      <c r="M95" s="391" t="s">
        <v>96</v>
      </c>
      <c r="N95" s="560"/>
      <c r="O95" s="561" t="s">
        <v>794</v>
      </c>
      <c r="P95" s="561" t="s">
        <v>795</v>
      </c>
      <c r="Q95" s="561" t="s">
        <v>796</v>
      </c>
      <c r="R95" s="560"/>
      <c r="S95" s="332"/>
      <c r="T95" s="331"/>
      <c r="U95" s="334" t="s">
        <v>82</v>
      </c>
      <c r="V95" s="335">
        <v>412.5</v>
      </c>
      <c r="W95" s="335">
        <v>521.24</v>
      </c>
      <c r="X95" s="335">
        <v>490.69</v>
      </c>
      <c r="Y95" s="336">
        <v>505.34</v>
      </c>
      <c r="Z95" s="337">
        <v>511.96730000000002</v>
      </c>
      <c r="AA95" s="347">
        <v>505.39</v>
      </c>
      <c r="AB95" s="347">
        <v>508.49310000000003</v>
      </c>
      <c r="AC95" s="638">
        <v>515.72889999999995</v>
      </c>
      <c r="AD95" s="347">
        <v>497.10429999999997</v>
      </c>
      <c r="AE95" s="339">
        <v>198</v>
      </c>
      <c r="AF95" s="340">
        <v>3000</v>
      </c>
      <c r="AG95" s="334"/>
      <c r="AH95" s="341" t="s">
        <v>210</v>
      </c>
      <c r="AI95" s="343" t="s">
        <v>210</v>
      </c>
      <c r="AJ95" s="343" t="s">
        <v>130</v>
      </c>
      <c r="AK95" s="344" t="s">
        <v>797</v>
      </c>
      <c r="AL95" s="340" t="s">
        <v>224</v>
      </c>
      <c r="AM95" s="328"/>
      <c r="AN95" s="328"/>
      <c r="AO95" s="328"/>
      <c r="AP95" s="328"/>
      <c r="AQ95" s="328"/>
      <c r="AR95" s="451" t="s">
        <v>798</v>
      </c>
      <c r="AS95" s="344" t="s">
        <v>103</v>
      </c>
      <c r="AT95" s="345"/>
      <c r="AU95" s="345" t="s">
        <v>179</v>
      </c>
      <c r="AV95" s="345" t="s">
        <v>799</v>
      </c>
      <c r="AW95" s="345"/>
      <c r="AX95" s="345"/>
      <c r="AY95" s="345" t="s">
        <v>179</v>
      </c>
      <c r="AZ95" s="345" t="s">
        <v>179</v>
      </c>
      <c r="BA95" s="421"/>
      <c r="BB95" s="345"/>
      <c r="BC95" s="345"/>
      <c r="BD95" s="345"/>
      <c r="BE95" s="345"/>
      <c r="BF95" s="345"/>
      <c r="BG95" s="345"/>
      <c r="BH95" s="345"/>
      <c r="BI95" s="345"/>
      <c r="BJ95" s="346">
        <f>COUNTIF(AT95:BI95,"*OP*")</f>
        <v>3</v>
      </c>
      <c r="BK95" s="344" t="s">
        <v>103</v>
      </c>
      <c r="BL95" s="328">
        <f>(COUNTIF(AT95:AV95,"*OK*")*3) + (COUNTIF(AW95:AY95,"*OK*")*2) + COUNTIF(AZ95:BB95,"*OK*")+COUNTIF(BK95:BK95,"SI")*0.5</f>
        <v>0</v>
      </c>
      <c r="BM95" s="328" t="str">
        <f>IF(BL95&lt;0.6,"Demasiado Riesgo",IF(BL95&lt;=5,"Riesgo Medio",IF(BL95&lt;=11,"Riesgo Bajo","Cliente Blindado")))</f>
        <v>Demasiado Riesgo</v>
      </c>
      <c r="BN95" s="328"/>
      <c r="BO95" s="349"/>
      <c r="BP95" s="349">
        <v>0</v>
      </c>
      <c r="BQ95" s="349"/>
      <c r="BR95" s="349"/>
      <c r="BS95" s="349"/>
      <c r="BT95" s="349"/>
      <c r="BU95" s="349"/>
      <c r="BV95" s="349"/>
      <c r="BW95" s="349"/>
      <c r="BX95" s="349"/>
      <c r="BY95" s="349"/>
      <c r="BZ95" s="349"/>
      <c r="CA95" s="349"/>
      <c r="CB95" s="349"/>
      <c r="CC95" s="349"/>
      <c r="CD95" s="349"/>
      <c r="CE95" s="349"/>
      <c r="CF95" s="349"/>
      <c r="CG95" s="349"/>
      <c r="CH95" s="349"/>
      <c r="CI95" s="349"/>
      <c r="CJ95" s="349"/>
      <c r="CK95" s="349"/>
      <c r="CL95" s="349">
        <f>COUNTIF(AT95:BH95,"*OK*")</f>
        <v>0</v>
      </c>
      <c r="CM95" s="349"/>
      <c r="CN95" s="349">
        <f>COUNTIF(AT95:BH95,"*OP*")</f>
        <v>3</v>
      </c>
    </row>
    <row r="96" spans="1:94" s="285" customFormat="1" ht="14.25" customHeight="1">
      <c r="A96" s="834">
        <v>27824</v>
      </c>
      <c r="B96" s="560" t="s">
        <v>800</v>
      </c>
      <c r="C96" s="329">
        <f t="shared" si="3"/>
        <v>478.96030000000002</v>
      </c>
      <c r="D96" s="332">
        <f>COUNTIF(AT96:BH96,"*OK*")</f>
        <v>0</v>
      </c>
      <c r="E96" s="331" t="s">
        <v>439</v>
      </c>
      <c r="F96" s="331" t="s">
        <v>801</v>
      </c>
      <c r="G96" s="622" t="s">
        <v>802</v>
      </c>
      <c r="H96" s="650">
        <f>IF(LEN(TRIM($G96&amp;""))=0, $C96, SUMIF($G$3:$G$561, TRIM($G96), $C$3:$C$561))</f>
        <v>808.56740000000002</v>
      </c>
      <c r="I96" s="410" t="s">
        <v>562</v>
      </c>
      <c r="J96" s="331"/>
      <c r="K96" s="328"/>
      <c r="L96" s="328"/>
      <c r="M96" s="391" t="s">
        <v>803</v>
      </c>
      <c r="N96" s="332"/>
      <c r="O96" s="541" t="s">
        <v>804</v>
      </c>
      <c r="P96" s="541" t="s">
        <v>805</v>
      </c>
      <c r="Q96" s="541" t="s">
        <v>806</v>
      </c>
      <c r="R96" s="332" t="s">
        <v>715</v>
      </c>
      <c r="S96" s="332"/>
      <c r="T96" s="331"/>
      <c r="U96" s="334" t="s">
        <v>82</v>
      </c>
      <c r="V96" s="335">
        <v>235.46</v>
      </c>
      <c r="W96" s="335">
        <v>227.13</v>
      </c>
      <c r="X96" s="335">
        <v>185.53</v>
      </c>
      <c r="Y96" s="336">
        <v>268.66000000000003</v>
      </c>
      <c r="Z96" s="337">
        <v>269.5598</v>
      </c>
      <c r="AA96" s="365">
        <v>213.28</v>
      </c>
      <c r="AB96" s="365">
        <v>207.01689999999999</v>
      </c>
      <c r="AC96" s="635">
        <v>511.99810000000002</v>
      </c>
      <c r="AD96" s="365">
        <v>478.96030000000002</v>
      </c>
      <c r="AE96" s="339">
        <v>309</v>
      </c>
      <c r="AF96" s="340">
        <v>200</v>
      </c>
      <c r="AG96" s="334"/>
      <c r="AH96" s="341"/>
      <c r="AI96" s="418" t="s">
        <v>83</v>
      </c>
      <c r="AJ96" s="343" t="s">
        <v>101</v>
      </c>
      <c r="AK96" s="344" t="s">
        <v>807</v>
      </c>
      <c r="AL96" s="340" t="s">
        <v>103</v>
      </c>
      <c r="AM96" s="328"/>
      <c r="AN96" s="328"/>
      <c r="AO96" s="328"/>
      <c r="AP96" s="328"/>
      <c r="AQ96" s="328"/>
      <c r="AR96" s="451"/>
      <c r="AS96" s="375" t="s">
        <v>88</v>
      </c>
      <c r="AT96" s="345"/>
      <c r="AU96" s="345"/>
      <c r="AV96" s="345" t="s">
        <v>179</v>
      </c>
      <c r="AW96" s="345"/>
      <c r="AX96" s="345"/>
      <c r="AY96" s="345"/>
      <c r="AZ96" s="345"/>
      <c r="BA96" s="345"/>
      <c r="BB96" s="345"/>
      <c r="BC96" s="345"/>
      <c r="BD96" s="345"/>
      <c r="BE96" s="345"/>
      <c r="BF96" s="345"/>
      <c r="BG96" s="345"/>
      <c r="BH96" s="345"/>
      <c r="BI96" s="345"/>
      <c r="BJ96" s="346">
        <f>COUNTIF(AT96:BI96,"*OP*")</f>
        <v>1</v>
      </c>
      <c r="BK96" s="375" t="s">
        <v>89</v>
      </c>
      <c r="BL96" s="328">
        <f>(COUNTIF(AT96:AV96,"*OK*")*3) + (COUNTIF(AW96:AY96,"*OK*")*2) + COUNTIF(AZ96:BB96,"*OK*")+COUNTIF(BK96:BK96,"SI")*0.5</f>
        <v>0</v>
      </c>
      <c r="BM96" s="328" t="str">
        <f>IF(BL96&lt;0.6,"Demasiado Riesgo",IF(BL96&lt;=5,"Riesgo Medio",IF(BL96&lt;=11,"Riesgo Bajo","Cliente Blindado")))</f>
        <v>Demasiado Riesgo</v>
      </c>
      <c r="BN96" s="328"/>
      <c r="BO96" s="349"/>
      <c r="BP96" s="349">
        <v>0</v>
      </c>
      <c r="BQ96" s="349"/>
      <c r="BR96" s="349"/>
      <c r="BS96" s="349"/>
      <c r="BT96" s="349"/>
      <c r="BU96" s="349"/>
      <c r="BV96" s="349"/>
      <c r="BW96" s="349"/>
      <c r="BX96" s="349"/>
      <c r="BY96" s="349"/>
      <c r="BZ96" s="349"/>
      <c r="CA96" s="349"/>
      <c r="CB96" s="349"/>
      <c r="CC96" s="349"/>
      <c r="CD96" s="349"/>
      <c r="CE96" s="349"/>
      <c r="CF96" s="349"/>
      <c r="CG96" s="349"/>
      <c r="CH96" s="349"/>
      <c r="CI96" s="349"/>
      <c r="CJ96" s="349"/>
      <c r="CK96" s="349"/>
      <c r="CL96" s="349">
        <f>COUNTIF(AT96:BH96,"*OK*")</f>
        <v>0</v>
      </c>
      <c r="CM96" s="349"/>
      <c r="CN96" s="349">
        <f>COUNTIF(AT96:BH96,"*OP*")</f>
        <v>1</v>
      </c>
      <c r="CO96" s="287"/>
      <c r="CP96" s="287"/>
    </row>
    <row r="97" spans="1:94" s="285" customFormat="1" ht="14.25" customHeight="1">
      <c r="A97" s="837">
        <v>27596</v>
      </c>
      <c r="B97" s="560" t="s">
        <v>808</v>
      </c>
      <c r="C97" s="329">
        <f t="shared" si="3"/>
        <v>494.46359999999999</v>
      </c>
      <c r="D97" s="352">
        <f>COUNTIF(AT97:BH97,"*OK*")</f>
        <v>0</v>
      </c>
      <c r="E97" s="331" t="s">
        <v>73</v>
      </c>
      <c r="F97" s="351" t="s">
        <v>809</v>
      </c>
      <c r="G97" s="622"/>
      <c r="H97" s="650">
        <f>IF(LEN(TRIM($G97&amp;""))=0, $C97, SUMIF($G$3:$G$561, TRIM($G97), $C$3:$C$561))</f>
        <v>494.46359999999999</v>
      </c>
      <c r="I97" s="413" t="s">
        <v>76</v>
      </c>
      <c r="J97" s="351"/>
      <c r="K97" s="558"/>
      <c r="L97" s="558" t="str">
        <f>HYPERLINK("https://crm.zoho.com/crm/org685875245/tab/Accounts/3525045000401412566","https://crm.zoho.com/crm/org685875245/tab/Accounts/3525045000401412566")</f>
        <v>https://crm.zoho.com/crm/org685875245/tab/Accounts/3525045000401412566</v>
      </c>
      <c r="M97" s="553" t="s">
        <v>77</v>
      </c>
      <c r="N97" s="558"/>
      <c r="O97" s="559" t="s">
        <v>810</v>
      </c>
      <c r="P97" s="559" t="s">
        <v>811</v>
      </c>
      <c r="Q97" s="559" t="s">
        <v>812</v>
      </c>
      <c r="R97" s="558"/>
      <c r="S97" s="352"/>
      <c r="T97" s="351"/>
      <c r="U97" s="354" t="s">
        <v>82</v>
      </c>
      <c r="V97" s="355">
        <v>516.09</v>
      </c>
      <c r="W97" s="355">
        <v>499.39</v>
      </c>
      <c r="X97" s="355">
        <v>496.53</v>
      </c>
      <c r="Y97" s="356">
        <v>510.74</v>
      </c>
      <c r="Z97" s="337">
        <v>494.24599999999998</v>
      </c>
      <c r="AA97" s="367">
        <v>504.82</v>
      </c>
      <c r="AB97" s="367">
        <v>518.04589999999996</v>
      </c>
      <c r="AC97" s="636">
        <v>511.14019999999999</v>
      </c>
      <c r="AD97" s="367">
        <v>494.46359999999999</v>
      </c>
      <c r="AE97" s="357">
        <v>268</v>
      </c>
      <c r="AF97" s="358">
        <v>260</v>
      </c>
      <c r="AG97" s="354"/>
      <c r="AH97" s="359" t="s">
        <v>813</v>
      </c>
      <c r="AI97" s="361" t="s">
        <v>813</v>
      </c>
      <c r="AJ97" s="361" t="s">
        <v>143</v>
      </c>
      <c r="AK97" s="362" t="s">
        <v>814</v>
      </c>
      <c r="AL97" s="358" t="s">
        <v>662</v>
      </c>
      <c r="AM97" s="349"/>
      <c r="AN97" s="349"/>
      <c r="AO97" s="349"/>
      <c r="AP97" s="349"/>
      <c r="AQ97" s="349"/>
      <c r="AR97" s="453"/>
      <c r="AS97" s="371" t="s">
        <v>88</v>
      </c>
      <c r="AT97" s="345"/>
      <c r="AU97" s="345"/>
      <c r="AV97" s="345"/>
      <c r="AW97" s="345"/>
      <c r="AX97" s="345"/>
      <c r="AY97" s="345"/>
      <c r="AZ97" s="345"/>
      <c r="BA97" s="345"/>
      <c r="BB97" s="345"/>
      <c r="BC97" s="345"/>
      <c r="BD97" s="345"/>
      <c r="BE97" s="345"/>
      <c r="BF97" s="345"/>
      <c r="BG97" s="345"/>
      <c r="BH97" s="345"/>
      <c r="BI97" s="345"/>
      <c r="BJ97" s="364">
        <f>COUNTIF(AT97:BI97,"*OP*")</f>
        <v>0</v>
      </c>
      <c r="BK97" s="362" t="s">
        <v>103</v>
      </c>
      <c r="BL97" s="349">
        <f>(COUNTIF(AT97:AV97,"*OK*")*3) + (COUNTIF(AW97:AY97,"*OK*")*2) + COUNTIF(AZ97:BB97,"*OK*")+COUNTIF(BK97:BK97,"SI")*0.5</f>
        <v>0</v>
      </c>
      <c r="BM97" s="349" t="str">
        <f>IF(BL97&lt;0.6,"Demasiado Riesgo",IF(BL97&lt;=5,"Riesgo Medio",IF(BL97&lt;=11,"Riesgo Bajo","Cliente Blindado")))</f>
        <v>Demasiado Riesgo</v>
      </c>
      <c r="BN97" s="349"/>
      <c r="BO97" s="328"/>
      <c r="BP97" s="328">
        <v>0</v>
      </c>
      <c r="BQ97" s="328"/>
      <c r="BR97" s="328"/>
      <c r="BS97" s="328"/>
      <c r="BT97" s="328"/>
      <c r="BU97" s="328"/>
      <c r="BV97" s="328"/>
      <c r="BW97" s="328"/>
      <c r="BX97" s="328"/>
      <c r="BY97" s="328"/>
      <c r="BZ97" s="328"/>
      <c r="CA97" s="328"/>
      <c r="CB97" s="328"/>
      <c r="CC97" s="328"/>
      <c r="CD97" s="328"/>
      <c r="CE97" s="328"/>
      <c r="CF97" s="328"/>
      <c r="CG97" s="328"/>
      <c r="CH97" s="328"/>
      <c r="CI97" s="328"/>
      <c r="CJ97" s="328"/>
      <c r="CK97" s="328"/>
      <c r="CL97" s="328">
        <f>COUNTIF(AT97:BH97,"*OK*")</f>
        <v>0</v>
      </c>
      <c r="CM97" s="328"/>
      <c r="CN97" s="328">
        <f>COUNTIF(AT97:BH97,"*OP*")</f>
        <v>0</v>
      </c>
      <c r="CO97" s="287"/>
      <c r="CP97" s="287"/>
    </row>
    <row r="98" spans="1:94" s="285" customFormat="1" ht="14.25" customHeight="1">
      <c r="A98" s="835">
        <v>29844</v>
      </c>
      <c r="B98" s="560" t="s">
        <v>815</v>
      </c>
      <c r="C98" s="329">
        <f t="shared" si="3"/>
        <v>413.90730000000002</v>
      </c>
      <c r="D98" s="352">
        <f>COUNTIF(AT98:BH98,"*OK*")</f>
        <v>0</v>
      </c>
      <c r="E98" s="397" t="s">
        <v>439</v>
      </c>
      <c r="F98" s="351" t="s">
        <v>816</v>
      </c>
      <c r="G98" s="351"/>
      <c r="H98" s="650">
        <f>IF(LEN(TRIM($G98&amp;""))=0, $C98, SUMIF($G$3:$G$561, TRIM($G98), $C$3:$C$561))</f>
        <v>413.90730000000002</v>
      </c>
      <c r="I98" s="351" t="s">
        <v>562</v>
      </c>
      <c r="J98" s="351"/>
      <c r="K98" s="349"/>
      <c r="L98" s="349"/>
      <c r="M98" s="553"/>
      <c r="N98" s="332" t="s">
        <v>817</v>
      </c>
      <c r="O98" s="541" t="s">
        <v>818</v>
      </c>
      <c r="P98" s="541" t="s">
        <v>819</v>
      </c>
      <c r="Q98" s="541" t="s">
        <v>820</v>
      </c>
      <c r="R98" s="332" t="s">
        <v>821</v>
      </c>
      <c r="S98" s="352"/>
      <c r="T98" s="397"/>
      <c r="U98" s="354" t="s">
        <v>82</v>
      </c>
      <c r="V98" s="355">
        <v>324.77999999999997</v>
      </c>
      <c r="W98" s="355">
        <v>324.52</v>
      </c>
      <c r="X98" s="355">
        <v>315.89</v>
      </c>
      <c r="Y98" s="356">
        <v>365.11</v>
      </c>
      <c r="Z98" s="337">
        <v>374.0677</v>
      </c>
      <c r="AA98" s="365">
        <v>371.97</v>
      </c>
      <c r="AB98" s="365">
        <v>492.07150000000001</v>
      </c>
      <c r="AC98" s="635">
        <v>507.27910000000003</v>
      </c>
      <c r="AD98" s="365">
        <v>413.90730000000002</v>
      </c>
      <c r="AE98" s="357">
        <v>302</v>
      </c>
      <c r="AF98" s="358">
        <v>150</v>
      </c>
      <c r="AG98" s="354"/>
      <c r="AH98" s="359"/>
      <c r="AI98" s="361" t="s">
        <v>83</v>
      </c>
      <c r="AJ98" s="361" t="s">
        <v>101</v>
      </c>
      <c r="AK98" s="362" t="s">
        <v>822</v>
      </c>
      <c r="AL98" s="358" t="s">
        <v>103</v>
      </c>
      <c r="AM98" s="349"/>
      <c r="AN98" s="349"/>
      <c r="AO98" s="349"/>
      <c r="AP98" s="349"/>
      <c r="AQ98" s="349"/>
      <c r="AR98" s="453"/>
      <c r="AS98" s="362" t="s">
        <v>103</v>
      </c>
      <c r="AT98" s="445"/>
      <c r="AU98" s="445"/>
      <c r="AV98" s="445"/>
      <c r="AW98" s="445"/>
      <c r="AX98" s="445"/>
      <c r="AY98" s="445"/>
      <c r="AZ98" s="445"/>
      <c r="BA98" s="445"/>
      <c r="BB98" s="445"/>
      <c r="BC98" s="445"/>
      <c r="BD98" s="445"/>
      <c r="BE98" s="445"/>
      <c r="BF98" s="445"/>
      <c r="BG98" s="445"/>
      <c r="BH98" s="445"/>
      <c r="BI98" s="445"/>
      <c r="BJ98" s="290">
        <f>COUNTIF(AT98:BI98,"*OP*")</f>
        <v>0</v>
      </c>
      <c r="BK98" s="362" t="s">
        <v>103</v>
      </c>
      <c r="BL98" s="349">
        <f>(COUNTIF(AT98:AV98,"*OK*")*3) + (COUNTIF(AW98:AY98,"*OK*")*2) + COUNTIF(AZ98:BB98,"*OK*")+COUNTIF(BK98:BK98,"SI")*0.5</f>
        <v>0</v>
      </c>
      <c r="BM98" s="349" t="str">
        <f>IF(BL98&lt;0.6,"Demasiado Riesgo",IF(BL98&lt;=5,"Riesgo Medio",IF(BL98&lt;=11,"Riesgo Bajo","Cliente Blindado")))</f>
        <v>Demasiado Riesgo</v>
      </c>
      <c r="BN98" s="349"/>
      <c r="BO98" s="349"/>
      <c r="BP98" s="349">
        <v>0</v>
      </c>
      <c r="BQ98" s="349"/>
      <c r="BR98" s="349"/>
      <c r="BS98" s="349"/>
      <c r="BT98" s="349"/>
      <c r="BU98" s="349"/>
      <c r="BV98" s="349"/>
      <c r="BW98" s="349"/>
      <c r="BX98" s="349"/>
      <c r="BY98" s="349"/>
      <c r="BZ98" s="349"/>
      <c r="CA98" s="349"/>
      <c r="CB98" s="349"/>
      <c r="CC98" s="349"/>
      <c r="CD98" s="349"/>
      <c r="CE98" s="349"/>
      <c r="CF98" s="349"/>
      <c r="CG98" s="349"/>
      <c r="CH98" s="349"/>
      <c r="CI98" s="349"/>
      <c r="CJ98" s="349"/>
      <c r="CK98" s="349"/>
      <c r="CL98" s="349">
        <f>COUNTIF(AT98:BH98,"*OK*")</f>
        <v>0</v>
      </c>
      <c r="CM98" s="349"/>
      <c r="CN98" s="349">
        <f>COUNTIF(AT98:BH98,"*OP*")</f>
        <v>0</v>
      </c>
      <c r="CO98" s="287"/>
      <c r="CP98" s="287"/>
    </row>
    <row r="99" spans="1:94" s="285" customFormat="1" ht="14.25" customHeight="1">
      <c r="A99" s="837">
        <v>17919</v>
      </c>
      <c r="B99" s="560" t="s">
        <v>823</v>
      </c>
      <c r="C99" s="329">
        <f t="shared" si="3"/>
        <v>512.61749999999995</v>
      </c>
      <c r="D99" s="352">
        <f>COUNTIF(AT99:BH99,"*OK*")</f>
        <v>0</v>
      </c>
      <c r="E99" s="331" t="s">
        <v>73</v>
      </c>
      <c r="F99" s="854" t="s">
        <v>824</v>
      </c>
      <c r="G99" s="351"/>
      <c r="H99" s="650">
        <f>IF(LEN(TRIM($G99&amp;""))=0, $C99, SUMIF($G$3:$G$561, TRIM($G99), $C$3:$C$561))</f>
        <v>512.61749999999995</v>
      </c>
      <c r="I99" s="413" t="s">
        <v>76</v>
      </c>
      <c r="J99" s="351"/>
      <c r="K99" s="558"/>
      <c r="L99" s="558" t="str">
        <f>HYPERLINK("https://crm.zoho.com/crm/org685875245/tab/Accounts/3525045000141005503","https://crm.zoho.com/crm/org685875245/tab/Accounts/3525045000141005503")</f>
        <v>https://crm.zoho.com/crm/org685875245/tab/Accounts/3525045000141005503</v>
      </c>
      <c r="M99" s="553" t="s">
        <v>96</v>
      </c>
      <c r="N99" s="570" t="s">
        <v>825</v>
      </c>
      <c r="O99" s="571" t="s">
        <v>240</v>
      </c>
      <c r="P99" s="571" t="s">
        <v>826</v>
      </c>
      <c r="Q99" s="571" t="s">
        <v>827</v>
      </c>
      <c r="R99" s="570"/>
      <c r="S99" s="331" t="s">
        <v>220</v>
      </c>
      <c r="T99" s="351"/>
      <c r="U99" s="354" t="s">
        <v>285</v>
      </c>
      <c r="V99" s="355">
        <v>838.1</v>
      </c>
      <c r="W99" s="355">
        <v>724.75</v>
      </c>
      <c r="X99" s="355">
        <v>720.85</v>
      </c>
      <c r="Y99" s="356">
        <v>809.81</v>
      </c>
      <c r="Z99" s="337">
        <v>638.32529999999997</v>
      </c>
      <c r="AA99" s="365">
        <v>620.91999999999996</v>
      </c>
      <c r="AB99" s="365">
        <v>717.1078</v>
      </c>
      <c r="AC99" s="635">
        <v>502.29790000000003</v>
      </c>
      <c r="AD99" s="365">
        <v>512.61749999999995</v>
      </c>
      <c r="AE99" s="357">
        <v>133</v>
      </c>
      <c r="AF99" s="358">
        <v>150</v>
      </c>
      <c r="AG99" s="354"/>
      <c r="AH99" s="359" t="s">
        <v>378</v>
      </c>
      <c r="AI99" s="361" t="s">
        <v>379</v>
      </c>
      <c r="AJ99" s="361" t="s">
        <v>297</v>
      </c>
      <c r="AK99" s="362" t="s">
        <v>828</v>
      </c>
      <c r="AL99" s="358" t="s">
        <v>829</v>
      </c>
      <c r="AM99" s="349"/>
      <c r="AN99" s="349"/>
      <c r="AO99" s="349"/>
      <c r="AP99" s="349"/>
      <c r="AQ99" s="349"/>
      <c r="AR99" s="453"/>
      <c r="AS99" s="363" t="s">
        <v>103</v>
      </c>
      <c r="AT99" s="345" t="s">
        <v>179</v>
      </c>
      <c r="AU99" s="345"/>
      <c r="AV99" s="594" t="s">
        <v>830</v>
      </c>
      <c r="AW99" s="345" t="s">
        <v>179</v>
      </c>
      <c r="AX99" s="345"/>
      <c r="AY99" s="345"/>
      <c r="AZ99" s="345"/>
      <c r="BA99" s="345"/>
      <c r="BB99" s="345"/>
      <c r="BC99" s="345"/>
      <c r="BD99" s="345"/>
      <c r="BE99" s="345"/>
      <c r="BF99" s="345"/>
      <c r="BG99" s="345"/>
      <c r="BH99" s="345"/>
      <c r="BI99" s="345"/>
      <c r="BJ99" s="346">
        <f>COUNTIF(AT99:BI99,"*OP*")</f>
        <v>2</v>
      </c>
      <c r="BK99" s="445"/>
      <c r="BL99" s="349">
        <f>(COUNTIF(AT99:AV99,"*OK*")*3) + (COUNTIF(AW99:AY99,"*OK*")*2) + COUNTIF(AZ99:BB99,"*OK*")+COUNTIF(BK99:BK99,"SI")*0.5</f>
        <v>0</v>
      </c>
      <c r="BM99" s="349" t="str">
        <f>IF(BL99&lt;0.6,"Demasiado Riesgo",IF(BL99&lt;=5,"Riesgo Medio",IF(BL99&lt;=11,"Riesgo Bajo","Cliente Blindado")))</f>
        <v>Demasiado Riesgo</v>
      </c>
      <c r="BN99" s="349"/>
      <c r="BO99" s="328"/>
      <c r="BP99" s="328">
        <v>0</v>
      </c>
      <c r="BQ99" s="328"/>
      <c r="BR99" s="328"/>
      <c r="BS99" s="328"/>
      <c r="BT99" s="328"/>
      <c r="BU99" s="328"/>
      <c r="BV99" s="328"/>
      <c r="BW99" s="328"/>
      <c r="BX99" s="328"/>
      <c r="BY99" s="328"/>
      <c r="BZ99" s="328"/>
      <c r="CA99" s="328"/>
      <c r="CB99" s="328"/>
      <c r="CC99" s="328"/>
      <c r="CD99" s="328"/>
      <c r="CE99" s="328"/>
      <c r="CF99" s="328"/>
      <c r="CG99" s="328"/>
      <c r="CH99" s="328"/>
      <c r="CI99" s="328"/>
      <c r="CJ99" s="328"/>
      <c r="CK99" s="328"/>
      <c r="CL99" s="328">
        <f>COUNTIF(AT99:BH99,"*OK*")</f>
        <v>0</v>
      </c>
      <c r="CM99" s="328"/>
      <c r="CN99" s="328">
        <f>COUNTIF(AT99:BH99,"*OP*")</f>
        <v>2</v>
      </c>
      <c r="CO99" s="287"/>
      <c r="CP99" s="287"/>
    </row>
    <row r="100" spans="1:94" ht="15" customHeight="1">
      <c r="A100" s="836">
        <v>21116</v>
      </c>
      <c r="B100" s="560" t="s">
        <v>831</v>
      </c>
      <c r="C100" s="329">
        <f t="shared" si="3"/>
        <v>472.75</v>
      </c>
      <c r="D100" s="332">
        <f>COUNTIF(AT100:BH100,"*OK*")</f>
        <v>0</v>
      </c>
      <c r="E100" s="331" t="s">
        <v>73</v>
      </c>
      <c r="F100" s="331" t="s">
        <v>832</v>
      </c>
      <c r="G100" s="533"/>
      <c r="H100" s="650">
        <f>IF(LEN(TRIM($G100&amp;""))=0, $C100, SUMIF($G$3:$G$561, TRIM($G100), $C$3:$C$561))</f>
        <v>472.75</v>
      </c>
      <c r="I100" s="333" t="s">
        <v>562</v>
      </c>
      <c r="J100" s="331"/>
      <c r="K100" s="560"/>
      <c r="L100" s="560" t="str">
        <f>HYPERLINK("https://crm.zoho.com/crm/org685875245/tab/Accounts/3525045000217274383","https://crm.zoho.com/crm/org685875245/tab/Accounts/3525045000217274383")</f>
        <v>https://crm.zoho.com/crm/org685875245/tab/Accounts/3525045000217274383</v>
      </c>
      <c r="M100" s="391" t="s">
        <v>96</v>
      </c>
      <c r="N100" s="560"/>
      <c r="O100" s="561" t="s">
        <v>833</v>
      </c>
      <c r="P100" s="561" t="s">
        <v>312</v>
      </c>
      <c r="Q100" s="561" t="s">
        <v>834</v>
      </c>
      <c r="R100" s="560"/>
      <c r="S100" s="332"/>
      <c r="T100" s="331"/>
      <c r="U100" s="334" t="s">
        <v>82</v>
      </c>
      <c r="V100" s="335">
        <v>434.35</v>
      </c>
      <c r="W100" s="335">
        <v>443.82</v>
      </c>
      <c r="X100" s="335">
        <v>407.29</v>
      </c>
      <c r="Y100" s="336">
        <v>404.23</v>
      </c>
      <c r="Z100" s="337">
        <v>439.1653</v>
      </c>
      <c r="AA100" s="365">
        <v>408.42</v>
      </c>
      <c r="AB100" s="365">
        <v>444.55149999999998</v>
      </c>
      <c r="AC100" s="635">
        <v>499.32810000000001</v>
      </c>
      <c r="AD100" s="365">
        <v>472.75</v>
      </c>
      <c r="AE100" s="339">
        <v>151</v>
      </c>
      <c r="AF100" s="340">
        <v>150</v>
      </c>
      <c r="AG100" s="334"/>
      <c r="AH100" s="341" t="s">
        <v>821</v>
      </c>
      <c r="AI100" s="342" t="s">
        <v>821</v>
      </c>
      <c r="AJ100" s="343" t="s">
        <v>199</v>
      </c>
      <c r="AK100" s="344" t="s">
        <v>835</v>
      </c>
      <c r="AL100" s="340" t="s">
        <v>199</v>
      </c>
      <c r="AM100" s="328"/>
      <c r="AN100" s="328"/>
      <c r="AO100" s="328"/>
      <c r="AP100" s="328"/>
      <c r="AQ100" s="328"/>
      <c r="AR100" s="451"/>
      <c r="AS100" s="344" t="s">
        <v>103</v>
      </c>
      <c r="AT100" s="345"/>
      <c r="AU100" s="345"/>
      <c r="AV100" s="345"/>
      <c r="AW100" s="345"/>
      <c r="AX100" s="345"/>
      <c r="AY100" s="345"/>
      <c r="AZ100" s="345"/>
      <c r="BA100" s="345"/>
      <c r="BB100" s="345"/>
      <c r="BC100" s="345"/>
      <c r="BD100" s="345"/>
      <c r="BE100" s="345"/>
      <c r="BF100" s="345"/>
      <c r="BG100" s="345"/>
      <c r="BH100" s="345"/>
      <c r="BI100" s="345"/>
      <c r="BJ100" s="346">
        <f>COUNTIF(AT100:BI100,"*OP*")</f>
        <v>0</v>
      </c>
      <c r="BK100" s="344" t="s">
        <v>103</v>
      </c>
      <c r="BL100" s="328">
        <f>(COUNTIF(AT100:AV100,"*OK*")*3) + (COUNTIF(AW100:AY100,"*OK*")*2) + COUNTIF(AZ100:BB100,"*OK*")+COUNTIF(BK100:BK100,"SI")*0.5</f>
        <v>0</v>
      </c>
      <c r="BM100" s="328" t="str">
        <f>IF(BL100&lt;0.6,"Demasiado Riesgo",IF(BL100&lt;=5,"Riesgo Medio",IF(BL100&lt;=11,"Riesgo Bajo","Cliente Blindado")))</f>
        <v>Demasiado Riesgo</v>
      </c>
      <c r="BN100" s="328"/>
      <c r="BO100" s="349"/>
      <c r="BP100" s="349">
        <v>0</v>
      </c>
      <c r="BQ100" s="349"/>
      <c r="BR100" s="349"/>
      <c r="BS100" s="349"/>
      <c r="BT100" s="349"/>
      <c r="BU100" s="349"/>
      <c r="BV100" s="349"/>
      <c r="BW100" s="349"/>
      <c r="BX100" s="349"/>
      <c r="BY100" s="349"/>
      <c r="BZ100" s="349"/>
      <c r="CA100" s="349"/>
      <c r="CB100" s="349"/>
      <c r="CC100" s="349"/>
      <c r="CD100" s="349"/>
      <c r="CE100" s="349"/>
      <c r="CF100" s="349"/>
      <c r="CG100" s="349"/>
      <c r="CH100" s="349"/>
      <c r="CI100" s="349"/>
      <c r="CJ100" s="349"/>
      <c r="CK100" s="349"/>
      <c r="CL100" s="349">
        <f>COUNTIF(AT100:BH100,"*OK*")</f>
        <v>0</v>
      </c>
      <c r="CM100" s="349"/>
      <c r="CN100" s="349">
        <f>COUNTIF(AT100:BH100,"*OP*")</f>
        <v>0</v>
      </c>
    </row>
    <row r="101" spans="1:94" s="285" customFormat="1" ht="15" customHeight="1">
      <c r="A101" s="835">
        <v>3009</v>
      </c>
      <c r="B101" s="560"/>
      <c r="C101" s="329">
        <f t="shared" si="3"/>
        <v>0</v>
      </c>
      <c r="D101" s="352">
        <f>COUNTIF(AX101:BI101,"OK")</f>
        <v>0</v>
      </c>
      <c r="E101" s="437" t="s">
        <v>93</v>
      </c>
      <c r="F101" s="370" t="s">
        <v>836</v>
      </c>
      <c r="G101" s="674"/>
      <c r="H101" s="650">
        <f>IF(LEN(TRIM($G101&amp;""))=0, $C101, SUMIF($G$3:$G$561, TRIM($G101), $C$3:$C$561))</f>
        <v>0</v>
      </c>
      <c r="I101" s="397" t="s">
        <v>562</v>
      </c>
      <c r="J101" s="397" t="s">
        <v>837</v>
      </c>
      <c r="K101" s="349"/>
      <c r="L101" s="349" t="str">
        <f>HYPERLINK("https://crm.zoho.com/crm/org685875245/tab/Accounts/3525045000025416250","https://crm.zoho.com/crm/org685875245/tab/Accounts/3525045000025416250")</f>
        <v>https://crm.zoho.com/crm/org685875245/tab/Accounts/3525045000025416250</v>
      </c>
      <c r="M101" s="553"/>
      <c r="N101" s="352" t="s">
        <v>838</v>
      </c>
      <c r="O101" s="540" t="s">
        <v>839</v>
      </c>
      <c r="P101" s="540" t="s">
        <v>840</v>
      </c>
      <c r="Q101" s="540" t="s">
        <v>841</v>
      </c>
      <c r="R101" s="352"/>
      <c r="S101" s="352"/>
      <c r="T101" s="397"/>
      <c r="U101" s="362" t="s">
        <v>285</v>
      </c>
      <c r="V101" s="398">
        <v>477</v>
      </c>
      <c r="W101" s="398">
        <v>468</v>
      </c>
      <c r="X101" s="398">
        <v>464</v>
      </c>
      <c r="Y101" s="399">
        <v>461</v>
      </c>
      <c r="Z101" s="400">
        <v>458</v>
      </c>
      <c r="AA101" s="707">
        <v>458</v>
      </c>
      <c r="AB101" s="707">
        <v>485.15719999999999</v>
      </c>
      <c r="AC101" s="637">
        <v>485.86130000000003</v>
      </c>
      <c r="AD101" s="707"/>
      <c r="AE101" s="357">
        <v>408</v>
      </c>
      <c r="AF101" s="358" t="s">
        <v>103</v>
      </c>
      <c r="AG101" s="354"/>
      <c r="AH101" s="349"/>
      <c r="AI101" s="361"/>
      <c r="AJ101" s="361"/>
      <c r="AK101" s="362"/>
      <c r="AL101" s="371" t="s">
        <v>103</v>
      </c>
      <c r="AM101" s="349"/>
      <c r="AN101" s="349"/>
      <c r="AO101" s="349"/>
      <c r="AP101" s="349"/>
      <c r="AQ101" s="349"/>
      <c r="AR101" s="453"/>
      <c r="AS101" s="363" t="s">
        <v>103</v>
      </c>
      <c r="AT101" s="345"/>
      <c r="AU101" s="345"/>
      <c r="AV101" s="345"/>
      <c r="AW101" s="345"/>
      <c r="AX101" s="345"/>
      <c r="AY101" s="345"/>
      <c r="AZ101" s="345"/>
      <c r="BA101" s="345"/>
      <c r="BB101" s="345"/>
      <c r="BC101" s="345"/>
      <c r="BD101" s="345"/>
      <c r="BE101" s="345"/>
      <c r="BF101" s="345"/>
      <c r="BG101" s="345"/>
      <c r="BH101" s="345"/>
      <c r="BI101" s="345"/>
      <c r="BJ101" s="346">
        <f>COUNTIF(AT101:BI101,"*OP*")</f>
        <v>0</v>
      </c>
      <c r="BK101" s="363" t="s">
        <v>103</v>
      </c>
      <c r="BL101" s="349">
        <f>(COUNTIF(AT101:AV101,"*OK*")*3) + (COUNTIF(AW101:AY101,"*OK*")*2) + COUNTIF(AZ101:BB101,"*OK*")+COUNTIF(BK101:BK101,"SI")*0.5</f>
        <v>0</v>
      </c>
      <c r="BM101" s="349" t="str">
        <f>IF(BL101&lt;0.6,"Demasiado Riesgo",IF(BL101&lt;=5,"Riesgo Medio",IF(BL101&lt;=11,"Riesgo Bajo","Cliente Blindado")))</f>
        <v>Demasiado Riesgo</v>
      </c>
      <c r="BN101" s="349"/>
      <c r="BO101" s="328"/>
      <c r="BP101" s="328">
        <v>0</v>
      </c>
      <c r="BQ101" s="328"/>
      <c r="BR101" s="328"/>
      <c r="BS101" s="328"/>
      <c r="BT101" s="328"/>
      <c r="BU101" s="328"/>
      <c r="BV101" s="328"/>
      <c r="BW101" s="328"/>
      <c r="BX101" s="328"/>
      <c r="BY101" s="328"/>
      <c r="BZ101" s="328"/>
      <c r="CA101" s="328"/>
      <c r="CB101" s="328"/>
      <c r="CC101" s="328"/>
      <c r="CD101" s="328"/>
      <c r="CE101" s="328"/>
      <c r="CF101" s="328"/>
      <c r="CG101" s="328"/>
      <c r="CH101" s="328"/>
      <c r="CI101" s="328"/>
      <c r="CJ101" s="328"/>
      <c r="CK101" s="328"/>
      <c r="CL101" s="328">
        <f>COUNTIF(AT101:BH101,"*OK*")</f>
        <v>0</v>
      </c>
      <c r="CM101" s="328"/>
      <c r="CN101" s="328">
        <f>COUNTIF(AT101:BH101,"*OP*")</f>
        <v>0</v>
      </c>
      <c r="CO101" s="287"/>
      <c r="CP101" s="287"/>
    </row>
    <row r="102" spans="1:94" ht="15" customHeight="1">
      <c r="A102" s="835">
        <v>38089</v>
      </c>
      <c r="B102" s="560" t="s">
        <v>842</v>
      </c>
      <c r="C102" s="329">
        <f t="shared" si="3"/>
        <v>462.74829999999997</v>
      </c>
      <c r="D102" s="352">
        <f>COUNTIF(AX102:BI102,"OK")</f>
        <v>0</v>
      </c>
      <c r="E102" s="397" t="s">
        <v>439</v>
      </c>
      <c r="F102" s="368" t="s">
        <v>843</v>
      </c>
      <c r="G102" s="623"/>
      <c r="H102" s="650">
        <f>IF(LEN(TRIM($G102&amp;""))=0, $C102, SUMIF($G$3:$G$561, TRIM($G102), $C$3:$C$561))</f>
        <v>462.74829999999997</v>
      </c>
      <c r="I102" s="368" t="s">
        <v>562</v>
      </c>
      <c r="J102" s="349"/>
      <c r="K102" s="349"/>
      <c r="L102" s="349" t="str">
        <f>HYPERLINK("https://crm.zoho.com/crm/org685875245/tab/Accounts/3525045000625100316","https://crm.zoho.com/crm/org685875245/tab/Accounts/3525045000625100316")</f>
        <v>https://crm.zoho.com/crm/org685875245/tab/Accounts/3525045000625100316</v>
      </c>
      <c r="M102" s="553"/>
      <c r="N102" s="332" t="s">
        <v>817</v>
      </c>
      <c r="O102" s="541" t="s">
        <v>844</v>
      </c>
      <c r="P102" s="541" t="s">
        <v>845</v>
      </c>
      <c r="Q102" s="547" t="s">
        <v>846</v>
      </c>
      <c r="R102" s="471"/>
      <c r="S102" s="352"/>
      <c r="T102" s="397" t="s">
        <v>88</v>
      </c>
      <c r="U102" s="362"/>
      <c r="V102" s="335"/>
      <c r="W102" s="335"/>
      <c r="X102" s="335"/>
      <c r="Y102" s="336"/>
      <c r="Z102" s="337">
        <v>401.7978</v>
      </c>
      <c r="AA102" s="435">
        <v>423.39</v>
      </c>
      <c r="AB102" s="435">
        <v>453.17829999999998</v>
      </c>
      <c r="AC102" s="641">
        <v>484.39429999999999</v>
      </c>
      <c r="AD102" s="435">
        <v>462.74829999999997</v>
      </c>
      <c r="AE102" s="357">
        <v>111</v>
      </c>
      <c r="AF102" s="358" t="s">
        <v>103</v>
      </c>
      <c r="AG102" s="354"/>
      <c r="AH102" s="349"/>
      <c r="AI102" s="370"/>
      <c r="AJ102" s="361"/>
      <c r="AK102" s="362"/>
      <c r="AL102" s="371" t="s">
        <v>103</v>
      </c>
      <c r="AM102" s="349"/>
      <c r="AN102" s="349"/>
      <c r="AO102" s="349"/>
      <c r="AP102" s="349"/>
      <c r="AQ102" s="349"/>
      <c r="AR102" s="453"/>
      <c r="AS102" s="453"/>
      <c r="AT102" s="345"/>
      <c r="AU102" s="345"/>
      <c r="AV102" s="345" t="s">
        <v>179</v>
      </c>
      <c r="AW102" s="345"/>
      <c r="AX102" s="345"/>
      <c r="AY102" s="345"/>
      <c r="AZ102" s="345"/>
      <c r="BA102" s="345"/>
      <c r="BB102" s="345"/>
      <c r="BC102" s="345"/>
      <c r="BD102" s="345"/>
      <c r="BE102" s="345"/>
      <c r="BF102" s="345"/>
      <c r="BG102" s="345"/>
      <c r="BH102" s="345"/>
      <c r="BI102" s="345"/>
      <c r="BJ102" s="364">
        <f>COUNTIF(AT102:BI102,"*OP*")</f>
        <v>1</v>
      </c>
      <c r="BK102" s="453"/>
      <c r="BL102" s="349">
        <f>(COUNTIF(AT102:AV102,"*OK*")*3) + (COUNTIF(AW102:AY102,"*OK*")*2) + COUNTIF(AZ102:BB102,"*OK*")+COUNTIF(BK102:BK102,"SI")*0.5</f>
        <v>0</v>
      </c>
      <c r="BM102" s="349" t="str">
        <f>IF(BL102&lt;0.6,"Demasiado Riesgo",IF(BL102&lt;=5,"Riesgo Medio",IF(BL102&lt;=11,"Riesgo Bajo","Cliente Blindado")))</f>
        <v>Demasiado Riesgo</v>
      </c>
      <c r="BN102" s="349"/>
      <c r="BO102" s="349"/>
      <c r="BP102" s="349">
        <v>0</v>
      </c>
      <c r="BQ102" s="349"/>
      <c r="BR102" s="349"/>
      <c r="BS102" s="349"/>
      <c r="BT102" s="349"/>
      <c r="BU102" s="349"/>
      <c r="BV102" s="349"/>
      <c r="BW102" s="349"/>
      <c r="BX102" s="349"/>
      <c r="BY102" s="349"/>
      <c r="BZ102" s="349"/>
      <c r="CA102" s="349"/>
      <c r="CB102" s="349"/>
      <c r="CC102" s="349"/>
      <c r="CD102" s="349"/>
      <c r="CE102" s="349"/>
      <c r="CF102" s="349"/>
      <c r="CG102" s="349"/>
      <c r="CH102" s="349"/>
      <c r="CI102" s="349"/>
      <c r="CJ102" s="349"/>
      <c r="CK102" s="349"/>
      <c r="CL102" s="349">
        <f>COUNTIF(AT102:BH102,"*OK*")</f>
        <v>0</v>
      </c>
      <c r="CM102" s="349"/>
      <c r="CN102" s="349">
        <f>COUNTIF(AT102:BH102,"*OP*")</f>
        <v>1</v>
      </c>
    </row>
    <row r="103" spans="1:94" ht="15" customHeight="1">
      <c r="A103" s="834">
        <v>6901</v>
      </c>
      <c r="B103" s="560" t="s">
        <v>847</v>
      </c>
      <c r="C103" s="329">
        <f t="shared" si="3"/>
        <v>437.6352</v>
      </c>
      <c r="D103" s="332">
        <f>COUNTIF(AT103:BH103,"*OK*")</f>
        <v>0</v>
      </c>
      <c r="E103" s="331" t="s">
        <v>439</v>
      </c>
      <c r="F103" s="431" t="s">
        <v>848</v>
      </c>
      <c r="G103" s="533"/>
      <c r="H103" s="650">
        <f>IF(LEN(TRIM($G103&amp;""))=0, $C103, SUMIF($G$3:$G$561, TRIM($G103), $C$3:$C$561))</f>
        <v>437.6352</v>
      </c>
      <c r="I103" s="410" t="s">
        <v>562</v>
      </c>
      <c r="J103" s="331"/>
      <c r="K103" s="328"/>
      <c r="L103" s="328" t="str">
        <f>HYPERLINK("https://crm.zoho.com/crm/org685875245/tab/Accounts/3525045000094546304","https://crm.zoho.com/crm/org685875245/tab/Accounts/3525045000094546304")</f>
        <v>https://crm.zoho.com/crm/org685875245/tab/Accounts/3525045000094546304</v>
      </c>
      <c r="M103" s="391" t="s">
        <v>96</v>
      </c>
      <c r="N103" s="332" t="s">
        <v>849</v>
      </c>
      <c r="O103" s="541" t="s">
        <v>833</v>
      </c>
      <c r="P103" s="541" t="s">
        <v>850</v>
      </c>
      <c r="Q103" s="541" t="s">
        <v>851</v>
      </c>
      <c r="R103" s="332"/>
      <c r="S103" s="332"/>
      <c r="T103" s="331"/>
      <c r="U103" s="334" t="s">
        <v>82</v>
      </c>
      <c r="V103" s="335">
        <v>476.51</v>
      </c>
      <c r="W103" s="335">
        <v>495.91</v>
      </c>
      <c r="X103" s="335">
        <v>453.7</v>
      </c>
      <c r="Y103" s="336">
        <v>429.27</v>
      </c>
      <c r="Z103" s="337">
        <v>441.64249999999998</v>
      </c>
      <c r="AA103" s="365">
        <v>413.98</v>
      </c>
      <c r="AB103" s="365">
        <v>427.33589999999998</v>
      </c>
      <c r="AC103" s="635">
        <v>475.36369999999999</v>
      </c>
      <c r="AD103" s="365">
        <v>437.6352</v>
      </c>
      <c r="AE103" s="339">
        <v>124</v>
      </c>
      <c r="AF103" s="340">
        <v>100</v>
      </c>
      <c r="AG103" s="334"/>
      <c r="AH103" s="341"/>
      <c r="AI103" s="422" t="s">
        <v>83</v>
      </c>
      <c r="AJ103" s="343" t="s">
        <v>852</v>
      </c>
      <c r="AK103" s="344" t="s">
        <v>853</v>
      </c>
      <c r="AL103" s="340" t="s">
        <v>103</v>
      </c>
      <c r="AM103" s="328"/>
      <c r="AN103" s="328"/>
      <c r="AO103" s="328"/>
      <c r="AP103" s="328"/>
      <c r="AQ103" s="328"/>
      <c r="AR103" s="451"/>
      <c r="AS103" s="344" t="s">
        <v>103</v>
      </c>
      <c r="AT103" s="345"/>
      <c r="AU103" s="345"/>
      <c r="AV103" s="345"/>
      <c r="AW103" s="345"/>
      <c r="AX103" s="345"/>
      <c r="AY103" s="345"/>
      <c r="AZ103" s="345"/>
      <c r="BA103" s="345"/>
      <c r="BB103" s="345"/>
      <c r="BC103" s="345"/>
      <c r="BD103" s="345"/>
      <c r="BE103" s="345"/>
      <c r="BF103" s="345"/>
      <c r="BG103" s="345"/>
      <c r="BH103" s="345"/>
      <c r="BI103" s="345"/>
      <c r="BJ103" s="346">
        <f>COUNTIF(AT103:BI103,"*OP*")</f>
        <v>0</v>
      </c>
      <c r="BK103" s="344" t="s">
        <v>89</v>
      </c>
      <c r="BL103" s="328">
        <f>(COUNTIF(AT103:AV103,"*OK*")*3) + (COUNTIF(AW103:AY103,"*OK*")*2) + COUNTIF(AZ103:BB103,"*OK*")+COUNTIF(BK103:BK103,"SI")*0.5</f>
        <v>0</v>
      </c>
      <c r="BM103" s="328" t="str">
        <f>IF(BL103&lt;0.6,"Demasiado Riesgo",IF(BL103&lt;=5,"Riesgo Medio",IF(BL103&lt;=11,"Riesgo Bajo","Cliente Blindado")))</f>
        <v>Demasiado Riesgo</v>
      </c>
      <c r="BN103" s="328"/>
      <c r="BO103" s="349"/>
      <c r="BP103" s="349">
        <v>0</v>
      </c>
      <c r="BQ103" s="349"/>
      <c r="BR103" s="349"/>
      <c r="BS103" s="349"/>
      <c r="BT103" s="349"/>
      <c r="BU103" s="349"/>
      <c r="BV103" s="349"/>
      <c r="BW103" s="349"/>
      <c r="BX103" s="349"/>
      <c r="BY103" s="349"/>
      <c r="BZ103" s="349"/>
      <c r="CA103" s="349"/>
      <c r="CB103" s="349"/>
      <c r="CC103" s="349"/>
      <c r="CD103" s="349"/>
      <c r="CE103" s="349"/>
      <c r="CF103" s="349"/>
      <c r="CG103" s="349"/>
      <c r="CH103" s="349"/>
      <c r="CI103" s="349"/>
      <c r="CJ103" s="349"/>
      <c r="CK103" s="349"/>
      <c r="CL103" s="349">
        <f>COUNTIF(AT103:BH103,"*OK*")</f>
        <v>0</v>
      </c>
      <c r="CM103" s="349"/>
      <c r="CN103" s="349">
        <f>COUNTIF(AT103:BH103,"*OP*")</f>
        <v>0</v>
      </c>
    </row>
    <row r="104" spans="1:94" ht="15" customHeight="1">
      <c r="A104" s="835">
        <v>34072</v>
      </c>
      <c r="B104" s="560" t="s">
        <v>854</v>
      </c>
      <c r="C104" s="329">
        <f t="shared" si="3"/>
        <v>438.74169999999998</v>
      </c>
      <c r="D104" s="352">
        <f>COUNTIF(AT104:BH104,"*OK*")</f>
        <v>0</v>
      </c>
      <c r="E104" s="397" t="s">
        <v>439</v>
      </c>
      <c r="F104" s="496" t="s">
        <v>855</v>
      </c>
      <c r="G104" s="622"/>
      <c r="H104" s="650">
        <f>IF(LEN(TRIM($G104&amp;""))=0, $C104, SUMIF($G$3:$G$561, TRIM($G104), $C$3:$C$561))</f>
        <v>438.74169999999998</v>
      </c>
      <c r="I104" s="351" t="s">
        <v>562</v>
      </c>
      <c r="J104" s="351"/>
      <c r="K104" s="349"/>
      <c r="L104" s="349"/>
      <c r="M104" s="553"/>
      <c r="N104" s="332" t="s">
        <v>817</v>
      </c>
      <c r="O104" s="541" t="s">
        <v>856</v>
      </c>
      <c r="P104" s="541" t="s">
        <v>857</v>
      </c>
      <c r="Q104" s="541" t="s">
        <v>858</v>
      </c>
      <c r="R104" s="332" t="s">
        <v>859</v>
      </c>
      <c r="S104" s="352" t="s">
        <v>860</v>
      </c>
      <c r="T104" s="397"/>
      <c r="U104" s="354" t="s">
        <v>209</v>
      </c>
      <c r="V104" s="355">
        <v>223.32</v>
      </c>
      <c r="W104" s="355">
        <v>182.55</v>
      </c>
      <c r="X104" s="355">
        <v>179.49</v>
      </c>
      <c r="Y104" s="356">
        <v>199.51</v>
      </c>
      <c r="Z104" s="337">
        <v>245.52709999999999</v>
      </c>
      <c r="AA104" s="338">
        <v>248.55</v>
      </c>
      <c r="AB104" s="338">
        <v>429.26620000000003</v>
      </c>
      <c r="AC104" s="634">
        <v>475.29910000000001</v>
      </c>
      <c r="AD104" s="338">
        <v>438.74169999999998</v>
      </c>
      <c r="AE104" s="357">
        <v>135</v>
      </c>
      <c r="AF104" s="358">
        <v>200</v>
      </c>
      <c r="AG104" s="354"/>
      <c r="AH104" s="359"/>
      <c r="AI104" s="360" t="s">
        <v>83</v>
      </c>
      <c r="AJ104" s="361" t="s">
        <v>101</v>
      </c>
      <c r="AK104" s="362" t="s">
        <v>861</v>
      </c>
      <c r="AL104" s="358" t="s">
        <v>103</v>
      </c>
      <c r="AM104" s="349"/>
      <c r="AN104" s="349"/>
      <c r="AO104" s="349"/>
      <c r="AP104" s="349"/>
      <c r="AQ104" s="349"/>
      <c r="AR104" s="453"/>
      <c r="AS104" s="362" t="s">
        <v>103</v>
      </c>
      <c r="AT104" s="345"/>
      <c r="AU104" s="345"/>
      <c r="AV104" s="345"/>
      <c r="AW104" s="345"/>
      <c r="AX104" s="345"/>
      <c r="AY104" s="345"/>
      <c r="AZ104" s="345"/>
      <c r="BA104" s="345"/>
      <c r="BB104" s="345"/>
      <c r="BC104" s="345"/>
      <c r="BD104" s="345"/>
      <c r="BE104" s="345"/>
      <c r="BF104" s="345"/>
      <c r="BG104" s="345"/>
      <c r="BH104" s="345"/>
      <c r="BI104" s="345"/>
      <c r="BJ104" s="346">
        <f>COUNTIF(AT104:BI104,"*OP*")</f>
        <v>0</v>
      </c>
      <c r="BK104" s="362" t="s">
        <v>88</v>
      </c>
      <c r="BL104" s="349">
        <f>(COUNTIF(AT104:AV104,"*OK*")*3) + (COUNTIF(AW104:AY104,"*OK*")*2) + COUNTIF(AZ104:BB104,"*OK*")+COUNTIF(BK104:BK104,"SI")*0.5</f>
        <v>0.5</v>
      </c>
      <c r="BM104" s="349" t="str">
        <f>IF(BL104&lt;0.6,"Demasiado Riesgo",IF(BL104&lt;=5,"Riesgo Medio",IF(BL104&lt;=11,"Riesgo Bajo","Cliente Blindado")))</f>
        <v>Demasiado Riesgo</v>
      </c>
      <c r="BN104" s="349"/>
      <c r="BO104" s="328"/>
      <c r="BP104" s="328">
        <v>0</v>
      </c>
      <c r="BQ104" s="328"/>
      <c r="BR104" s="328"/>
      <c r="BS104" s="328"/>
      <c r="BT104" s="328"/>
      <c r="BU104" s="328"/>
      <c r="BV104" s="328"/>
      <c r="BW104" s="328"/>
      <c r="BX104" s="328"/>
      <c r="BY104" s="328"/>
      <c r="BZ104" s="328"/>
      <c r="CA104" s="328"/>
      <c r="CB104" s="328"/>
      <c r="CC104" s="328"/>
      <c r="CD104" s="366"/>
      <c r="CE104" s="366"/>
      <c r="CF104" s="366"/>
      <c r="CG104" s="457"/>
      <c r="CH104" s="328"/>
      <c r="CI104" s="328"/>
      <c r="CJ104" s="328"/>
      <c r="CK104" s="328"/>
      <c r="CL104" s="328">
        <f>COUNTIF(AT104:BH104,"*OK*")</f>
        <v>0</v>
      </c>
      <c r="CM104" s="328"/>
      <c r="CN104" s="328">
        <f>COUNTIF(AT104:BH104,"*OP*")</f>
        <v>0</v>
      </c>
    </row>
    <row r="105" spans="1:94" ht="15" customHeight="1">
      <c r="A105" s="841">
        <v>23100</v>
      </c>
      <c r="B105" s="560" t="s">
        <v>862</v>
      </c>
      <c r="C105" s="329">
        <f t="shared" si="3"/>
        <v>429.96249999999998</v>
      </c>
      <c r="D105" s="332">
        <f>COUNTIF(AT105:BH105,"*OK*")</f>
        <v>0</v>
      </c>
      <c r="E105" s="331" t="s">
        <v>73</v>
      </c>
      <c r="F105" s="331" t="s">
        <v>863</v>
      </c>
      <c r="G105" s="331"/>
      <c r="H105" s="650">
        <f>IF(LEN(TRIM($G105&amp;""))=0, $C105, SUMIF($G$3:$G$561, TRIM($G105), $C$3:$C$561))</f>
        <v>429.96249999999998</v>
      </c>
      <c r="I105" s="333" t="s">
        <v>562</v>
      </c>
      <c r="J105" s="331"/>
      <c r="K105" s="560"/>
      <c r="L105" s="560" t="str">
        <f>HYPERLINK("https://crm.zoho.com/crm/org685875245/tab/Accounts/3525045000261052151","https://crm.zoho.com/crm/org685875245/tab/Accounts/3525045000261052151")</f>
        <v>https://crm.zoho.com/crm/org685875245/tab/Accounts/3525045000261052151</v>
      </c>
      <c r="M105" s="391" t="s">
        <v>167</v>
      </c>
      <c r="N105" s="560"/>
      <c r="O105" s="561" t="s">
        <v>864</v>
      </c>
      <c r="P105" s="561" t="s">
        <v>865</v>
      </c>
      <c r="Q105" s="561" t="s">
        <v>866</v>
      </c>
      <c r="R105" s="560"/>
      <c r="S105" s="332"/>
      <c r="T105" s="331"/>
      <c r="U105" s="334" t="s">
        <v>82</v>
      </c>
      <c r="V105" s="335">
        <v>447.52</v>
      </c>
      <c r="W105" s="335">
        <v>440.53</v>
      </c>
      <c r="X105" s="335">
        <v>398.93</v>
      </c>
      <c r="Y105" s="336">
        <v>426.87</v>
      </c>
      <c r="Z105" s="337">
        <v>432.61059999999998</v>
      </c>
      <c r="AA105" s="347">
        <v>421.38</v>
      </c>
      <c r="AB105" s="347">
        <v>451.089</v>
      </c>
      <c r="AC105" s="638">
        <v>474.91649999999998</v>
      </c>
      <c r="AD105" s="347">
        <v>429.96249999999998</v>
      </c>
      <c r="AE105" s="339">
        <v>190</v>
      </c>
      <c r="AF105" s="340">
        <v>200</v>
      </c>
      <c r="AG105" s="334"/>
      <c r="AH105" s="341"/>
      <c r="AI105" s="422" t="s">
        <v>83</v>
      </c>
      <c r="AJ105" s="343" t="s">
        <v>396</v>
      </c>
      <c r="AK105" s="344" t="s">
        <v>867</v>
      </c>
      <c r="AL105" s="340" t="s">
        <v>103</v>
      </c>
      <c r="AM105" s="328"/>
      <c r="AN105" s="328"/>
      <c r="AO105" s="328"/>
      <c r="AP105" s="328"/>
      <c r="AQ105" s="328"/>
      <c r="AR105" s="451"/>
      <c r="AS105" s="375" t="s">
        <v>103</v>
      </c>
      <c r="AT105" s="345"/>
      <c r="AU105" s="345"/>
      <c r="AV105" s="345"/>
      <c r="AW105" s="345"/>
      <c r="AX105" s="345"/>
      <c r="AY105" s="345"/>
      <c r="AZ105" s="345"/>
      <c r="BA105" s="345"/>
      <c r="BB105" s="345"/>
      <c r="BC105" s="345"/>
      <c r="BD105" s="345"/>
      <c r="BE105" s="345"/>
      <c r="BF105" s="345"/>
      <c r="BG105" s="345"/>
      <c r="BH105" s="345"/>
      <c r="BI105" s="345"/>
      <c r="BJ105" s="346">
        <f>COUNTIF(AT105:BI105,"*OP*")</f>
        <v>0</v>
      </c>
      <c r="BK105" s="344" t="s">
        <v>103</v>
      </c>
      <c r="BL105" s="328">
        <f>(COUNTIF(AT105:AV105,"*OK*")*3) + (COUNTIF(AW105:AY105,"*OK*")*2) + COUNTIF(AZ105:BB105,"*OK*")+COUNTIF(BK105:BK105,"SI")*0.5</f>
        <v>0</v>
      </c>
      <c r="BM105" s="328" t="str">
        <f>IF(BL105&lt;0.6,"Demasiado Riesgo",IF(BL105&lt;=5,"Riesgo Medio",IF(BL105&lt;=11,"Riesgo Bajo","Cliente Blindado")))</f>
        <v>Demasiado Riesgo</v>
      </c>
      <c r="BN105" s="328"/>
      <c r="BO105" s="349"/>
      <c r="BP105" s="349">
        <v>0</v>
      </c>
      <c r="BQ105" s="349"/>
      <c r="BR105" s="349"/>
      <c r="BS105" s="349"/>
      <c r="BT105" s="349"/>
      <c r="BU105" s="349"/>
      <c r="BV105" s="349"/>
      <c r="BW105" s="349"/>
      <c r="BX105" s="349"/>
      <c r="BY105" s="349"/>
      <c r="BZ105" s="349"/>
      <c r="CA105" s="349"/>
      <c r="CB105" s="349"/>
      <c r="CC105" s="349"/>
      <c r="CD105" s="349"/>
      <c r="CE105" s="349"/>
      <c r="CF105" s="349"/>
      <c r="CG105" s="349"/>
      <c r="CH105" s="349"/>
      <c r="CI105" s="349"/>
      <c r="CJ105" s="349"/>
      <c r="CK105" s="349"/>
      <c r="CL105" s="349">
        <f>COUNTIF(AT105:BH105,"*OK*")</f>
        <v>0</v>
      </c>
      <c r="CM105" s="349"/>
      <c r="CN105" s="349">
        <f>COUNTIF(AT105:BH105,"*OP*")</f>
        <v>0</v>
      </c>
    </row>
    <row r="106" spans="1:94" ht="15" customHeight="1">
      <c r="A106" s="837">
        <v>18593</v>
      </c>
      <c r="B106" s="560" t="s">
        <v>868</v>
      </c>
      <c r="C106" s="329">
        <f t="shared" si="3"/>
        <v>0</v>
      </c>
      <c r="D106" s="352">
        <f>COUNTIF(AT106:BH106,"*OK*")</f>
        <v>0</v>
      </c>
      <c r="E106" s="351" t="s">
        <v>439</v>
      </c>
      <c r="F106" s="351" t="s">
        <v>869</v>
      </c>
      <c r="G106" s="351"/>
      <c r="H106" s="650">
        <f>IF(LEN(TRIM($G106&amp;""))=0, $C106, SUMIF($G$3:$G$561, TRIM($G106), $C$3:$C$561))</f>
        <v>0</v>
      </c>
      <c r="I106" s="353" t="s">
        <v>562</v>
      </c>
      <c r="J106" s="351" t="s">
        <v>870</v>
      </c>
      <c r="K106" s="349"/>
      <c r="L106" s="349" t="str">
        <f>HYPERLINK("https://crm.zoho.com/crm/org685875245/tab/Accounts/3525045000210203049","https://crm.zoho.com/crm/org685875245/tab/Accounts/3525045000210203049")</f>
        <v>https://crm.zoho.com/crm/org685875245/tab/Accounts/3525045000210203049</v>
      </c>
      <c r="M106" s="553"/>
      <c r="N106" s="352"/>
      <c r="O106" s="540" t="s">
        <v>871</v>
      </c>
      <c r="P106" s="540" t="s">
        <v>872</v>
      </c>
      <c r="Q106" s="540" t="s">
        <v>873</v>
      </c>
      <c r="R106" s="352"/>
      <c r="S106" s="352"/>
      <c r="T106" s="351"/>
      <c r="U106" s="354" t="s">
        <v>394</v>
      </c>
      <c r="V106" s="355">
        <v>579.16999999999996</v>
      </c>
      <c r="W106" s="355">
        <v>521.85</v>
      </c>
      <c r="X106" s="355">
        <v>507</v>
      </c>
      <c r="Y106" s="653">
        <v>518.16999999999996</v>
      </c>
      <c r="Z106" s="337">
        <v>493.65379999999999</v>
      </c>
      <c r="AA106" s="347" t="s">
        <v>103</v>
      </c>
      <c r="AB106" s="347"/>
      <c r="AC106" s="638">
        <v>471.48500000000001</v>
      </c>
      <c r="AD106" s="347"/>
      <c r="AE106" s="357">
        <v>161</v>
      </c>
      <c r="AF106" s="358">
        <v>100</v>
      </c>
      <c r="AG106" s="354"/>
      <c r="AH106" s="359"/>
      <c r="AI106" s="427" t="s">
        <v>83</v>
      </c>
      <c r="AJ106" s="361" t="s">
        <v>120</v>
      </c>
      <c r="AK106" s="362" t="s">
        <v>874</v>
      </c>
      <c r="AL106" s="358" t="s">
        <v>103</v>
      </c>
      <c r="AM106" s="349"/>
      <c r="AN106" s="349"/>
      <c r="AO106" s="349"/>
      <c r="AP106" s="349"/>
      <c r="AQ106" s="349"/>
      <c r="AR106" s="453"/>
      <c r="AS106" s="371" t="s">
        <v>103</v>
      </c>
      <c r="AT106" s="345"/>
      <c r="AU106" s="345"/>
      <c r="AV106" s="345"/>
      <c r="AW106" s="345" t="s">
        <v>875</v>
      </c>
      <c r="AX106" s="345"/>
      <c r="AY106" s="345"/>
      <c r="AZ106" s="345"/>
      <c r="BA106" s="345"/>
      <c r="BB106" s="345"/>
      <c r="BC106" s="345"/>
      <c r="BD106" s="345"/>
      <c r="BE106" s="345"/>
      <c r="BF106" s="345"/>
      <c r="BG106" s="345"/>
      <c r="BH106" s="345"/>
      <c r="BI106" s="345"/>
      <c r="BJ106" s="346">
        <f>COUNTIF(AT106:BI106,"*OP*")</f>
        <v>1</v>
      </c>
      <c r="BK106" s="363" t="s">
        <v>89</v>
      </c>
      <c r="BL106" s="349">
        <f>(COUNTIF(AT106:AV106,"*OK*")*3) + (COUNTIF(AW106:AY106,"*OK*")*2) + COUNTIF(AZ106:BB106,"*OK*")+COUNTIF(BK106:BK106,"SI")*0.5</f>
        <v>0</v>
      </c>
      <c r="BM106" s="349" t="str">
        <f>IF(BL106&lt;0.6,"Demasiado Riesgo",IF(BL106&lt;=5,"Riesgo Medio",IF(BL106&lt;=11,"Riesgo Bajo","Cliente Blindado")))</f>
        <v>Demasiado Riesgo</v>
      </c>
      <c r="BN106" s="349"/>
      <c r="BO106" s="349"/>
      <c r="BP106" s="349">
        <v>0</v>
      </c>
      <c r="BQ106" s="349"/>
      <c r="BR106" s="349"/>
      <c r="BS106" s="349"/>
      <c r="BT106" s="349"/>
      <c r="BU106" s="349"/>
      <c r="BV106" s="349"/>
      <c r="BW106" s="349"/>
      <c r="BX106" s="349"/>
      <c r="BY106" s="349"/>
      <c r="BZ106" s="349"/>
      <c r="CA106" s="349"/>
      <c r="CB106" s="349"/>
      <c r="CC106" s="349"/>
      <c r="CD106" s="349"/>
      <c r="CE106" s="349"/>
      <c r="CF106" s="349"/>
      <c r="CG106" s="349"/>
      <c r="CH106" s="349"/>
      <c r="CI106" s="349"/>
      <c r="CJ106" s="349"/>
      <c r="CK106" s="349"/>
      <c r="CL106" s="349">
        <f>COUNTIF(AT106:BH106,"*OK*")</f>
        <v>0</v>
      </c>
      <c r="CM106" s="349"/>
      <c r="CN106" s="349">
        <f>COUNTIF(AT106:BH106,"*OP*")</f>
        <v>1</v>
      </c>
    </row>
    <row r="107" spans="1:94" ht="15" customHeight="1">
      <c r="A107" s="837">
        <v>25594</v>
      </c>
      <c r="B107" s="560" t="s">
        <v>876</v>
      </c>
      <c r="C107" s="329">
        <f t="shared" si="3"/>
        <v>422.52869999999996</v>
      </c>
      <c r="D107" s="352">
        <f>COUNTIF(AT107:BH107,"*OK*")</f>
        <v>1</v>
      </c>
      <c r="E107" s="331" t="s">
        <v>73</v>
      </c>
      <c r="F107" s="351" t="s">
        <v>877</v>
      </c>
      <c r="G107" s="351"/>
      <c r="H107" s="650">
        <f>IF(LEN(TRIM($G107&amp;""))=0, $C107, SUMIF($G$3:$G$561, TRIM($G107), $C$3:$C$561))</f>
        <v>422.52869999999996</v>
      </c>
      <c r="I107" s="410" t="s">
        <v>76</v>
      </c>
      <c r="J107" s="351"/>
      <c r="K107" s="558"/>
      <c r="L107" s="558" t="str">
        <f>HYPERLINK("https://crm.zoho.com/crm/org685875245/tab/Accounts/3525045000313669160","https://crm.zoho.com/crm/org685875245/tab/Accounts/3525045000313669160")</f>
        <v>https://crm.zoho.com/crm/org685875245/tab/Accounts/3525045000313669160</v>
      </c>
      <c r="M107" s="553" t="s">
        <v>96</v>
      </c>
      <c r="N107" s="558"/>
      <c r="O107" s="559" t="s">
        <v>878</v>
      </c>
      <c r="P107" s="559" t="s">
        <v>879</v>
      </c>
      <c r="Q107" s="559" t="s">
        <v>880</v>
      </c>
      <c r="R107" s="558" t="s">
        <v>171</v>
      </c>
      <c r="S107" s="352"/>
      <c r="T107" s="351"/>
      <c r="U107" s="354" t="s">
        <v>82</v>
      </c>
      <c r="V107" s="355">
        <v>310.2</v>
      </c>
      <c r="W107" s="355">
        <v>422.52</v>
      </c>
      <c r="X107" s="355">
        <v>297.33999999999997</v>
      </c>
      <c r="Y107" s="356">
        <v>421.94</v>
      </c>
      <c r="Z107" s="337">
        <v>444.72629999999998</v>
      </c>
      <c r="AA107" s="347">
        <v>418.03</v>
      </c>
      <c r="AB107" s="347">
        <v>449.67849999999999</v>
      </c>
      <c r="AC107" s="638">
        <v>466.0455</v>
      </c>
      <c r="AD107" s="347">
        <v>422.52869999999996</v>
      </c>
      <c r="AE107" s="357">
        <v>221</v>
      </c>
      <c r="AF107" s="358">
        <v>200</v>
      </c>
      <c r="AG107" s="354"/>
      <c r="AH107" s="359" t="s">
        <v>687</v>
      </c>
      <c r="AI107" s="370" t="s">
        <v>258</v>
      </c>
      <c r="AJ107" s="361" t="s">
        <v>143</v>
      </c>
      <c r="AK107" s="362" t="s">
        <v>881</v>
      </c>
      <c r="AL107" s="358" t="s">
        <v>662</v>
      </c>
      <c r="AM107" s="349"/>
      <c r="AN107" s="349"/>
      <c r="AO107" s="349"/>
      <c r="AP107" s="349"/>
      <c r="AQ107" s="349"/>
      <c r="AR107" s="453" t="s">
        <v>882</v>
      </c>
      <c r="AS107" s="371" t="s">
        <v>88</v>
      </c>
      <c r="AT107" s="345"/>
      <c r="AU107" s="345"/>
      <c r="AV107" s="345"/>
      <c r="AW107" s="345"/>
      <c r="AX107" s="345"/>
      <c r="AY107" s="345"/>
      <c r="AZ107" s="421" t="s">
        <v>189</v>
      </c>
      <c r="BA107" s="345"/>
      <c r="BB107" s="345"/>
      <c r="BC107" s="345"/>
      <c r="BD107" s="345"/>
      <c r="BE107" s="345"/>
      <c r="BF107" s="345"/>
      <c r="BG107" s="345"/>
      <c r="BH107" s="345"/>
      <c r="BI107" s="345"/>
      <c r="BJ107" s="364">
        <f>COUNTIF(AT107:BI107,"*OP*")</f>
        <v>0</v>
      </c>
      <c r="BK107" s="362" t="s">
        <v>89</v>
      </c>
      <c r="BL107" s="349">
        <f>(COUNTIF(AT107:AV107,"*OK*")*3) + (COUNTIF(AW107:AY107,"*OK*")*2) + COUNTIF(AZ107:BB107,"*OK*")+COUNTIF(BK107:BK107,"SI")*0.5</f>
        <v>1</v>
      </c>
      <c r="BM107" s="349" t="str">
        <f>IF(BL107&lt;0.6,"Demasiado Riesgo",IF(BL107&lt;=5,"Riesgo Medio",IF(BL107&lt;=11,"Riesgo Bajo","Cliente Blindado")))</f>
        <v>Riesgo Medio</v>
      </c>
      <c r="BN107" s="349"/>
      <c r="BO107" s="328"/>
      <c r="BP107" s="328">
        <v>0</v>
      </c>
      <c r="BQ107" s="328"/>
      <c r="BR107" s="328"/>
      <c r="BS107" s="328"/>
      <c r="BT107" s="328"/>
      <c r="BU107" s="328"/>
      <c r="BV107" s="328"/>
      <c r="BW107" s="328"/>
      <c r="BX107" s="328"/>
      <c r="BY107" s="328"/>
      <c r="BZ107" s="328"/>
      <c r="CA107" s="328"/>
      <c r="CB107" s="328"/>
      <c r="CC107" s="328"/>
      <c r="CD107" s="328"/>
      <c r="CE107" s="328"/>
      <c r="CF107" s="328"/>
      <c r="CG107" s="328"/>
      <c r="CH107" s="328"/>
      <c r="CI107" s="328"/>
      <c r="CJ107" s="328"/>
      <c r="CK107" s="328"/>
      <c r="CL107" s="328">
        <f>COUNTIF(AT107:BH107,"*OK*")</f>
        <v>1</v>
      </c>
      <c r="CM107" s="328"/>
      <c r="CN107" s="328">
        <f>COUNTIF(AT107:BH107,"*OP*")</f>
        <v>0</v>
      </c>
    </row>
    <row r="108" spans="1:94" ht="15" customHeight="1">
      <c r="A108" s="834">
        <v>36619</v>
      </c>
      <c r="B108" s="560" t="s">
        <v>883</v>
      </c>
      <c r="C108" s="329">
        <f t="shared" si="3"/>
        <v>423.84109999999998</v>
      </c>
      <c r="D108" s="332">
        <f>COUNTIF(AT108:BH108,"*OK*")</f>
        <v>0</v>
      </c>
      <c r="E108" s="331" t="s">
        <v>782</v>
      </c>
      <c r="F108" s="331" t="s">
        <v>884</v>
      </c>
      <c r="G108" s="331"/>
      <c r="H108" s="650">
        <f>IF(LEN(TRIM($G108&amp;""))=0, $C108, SUMIF($G$3:$G$561, TRIM($G108), $C$3:$C$561))</f>
        <v>423.84109999999998</v>
      </c>
      <c r="I108" s="333" t="s">
        <v>562</v>
      </c>
      <c r="J108" s="331"/>
      <c r="K108" s="328"/>
      <c r="L108" s="328" t="str">
        <f>HYPERLINK("https://crm.zoho.com/crm/org685875245/tab/Accounts/3525045000574224853","https://crm.zoho.com/crm/org685875245/tab/Accounts/3525045000574224853")</f>
        <v>https://crm.zoho.com/crm/org685875245/tab/Accounts/3525045000574224853</v>
      </c>
      <c r="M108" s="391"/>
      <c r="N108" s="332"/>
      <c r="O108" s="541" t="s">
        <v>885</v>
      </c>
      <c r="P108" s="541" t="s">
        <v>886</v>
      </c>
      <c r="Q108" s="541" t="s">
        <v>887</v>
      </c>
      <c r="R108" s="332"/>
      <c r="S108" s="332"/>
      <c r="T108" s="331"/>
      <c r="U108" s="344" t="s">
        <v>82</v>
      </c>
      <c r="V108" s="335"/>
      <c r="W108" s="335"/>
      <c r="X108" s="335">
        <v>57.99</v>
      </c>
      <c r="Y108" s="336">
        <v>59.85</v>
      </c>
      <c r="Z108" s="337">
        <v>60.659599999999998</v>
      </c>
      <c r="AA108" s="338">
        <v>406.82</v>
      </c>
      <c r="AB108" s="338">
        <v>444.82350000000002</v>
      </c>
      <c r="AC108" s="634">
        <v>453.00110000000001</v>
      </c>
      <c r="AD108" s="338">
        <v>423.84109999999998</v>
      </c>
      <c r="AE108" s="339">
        <v>193</v>
      </c>
      <c r="AF108" s="340">
        <v>14</v>
      </c>
      <c r="AG108" s="334"/>
      <c r="AH108" s="341"/>
      <c r="AI108" s="418" t="s">
        <v>83</v>
      </c>
      <c r="AJ108" s="343" t="s">
        <v>143</v>
      </c>
      <c r="AK108" s="344" t="s">
        <v>888</v>
      </c>
      <c r="AL108" s="340" t="s">
        <v>103</v>
      </c>
      <c r="AM108" s="328"/>
      <c r="AN108" s="328"/>
      <c r="AO108" s="328"/>
      <c r="AP108" s="328"/>
      <c r="AQ108" s="328"/>
      <c r="AR108" s="451"/>
      <c r="AS108" s="344" t="s">
        <v>103</v>
      </c>
      <c r="AT108" s="345"/>
      <c r="AU108" s="345"/>
      <c r="AV108" s="345"/>
      <c r="AW108" s="345"/>
      <c r="AX108" s="345"/>
      <c r="AY108" s="345"/>
      <c r="AZ108" s="345"/>
      <c r="BA108" s="345"/>
      <c r="BB108" s="345"/>
      <c r="BC108" s="345"/>
      <c r="BD108" s="345"/>
      <c r="BE108" s="345"/>
      <c r="BF108" s="345"/>
      <c r="BG108" s="345"/>
      <c r="BH108" s="345"/>
      <c r="BI108" s="345"/>
      <c r="BJ108" s="346">
        <f>COUNTIF(AT108:BI108,"*OP*")</f>
        <v>0</v>
      </c>
      <c r="BK108" s="344" t="s">
        <v>103</v>
      </c>
      <c r="BL108" s="328">
        <f>(COUNTIF(AT108:AV108,"*OK*")*3) + (COUNTIF(AW108:AY108,"*OK*")*2) + COUNTIF(AZ108:BB108,"*OK*")+COUNTIF(BK108:BK108,"SI")*0.5</f>
        <v>0</v>
      </c>
      <c r="BM108" s="328" t="str">
        <f>IF(BL108&lt;0.6,"Demasiado Riesgo",IF(BL108&lt;=5,"Riesgo Medio",IF(BL108&lt;=11,"Riesgo Bajo","Cliente Blindado")))</f>
        <v>Demasiado Riesgo</v>
      </c>
      <c r="BN108" s="328"/>
      <c r="BO108" s="349"/>
      <c r="BP108" s="349">
        <v>0</v>
      </c>
      <c r="BQ108" s="349"/>
      <c r="BR108" s="349"/>
      <c r="BS108" s="349"/>
      <c r="BT108" s="349"/>
      <c r="BU108" s="349"/>
      <c r="BV108" s="349"/>
      <c r="BW108" s="349"/>
      <c r="BX108" s="349"/>
      <c r="BY108" s="349"/>
      <c r="BZ108" s="349"/>
      <c r="CA108" s="349"/>
      <c r="CB108" s="349"/>
      <c r="CC108" s="349"/>
      <c r="CD108" s="349"/>
      <c r="CE108" s="349"/>
      <c r="CF108" s="349"/>
      <c r="CG108" s="349"/>
      <c r="CH108" s="349"/>
      <c r="CI108" s="349"/>
      <c r="CJ108" s="349"/>
      <c r="CK108" s="349"/>
      <c r="CL108" s="349">
        <f>COUNTIF(AT108:BH108,"*OK*")</f>
        <v>0</v>
      </c>
      <c r="CM108" s="349"/>
      <c r="CN108" s="349">
        <f>COUNTIF(AT108:BH108,"*OP*")</f>
        <v>0</v>
      </c>
    </row>
    <row r="109" spans="1:94" ht="15" customHeight="1">
      <c r="A109" s="834">
        <v>31204</v>
      </c>
      <c r="B109" s="560" t="s">
        <v>889</v>
      </c>
      <c r="C109" s="329">
        <f t="shared" si="3"/>
        <v>435.66559999999998</v>
      </c>
      <c r="D109" s="332">
        <f>COUNTIF(AT109:BH109,"*OK*")</f>
        <v>0</v>
      </c>
      <c r="E109" s="331" t="s">
        <v>439</v>
      </c>
      <c r="F109" s="433" t="s">
        <v>890</v>
      </c>
      <c r="G109" s="331"/>
      <c r="H109" s="650">
        <f>IF(LEN(TRIM($G109&amp;""))=0, $C109, SUMIF($G$3:$G$561, TRIM($G109), $C$3:$C$561))</f>
        <v>435.66559999999998</v>
      </c>
      <c r="I109" s="410" t="s">
        <v>562</v>
      </c>
      <c r="J109" s="331"/>
      <c r="K109" s="328"/>
      <c r="L109" s="328" t="str">
        <f>HYPERLINK("https://crm.zoho.com/crm/org685875245/tab/Accounts/3525045000415003356","https://crm.zoho.com/crm/org685875245/tab/Accounts/3525045000415003356")</f>
        <v>https://crm.zoho.com/crm/org685875245/tab/Accounts/3525045000415003356</v>
      </c>
      <c r="M109" s="391" t="s">
        <v>77</v>
      </c>
      <c r="N109" s="332" t="s">
        <v>891</v>
      </c>
      <c r="O109" s="541" t="s">
        <v>892</v>
      </c>
      <c r="P109" s="541" t="s">
        <v>893</v>
      </c>
      <c r="Q109" s="541" t="s">
        <v>894</v>
      </c>
      <c r="R109" s="332"/>
      <c r="S109" s="332"/>
      <c r="T109" s="331"/>
      <c r="U109" s="334" t="s">
        <v>895</v>
      </c>
      <c r="V109" s="335">
        <v>443.77</v>
      </c>
      <c r="W109" s="335">
        <v>415.12</v>
      </c>
      <c r="X109" s="335">
        <v>400.99</v>
      </c>
      <c r="Y109" s="336">
        <v>422.23</v>
      </c>
      <c r="Z109" s="337">
        <v>447.61430000000001</v>
      </c>
      <c r="AA109" s="365">
        <v>445.49</v>
      </c>
      <c r="AB109" s="365">
        <v>440.8252</v>
      </c>
      <c r="AC109" s="635">
        <v>448.92939999999999</v>
      </c>
      <c r="AD109" s="365">
        <v>435.66559999999998</v>
      </c>
      <c r="AE109" s="339">
        <v>153</v>
      </c>
      <c r="AF109" s="340">
        <v>200</v>
      </c>
      <c r="AG109" s="334"/>
      <c r="AH109" s="341"/>
      <c r="AI109" s="418" t="s">
        <v>83</v>
      </c>
      <c r="AJ109" s="343" t="s">
        <v>150</v>
      </c>
      <c r="AK109" s="344" t="s">
        <v>896</v>
      </c>
      <c r="AL109" s="340" t="s">
        <v>150</v>
      </c>
      <c r="AM109" s="328"/>
      <c r="AN109" s="328"/>
      <c r="AO109" s="328"/>
      <c r="AP109" s="328"/>
      <c r="AQ109" s="328"/>
      <c r="AR109" s="451"/>
      <c r="AS109" s="344" t="s">
        <v>103</v>
      </c>
      <c r="AT109" s="445"/>
      <c r="AU109" s="445"/>
      <c r="AV109" s="445"/>
      <c r="AW109" s="445"/>
      <c r="AX109" s="445"/>
      <c r="AY109" s="445"/>
      <c r="AZ109" s="445"/>
      <c r="BA109" s="445"/>
      <c r="BB109" s="445"/>
      <c r="BC109" s="445"/>
      <c r="BD109" s="445"/>
      <c r="BE109" s="445"/>
      <c r="BF109" s="445"/>
      <c r="BG109" s="445"/>
      <c r="BH109" s="445"/>
      <c r="BI109" s="445"/>
      <c r="BJ109" s="290">
        <f>COUNTIF(AT109:BI109,"*OP*")</f>
        <v>0</v>
      </c>
      <c r="BK109" s="344" t="s">
        <v>89</v>
      </c>
      <c r="BL109" s="328">
        <f>(COUNTIF(AT109:AV109,"*OK*")*3) + (COUNTIF(AW109:AY109,"*OK*")*2) + COUNTIF(AZ109:BB109,"*OK*")+COUNTIF(BK109:BK109,"SI")*0.5</f>
        <v>0</v>
      </c>
      <c r="BM109" s="328" t="str">
        <f>IF(BL109&lt;0.6,"Demasiado Riesgo",IF(BL109&lt;=5,"Riesgo Medio",IF(BL109&lt;=11,"Riesgo Bajo","Cliente Blindado")))</f>
        <v>Demasiado Riesgo</v>
      </c>
      <c r="BN109" s="328"/>
      <c r="BO109" s="349"/>
      <c r="BP109" s="349">
        <v>0</v>
      </c>
      <c r="BQ109" s="349"/>
      <c r="BR109" s="349"/>
      <c r="BS109" s="349"/>
      <c r="BT109" s="349"/>
      <c r="BU109" s="349"/>
      <c r="BV109" s="349"/>
      <c r="BW109" s="349"/>
      <c r="BX109" s="349"/>
      <c r="BY109" s="349"/>
      <c r="BZ109" s="349"/>
      <c r="CA109" s="349"/>
      <c r="CB109" s="349"/>
      <c r="CC109" s="349"/>
      <c r="CD109" s="349"/>
      <c r="CE109" s="349"/>
      <c r="CF109" s="349"/>
      <c r="CG109" s="349"/>
      <c r="CH109" s="349"/>
      <c r="CI109" s="349"/>
      <c r="CJ109" s="349"/>
      <c r="CK109" s="349"/>
      <c r="CL109" s="349">
        <f>COUNTIF(AT109:BH109,"*OK*")</f>
        <v>0</v>
      </c>
      <c r="CM109" s="349"/>
      <c r="CN109" s="349">
        <f>COUNTIF(AT109:BH109,"*OP*")</f>
        <v>0</v>
      </c>
    </row>
    <row r="110" spans="1:94" ht="15" customHeight="1">
      <c r="A110" s="835">
        <v>21436</v>
      </c>
      <c r="B110" s="560" t="s">
        <v>897</v>
      </c>
      <c r="C110" s="329">
        <f t="shared" si="3"/>
        <v>406.93869999999998</v>
      </c>
      <c r="D110" s="352">
        <f>COUNTIF(AT110:BH110,"*OK*")</f>
        <v>0</v>
      </c>
      <c r="E110" s="351" t="s">
        <v>439</v>
      </c>
      <c r="F110" s="431" t="s">
        <v>898</v>
      </c>
      <c r="G110" s="351"/>
      <c r="H110" s="650">
        <f>IF(LEN(TRIM($G110&amp;""))=0, $C110, SUMIF($G$3:$G$561, TRIM($G110), $C$3:$C$561))</f>
        <v>406.93869999999998</v>
      </c>
      <c r="I110" s="413" t="s">
        <v>562</v>
      </c>
      <c r="J110" s="351"/>
      <c r="K110" s="349"/>
      <c r="L110" s="349" t="str">
        <f>HYPERLINK("https://crm.zoho.com/crm/org685875245/tab/Accounts/3525045000234355180","https://crm.zoho.com/crm/org685875245/tab/Accounts/3525045000234355180")</f>
        <v>https://crm.zoho.com/crm/org685875245/tab/Accounts/3525045000234355180</v>
      </c>
      <c r="M110" s="553" t="s">
        <v>96</v>
      </c>
      <c r="N110" s="332" t="s">
        <v>899</v>
      </c>
      <c r="O110" s="541" t="s">
        <v>900</v>
      </c>
      <c r="P110" s="541"/>
      <c r="Q110" s="541" t="s">
        <v>901</v>
      </c>
      <c r="R110" s="332"/>
      <c r="S110" s="332"/>
      <c r="T110" s="351"/>
      <c r="U110" s="354" t="s">
        <v>902</v>
      </c>
      <c r="V110" s="355">
        <v>412.04</v>
      </c>
      <c r="W110" s="355">
        <v>410.1</v>
      </c>
      <c r="X110" s="355">
        <v>392.31</v>
      </c>
      <c r="Y110" s="356">
        <v>424.95</v>
      </c>
      <c r="Z110" s="337">
        <v>432.22989999999999</v>
      </c>
      <c r="AA110" s="338">
        <v>435.21</v>
      </c>
      <c r="AB110" s="338">
        <v>437.322</v>
      </c>
      <c r="AC110" s="634">
        <v>437.43709999999999</v>
      </c>
      <c r="AD110" s="338">
        <v>406.93869999999998</v>
      </c>
      <c r="AE110" s="357">
        <v>261</v>
      </c>
      <c r="AF110" s="358">
        <v>150</v>
      </c>
      <c r="AG110" s="354"/>
      <c r="AH110" s="359"/>
      <c r="AI110" s="370" t="s">
        <v>601</v>
      </c>
      <c r="AJ110" s="361" t="s">
        <v>852</v>
      </c>
      <c r="AK110" s="362" t="s">
        <v>903</v>
      </c>
      <c r="AL110" s="358" t="s">
        <v>103</v>
      </c>
      <c r="AM110" s="349"/>
      <c r="AN110" s="349"/>
      <c r="AO110" s="349"/>
      <c r="AP110" s="349"/>
      <c r="AQ110" s="349"/>
      <c r="AR110" s="453"/>
      <c r="AS110" s="362" t="s">
        <v>88</v>
      </c>
      <c r="AT110" s="345"/>
      <c r="AU110" s="345"/>
      <c r="AV110" s="345"/>
      <c r="AW110" s="345"/>
      <c r="AX110" s="345"/>
      <c r="AY110" s="345"/>
      <c r="AZ110" s="345"/>
      <c r="BA110" s="345"/>
      <c r="BB110" s="345"/>
      <c r="BC110" s="345"/>
      <c r="BD110" s="345"/>
      <c r="BE110" s="345"/>
      <c r="BF110" s="345"/>
      <c r="BG110" s="345"/>
      <c r="BH110" s="345"/>
      <c r="BI110" s="345" t="s">
        <v>179</v>
      </c>
      <c r="BJ110" s="346">
        <f>COUNTIF(AT110:BI110,"*OP*")</f>
        <v>1</v>
      </c>
      <c r="BK110" s="362" t="s">
        <v>89</v>
      </c>
      <c r="BL110" s="349">
        <f>(COUNTIF(AT110:AV110,"*OK*")*3) + (COUNTIF(AW110:AY110,"*OK*")*2) + COUNTIF(AZ110:BB110,"*OK*")+COUNTIF(BK110:BK110,"SI")*0.5</f>
        <v>0</v>
      </c>
      <c r="BM110" s="349" t="str">
        <f>IF(BL110&lt;0.6,"Demasiado Riesgo",IF(BL110&lt;=5,"Riesgo Medio",IF(BL110&lt;=11,"Riesgo Bajo","Cliente Blindado")))</f>
        <v>Demasiado Riesgo</v>
      </c>
      <c r="BN110" s="349"/>
      <c r="BO110" s="328"/>
      <c r="BP110" s="328">
        <v>0</v>
      </c>
      <c r="BQ110" s="328"/>
      <c r="BR110" s="328"/>
      <c r="BS110" s="328"/>
      <c r="BT110" s="328"/>
      <c r="BU110" s="328"/>
      <c r="BV110" s="328"/>
      <c r="BW110" s="328"/>
      <c r="BX110" s="328"/>
      <c r="BY110" s="328"/>
      <c r="BZ110" s="328"/>
      <c r="CA110" s="328"/>
      <c r="CB110" s="328"/>
      <c r="CC110" s="328"/>
      <c r="CD110" s="328"/>
      <c r="CE110" s="328"/>
      <c r="CF110" s="328"/>
      <c r="CG110" s="328"/>
      <c r="CH110" s="328"/>
      <c r="CI110" s="328"/>
      <c r="CJ110" s="328"/>
      <c r="CK110" s="328"/>
      <c r="CL110" s="328">
        <f>COUNTIF(AT110:BH110,"*OK*")</f>
        <v>0</v>
      </c>
      <c r="CM110" s="328"/>
      <c r="CN110" s="328">
        <f>COUNTIF(AT110:BH110,"*OP*")</f>
        <v>0</v>
      </c>
    </row>
    <row r="111" spans="1:94" ht="15" customHeight="1">
      <c r="A111" s="837">
        <v>6000</v>
      </c>
      <c r="B111" s="560" t="s">
        <v>904</v>
      </c>
      <c r="C111" s="329">
        <f t="shared" si="3"/>
        <v>428.75</v>
      </c>
      <c r="D111" s="352">
        <f>COUNTIF(AT111:BH111,"*OK*")</f>
        <v>0</v>
      </c>
      <c r="E111" s="331" t="s">
        <v>73</v>
      </c>
      <c r="F111" s="351" t="s">
        <v>905</v>
      </c>
      <c r="G111" s="351"/>
      <c r="H111" s="650">
        <f>IF(LEN(TRIM($G111&amp;""))=0, $C111, SUMIF($G$3:$G$561, TRIM($G111), $C$3:$C$561))</f>
        <v>428.75</v>
      </c>
      <c r="I111" s="353" t="s">
        <v>562</v>
      </c>
      <c r="J111" s="351"/>
      <c r="K111" s="558"/>
      <c r="L111" s="558" t="str">
        <f>HYPERLINK("https://crm.zoho.com/crm/org685875245/tab/Accounts/3525045000058757102","https://crm.zoho.com/crm/org685875245/tab/Accounts/3525045000058757102")</f>
        <v>https://crm.zoho.com/crm/org685875245/tab/Accounts/3525045000058757102</v>
      </c>
      <c r="M111" s="553" t="s">
        <v>96</v>
      </c>
      <c r="N111" s="558"/>
      <c r="O111" s="559" t="s">
        <v>906</v>
      </c>
      <c r="P111" s="559" t="s">
        <v>907</v>
      </c>
      <c r="Q111" s="559" t="s">
        <v>908</v>
      </c>
      <c r="R111" s="558"/>
      <c r="S111" s="352"/>
      <c r="T111" s="351"/>
      <c r="U111" s="354" t="s">
        <v>198</v>
      </c>
      <c r="V111" s="355">
        <v>433.46</v>
      </c>
      <c r="W111" s="355">
        <v>454.51</v>
      </c>
      <c r="X111" s="355">
        <v>416.79</v>
      </c>
      <c r="Y111" s="356">
        <v>442.86</v>
      </c>
      <c r="Z111" s="337">
        <v>410.3503</v>
      </c>
      <c r="AA111" s="365">
        <v>410.08</v>
      </c>
      <c r="AB111" s="365">
        <v>443.38299999999998</v>
      </c>
      <c r="AC111" s="635">
        <v>434.16520000000003</v>
      </c>
      <c r="AD111" s="365">
        <v>428.75</v>
      </c>
      <c r="AE111" s="357">
        <v>98</v>
      </c>
      <c r="AF111" s="358">
        <v>200</v>
      </c>
      <c r="AG111" s="354"/>
      <c r="AH111" s="359" t="s">
        <v>472</v>
      </c>
      <c r="AI111" s="370" t="s">
        <v>129</v>
      </c>
      <c r="AJ111" s="361" t="s">
        <v>130</v>
      </c>
      <c r="AK111" s="362" t="s">
        <v>909</v>
      </c>
      <c r="AL111" s="358" t="s">
        <v>224</v>
      </c>
      <c r="AM111" s="349"/>
      <c r="AN111" s="349"/>
      <c r="AO111" s="349"/>
      <c r="AP111" s="349"/>
      <c r="AQ111" s="349"/>
      <c r="AR111" s="453"/>
      <c r="AS111" s="363" t="s">
        <v>103</v>
      </c>
      <c r="AT111" s="345"/>
      <c r="AU111" s="345"/>
      <c r="AV111" s="345"/>
      <c r="AW111" s="345"/>
      <c r="AX111" s="345"/>
      <c r="AY111" s="345"/>
      <c r="AZ111" s="345"/>
      <c r="BA111" s="345"/>
      <c r="BB111" s="345"/>
      <c r="BC111" s="345"/>
      <c r="BD111" s="345"/>
      <c r="BE111" s="345"/>
      <c r="BF111" s="345"/>
      <c r="BG111" s="345"/>
      <c r="BH111" s="345"/>
      <c r="BI111" s="345"/>
      <c r="BJ111" s="346">
        <f>COUNTIF(AT111:BI111,"*OP*")</f>
        <v>0</v>
      </c>
      <c r="BK111" s="363" t="s">
        <v>103</v>
      </c>
      <c r="BL111" s="349">
        <f>(COUNTIF(AT111:AV111,"*OK*")*3) + (COUNTIF(AW111:AY111,"*OK*")*2) + COUNTIF(AZ111:BB111,"*OK*")+COUNTIF(BK111:BK111,"SI")*0.5</f>
        <v>0</v>
      </c>
      <c r="BM111" s="349" t="str">
        <f>IF(BL111&lt;0.6,"Demasiado Riesgo",IF(BL111&lt;=5,"Riesgo Medio",IF(BL111&lt;=11,"Riesgo Bajo","Cliente Blindado")))</f>
        <v>Demasiado Riesgo</v>
      </c>
      <c r="BN111" s="349"/>
      <c r="BO111" s="328"/>
      <c r="BP111" s="328">
        <v>0</v>
      </c>
      <c r="BQ111" s="328"/>
      <c r="BR111" s="328"/>
      <c r="BS111" s="328"/>
      <c r="BT111" s="328"/>
      <c r="BU111" s="328"/>
      <c r="BV111" s="328"/>
      <c r="BW111" s="328"/>
      <c r="BX111" s="328"/>
      <c r="BY111" s="328"/>
      <c r="BZ111" s="328"/>
      <c r="CA111" s="328"/>
      <c r="CB111" s="328"/>
      <c r="CC111" s="328"/>
      <c r="CD111" s="328"/>
      <c r="CE111" s="328"/>
      <c r="CF111" s="328"/>
      <c r="CG111" s="328"/>
      <c r="CH111" s="328"/>
      <c r="CI111" s="328"/>
      <c r="CJ111" s="328"/>
      <c r="CK111" s="328"/>
      <c r="CL111" s="328">
        <f>COUNTIF(AT111:BH111,"*OK*")</f>
        <v>0</v>
      </c>
      <c r="CM111" s="328"/>
      <c r="CN111" s="328">
        <f>COUNTIF(AT111:BH111,"*OP*")</f>
        <v>0</v>
      </c>
    </row>
    <row r="112" spans="1:94" ht="15" customHeight="1">
      <c r="A112" s="834">
        <v>24483</v>
      </c>
      <c r="B112" s="560" t="s">
        <v>910</v>
      </c>
      <c r="C112" s="329">
        <f t="shared" si="3"/>
        <v>398.23410000000001</v>
      </c>
      <c r="D112" s="332">
        <f>COUNTIF(AT112:BH112,"*OK*")</f>
        <v>0</v>
      </c>
      <c r="E112" s="331" t="s">
        <v>73</v>
      </c>
      <c r="F112" s="331" t="s">
        <v>911</v>
      </c>
      <c r="G112" s="331"/>
      <c r="H112" s="650">
        <f>IF(LEN(TRIM($G112&amp;""))=0, $C112, SUMIF($G$3:$G$561, TRIM($G112), $C$3:$C$561))</f>
        <v>398.23410000000001</v>
      </c>
      <c r="I112" s="331" t="s">
        <v>562</v>
      </c>
      <c r="J112" s="331"/>
      <c r="K112" s="560"/>
      <c r="L112" s="560" t="str">
        <f>HYPERLINK("https://crm.zoho.com/crm/org685875245/tab/Accounts/3525045000311821448","https://crm.zoho.com/crm/org685875245/tab/Accounts/3525045000311821448")</f>
        <v>https://crm.zoho.com/crm/org685875245/tab/Accounts/3525045000311821448</v>
      </c>
      <c r="M112" s="391" t="s">
        <v>96</v>
      </c>
      <c r="N112" s="560"/>
      <c r="O112" s="561" t="s">
        <v>912</v>
      </c>
      <c r="P112" s="561" t="s">
        <v>913</v>
      </c>
      <c r="Q112" s="561" t="s">
        <v>914</v>
      </c>
      <c r="R112" s="560"/>
      <c r="S112" s="332"/>
      <c r="T112" s="331"/>
      <c r="U112" s="334" t="s">
        <v>198</v>
      </c>
      <c r="V112" s="335">
        <v>413.74</v>
      </c>
      <c r="W112" s="335">
        <v>413.47</v>
      </c>
      <c r="X112" s="335">
        <v>405.87</v>
      </c>
      <c r="Y112" s="336">
        <v>418.82</v>
      </c>
      <c r="Z112" s="337">
        <v>421.97039999999998</v>
      </c>
      <c r="AA112" s="365">
        <v>417.34</v>
      </c>
      <c r="AB112" s="365">
        <v>425.84469999999999</v>
      </c>
      <c r="AC112" s="635">
        <v>433.67340000000002</v>
      </c>
      <c r="AD112" s="365">
        <v>398.23410000000001</v>
      </c>
      <c r="AE112" s="339">
        <v>45</v>
      </c>
      <c r="AF112" s="340">
        <v>200</v>
      </c>
      <c r="AG112" s="334"/>
      <c r="AH112" s="341" t="s">
        <v>472</v>
      </c>
      <c r="AI112" s="342" t="s">
        <v>129</v>
      </c>
      <c r="AJ112" s="343" t="s">
        <v>130</v>
      </c>
      <c r="AK112" s="344" t="s">
        <v>915</v>
      </c>
      <c r="AL112" s="340" t="s">
        <v>287</v>
      </c>
      <c r="AM112" s="328"/>
      <c r="AN112" s="328"/>
      <c r="AO112" s="328"/>
      <c r="AP112" s="328"/>
      <c r="AQ112" s="328"/>
      <c r="AR112" s="451"/>
      <c r="AS112" s="372" t="s">
        <v>103</v>
      </c>
      <c r="AT112" s="345"/>
      <c r="AU112" s="345"/>
      <c r="AV112" s="345"/>
      <c r="AW112" s="345"/>
      <c r="AX112" s="345"/>
      <c r="AY112" s="345"/>
      <c r="AZ112" s="345"/>
      <c r="BA112" s="345"/>
      <c r="BB112" s="345"/>
      <c r="BC112" s="345"/>
      <c r="BD112" s="345"/>
      <c r="BE112" s="345"/>
      <c r="BF112" s="345"/>
      <c r="BG112" s="345"/>
      <c r="BH112" s="345"/>
      <c r="BI112" s="345"/>
      <c r="BJ112" s="364">
        <f>COUNTIF(AT112:BI112,"*OP*")</f>
        <v>0</v>
      </c>
      <c r="BK112" s="344" t="s">
        <v>88</v>
      </c>
      <c r="BL112" s="328">
        <f>(COUNTIF(AT112:AV112,"*OK*")*3) + (COUNTIF(AW112:AY112,"*OK*")*2) + COUNTIF(AZ112:BB112,"*OK*")+COUNTIF(BK112:BK112,"SI")*0.5</f>
        <v>0.5</v>
      </c>
      <c r="BM112" s="328" t="str">
        <f>IF(BL112&lt;0.6,"Demasiado Riesgo",IF(BL112&lt;=5,"Riesgo Medio",IF(BL112&lt;=11,"Riesgo Bajo","Cliente Blindado")))</f>
        <v>Demasiado Riesgo</v>
      </c>
      <c r="BN112" s="328"/>
      <c r="BO112" s="328"/>
      <c r="BP112" s="328">
        <v>0</v>
      </c>
      <c r="BQ112" s="328"/>
      <c r="BR112" s="328"/>
      <c r="BS112" s="328"/>
      <c r="BT112" s="328"/>
      <c r="BU112" s="328"/>
      <c r="BV112" s="328"/>
      <c r="BW112" s="328"/>
      <c r="BX112" s="328"/>
      <c r="BY112" s="328"/>
      <c r="BZ112" s="328"/>
      <c r="CA112" s="328"/>
      <c r="CB112" s="328"/>
      <c r="CC112" s="328"/>
      <c r="CD112" s="328"/>
      <c r="CE112" s="328"/>
      <c r="CF112" s="328"/>
      <c r="CG112" s="328"/>
      <c r="CH112" s="328"/>
      <c r="CI112" s="328"/>
      <c r="CJ112" s="328"/>
      <c r="CK112" s="328"/>
      <c r="CL112" s="328">
        <f>COUNTIF(AT112:BH112,"*OK*")</f>
        <v>0</v>
      </c>
      <c r="CM112" s="328"/>
      <c r="CN112" s="328">
        <f>COUNTIF(AT112:BH112,"*OP*")</f>
        <v>0</v>
      </c>
      <c r="CP112" s="425"/>
    </row>
    <row r="113" spans="1:93" ht="15" customHeight="1">
      <c r="A113" s="834">
        <v>23879</v>
      </c>
      <c r="B113" s="560" t="s">
        <v>916</v>
      </c>
      <c r="C113" s="329">
        <f t="shared" si="3"/>
        <v>417.15559999999999</v>
      </c>
      <c r="D113" s="332">
        <f>COUNTIF(AX113:BI113,"OK")</f>
        <v>0</v>
      </c>
      <c r="E113" s="331" t="s">
        <v>73</v>
      </c>
      <c r="F113" s="342" t="s">
        <v>917</v>
      </c>
      <c r="G113" s="342"/>
      <c r="H113" s="650">
        <f>IF(LEN(TRIM($G113&amp;""))=0, $C113, SUMIF($G$3:$G$561, TRIM($G113), $C$3:$C$561))</f>
        <v>417.15559999999999</v>
      </c>
      <c r="I113" s="366" t="s">
        <v>562</v>
      </c>
      <c r="J113" s="366" t="s">
        <v>103</v>
      </c>
      <c r="K113" s="560"/>
      <c r="L113" s="560" t="str">
        <f>HYPERLINK("https://crm.zoho.com/crm/org685875245/tab/Accounts/3525045000226817152","https://crm.zoho.com/crm/org685875245/tab/Accounts/3525045000226817152")</f>
        <v>https://crm.zoho.com/crm/org685875245/tab/Accounts/3525045000226817152</v>
      </c>
      <c r="M113" s="391"/>
      <c r="N113" s="560"/>
      <c r="O113" s="561" t="s">
        <v>918</v>
      </c>
      <c r="P113" s="561"/>
      <c r="Q113" s="561" t="s">
        <v>919</v>
      </c>
      <c r="R113" s="560"/>
      <c r="S113" s="332"/>
      <c r="T113" s="366"/>
      <c r="U113" s="344" t="s">
        <v>394</v>
      </c>
      <c r="V113" s="403">
        <v>474.29</v>
      </c>
      <c r="W113" s="403">
        <v>465.59</v>
      </c>
      <c r="X113" s="403">
        <v>425.32</v>
      </c>
      <c r="Y113" s="404">
        <v>449.86</v>
      </c>
      <c r="Z113" s="400">
        <v>422.9513</v>
      </c>
      <c r="AA113" s="405">
        <v>412.8811</v>
      </c>
      <c r="AB113" s="405">
        <v>413.62470000000002</v>
      </c>
      <c r="AC113" s="642">
        <v>432.38720000000001</v>
      </c>
      <c r="AD113" s="405">
        <v>417.15559999999999</v>
      </c>
      <c r="AE113" s="339">
        <v>177</v>
      </c>
      <c r="AF113" s="340" t="s">
        <v>103</v>
      </c>
      <c r="AG113" s="334"/>
      <c r="AH113" s="328"/>
      <c r="AI113" s="342"/>
      <c r="AJ113" s="343"/>
      <c r="AK113" s="344"/>
      <c r="AL113" s="372" t="s">
        <v>103</v>
      </c>
      <c r="AM113" s="328"/>
      <c r="AN113" s="328"/>
      <c r="AO113" s="328"/>
      <c r="AP113" s="328"/>
      <c r="AQ113" s="328"/>
      <c r="AR113" s="451"/>
      <c r="AS113" s="344" t="s">
        <v>103</v>
      </c>
      <c r="AT113" s="345"/>
      <c r="AU113" s="345"/>
      <c r="AV113" s="345"/>
      <c r="AW113" s="345"/>
      <c r="AX113" s="345"/>
      <c r="AY113" s="345"/>
      <c r="AZ113" s="345"/>
      <c r="BA113" s="345"/>
      <c r="BB113" s="345"/>
      <c r="BC113" s="345"/>
      <c r="BD113" s="345"/>
      <c r="BE113" s="345"/>
      <c r="BF113" s="345"/>
      <c r="BG113" s="345"/>
      <c r="BH113" s="345"/>
      <c r="BI113" s="345"/>
      <c r="BJ113" s="346">
        <f>COUNTIF(AT113:BI113,"*OP*")</f>
        <v>0</v>
      </c>
      <c r="BK113" s="344" t="s">
        <v>103</v>
      </c>
      <c r="BL113" s="328">
        <f>(COUNTIF(AT113:AV113,"*OK*")*3) + (COUNTIF(AW113:AY113,"*OK*")*2) + COUNTIF(AZ113:BB113,"*OK*")+COUNTIF(BK113:BK113,"SI")*0.5</f>
        <v>0</v>
      </c>
      <c r="BM113" s="328" t="str">
        <f>IF(BL113&lt;0.6,"Demasiado Riesgo",IF(BL113&lt;=5,"Riesgo Medio",IF(BL113&lt;=11,"Riesgo Bajo","Cliente Blindado")))</f>
        <v>Demasiado Riesgo</v>
      </c>
      <c r="BN113" s="328"/>
      <c r="BO113" s="349"/>
      <c r="BP113" s="349">
        <v>0</v>
      </c>
      <c r="BQ113" s="349"/>
      <c r="BR113" s="349"/>
      <c r="BS113" s="349"/>
      <c r="BT113" s="349"/>
      <c r="BU113" s="349"/>
      <c r="BV113" s="349"/>
      <c r="BW113" s="349"/>
      <c r="BX113" s="349"/>
      <c r="BY113" s="349"/>
      <c r="BZ113" s="349"/>
      <c r="CA113" s="349"/>
      <c r="CB113" s="349"/>
      <c r="CC113" s="349"/>
      <c r="CD113" s="349"/>
      <c r="CE113" s="349"/>
      <c r="CF113" s="349"/>
      <c r="CG113" s="349"/>
      <c r="CH113" s="349"/>
      <c r="CI113" s="349"/>
      <c r="CJ113" s="349"/>
      <c r="CK113" s="349"/>
      <c r="CL113" s="349">
        <f>COUNTIF(AT113:BH113,"*OK*")</f>
        <v>0</v>
      </c>
      <c r="CM113" s="349"/>
      <c r="CN113" s="349">
        <f>COUNTIF(AT113:BH113,"*OP*")</f>
        <v>0</v>
      </c>
    </row>
    <row r="114" spans="1:93" ht="15" customHeight="1">
      <c r="A114" s="836">
        <v>24316</v>
      </c>
      <c r="B114" s="560" t="s">
        <v>920</v>
      </c>
      <c r="C114" s="329">
        <f t="shared" si="3"/>
        <v>439.07400000000001</v>
      </c>
      <c r="D114" s="332">
        <f>COUNTIF(AT114:BH114,"*OK*")</f>
        <v>0</v>
      </c>
      <c r="E114" s="331" t="s">
        <v>73</v>
      </c>
      <c r="F114" s="331" t="s">
        <v>921</v>
      </c>
      <c r="G114" s="331"/>
      <c r="H114" s="650">
        <f>IF(LEN(TRIM($G114&amp;""))=0, $C114, SUMIF($G$3:$G$561, TRIM($G114), $C$3:$C$561))</f>
        <v>439.07400000000001</v>
      </c>
      <c r="I114" s="333" t="s">
        <v>562</v>
      </c>
      <c r="J114" s="331"/>
      <c r="K114" s="560"/>
      <c r="L114" s="560" t="str">
        <f>HYPERLINK("https://crm.zoho.com/crm/org685875245/tab/Accounts/3525045000305862252","https://crm.zoho.com/crm/org685875245/tab/Accounts/3525045000305862252")</f>
        <v>https://crm.zoho.com/crm/org685875245/tab/Accounts/3525045000305862252</v>
      </c>
      <c r="M114" s="391" t="s">
        <v>96</v>
      </c>
      <c r="N114" s="560"/>
      <c r="O114" s="561" t="s">
        <v>460</v>
      </c>
      <c r="P114" s="561" t="s">
        <v>922</v>
      </c>
      <c r="Q114" s="561" t="s">
        <v>923</v>
      </c>
      <c r="R114" s="560"/>
      <c r="S114" s="332"/>
      <c r="T114" s="331"/>
      <c r="U114" s="334" t="s">
        <v>209</v>
      </c>
      <c r="V114" s="335">
        <v>278.27999999999997</v>
      </c>
      <c r="W114" s="335">
        <v>308.14</v>
      </c>
      <c r="X114" s="335">
        <v>351.06</v>
      </c>
      <c r="Y114" s="336">
        <v>353.25</v>
      </c>
      <c r="Z114" s="337">
        <v>376.47910000000002</v>
      </c>
      <c r="AA114" s="367">
        <v>402.05</v>
      </c>
      <c r="AB114" s="367">
        <v>410.04660000000001</v>
      </c>
      <c r="AC114" s="636">
        <v>431.66079999999999</v>
      </c>
      <c r="AD114" s="367">
        <v>439.07400000000001</v>
      </c>
      <c r="AE114" s="339">
        <v>183</v>
      </c>
      <c r="AF114" s="340">
        <v>400</v>
      </c>
      <c r="AG114" s="334"/>
      <c r="AH114" s="341" t="s">
        <v>83</v>
      </c>
      <c r="AI114" s="422" t="s">
        <v>83</v>
      </c>
      <c r="AJ114" s="343" t="s">
        <v>234</v>
      </c>
      <c r="AK114" s="344" t="s">
        <v>924</v>
      </c>
      <c r="AL114" s="340" t="s">
        <v>101</v>
      </c>
      <c r="AM114" s="328"/>
      <c r="AN114" s="328"/>
      <c r="AO114" s="328"/>
      <c r="AP114" s="328"/>
      <c r="AQ114" s="328"/>
      <c r="AR114" s="451"/>
      <c r="AS114" s="344" t="s">
        <v>103</v>
      </c>
      <c r="AT114" s="345"/>
      <c r="AU114" s="345"/>
      <c r="AV114" s="345"/>
      <c r="AW114" s="345"/>
      <c r="AX114" s="345"/>
      <c r="AY114" s="345"/>
      <c r="AZ114" s="345"/>
      <c r="BA114" s="594"/>
      <c r="BB114" s="345"/>
      <c r="BC114" s="345"/>
      <c r="BD114" s="345"/>
      <c r="BE114" s="345"/>
      <c r="BF114" s="345"/>
      <c r="BG114" s="345"/>
      <c r="BH114" s="345"/>
      <c r="BI114" s="345"/>
      <c r="BJ114" s="346">
        <f>COUNTIF(AT114:BI114,"*OP*")</f>
        <v>0</v>
      </c>
      <c r="BK114" s="344" t="s">
        <v>103</v>
      </c>
      <c r="BL114" s="328">
        <f>(COUNTIF(AT114:AV114,"*OK*")*3) + (COUNTIF(AW114:AY114,"*OK*")*2) + COUNTIF(AZ114:BB114,"*OK*")+COUNTIF(BK114:BK114,"SI")*0.5</f>
        <v>0</v>
      </c>
      <c r="BM114" s="328" t="str">
        <f>IF(BL114&lt;0.6,"Demasiado Riesgo",IF(BL114&lt;=5,"Riesgo Medio",IF(BL114&lt;=11,"Riesgo Bajo","Cliente Blindado")))</f>
        <v>Demasiado Riesgo</v>
      </c>
      <c r="BN114" s="328"/>
      <c r="BO114" s="328"/>
      <c r="BP114" s="328">
        <v>0</v>
      </c>
      <c r="BQ114" s="328"/>
      <c r="BR114" s="328"/>
      <c r="BS114" s="328"/>
      <c r="BT114" s="328"/>
      <c r="BU114" s="328"/>
      <c r="BV114" s="328"/>
      <c r="BW114" s="328"/>
      <c r="BX114" s="328"/>
      <c r="BY114" s="328"/>
      <c r="BZ114" s="328"/>
      <c r="CA114" s="328"/>
      <c r="CB114" s="328"/>
      <c r="CC114" s="328"/>
      <c r="CD114" s="328"/>
      <c r="CE114" s="328"/>
      <c r="CF114" s="328"/>
      <c r="CG114" s="328"/>
      <c r="CH114" s="328"/>
      <c r="CI114" s="328"/>
      <c r="CJ114" s="328"/>
      <c r="CK114" s="328"/>
      <c r="CL114" s="328">
        <f>COUNTIF(AT114:BH114,"*OK*")</f>
        <v>0</v>
      </c>
      <c r="CM114" s="328"/>
      <c r="CN114" s="328">
        <f>COUNTIF(AT114:BH114,"*OP*")</f>
        <v>0</v>
      </c>
    </row>
    <row r="115" spans="1:93" ht="15" customHeight="1">
      <c r="A115" s="837">
        <v>21914</v>
      </c>
      <c r="B115" s="560" t="s">
        <v>925</v>
      </c>
      <c r="C115" s="329">
        <f t="shared" si="3"/>
        <v>380.67939999999999</v>
      </c>
      <c r="D115" s="352">
        <f>COUNTIF(AT115:BH115,"*OK*")</f>
        <v>0</v>
      </c>
      <c r="E115" s="331" t="s">
        <v>73</v>
      </c>
      <c r="F115" s="351" t="s">
        <v>926</v>
      </c>
      <c r="G115" s="351"/>
      <c r="H115" s="650">
        <f>IF(LEN(TRIM($G115&amp;""))=0, $C115, SUMIF($G$3:$G$561, TRIM($G115), $C$3:$C$561))</f>
        <v>380.67939999999999</v>
      </c>
      <c r="I115" s="353" t="s">
        <v>562</v>
      </c>
      <c r="J115" s="351"/>
      <c r="K115" s="558"/>
      <c r="L115" s="558" t="str">
        <f>HYPERLINK("https://crm.zoho.com/crm/org685875245/tab/Accounts/3525045000242331429","https://crm.zoho.com/crm/org685875245/tab/Accounts/3525045000242331429")</f>
        <v>https://crm.zoho.com/crm/org685875245/tab/Accounts/3525045000242331429</v>
      </c>
      <c r="M115" s="553" t="s">
        <v>167</v>
      </c>
      <c r="N115" s="558"/>
      <c r="O115" s="559" t="s">
        <v>927</v>
      </c>
      <c r="P115" s="559" t="s">
        <v>928</v>
      </c>
      <c r="Q115" s="559" t="s">
        <v>929</v>
      </c>
      <c r="R115" s="558" t="s">
        <v>171</v>
      </c>
      <c r="S115" s="352"/>
      <c r="T115" s="351"/>
      <c r="U115" s="354" t="s">
        <v>233</v>
      </c>
      <c r="V115" s="355">
        <v>369.16</v>
      </c>
      <c r="W115" s="355">
        <v>410.78</v>
      </c>
      <c r="X115" s="355">
        <v>389.37</v>
      </c>
      <c r="Y115" s="356">
        <v>408.42</v>
      </c>
      <c r="Z115" s="337">
        <v>409.50799999999998</v>
      </c>
      <c r="AA115" s="338">
        <v>433.33</v>
      </c>
      <c r="AB115" s="338">
        <v>408.43439999999998</v>
      </c>
      <c r="AC115" s="634">
        <v>431.59679999999997</v>
      </c>
      <c r="AD115" s="338">
        <v>380.67939999999999</v>
      </c>
      <c r="AE115" s="357">
        <v>181</v>
      </c>
      <c r="AF115" s="358">
        <v>500</v>
      </c>
      <c r="AG115" s="354"/>
      <c r="AH115" s="359"/>
      <c r="AI115" s="370" t="s">
        <v>129</v>
      </c>
      <c r="AJ115" s="361" t="s">
        <v>234</v>
      </c>
      <c r="AK115" s="362" t="s">
        <v>930</v>
      </c>
      <c r="AL115" s="358" t="s">
        <v>103</v>
      </c>
      <c r="AM115" s="349"/>
      <c r="AN115" s="349"/>
      <c r="AO115" s="349"/>
      <c r="AP115" s="349"/>
      <c r="AQ115" s="349"/>
      <c r="AR115" s="453"/>
      <c r="AS115" s="362" t="s">
        <v>103</v>
      </c>
      <c r="AT115" s="345"/>
      <c r="AU115" s="345"/>
      <c r="AV115" s="345"/>
      <c r="AW115" s="345"/>
      <c r="AX115" s="345"/>
      <c r="AY115" s="345"/>
      <c r="AZ115" s="345"/>
      <c r="BA115" s="345"/>
      <c r="BB115" s="345"/>
      <c r="BC115" s="345"/>
      <c r="BD115" s="345"/>
      <c r="BE115" s="345"/>
      <c r="BF115" s="345"/>
      <c r="BG115" s="345"/>
      <c r="BH115" s="345"/>
      <c r="BI115" s="345"/>
      <c r="BJ115" s="346">
        <f>COUNTIF(AT115:BI115,"*OP*")</f>
        <v>0</v>
      </c>
      <c r="BK115" s="362" t="s">
        <v>103</v>
      </c>
      <c r="BL115" s="349">
        <f>(COUNTIF(AT115:AV115,"*OK*")*3) + (COUNTIF(AW115:AY115,"*OK*")*2) + COUNTIF(AZ115:BB115,"*OK*")+COUNTIF(BK115:BK115,"SI")*0.5</f>
        <v>0</v>
      </c>
      <c r="BM115" s="349" t="str">
        <f>IF(BL115&lt;0.6,"Demasiado Riesgo",IF(BL115&lt;=5,"Riesgo Medio",IF(BL115&lt;=11,"Riesgo Bajo","Cliente Blindado")))</f>
        <v>Demasiado Riesgo</v>
      </c>
      <c r="BN115" s="349"/>
      <c r="BO115" s="328"/>
      <c r="BP115" s="328">
        <v>0</v>
      </c>
      <c r="BQ115" s="328"/>
      <c r="BR115" s="328"/>
      <c r="BS115" s="328"/>
      <c r="BT115" s="328"/>
      <c r="BU115" s="328"/>
      <c r="BV115" s="328"/>
      <c r="BW115" s="328"/>
      <c r="BX115" s="328"/>
      <c r="BY115" s="328"/>
      <c r="BZ115" s="328"/>
      <c r="CA115" s="328"/>
      <c r="CB115" s="328"/>
      <c r="CC115" s="328"/>
      <c r="CD115" s="328"/>
      <c r="CE115" s="328"/>
      <c r="CF115" s="328"/>
      <c r="CG115" s="328"/>
      <c r="CH115" s="328"/>
      <c r="CI115" s="328"/>
      <c r="CJ115" s="328"/>
      <c r="CK115" s="328"/>
      <c r="CL115" s="328">
        <f>COUNTIF(AT115:BH115,"*OK*")</f>
        <v>0</v>
      </c>
      <c r="CM115" s="328"/>
      <c r="CN115" s="328">
        <f>COUNTIF(AT115:BH115,"*OP*")</f>
        <v>0</v>
      </c>
    </row>
    <row r="116" spans="1:93" ht="15" customHeight="1">
      <c r="A116" s="835">
        <v>31996</v>
      </c>
      <c r="B116" s="560" t="s">
        <v>931</v>
      </c>
      <c r="C116" s="329">
        <f t="shared" si="3"/>
        <v>409.43380000000002</v>
      </c>
      <c r="D116" s="352">
        <f>COUNTIF(AT116:BH116,"*OK*")</f>
        <v>0</v>
      </c>
      <c r="E116" s="351" t="s">
        <v>439</v>
      </c>
      <c r="F116" s="351" t="s">
        <v>932</v>
      </c>
      <c r="G116" s="351"/>
      <c r="H116" s="650">
        <f>IF(LEN(TRIM($G116&amp;""))=0, $C116, SUMIF($G$3:$G$561, TRIM($G116), $C$3:$C$561))</f>
        <v>409.43380000000002</v>
      </c>
      <c r="I116" s="413" t="s">
        <v>562</v>
      </c>
      <c r="J116" s="351"/>
      <c r="K116" s="349"/>
      <c r="L116" s="349" t="str">
        <f>HYPERLINK("https://crm.zoho.com/crm/org685875245/tab/Accounts/3525045000488758744","https://crm.zoho.com/crm/org685875245/tab/Accounts/3525045000488758744")</f>
        <v>https://crm.zoho.com/crm/org685875245/tab/Accounts/3525045000488758744</v>
      </c>
      <c r="M116" s="553" t="s">
        <v>77</v>
      </c>
      <c r="N116" s="352"/>
      <c r="O116" s="540"/>
      <c r="P116" s="540"/>
      <c r="Q116" s="540"/>
      <c r="R116" s="352"/>
      <c r="S116" s="352"/>
      <c r="T116" s="351"/>
      <c r="U116" s="354" t="s">
        <v>82</v>
      </c>
      <c r="V116" s="355">
        <v>246.29</v>
      </c>
      <c r="W116" s="355">
        <v>400.19</v>
      </c>
      <c r="X116" s="355">
        <v>334.99</v>
      </c>
      <c r="Y116" s="356">
        <v>303.22000000000003</v>
      </c>
      <c r="Z116" s="337">
        <v>355.81900000000002</v>
      </c>
      <c r="AA116" s="338">
        <v>383.91</v>
      </c>
      <c r="AB116" s="338">
        <v>381.7715</v>
      </c>
      <c r="AC116" s="634">
        <v>429.85930000000002</v>
      </c>
      <c r="AD116" s="338">
        <v>409.43380000000002</v>
      </c>
      <c r="AE116" s="357">
        <v>110</v>
      </c>
      <c r="AF116" s="358">
        <v>150</v>
      </c>
      <c r="AG116" s="354"/>
      <c r="AH116" s="359"/>
      <c r="AI116" s="427" t="s">
        <v>83</v>
      </c>
      <c r="AJ116" s="361" t="s">
        <v>130</v>
      </c>
      <c r="AK116" s="362" t="s">
        <v>933</v>
      </c>
      <c r="AL116" s="358" t="s">
        <v>103</v>
      </c>
      <c r="AM116" s="349"/>
      <c r="AN116" s="349"/>
      <c r="AO116" s="349"/>
      <c r="AP116" s="349"/>
      <c r="AQ116" s="349"/>
      <c r="AR116" s="453"/>
      <c r="AS116" s="363" t="s">
        <v>103</v>
      </c>
      <c r="AT116" s="345"/>
      <c r="AU116" s="345"/>
      <c r="AV116" s="421" t="s">
        <v>179</v>
      </c>
      <c r="AW116" s="345"/>
      <c r="AX116" s="345"/>
      <c r="AY116" s="345"/>
      <c r="AZ116" s="345"/>
      <c r="BA116" s="345"/>
      <c r="BB116" s="345"/>
      <c r="BC116" s="345"/>
      <c r="BD116" s="345"/>
      <c r="BE116" s="345"/>
      <c r="BF116" s="345"/>
      <c r="BG116" s="345"/>
      <c r="BH116" s="345"/>
      <c r="BI116" s="345"/>
      <c r="BJ116" s="346">
        <f>COUNTIF(AT116:BI116,"*OP*")</f>
        <v>1</v>
      </c>
      <c r="BK116" s="363" t="s">
        <v>103</v>
      </c>
      <c r="BL116" s="349">
        <f>(COUNTIF(AT116:AV116,"*OK*")*3) + (COUNTIF(AW116:AY116,"*OK*")*2) + COUNTIF(AZ116:BB116,"*OK*")+COUNTIF(BK116:BK116,"SI")*0.5</f>
        <v>0</v>
      </c>
      <c r="BM116" s="349" t="str">
        <f>IF(BL116&lt;0.6,"Demasiado Riesgo",IF(BL116&lt;=5,"Riesgo Medio",IF(BL116&lt;=11,"Riesgo Bajo","Cliente Blindado")))</f>
        <v>Demasiado Riesgo</v>
      </c>
      <c r="BN116" s="349"/>
      <c r="BO116" s="328"/>
      <c r="BP116" s="328">
        <v>0</v>
      </c>
      <c r="BQ116" s="328"/>
      <c r="BR116" s="328"/>
      <c r="BS116" s="328"/>
      <c r="BT116" s="328"/>
      <c r="BU116" s="328"/>
      <c r="BV116" s="328"/>
      <c r="BW116" s="328"/>
      <c r="BX116" s="328"/>
      <c r="BY116" s="328"/>
      <c r="BZ116" s="328"/>
      <c r="CA116" s="328"/>
      <c r="CB116" s="328"/>
      <c r="CC116" s="328"/>
      <c r="CD116" s="328"/>
      <c r="CE116" s="328"/>
      <c r="CF116" s="328"/>
      <c r="CG116" s="328"/>
      <c r="CH116" s="328"/>
      <c r="CI116" s="328"/>
      <c r="CJ116" s="328"/>
      <c r="CK116" s="328"/>
      <c r="CL116" s="328">
        <f>COUNTIF(AT116:BH116,"*OK*")</f>
        <v>0</v>
      </c>
      <c r="CM116" s="328"/>
      <c r="CN116" s="328">
        <f>COUNTIF(AT116:BH116,"*OP*")</f>
        <v>1</v>
      </c>
    </row>
    <row r="117" spans="1:93" ht="15" customHeight="1">
      <c r="A117" s="835">
        <v>23042</v>
      </c>
      <c r="B117" s="560" t="s">
        <v>934</v>
      </c>
      <c r="C117" s="329">
        <f t="shared" si="3"/>
        <v>401.04469999999998</v>
      </c>
      <c r="D117" s="352">
        <f>COUNTIF(AT117:BH117,"*OK*")</f>
        <v>0</v>
      </c>
      <c r="E117" s="351" t="s">
        <v>439</v>
      </c>
      <c r="F117" s="351" t="s">
        <v>935</v>
      </c>
      <c r="G117" s="351"/>
      <c r="H117" s="650">
        <f>IF(LEN(TRIM($G117&amp;""))=0, $C117, SUMIF($G$3:$G$561, TRIM($G117), $C$3:$C$561))</f>
        <v>401.04469999999998</v>
      </c>
      <c r="I117" s="353" t="s">
        <v>562</v>
      </c>
      <c r="J117" s="351"/>
      <c r="K117" s="558"/>
      <c r="L117" s="558" t="str">
        <f>HYPERLINK("https://crm.zoho.com/crm/org685875245/tab/Accounts/3525045000259290582","https://crm.zoho.com/crm/org685875245/tab/Accounts/3525045000259290582")</f>
        <v>https://crm.zoho.com/crm/org685875245/tab/Accounts/3525045000259290582</v>
      </c>
      <c r="M117" s="553" t="s">
        <v>167</v>
      </c>
      <c r="N117" s="558"/>
      <c r="O117" s="559" t="s">
        <v>936</v>
      </c>
      <c r="P117" s="559" t="s">
        <v>937</v>
      </c>
      <c r="Q117" s="559" t="s">
        <v>938</v>
      </c>
      <c r="R117" s="558"/>
      <c r="S117" s="352"/>
      <c r="T117" s="351"/>
      <c r="U117" s="354" t="s">
        <v>82</v>
      </c>
      <c r="V117" s="355">
        <v>400.78</v>
      </c>
      <c r="W117" s="355">
        <v>400.41</v>
      </c>
      <c r="X117" s="355">
        <v>390.36</v>
      </c>
      <c r="Y117" s="356">
        <v>402.93</v>
      </c>
      <c r="Z117" s="337">
        <v>403.75970000000001</v>
      </c>
      <c r="AA117" s="365">
        <v>394.79</v>
      </c>
      <c r="AB117" s="365">
        <v>411.8535</v>
      </c>
      <c r="AC117" s="635">
        <v>426.41550000000001</v>
      </c>
      <c r="AD117" s="365">
        <v>401.04469999999998</v>
      </c>
      <c r="AE117" s="357">
        <v>182</v>
      </c>
      <c r="AF117" s="358">
        <v>150</v>
      </c>
      <c r="AG117" s="354"/>
      <c r="AH117" s="359" t="s">
        <v>939</v>
      </c>
      <c r="AI117" s="370" t="s">
        <v>618</v>
      </c>
      <c r="AJ117" s="361" t="s">
        <v>143</v>
      </c>
      <c r="AK117" s="362" t="s">
        <v>940</v>
      </c>
      <c r="AL117" s="358" t="s">
        <v>662</v>
      </c>
      <c r="AM117" s="349"/>
      <c r="AN117" s="349"/>
      <c r="AO117" s="349"/>
      <c r="AP117" s="349"/>
      <c r="AQ117" s="349"/>
      <c r="AR117" s="453"/>
      <c r="AS117" s="363" t="s">
        <v>103</v>
      </c>
      <c r="AT117" s="345"/>
      <c r="AU117" s="345"/>
      <c r="AV117" s="345"/>
      <c r="AW117" s="345"/>
      <c r="AX117" s="345"/>
      <c r="AY117" s="345"/>
      <c r="AZ117" s="345"/>
      <c r="BA117" s="345"/>
      <c r="BB117" s="345"/>
      <c r="BC117" s="345"/>
      <c r="BD117" s="345"/>
      <c r="BE117" s="345"/>
      <c r="BF117" s="345"/>
      <c r="BG117" s="345"/>
      <c r="BH117" s="345"/>
      <c r="BI117" s="345"/>
      <c r="BJ117" s="364">
        <f>COUNTIF(AT117:BI117,"*OP*")</f>
        <v>0</v>
      </c>
      <c r="BK117" s="363" t="s">
        <v>103</v>
      </c>
      <c r="BL117" s="349">
        <f>(COUNTIF(AT117:AV117,"*OK*")*3) + (COUNTIF(AW117:AY117,"*OK*")*2) + COUNTIF(AZ117:BB117,"*OK*")+COUNTIF(BK117:BK117,"SI")*0.5</f>
        <v>0</v>
      </c>
      <c r="BM117" s="349" t="str">
        <f>IF(BL117&lt;0.6,"Demasiado Riesgo",IF(BL117&lt;=5,"Riesgo Medio",IF(BL117&lt;=11,"Riesgo Bajo","Cliente Blindado")))</f>
        <v>Demasiado Riesgo</v>
      </c>
      <c r="BN117" s="349"/>
      <c r="BO117" s="349"/>
      <c r="BP117" s="349">
        <v>0</v>
      </c>
      <c r="BQ117" s="349"/>
      <c r="BR117" s="349"/>
      <c r="BS117" s="349"/>
      <c r="BT117" s="349"/>
      <c r="BU117" s="349"/>
      <c r="BV117" s="349"/>
      <c r="BW117" s="349"/>
      <c r="BX117" s="349"/>
      <c r="BY117" s="349"/>
      <c r="BZ117" s="349"/>
      <c r="CA117" s="349"/>
      <c r="CB117" s="349"/>
      <c r="CC117" s="349"/>
      <c r="CD117" s="349"/>
      <c r="CE117" s="349"/>
      <c r="CF117" s="349"/>
      <c r="CG117" s="349"/>
      <c r="CH117" s="349"/>
      <c r="CI117" s="349"/>
      <c r="CJ117" s="349"/>
      <c r="CK117" s="349"/>
      <c r="CL117" s="349">
        <f>COUNTIF(AT117:BH117,"*OK*")</f>
        <v>0</v>
      </c>
      <c r="CM117" s="349"/>
      <c r="CN117" s="349">
        <f>COUNTIF(AT117:BH117,"*OP*")</f>
        <v>0</v>
      </c>
    </row>
    <row r="118" spans="1:93" ht="15" customHeight="1">
      <c r="A118" s="834">
        <v>21609</v>
      </c>
      <c r="B118" s="560" t="s">
        <v>941</v>
      </c>
      <c r="C118" s="329">
        <f t="shared" si="3"/>
        <v>407.65339999999998</v>
      </c>
      <c r="D118" s="332">
        <f>COUNTIF(AT118:BH118,"*OK*")</f>
        <v>0</v>
      </c>
      <c r="E118" s="331" t="s">
        <v>439</v>
      </c>
      <c r="F118" s="433" t="s">
        <v>942</v>
      </c>
      <c r="G118" s="331"/>
      <c r="H118" s="650">
        <f>IF(LEN(TRIM($G118&amp;""))=0, $C118, SUMIF($G$3:$G$561, TRIM($G118), $C$3:$C$561))</f>
        <v>407.65339999999998</v>
      </c>
      <c r="I118" s="410" t="s">
        <v>562</v>
      </c>
      <c r="J118" s="331"/>
      <c r="K118" s="328"/>
      <c r="L118" s="328" t="str">
        <f>HYPERLINK("https://crm.zoho.com/crm/org685875245/tab/Accounts/3525045000226318061","https://crm.zoho.com/crm/org685875245/tab/Accounts/3525045000226318061")</f>
        <v>https://crm.zoho.com/crm/org685875245/tab/Accounts/3525045000226318061</v>
      </c>
      <c r="M118" s="391" t="s">
        <v>943</v>
      </c>
      <c r="N118" s="332" t="s">
        <v>944</v>
      </c>
      <c r="O118" s="541" t="s">
        <v>945</v>
      </c>
      <c r="P118" s="541" t="s">
        <v>946</v>
      </c>
      <c r="Q118" s="541" t="s">
        <v>947</v>
      </c>
      <c r="R118" s="332"/>
      <c r="S118" s="332"/>
      <c r="T118" s="331"/>
      <c r="U118" s="334" t="s">
        <v>209</v>
      </c>
      <c r="V118" s="335">
        <v>456.1</v>
      </c>
      <c r="W118" s="335">
        <v>430.04</v>
      </c>
      <c r="X118" s="335">
        <v>481.26</v>
      </c>
      <c r="Y118" s="336">
        <v>537.5</v>
      </c>
      <c r="Z118" s="337">
        <v>468.0335</v>
      </c>
      <c r="AA118" s="365">
        <v>418.17</v>
      </c>
      <c r="AB118" s="365">
        <v>437.38589999999999</v>
      </c>
      <c r="AC118" s="635">
        <v>421.45769999999999</v>
      </c>
      <c r="AD118" s="365">
        <v>407.65339999999998</v>
      </c>
      <c r="AE118" s="339">
        <v>188</v>
      </c>
      <c r="AF118" s="340">
        <v>150</v>
      </c>
      <c r="AG118" s="334"/>
      <c r="AH118" s="341"/>
      <c r="AI118" s="342" t="s">
        <v>129</v>
      </c>
      <c r="AJ118" s="343" t="s">
        <v>101</v>
      </c>
      <c r="AK118" s="344" t="s">
        <v>948</v>
      </c>
      <c r="AL118" s="340" t="s">
        <v>101</v>
      </c>
      <c r="AM118" s="328"/>
      <c r="AN118" s="328"/>
      <c r="AO118" s="328"/>
      <c r="AP118" s="328"/>
      <c r="AQ118" s="328"/>
      <c r="AR118" s="451"/>
      <c r="AS118" s="372" t="s">
        <v>88</v>
      </c>
      <c r="AT118" s="345"/>
      <c r="AU118" s="345"/>
      <c r="AV118" s="345"/>
      <c r="AW118" s="345" t="s">
        <v>173</v>
      </c>
      <c r="AX118" s="345"/>
      <c r="AY118" s="440" t="s">
        <v>173</v>
      </c>
      <c r="AZ118" s="345"/>
      <c r="BA118" s="345"/>
      <c r="BB118" s="345"/>
      <c r="BC118" s="345"/>
      <c r="BD118" s="345"/>
      <c r="BE118" s="345"/>
      <c r="BF118" s="345"/>
      <c r="BG118" s="345"/>
      <c r="BH118" s="345"/>
      <c r="BI118" s="345"/>
      <c r="BJ118" s="364">
        <f>COUNTIF(AT118:BI118,"*OP*")</f>
        <v>2</v>
      </c>
      <c r="BK118" s="375" t="s">
        <v>89</v>
      </c>
      <c r="BL118" s="328">
        <f>(COUNTIF(AT118:AV118,"*OK*")*3) + (COUNTIF(AW118:AY118,"*OK*")*2) + COUNTIF(AZ118:BB118,"*OK*")+COUNTIF(BK118:BK118,"SI")*0.5</f>
        <v>0</v>
      </c>
      <c r="BM118" s="328" t="str">
        <f>IF(BL118&lt;0.6,"Demasiado Riesgo",IF(BL118&lt;=5,"Riesgo Medio",IF(BL118&lt;=11,"Riesgo Bajo","Cliente Blindado")))</f>
        <v>Demasiado Riesgo</v>
      </c>
      <c r="BN118" s="328"/>
      <c r="BO118" s="349"/>
      <c r="BP118" s="349">
        <v>0</v>
      </c>
      <c r="BQ118" s="349"/>
      <c r="BR118" s="349"/>
      <c r="BS118" s="349"/>
      <c r="BT118" s="349"/>
      <c r="BU118" s="349"/>
      <c r="BV118" s="349"/>
      <c r="BW118" s="349"/>
      <c r="BX118" s="349"/>
      <c r="BY118" s="349"/>
      <c r="BZ118" s="349"/>
      <c r="CA118" s="349"/>
      <c r="CB118" s="349"/>
      <c r="CC118" s="349"/>
      <c r="CD118" s="349"/>
      <c r="CE118" s="349"/>
      <c r="CF118" s="349"/>
      <c r="CG118" s="349"/>
      <c r="CH118" s="349"/>
      <c r="CI118" s="349"/>
      <c r="CJ118" s="349"/>
      <c r="CK118" s="349"/>
      <c r="CL118" s="349">
        <f>COUNTIF(AT118:BH118,"*OK*")</f>
        <v>0</v>
      </c>
      <c r="CM118" s="349"/>
      <c r="CN118" s="349">
        <f>COUNTIF(AT118:BH118,"*OP*")</f>
        <v>2</v>
      </c>
    </row>
    <row r="119" spans="1:93" ht="15" customHeight="1">
      <c r="A119" s="834">
        <v>32765</v>
      </c>
      <c r="B119" s="560" t="s">
        <v>949</v>
      </c>
      <c r="C119" s="329">
        <f t="shared" si="3"/>
        <v>454.88740000000001</v>
      </c>
      <c r="D119" s="332">
        <f>COUNTIF(AT119:BH119,"*OK*")</f>
        <v>0</v>
      </c>
      <c r="E119" s="397" t="s">
        <v>439</v>
      </c>
      <c r="F119" s="497" t="s">
        <v>950</v>
      </c>
      <c r="G119" s="331"/>
      <c r="H119" s="650">
        <f>IF(LEN(TRIM($G119&amp;""))=0, $C119, SUMIF($G$3:$G$561, TRIM($G119), $C$3:$C$561))</f>
        <v>454.88740000000001</v>
      </c>
      <c r="I119" s="331" t="s">
        <v>562</v>
      </c>
      <c r="J119" s="331"/>
      <c r="K119" s="328"/>
      <c r="L119" s="328" t="str">
        <f>HYPERLINK("https://crm.zoho.com/crm/org685875245/tab/Accounts/3525045000493980360","https://crm.zoho.com/crm/org685875245/tab/Accounts/3525045000493980360")</f>
        <v>https://crm.zoho.com/crm/org685875245/tab/Accounts/3525045000493980360</v>
      </c>
      <c r="M119" s="391"/>
      <c r="N119" s="332" t="s">
        <v>817</v>
      </c>
      <c r="O119" s="541" t="s">
        <v>951</v>
      </c>
      <c r="P119" s="541" t="s">
        <v>952</v>
      </c>
      <c r="Q119" s="541" t="s">
        <v>953</v>
      </c>
      <c r="R119" s="332"/>
      <c r="S119" s="352" t="s">
        <v>860</v>
      </c>
      <c r="T119" s="397"/>
      <c r="U119" s="344" t="s">
        <v>209</v>
      </c>
      <c r="V119" s="335">
        <v>96.22</v>
      </c>
      <c r="W119" s="335">
        <v>75.099999999999994</v>
      </c>
      <c r="X119" s="335">
        <v>65.849999999999994</v>
      </c>
      <c r="Y119" s="336">
        <v>141.84</v>
      </c>
      <c r="Z119" s="337">
        <v>239.5882</v>
      </c>
      <c r="AA119" s="367">
        <v>266.58</v>
      </c>
      <c r="AB119" s="367">
        <v>259.8691</v>
      </c>
      <c r="AC119" s="636">
        <v>419.7842</v>
      </c>
      <c r="AD119" s="367">
        <v>454.88740000000001</v>
      </c>
      <c r="AE119" s="339">
        <v>116</v>
      </c>
      <c r="AF119" s="340">
        <v>100</v>
      </c>
      <c r="AG119" s="334"/>
      <c r="AH119" s="341"/>
      <c r="AI119" s="422" t="s">
        <v>83</v>
      </c>
      <c r="AJ119" s="343" t="s">
        <v>101</v>
      </c>
      <c r="AK119" s="344" t="s">
        <v>954</v>
      </c>
      <c r="AL119" s="340" t="s">
        <v>101</v>
      </c>
      <c r="AM119" s="328"/>
      <c r="AN119" s="328"/>
      <c r="AO119" s="328"/>
      <c r="AP119" s="328"/>
      <c r="AQ119" s="328"/>
      <c r="AR119" s="451"/>
      <c r="AS119" s="372" t="s">
        <v>103</v>
      </c>
      <c r="AT119" s="445"/>
      <c r="AU119" s="445"/>
      <c r="AV119" s="445"/>
      <c r="AW119" s="445"/>
      <c r="AX119" s="445"/>
      <c r="AY119" s="445"/>
      <c r="AZ119" s="445"/>
      <c r="BA119" s="445"/>
      <c r="BB119" s="445"/>
      <c r="BC119" s="445"/>
      <c r="BD119" s="445"/>
      <c r="BE119" s="445"/>
      <c r="BF119" s="445"/>
      <c r="BG119" s="445"/>
      <c r="BH119" s="445"/>
      <c r="BI119" s="445"/>
      <c r="BJ119" s="446">
        <f>COUNTIF(AT119:BI119,"*OP*")</f>
        <v>0</v>
      </c>
      <c r="BK119" s="375" t="s">
        <v>103</v>
      </c>
      <c r="BL119" s="328">
        <f>(COUNTIF(AT119:AV119,"*OK*")*3) + (COUNTIF(AW119:AY119,"*OK*")*2) + COUNTIF(AZ119:BB119,"*OK*")+COUNTIF(BK119:BK119,"SI")*0.5</f>
        <v>0</v>
      </c>
      <c r="BM119" s="328" t="str">
        <f>IF(BL119&lt;0.6,"Demasiado Riesgo",IF(BL119&lt;=5,"Riesgo Medio",IF(BL119&lt;=11,"Riesgo Bajo","Cliente Blindado")))</f>
        <v>Demasiado Riesgo</v>
      </c>
      <c r="BN119" s="328"/>
      <c r="BO119" s="328"/>
      <c r="BP119" s="328">
        <v>0</v>
      </c>
      <c r="BQ119" s="328"/>
      <c r="BR119" s="328"/>
      <c r="BS119" s="328"/>
      <c r="BT119" s="328"/>
      <c r="BU119" s="328"/>
      <c r="BV119" s="328"/>
      <c r="BW119" s="328"/>
      <c r="BX119" s="328"/>
      <c r="BY119" s="328"/>
      <c r="BZ119" s="328"/>
      <c r="CA119" s="328"/>
      <c r="CB119" s="328"/>
      <c r="CC119" s="328"/>
      <c r="CD119" s="328"/>
      <c r="CE119" s="328"/>
      <c r="CF119" s="328"/>
      <c r="CG119" s="328"/>
      <c r="CH119" s="328"/>
      <c r="CI119" s="328"/>
      <c r="CJ119" s="328"/>
      <c r="CK119" s="328"/>
      <c r="CL119" s="328">
        <f>COUNTIF(AT119:BH119,"*OK*")</f>
        <v>0</v>
      </c>
      <c r="CM119" s="328"/>
      <c r="CN119" s="328">
        <f>COUNTIF(AT119:BH119,"*OP*")</f>
        <v>0</v>
      </c>
    </row>
    <row r="120" spans="1:93" ht="15" customHeight="1">
      <c r="A120" s="837">
        <v>23416</v>
      </c>
      <c r="B120" s="560" t="s">
        <v>955</v>
      </c>
      <c r="C120" s="329">
        <f t="shared" si="3"/>
        <v>389.26209999999998</v>
      </c>
      <c r="D120" s="352">
        <f>COUNTIF(AT120:BH120,"*OK*")</f>
        <v>0</v>
      </c>
      <c r="E120" s="331" t="s">
        <v>73</v>
      </c>
      <c r="F120" s="351" t="s">
        <v>956</v>
      </c>
      <c r="G120" s="351"/>
      <c r="H120" s="650">
        <f>IF(LEN(TRIM($G120&amp;""))=0, $C120, SUMIF($G$3:$G$561, TRIM($G120), $C$3:$C$561))</f>
        <v>389.26209999999998</v>
      </c>
      <c r="I120" s="353" t="s">
        <v>562</v>
      </c>
      <c r="J120" s="351"/>
      <c r="K120" s="558"/>
      <c r="L120" s="558" t="str">
        <f>HYPERLINK("https://crm.zoho.com/crm/org685875245/tab/Accounts/3525045000269060089","https://crm.zoho.com/crm/org685875245/tab/Accounts/3525045000269060089")</f>
        <v>https://crm.zoho.com/crm/org685875245/tab/Accounts/3525045000269060089</v>
      </c>
      <c r="M120" s="553" t="s">
        <v>96</v>
      </c>
      <c r="N120" s="558"/>
      <c r="O120" s="559" t="s">
        <v>957</v>
      </c>
      <c r="P120" s="559" t="s">
        <v>958</v>
      </c>
      <c r="Q120" s="559" t="s">
        <v>959</v>
      </c>
      <c r="R120" s="558"/>
      <c r="S120" s="352"/>
      <c r="T120" s="351"/>
      <c r="U120" s="354" t="s">
        <v>960</v>
      </c>
      <c r="V120" s="355">
        <v>405.84</v>
      </c>
      <c r="W120" s="355">
        <v>402.18</v>
      </c>
      <c r="X120" s="355">
        <v>379.09</v>
      </c>
      <c r="Y120" s="356">
        <v>391.29</v>
      </c>
      <c r="Z120" s="337">
        <v>391.09750000000003</v>
      </c>
      <c r="AA120" s="338">
        <v>396.53</v>
      </c>
      <c r="AB120" s="338">
        <v>409.68470000000002</v>
      </c>
      <c r="AC120" s="634">
        <v>417.21640000000002</v>
      </c>
      <c r="AD120" s="338">
        <v>389.26209999999998</v>
      </c>
      <c r="AE120" s="357">
        <v>361</v>
      </c>
      <c r="AF120" s="358">
        <v>300</v>
      </c>
      <c r="AG120" s="354"/>
      <c r="AH120" s="359" t="s">
        <v>378</v>
      </c>
      <c r="AI120" s="370" t="s">
        <v>379</v>
      </c>
      <c r="AJ120" s="361" t="s">
        <v>345</v>
      </c>
      <c r="AK120" s="362" t="s">
        <v>961</v>
      </c>
      <c r="AL120" s="358" t="s">
        <v>345</v>
      </c>
      <c r="AM120" s="349"/>
      <c r="AN120" s="349"/>
      <c r="AO120" s="349"/>
      <c r="AP120" s="349"/>
      <c r="AQ120" s="349"/>
      <c r="AR120" s="453"/>
      <c r="AS120" s="371" t="s">
        <v>88</v>
      </c>
      <c r="AT120" s="345"/>
      <c r="AU120" s="345"/>
      <c r="AV120" s="345"/>
      <c r="AW120" s="345"/>
      <c r="AX120" s="345"/>
      <c r="AY120" s="345"/>
      <c r="AZ120" s="345"/>
      <c r="BA120" s="345"/>
      <c r="BB120" s="345"/>
      <c r="BC120" s="345"/>
      <c r="BD120" s="345"/>
      <c r="BE120" s="345"/>
      <c r="BF120" s="345"/>
      <c r="BG120" s="345"/>
      <c r="BH120" s="345"/>
      <c r="BI120" s="345"/>
      <c r="BJ120" s="364">
        <f>COUNTIF(AT120:BI120,"*OP*")</f>
        <v>0</v>
      </c>
      <c r="BK120" s="362" t="s">
        <v>103</v>
      </c>
      <c r="BL120" s="349">
        <f>(COUNTIF(AT120:AV120,"*OK*")*3) + (COUNTIF(AW120:AY120,"*OK*")*2) + COUNTIF(AZ120:BB120,"*OK*")+COUNTIF(BK120:BK120,"SI")*0.5</f>
        <v>0</v>
      </c>
      <c r="BM120" s="349" t="str">
        <f>IF(BL120&lt;0.6,"Demasiado Riesgo",IF(BL120&lt;=5,"Riesgo Medio",IF(BL120&lt;=11,"Riesgo Bajo","Cliente Blindado")))</f>
        <v>Demasiado Riesgo</v>
      </c>
      <c r="BN120" s="349"/>
      <c r="BO120" s="328"/>
      <c r="BP120" s="328">
        <v>0</v>
      </c>
      <c r="BQ120" s="328"/>
      <c r="BR120" s="328"/>
      <c r="BS120" s="328"/>
      <c r="BT120" s="328"/>
      <c r="BU120" s="328"/>
      <c r="BV120" s="328"/>
      <c r="BW120" s="328"/>
      <c r="BX120" s="328"/>
      <c r="BY120" s="328"/>
      <c r="BZ120" s="328"/>
      <c r="CA120" s="328"/>
      <c r="CB120" s="328"/>
      <c r="CC120" s="328"/>
      <c r="CD120" s="328"/>
      <c r="CE120" s="328"/>
      <c r="CF120" s="328"/>
      <c r="CG120" s="328"/>
      <c r="CH120" s="328"/>
      <c r="CI120" s="328"/>
      <c r="CJ120" s="328"/>
      <c r="CK120" s="328"/>
      <c r="CL120" s="328">
        <f>COUNTIF(AT120:BH120,"*OK*")</f>
        <v>0</v>
      </c>
      <c r="CM120" s="328"/>
      <c r="CN120" s="328">
        <f>COUNTIF(AT120:BH120,"*OP*")</f>
        <v>0</v>
      </c>
    </row>
    <row r="121" spans="1:93" ht="15" customHeight="1">
      <c r="A121" s="834">
        <v>31431</v>
      </c>
      <c r="B121" s="560" t="s">
        <v>962</v>
      </c>
      <c r="C121" s="329">
        <f t="shared" si="3"/>
        <v>387.1413</v>
      </c>
      <c r="D121" s="332">
        <f>COUNTIF(AT121:BH121,"*OK*")</f>
        <v>0</v>
      </c>
      <c r="E121" s="331" t="s">
        <v>73</v>
      </c>
      <c r="F121" s="426" t="s">
        <v>963</v>
      </c>
      <c r="G121" s="331"/>
      <c r="H121" s="650">
        <f>IF(LEN(TRIM($G121&amp;""))=0, $C121, SUMIF($G$3:$G$561, TRIM($G121), $C$3:$C$561))</f>
        <v>387.1413</v>
      </c>
      <c r="I121" s="410" t="s">
        <v>562</v>
      </c>
      <c r="J121" s="331"/>
      <c r="K121" s="560"/>
      <c r="L121" s="560" t="str">
        <f>HYPERLINK("https://crm.zoho.com/crm/org685875245/tab/Accounts/3525045000476572360","https://crm.zoho.com/crm/org685875245/tab/Accounts/3525045000476572360")</f>
        <v>https://crm.zoho.com/crm/org685875245/tab/Accounts/3525045000476572360</v>
      </c>
      <c r="M121" s="391" t="s">
        <v>77</v>
      </c>
      <c r="N121" s="560"/>
      <c r="O121" s="561" t="s">
        <v>964</v>
      </c>
      <c r="P121" s="561" t="s">
        <v>965</v>
      </c>
      <c r="Q121" s="561" t="s">
        <v>966</v>
      </c>
      <c r="R121" s="560"/>
      <c r="S121" s="332"/>
      <c r="T121" s="331"/>
      <c r="U121" s="334" t="s">
        <v>198</v>
      </c>
      <c r="V121" s="335">
        <v>398.78</v>
      </c>
      <c r="W121" s="335">
        <v>404.21</v>
      </c>
      <c r="X121" s="335">
        <v>374.16</v>
      </c>
      <c r="Y121" s="336">
        <v>391.9</v>
      </c>
      <c r="Z121" s="337">
        <v>411.33</v>
      </c>
      <c r="AA121" s="338">
        <v>416.82</v>
      </c>
      <c r="AB121" s="338">
        <v>416.01369999999997</v>
      </c>
      <c r="AC121" s="634">
        <v>415.15320000000003</v>
      </c>
      <c r="AD121" s="338">
        <v>387.1413</v>
      </c>
      <c r="AE121" s="339">
        <v>269</v>
      </c>
      <c r="AF121" s="340">
        <v>200</v>
      </c>
      <c r="AG121" s="334"/>
      <c r="AH121" s="341" t="s">
        <v>687</v>
      </c>
      <c r="AI121" s="342" t="s">
        <v>258</v>
      </c>
      <c r="AJ121" s="343" t="s">
        <v>130</v>
      </c>
      <c r="AK121" s="344" t="s">
        <v>967</v>
      </c>
      <c r="AL121" s="340" t="s">
        <v>224</v>
      </c>
      <c r="AM121" s="328"/>
      <c r="AN121" s="328"/>
      <c r="AO121" s="328"/>
      <c r="AP121" s="328"/>
      <c r="AQ121" s="328"/>
      <c r="AR121" s="451" t="s">
        <v>115</v>
      </c>
      <c r="AS121" s="344" t="s">
        <v>88</v>
      </c>
      <c r="AT121" s="345"/>
      <c r="AU121" s="345"/>
      <c r="AV121" s="421" t="s">
        <v>968</v>
      </c>
      <c r="AW121" s="345"/>
      <c r="AX121" s="345"/>
      <c r="AY121" s="345"/>
      <c r="AZ121" s="345"/>
      <c r="BA121" s="421"/>
      <c r="BB121" s="345"/>
      <c r="BC121" s="345"/>
      <c r="BD121" s="345"/>
      <c r="BE121" s="345"/>
      <c r="BF121" s="345"/>
      <c r="BG121" s="345"/>
      <c r="BH121" s="345"/>
      <c r="BI121" s="345"/>
      <c r="BJ121" s="346">
        <f>COUNTIF(AT121:BI121,"*OP*")</f>
        <v>0</v>
      </c>
      <c r="BK121" s="344" t="s">
        <v>103</v>
      </c>
      <c r="BL121" s="328">
        <f>(COUNTIF(AT121:AV121,"*OK*")*3) + (COUNTIF(AW121:AY121,"*OK*")*2) + COUNTIF(AZ121:BB121,"*OK*")+COUNTIF(BK121:BK121,"SI")*0.5</f>
        <v>0</v>
      </c>
      <c r="BM121" s="328" t="str">
        <f>IF(BL121&lt;0.6,"Demasiado Riesgo",IF(BL121&lt;=5,"Riesgo Medio",IF(BL121&lt;=11,"Riesgo Bajo","Cliente Blindado")))</f>
        <v>Demasiado Riesgo</v>
      </c>
      <c r="BN121" s="328"/>
      <c r="BO121" s="349"/>
      <c r="BP121" s="349">
        <v>0</v>
      </c>
      <c r="BQ121" s="349"/>
      <c r="BR121" s="349"/>
      <c r="BS121" s="349"/>
      <c r="BT121" s="349"/>
      <c r="BU121" s="349"/>
      <c r="BV121" s="349"/>
      <c r="BW121" s="349"/>
      <c r="BX121" s="349"/>
      <c r="BY121" s="349"/>
      <c r="BZ121" s="349"/>
      <c r="CA121" s="349"/>
      <c r="CB121" s="349"/>
      <c r="CC121" s="349"/>
      <c r="CD121" s="349"/>
      <c r="CE121" s="349"/>
      <c r="CF121" s="349"/>
      <c r="CG121" s="349"/>
      <c r="CH121" s="349"/>
      <c r="CI121" s="349"/>
      <c r="CJ121" s="349"/>
      <c r="CK121" s="349"/>
      <c r="CL121" s="349">
        <f>COUNTIF(AT121:BH121,"*OK*")</f>
        <v>0</v>
      </c>
      <c r="CM121" s="349"/>
      <c r="CN121" s="349">
        <f>COUNTIF(AT121:BH121,"*OP*")</f>
        <v>0</v>
      </c>
    </row>
    <row r="122" spans="1:93" ht="15" customHeight="1">
      <c r="A122" s="835">
        <v>24925</v>
      </c>
      <c r="B122" s="560" t="s">
        <v>969</v>
      </c>
      <c r="C122" s="329">
        <f t="shared" si="3"/>
        <v>421.63909999999998</v>
      </c>
      <c r="D122" s="352">
        <f>COUNTIF(AT122:BH122,"*OK*")</f>
        <v>0</v>
      </c>
      <c r="E122" s="351" t="s">
        <v>439</v>
      </c>
      <c r="F122" s="431" t="s">
        <v>970</v>
      </c>
      <c r="G122" s="351"/>
      <c r="H122" s="650">
        <f>IF(LEN(TRIM($G122&amp;""))=0, $C122, SUMIF($G$3:$G$561, TRIM($G122), $C$3:$C$561))</f>
        <v>421.63909999999998</v>
      </c>
      <c r="I122" s="413" t="s">
        <v>562</v>
      </c>
      <c r="J122" s="351"/>
      <c r="K122" s="349"/>
      <c r="L122" s="349" t="str">
        <f>HYPERLINK("https://crm.zoho.com/crm/org685875245/tab/Accounts/3525045000319006023","https://crm.zoho.com/crm/org685875245/tab/Accounts/3525045000319006023")</f>
        <v>https://crm.zoho.com/crm/org685875245/tab/Accounts/3525045000319006023</v>
      </c>
      <c r="M122" s="553" t="s">
        <v>96</v>
      </c>
      <c r="N122" s="332" t="s">
        <v>971</v>
      </c>
      <c r="O122" s="541" t="s">
        <v>972</v>
      </c>
      <c r="P122" s="541" t="s">
        <v>973</v>
      </c>
      <c r="Q122" s="541" t="s">
        <v>974</v>
      </c>
      <c r="R122" s="332"/>
      <c r="S122" s="332"/>
      <c r="T122" s="351"/>
      <c r="U122" s="354" t="s">
        <v>198</v>
      </c>
      <c r="V122" s="355">
        <v>320.44</v>
      </c>
      <c r="W122" s="355">
        <v>320.14</v>
      </c>
      <c r="X122" s="355">
        <v>321.32</v>
      </c>
      <c r="Y122" s="356">
        <v>361.81</v>
      </c>
      <c r="Z122" s="337">
        <v>448.16719999999998</v>
      </c>
      <c r="AA122" s="347">
        <v>443.25</v>
      </c>
      <c r="AB122" s="347">
        <v>402.97030000000001</v>
      </c>
      <c r="AC122" s="638">
        <v>413.82709999999997</v>
      </c>
      <c r="AD122" s="347">
        <v>421.63909999999998</v>
      </c>
      <c r="AE122" s="357">
        <v>112</v>
      </c>
      <c r="AF122" s="358">
        <v>100</v>
      </c>
      <c r="AG122" s="354"/>
      <c r="AH122" s="359"/>
      <c r="AI122" s="427" t="s">
        <v>83</v>
      </c>
      <c r="AJ122" s="361" t="s">
        <v>130</v>
      </c>
      <c r="AK122" s="362" t="s">
        <v>975</v>
      </c>
      <c r="AL122" s="358" t="s">
        <v>103</v>
      </c>
      <c r="AM122" s="349"/>
      <c r="AN122" s="349"/>
      <c r="AO122" s="349"/>
      <c r="AP122" s="349"/>
      <c r="AQ122" s="349"/>
      <c r="AR122" s="453"/>
      <c r="AS122" s="363" t="s">
        <v>88</v>
      </c>
      <c r="AT122" s="345"/>
      <c r="AU122" s="445" t="s">
        <v>173</v>
      </c>
      <c r="AV122" s="345"/>
      <c r="AW122" s="345"/>
      <c r="AX122" s="345"/>
      <c r="AY122" s="345"/>
      <c r="AZ122" s="345"/>
      <c r="BA122" s="345"/>
      <c r="BB122" s="345"/>
      <c r="BC122" s="345"/>
      <c r="BD122" s="345"/>
      <c r="BE122" s="345"/>
      <c r="BF122" s="345"/>
      <c r="BG122" s="345"/>
      <c r="BH122" s="345"/>
      <c r="BI122" s="345"/>
      <c r="BJ122" s="346">
        <f>COUNTIF(AT122:BI122,"*OP*")</f>
        <v>1</v>
      </c>
      <c r="BK122" s="363" t="s">
        <v>89</v>
      </c>
      <c r="BL122" s="349">
        <f>(COUNTIF(AT122:AV122,"*OK*")*3) + (COUNTIF(AW122:AY122,"*OK*")*2) + COUNTIF(AZ122:BB122,"*OK*")+COUNTIF(BK122:BK122,"SI")*0.5</f>
        <v>0</v>
      </c>
      <c r="BM122" s="349" t="str">
        <f>IF(BL122&lt;0.6,"Demasiado Riesgo",IF(BL122&lt;=5,"Riesgo Medio",IF(BL122&lt;=11,"Riesgo Bajo","Cliente Blindado")))</f>
        <v>Demasiado Riesgo</v>
      </c>
      <c r="BN122" s="349"/>
      <c r="BO122" s="349"/>
      <c r="BP122" s="349">
        <v>0</v>
      </c>
      <c r="BQ122" s="349"/>
      <c r="BR122" s="349"/>
      <c r="BS122" s="349"/>
      <c r="BT122" s="349"/>
      <c r="BU122" s="349"/>
      <c r="BV122" s="349"/>
      <c r="BW122" s="349"/>
      <c r="BX122" s="349"/>
      <c r="BY122" s="349"/>
      <c r="BZ122" s="349"/>
      <c r="CA122" s="349"/>
      <c r="CB122" s="349"/>
      <c r="CC122" s="349"/>
      <c r="CD122" s="349"/>
      <c r="CE122" s="349"/>
      <c r="CF122" s="349"/>
      <c r="CG122" s="349"/>
      <c r="CH122" s="349"/>
      <c r="CI122" s="349"/>
      <c r="CJ122" s="349"/>
      <c r="CK122" s="349"/>
      <c r="CL122" s="349">
        <f>COUNTIF(AT122:BH122,"*OK*")</f>
        <v>0</v>
      </c>
      <c r="CM122" s="349"/>
      <c r="CN122" s="349">
        <f>COUNTIF(AT122:BH122,"*OP*")</f>
        <v>1</v>
      </c>
    </row>
    <row r="123" spans="1:93" ht="15" customHeight="1">
      <c r="A123" s="836">
        <v>32381</v>
      </c>
      <c r="B123" s="560" t="s">
        <v>976</v>
      </c>
      <c r="C123" s="329">
        <f t="shared" si="3"/>
        <v>358.2174</v>
      </c>
      <c r="D123" s="332">
        <f>COUNTIF(AT123:BH123,"*OK*")</f>
        <v>3</v>
      </c>
      <c r="E123" s="331" t="s">
        <v>93</v>
      </c>
      <c r="F123" s="331" t="s">
        <v>977</v>
      </c>
      <c r="G123" s="351" t="s">
        <v>705</v>
      </c>
      <c r="H123" s="650">
        <f>IF(LEN(TRIM($G123&amp;""))=0, $C123, SUMIF($G$3:$G$561, TRIM($G123), $C$3:$C$561))</f>
        <v>986.47569999999996</v>
      </c>
      <c r="I123" s="410" t="s">
        <v>76</v>
      </c>
      <c r="J123" s="331"/>
      <c r="K123" s="328"/>
      <c r="L123" s="328"/>
      <c r="M123" s="341" t="s">
        <v>96</v>
      </c>
      <c r="N123" s="341"/>
      <c r="O123" s="548" t="s">
        <v>448</v>
      </c>
      <c r="P123" s="548" t="s">
        <v>449</v>
      </c>
      <c r="Q123" s="548" t="s">
        <v>450</v>
      </c>
      <c r="R123" s="359" t="s">
        <v>111</v>
      </c>
      <c r="S123" s="341"/>
      <c r="T123" s="331"/>
      <c r="U123" s="344" t="s">
        <v>82</v>
      </c>
      <c r="V123" s="335">
        <v>388.08</v>
      </c>
      <c r="W123" s="335">
        <v>341.43</v>
      </c>
      <c r="X123" s="335">
        <v>322.62</v>
      </c>
      <c r="Y123" s="336">
        <v>367.16</v>
      </c>
      <c r="Z123" s="337">
        <v>392.29329999999999</v>
      </c>
      <c r="AA123" s="338">
        <v>416.52</v>
      </c>
      <c r="AB123" s="338">
        <v>411.40350000000001</v>
      </c>
      <c r="AC123" s="634">
        <v>413.1071</v>
      </c>
      <c r="AD123" s="338">
        <v>358.2174</v>
      </c>
      <c r="AE123" s="339">
        <v>139</v>
      </c>
      <c r="AF123" s="340">
        <v>100</v>
      </c>
      <c r="AG123" s="334"/>
      <c r="AH123" s="341"/>
      <c r="AI123" s="418" t="s">
        <v>83</v>
      </c>
      <c r="AJ123" s="343" t="s">
        <v>396</v>
      </c>
      <c r="AK123" s="344" t="s">
        <v>978</v>
      </c>
      <c r="AL123" s="340" t="s">
        <v>103</v>
      </c>
      <c r="AM123" s="328"/>
      <c r="AN123" s="328" t="s">
        <v>152</v>
      </c>
      <c r="AO123" s="328"/>
      <c r="AP123" s="328"/>
      <c r="AQ123" s="328"/>
      <c r="AR123" s="451"/>
      <c r="AS123" s="344"/>
      <c r="AT123" s="345"/>
      <c r="AU123" s="345"/>
      <c r="AV123" s="421" t="s">
        <v>300</v>
      </c>
      <c r="AW123" s="345"/>
      <c r="AX123" s="345"/>
      <c r="AY123" s="345"/>
      <c r="AZ123" s="421" t="s">
        <v>300</v>
      </c>
      <c r="BA123" s="421" t="s">
        <v>300</v>
      </c>
      <c r="BB123" s="345"/>
      <c r="BC123" s="345"/>
      <c r="BD123" s="345"/>
      <c r="BE123" s="345"/>
      <c r="BF123" s="345"/>
      <c r="BG123" s="345"/>
      <c r="BH123" s="345"/>
      <c r="BI123" s="345"/>
      <c r="BJ123" s="364">
        <f>COUNTIF(AT123:BI123,"*OP*")</f>
        <v>0</v>
      </c>
      <c r="BK123" s="344" t="s">
        <v>103</v>
      </c>
      <c r="BL123" s="328">
        <f>(COUNTIF(AT123:AV123,"*OK*")*3) + (COUNTIF(AW123:AY123,"*OK*")*2) + COUNTIF(AZ123:BB123,"*OK*")+COUNTIF(BK123:BK123,"SI")*0.5</f>
        <v>5</v>
      </c>
      <c r="BM123" s="328" t="str">
        <f>IF(BL123&lt;0.6,"Demasiado Riesgo",IF(BL123&lt;=5,"Riesgo Medio",IF(BL123&lt;=11,"Riesgo Bajo","Cliente Blindado")))</f>
        <v>Riesgo Medio</v>
      </c>
      <c r="BN123" s="328"/>
      <c r="BO123" s="328"/>
      <c r="BP123" s="328">
        <v>0</v>
      </c>
      <c r="BQ123" s="328"/>
      <c r="BR123" s="328"/>
      <c r="BS123" s="328"/>
      <c r="BT123" s="328"/>
      <c r="BU123" s="328"/>
      <c r="BV123" s="328"/>
      <c r="BW123" s="328"/>
      <c r="BX123" s="328"/>
      <c r="BY123" s="328"/>
      <c r="BZ123" s="328"/>
      <c r="CA123" s="328"/>
      <c r="CB123" s="328"/>
      <c r="CC123" s="328"/>
      <c r="CD123" s="328"/>
      <c r="CE123" s="328"/>
      <c r="CF123" s="328"/>
      <c r="CG123" s="328"/>
      <c r="CH123" s="328"/>
      <c r="CI123" s="328"/>
      <c r="CJ123" s="328"/>
      <c r="CK123" s="328"/>
      <c r="CL123" s="328">
        <f>COUNTIF(AT123:BH123,"*OK*")</f>
        <v>3</v>
      </c>
      <c r="CM123" s="328"/>
      <c r="CN123" s="328">
        <f>COUNTIF(AT123:BH123,"*OP*")</f>
        <v>0</v>
      </c>
      <c r="CO123" s="425"/>
    </row>
    <row r="124" spans="1:93" ht="15" customHeight="1">
      <c r="A124" s="836">
        <v>33253</v>
      </c>
      <c r="B124" s="560" t="s">
        <v>979</v>
      </c>
      <c r="C124" s="329">
        <f t="shared" si="3"/>
        <v>362.58280000000002</v>
      </c>
      <c r="D124" s="352">
        <f>COUNTIF(AT124:BH124,"*OK*")</f>
        <v>0</v>
      </c>
      <c r="E124" s="331" t="s">
        <v>73</v>
      </c>
      <c r="F124" s="351" t="s">
        <v>980</v>
      </c>
      <c r="G124" s="351" t="s">
        <v>981</v>
      </c>
      <c r="H124" s="650">
        <f>IF(LEN(TRIM($G124&amp;""))=0, $C124, SUMIF($G$3:$G$561, TRIM($G124), $C$3:$C$561))</f>
        <v>1278.1458</v>
      </c>
      <c r="I124" s="413" t="s">
        <v>76</v>
      </c>
      <c r="J124" s="351"/>
      <c r="K124" s="558"/>
      <c r="L124" s="558" t="str">
        <f>HYPERLINK("https://crm.zoho.com/crm/org685875245/tab/Accounts/3525045000461676230","https://crm.zoho.com/crm/org685875245/tab/Accounts/3525045000461676230")</f>
        <v>https://crm.zoho.com/crm/org685875245/tab/Accounts/3525045000461676230</v>
      </c>
      <c r="M124" s="553" t="s">
        <v>96</v>
      </c>
      <c r="N124" s="558"/>
      <c r="O124" s="559" t="s">
        <v>982</v>
      </c>
      <c r="P124" s="559" t="s">
        <v>983</v>
      </c>
      <c r="Q124" s="559" t="s">
        <v>984</v>
      </c>
      <c r="R124" s="558"/>
      <c r="S124" s="352"/>
      <c r="T124" s="351"/>
      <c r="U124" s="354" t="s">
        <v>82</v>
      </c>
      <c r="V124" s="355">
        <v>360.2</v>
      </c>
      <c r="W124" s="355">
        <v>357.27</v>
      </c>
      <c r="X124" s="355">
        <v>343.78</v>
      </c>
      <c r="Y124" s="356">
        <v>367.68</v>
      </c>
      <c r="Z124" s="337">
        <v>372.6234</v>
      </c>
      <c r="AA124" s="338">
        <v>376.25</v>
      </c>
      <c r="AB124" s="338">
        <v>384.61099999999999</v>
      </c>
      <c r="AC124" s="634">
        <v>391.68169999999998</v>
      </c>
      <c r="AD124" s="338">
        <v>362.58280000000002</v>
      </c>
      <c r="AE124" s="357">
        <v>1583</v>
      </c>
      <c r="AF124" s="358">
        <v>1525</v>
      </c>
      <c r="AG124" s="354"/>
      <c r="AH124" s="359"/>
      <c r="AI124" s="370" t="s">
        <v>379</v>
      </c>
      <c r="AJ124" s="361" t="s">
        <v>852</v>
      </c>
      <c r="AK124" s="362" t="s">
        <v>985</v>
      </c>
      <c r="AL124" s="358" t="s">
        <v>103</v>
      </c>
      <c r="AM124" s="349"/>
      <c r="AN124" s="349"/>
      <c r="AO124" s="349"/>
      <c r="AP124" s="349"/>
      <c r="AQ124" s="349"/>
      <c r="AR124" s="453" t="s">
        <v>986</v>
      </c>
      <c r="AS124" s="362"/>
      <c r="AT124" s="345"/>
      <c r="AU124" s="345"/>
      <c r="AV124" s="345" t="s">
        <v>987</v>
      </c>
      <c r="AW124" s="345"/>
      <c r="AX124" s="345"/>
      <c r="AY124" s="345"/>
      <c r="AZ124" s="345"/>
      <c r="BA124" s="345"/>
      <c r="BB124" s="345"/>
      <c r="BC124" s="345"/>
      <c r="BD124" s="345"/>
      <c r="BE124" s="345"/>
      <c r="BF124" s="345"/>
      <c r="BG124" s="345"/>
      <c r="BH124" s="345"/>
      <c r="BI124" s="345"/>
      <c r="BJ124" s="346">
        <f>COUNTIF(AT124:BI124,"*OP*")</f>
        <v>0</v>
      </c>
      <c r="BK124" s="362" t="s">
        <v>103</v>
      </c>
      <c r="BL124" s="349">
        <f>(COUNTIF(AT124:AV124,"*OK*")*3) + (COUNTIF(AW124:AY124,"*OK*")*2) + COUNTIF(AZ124:BB124,"*OK*")+COUNTIF(BK124:BK124,"SI")*0.5</f>
        <v>0</v>
      </c>
      <c r="BM124" s="349" t="str">
        <f>IF(BL124&lt;0.6,"Demasiado Riesgo",IF(BL124&lt;=5,"Riesgo Medio",IF(BL124&lt;=11,"Riesgo Bajo","Cliente Blindado")))</f>
        <v>Demasiado Riesgo</v>
      </c>
      <c r="BN124" s="349"/>
      <c r="BO124" s="349"/>
      <c r="BP124" s="349">
        <v>0</v>
      </c>
      <c r="BQ124" s="349"/>
      <c r="BR124" s="349"/>
      <c r="BS124" s="349"/>
      <c r="BT124" s="349"/>
      <c r="BU124" s="349"/>
      <c r="BV124" s="349"/>
      <c r="BW124" s="349"/>
      <c r="BX124" s="349"/>
      <c r="BY124" s="349"/>
      <c r="BZ124" s="349"/>
      <c r="CA124" s="349"/>
      <c r="CB124" s="349"/>
      <c r="CC124" s="349"/>
      <c r="CD124" s="349"/>
      <c r="CE124" s="349"/>
      <c r="CF124" s="349"/>
      <c r="CG124" s="349"/>
      <c r="CH124" s="349"/>
      <c r="CI124" s="349"/>
      <c r="CJ124" s="349"/>
      <c r="CK124" s="349"/>
      <c r="CL124" s="349">
        <f>COUNTIF(AT124:BH124,"*OK*")</f>
        <v>0</v>
      </c>
      <c r="CM124" s="349"/>
      <c r="CN124" s="349">
        <f>COUNTIF(AT124:BH124,"*OP*")</f>
        <v>0</v>
      </c>
    </row>
    <row r="125" spans="1:93" ht="15" customHeight="1">
      <c r="A125" s="837">
        <v>22380</v>
      </c>
      <c r="B125" s="560" t="s">
        <v>988</v>
      </c>
      <c r="C125" s="329">
        <f t="shared" si="3"/>
        <v>371.58940000000001</v>
      </c>
      <c r="D125" s="352">
        <f>COUNTIF(AT125:BH125,"*OK*")</f>
        <v>0</v>
      </c>
      <c r="E125" s="331" t="s">
        <v>73</v>
      </c>
      <c r="F125" s="351" t="s">
        <v>989</v>
      </c>
      <c r="G125" s="351"/>
      <c r="H125" s="650">
        <f>IF(LEN(TRIM($G125&amp;""))=0, $C125, SUMIF($G$3:$G$561, TRIM($G125), $C$3:$C$561))</f>
        <v>371.58940000000001</v>
      </c>
      <c r="I125" s="353" t="s">
        <v>562</v>
      </c>
      <c r="J125" s="351"/>
      <c r="K125" s="558"/>
      <c r="L125" s="558" t="str">
        <f>HYPERLINK("https://crm.zoho.com/crm/org685875245/tab/Accounts/3525045000242976354","https://crm.zoho.com/crm/org685875245/tab/Accounts/3525045000242976354")</f>
        <v>https://crm.zoho.com/crm/org685875245/tab/Accounts/3525045000242976354</v>
      </c>
      <c r="M125" s="553" t="s">
        <v>96</v>
      </c>
      <c r="N125" s="558"/>
      <c r="O125" s="559" t="s">
        <v>990</v>
      </c>
      <c r="P125" s="559" t="s">
        <v>991</v>
      </c>
      <c r="Q125" s="559" t="s">
        <v>992</v>
      </c>
      <c r="R125" s="558" t="s">
        <v>160</v>
      </c>
      <c r="S125" s="352"/>
      <c r="T125" s="351"/>
      <c r="U125" s="354" t="s">
        <v>895</v>
      </c>
      <c r="V125" s="355">
        <v>314.89</v>
      </c>
      <c r="W125" s="355">
        <v>329.07</v>
      </c>
      <c r="X125" s="355">
        <v>387.84</v>
      </c>
      <c r="Y125" s="356">
        <v>302.35000000000002</v>
      </c>
      <c r="Z125" s="337">
        <v>368.07100000000003</v>
      </c>
      <c r="AA125" s="365">
        <v>355.76</v>
      </c>
      <c r="AB125" s="365">
        <v>375.4495</v>
      </c>
      <c r="AC125" s="635">
        <v>386.6001</v>
      </c>
      <c r="AD125" s="365">
        <v>371.58940000000001</v>
      </c>
      <c r="AE125" s="357">
        <v>90</v>
      </c>
      <c r="AF125" s="358">
        <v>200</v>
      </c>
      <c r="AG125" s="354"/>
      <c r="AH125" s="359" t="s">
        <v>83</v>
      </c>
      <c r="AI125" s="370" t="s">
        <v>83</v>
      </c>
      <c r="AJ125" s="361" t="s">
        <v>150</v>
      </c>
      <c r="AK125" s="362" t="s">
        <v>993</v>
      </c>
      <c r="AL125" s="358" t="s">
        <v>150</v>
      </c>
      <c r="AM125" s="349"/>
      <c r="AN125" s="349"/>
      <c r="AO125" s="349"/>
      <c r="AP125" s="349"/>
      <c r="AQ125" s="349"/>
      <c r="AR125" s="453"/>
      <c r="AS125" s="363" t="s">
        <v>103</v>
      </c>
      <c r="AT125" s="345"/>
      <c r="AU125" s="345"/>
      <c r="AV125" s="345"/>
      <c r="AW125" s="345"/>
      <c r="AX125" s="345"/>
      <c r="AY125" s="345"/>
      <c r="AZ125" s="345"/>
      <c r="BA125" s="345"/>
      <c r="BB125" s="345"/>
      <c r="BC125" s="345"/>
      <c r="BD125" s="345"/>
      <c r="BE125" s="345"/>
      <c r="BF125" s="345"/>
      <c r="BG125" s="345"/>
      <c r="BH125" s="345"/>
      <c r="BI125" s="345"/>
      <c r="BJ125" s="346">
        <f>COUNTIF(AT125:BI125,"*OP*")</f>
        <v>0</v>
      </c>
      <c r="BK125" s="362" t="s">
        <v>103</v>
      </c>
      <c r="BL125" s="349">
        <f>(COUNTIF(AT125:AV125,"*OK*")*3) + (COUNTIF(AW125:AY125,"*OK*")*2) + COUNTIF(AZ125:BB125,"*OK*")+COUNTIF(BK125:BK125,"SI")*0.5</f>
        <v>0</v>
      </c>
      <c r="BM125" s="349" t="str">
        <f>IF(BL125&lt;0.6,"Demasiado Riesgo",IF(BL125&lt;=5,"Riesgo Medio",IF(BL125&lt;=11,"Riesgo Bajo","Cliente Blindado")))</f>
        <v>Demasiado Riesgo</v>
      </c>
      <c r="BN125" s="349"/>
      <c r="BO125" s="349"/>
      <c r="BP125" s="349">
        <v>0</v>
      </c>
      <c r="BQ125" s="349"/>
      <c r="BR125" s="349"/>
      <c r="BS125" s="349"/>
      <c r="BT125" s="349"/>
      <c r="BU125" s="349"/>
      <c r="BV125" s="349"/>
      <c r="BW125" s="349"/>
      <c r="BX125" s="349"/>
      <c r="BY125" s="349"/>
      <c r="BZ125" s="349"/>
      <c r="CA125" s="349"/>
      <c r="CB125" s="349"/>
      <c r="CC125" s="349"/>
      <c r="CD125" s="349"/>
      <c r="CE125" s="349"/>
      <c r="CF125" s="349"/>
      <c r="CG125" s="349"/>
      <c r="CH125" s="349"/>
      <c r="CI125" s="349"/>
      <c r="CJ125" s="349"/>
      <c r="CK125" s="349"/>
      <c r="CL125" s="349">
        <f>COUNTIF(AT125:BH125,"*OK*")</f>
        <v>0</v>
      </c>
      <c r="CM125" s="349"/>
      <c r="CN125" s="349">
        <f>COUNTIF(AT125:BH125,"*OP*")</f>
        <v>0</v>
      </c>
    </row>
    <row r="126" spans="1:93" ht="15" customHeight="1">
      <c r="A126" s="835">
        <v>20454</v>
      </c>
      <c r="B126" s="560" t="s">
        <v>994</v>
      </c>
      <c r="C126" s="329">
        <f t="shared" si="3"/>
        <v>349.41719999999998</v>
      </c>
      <c r="D126" s="352">
        <f>COUNTIF(AT126:BH126,"*OK*")</f>
        <v>0</v>
      </c>
      <c r="E126" s="351" t="s">
        <v>439</v>
      </c>
      <c r="F126" s="431" t="s">
        <v>995</v>
      </c>
      <c r="G126" s="351"/>
      <c r="H126" s="650">
        <f>IF(LEN(TRIM($G126&amp;""))=0, $C126, SUMIF($G$3:$G$561, TRIM($G126), $C$3:$C$561))</f>
        <v>349.41719999999998</v>
      </c>
      <c r="I126" s="413" t="s">
        <v>562</v>
      </c>
      <c r="J126" s="351"/>
      <c r="K126" s="349"/>
      <c r="L126" s="349"/>
      <c r="M126" s="553" t="s">
        <v>167</v>
      </c>
      <c r="N126" s="332" t="s">
        <v>996</v>
      </c>
      <c r="O126" s="541"/>
      <c r="P126" s="541"/>
      <c r="Q126" s="541"/>
      <c r="R126" s="332" t="s">
        <v>314</v>
      </c>
      <c r="S126" s="332"/>
      <c r="T126" s="351"/>
      <c r="U126" s="354" t="s">
        <v>82</v>
      </c>
      <c r="V126" s="355">
        <v>428.46</v>
      </c>
      <c r="W126" s="355">
        <v>433.98</v>
      </c>
      <c r="X126" s="355">
        <v>439.9</v>
      </c>
      <c r="Y126" s="356">
        <v>444.36</v>
      </c>
      <c r="Z126" s="337">
        <v>440.50209999999998</v>
      </c>
      <c r="AA126" s="347">
        <v>412.33</v>
      </c>
      <c r="AB126" s="347">
        <v>407.96530000000001</v>
      </c>
      <c r="AC126" s="638">
        <v>383.50650000000002</v>
      </c>
      <c r="AD126" s="347">
        <v>349.41719999999998</v>
      </c>
      <c r="AE126" s="357">
        <v>216</v>
      </c>
      <c r="AF126" s="358">
        <v>150</v>
      </c>
      <c r="AG126" s="354"/>
      <c r="AH126" s="359"/>
      <c r="AI126" s="427" t="s">
        <v>83</v>
      </c>
      <c r="AJ126" s="361" t="s">
        <v>130</v>
      </c>
      <c r="AK126" s="362" t="s">
        <v>997</v>
      </c>
      <c r="AL126" s="358" t="s">
        <v>103</v>
      </c>
      <c r="AM126" s="349"/>
      <c r="AN126" s="349"/>
      <c r="AO126" s="349"/>
      <c r="AP126" s="349"/>
      <c r="AQ126" s="349"/>
      <c r="AR126" s="453" t="s">
        <v>998</v>
      </c>
      <c r="AS126" s="371" t="s">
        <v>103</v>
      </c>
      <c r="AT126" s="345"/>
      <c r="AU126" s="345"/>
      <c r="AV126" s="345"/>
      <c r="AW126" s="345"/>
      <c r="AX126" s="345"/>
      <c r="AY126" s="345"/>
      <c r="AZ126" s="345"/>
      <c r="BA126" s="345"/>
      <c r="BB126" s="345"/>
      <c r="BC126" s="345"/>
      <c r="BD126" s="345"/>
      <c r="BE126" s="345"/>
      <c r="BF126" s="345"/>
      <c r="BG126" s="345"/>
      <c r="BH126" s="345"/>
      <c r="BI126" s="345"/>
      <c r="BJ126" s="346">
        <f>COUNTIF(AT126:BI126,"*OP*")</f>
        <v>0</v>
      </c>
      <c r="BK126" s="362" t="s">
        <v>103</v>
      </c>
      <c r="BL126" s="349">
        <f>(COUNTIF(AT126:AV126,"*OK*")*3) + (COUNTIF(AW126:AY126,"*OK*")*2) + COUNTIF(AZ126:BB126,"*OK*")+COUNTIF(BK126:BK126,"SI")*0.5</f>
        <v>0</v>
      </c>
      <c r="BM126" s="349" t="str">
        <f>IF(BL126&lt;0.6,"Demasiado Riesgo",IF(BL126&lt;=5,"Riesgo Medio",IF(BL126&lt;=11,"Riesgo Bajo","Cliente Blindado")))</f>
        <v>Demasiado Riesgo</v>
      </c>
      <c r="BN126" s="349"/>
      <c r="BO126" s="328"/>
      <c r="BP126" s="328">
        <v>0</v>
      </c>
      <c r="BQ126" s="328"/>
      <c r="BR126" s="328"/>
      <c r="BS126" s="328"/>
      <c r="BT126" s="328"/>
      <c r="BU126" s="328"/>
      <c r="BV126" s="328"/>
      <c r="BW126" s="328"/>
      <c r="BX126" s="328"/>
      <c r="BY126" s="328"/>
      <c r="BZ126" s="328"/>
      <c r="CA126" s="328"/>
      <c r="CB126" s="328"/>
      <c r="CC126" s="328"/>
      <c r="CD126" s="328"/>
      <c r="CE126" s="328"/>
      <c r="CF126" s="328"/>
      <c r="CG126" s="328"/>
      <c r="CH126" s="328"/>
      <c r="CI126" s="328"/>
      <c r="CJ126" s="328"/>
      <c r="CK126" s="328"/>
      <c r="CL126" s="328">
        <f>COUNTIF(AT126:BH126,"*OK*")</f>
        <v>0</v>
      </c>
      <c r="CM126" s="328"/>
      <c r="CN126" s="328">
        <f>COUNTIF(AT126:BH126,"*OP*")</f>
        <v>0</v>
      </c>
    </row>
    <row r="127" spans="1:93" ht="15" customHeight="1">
      <c r="A127" s="836">
        <v>22251</v>
      </c>
      <c r="B127" s="560" t="s">
        <v>999</v>
      </c>
      <c r="C127" s="329">
        <f t="shared" si="3"/>
        <v>282.6909</v>
      </c>
      <c r="D127" s="332">
        <f>COUNTIF(AT127:BH127,"*OK*")</f>
        <v>0</v>
      </c>
      <c r="E127" s="331" t="s">
        <v>73</v>
      </c>
      <c r="F127" s="331" t="s">
        <v>1000</v>
      </c>
      <c r="G127" s="331"/>
      <c r="H127" s="650">
        <f>IF(LEN(TRIM($G127&amp;""))=0, $C127, SUMIF($G$3:$G$561, TRIM($G127), $C$3:$C$561))</f>
        <v>282.6909</v>
      </c>
      <c r="I127" s="333" t="s">
        <v>562</v>
      </c>
      <c r="J127" s="331"/>
      <c r="K127" s="560"/>
      <c r="L127" s="560" t="str">
        <f>HYPERLINK("https://crm.zoho.com/crm/org685875245/tab/Accounts/3525045000220781157","https://crm.zoho.com/crm/org685875245/tab/Accounts/3525045000220781157")</f>
        <v>https://crm.zoho.com/crm/org685875245/tab/Accounts/3525045000220781157</v>
      </c>
      <c r="M127" s="391" t="s">
        <v>167</v>
      </c>
      <c r="N127" s="560"/>
      <c r="O127" s="561" t="s">
        <v>1001</v>
      </c>
      <c r="P127" s="561" t="s">
        <v>1002</v>
      </c>
      <c r="Q127" s="561" t="s">
        <v>1003</v>
      </c>
      <c r="R127" s="560"/>
      <c r="S127" s="332"/>
      <c r="T127" s="331"/>
      <c r="U127" s="334" t="s">
        <v>82</v>
      </c>
      <c r="V127" s="335">
        <v>432.51</v>
      </c>
      <c r="W127" s="335">
        <v>311.88</v>
      </c>
      <c r="X127" s="335">
        <v>311.54000000000002</v>
      </c>
      <c r="Y127" s="336">
        <v>717.05</v>
      </c>
      <c r="Z127" s="337">
        <v>363.35</v>
      </c>
      <c r="AA127" s="338">
        <v>370.48</v>
      </c>
      <c r="AB127" s="338">
        <v>373.60559999999998</v>
      </c>
      <c r="AC127" s="634">
        <v>376.66930000000002</v>
      </c>
      <c r="AD127" s="338">
        <v>282.6909</v>
      </c>
      <c r="AE127" s="339">
        <v>72</v>
      </c>
      <c r="AF127" s="340">
        <v>150</v>
      </c>
      <c r="AG127" s="334"/>
      <c r="AH127" s="341" t="s">
        <v>83</v>
      </c>
      <c r="AI127" s="418" t="s">
        <v>83</v>
      </c>
      <c r="AJ127" s="343" t="s">
        <v>852</v>
      </c>
      <c r="AK127" s="344" t="s">
        <v>1004</v>
      </c>
      <c r="AL127" s="340" t="s">
        <v>662</v>
      </c>
      <c r="AM127" s="328"/>
      <c r="AN127" s="328"/>
      <c r="AO127" s="328"/>
      <c r="AP127" s="328"/>
      <c r="AQ127" s="328"/>
      <c r="AR127" s="451"/>
      <c r="AS127" s="372" t="s">
        <v>103</v>
      </c>
      <c r="AT127" s="345"/>
      <c r="AU127" s="345"/>
      <c r="AV127" s="345"/>
      <c r="AW127" s="345"/>
      <c r="AX127" s="345"/>
      <c r="AY127" s="345"/>
      <c r="AZ127" s="345"/>
      <c r="BA127" s="345"/>
      <c r="BB127" s="345"/>
      <c r="BC127" s="345"/>
      <c r="BD127" s="345"/>
      <c r="BE127" s="345"/>
      <c r="BF127" s="345"/>
      <c r="BG127" s="345"/>
      <c r="BH127" s="345"/>
      <c r="BI127" s="345"/>
      <c r="BJ127" s="346">
        <f>COUNTIF(AT127:BI127,"*OP*")</f>
        <v>0</v>
      </c>
      <c r="BK127" s="375" t="s">
        <v>103</v>
      </c>
      <c r="BL127" s="328">
        <f>(COUNTIF(AT127:AV127,"*OK*")*3) + (COUNTIF(AW127:AY127,"*OK*")*2) + COUNTIF(AZ127:BB127,"*OK*")+COUNTIF(BK127:BK127,"SI")*0.5</f>
        <v>0</v>
      </c>
      <c r="BM127" s="328" t="str">
        <f>IF(BL127&lt;0.6,"Demasiado Riesgo",IF(BL127&lt;=5,"Riesgo Medio",IF(BL127&lt;=11,"Riesgo Bajo","Cliente Blindado")))</f>
        <v>Demasiado Riesgo</v>
      </c>
      <c r="BN127" s="328"/>
      <c r="BO127" s="328"/>
      <c r="BP127" s="328">
        <v>0</v>
      </c>
      <c r="BQ127" s="328"/>
      <c r="BR127" s="328"/>
      <c r="BS127" s="328"/>
      <c r="BT127" s="328"/>
      <c r="BU127" s="328"/>
      <c r="BV127" s="328"/>
      <c r="BW127" s="328"/>
      <c r="BX127" s="328"/>
      <c r="BY127" s="328"/>
      <c r="BZ127" s="328"/>
      <c r="CA127" s="328"/>
      <c r="CB127" s="328"/>
      <c r="CC127" s="328"/>
      <c r="CD127" s="328"/>
      <c r="CE127" s="328"/>
      <c r="CF127" s="328"/>
      <c r="CG127" s="328"/>
      <c r="CH127" s="328"/>
      <c r="CI127" s="328"/>
      <c r="CJ127" s="328"/>
      <c r="CK127" s="328"/>
      <c r="CL127" s="328">
        <f>COUNTIF(AT127:BH127,"*OK*")</f>
        <v>0</v>
      </c>
      <c r="CM127" s="328"/>
      <c r="CN127" s="328">
        <f>COUNTIF(AT127:BH127,"*OP*")</f>
        <v>0</v>
      </c>
    </row>
    <row r="128" spans="1:93" ht="15" customHeight="1">
      <c r="A128" s="835">
        <v>30258</v>
      </c>
      <c r="B128" s="560" t="s">
        <v>1005</v>
      </c>
      <c r="C128" s="329">
        <f t="shared" si="3"/>
        <v>357.61590000000001</v>
      </c>
      <c r="D128" s="352">
        <f>COUNTIF(AX128:BI128,"OK")</f>
        <v>0</v>
      </c>
      <c r="E128" s="500" t="s">
        <v>439</v>
      </c>
      <c r="F128" s="537" t="s">
        <v>1006</v>
      </c>
      <c r="G128" s="536"/>
      <c r="H128" s="650">
        <f>IF(LEN(TRIM($G128&amp;""))=0, $C128, SUMIF($G$3:$G$561, TRIM($G128), $C$3:$C$561))</f>
        <v>357.61590000000001</v>
      </c>
      <c r="I128" s="500" t="s">
        <v>562</v>
      </c>
      <c r="J128" s="500" t="s">
        <v>103</v>
      </c>
      <c r="K128" s="349"/>
      <c r="L128" s="349"/>
      <c r="M128" s="553"/>
      <c r="N128" s="500" t="s">
        <v>103</v>
      </c>
      <c r="O128" s="542"/>
      <c r="P128" s="542"/>
      <c r="Q128" s="542"/>
      <c r="R128" s="500"/>
      <c r="S128" s="500" t="s">
        <v>103</v>
      </c>
      <c r="T128" s="500" t="s">
        <v>88</v>
      </c>
      <c r="U128" s="467" t="s">
        <v>103</v>
      </c>
      <c r="V128" s="500" t="s">
        <v>103</v>
      </c>
      <c r="W128" s="500" t="s">
        <v>103</v>
      </c>
      <c r="X128" s="500" t="s">
        <v>103</v>
      </c>
      <c r="Y128" s="511" t="s">
        <v>103</v>
      </c>
      <c r="Z128" s="517" t="s">
        <v>103</v>
      </c>
      <c r="AA128" s="518">
        <v>355.44</v>
      </c>
      <c r="AB128" s="518">
        <v>367.40109999999999</v>
      </c>
      <c r="AC128" s="639">
        <v>374.15550000000002</v>
      </c>
      <c r="AD128" s="518">
        <v>357.61590000000001</v>
      </c>
      <c r="AE128" s="348">
        <v>121</v>
      </c>
      <c r="AF128" s="371" t="s">
        <v>103</v>
      </c>
      <c r="AG128" s="362"/>
      <c r="AH128" s="349"/>
      <c r="AI128" s="370"/>
      <c r="AJ128" s="361"/>
      <c r="AK128" s="362"/>
      <c r="AL128" s="371" t="s">
        <v>103</v>
      </c>
      <c r="AM128" s="349"/>
      <c r="AN128" s="349"/>
      <c r="AO128" s="349"/>
      <c r="AP128" s="349"/>
      <c r="AQ128" s="349"/>
      <c r="AR128" s="453"/>
      <c r="AS128" s="449"/>
      <c r="AT128" s="345"/>
      <c r="AU128" s="345"/>
      <c r="AV128" s="345" t="s">
        <v>1007</v>
      </c>
      <c r="AW128" s="345"/>
      <c r="AX128" s="345"/>
      <c r="AY128" s="345"/>
      <c r="AZ128" s="345"/>
      <c r="BA128" s="345"/>
      <c r="BB128" s="345"/>
      <c r="BC128" s="345"/>
      <c r="BD128" s="345"/>
      <c r="BE128" s="345"/>
      <c r="BF128" s="345"/>
      <c r="BG128" s="345"/>
      <c r="BH128" s="345"/>
      <c r="BI128" s="345" t="s">
        <v>179</v>
      </c>
      <c r="BJ128" s="364">
        <f>COUNTIF(AT128:BI128,"*OP*")</f>
        <v>2</v>
      </c>
      <c r="BK128" s="450"/>
      <c r="BL128" s="349">
        <f>(COUNTIF(AT128:AV128,"*OK*")*3) + (COUNTIF(AW128:AY128,"*OK*")*2) + COUNTIF(AZ128:BB128,"*OK*")+COUNTIF(BK128:BK128,"SI")*0.5</f>
        <v>0</v>
      </c>
      <c r="BM128" s="349" t="str">
        <f>IF(BL128&lt;0.6,"Demasiado Riesgo",IF(BL128&lt;=5,"Riesgo Medio",IF(BL128&lt;=11,"Riesgo Bajo","Cliente Blindado")))</f>
        <v>Demasiado Riesgo</v>
      </c>
      <c r="BN128" s="349"/>
      <c r="BO128" s="328"/>
      <c r="BP128" s="328">
        <v>0</v>
      </c>
      <c r="BQ128" s="328"/>
      <c r="BR128" s="328"/>
      <c r="BS128" s="328"/>
      <c r="BT128" s="328"/>
      <c r="BU128" s="328"/>
      <c r="BV128" s="328"/>
      <c r="BW128" s="328"/>
      <c r="BX128" s="328"/>
      <c r="BY128" s="328"/>
      <c r="BZ128" s="328"/>
      <c r="CA128" s="328"/>
      <c r="CB128" s="328"/>
      <c r="CC128" s="328"/>
      <c r="CD128" s="328"/>
      <c r="CE128" s="328"/>
      <c r="CF128" s="328"/>
      <c r="CG128" s="328"/>
      <c r="CH128" s="328"/>
      <c r="CI128" s="328"/>
      <c r="CJ128" s="328"/>
      <c r="CK128" s="328"/>
      <c r="CL128" s="328">
        <f>COUNTIF(AT128:BH128,"*OK*")</f>
        <v>0</v>
      </c>
      <c r="CM128" s="328"/>
      <c r="CN128" s="328">
        <f>COUNTIF(AT128:BH128,"*OP*")</f>
        <v>1</v>
      </c>
    </row>
    <row r="129" spans="1:94" ht="15" customHeight="1">
      <c r="A129" s="834">
        <v>17740</v>
      </c>
      <c r="B129" s="560" t="s">
        <v>1008</v>
      </c>
      <c r="C129" s="329">
        <f t="shared" si="3"/>
        <v>356.02100000000002</v>
      </c>
      <c r="D129" s="332">
        <f>COUNTIF(AT129:BH129,"*OK*")</f>
        <v>0</v>
      </c>
      <c r="E129" s="331" t="s">
        <v>439</v>
      </c>
      <c r="F129" s="331" t="s">
        <v>1009</v>
      </c>
      <c r="G129" s="331"/>
      <c r="H129" s="650">
        <f>IF(LEN(TRIM($G129&amp;""))=0, $C129, SUMIF($G$3:$G$561, TRIM($G129), $C$3:$C$561))</f>
        <v>356.02100000000002</v>
      </c>
      <c r="I129" s="410" t="s">
        <v>562</v>
      </c>
      <c r="J129" s="331"/>
      <c r="K129" s="328"/>
      <c r="L129" s="328" t="str">
        <f>HYPERLINK("https://crm.zoho.com/crm/org685875245/tab/Accounts/3525045000048363024","https://crm.zoho.com/crm/org685875245/tab/Accounts/3525045000048363024")</f>
        <v>https://crm.zoho.com/crm/org685875245/tab/Accounts/3525045000048363024</v>
      </c>
      <c r="M129" s="391" t="s">
        <v>167</v>
      </c>
      <c r="N129" s="332"/>
      <c r="O129" s="541" t="s">
        <v>1010</v>
      </c>
      <c r="P129" s="541" t="s">
        <v>1011</v>
      </c>
      <c r="Q129" s="541" t="s">
        <v>1012</v>
      </c>
      <c r="R129" s="332"/>
      <c r="S129" s="332"/>
      <c r="T129" s="331"/>
      <c r="U129" s="334" t="s">
        <v>82</v>
      </c>
      <c r="V129" s="335">
        <v>350.05</v>
      </c>
      <c r="W129" s="335">
        <v>355.76</v>
      </c>
      <c r="X129" s="335">
        <v>333.29</v>
      </c>
      <c r="Y129" s="336">
        <v>338.08</v>
      </c>
      <c r="Z129" s="337">
        <v>348.64269999999999</v>
      </c>
      <c r="AA129" s="367">
        <v>350.77</v>
      </c>
      <c r="AB129" s="367">
        <v>353.72399999999999</v>
      </c>
      <c r="AC129" s="636">
        <v>372.43790000000001</v>
      </c>
      <c r="AD129" s="367">
        <v>356.02100000000002</v>
      </c>
      <c r="AE129" s="339">
        <v>61</v>
      </c>
      <c r="AF129" s="340">
        <v>300</v>
      </c>
      <c r="AG129" s="334"/>
      <c r="AH129" s="341"/>
      <c r="AI129" s="342" t="s">
        <v>258</v>
      </c>
      <c r="AJ129" s="343" t="s">
        <v>120</v>
      </c>
      <c r="AK129" s="344" t="s">
        <v>1013</v>
      </c>
      <c r="AL129" s="340" t="s">
        <v>103</v>
      </c>
      <c r="AM129" s="328"/>
      <c r="AN129" s="328"/>
      <c r="AO129" s="328"/>
      <c r="AP129" s="328"/>
      <c r="AQ129" s="328"/>
      <c r="AR129" s="451"/>
      <c r="AS129" s="344" t="s">
        <v>103</v>
      </c>
      <c r="AT129" s="345"/>
      <c r="AU129" s="345"/>
      <c r="AV129" s="345"/>
      <c r="AW129" s="345"/>
      <c r="AX129" s="345"/>
      <c r="AY129" s="345"/>
      <c r="AZ129" s="345"/>
      <c r="BA129" s="345"/>
      <c r="BB129" s="345"/>
      <c r="BC129" s="345"/>
      <c r="BD129" s="345"/>
      <c r="BE129" s="345"/>
      <c r="BF129" s="345"/>
      <c r="BG129" s="345"/>
      <c r="BH129" s="345"/>
      <c r="BI129" s="345"/>
      <c r="BJ129" s="364">
        <f>COUNTIF(AT129:BI129,"*OP*")</f>
        <v>0</v>
      </c>
      <c r="BK129" s="344" t="s">
        <v>89</v>
      </c>
      <c r="BL129" s="328">
        <f>(COUNTIF(AT129:AV129,"*OK*")*3) + (COUNTIF(AW129:AY129,"*OK*")*2) + COUNTIF(AZ129:BB129,"*OK*")+COUNTIF(BK129:BK129,"SI")*0.5</f>
        <v>0</v>
      </c>
      <c r="BM129" s="328" t="str">
        <f>IF(BL129&lt;0.6,"Demasiado Riesgo",IF(BL129&lt;=5,"Riesgo Medio",IF(BL129&lt;=11,"Riesgo Bajo","Cliente Blindado")))</f>
        <v>Demasiado Riesgo</v>
      </c>
      <c r="BN129" s="328"/>
      <c r="BO129" s="349"/>
      <c r="BP129" s="349">
        <v>0</v>
      </c>
      <c r="BQ129" s="349"/>
      <c r="BR129" s="349"/>
      <c r="BS129" s="349"/>
      <c r="BT129" s="349"/>
      <c r="BU129" s="349"/>
      <c r="BV129" s="349"/>
      <c r="BW129" s="349"/>
      <c r="BX129" s="349"/>
      <c r="BY129" s="349"/>
      <c r="BZ129" s="349"/>
      <c r="CA129" s="349"/>
      <c r="CB129" s="349"/>
      <c r="CC129" s="349"/>
      <c r="CD129" s="349"/>
      <c r="CE129" s="349"/>
      <c r="CF129" s="349"/>
      <c r="CG129" s="349"/>
      <c r="CH129" s="349"/>
      <c r="CI129" s="349"/>
      <c r="CJ129" s="349"/>
      <c r="CK129" s="349"/>
      <c r="CL129" s="349">
        <f>COUNTIF(AT129:BH129,"*OK*")</f>
        <v>0</v>
      </c>
      <c r="CM129" s="349"/>
      <c r="CN129" s="349">
        <f>COUNTIF(AT129:BH129,"*OP*")</f>
        <v>0</v>
      </c>
    </row>
    <row r="130" spans="1:94" ht="15" customHeight="1">
      <c r="A130" s="837">
        <v>25179</v>
      </c>
      <c r="B130" s="560" t="s">
        <v>1014</v>
      </c>
      <c r="C130" s="329">
        <f t="shared" si="3"/>
        <v>350.62580000000003</v>
      </c>
      <c r="D130" s="352">
        <f>COUNTIF(AT130:BH130,"*OK*")</f>
        <v>0</v>
      </c>
      <c r="E130" s="331" t="s">
        <v>73</v>
      </c>
      <c r="F130" s="429" t="s">
        <v>1015</v>
      </c>
      <c r="G130" s="351"/>
      <c r="H130" s="650">
        <f>IF(LEN(TRIM($G130&amp;""))=0, $C130, SUMIF($G$3:$G$561, TRIM($G130), $C$3:$C$561))</f>
        <v>350.62580000000003</v>
      </c>
      <c r="I130" s="413" t="s">
        <v>76</v>
      </c>
      <c r="J130" s="351"/>
      <c r="K130" s="558"/>
      <c r="L130" s="558" t="str">
        <f>HYPERLINK("https://crm.zoho.com/crm/org685875245/tab/Accounts/3525045000327881148","https://crm.zoho.com/crm/org685875245/tab/Accounts/3525045000327881148")</f>
        <v>https://crm.zoho.com/crm/org685875245/tab/Accounts/3525045000327881148</v>
      </c>
      <c r="M130" s="553" t="s">
        <v>96</v>
      </c>
      <c r="N130" s="558" t="s">
        <v>1016</v>
      </c>
      <c r="O130" s="559" t="s">
        <v>1017</v>
      </c>
      <c r="P130" s="559" t="s">
        <v>1018</v>
      </c>
      <c r="Q130" s="559" t="s">
        <v>1019</v>
      </c>
      <c r="R130" s="558"/>
      <c r="S130" s="430" t="s">
        <v>471</v>
      </c>
      <c r="T130" s="351"/>
      <c r="U130" s="354" t="s">
        <v>617</v>
      </c>
      <c r="V130" s="355">
        <v>714.48</v>
      </c>
      <c r="W130" s="355">
        <v>811.5</v>
      </c>
      <c r="X130" s="355">
        <v>806.77</v>
      </c>
      <c r="Y130" s="356">
        <v>659.04</v>
      </c>
      <c r="Z130" s="337">
        <v>505.61529999999999</v>
      </c>
      <c r="AA130" s="367">
        <v>514.89</v>
      </c>
      <c r="AB130" s="367">
        <v>378.52859999999998</v>
      </c>
      <c r="AC130" s="636">
        <v>369.00290000000001</v>
      </c>
      <c r="AD130" s="367">
        <v>350.62580000000003</v>
      </c>
      <c r="AE130" s="357">
        <v>645</v>
      </c>
      <c r="AF130" s="358">
        <v>200</v>
      </c>
      <c r="AG130" s="354"/>
      <c r="AH130" s="359" t="s">
        <v>221</v>
      </c>
      <c r="AI130" s="361" t="s">
        <v>100</v>
      </c>
      <c r="AJ130" s="361" t="s">
        <v>222</v>
      </c>
      <c r="AK130" s="362" t="s">
        <v>1020</v>
      </c>
      <c r="AL130" s="358" t="s">
        <v>222</v>
      </c>
      <c r="AM130" s="349"/>
      <c r="AN130" s="349"/>
      <c r="AO130" s="349"/>
      <c r="AP130" s="349"/>
      <c r="AQ130" s="349"/>
      <c r="AR130" s="453"/>
      <c r="AS130" s="363" t="s">
        <v>88</v>
      </c>
      <c r="AT130" s="345"/>
      <c r="AU130" s="345"/>
      <c r="AV130" s="345"/>
      <c r="AW130" s="345"/>
      <c r="AX130" s="345"/>
      <c r="AY130" s="345"/>
      <c r="AZ130" s="345"/>
      <c r="BA130" s="345"/>
      <c r="BB130" s="345"/>
      <c r="BC130" s="345"/>
      <c r="BD130" s="345"/>
      <c r="BE130" s="345"/>
      <c r="BF130" s="345"/>
      <c r="BG130" s="345"/>
      <c r="BH130" s="345"/>
      <c r="BI130" s="345"/>
      <c r="BJ130" s="346">
        <f>COUNTIF(AT130:BI130,"*OP*")</f>
        <v>0</v>
      </c>
      <c r="BK130" s="363" t="s">
        <v>103</v>
      </c>
      <c r="BL130" s="349">
        <f>(COUNTIF(AT130:AV130,"*OK*")*3) + (COUNTIF(AW130:AY130,"*OK*")*2) + COUNTIF(AZ130:BB130,"*OK*")+COUNTIF(BK130:BK130,"SI")*0.5</f>
        <v>0</v>
      </c>
      <c r="BM130" s="349" t="str">
        <f>IF(BL130&lt;0.6,"Demasiado Riesgo",IF(BL130&lt;=5,"Riesgo Medio",IF(BL130&lt;=11,"Riesgo Bajo","Cliente Blindado")))</f>
        <v>Demasiado Riesgo</v>
      </c>
      <c r="BN130" s="349"/>
      <c r="BO130" s="349"/>
      <c r="BP130" s="349">
        <v>0</v>
      </c>
      <c r="BQ130" s="349"/>
      <c r="BR130" s="349"/>
      <c r="BS130" s="349"/>
      <c r="BT130" s="349"/>
      <c r="BU130" s="349"/>
      <c r="BV130" s="349"/>
      <c r="BW130" s="349"/>
      <c r="BX130" s="349"/>
      <c r="BY130" s="349"/>
      <c r="BZ130" s="349"/>
      <c r="CA130" s="349"/>
      <c r="CB130" s="349"/>
      <c r="CC130" s="349"/>
      <c r="CD130" s="349"/>
      <c r="CE130" s="349"/>
      <c r="CF130" s="349"/>
      <c r="CG130" s="349"/>
      <c r="CH130" s="349"/>
      <c r="CI130" s="349"/>
      <c r="CJ130" s="349"/>
      <c r="CK130" s="349"/>
      <c r="CL130" s="349">
        <f>COUNTIF(AT130:BH130,"*OK*")</f>
        <v>0</v>
      </c>
      <c r="CM130" s="349"/>
      <c r="CN130" s="349">
        <f>COUNTIF(AT130:BH130,"*OP*")</f>
        <v>0</v>
      </c>
    </row>
    <row r="131" spans="1:94" ht="15" customHeight="1">
      <c r="A131" s="834"/>
      <c r="B131" s="560" t="s">
        <v>1021</v>
      </c>
      <c r="C131" s="329">
        <f t="shared" si="3"/>
        <v>306.29140000000001</v>
      </c>
      <c r="D131" s="332">
        <f>COUNTIF(AX131:BI131,"OK")</f>
        <v>0</v>
      </c>
      <c r="E131" s="331" t="s">
        <v>782</v>
      </c>
      <c r="F131" s="376" t="s">
        <v>1022</v>
      </c>
      <c r="G131" s="376"/>
      <c r="H131" s="650">
        <f>IF(LEN(TRIM($G131&amp;""))=0, $C131, SUMIF($G$3:$G$561, TRIM($G131), $C$3:$C$561))</f>
        <v>306.29140000000001</v>
      </c>
      <c r="I131" s="376" t="s">
        <v>1023</v>
      </c>
      <c r="J131" s="328"/>
      <c r="K131" s="328"/>
      <c r="L131" s="328" t="str">
        <f>HYPERLINK("https://crm.zoho.com/crm/org685875245/tab/Accounts/3525045000630204104","https://crm.zoho.com/crm/org685875245/tab/Accounts/3525045000630204104")</f>
        <v>https://crm.zoho.com/crm/org685875245/tab/Accounts/3525045000630204104</v>
      </c>
      <c r="M131" s="391"/>
      <c r="N131" s="332" t="s">
        <v>454</v>
      </c>
      <c r="O131" s="541" t="s">
        <v>1024</v>
      </c>
      <c r="P131" s="541"/>
      <c r="Q131" s="541"/>
      <c r="R131" s="332"/>
      <c r="S131" s="332"/>
      <c r="T131" s="349"/>
      <c r="U131" s="344"/>
      <c r="V131" s="335"/>
      <c r="W131" s="335"/>
      <c r="X131" s="335"/>
      <c r="Y131" s="336"/>
      <c r="Z131" s="337">
        <v>577.71079999999995</v>
      </c>
      <c r="AA131" s="435">
        <v>302.83</v>
      </c>
      <c r="AB131" s="435">
        <v>322.66989999999998</v>
      </c>
      <c r="AC131" s="641">
        <v>366.7432</v>
      </c>
      <c r="AD131" s="435">
        <v>306.29140000000001</v>
      </c>
      <c r="AE131" s="339"/>
      <c r="AF131" s="340" t="s">
        <v>103</v>
      </c>
      <c r="AG131" s="334"/>
      <c r="AH131" s="328"/>
      <c r="AI131" s="343"/>
      <c r="AJ131" s="343"/>
      <c r="AK131" s="344"/>
      <c r="AL131" s="372" t="s">
        <v>103</v>
      </c>
      <c r="AM131" s="328"/>
      <c r="AN131" s="328"/>
      <c r="AO131" s="328"/>
      <c r="AP131" s="328"/>
      <c r="AQ131" s="328"/>
      <c r="AR131" s="451"/>
      <c r="AS131" s="344"/>
      <c r="AT131" s="345"/>
      <c r="AU131" s="345"/>
      <c r="AV131" s="345"/>
      <c r="AW131" s="345"/>
      <c r="AX131" s="345"/>
      <c r="AY131" s="345"/>
      <c r="AZ131" s="345"/>
      <c r="BA131" s="345"/>
      <c r="BB131" s="345"/>
      <c r="BC131" s="345"/>
      <c r="BD131" s="345"/>
      <c r="BE131" s="345"/>
      <c r="BF131" s="345"/>
      <c r="BG131" s="345"/>
      <c r="BH131" s="345"/>
      <c r="BI131" s="345"/>
      <c r="BJ131" s="364">
        <f>COUNTIF(AT131:BI131,"*OP*")</f>
        <v>0</v>
      </c>
      <c r="BK131" s="344" t="s">
        <v>103</v>
      </c>
      <c r="BL131" s="328">
        <f>(COUNTIF(AT131:AV131,"*OK*")*3) + (COUNTIF(AW131:AY131,"*OK*")*2) + COUNTIF(AZ131:BB131,"*OK*")+COUNTIF(BK131:BK131,"SI")*0.5</f>
        <v>0</v>
      </c>
      <c r="BM131" s="328" t="str">
        <f>IF(BL131&lt;0.6,"Demasiado Riesgo",IF(BL131&lt;=5,"Riesgo Medio",IF(BL131&lt;=11,"Riesgo Bajo","Cliente Blindado")))</f>
        <v>Demasiado Riesgo</v>
      </c>
      <c r="BN131" s="328"/>
      <c r="BO131" s="349"/>
      <c r="BP131" s="349">
        <v>0</v>
      </c>
      <c r="BQ131" s="349"/>
      <c r="BR131" s="349"/>
      <c r="BS131" s="349"/>
      <c r="BT131" s="349"/>
      <c r="BU131" s="349"/>
      <c r="BV131" s="349"/>
      <c r="BW131" s="349"/>
      <c r="BX131" s="349"/>
      <c r="BY131" s="349"/>
      <c r="BZ131" s="349"/>
      <c r="CA131" s="349"/>
      <c r="CB131" s="349"/>
      <c r="CC131" s="349"/>
      <c r="CD131" s="349"/>
      <c r="CE131" s="349"/>
      <c r="CF131" s="349"/>
      <c r="CG131" s="349"/>
      <c r="CH131" s="349"/>
      <c r="CI131" s="349"/>
      <c r="CJ131" s="349"/>
      <c r="CK131" s="349"/>
      <c r="CL131" s="349">
        <f>COUNTIF(AT131:BH131,"*OK*")</f>
        <v>0</v>
      </c>
      <c r="CM131" s="349"/>
      <c r="CN131" s="349">
        <f>COUNTIF(AT131:BH131,"*OP*")</f>
        <v>0</v>
      </c>
    </row>
    <row r="132" spans="1:94" ht="15" customHeight="1">
      <c r="A132" s="836">
        <v>33253</v>
      </c>
      <c r="B132" s="560" t="s">
        <v>979</v>
      </c>
      <c r="C132" s="329">
        <f t="shared" ref="C132:C195" si="4">AD132</f>
        <v>335.26490000000001</v>
      </c>
      <c r="D132" s="332">
        <f>COUNTIF(AT132:BH132,"*OK*")</f>
        <v>0</v>
      </c>
      <c r="E132" s="331" t="s">
        <v>73</v>
      </c>
      <c r="F132" s="331" t="s">
        <v>1025</v>
      </c>
      <c r="G132" s="351" t="s">
        <v>981</v>
      </c>
      <c r="H132" s="650">
        <f>IF(LEN(TRIM($G132&amp;""))=0, $C132, SUMIF($G$3:$G$561, TRIM($G132), $C$3:$C$561))</f>
        <v>1278.1458</v>
      </c>
      <c r="I132" s="410" t="s">
        <v>76</v>
      </c>
      <c r="J132" s="331"/>
      <c r="K132" s="560"/>
      <c r="L132" s="560" t="str">
        <f>HYPERLINK("https://crm.zoho.com/crm/org685875245/tab/Accounts/3525045000461676230","https://crm.zoho.com/crm/org685875245/tab/Accounts/3525045000461676230")</f>
        <v>https://crm.zoho.com/crm/org685875245/tab/Accounts/3525045000461676230</v>
      </c>
      <c r="M132" s="391" t="s">
        <v>96</v>
      </c>
      <c r="N132" s="560"/>
      <c r="O132" s="561" t="s">
        <v>982</v>
      </c>
      <c r="P132" s="561" t="s">
        <v>983</v>
      </c>
      <c r="Q132" s="561" t="s">
        <v>984</v>
      </c>
      <c r="R132" s="560"/>
      <c r="S132" s="332"/>
      <c r="T132" s="331"/>
      <c r="U132" s="334" t="s">
        <v>82</v>
      </c>
      <c r="V132" s="335">
        <v>329.75</v>
      </c>
      <c r="W132" s="335">
        <v>334.67</v>
      </c>
      <c r="X132" s="335">
        <v>331.36</v>
      </c>
      <c r="Y132" s="336">
        <v>345.44</v>
      </c>
      <c r="Z132" s="337">
        <v>357.02530000000002</v>
      </c>
      <c r="AA132" s="347">
        <v>346.25</v>
      </c>
      <c r="AB132" s="347">
        <v>356.95350000000002</v>
      </c>
      <c r="AC132" s="638">
        <v>360.87529999999998</v>
      </c>
      <c r="AD132" s="347">
        <v>335.26490000000001</v>
      </c>
      <c r="AE132" s="339">
        <v>1583</v>
      </c>
      <c r="AF132" s="340">
        <v>1525</v>
      </c>
      <c r="AG132" s="334"/>
      <c r="AH132" s="341"/>
      <c r="AI132" s="342" t="s">
        <v>379</v>
      </c>
      <c r="AJ132" s="343" t="s">
        <v>852</v>
      </c>
      <c r="AK132" s="344" t="s">
        <v>1026</v>
      </c>
      <c r="AL132" s="340" t="s">
        <v>103</v>
      </c>
      <c r="AM132" s="328"/>
      <c r="AN132" s="328"/>
      <c r="AO132" s="328"/>
      <c r="AP132" s="328"/>
      <c r="AQ132" s="328"/>
      <c r="AR132" s="451"/>
      <c r="AS132" s="344" t="s">
        <v>88</v>
      </c>
      <c r="AT132" s="345"/>
      <c r="AU132" s="345"/>
      <c r="AV132" s="345"/>
      <c r="AW132" s="345"/>
      <c r="AX132" s="345"/>
      <c r="AY132" s="345"/>
      <c r="AZ132" s="345"/>
      <c r="BA132" s="345"/>
      <c r="BB132" s="345"/>
      <c r="BC132" s="345"/>
      <c r="BD132" s="345"/>
      <c r="BE132" s="345"/>
      <c r="BF132" s="345"/>
      <c r="BG132" s="345"/>
      <c r="BH132" s="345"/>
      <c r="BI132" s="345"/>
      <c r="BJ132" s="346">
        <f>COUNTIF(AT132:BI132,"*OP*")</f>
        <v>0</v>
      </c>
      <c r="BK132" s="344" t="s">
        <v>103</v>
      </c>
      <c r="BL132" s="328">
        <f>(COUNTIF(AT132:AV132,"*OK*")*3) + (COUNTIF(AW132:AY132,"*OK*")*2) + COUNTIF(AZ132:BB132,"*OK*")+COUNTIF(BK132:BK132,"SI")*0.5</f>
        <v>0</v>
      </c>
      <c r="BM132" s="328" t="str">
        <f>IF(BL132&lt;0.6,"Demasiado Riesgo",IF(BL132&lt;=5,"Riesgo Medio",IF(BL132&lt;=11,"Riesgo Bajo","Cliente Blindado")))</f>
        <v>Demasiado Riesgo</v>
      </c>
      <c r="BN132" s="328"/>
      <c r="BO132" s="328"/>
      <c r="BP132" s="328">
        <v>0</v>
      </c>
      <c r="BQ132" s="328"/>
      <c r="BR132" s="328"/>
      <c r="BS132" s="328"/>
      <c r="BT132" s="328"/>
      <c r="BU132" s="328"/>
      <c r="BV132" s="328"/>
      <c r="BW132" s="328"/>
      <c r="BX132" s="328"/>
      <c r="BY132" s="328"/>
      <c r="BZ132" s="328"/>
      <c r="CA132" s="328"/>
      <c r="CB132" s="328"/>
      <c r="CC132" s="328"/>
      <c r="CD132" s="328"/>
      <c r="CE132" s="328"/>
      <c r="CF132" s="328"/>
      <c r="CG132" s="328"/>
      <c r="CH132" s="328"/>
      <c r="CI132" s="328"/>
      <c r="CJ132" s="328"/>
      <c r="CK132" s="328"/>
      <c r="CL132" s="328">
        <f>COUNTIF(AT132:BH132,"*OK*")</f>
        <v>0</v>
      </c>
      <c r="CM132" s="328"/>
      <c r="CN132" s="328">
        <f>COUNTIF(AT132:BH132,"*OP*")</f>
        <v>0</v>
      </c>
      <c r="CP132" s="285"/>
    </row>
    <row r="133" spans="1:94" ht="15" customHeight="1">
      <c r="A133" s="835">
        <v>18410</v>
      </c>
      <c r="B133" s="560" t="s">
        <v>1027</v>
      </c>
      <c r="C133" s="329">
        <f t="shared" si="4"/>
        <v>0</v>
      </c>
      <c r="D133" s="352">
        <f>COUNTIF(AT133:BH133,"*OK*")</f>
        <v>0</v>
      </c>
      <c r="E133" s="865" t="s">
        <v>93</v>
      </c>
      <c r="F133" s="351" t="s">
        <v>1028</v>
      </c>
      <c r="G133" s="368"/>
      <c r="H133" s="650">
        <f>IF(LEN(TRIM($G133&amp;""))=0, $C133, SUMIF($G$3:$G$561, TRIM($G133), $C$3:$C$561))</f>
        <v>0</v>
      </c>
      <c r="I133" s="368"/>
      <c r="J133" s="349" t="s">
        <v>119</v>
      </c>
      <c r="K133" s="349"/>
      <c r="L133" s="349" t="str">
        <f>HYPERLINK("https://crm.zoho.com/crm/org685875245/tab/Accounts/3525045000128135102","https://crm.zoho.com/crm/org685875245/tab/Accounts/3525045000128135102")</f>
        <v>https://crm.zoho.com/crm/org685875245/tab/Accounts/3525045000128135102</v>
      </c>
      <c r="M133" s="553" t="s">
        <v>77</v>
      </c>
      <c r="N133" s="352"/>
      <c r="O133" s="540" t="s">
        <v>1029</v>
      </c>
      <c r="P133" s="540" t="s">
        <v>1030</v>
      </c>
      <c r="Q133" s="540" t="s">
        <v>1031</v>
      </c>
      <c r="R133" s="352"/>
      <c r="S133" s="352"/>
      <c r="T133" s="349"/>
      <c r="U133" s="362" t="s">
        <v>82</v>
      </c>
      <c r="V133" s="381"/>
      <c r="W133" s="381"/>
      <c r="X133" s="381"/>
      <c r="Y133" s="627">
        <v>307.82</v>
      </c>
      <c r="Z133" s="719"/>
      <c r="AA133" s="725" t="s">
        <v>103</v>
      </c>
      <c r="AB133" s="725">
        <v>339.95569999999998</v>
      </c>
      <c r="AC133" s="732">
        <v>360.2885</v>
      </c>
      <c r="AD133" s="725"/>
      <c r="AE133" s="357">
        <v>295</v>
      </c>
      <c r="AF133" s="358">
        <v>100</v>
      </c>
      <c r="AG133" s="354"/>
      <c r="AH133" s="349"/>
      <c r="AI133" s="427" t="s">
        <v>83</v>
      </c>
      <c r="AJ133" s="361" t="s">
        <v>150</v>
      </c>
      <c r="AK133" s="362" t="s">
        <v>1032</v>
      </c>
      <c r="AL133" s="371" t="s">
        <v>103</v>
      </c>
      <c r="AM133" s="349"/>
      <c r="AN133" s="349"/>
      <c r="AO133" s="349"/>
      <c r="AP133" s="349"/>
      <c r="AQ133" s="349"/>
      <c r="AR133" s="453"/>
      <c r="AS133" s="362"/>
      <c r="AT133" s="345"/>
      <c r="AU133" s="345"/>
      <c r="AV133" s="345"/>
      <c r="AW133" s="345"/>
      <c r="AX133" s="345"/>
      <c r="AY133" s="345"/>
      <c r="AZ133" s="345"/>
      <c r="BA133" s="345"/>
      <c r="BB133" s="345"/>
      <c r="BC133" s="345"/>
      <c r="BD133" s="345"/>
      <c r="BE133" s="345"/>
      <c r="BF133" s="345"/>
      <c r="BG133" s="345"/>
      <c r="BH133" s="345"/>
      <c r="BI133" s="345"/>
      <c r="BJ133" s="346">
        <f>COUNTIF(AT133:BI133,"*OP*")</f>
        <v>0</v>
      </c>
      <c r="BK133" s="362" t="s">
        <v>103</v>
      </c>
      <c r="BL133" s="349">
        <f>(COUNTIF(AT133:AV133,"*OK*")*3) + (COUNTIF(AW133:AY133,"*OK*")*2) + COUNTIF(AZ133:BB133,"*OK*")+COUNTIF(BK133:BK133,"SI")*0.5</f>
        <v>0</v>
      </c>
      <c r="BM133" s="349" t="str">
        <f>IF(BL133&lt;0.6,"Demasiado Riesgo",IF(BL133&lt;=5,"Riesgo Medio",IF(BL133&lt;=11,"Riesgo Bajo","Cliente Blindado")))</f>
        <v>Demasiado Riesgo</v>
      </c>
      <c r="BN133" s="349"/>
      <c r="BO133" s="328"/>
      <c r="BP133" s="328">
        <v>0</v>
      </c>
      <c r="BQ133" s="328"/>
      <c r="BR133" s="328"/>
      <c r="BS133" s="328"/>
      <c r="BT133" s="328"/>
      <c r="BU133" s="328"/>
      <c r="BV133" s="328"/>
      <c r="BW133" s="328"/>
      <c r="BX133" s="328"/>
      <c r="BY133" s="328"/>
      <c r="BZ133" s="328"/>
      <c r="CA133" s="328"/>
      <c r="CB133" s="328"/>
      <c r="CC133" s="328"/>
      <c r="CD133" s="328"/>
      <c r="CE133" s="328"/>
      <c r="CF133" s="328"/>
      <c r="CG133" s="328"/>
      <c r="CH133" s="328"/>
      <c r="CI133" s="328"/>
      <c r="CJ133" s="328"/>
      <c r="CK133" s="328"/>
      <c r="CL133" s="328">
        <f>COUNTIF(AT133:BH133,"*OK*")</f>
        <v>0</v>
      </c>
      <c r="CM133" s="328"/>
      <c r="CN133" s="328">
        <f>COUNTIF(AT133:BH133,"*OP*")</f>
        <v>0</v>
      </c>
      <c r="CO133" s="425"/>
    </row>
    <row r="134" spans="1:94" ht="15" customHeight="1">
      <c r="A134" s="837">
        <v>20750</v>
      </c>
      <c r="B134" s="560" t="s">
        <v>1033</v>
      </c>
      <c r="C134" s="329">
        <f t="shared" si="4"/>
        <v>323.97899999999998</v>
      </c>
      <c r="D134" s="352">
        <f>COUNTIF(AT134:BH134,"*OK*")</f>
        <v>0</v>
      </c>
      <c r="E134" s="331" t="s">
        <v>73</v>
      </c>
      <c r="F134" s="351" t="s">
        <v>1034</v>
      </c>
      <c r="G134" s="351"/>
      <c r="H134" s="650">
        <f>IF(LEN(TRIM($G134&amp;""))=0, $C134, SUMIF($G$3:$G$561, TRIM($G134), $C$3:$C$561))</f>
        <v>323.97899999999998</v>
      </c>
      <c r="I134" s="353" t="s">
        <v>562</v>
      </c>
      <c r="J134" s="351"/>
      <c r="K134" s="558"/>
      <c r="L134" s="558" t="str">
        <f>HYPERLINK("https://crm.zoho.com/crm/org685875245/tab/Accounts/3525045000117583933","https://crm.zoho.com/crm/org685875245/tab/Accounts/3525045000117583933")</f>
        <v>https://crm.zoho.com/crm/org685875245/tab/Accounts/3525045000117583933</v>
      </c>
      <c r="M134" s="553" t="s">
        <v>525</v>
      </c>
      <c r="N134" s="558"/>
      <c r="O134" s="559" t="s">
        <v>1035</v>
      </c>
      <c r="P134" s="559" t="s">
        <v>1036</v>
      </c>
      <c r="Q134" s="559" t="s">
        <v>1037</v>
      </c>
      <c r="R134" s="558"/>
      <c r="S134" s="352"/>
      <c r="T134" s="351"/>
      <c r="U134" s="354" t="s">
        <v>82</v>
      </c>
      <c r="V134" s="355">
        <v>374.73</v>
      </c>
      <c r="W134" s="355">
        <v>362.42</v>
      </c>
      <c r="X134" s="355">
        <v>338.87</v>
      </c>
      <c r="Y134" s="356">
        <v>354.82</v>
      </c>
      <c r="Z134" s="337">
        <v>359.59609999999998</v>
      </c>
      <c r="AA134" s="367">
        <v>360.71</v>
      </c>
      <c r="AB134" s="367">
        <v>358.6533</v>
      </c>
      <c r="AC134" s="636">
        <v>354.86070000000001</v>
      </c>
      <c r="AD134" s="367">
        <v>323.97899999999998</v>
      </c>
      <c r="AE134" s="357">
        <v>228</v>
      </c>
      <c r="AF134" s="358">
        <v>300</v>
      </c>
      <c r="AG134" s="354"/>
      <c r="AH134" s="359" t="s">
        <v>83</v>
      </c>
      <c r="AI134" s="427" t="s">
        <v>83</v>
      </c>
      <c r="AJ134" s="361" t="s">
        <v>130</v>
      </c>
      <c r="AK134" s="362" t="s">
        <v>1038</v>
      </c>
      <c r="AL134" s="358" t="s">
        <v>224</v>
      </c>
      <c r="AM134" s="349"/>
      <c r="AN134" s="349"/>
      <c r="AO134" s="349"/>
      <c r="AP134" s="349"/>
      <c r="AQ134" s="349"/>
      <c r="AR134" s="453"/>
      <c r="AS134" s="363" t="s">
        <v>103</v>
      </c>
      <c r="AT134" s="345"/>
      <c r="AU134" s="345"/>
      <c r="AV134" s="345"/>
      <c r="AW134" s="345"/>
      <c r="AX134" s="345"/>
      <c r="AY134" s="345"/>
      <c r="AZ134" s="345"/>
      <c r="BA134" s="345"/>
      <c r="BB134" s="345"/>
      <c r="BC134" s="345"/>
      <c r="BD134" s="345"/>
      <c r="BE134" s="345"/>
      <c r="BF134" s="345"/>
      <c r="BG134" s="345"/>
      <c r="BH134" s="345"/>
      <c r="BI134" s="345"/>
      <c r="BJ134" s="346">
        <f>COUNTIF(AT134:BI134,"*OP*")</f>
        <v>0</v>
      </c>
      <c r="BK134" s="362" t="s">
        <v>103</v>
      </c>
      <c r="BL134" s="349">
        <f>(COUNTIF(AT134:AV134,"*OK*")*3) + (COUNTIF(AW134:AY134,"*OK*")*2) + COUNTIF(AZ134:BB134,"*OK*")+COUNTIF(BK134:BK134,"SI")*0.5</f>
        <v>0</v>
      </c>
      <c r="BM134" s="349" t="str">
        <f>IF(BL134&lt;0.6,"Demasiado Riesgo",IF(BL134&lt;=5,"Riesgo Medio",IF(BL134&lt;=11,"Riesgo Bajo","Cliente Blindado")))</f>
        <v>Demasiado Riesgo</v>
      </c>
      <c r="BN134" s="349"/>
      <c r="BO134" s="349"/>
      <c r="BP134" s="349">
        <v>0</v>
      </c>
      <c r="BQ134" s="349"/>
      <c r="BR134" s="349"/>
      <c r="BS134" s="349"/>
      <c r="BT134" s="349"/>
      <c r="BU134" s="349"/>
      <c r="BV134" s="349"/>
      <c r="BW134" s="349"/>
      <c r="BX134" s="349"/>
      <c r="BY134" s="349"/>
      <c r="BZ134" s="349"/>
      <c r="CA134" s="349"/>
      <c r="CB134" s="349"/>
      <c r="CC134" s="349"/>
      <c r="CD134" s="349"/>
      <c r="CE134" s="349"/>
      <c r="CF134" s="349"/>
      <c r="CG134" s="349"/>
      <c r="CH134" s="349"/>
      <c r="CI134" s="349"/>
      <c r="CJ134" s="349"/>
      <c r="CK134" s="349"/>
      <c r="CL134" s="349">
        <f>COUNTIF(AT134:BH134,"*OK*")</f>
        <v>0</v>
      </c>
      <c r="CM134" s="349"/>
      <c r="CN134" s="349">
        <f>COUNTIF(AT134:BH134,"*OP*")</f>
        <v>0</v>
      </c>
    </row>
    <row r="135" spans="1:94" ht="15" customHeight="1">
      <c r="A135" s="834"/>
      <c r="B135" s="560" t="s">
        <v>1039</v>
      </c>
      <c r="C135" s="329">
        <f t="shared" si="4"/>
        <v>350.71749999999997</v>
      </c>
      <c r="D135" s="332">
        <f>COUNTIF(AT135:BH135,"*OK*")</f>
        <v>1</v>
      </c>
      <c r="E135" s="331" t="s">
        <v>93</v>
      </c>
      <c r="F135" s="331" t="s">
        <v>1040</v>
      </c>
      <c r="G135" s="351" t="s">
        <v>607</v>
      </c>
      <c r="H135" s="650">
        <f>IF(LEN(TRIM($G135&amp;""))=0, $C135, SUMIF($G$3:$G$561, TRIM($G135), $C$3:$C$561))</f>
        <v>1141.2802999999999</v>
      </c>
      <c r="I135" s="410" t="s">
        <v>76</v>
      </c>
      <c r="J135" s="331"/>
      <c r="K135" s="328"/>
      <c r="L135" s="328"/>
      <c r="M135" s="341" t="s">
        <v>96</v>
      </c>
      <c r="N135" s="341"/>
      <c r="O135" s="548"/>
      <c r="P135" s="548"/>
      <c r="Q135" s="548"/>
      <c r="R135" s="341" t="s">
        <v>171</v>
      </c>
      <c r="S135" s="341"/>
      <c r="T135" s="331"/>
      <c r="U135" s="344" t="s">
        <v>82</v>
      </c>
      <c r="V135" s="335">
        <v>381.67</v>
      </c>
      <c r="W135" s="335">
        <v>358.72</v>
      </c>
      <c r="X135" s="335">
        <v>333.01</v>
      </c>
      <c r="Y135" s="336">
        <v>339.46</v>
      </c>
      <c r="Z135" s="337">
        <v>339.9828</v>
      </c>
      <c r="AA135" s="347">
        <v>323.39999999999998</v>
      </c>
      <c r="AB135" s="347">
        <v>338.22719999999998</v>
      </c>
      <c r="AC135" s="638">
        <v>353.54039999999998</v>
      </c>
      <c r="AD135" s="347">
        <v>350.71749999999997</v>
      </c>
      <c r="AE135" s="339"/>
      <c r="AF135" s="340">
        <v>200</v>
      </c>
      <c r="AG135" s="334"/>
      <c r="AH135" s="341"/>
      <c r="AI135" s="422" t="s">
        <v>83</v>
      </c>
      <c r="AJ135" s="343" t="s">
        <v>199</v>
      </c>
      <c r="AK135" s="344" t="s">
        <v>1041</v>
      </c>
      <c r="AL135" s="340" t="s">
        <v>103</v>
      </c>
      <c r="AM135" s="328"/>
      <c r="AN135" s="328" t="s">
        <v>104</v>
      </c>
      <c r="AO135" s="328"/>
      <c r="AP135" s="328"/>
      <c r="AQ135" s="328"/>
      <c r="AR135" s="451"/>
      <c r="AS135" s="372"/>
      <c r="AT135" s="345"/>
      <c r="AU135" s="345"/>
      <c r="AV135" s="345"/>
      <c r="AW135" s="345" t="s">
        <v>173</v>
      </c>
      <c r="AX135" s="345"/>
      <c r="AY135" s="345"/>
      <c r="AZ135" s="421" t="s">
        <v>610</v>
      </c>
      <c r="BA135" s="345"/>
      <c r="BB135" s="345"/>
      <c r="BC135" s="345"/>
      <c r="BD135" s="345"/>
      <c r="BE135" s="345"/>
      <c r="BF135" s="345"/>
      <c r="BG135" s="345"/>
      <c r="BH135" s="345"/>
      <c r="BI135" s="345"/>
      <c r="BJ135" s="346">
        <f>COUNTIF(AT135:BI135,"*OP*")</f>
        <v>1</v>
      </c>
      <c r="BK135" s="375" t="s">
        <v>103</v>
      </c>
      <c r="BL135" s="328">
        <f>(COUNTIF(AT135:AV135,"*OK*")*3) + (COUNTIF(AW135:AY135,"*OK*")*2) + COUNTIF(AZ135:BB135,"*OK*")+COUNTIF(BK135:BK135,"SI")*0.5</f>
        <v>1</v>
      </c>
      <c r="BM135" s="328" t="str">
        <f>IF(BL135&lt;0.6,"Demasiado Riesgo",IF(BL135&lt;=5,"Riesgo Medio",IF(BL135&lt;=11,"Riesgo Bajo","Cliente Blindado")))</f>
        <v>Riesgo Medio</v>
      </c>
      <c r="BN135" s="328"/>
      <c r="BO135" s="328"/>
      <c r="BP135" s="328">
        <v>0</v>
      </c>
      <c r="BQ135" s="328"/>
      <c r="BR135" s="328"/>
      <c r="BS135" s="328"/>
      <c r="BT135" s="328"/>
      <c r="BU135" s="328"/>
      <c r="BV135" s="328"/>
      <c r="BW135" s="328"/>
      <c r="BX135" s="328"/>
      <c r="BY135" s="328"/>
      <c r="BZ135" s="328"/>
      <c r="CA135" s="328"/>
      <c r="CB135" s="328"/>
      <c r="CC135" s="328"/>
      <c r="CD135" s="328"/>
      <c r="CE135" s="328"/>
      <c r="CF135" s="328"/>
      <c r="CG135" s="328"/>
      <c r="CH135" s="328"/>
      <c r="CI135" s="328"/>
      <c r="CJ135" s="328"/>
      <c r="CK135" s="328"/>
      <c r="CL135" s="328">
        <f>COUNTIF(AT135:BH135,"*OK*")</f>
        <v>1</v>
      </c>
      <c r="CM135" s="328"/>
      <c r="CN135" s="328">
        <f>COUNTIF(AT135:BH135,"*OP*")</f>
        <v>1</v>
      </c>
    </row>
    <row r="136" spans="1:94" ht="15" customHeight="1">
      <c r="A136" s="834">
        <v>24187</v>
      </c>
      <c r="B136" s="560" t="s">
        <v>1042</v>
      </c>
      <c r="C136" s="329">
        <f t="shared" si="4"/>
        <v>312.73019999999997</v>
      </c>
      <c r="D136" s="332">
        <f>COUNTIF(AT136:BH136,"*OK*")</f>
        <v>0</v>
      </c>
      <c r="E136" s="331" t="s">
        <v>439</v>
      </c>
      <c r="F136" s="330" t="s">
        <v>1043</v>
      </c>
      <c r="G136" s="331"/>
      <c r="H136" s="650">
        <f>IF(LEN(TRIM($G136&amp;""))=0, $C136, SUMIF($G$3:$G$561, TRIM($G136), $C$3:$C$561))</f>
        <v>312.73019999999997</v>
      </c>
      <c r="I136" s="410" t="s">
        <v>562</v>
      </c>
      <c r="J136" s="331"/>
      <c r="K136" s="328"/>
      <c r="L136" s="328" t="str">
        <f>HYPERLINK("https://crm.zoho.com/crm/org685875245/tab/Accounts/3525045000300440282","https://crm.zoho.com/crm/org685875245/tab/Accounts/3525045000300440282")</f>
        <v>https://crm.zoho.com/crm/org685875245/tab/Accounts/3525045000300440282</v>
      </c>
      <c r="M136" s="391" t="s">
        <v>77</v>
      </c>
      <c r="N136" s="332"/>
      <c r="O136" s="541" t="s">
        <v>1044</v>
      </c>
      <c r="P136" s="541" t="s">
        <v>1045</v>
      </c>
      <c r="Q136" s="541" t="s">
        <v>1046</v>
      </c>
      <c r="R136" s="332"/>
      <c r="S136" s="332"/>
      <c r="T136" s="331"/>
      <c r="U136" s="334" t="s">
        <v>82</v>
      </c>
      <c r="V136" s="335">
        <v>250.08</v>
      </c>
      <c r="W136" s="335">
        <v>252.05</v>
      </c>
      <c r="X136" s="335">
        <v>250.64</v>
      </c>
      <c r="Y136" s="336">
        <v>256.55</v>
      </c>
      <c r="Z136" s="337">
        <v>265.46559999999999</v>
      </c>
      <c r="AA136" s="367">
        <v>334.22</v>
      </c>
      <c r="AB136" s="367">
        <v>325.1336</v>
      </c>
      <c r="AC136" s="636">
        <v>347.94709999999998</v>
      </c>
      <c r="AD136" s="367">
        <v>312.73019999999997</v>
      </c>
      <c r="AE136" s="339">
        <v>233</v>
      </c>
      <c r="AF136" s="340">
        <v>194</v>
      </c>
      <c r="AG136" s="334"/>
      <c r="AH136" s="341"/>
      <c r="AI136" s="422" t="s">
        <v>83</v>
      </c>
      <c r="AJ136" s="343" t="s">
        <v>199</v>
      </c>
      <c r="AK136" s="344" t="s">
        <v>1047</v>
      </c>
      <c r="AL136" s="340" t="s">
        <v>103</v>
      </c>
      <c r="AM136" s="328"/>
      <c r="AN136" s="328"/>
      <c r="AO136" s="328"/>
      <c r="AP136" s="328"/>
      <c r="AQ136" s="328"/>
      <c r="AR136" s="451" t="s">
        <v>603</v>
      </c>
      <c r="AS136" s="372" t="s">
        <v>88</v>
      </c>
      <c r="AT136" s="345"/>
      <c r="AU136" s="345"/>
      <c r="AV136" s="345"/>
      <c r="AW136" s="345"/>
      <c r="AX136" s="345"/>
      <c r="AY136" s="345"/>
      <c r="AZ136" s="345"/>
      <c r="BA136" s="345"/>
      <c r="BB136" s="345"/>
      <c r="BC136" s="345"/>
      <c r="BD136" s="345"/>
      <c r="BE136" s="345"/>
      <c r="BF136" s="345"/>
      <c r="BG136" s="345"/>
      <c r="BH136" s="345"/>
      <c r="BI136" s="345"/>
      <c r="BJ136" s="364">
        <f>COUNTIF(AT136:BI136,"*OP*")</f>
        <v>0</v>
      </c>
      <c r="BK136" s="344" t="s">
        <v>103</v>
      </c>
      <c r="BL136" s="328">
        <f>(COUNTIF(AT136:AV136,"*OK*")*3) + (COUNTIF(AW136:AY136,"*OK*")*2) + COUNTIF(AZ136:BB136,"*OK*")+COUNTIF(BK136:BK136,"SI")*0.5</f>
        <v>0</v>
      </c>
      <c r="BM136" s="328" t="str">
        <f>IF(BL136&lt;0.6,"Demasiado Riesgo",IF(BL136&lt;=5,"Riesgo Medio",IF(BL136&lt;=11,"Riesgo Bajo","Cliente Blindado")))</f>
        <v>Demasiado Riesgo</v>
      </c>
      <c r="BN136" s="328"/>
      <c r="BO136" s="328"/>
      <c r="BP136" s="328"/>
      <c r="BQ136" s="328"/>
      <c r="BR136" s="328"/>
      <c r="BS136" s="328"/>
      <c r="BT136" s="328"/>
      <c r="BU136" s="328"/>
      <c r="BV136" s="328"/>
      <c r="BW136" s="328"/>
      <c r="BX136" s="328"/>
      <c r="BY136" s="328"/>
      <c r="BZ136" s="328"/>
      <c r="CA136" s="328"/>
      <c r="CB136" s="328"/>
      <c r="CC136" s="328"/>
      <c r="CD136" s="328"/>
      <c r="CE136" s="328"/>
      <c r="CF136" s="328"/>
      <c r="CG136" s="328"/>
      <c r="CH136" s="328"/>
      <c r="CI136" s="328"/>
      <c r="CJ136" s="328"/>
      <c r="CK136" s="328"/>
      <c r="CL136" s="328">
        <f>COUNTIF(AT136:BH136,"*OK*")</f>
        <v>0</v>
      </c>
    </row>
    <row r="137" spans="1:94" ht="15" customHeight="1">
      <c r="A137" s="835">
        <v>38626</v>
      </c>
      <c r="B137" s="560" t="s">
        <v>1048</v>
      </c>
      <c r="C137" s="329">
        <f t="shared" si="4"/>
        <v>324.50330000000002</v>
      </c>
      <c r="D137" s="352">
        <f>COUNTIF(AX137:BI137,"OK")</f>
        <v>0</v>
      </c>
      <c r="E137" s="500" t="s">
        <v>439</v>
      </c>
      <c r="F137" s="537" t="s">
        <v>1049</v>
      </c>
      <c r="G137" s="536"/>
      <c r="H137" s="650">
        <f>IF(LEN(TRIM($G137&amp;""))=0, $C137, SUMIF($G$3:$G$561, TRIM($G137), $C$3:$C$561))</f>
        <v>324.50330000000002</v>
      </c>
      <c r="I137" s="500" t="s">
        <v>562</v>
      </c>
      <c r="J137" s="500" t="s">
        <v>103</v>
      </c>
      <c r="K137" s="349"/>
      <c r="L137" s="349" t="str">
        <f>HYPERLINK("https://crm.zoho.com/crm/org685875245/tab/Accounts/3525045000633910128","https://crm.zoho.com/crm/org685875245/tab/Accounts/3525045000633910128")</f>
        <v>https://crm.zoho.com/crm/org685875245/tab/Accounts/3525045000633910128</v>
      </c>
      <c r="M137" s="553"/>
      <c r="N137" s="500" t="s">
        <v>103</v>
      </c>
      <c r="O137" s="542"/>
      <c r="P137" s="542"/>
      <c r="Q137" s="542"/>
      <c r="R137" s="500"/>
      <c r="S137" s="500" t="s">
        <v>103</v>
      </c>
      <c r="T137" s="500" t="s">
        <v>88</v>
      </c>
      <c r="U137" s="467" t="s">
        <v>103</v>
      </c>
      <c r="V137" s="500" t="s">
        <v>103</v>
      </c>
      <c r="W137" s="500" t="s">
        <v>103</v>
      </c>
      <c r="X137" s="500" t="s">
        <v>103</v>
      </c>
      <c r="Y137" s="511" t="s">
        <v>103</v>
      </c>
      <c r="Z137" s="517" t="s">
        <v>103</v>
      </c>
      <c r="AA137" s="518">
        <v>279.97000000000003</v>
      </c>
      <c r="AB137" s="518">
        <v>282.33609999999999</v>
      </c>
      <c r="AC137" s="639">
        <v>345.03190000000001</v>
      </c>
      <c r="AD137" s="518">
        <v>324.50330000000002</v>
      </c>
      <c r="AE137" s="348">
        <v>84</v>
      </c>
      <c r="AF137" s="371" t="s">
        <v>103</v>
      </c>
      <c r="AG137" s="362"/>
      <c r="AH137" s="349"/>
      <c r="AI137" s="370"/>
      <c r="AJ137" s="361"/>
      <c r="AK137" s="362"/>
      <c r="AL137" s="371" t="s">
        <v>103</v>
      </c>
      <c r="AM137" s="349"/>
      <c r="AN137" s="349"/>
      <c r="AO137" s="349"/>
      <c r="AP137" s="349"/>
      <c r="AQ137" s="349"/>
      <c r="AR137" s="453"/>
      <c r="AS137" s="453"/>
      <c r="AT137" s="345"/>
      <c r="AU137" s="345"/>
      <c r="AV137" s="345"/>
      <c r="AW137" s="345"/>
      <c r="AX137" s="345"/>
      <c r="AY137" s="345"/>
      <c r="AZ137" s="345"/>
      <c r="BA137" s="345"/>
      <c r="BB137" s="345"/>
      <c r="BC137" s="345"/>
      <c r="BD137" s="345"/>
      <c r="BE137" s="345"/>
      <c r="BF137" s="345"/>
      <c r="BG137" s="345"/>
      <c r="BH137" s="345"/>
      <c r="BI137" s="345"/>
      <c r="BJ137" s="346">
        <f>COUNTIF(AT137:BI137,"*OP*")</f>
        <v>0</v>
      </c>
      <c r="BK137" s="453"/>
      <c r="BL137" s="349">
        <f>(COUNTIF(AT137:AV137,"*OK*")*3) + (COUNTIF(AW137:AY137,"*OK*")*2) + COUNTIF(AZ137:BB137,"*OK*")+COUNTIF(BK137:BK137,"SI")*0.5</f>
        <v>0</v>
      </c>
      <c r="BM137" s="349" t="str">
        <f>IF(BL137&lt;0.6,"Demasiado Riesgo",IF(BL137&lt;=5,"Riesgo Medio",IF(BL137&lt;=11,"Riesgo Bajo","Cliente Blindado")))</f>
        <v>Demasiado Riesgo</v>
      </c>
      <c r="BN137" s="349"/>
      <c r="BO137" s="328"/>
      <c r="BP137" s="328">
        <v>0</v>
      </c>
      <c r="BQ137" s="328"/>
      <c r="BR137" s="328"/>
      <c r="BS137" s="328"/>
      <c r="BT137" s="328"/>
      <c r="BU137" s="328"/>
      <c r="BV137" s="328"/>
      <c r="BW137" s="328"/>
      <c r="BX137" s="328"/>
      <c r="BY137" s="328"/>
      <c r="BZ137" s="328"/>
      <c r="CA137" s="328"/>
      <c r="CB137" s="328"/>
      <c r="CC137" s="328"/>
      <c r="CD137" s="328"/>
      <c r="CE137" s="328"/>
      <c r="CF137" s="328"/>
      <c r="CG137" s="328"/>
      <c r="CH137" s="328"/>
      <c r="CI137" s="328"/>
      <c r="CJ137" s="328"/>
      <c r="CK137" s="328"/>
      <c r="CL137" s="328">
        <f>COUNTIF(AT137:BH137,"*OK*")</f>
        <v>0</v>
      </c>
      <c r="CM137" s="328"/>
      <c r="CN137" s="328">
        <f>COUNTIF(AT137:BH137,"*OP*")</f>
        <v>0</v>
      </c>
    </row>
    <row r="138" spans="1:94" ht="15" customHeight="1">
      <c r="A138" s="835">
        <v>27824</v>
      </c>
      <c r="B138" s="560" t="s">
        <v>1050</v>
      </c>
      <c r="C138" s="329">
        <f t="shared" si="4"/>
        <v>329.6071</v>
      </c>
      <c r="D138" s="352">
        <f>COUNTIF(AT138:BH138,"*OK*")</f>
        <v>0</v>
      </c>
      <c r="E138" s="351" t="s">
        <v>439</v>
      </c>
      <c r="F138" s="351" t="s">
        <v>1051</v>
      </c>
      <c r="G138" s="351" t="s">
        <v>802</v>
      </c>
      <c r="H138" s="650">
        <f>IF(LEN(TRIM($G138&amp;""))=0, $C138, SUMIF($G$3:$G$561, TRIM($G138), $C$3:$C$561))</f>
        <v>808.56740000000002</v>
      </c>
      <c r="I138" s="413" t="s">
        <v>562</v>
      </c>
      <c r="J138" s="351"/>
      <c r="K138" s="349"/>
      <c r="L138" s="349"/>
      <c r="M138" s="553" t="s">
        <v>96</v>
      </c>
      <c r="N138" s="352"/>
      <c r="O138" s="540"/>
      <c r="P138" s="540"/>
      <c r="Q138" s="540"/>
      <c r="R138" s="352" t="s">
        <v>715</v>
      </c>
      <c r="S138" s="352"/>
      <c r="T138" s="351"/>
      <c r="U138" s="354" t="s">
        <v>82</v>
      </c>
      <c r="V138" s="355">
        <v>192.16</v>
      </c>
      <c r="W138" s="355">
        <v>200.1</v>
      </c>
      <c r="X138" s="355">
        <v>208.73</v>
      </c>
      <c r="Y138" s="356">
        <v>228.76</v>
      </c>
      <c r="Z138" s="337">
        <v>239.9083</v>
      </c>
      <c r="AA138" s="347">
        <v>231.95</v>
      </c>
      <c r="AB138" s="347">
        <v>247.3449</v>
      </c>
      <c r="AC138" s="638">
        <v>334.0308</v>
      </c>
      <c r="AD138" s="347">
        <v>329.6071</v>
      </c>
      <c r="AE138" s="357">
        <v>309</v>
      </c>
      <c r="AF138" s="358">
        <v>200</v>
      </c>
      <c r="AG138" s="354"/>
      <c r="AH138" s="359"/>
      <c r="AI138" s="360" t="s">
        <v>83</v>
      </c>
      <c r="AJ138" s="361" t="s">
        <v>101</v>
      </c>
      <c r="AK138" s="362" t="s">
        <v>1052</v>
      </c>
      <c r="AL138" s="358" t="s">
        <v>103</v>
      </c>
      <c r="AM138" s="349"/>
      <c r="AN138" s="349"/>
      <c r="AO138" s="349"/>
      <c r="AP138" s="349"/>
      <c r="AQ138" s="349"/>
      <c r="AR138" s="453"/>
      <c r="AS138" s="363" t="s">
        <v>103</v>
      </c>
      <c r="AT138" s="345"/>
      <c r="AU138" s="345"/>
      <c r="AV138" s="345"/>
      <c r="AW138" s="345"/>
      <c r="AX138" s="345"/>
      <c r="AY138" s="345"/>
      <c r="AZ138" s="345"/>
      <c r="BA138" s="345"/>
      <c r="BB138" s="345"/>
      <c r="BC138" s="345"/>
      <c r="BD138" s="345"/>
      <c r="BE138" s="345"/>
      <c r="BF138" s="345"/>
      <c r="BG138" s="345"/>
      <c r="BH138" s="345"/>
      <c r="BI138" s="345"/>
      <c r="BJ138" s="346">
        <f>COUNTIF(AT138:BI138,"*OP*")</f>
        <v>0</v>
      </c>
      <c r="BK138" s="362" t="s">
        <v>103</v>
      </c>
      <c r="BL138" s="349">
        <f>(COUNTIF(AT138:AV138,"*OK*")*3) + (COUNTIF(AW138:AY138,"*OK*")*2) + COUNTIF(AZ138:BB138,"*OK*")+COUNTIF(BK138:BK138,"SI")*0.5</f>
        <v>0</v>
      </c>
      <c r="BM138" s="349" t="str">
        <f>IF(BL138&lt;0.6,"Demasiado Riesgo",IF(BL138&lt;=5,"Riesgo Medio",IF(BL138&lt;=11,"Riesgo Bajo","Cliente Blindado")))</f>
        <v>Demasiado Riesgo</v>
      </c>
      <c r="BN138" s="349"/>
      <c r="BO138" s="349"/>
      <c r="BP138" s="349"/>
      <c r="BQ138" s="349"/>
      <c r="BR138" s="349"/>
      <c r="BS138" s="349"/>
      <c r="BT138" s="349"/>
      <c r="BU138" s="349"/>
      <c r="BV138" s="349"/>
      <c r="BW138" s="349"/>
      <c r="BX138" s="349"/>
      <c r="BY138" s="349"/>
      <c r="BZ138" s="349"/>
      <c r="CA138" s="349"/>
      <c r="CB138" s="349"/>
      <c r="CC138" s="349"/>
      <c r="CD138" s="349"/>
      <c r="CE138" s="349"/>
      <c r="CF138" s="349"/>
      <c r="CG138" s="349"/>
      <c r="CH138" s="349"/>
      <c r="CI138" s="349"/>
      <c r="CJ138" s="349"/>
      <c r="CK138" s="349"/>
      <c r="CL138" s="349">
        <f>COUNTIF(AT138:BH138,"*OK*")</f>
        <v>0</v>
      </c>
    </row>
    <row r="139" spans="1:94" ht="15" customHeight="1">
      <c r="A139" s="835">
        <v>29019</v>
      </c>
      <c r="B139" s="560" t="s">
        <v>1053</v>
      </c>
      <c r="C139" s="329">
        <f t="shared" si="4"/>
        <v>316.15899999999999</v>
      </c>
      <c r="D139" s="352">
        <f>COUNTIF(AT139:BH139,"*OK*")</f>
        <v>0</v>
      </c>
      <c r="E139" s="351" t="s">
        <v>439</v>
      </c>
      <c r="F139" s="350" t="s">
        <v>1054</v>
      </c>
      <c r="G139" s="351"/>
      <c r="H139" s="650">
        <f>IF(LEN(TRIM($G139&amp;""))=0, $C139, SUMIF($G$3:$G$561, TRIM($G139), $C$3:$C$561))</f>
        <v>316.15899999999999</v>
      </c>
      <c r="I139" s="413" t="s">
        <v>562</v>
      </c>
      <c r="J139" s="351"/>
      <c r="K139" s="349"/>
      <c r="L139" s="349" t="str">
        <f>HYPERLINK("https://crm.zoho.com/crm/org685875245/tab/Accounts/3525045000389123147","https://crm.zoho.com/crm/org685875245/tab/Accounts/3525045000389123147")</f>
        <v>https://crm.zoho.com/crm/org685875245/tab/Accounts/3525045000389123147</v>
      </c>
      <c r="M139" s="553" t="s">
        <v>77</v>
      </c>
      <c r="N139" s="352"/>
      <c r="O139" s="540" t="s">
        <v>1055</v>
      </c>
      <c r="P139" s="540" t="s">
        <v>1056</v>
      </c>
      <c r="Q139" s="540" t="s">
        <v>1057</v>
      </c>
      <c r="R139" s="352"/>
      <c r="S139" s="352"/>
      <c r="T139" s="351"/>
      <c r="U139" s="354" t="s">
        <v>82</v>
      </c>
      <c r="V139" s="355">
        <v>246.82</v>
      </c>
      <c r="W139" s="355">
        <v>282.95</v>
      </c>
      <c r="X139" s="355">
        <v>291.20999999999998</v>
      </c>
      <c r="Y139" s="356">
        <v>300.58999999999997</v>
      </c>
      <c r="Z139" s="337">
        <v>315.9153</v>
      </c>
      <c r="AA139" s="338">
        <v>316.17</v>
      </c>
      <c r="AB139" s="338">
        <v>279.2362</v>
      </c>
      <c r="AC139" s="634">
        <v>332.33969999999999</v>
      </c>
      <c r="AD139" s="338">
        <v>316.15899999999999</v>
      </c>
      <c r="AE139" s="357">
        <v>82</v>
      </c>
      <c r="AF139" s="358">
        <v>250</v>
      </c>
      <c r="AG139" s="354"/>
      <c r="AH139" s="359"/>
      <c r="AI139" s="427" t="s">
        <v>83</v>
      </c>
      <c r="AJ139" s="361" t="s">
        <v>130</v>
      </c>
      <c r="AK139" s="362" t="s">
        <v>1058</v>
      </c>
      <c r="AL139" s="358" t="s">
        <v>103</v>
      </c>
      <c r="AM139" s="349"/>
      <c r="AN139" s="349"/>
      <c r="AO139" s="349"/>
      <c r="AP139" s="349"/>
      <c r="AQ139" s="349"/>
      <c r="AR139" s="453"/>
      <c r="AS139" s="362" t="s">
        <v>88</v>
      </c>
      <c r="AT139" s="345"/>
      <c r="AU139" s="345"/>
      <c r="AV139" s="345"/>
      <c r="AW139" s="345"/>
      <c r="AX139" s="345"/>
      <c r="AY139" s="345"/>
      <c r="AZ139" s="345"/>
      <c r="BA139" s="345"/>
      <c r="BB139" s="345"/>
      <c r="BC139" s="345"/>
      <c r="BD139" s="345"/>
      <c r="BE139" s="345"/>
      <c r="BF139" s="345"/>
      <c r="BG139" s="345"/>
      <c r="BH139" s="345"/>
      <c r="BI139" s="345"/>
      <c r="BJ139" s="346">
        <f>COUNTIF(AT139:BI139,"*OP*")</f>
        <v>0</v>
      </c>
      <c r="BK139" s="362" t="s">
        <v>89</v>
      </c>
      <c r="BL139" s="349">
        <f>(COUNTIF(AT139:AV139,"*OK*")*3) + (COUNTIF(AW139:AY139,"*OK*")*2) + COUNTIF(AZ139:BB139,"*OK*")+COUNTIF(BK139:BK139,"SI")*0.5</f>
        <v>0</v>
      </c>
      <c r="BM139" s="349" t="str">
        <f>IF(BL139&lt;0.6,"Demasiado Riesgo",IF(BL139&lt;=5,"Riesgo Medio",IF(BL139&lt;=11,"Riesgo Bajo","Cliente Blindado")))</f>
        <v>Demasiado Riesgo</v>
      </c>
      <c r="BN139" s="349"/>
      <c r="BO139" s="328"/>
      <c r="BP139" s="328"/>
      <c r="BQ139" s="328"/>
      <c r="BR139" s="328"/>
      <c r="BS139" s="328"/>
      <c r="BT139" s="328"/>
      <c r="BU139" s="328"/>
      <c r="BV139" s="328"/>
      <c r="BW139" s="328"/>
      <c r="BX139" s="328"/>
      <c r="BY139" s="328"/>
      <c r="BZ139" s="328"/>
      <c r="CA139" s="328"/>
      <c r="CB139" s="328"/>
      <c r="CC139" s="328"/>
      <c r="CD139" s="328"/>
      <c r="CE139" s="328"/>
      <c r="CF139" s="328"/>
      <c r="CG139" s="328"/>
      <c r="CH139" s="328"/>
      <c r="CI139" s="328"/>
      <c r="CJ139" s="328"/>
      <c r="CK139" s="328"/>
      <c r="CL139" s="328">
        <f>COUNTIF(AT139:BH139,"*OK*")</f>
        <v>0</v>
      </c>
    </row>
    <row r="140" spans="1:94" ht="15" customHeight="1">
      <c r="A140" s="834">
        <v>20005</v>
      </c>
      <c r="B140" s="560" t="s">
        <v>363</v>
      </c>
      <c r="C140" s="329">
        <f t="shared" si="4"/>
        <v>411.25830000000002</v>
      </c>
      <c r="D140" s="352">
        <f>COUNTIF(AT140:BH140,"*OK*")</f>
        <v>0</v>
      </c>
      <c r="E140" s="351" t="s">
        <v>93</v>
      </c>
      <c r="F140" s="351" t="s">
        <v>1059</v>
      </c>
      <c r="G140" s="331" t="s">
        <v>365</v>
      </c>
      <c r="H140" s="650">
        <f>IF(LEN(TRIM($G140&amp;""))=0, $C140, SUMIF($G$3:$G$561, TRIM($G140), $C$3:$C$561))</f>
        <v>4240.7285999999995</v>
      </c>
      <c r="I140" s="413" t="s">
        <v>76</v>
      </c>
      <c r="J140" s="351"/>
      <c r="K140" s="349" t="s">
        <v>125</v>
      </c>
      <c r="L140" s="349"/>
      <c r="M140" s="359" t="s">
        <v>96</v>
      </c>
      <c r="N140" s="359"/>
      <c r="O140" s="545" t="s">
        <v>367</v>
      </c>
      <c r="P140" s="545" t="s">
        <v>368</v>
      </c>
      <c r="Q140" s="545" t="s">
        <v>369</v>
      </c>
      <c r="R140" s="341" t="s">
        <v>160</v>
      </c>
      <c r="S140" s="359"/>
      <c r="T140" s="351"/>
      <c r="U140" s="362" t="s">
        <v>82</v>
      </c>
      <c r="V140" s="355">
        <v>341.06</v>
      </c>
      <c r="W140" s="355">
        <v>333.8</v>
      </c>
      <c r="X140" s="355">
        <v>320.31</v>
      </c>
      <c r="Y140" s="356">
        <v>328.34</v>
      </c>
      <c r="Z140" s="337">
        <v>330.45060000000001</v>
      </c>
      <c r="AA140" s="365">
        <v>326.83</v>
      </c>
      <c r="AB140" s="365">
        <v>324.97469999999998</v>
      </c>
      <c r="AC140" s="635">
        <v>328.60180000000003</v>
      </c>
      <c r="AD140" s="365">
        <v>411.25830000000002</v>
      </c>
      <c r="AE140" s="357">
        <v>1417</v>
      </c>
      <c r="AF140" s="358">
        <v>500</v>
      </c>
      <c r="AG140" s="354"/>
      <c r="AH140" s="359"/>
      <c r="AI140" s="427" t="s">
        <v>83</v>
      </c>
      <c r="AJ140" s="361" t="s">
        <v>150</v>
      </c>
      <c r="AK140" s="362" t="s">
        <v>1060</v>
      </c>
      <c r="AL140" s="358" t="s">
        <v>103</v>
      </c>
      <c r="AM140" s="349"/>
      <c r="AN140" s="349" t="s">
        <v>152</v>
      </c>
      <c r="AO140" s="349"/>
      <c r="AP140" s="349"/>
      <c r="AQ140" s="349"/>
      <c r="AR140" s="453"/>
      <c r="AS140" s="362"/>
      <c r="AT140" s="345" t="s">
        <v>173</v>
      </c>
      <c r="AU140" s="345"/>
      <c r="AV140" s="345"/>
      <c r="AW140" s="345" t="s">
        <v>173</v>
      </c>
      <c r="AX140" s="345"/>
      <c r="AY140" s="345"/>
      <c r="AZ140" s="345"/>
      <c r="BA140" s="345"/>
      <c r="BB140" s="345"/>
      <c r="BC140" s="345"/>
      <c r="BD140" s="345"/>
      <c r="BE140" s="345"/>
      <c r="BF140" s="345"/>
      <c r="BG140" s="345"/>
      <c r="BH140" s="345"/>
      <c r="BI140" s="345"/>
      <c r="BJ140" s="346">
        <f>COUNTIF(AT140:BI140,"*OP*")</f>
        <v>2</v>
      </c>
      <c r="BK140" s="362" t="s">
        <v>103</v>
      </c>
      <c r="BL140" s="349">
        <f>(COUNTIF(AT140:AV140,"*OK*")*3) + (COUNTIF(AW140:AY140,"*OK*")*2) + COUNTIF(AZ140:BB140,"*OK*")+COUNTIF(BK140:BK140,"SI")*0.5</f>
        <v>0</v>
      </c>
      <c r="BM140" s="349" t="str">
        <f>IF(BL140&lt;0.6,"Demasiado Riesgo",IF(BL140&lt;=5,"Riesgo Medio",IF(BL140&lt;=11,"Riesgo Bajo","Cliente Blindado")))</f>
        <v>Demasiado Riesgo</v>
      </c>
      <c r="BN140" s="349"/>
      <c r="BO140" s="328"/>
      <c r="BP140" s="328">
        <v>0</v>
      </c>
      <c r="BQ140" s="328"/>
      <c r="BR140" s="328"/>
      <c r="BS140" s="328"/>
      <c r="BT140" s="328"/>
      <c r="BU140" s="328"/>
      <c r="BV140" s="328"/>
      <c r="BW140" s="328"/>
      <c r="BX140" s="328"/>
      <c r="BY140" s="328"/>
      <c r="BZ140" s="328"/>
      <c r="CA140" s="328"/>
      <c r="CB140" s="328"/>
      <c r="CC140" s="328"/>
      <c r="CD140" s="328"/>
      <c r="CE140" s="328"/>
      <c r="CF140" s="328"/>
      <c r="CG140" s="328"/>
      <c r="CH140" s="328"/>
      <c r="CI140" s="328"/>
      <c r="CJ140" s="328"/>
      <c r="CK140" s="328"/>
      <c r="CL140" s="328">
        <f>COUNTIF(AT140:BH140,"*OK*")</f>
        <v>0</v>
      </c>
      <c r="CM140" s="328"/>
      <c r="CN140" s="328">
        <f>COUNTIF(AT140:BH140,"*OP*")</f>
        <v>2</v>
      </c>
      <c r="CP140" s="285"/>
    </row>
    <row r="141" spans="1:94" ht="15" customHeight="1">
      <c r="A141" s="834">
        <v>26688</v>
      </c>
      <c r="B141" s="560" t="s">
        <v>1061</v>
      </c>
      <c r="C141" s="329">
        <f t="shared" si="4"/>
        <v>311.58170000000001</v>
      </c>
      <c r="D141" s="332">
        <f>COUNTIF(AT141:BH141,"*OK*")</f>
        <v>2</v>
      </c>
      <c r="E141" s="331" t="s">
        <v>73</v>
      </c>
      <c r="F141" s="426" t="s">
        <v>1062</v>
      </c>
      <c r="G141" s="331" t="s">
        <v>1063</v>
      </c>
      <c r="H141" s="650">
        <f>IF(LEN(TRIM($G141&amp;""))=0, $C141, SUMIF($G$3:$G$561, TRIM($G141), $C$3:$C$561))</f>
        <v>507.28589999999997</v>
      </c>
      <c r="I141" s="410" t="s">
        <v>562</v>
      </c>
      <c r="J141" s="331"/>
      <c r="K141" s="560"/>
      <c r="L141" s="560"/>
      <c r="M141" s="391" t="s">
        <v>96</v>
      </c>
      <c r="N141" s="560"/>
      <c r="O141" s="561" t="s">
        <v>1064</v>
      </c>
      <c r="P141" s="561"/>
      <c r="Q141" s="576" t="s">
        <v>1065</v>
      </c>
      <c r="R141" s="560"/>
      <c r="S141" s="332"/>
      <c r="T141" s="331"/>
      <c r="U141" s="334" t="s">
        <v>82</v>
      </c>
      <c r="V141" s="335">
        <v>319.36</v>
      </c>
      <c r="W141" s="335">
        <v>324.48</v>
      </c>
      <c r="X141" s="335">
        <v>298.92</v>
      </c>
      <c r="Y141" s="336">
        <v>311.2</v>
      </c>
      <c r="Z141" s="337">
        <v>304.6026</v>
      </c>
      <c r="AA141" s="338">
        <v>309.26</v>
      </c>
      <c r="AB141" s="338">
        <v>306.49259999999998</v>
      </c>
      <c r="AC141" s="634">
        <v>325.81700000000001</v>
      </c>
      <c r="AD141" s="338">
        <v>311.58170000000001</v>
      </c>
      <c r="AE141" s="339">
        <v>181</v>
      </c>
      <c r="AF141" s="340">
        <v>100</v>
      </c>
      <c r="AG141" s="334"/>
      <c r="AH141" s="341"/>
      <c r="AI141" s="342" t="s">
        <v>1066</v>
      </c>
      <c r="AJ141" s="343" t="s">
        <v>143</v>
      </c>
      <c r="AK141" s="344" t="s">
        <v>1067</v>
      </c>
      <c r="AL141" s="340" t="s">
        <v>436</v>
      </c>
      <c r="AM141" s="328"/>
      <c r="AN141" s="328"/>
      <c r="AO141" s="328"/>
      <c r="AP141" s="328"/>
      <c r="AQ141" s="328"/>
      <c r="AR141" s="451"/>
      <c r="AS141" s="375" t="s">
        <v>88</v>
      </c>
      <c r="AT141" s="345"/>
      <c r="AU141" s="345"/>
      <c r="AV141" s="345" t="s">
        <v>300</v>
      </c>
      <c r="AW141" s="345"/>
      <c r="AX141" s="345" t="s">
        <v>300</v>
      </c>
      <c r="AY141" s="345"/>
      <c r="AZ141" s="345"/>
      <c r="BA141" s="345"/>
      <c r="BB141" s="345"/>
      <c r="BC141" s="345"/>
      <c r="BD141" s="345"/>
      <c r="BE141" s="345"/>
      <c r="BF141" s="345"/>
      <c r="BG141" s="345"/>
      <c r="BH141" s="345"/>
      <c r="BI141" s="345"/>
      <c r="BJ141" s="346">
        <f>COUNTIF(AT141:BI141,"*OP*")</f>
        <v>0</v>
      </c>
      <c r="BK141" s="375" t="s">
        <v>103</v>
      </c>
      <c r="BL141" s="328">
        <f>(COUNTIF(AT141:AV141,"*OK*")*3) + (COUNTIF(AW141:AY141,"*OK*")*2) + COUNTIF(AZ141:BB141,"*OK*")+COUNTIF(BK141:BK141,"SI")*0.5</f>
        <v>5</v>
      </c>
      <c r="BM141" s="328" t="str">
        <f>IF(BL141&lt;0.6,"Demasiado Riesgo",IF(BL141&lt;=5,"Riesgo Medio",IF(BL141&lt;=11,"Riesgo Bajo","Cliente Blindado")))</f>
        <v>Riesgo Medio</v>
      </c>
      <c r="BN141" s="328"/>
      <c r="BO141" s="328"/>
      <c r="BP141" s="328">
        <v>0</v>
      </c>
      <c r="BQ141" s="328"/>
      <c r="BR141" s="328"/>
      <c r="BS141" s="328"/>
      <c r="BT141" s="328"/>
      <c r="BU141" s="328"/>
      <c r="BV141" s="328"/>
      <c r="BW141" s="328"/>
      <c r="BX141" s="328"/>
      <c r="BY141" s="328"/>
      <c r="BZ141" s="328"/>
      <c r="CA141" s="328"/>
      <c r="CB141" s="328"/>
      <c r="CC141" s="328"/>
      <c r="CD141" s="328"/>
      <c r="CE141" s="328"/>
      <c r="CF141" s="328"/>
      <c r="CG141" s="328"/>
      <c r="CH141" s="328"/>
      <c r="CI141" s="328"/>
      <c r="CJ141" s="328"/>
      <c r="CK141" s="328"/>
      <c r="CL141" s="328">
        <f>COUNTIF(AT141:BH141,"*OK*")</f>
        <v>2</v>
      </c>
      <c r="CM141" s="328"/>
      <c r="CN141" s="328">
        <f>COUNTIF(AT141:BH141,"*OP*")</f>
        <v>0</v>
      </c>
    </row>
    <row r="142" spans="1:94" ht="15" customHeight="1">
      <c r="A142" s="835">
        <v>30960</v>
      </c>
      <c r="B142" s="560" t="s">
        <v>1068</v>
      </c>
      <c r="C142" s="329">
        <f t="shared" si="4"/>
        <v>301.28149999999999</v>
      </c>
      <c r="D142" s="352">
        <f>COUNTIF(AT142:BH142,"*OK*")</f>
        <v>0</v>
      </c>
      <c r="E142" s="331" t="s">
        <v>73</v>
      </c>
      <c r="F142" s="351" t="s">
        <v>1069</v>
      </c>
      <c r="G142" s="351"/>
      <c r="H142" s="650">
        <f>IF(LEN(TRIM($G142&amp;""))=0, $C142, SUMIF($G$3:$G$561, TRIM($G142), $C$3:$C$561))</f>
        <v>301.28149999999999</v>
      </c>
      <c r="I142" s="413" t="s">
        <v>562</v>
      </c>
      <c r="J142" s="351"/>
      <c r="K142" s="558"/>
      <c r="L142" s="558"/>
      <c r="M142" s="553" t="s">
        <v>96</v>
      </c>
      <c r="N142" s="558"/>
      <c r="O142" s="559" t="s">
        <v>1070</v>
      </c>
      <c r="P142" s="559" t="s">
        <v>1071</v>
      </c>
      <c r="Q142" s="559" t="s">
        <v>1072</v>
      </c>
      <c r="R142" s="558"/>
      <c r="S142" s="352"/>
      <c r="T142" s="351"/>
      <c r="U142" s="354" t="s">
        <v>82</v>
      </c>
      <c r="V142" s="355">
        <v>338.31</v>
      </c>
      <c r="W142" s="355">
        <v>335.29</v>
      </c>
      <c r="X142" s="355">
        <v>322.11</v>
      </c>
      <c r="Y142" s="356">
        <v>337.8</v>
      </c>
      <c r="Z142" s="337">
        <v>331.55860000000001</v>
      </c>
      <c r="AA142" s="365">
        <v>322.58999999999997</v>
      </c>
      <c r="AB142" s="365">
        <v>341.44349999999997</v>
      </c>
      <c r="AC142" s="635">
        <v>325.81700000000001</v>
      </c>
      <c r="AD142" s="365">
        <v>301.28149999999999</v>
      </c>
      <c r="AE142" s="357">
        <v>117</v>
      </c>
      <c r="AF142" s="358">
        <v>150</v>
      </c>
      <c r="AG142" s="354"/>
      <c r="AH142" s="359" t="s">
        <v>83</v>
      </c>
      <c r="AI142" s="427" t="s">
        <v>83</v>
      </c>
      <c r="AJ142" s="361" t="s">
        <v>143</v>
      </c>
      <c r="AK142" s="362" t="s">
        <v>1073</v>
      </c>
      <c r="AL142" s="358" t="s">
        <v>103</v>
      </c>
      <c r="AM142" s="349"/>
      <c r="AN142" s="349"/>
      <c r="AO142" s="349"/>
      <c r="AP142" s="349"/>
      <c r="AQ142" s="349"/>
      <c r="AR142" s="453"/>
      <c r="AS142" s="362" t="s">
        <v>103</v>
      </c>
      <c r="AT142" s="345"/>
      <c r="AU142" s="345"/>
      <c r="AV142" s="345"/>
      <c r="AW142" s="345"/>
      <c r="AX142" s="345"/>
      <c r="AY142" s="345"/>
      <c r="AZ142" s="345"/>
      <c r="BA142" s="345"/>
      <c r="BB142" s="345"/>
      <c r="BC142" s="345"/>
      <c r="BD142" s="345"/>
      <c r="BE142" s="345"/>
      <c r="BF142" s="345"/>
      <c r="BG142" s="345"/>
      <c r="BH142" s="345"/>
      <c r="BI142" s="345"/>
      <c r="BJ142" s="364">
        <f>COUNTIF(AT142:BI142,"*OP*")</f>
        <v>0</v>
      </c>
      <c r="BK142" s="362" t="s">
        <v>103</v>
      </c>
      <c r="BL142" s="349">
        <f>(COUNTIF(AT142:AV142,"*OK*")*3) + (COUNTIF(AW142:AY142,"*OK*")*2) + COUNTIF(AZ142:BB142,"*OK*")+COUNTIF(BK142:BK142,"SI")*0.5</f>
        <v>0</v>
      </c>
      <c r="BM142" s="349" t="str">
        <f>IF(BL142&lt;0.6,"Demasiado Riesgo",IF(BL142&lt;=5,"Riesgo Medio",IF(BL142&lt;=11,"Riesgo Bajo","Cliente Blindado")))</f>
        <v>Demasiado Riesgo</v>
      </c>
      <c r="BN142" s="349"/>
      <c r="BO142" s="328"/>
      <c r="BP142" s="328">
        <v>0</v>
      </c>
      <c r="BQ142" s="328"/>
      <c r="BR142" s="328"/>
      <c r="BS142" s="328"/>
      <c r="BT142" s="328"/>
      <c r="BU142" s="328"/>
      <c r="BV142" s="328"/>
      <c r="BW142" s="328"/>
      <c r="BX142" s="328"/>
      <c r="BY142" s="328"/>
      <c r="BZ142" s="328"/>
      <c r="CA142" s="328"/>
      <c r="CB142" s="328"/>
      <c r="CC142" s="328"/>
      <c r="CD142" s="328"/>
      <c r="CE142" s="328"/>
      <c r="CF142" s="328"/>
      <c r="CG142" s="328"/>
      <c r="CH142" s="328"/>
      <c r="CI142" s="328"/>
      <c r="CJ142" s="328"/>
      <c r="CK142" s="328"/>
      <c r="CL142" s="328">
        <f>COUNTIF(AT142:BH142,"*OK*")</f>
        <v>0</v>
      </c>
      <c r="CM142" s="328"/>
      <c r="CN142" s="328">
        <f>COUNTIF(AT142:BH142,"*OP*")</f>
        <v>0</v>
      </c>
    </row>
    <row r="143" spans="1:94" ht="15" customHeight="1">
      <c r="A143" s="834"/>
      <c r="B143" s="560" t="s">
        <v>1074</v>
      </c>
      <c r="C143" s="329">
        <f t="shared" si="4"/>
        <v>302.20749999999998</v>
      </c>
      <c r="D143" s="332">
        <f>COUNTIF(AT143:BH143,"*OK*")</f>
        <v>0</v>
      </c>
      <c r="E143" s="331" t="s">
        <v>93</v>
      </c>
      <c r="F143" s="426" t="s">
        <v>1075</v>
      </c>
      <c r="G143" s="331"/>
      <c r="H143" s="650">
        <f>IF(LEN(TRIM($G143&amp;""))=0, $C143, SUMIF($G$3:$G$561, TRIM($G143), $C$3:$C$561))</f>
        <v>302.20749999999998</v>
      </c>
      <c r="I143" s="333" t="s">
        <v>562</v>
      </c>
      <c r="J143" s="331"/>
      <c r="K143" s="328"/>
      <c r="L143" s="328"/>
      <c r="M143" s="341" t="s">
        <v>96</v>
      </c>
      <c r="N143" s="341"/>
      <c r="O143" s="548" t="s">
        <v>1076</v>
      </c>
      <c r="P143" s="548" t="s">
        <v>1077</v>
      </c>
      <c r="Q143" s="548" t="s">
        <v>1078</v>
      </c>
      <c r="R143" s="341"/>
      <c r="S143" s="341"/>
      <c r="T143" s="331"/>
      <c r="U143" s="344" t="s">
        <v>82</v>
      </c>
      <c r="V143" s="335">
        <v>317.05</v>
      </c>
      <c r="W143" s="335">
        <v>316.82</v>
      </c>
      <c r="X143" s="335">
        <v>295.35000000000002</v>
      </c>
      <c r="Y143" s="336">
        <v>323.38</v>
      </c>
      <c r="Z143" s="337">
        <v>321.43819999999999</v>
      </c>
      <c r="AA143" s="347">
        <v>316.83</v>
      </c>
      <c r="AB143" s="347">
        <v>319.50080000000003</v>
      </c>
      <c r="AC143" s="638">
        <v>324.20089999999999</v>
      </c>
      <c r="AD143" s="347">
        <v>302.20749999999998</v>
      </c>
      <c r="AE143" s="339"/>
      <c r="AF143" s="340">
        <v>300</v>
      </c>
      <c r="AG143" s="334"/>
      <c r="AH143" s="341"/>
      <c r="AI143" s="342" t="s">
        <v>258</v>
      </c>
      <c r="AJ143" s="343" t="s">
        <v>130</v>
      </c>
      <c r="AK143" s="344" t="s">
        <v>1079</v>
      </c>
      <c r="AL143" s="340" t="s">
        <v>103</v>
      </c>
      <c r="AM143" s="328"/>
      <c r="AN143" s="328" t="s">
        <v>1080</v>
      </c>
      <c r="AO143" s="328"/>
      <c r="AP143" s="328"/>
      <c r="AQ143" s="328"/>
      <c r="AR143" s="451"/>
      <c r="AS143" s="344" t="s">
        <v>88</v>
      </c>
      <c r="AT143" s="345"/>
      <c r="AU143" s="345"/>
      <c r="AV143" s="345"/>
      <c r="AW143" s="345"/>
      <c r="AX143" s="345"/>
      <c r="AY143" s="345"/>
      <c r="AZ143" s="345"/>
      <c r="BA143" s="345"/>
      <c r="BB143" s="345"/>
      <c r="BC143" s="345"/>
      <c r="BD143" s="345"/>
      <c r="BE143" s="345"/>
      <c r="BF143" s="345"/>
      <c r="BG143" s="345"/>
      <c r="BH143" s="345"/>
      <c r="BI143" s="345"/>
      <c r="BJ143" s="346">
        <f>COUNTIF(AT143:BI143,"*OP*")</f>
        <v>0</v>
      </c>
      <c r="BK143" s="344" t="s">
        <v>89</v>
      </c>
      <c r="BL143" s="328">
        <f>(COUNTIF(AT143:AV143,"*OK*")*3) + (COUNTIF(AW143:AY143,"*OK*")*2) + COUNTIF(AZ143:BB143,"*OK*")+COUNTIF(BK143:BK143,"SI")*0.5</f>
        <v>0</v>
      </c>
      <c r="BM143" s="328" t="str">
        <f>IF(BL143&lt;0.6,"Demasiado Riesgo",IF(BL143&lt;=5,"Riesgo Medio",IF(BL143&lt;=11,"Riesgo Bajo","Cliente Blindado")))</f>
        <v>Demasiado Riesgo</v>
      </c>
      <c r="BN143" s="328"/>
      <c r="BO143" s="349"/>
      <c r="BP143" s="349">
        <v>0</v>
      </c>
      <c r="BQ143" s="349"/>
      <c r="BR143" s="349"/>
      <c r="BS143" s="349"/>
      <c r="BT143" s="349"/>
      <c r="BU143" s="349"/>
      <c r="BV143" s="349"/>
      <c r="BW143" s="349"/>
      <c r="BX143" s="349"/>
      <c r="BY143" s="349"/>
      <c r="BZ143" s="349"/>
      <c r="CA143" s="349"/>
      <c r="CB143" s="349"/>
      <c r="CC143" s="349"/>
      <c r="CD143" s="349"/>
      <c r="CE143" s="349"/>
      <c r="CF143" s="349"/>
      <c r="CG143" s="349"/>
      <c r="CH143" s="349"/>
      <c r="CI143" s="349"/>
      <c r="CJ143" s="349"/>
      <c r="CK143" s="349"/>
      <c r="CL143" s="349">
        <f>COUNTIF(AT143:BH143,"*OK*")</f>
        <v>0</v>
      </c>
      <c r="CM143" s="349"/>
      <c r="CN143" s="349">
        <f>COUNTIF(AT143:BH143,"*OP*")</f>
        <v>0</v>
      </c>
    </row>
    <row r="144" spans="1:94" ht="15" customHeight="1">
      <c r="A144" s="835">
        <v>36305</v>
      </c>
      <c r="B144" s="560" t="s">
        <v>1081</v>
      </c>
      <c r="C144" s="329">
        <f t="shared" si="4"/>
        <v>579.47019999999998</v>
      </c>
      <c r="D144" s="352">
        <f>COUNTIF(AT144:BH144,"*OK*")</f>
        <v>0</v>
      </c>
      <c r="E144" s="397" t="s">
        <v>439</v>
      </c>
      <c r="F144" s="350" t="s">
        <v>1082</v>
      </c>
      <c r="G144" s="351"/>
      <c r="H144" s="650">
        <f>IF(LEN(TRIM($G144&amp;""))=0, $C144, SUMIF($G$3:$G$561, TRIM($G144), $C$3:$C$561))</f>
        <v>579.47019999999998</v>
      </c>
      <c r="I144" s="353" t="s">
        <v>562</v>
      </c>
      <c r="J144" s="351"/>
      <c r="K144" s="349"/>
      <c r="L144" s="349" t="str">
        <f>HYPERLINK("https://crm.zoho.com/crm/org685875245/tab/Accounts/3525045000566038619","https://crm.zoho.com/crm/org685875245/tab/Accounts/3525045000566038619")</f>
        <v>https://crm.zoho.com/crm/org685875245/tab/Accounts/3525045000566038619</v>
      </c>
      <c r="M144" s="553"/>
      <c r="N144" s="352" t="s">
        <v>817</v>
      </c>
      <c r="O144" s="540" t="s">
        <v>1083</v>
      </c>
      <c r="P144" s="540" t="s">
        <v>1084</v>
      </c>
      <c r="Q144" s="540" t="s">
        <v>1085</v>
      </c>
      <c r="R144" s="352"/>
      <c r="S144" s="352"/>
      <c r="T144" s="397"/>
      <c r="U144" s="362" t="s">
        <v>82</v>
      </c>
      <c r="V144" s="355"/>
      <c r="W144" s="355"/>
      <c r="X144" s="355">
        <v>69.86</v>
      </c>
      <c r="Y144" s="356">
        <v>137.94999999999999</v>
      </c>
      <c r="Z144" s="337">
        <v>635.48180000000002</v>
      </c>
      <c r="AA144" s="365">
        <v>629</v>
      </c>
      <c r="AB144" s="365">
        <v>634</v>
      </c>
      <c r="AC144" s="635">
        <v>322.73399999999998</v>
      </c>
      <c r="AD144" s="365">
        <v>579.47019999999998</v>
      </c>
      <c r="AE144" s="357">
        <v>46</v>
      </c>
      <c r="AF144" s="358">
        <v>100</v>
      </c>
      <c r="AG144" s="354"/>
      <c r="AH144" s="359"/>
      <c r="AI144" s="360" t="s">
        <v>83</v>
      </c>
      <c r="AJ144" s="361" t="s">
        <v>101</v>
      </c>
      <c r="AK144" s="362" t="s">
        <v>1086</v>
      </c>
      <c r="AL144" s="358" t="s">
        <v>103</v>
      </c>
      <c r="AM144" s="349"/>
      <c r="AN144" s="349"/>
      <c r="AO144" s="349"/>
      <c r="AP144" s="349"/>
      <c r="AQ144" s="349"/>
      <c r="AR144" s="453"/>
      <c r="AS144" s="362" t="s">
        <v>103</v>
      </c>
      <c r="AT144" s="345"/>
      <c r="AU144" s="345"/>
      <c r="AV144" s="345"/>
      <c r="AW144" s="345"/>
      <c r="AX144" s="345"/>
      <c r="AY144" s="345"/>
      <c r="AZ144" s="345"/>
      <c r="BA144" s="345"/>
      <c r="BB144" s="345"/>
      <c r="BC144" s="345"/>
      <c r="BD144" s="345"/>
      <c r="BE144" s="345"/>
      <c r="BF144" s="345"/>
      <c r="BG144" s="345"/>
      <c r="BH144" s="345"/>
      <c r="BI144" s="345"/>
      <c r="BJ144" s="346">
        <f>COUNTIF(AT144:BI144,"*OP*")</f>
        <v>0</v>
      </c>
      <c r="BK144" s="362" t="s">
        <v>103</v>
      </c>
      <c r="BL144" s="349">
        <f>(COUNTIF(AT144:AV144,"*OK*")*3) + (COUNTIF(AW144:AY144,"*OK*")*2) + COUNTIF(AZ144:BB144,"*OK*")+COUNTIF(BK144:BK144,"SI")*0.5</f>
        <v>0</v>
      </c>
      <c r="BM144" s="349" t="str">
        <f>IF(BL144&lt;0.6,"Demasiado Riesgo",IF(BL144&lt;=5,"Riesgo Medio",IF(BL144&lt;=11,"Riesgo Bajo","Cliente Blindado")))</f>
        <v>Demasiado Riesgo</v>
      </c>
      <c r="BN144" s="349"/>
      <c r="BO144" s="328"/>
      <c r="BP144" s="328"/>
      <c r="BQ144" s="328"/>
      <c r="BR144" s="328"/>
      <c r="BS144" s="328"/>
      <c r="BT144" s="328"/>
      <c r="BU144" s="328"/>
      <c r="BV144" s="328"/>
      <c r="BW144" s="328"/>
      <c r="BX144" s="328"/>
      <c r="BY144" s="328"/>
      <c r="BZ144" s="328"/>
      <c r="CA144" s="328"/>
      <c r="CB144" s="328"/>
      <c r="CC144" s="328"/>
      <c r="CD144" s="328"/>
      <c r="CE144" s="328"/>
      <c r="CF144" s="328"/>
      <c r="CG144" s="328"/>
      <c r="CH144" s="328"/>
      <c r="CI144" s="328"/>
      <c r="CJ144" s="328"/>
      <c r="CK144" s="328"/>
      <c r="CL144" s="328">
        <f>COUNTIF(AT144:BH144,"*OK*")</f>
        <v>0</v>
      </c>
      <c r="CM144" s="328"/>
      <c r="CN144" s="328"/>
    </row>
    <row r="145" spans="1:94" ht="15" customHeight="1">
      <c r="A145" s="837">
        <v>6588</v>
      </c>
      <c r="B145" s="560" t="s">
        <v>1087</v>
      </c>
      <c r="C145" s="329">
        <f t="shared" si="4"/>
        <v>339.23840000000001</v>
      </c>
      <c r="D145" s="352">
        <f>COUNTIF(AT145:BH145,"*OK*")</f>
        <v>0</v>
      </c>
      <c r="E145" s="351" t="s">
        <v>93</v>
      </c>
      <c r="F145" s="351" t="s">
        <v>1088</v>
      </c>
      <c r="G145" s="331" t="s">
        <v>358</v>
      </c>
      <c r="H145" s="650">
        <f>IF(LEN(TRIM($G145&amp;""))=0, $C145, SUMIF($G$3:$G$561, TRIM($G145), $C$3:$C$561))</f>
        <v>2091.1147999999998</v>
      </c>
      <c r="I145" s="413" t="s">
        <v>76</v>
      </c>
      <c r="J145" s="351"/>
      <c r="K145" s="349"/>
      <c r="L145" s="349"/>
      <c r="M145" s="359" t="s">
        <v>96</v>
      </c>
      <c r="N145" s="359"/>
      <c r="O145" s="545"/>
      <c r="P145" s="545"/>
      <c r="Q145" s="545"/>
      <c r="R145" s="359" t="s">
        <v>111</v>
      </c>
      <c r="S145" s="359"/>
      <c r="T145" s="351"/>
      <c r="U145" s="362" t="s">
        <v>82</v>
      </c>
      <c r="V145" s="355">
        <v>334.1</v>
      </c>
      <c r="W145" s="355">
        <v>320.06</v>
      </c>
      <c r="X145" s="355">
        <v>335.5</v>
      </c>
      <c r="Y145" s="356">
        <v>339.57</v>
      </c>
      <c r="Z145" s="337">
        <v>366.90410000000003</v>
      </c>
      <c r="AA145" s="367">
        <v>349.17</v>
      </c>
      <c r="AB145" s="367">
        <v>329.18090000000001</v>
      </c>
      <c r="AC145" s="636">
        <v>322.49930000000001</v>
      </c>
      <c r="AD145" s="367">
        <v>339.23840000000001</v>
      </c>
      <c r="AE145" s="357">
        <v>858</v>
      </c>
      <c r="AF145" s="358">
        <v>200</v>
      </c>
      <c r="AG145" s="354"/>
      <c r="AH145" s="359"/>
      <c r="AI145" s="370" t="s">
        <v>821</v>
      </c>
      <c r="AJ145" s="361" t="s">
        <v>130</v>
      </c>
      <c r="AK145" s="362" t="s">
        <v>1089</v>
      </c>
      <c r="AL145" s="358" t="s">
        <v>103</v>
      </c>
      <c r="AM145" s="349"/>
      <c r="AN145" s="349" t="s">
        <v>152</v>
      </c>
      <c r="AO145" s="349"/>
      <c r="AP145" s="349"/>
      <c r="AQ145" s="349"/>
      <c r="AR145" s="453"/>
      <c r="AS145" s="363"/>
      <c r="AT145" s="345"/>
      <c r="AU145" s="345"/>
      <c r="AV145" s="345"/>
      <c r="AW145" s="345"/>
      <c r="AX145" s="345"/>
      <c r="AY145" s="345"/>
      <c r="AZ145" s="345"/>
      <c r="BA145" s="345"/>
      <c r="BB145" s="345"/>
      <c r="BC145" s="345"/>
      <c r="BD145" s="345"/>
      <c r="BE145" s="345"/>
      <c r="BF145" s="345"/>
      <c r="BG145" s="345"/>
      <c r="BH145" s="345"/>
      <c r="BI145" s="345"/>
      <c r="BJ145" s="346">
        <f>COUNTIF(AT145:BI145,"*OP*")</f>
        <v>0</v>
      </c>
      <c r="BK145" s="363" t="s">
        <v>103</v>
      </c>
      <c r="BL145" s="349">
        <f>(COUNTIF(AT145:AV145,"*OK*")*3) + (COUNTIF(AW145:AY145,"*OK*")*2) + COUNTIF(AZ145:BB145,"*OK*")+COUNTIF(BK145:BK145,"SI")*0.5</f>
        <v>0</v>
      </c>
      <c r="BM145" s="349" t="str">
        <f>IF(BL145&lt;0.6,"Demasiado Riesgo",IF(BL145&lt;=5,"Riesgo Medio",IF(BL145&lt;=11,"Riesgo Bajo","Cliente Blindado")))</f>
        <v>Demasiado Riesgo</v>
      </c>
      <c r="BN145" s="349"/>
      <c r="BO145" s="328"/>
      <c r="BP145" s="328">
        <v>0</v>
      </c>
      <c r="BQ145" s="328"/>
      <c r="BR145" s="328"/>
      <c r="BS145" s="328"/>
      <c r="BT145" s="328"/>
      <c r="BU145" s="328"/>
      <c r="BV145" s="328"/>
      <c r="BW145" s="328"/>
      <c r="BX145" s="328"/>
      <c r="BY145" s="328"/>
      <c r="BZ145" s="328"/>
      <c r="CA145" s="328"/>
      <c r="CB145" s="328"/>
      <c r="CC145" s="328"/>
      <c r="CD145" s="328"/>
      <c r="CE145" s="328"/>
      <c r="CF145" s="328"/>
      <c r="CG145" s="328"/>
      <c r="CH145" s="328"/>
      <c r="CI145" s="328"/>
      <c r="CJ145" s="328"/>
      <c r="CK145" s="328"/>
      <c r="CL145" s="328">
        <f>COUNTIF(AT145:BH145,"*OK*")</f>
        <v>0</v>
      </c>
      <c r="CM145" s="328"/>
      <c r="CN145" s="328">
        <f>COUNTIF(AT145:BH145,"*OP*")</f>
        <v>0</v>
      </c>
    </row>
    <row r="146" spans="1:94" ht="15" customHeight="1">
      <c r="A146" s="834">
        <v>27381</v>
      </c>
      <c r="B146" s="560" t="s">
        <v>1090</v>
      </c>
      <c r="C146" s="329">
        <f t="shared" si="4"/>
        <v>295.25720000000001</v>
      </c>
      <c r="D146" s="332">
        <f>COUNTIF(AT146:BH146,"*OK*")</f>
        <v>0</v>
      </c>
      <c r="E146" s="331" t="s">
        <v>439</v>
      </c>
      <c r="F146" s="331" t="s">
        <v>1091</v>
      </c>
      <c r="G146" s="331"/>
      <c r="H146" s="650">
        <f>IF(LEN(TRIM($G146&amp;""))=0, $C146, SUMIF($G$3:$G$561, TRIM($G146), $C$3:$C$561))</f>
        <v>295.25720000000001</v>
      </c>
      <c r="I146" s="410" t="s">
        <v>562</v>
      </c>
      <c r="J146" s="331"/>
      <c r="K146" s="328"/>
      <c r="L146" s="328" t="str">
        <f>HYPERLINK("https://crm.zoho.com/crm/org685875245/tab/Accounts/3525045000378662266","https://crm.zoho.com/crm/org685875245/tab/Accounts/3525045000378662266")</f>
        <v>https://crm.zoho.com/crm/org685875245/tab/Accounts/3525045000378662266</v>
      </c>
      <c r="M146" s="391" t="s">
        <v>77</v>
      </c>
      <c r="N146" s="332"/>
      <c r="O146" s="541" t="s">
        <v>1092</v>
      </c>
      <c r="P146" s="541" t="s">
        <v>1093</v>
      </c>
      <c r="Q146" s="541" t="s">
        <v>1094</v>
      </c>
      <c r="R146" s="332"/>
      <c r="S146" s="332"/>
      <c r="T146" s="331"/>
      <c r="U146" s="334" t="s">
        <v>198</v>
      </c>
      <c r="V146" s="335">
        <v>241.76</v>
      </c>
      <c r="W146" s="335">
        <v>237.94</v>
      </c>
      <c r="X146" s="335">
        <v>233.62</v>
      </c>
      <c r="Y146" s="336">
        <v>248.24</v>
      </c>
      <c r="Z146" s="337">
        <v>244.3878</v>
      </c>
      <c r="AA146" s="365">
        <v>241.71</v>
      </c>
      <c r="AB146" s="365">
        <v>293.93029999999999</v>
      </c>
      <c r="AC146" s="635">
        <v>321.23649999999998</v>
      </c>
      <c r="AD146" s="365">
        <v>295.25720000000001</v>
      </c>
      <c r="AE146" s="339">
        <v>84</v>
      </c>
      <c r="AF146" s="340">
        <v>300</v>
      </c>
      <c r="AG146" s="334"/>
      <c r="AH146" s="341"/>
      <c r="AI146" s="342" t="s">
        <v>100</v>
      </c>
      <c r="AJ146" s="343" t="s">
        <v>130</v>
      </c>
      <c r="AK146" s="344" t="s">
        <v>1095</v>
      </c>
      <c r="AL146" s="340" t="s">
        <v>224</v>
      </c>
      <c r="AM146" s="328"/>
      <c r="AN146" s="328"/>
      <c r="AO146" s="328"/>
      <c r="AP146" s="328"/>
      <c r="AQ146" s="328"/>
      <c r="AR146" s="451"/>
      <c r="AS146" s="344" t="s">
        <v>88</v>
      </c>
      <c r="AT146" s="345"/>
      <c r="AU146" s="345"/>
      <c r="AV146" s="345"/>
      <c r="AW146" s="345"/>
      <c r="AX146" s="345"/>
      <c r="AY146" s="345"/>
      <c r="AZ146" s="345"/>
      <c r="BA146" s="345"/>
      <c r="BB146" s="345"/>
      <c r="BC146" s="345"/>
      <c r="BD146" s="345"/>
      <c r="BE146" s="345"/>
      <c r="BF146" s="345"/>
      <c r="BG146" s="345"/>
      <c r="BH146" s="345"/>
      <c r="BI146" s="345"/>
      <c r="BJ146" s="364">
        <f>COUNTIF(AT146:BI146,"*OP*")</f>
        <v>0</v>
      </c>
      <c r="BK146" s="344" t="s">
        <v>89</v>
      </c>
      <c r="BL146" s="328">
        <f>(COUNTIF(AT146:AV146,"*OK*")*3) + (COUNTIF(AW146:AY146,"*OK*")*2) + COUNTIF(AZ146:BB146,"*OK*")+COUNTIF(BK146:BK146,"SI")*0.5</f>
        <v>0</v>
      </c>
      <c r="BM146" s="328" t="str">
        <f>IF(BL146&lt;0.6,"Demasiado Riesgo",IF(BL146&lt;=5,"Riesgo Medio",IF(BL146&lt;=11,"Riesgo Bajo","Cliente Blindado")))</f>
        <v>Demasiado Riesgo</v>
      </c>
      <c r="BN146" s="328"/>
      <c r="BO146" s="328"/>
      <c r="BP146" s="328">
        <v>0</v>
      </c>
      <c r="BQ146" s="328"/>
      <c r="BR146" s="328"/>
      <c r="BS146" s="328"/>
      <c r="BT146" s="328"/>
      <c r="BU146" s="328"/>
      <c r="BV146" s="328"/>
      <c r="BW146" s="328"/>
      <c r="BX146" s="328"/>
      <c r="BY146" s="328"/>
      <c r="BZ146" s="328"/>
      <c r="CA146" s="328"/>
      <c r="CB146" s="328"/>
      <c r="CC146" s="328"/>
      <c r="CD146" s="328"/>
      <c r="CE146" s="328"/>
      <c r="CF146" s="328"/>
      <c r="CG146" s="328"/>
      <c r="CH146" s="328"/>
      <c r="CI146" s="328"/>
      <c r="CJ146" s="328"/>
      <c r="CK146" s="328"/>
      <c r="CL146" s="328">
        <f>COUNTIF(AT146:BH146,"*OK*")</f>
        <v>0</v>
      </c>
      <c r="CM146" s="328"/>
      <c r="CN146" s="328">
        <f>COUNTIF(AT146:BH146,"*OP*")</f>
        <v>0</v>
      </c>
    </row>
    <row r="147" spans="1:94" ht="15" customHeight="1">
      <c r="A147" s="836">
        <v>33253</v>
      </c>
      <c r="B147" s="560" t="s">
        <v>979</v>
      </c>
      <c r="C147" s="329">
        <f t="shared" si="4"/>
        <v>305.46359999999999</v>
      </c>
      <c r="D147" s="332">
        <f>COUNTIF(AT147:BH147,"*OK*")</f>
        <v>0</v>
      </c>
      <c r="E147" s="331" t="s">
        <v>73</v>
      </c>
      <c r="F147" s="331" t="s">
        <v>1096</v>
      </c>
      <c r="G147" s="351" t="s">
        <v>981</v>
      </c>
      <c r="H147" s="650">
        <f>IF(LEN(TRIM($G147&amp;""))=0, $C147, SUMIF($G$3:$G$561, TRIM($G147), $C$3:$C$561))</f>
        <v>1278.1458</v>
      </c>
      <c r="I147" s="410" t="s">
        <v>76</v>
      </c>
      <c r="J147" s="331"/>
      <c r="K147" s="560"/>
      <c r="L147" s="560" t="str">
        <f>HYPERLINK("https://crm.zoho.com/crm/org685875245/tab/Accounts/3525045000461676230","https://crm.zoho.com/crm/org685875245/tab/Accounts/3525045000461676230")</f>
        <v>https://crm.zoho.com/crm/org685875245/tab/Accounts/3525045000461676230</v>
      </c>
      <c r="M147" s="391" t="s">
        <v>77</v>
      </c>
      <c r="N147" s="560"/>
      <c r="O147" s="561" t="s">
        <v>982</v>
      </c>
      <c r="P147" s="561" t="s">
        <v>983</v>
      </c>
      <c r="Q147" s="561" t="s">
        <v>984</v>
      </c>
      <c r="R147" s="560"/>
      <c r="S147" s="332"/>
      <c r="T147" s="331"/>
      <c r="U147" s="334" t="s">
        <v>142</v>
      </c>
      <c r="V147" s="335">
        <v>288.86</v>
      </c>
      <c r="W147" s="335">
        <v>291.2</v>
      </c>
      <c r="X147" s="335">
        <v>290.77</v>
      </c>
      <c r="Y147" s="336">
        <v>302.69</v>
      </c>
      <c r="Z147" s="337">
        <v>314.56349999999998</v>
      </c>
      <c r="AA147" s="347">
        <v>313.69</v>
      </c>
      <c r="AB147" s="347">
        <v>318.9246</v>
      </c>
      <c r="AC147" s="638">
        <v>320.38679999999999</v>
      </c>
      <c r="AD147" s="347">
        <v>305.46359999999999</v>
      </c>
      <c r="AE147" s="339">
        <v>1583</v>
      </c>
      <c r="AF147" s="340">
        <v>1525</v>
      </c>
      <c r="AG147" s="334"/>
      <c r="AH147" s="341"/>
      <c r="AI147" s="342" t="s">
        <v>379</v>
      </c>
      <c r="AJ147" s="343" t="s">
        <v>852</v>
      </c>
      <c r="AK147" s="344" t="s">
        <v>1097</v>
      </c>
      <c r="AL147" s="340" t="s">
        <v>103</v>
      </c>
      <c r="AM147" s="328"/>
      <c r="AN147" s="328"/>
      <c r="AO147" s="328"/>
      <c r="AP147" s="328"/>
      <c r="AQ147" s="328"/>
      <c r="AR147" s="451"/>
      <c r="AS147" s="375" t="s">
        <v>103</v>
      </c>
      <c r="AT147" s="345"/>
      <c r="AU147" s="345"/>
      <c r="AV147" s="345"/>
      <c r="AW147" s="345"/>
      <c r="AX147" s="345"/>
      <c r="AY147" s="345"/>
      <c r="AZ147" s="594"/>
      <c r="BA147" s="345"/>
      <c r="BB147" s="345"/>
      <c r="BC147" s="345"/>
      <c r="BD147" s="345"/>
      <c r="BE147" s="345"/>
      <c r="BF147" s="345"/>
      <c r="BG147" s="345"/>
      <c r="BH147" s="345"/>
      <c r="BI147" s="345"/>
      <c r="BJ147" s="346">
        <f>COUNTIF(AT147:BI147,"*OP*")</f>
        <v>0</v>
      </c>
      <c r="BK147" s="344" t="s">
        <v>103</v>
      </c>
      <c r="BL147" s="328">
        <f>(COUNTIF(AT147:AV147,"*OK*")*3) + (COUNTIF(AW147:AY147,"*OK*")*2) + COUNTIF(AZ147:BB147,"*OK*")+COUNTIF(BK147:BK147,"SI")*0.5</f>
        <v>0</v>
      </c>
      <c r="BM147" s="328" t="str">
        <f>IF(BL147&lt;0.6,"Demasiado Riesgo",IF(BL147&lt;=5,"Riesgo Medio",IF(BL147&lt;=11,"Riesgo Bajo","Cliente Blindado")))</f>
        <v>Demasiado Riesgo</v>
      </c>
      <c r="BN147" s="328"/>
      <c r="BO147" s="328"/>
      <c r="BP147" s="328">
        <v>0</v>
      </c>
      <c r="BQ147" s="328"/>
      <c r="BR147" s="328"/>
      <c r="BS147" s="328"/>
      <c r="BT147" s="328"/>
      <c r="BU147" s="328"/>
      <c r="BV147" s="328"/>
      <c r="BW147" s="328"/>
      <c r="BX147" s="328"/>
      <c r="BY147" s="328"/>
      <c r="BZ147" s="328"/>
      <c r="CA147" s="328"/>
      <c r="CB147" s="328"/>
      <c r="CC147" s="328"/>
      <c r="CD147" s="328"/>
      <c r="CE147" s="328"/>
      <c r="CF147" s="328"/>
      <c r="CG147" s="328"/>
      <c r="CH147" s="328"/>
      <c r="CI147" s="328"/>
      <c r="CJ147" s="328"/>
      <c r="CK147" s="328"/>
      <c r="CL147" s="328">
        <f>COUNTIF(AT147:BH147,"*OK*")</f>
        <v>0</v>
      </c>
      <c r="CM147" s="328"/>
      <c r="CN147" s="328">
        <f>COUNTIF(AT147:BH147,"*OP*")</f>
        <v>0</v>
      </c>
    </row>
    <row r="148" spans="1:94" ht="15" customHeight="1">
      <c r="A148" s="835">
        <v>20172</v>
      </c>
      <c r="B148" s="560" t="s">
        <v>1098</v>
      </c>
      <c r="C148" s="329">
        <f t="shared" si="4"/>
        <v>301.25490000000002</v>
      </c>
      <c r="D148" s="352">
        <f>COUNTIF(AT148:BH148,"*OK*")</f>
        <v>0</v>
      </c>
      <c r="E148" s="331" t="s">
        <v>73</v>
      </c>
      <c r="F148" s="351" t="s">
        <v>1099</v>
      </c>
      <c r="G148" s="351" t="s">
        <v>1100</v>
      </c>
      <c r="H148" s="650">
        <f>IF(LEN(TRIM($G148&amp;""))=0, $C148, SUMIF($G$3:$G$561, TRIM($G148), $C$3:$C$561))</f>
        <v>301.25490000000002</v>
      </c>
      <c r="I148" s="413" t="s">
        <v>562</v>
      </c>
      <c r="J148" s="351"/>
      <c r="K148" s="558"/>
      <c r="L148" s="558"/>
      <c r="M148" s="553" t="s">
        <v>525</v>
      </c>
      <c r="N148" s="558"/>
      <c r="O148" s="559" t="s">
        <v>1101</v>
      </c>
      <c r="P148" s="559" t="s">
        <v>1102</v>
      </c>
      <c r="Q148" s="559" t="s">
        <v>1103</v>
      </c>
      <c r="R148" s="558"/>
      <c r="S148" s="352"/>
      <c r="T148" s="351"/>
      <c r="U148" s="354" t="s">
        <v>82</v>
      </c>
      <c r="V148" s="355">
        <v>292.74</v>
      </c>
      <c r="W148" s="355">
        <v>310.39999999999998</v>
      </c>
      <c r="X148" s="355">
        <v>295.8</v>
      </c>
      <c r="Y148" s="356">
        <v>0</v>
      </c>
      <c r="Z148" s="337">
        <v>338.9307</v>
      </c>
      <c r="AA148" s="347">
        <v>306.62</v>
      </c>
      <c r="AB148" s="347">
        <v>316.32249999999999</v>
      </c>
      <c r="AC148" s="638">
        <v>320.31290000000001</v>
      </c>
      <c r="AD148" s="347">
        <v>301.25490000000002</v>
      </c>
      <c r="AE148" s="357">
        <v>193</v>
      </c>
      <c r="AF148" s="358">
        <v>100</v>
      </c>
      <c r="AG148" s="354"/>
      <c r="AH148" s="359"/>
      <c r="AI148" s="427" t="s">
        <v>83</v>
      </c>
      <c r="AJ148" s="361" t="s">
        <v>396</v>
      </c>
      <c r="AK148" s="362" t="s">
        <v>1104</v>
      </c>
      <c r="AL148" s="358" t="s">
        <v>103</v>
      </c>
      <c r="AM148" s="349"/>
      <c r="AN148" s="349"/>
      <c r="AO148" s="349"/>
      <c r="AP148" s="349"/>
      <c r="AQ148" s="349"/>
      <c r="AR148" s="453"/>
      <c r="AS148" s="363" t="s">
        <v>103</v>
      </c>
      <c r="AT148" s="364"/>
      <c r="AU148" s="364"/>
      <c r="AV148" s="364"/>
      <c r="AW148" s="364"/>
      <c r="AX148" s="364"/>
      <c r="AY148" s="364"/>
      <c r="AZ148" s="364"/>
      <c r="BA148" s="364"/>
      <c r="BB148" s="364"/>
      <c r="BC148" s="364"/>
      <c r="BD148" s="364"/>
      <c r="BE148" s="364"/>
      <c r="BF148" s="364"/>
      <c r="BG148" s="364"/>
      <c r="BH148" s="364"/>
      <c r="BI148" s="364"/>
      <c r="BJ148" s="346">
        <f>COUNTIF(AT148:BI148,"*OP*")</f>
        <v>0</v>
      </c>
      <c r="BK148" s="363" t="s">
        <v>103</v>
      </c>
      <c r="BL148" s="349">
        <f>(COUNTIF(AT148:AV148,"*OK*")*3) + (COUNTIF(AW148:AY148,"*OK*")*2) + COUNTIF(AZ148:BB148,"*OK*")+COUNTIF(BK148:BK148,"SI")*0.5</f>
        <v>0</v>
      </c>
      <c r="BM148" s="349" t="str">
        <f>IF(BL148&lt;0.6,"Demasiado Riesgo",IF(BL148&lt;=5,"Riesgo Medio",IF(BL148&lt;=11,"Riesgo Bajo","Cliente Blindado")))</f>
        <v>Demasiado Riesgo</v>
      </c>
      <c r="BN148" s="349"/>
      <c r="BO148" s="349"/>
      <c r="BP148" s="349">
        <v>0</v>
      </c>
      <c r="BQ148" s="349"/>
      <c r="BR148" s="349"/>
      <c r="BS148" s="349"/>
      <c r="BT148" s="349"/>
      <c r="BU148" s="349"/>
      <c r="BV148" s="349"/>
      <c r="BW148" s="349"/>
      <c r="BX148" s="349"/>
      <c r="BY148" s="349"/>
      <c r="BZ148" s="349"/>
      <c r="CA148" s="349"/>
      <c r="CB148" s="349"/>
      <c r="CC148" s="349"/>
      <c r="CD148" s="349"/>
      <c r="CE148" s="349"/>
      <c r="CF148" s="349"/>
      <c r="CG148" s="349"/>
      <c r="CH148" s="349"/>
      <c r="CI148" s="349"/>
      <c r="CJ148" s="349"/>
      <c r="CK148" s="349"/>
      <c r="CL148" s="349">
        <f>COUNTIF(AT148:BH148,"*OK*")</f>
        <v>0</v>
      </c>
      <c r="CM148" s="349"/>
      <c r="CN148" s="349">
        <f>COUNTIF(AT148:BH148,"*OP*")</f>
        <v>0</v>
      </c>
      <c r="CO148" s="326"/>
    </row>
    <row r="149" spans="1:94" ht="15" customHeight="1">
      <c r="A149" s="835">
        <v>25116</v>
      </c>
      <c r="B149" s="560" t="s">
        <v>1105</v>
      </c>
      <c r="C149" s="329">
        <f t="shared" si="4"/>
        <v>292.20749999999998</v>
      </c>
      <c r="D149" s="352">
        <f>COUNTIF(AT149:BH149,"*OK*")</f>
        <v>0</v>
      </c>
      <c r="E149" s="331" t="s">
        <v>73</v>
      </c>
      <c r="F149" s="351" t="s">
        <v>1106</v>
      </c>
      <c r="G149" s="672"/>
      <c r="H149" s="650">
        <f>IF(LEN(TRIM($G149&amp;""))=0, $C149, SUMIF($G$3:$G$561, TRIM($G149), $C$3:$C$561))</f>
        <v>292.20749999999998</v>
      </c>
      <c r="I149" s="413" t="s">
        <v>562</v>
      </c>
      <c r="J149" s="672"/>
      <c r="K149" s="558"/>
      <c r="L149" s="558" t="str">
        <f>HYPERLINK("https://crm.zoho.com/crm/org685875245/tab/Accounts/3525045000263704097","https://crm.zoho.com/crm/org685875245/tab/Accounts/3525045000263704097")</f>
        <v>https://crm.zoho.com/crm/org685875245/tab/Accounts/3525045000263704097</v>
      </c>
      <c r="M149" s="553" t="s">
        <v>96</v>
      </c>
      <c r="N149" s="558"/>
      <c r="O149" s="685" t="s">
        <v>1107</v>
      </c>
      <c r="P149" s="685" t="s">
        <v>1108</v>
      </c>
      <c r="Q149" s="685" t="s">
        <v>1109</v>
      </c>
      <c r="R149" s="695"/>
      <c r="S149" s="698"/>
      <c r="T149" s="351"/>
      <c r="U149" s="354" t="s">
        <v>285</v>
      </c>
      <c r="V149" s="355">
        <v>377.32</v>
      </c>
      <c r="W149" s="355">
        <v>346.29</v>
      </c>
      <c r="X149" s="355">
        <v>327.92</v>
      </c>
      <c r="Y149" s="356">
        <v>347.1</v>
      </c>
      <c r="Z149" s="337">
        <v>321.18060000000003</v>
      </c>
      <c r="AA149" s="347">
        <v>315.5</v>
      </c>
      <c r="AB149" s="347">
        <v>313.80110000000002</v>
      </c>
      <c r="AC149" s="638">
        <v>315.13150000000002</v>
      </c>
      <c r="AD149" s="347">
        <v>292.20749999999998</v>
      </c>
      <c r="AE149" s="357">
        <v>151</v>
      </c>
      <c r="AF149" s="358">
        <v>150</v>
      </c>
      <c r="AG149" s="354"/>
      <c r="AH149" s="359" t="s">
        <v>83</v>
      </c>
      <c r="AI149" s="360" t="s">
        <v>83</v>
      </c>
      <c r="AJ149" s="361" t="s">
        <v>297</v>
      </c>
      <c r="AK149" s="362" t="s">
        <v>1110</v>
      </c>
      <c r="AL149" s="358" t="s">
        <v>829</v>
      </c>
      <c r="AM149" s="349"/>
      <c r="AN149" s="349"/>
      <c r="AO149" s="349"/>
      <c r="AP149" s="349"/>
      <c r="AQ149" s="349"/>
      <c r="AR149" s="453"/>
      <c r="AS149" s="362" t="s">
        <v>88</v>
      </c>
      <c r="AT149" s="345"/>
      <c r="AU149" s="345"/>
      <c r="AV149" s="345" t="s">
        <v>173</v>
      </c>
      <c r="AW149" s="345"/>
      <c r="AX149" s="345"/>
      <c r="AY149" s="345"/>
      <c r="AZ149" s="345"/>
      <c r="BA149" s="345"/>
      <c r="BB149" s="345"/>
      <c r="BC149" s="345"/>
      <c r="BD149" s="345"/>
      <c r="BE149" s="345"/>
      <c r="BF149" s="345"/>
      <c r="BG149" s="345"/>
      <c r="BH149" s="345"/>
      <c r="BI149" s="345"/>
      <c r="BJ149" s="364">
        <f>COUNTIF(AT149:BI149,"*OP*")</f>
        <v>1</v>
      </c>
      <c r="BK149" s="362" t="s">
        <v>89</v>
      </c>
      <c r="BL149" s="349">
        <f>(COUNTIF(AT149:AV149,"*OK*")*3) + (COUNTIF(AW149:AY149,"*OK*")*2) + COUNTIF(AZ149:BB149,"*OK*")+COUNTIF(BK149:BK149,"SI")*0.5</f>
        <v>0</v>
      </c>
      <c r="BM149" s="349" t="str">
        <f>IF(BL149&lt;0.6,"Demasiado Riesgo",IF(BL149&lt;=5,"Riesgo Medio",IF(BL149&lt;=11,"Riesgo Bajo","Cliente Blindado")))</f>
        <v>Demasiado Riesgo</v>
      </c>
      <c r="BN149" s="349"/>
      <c r="BO149" s="328"/>
      <c r="BP149" s="328">
        <v>0</v>
      </c>
      <c r="BQ149" s="328"/>
      <c r="BR149" s="328"/>
      <c r="BS149" s="328"/>
      <c r="BT149" s="328"/>
      <c r="BU149" s="328"/>
      <c r="BV149" s="328"/>
      <c r="BW149" s="328"/>
      <c r="BX149" s="328"/>
      <c r="BY149" s="328"/>
      <c r="BZ149" s="328"/>
      <c r="CA149" s="328"/>
      <c r="CB149" s="328"/>
      <c r="CC149" s="328"/>
      <c r="CD149" s="328"/>
      <c r="CE149" s="328"/>
      <c r="CF149" s="328"/>
      <c r="CG149" s="328"/>
      <c r="CH149" s="328"/>
      <c r="CI149" s="328"/>
      <c r="CJ149" s="328"/>
      <c r="CK149" s="328"/>
      <c r="CL149" s="328">
        <f>COUNTIF(AT149:BH149,"*OK*")</f>
        <v>0</v>
      </c>
      <c r="CM149" s="328"/>
      <c r="CN149" s="328">
        <f>COUNTIF(AT149:BH149,"*OP*")</f>
        <v>1</v>
      </c>
    </row>
    <row r="150" spans="1:94" ht="15" customHeight="1">
      <c r="A150" s="837">
        <v>25008</v>
      </c>
      <c r="B150" s="560" t="s">
        <v>1111</v>
      </c>
      <c r="C150" s="329">
        <f t="shared" si="4"/>
        <v>237.39240000000001</v>
      </c>
      <c r="D150" s="352">
        <f>COUNTIF(AT150:BH150,"*OK*")</f>
        <v>0</v>
      </c>
      <c r="E150" s="331" t="s">
        <v>73</v>
      </c>
      <c r="F150" s="351" t="s">
        <v>1112</v>
      </c>
      <c r="G150" s="351"/>
      <c r="H150" s="650">
        <f>IF(LEN(TRIM($G150&amp;""))=0, $C150, SUMIF($G$3:$G$561, TRIM($G150), $C$3:$C$561))</f>
        <v>237.39240000000001</v>
      </c>
      <c r="I150" s="353" t="s">
        <v>562</v>
      </c>
      <c r="J150" s="351"/>
      <c r="K150" s="558"/>
      <c r="L150" s="558" t="str">
        <f>HYPERLINK("https://crm.zoho.com/crm/org685875245/tab/Accounts/3525045000310030384","https://crm.zoho.com/crm/org685875245/tab/Accounts/3525045000310030384")</f>
        <v>https://crm.zoho.com/crm/org685875245/tab/Accounts/3525045000310030384</v>
      </c>
      <c r="M150" s="553" t="s">
        <v>96</v>
      </c>
      <c r="N150" s="558"/>
      <c r="O150" s="559" t="s">
        <v>1113</v>
      </c>
      <c r="P150" s="559" t="s">
        <v>1114</v>
      </c>
      <c r="Q150" s="559" t="s">
        <v>1115</v>
      </c>
      <c r="R150" s="558"/>
      <c r="S150" s="352"/>
      <c r="T150" s="351"/>
      <c r="U150" s="354" t="s">
        <v>82</v>
      </c>
      <c r="V150" s="355">
        <v>274.77</v>
      </c>
      <c r="W150" s="355">
        <v>230.35</v>
      </c>
      <c r="X150" s="355">
        <v>217.51</v>
      </c>
      <c r="Y150" s="356">
        <v>230.72</v>
      </c>
      <c r="Z150" s="337">
        <v>250.60230000000001</v>
      </c>
      <c r="AA150" s="338">
        <v>269.63</v>
      </c>
      <c r="AB150" s="338">
        <v>281.31909999999999</v>
      </c>
      <c r="AC150" s="634">
        <v>310.98649999999998</v>
      </c>
      <c r="AD150" s="338">
        <v>237.39240000000001</v>
      </c>
      <c r="AE150" s="357">
        <v>274</v>
      </c>
      <c r="AF150" s="358">
        <v>200</v>
      </c>
      <c r="AG150" s="354"/>
      <c r="AH150" s="359" t="s">
        <v>378</v>
      </c>
      <c r="AI150" s="361" t="s">
        <v>379</v>
      </c>
      <c r="AJ150" s="361" t="s">
        <v>143</v>
      </c>
      <c r="AK150" s="362" t="s">
        <v>1116</v>
      </c>
      <c r="AL150" s="358" t="s">
        <v>662</v>
      </c>
      <c r="AM150" s="349"/>
      <c r="AN150" s="349"/>
      <c r="AO150" s="349"/>
      <c r="AP150" s="349"/>
      <c r="AQ150" s="349"/>
      <c r="AR150" s="453"/>
      <c r="AS150" s="363" t="s">
        <v>103</v>
      </c>
      <c r="AT150" s="345"/>
      <c r="AU150" s="345"/>
      <c r="AV150" s="345"/>
      <c r="AW150" s="345"/>
      <c r="AX150" s="345"/>
      <c r="AY150" s="345"/>
      <c r="AZ150" s="345"/>
      <c r="BA150" s="345"/>
      <c r="BB150" s="345"/>
      <c r="BC150" s="345"/>
      <c r="BD150" s="345"/>
      <c r="BE150" s="345"/>
      <c r="BF150" s="345"/>
      <c r="BG150" s="345"/>
      <c r="BH150" s="345"/>
      <c r="BI150" s="345"/>
      <c r="BJ150" s="346">
        <f>COUNTIF(AT150:BI150,"*OP*")</f>
        <v>0</v>
      </c>
      <c r="BK150" s="363" t="s">
        <v>103</v>
      </c>
      <c r="BL150" s="349">
        <f>(COUNTIF(AT150:AV150,"*OK*")*3) + (COUNTIF(AW150:AY150,"*OK*")*2) + COUNTIF(AZ150:BB150,"*OK*")+COUNTIF(BK150:BK150,"SI")*0.5</f>
        <v>0</v>
      </c>
      <c r="BM150" s="349" t="str">
        <f>IF(BL150&lt;0.6,"Demasiado Riesgo",IF(BL150&lt;=5,"Riesgo Medio",IF(BL150&lt;=11,"Riesgo Bajo","Cliente Blindado")))</f>
        <v>Demasiado Riesgo</v>
      </c>
      <c r="BN150" s="349"/>
      <c r="BO150" s="328"/>
      <c r="BP150" s="328">
        <v>0</v>
      </c>
      <c r="BQ150" s="328"/>
      <c r="BR150" s="328"/>
      <c r="BS150" s="328"/>
      <c r="BT150" s="328"/>
      <c r="BU150" s="328"/>
      <c r="BV150" s="328"/>
      <c r="BW150" s="328"/>
      <c r="BX150" s="328"/>
      <c r="BY150" s="328"/>
      <c r="BZ150" s="328"/>
      <c r="CA150" s="328"/>
      <c r="CB150" s="328"/>
      <c r="CC150" s="328"/>
      <c r="CD150" s="328"/>
      <c r="CE150" s="328"/>
      <c r="CF150" s="328"/>
      <c r="CG150" s="328"/>
      <c r="CH150" s="328"/>
      <c r="CI150" s="328"/>
      <c r="CJ150" s="328"/>
      <c r="CK150" s="328"/>
      <c r="CL150" s="328">
        <f>COUNTIF(AT150:BH150,"*OK*")</f>
        <v>0</v>
      </c>
      <c r="CM150" s="328"/>
      <c r="CN150" s="328">
        <f>COUNTIF(AT150:BH150,"*OP*")</f>
        <v>0</v>
      </c>
    </row>
    <row r="151" spans="1:94" ht="15" customHeight="1">
      <c r="A151" s="834">
        <v>17845</v>
      </c>
      <c r="B151" s="560" t="s">
        <v>1117</v>
      </c>
      <c r="C151" s="329">
        <f t="shared" si="4"/>
        <v>299.7715</v>
      </c>
      <c r="D151" s="332">
        <f>COUNTIF(AT151:BH151,"*OK*")</f>
        <v>0</v>
      </c>
      <c r="E151" s="397" t="s">
        <v>439</v>
      </c>
      <c r="F151" s="497" t="s">
        <v>1118</v>
      </c>
      <c r="G151" s="331"/>
      <c r="H151" s="650">
        <f>IF(LEN(TRIM($G151&amp;""))=0, $C151, SUMIF($G$3:$G$561, TRIM($G151), $C$3:$C$561))</f>
        <v>299.7715</v>
      </c>
      <c r="I151" s="331" t="s">
        <v>562</v>
      </c>
      <c r="J151" s="331"/>
      <c r="K151" s="328"/>
      <c r="L151" s="328" t="str">
        <f>HYPERLINK("https://crm.zoho.com/crm/org685875245/tab/Accounts/3525045000428547000","https://crm.zoho.com/crm/org685875245/tab/Accounts/3525045000428547000")</f>
        <v>https://crm.zoho.com/crm/org685875245/tab/Accounts/3525045000428547000</v>
      </c>
      <c r="M151" s="391"/>
      <c r="N151" s="332" t="s">
        <v>817</v>
      </c>
      <c r="O151" s="541" t="s">
        <v>1119</v>
      </c>
      <c r="P151" s="541" t="s">
        <v>1120</v>
      </c>
      <c r="Q151" s="541" t="s">
        <v>1121</v>
      </c>
      <c r="R151" s="332"/>
      <c r="S151" s="352" t="s">
        <v>860</v>
      </c>
      <c r="T151" s="397"/>
      <c r="U151" s="334" t="s">
        <v>285</v>
      </c>
      <c r="V151" s="335">
        <v>213.94</v>
      </c>
      <c r="W151" s="335">
        <v>283.69</v>
      </c>
      <c r="X151" s="335">
        <v>296.27999999999997</v>
      </c>
      <c r="Y151" s="336">
        <v>313.45999999999998</v>
      </c>
      <c r="Z151" s="337">
        <v>317.67849999999999</v>
      </c>
      <c r="AA151" s="367">
        <v>318.02999999999997</v>
      </c>
      <c r="AB151" s="367">
        <v>332.30160000000001</v>
      </c>
      <c r="AC151" s="636">
        <v>310.86559999999997</v>
      </c>
      <c r="AD151" s="367">
        <v>299.7715</v>
      </c>
      <c r="AE151" s="339">
        <v>79</v>
      </c>
      <c r="AF151" s="340">
        <v>30</v>
      </c>
      <c r="AG151" s="334"/>
      <c r="AH151" s="341"/>
      <c r="AI151" s="342" t="s">
        <v>129</v>
      </c>
      <c r="AJ151" s="343" t="s">
        <v>130</v>
      </c>
      <c r="AK151" s="344" t="s">
        <v>1122</v>
      </c>
      <c r="AL151" s="340" t="s">
        <v>103</v>
      </c>
      <c r="AM151" s="328"/>
      <c r="AN151" s="328"/>
      <c r="AO151" s="328"/>
      <c r="AP151" s="328"/>
      <c r="AQ151" s="328"/>
      <c r="AR151" s="451"/>
      <c r="AS151" s="372" t="s">
        <v>103</v>
      </c>
      <c r="AT151" s="345"/>
      <c r="AU151" s="345"/>
      <c r="AV151" s="345"/>
      <c r="AW151" s="345"/>
      <c r="AX151" s="345"/>
      <c r="AY151" s="345"/>
      <c r="AZ151" s="345"/>
      <c r="BA151" s="345"/>
      <c r="BB151" s="345"/>
      <c r="BC151" s="345"/>
      <c r="BD151" s="345"/>
      <c r="BE151" s="345"/>
      <c r="BF151" s="345"/>
      <c r="BG151" s="345"/>
      <c r="BH151" s="345"/>
      <c r="BI151" s="345"/>
      <c r="BJ151" s="364">
        <f>COUNTIF(AT151:BI151,"*OP*")</f>
        <v>0</v>
      </c>
      <c r="BK151" s="375" t="s">
        <v>103</v>
      </c>
      <c r="BL151" s="328">
        <f>(COUNTIF(AT151:AV151,"*OK*")*3) + (COUNTIF(AW151:AY151,"*OK*")*2) + COUNTIF(AZ151:BB151,"*OK*")+COUNTIF(BK151:BK151,"SI")*0.5</f>
        <v>0</v>
      </c>
      <c r="BM151" s="328" t="str">
        <f>IF(BL151&lt;0.6,"Demasiado Riesgo",IF(BL151&lt;=5,"Riesgo Medio",IF(BL151&lt;=11,"Riesgo Bajo","Cliente Blindado")))</f>
        <v>Demasiado Riesgo</v>
      </c>
      <c r="BN151" s="328"/>
      <c r="BO151" s="328"/>
      <c r="BP151" s="328"/>
      <c r="BQ151" s="328"/>
      <c r="BR151" s="328"/>
      <c r="BS151" s="328"/>
      <c r="BT151" s="328"/>
      <c r="BU151" s="328"/>
      <c r="BV151" s="328"/>
      <c r="BW151" s="328"/>
      <c r="BX151" s="328"/>
      <c r="BY151" s="328"/>
      <c r="BZ151" s="328"/>
      <c r="CA151" s="328"/>
      <c r="CB151" s="328"/>
      <c r="CC151" s="328"/>
      <c r="CD151" s="328"/>
      <c r="CE151" s="328"/>
      <c r="CF151" s="328"/>
      <c r="CG151" s="328"/>
      <c r="CH151" s="328"/>
      <c r="CI151" s="328"/>
      <c r="CJ151" s="328"/>
      <c r="CK151" s="328"/>
      <c r="CL151" s="328">
        <f>COUNTIF(AT151:BH151,"*OK*")</f>
        <v>0</v>
      </c>
      <c r="CM151" s="328"/>
      <c r="CN151" s="328">
        <f>COUNTIF(AT151:BH151,"*OP*")</f>
        <v>0</v>
      </c>
    </row>
    <row r="152" spans="1:94" ht="15" customHeight="1">
      <c r="A152" s="837">
        <v>30860</v>
      </c>
      <c r="B152" s="560" t="s">
        <v>1123</v>
      </c>
      <c r="C152" s="329">
        <f t="shared" si="4"/>
        <v>310</v>
      </c>
      <c r="D152" s="352">
        <f>COUNTIF(AT152:BH152,"*OK*")</f>
        <v>1</v>
      </c>
      <c r="E152" s="397" t="s">
        <v>439</v>
      </c>
      <c r="F152" s="496" t="s">
        <v>1124</v>
      </c>
      <c r="G152" s="351"/>
      <c r="H152" s="650">
        <f>IF(LEN(TRIM($G152&amp;""))=0, $C152, SUMIF($G$3:$G$561, TRIM($G152), $C$3:$C$561))</f>
        <v>310</v>
      </c>
      <c r="I152" s="420" t="s">
        <v>562</v>
      </c>
      <c r="J152" s="351"/>
      <c r="K152" s="349"/>
      <c r="L152" s="349" t="str">
        <f>HYPERLINK("https://crm.zoho.com/crm/org685875245/tab/Accounts/3525045000493749885","https://crm.zoho.com/crm/org685875245/tab/Accounts/3525045000493749885")</f>
        <v>https://crm.zoho.com/crm/org685875245/tab/Accounts/3525045000493749885</v>
      </c>
      <c r="M152" s="553"/>
      <c r="N152" s="332" t="s">
        <v>817</v>
      </c>
      <c r="O152" s="541" t="s">
        <v>1125</v>
      </c>
      <c r="P152" s="541" t="s">
        <v>1126</v>
      </c>
      <c r="Q152" s="541" t="s">
        <v>1127</v>
      </c>
      <c r="R152" s="332"/>
      <c r="S152" s="352" t="s">
        <v>860</v>
      </c>
      <c r="T152" s="397"/>
      <c r="U152" s="354" t="s">
        <v>394</v>
      </c>
      <c r="V152" s="355">
        <v>302</v>
      </c>
      <c r="W152" s="355">
        <v>298</v>
      </c>
      <c r="X152" s="355">
        <v>318</v>
      </c>
      <c r="Y152" s="356">
        <v>308</v>
      </c>
      <c r="Z152" s="337">
        <v>310</v>
      </c>
      <c r="AA152" s="347">
        <v>310</v>
      </c>
      <c r="AB152" s="347">
        <v>310</v>
      </c>
      <c r="AC152" s="638">
        <v>310</v>
      </c>
      <c r="AD152" s="347">
        <v>310</v>
      </c>
      <c r="AE152" s="357">
        <v>154</v>
      </c>
      <c r="AF152" s="358">
        <v>114</v>
      </c>
      <c r="AG152" s="354"/>
      <c r="AH152" s="359"/>
      <c r="AI152" s="370" t="s">
        <v>83</v>
      </c>
      <c r="AJ152" s="361" t="s">
        <v>120</v>
      </c>
      <c r="AK152" s="362" t="s">
        <v>1128</v>
      </c>
      <c r="AL152" s="358" t="s">
        <v>103</v>
      </c>
      <c r="AM152" s="349"/>
      <c r="AN152" s="349"/>
      <c r="AO152" s="349"/>
      <c r="AP152" s="349"/>
      <c r="AQ152" s="349"/>
      <c r="AR152" s="453"/>
      <c r="AS152" s="371" t="s">
        <v>103</v>
      </c>
      <c r="AT152" s="445" t="s">
        <v>173</v>
      </c>
      <c r="AU152" s="345"/>
      <c r="AV152" s="345"/>
      <c r="AW152" s="345" t="s">
        <v>173</v>
      </c>
      <c r="AX152" s="345"/>
      <c r="AY152" s="345"/>
      <c r="AZ152" s="345"/>
      <c r="BA152" s="345"/>
      <c r="BB152" s="345"/>
      <c r="BC152" s="345"/>
      <c r="BD152" s="345" t="s">
        <v>299</v>
      </c>
      <c r="BE152" s="345"/>
      <c r="BF152" s="345"/>
      <c r="BG152" s="345"/>
      <c r="BH152" s="345"/>
      <c r="BI152" s="345"/>
      <c r="BJ152" s="364">
        <f>COUNTIF(AT152:BI152,"*OP*")</f>
        <v>2</v>
      </c>
      <c r="BK152" s="363" t="s">
        <v>103</v>
      </c>
      <c r="BL152" s="349">
        <f>(COUNTIF(AT152:AV152,"*OK*")*3) + (COUNTIF(AW152:AY152,"*OK*")*2) + COUNTIF(AZ152:BB152,"*OK*")+COUNTIF(BK152:BK152,"SI")*0.5</f>
        <v>0</v>
      </c>
      <c r="BM152" s="349" t="str">
        <f>IF(BL152&lt;0.6,"Demasiado Riesgo",IF(BL152&lt;=5,"Riesgo Medio",IF(BL152&lt;=11,"Riesgo Bajo","Cliente Blindado")))</f>
        <v>Demasiado Riesgo</v>
      </c>
      <c r="BN152" s="349"/>
      <c r="BO152" s="349"/>
      <c r="BP152" s="349">
        <v>0</v>
      </c>
      <c r="BQ152" s="349"/>
      <c r="BR152" s="349"/>
      <c r="BS152" s="349"/>
      <c r="BT152" s="349"/>
      <c r="BU152" s="349"/>
      <c r="BV152" s="349"/>
      <c r="BW152" s="349"/>
      <c r="BX152" s="349"/>
      <c r="BY152" s="349"/>
      <c r="BZ152" s="349"/>
      <c r="CA152" s="349"/>
      <c r="CB152" s="349"/>
      <c r="CC152" s="349"/>
      <c r="CD152" s="349"/>
      <c r="CE152" s="349"/>
      <c r="CF152" s="349"/>
      <c r="CG152" s="349"/>
      <c r="CH152" s="349"/>
      <c r="CI152" s="349"/>
      <c r="CJ152" s="349"/>
      <c r="CK152" s="349"/>
      <c r="CL152" s="349">
        <f>COUNTIF(AT152:BH152,"*OK*")</f>
        <v>1</v>
      </c>
      <c r="CM152" s="349"/>
      <c r="CN152" s="349">
        <f>COUNTIF(AT152:BH152,"*OP*")</f>
        <v>2</v>
      </c>
    </row>
    <row r="153" spans="1:94" ht="15" customHeight="1">
      <c r="A153" s="835">
        <v>38332</v>
      </c>
      <c r="B153" s="560" t="s">
        <v>1129</v>
      </c>
      <c r="C153" s="329">
        <f t="shared" si="4"/>
        <v>314.84550000000002</v>
      </c>
      <c r="D153" s="352">
        <f>COUNTIF(AX153:BI153,"OK")</f>
        <v>0</v>
      </c>
      <c r="E153" s="397" t="s">
        <v>439</v>
      </c>
      <c r="F153" s="368" t="s">
        <v>1130</v>
      </c>
      <c r="G153" s="368"/>
      <c r="H153" s="650">
        <f>IF(LEN(TRIM($G153&amp;""))=0, $C153, SUMIF($G$3:$G$561, TRIM($G153), $C$3:$C$561))</f>
        <v>314.84550000000002</v>
      </c>
      <c r="I153" s="368" t="s">
        <v>562</v>
      </c>
      <c r="J153" s="349"/>
      <c r="K153" s="349"/>
      <c r="L153" s="349" t="str">
        <f>HYPERLINK("https://crm.zoho.com/crm/org685875245/tab/Accounts/3525045000625764077","https://crm.zoho.com/crm/org685875245/tab/Accounts/3525045000625764077")</f>
        <v>https://crm.zoho.com/crm/org685875245/tab/Accounts/3525045000625764077</v>
      </c>
      <c r="M153" s="553"/>
      <c r="N153" s="332" t="s">
        <v>817</v>
      </c>
      <c r="O153" s="541" t="s">
        <v>1131</v>
      </c>
      <c r="P153" s="541" t="s">
        <v>1132</v>
      </c>
      <c r="Q153" s="605" t="s">
        <v>1133</v>
      </c>
      <c r="R153" s="332"/>
      <c r="S153" s="352"/>
      <c r="T153" s="397" t="s">
        <v>88</v>
      </c>
      <c r="U153" s="362"/>
      <c r="V153" s="335"/>
      <c r="W153" s="335"/>
      <c r="X153" s="335"/>
      <c r="Y153" s="336"/>
      <c r="Z153" s="337">
        <v>293.18819999999999</v>
      </c>
      <c r="AA153" s="374">
        <v>289.97000000000003</v>
      </c>
      <c r="AB153" s="374">
        <v>305.38400000000001</v>
      </c>
      <c r="AC153" s="643">
        <v>308.35759999999999</v>
      </c>
      <c r="AD153" s="374">
        <v>314.84550000000002</v>
      </c>
      <c r="AE153" s="357">
        <v>111</v>
      </c>
      <c r="AF153" s="358" t="s">
        <v>103</v>
      </c>
      <c r="AG153" s="354"/>
      <c r="AH153" s="349"/>
      <c r="AI153" s="370"/>
      <c r="AJ153" s="361"/>
      <c r="AK153" s="362"/>
      <c r="AL153" s="371" t="s">
        <v>103</v>
      </c>
      <c r="AM153" s="349"/>
      <c r="AN153" s="349"/>
      <c r="AO153" s="349"/>
      <c r="AP153" s="349"/>
      <c r="AQ153" s="349"/>
      <c r="AR153" s="453"/>
      <c r="AS153" s="735"/>
      <c r="AT153" s="345"/>
      <c r="AU153" s="345"/>
      <c r="AV153" s="345"/>
      <c r="AW153" s="345"/>
      <c r="AX153" s="345"/>
      <c r="AY153" s="345"/>
      <c r="AZ153" s="345"/>
      <c r="BA153" s="345"/>
      <c r="BB153" s="345"/>
      <c r="BC153" s="345"/>
      <c r="BD153" s="345"/>
      <c r="BE153" s="345"/>
      <c r="BF153" s="345"/>
      <c r="BG153" s="345"/>
      <c r="BH153" s="345"/>
      <c r="BI153" s="345"/>
      <c r="BJ153" s="364">
        <f>COUNTIF(AT153:BI153,"*OP*")</f>
        <v>0</v>
      </c>
      <c r="BK153" s="363" t="s">
        <v>103</v>
      </c>
      <c r="BL153" s="349">
        <f>(COUNTIF(AT153:AV153,"*OK*")*3) + (COUNTIF(AW153:AY153,"*OK*")*2) + COUNTIF(AZ153:BB153,"*OK*")+COUNTIF(BK153:BK153,"SI")*0.5</f>
        <v>0</v>
      </c>
      <c r="BM153" s="349" t="str">
        <f>IF(BL153&lt;0.6,"Demasiado Riesgo",IF(BL153&lt;=5,"Riesgo Medio",IF(BL153&lt;=11,"Riesgo Bajo","Cliente Blindado")))</f>
        <v>Demasiado Riesgo</v>
      </c>
      <c r="BN153" s="349"/>
      <c r="BO153" s="328"/>
      <c r="BP153" s="328">
        <v>0</v>
      </c>
      <c r="BQ153" s="328"/>
      <c r="BR153" s="328"/>
      <c r="BS153" s="328"/>
      <c r="BT153" s="328"/>
      <c r="BU153" s="328"/>
      <c r="BV153" s="328"/>
      <c r="BW153" s="328"/>
      <c r="BX153" s="328"/>
      <c r="BY153" s="328"/>
      <c r="BZ153" s="328"/>
      <c r="CA153" s="328"/>
      <c r="CB153" s="328"/>
      <c r="CC153" s="328"/>
      <c r="CD153" s="328"/>
      <c r="CE153" s="328"/>
      <c r="CF153" s="328"/>
      <c r="CG153" s="328"/>
      <c r="CH153" s="328"/>
      <c r="CI153" s="328"/>
      <c r="CJ153" s="328"/>
      <c r="CK153" s="328"/>
      <c r="CL153" s="328">
        <f>COUNTIF(AT153:BH153,"*OK*")</f>
        <v>0</v>
      </c>
      <c r="CM153" s="328"/>
      <c r="CN153" s="328">
        <f>COUNTIF(AT153:BH153,"*OP*")</f>
        <v>0</v>
      </c>
    </row>
    <row r="154" spans="1:94" ht="15" customHeight="1">
      <c r="A154" s="834">
        <v>34425</v>
      </c>
      <c r="B154" s="560" t="s">
        <v>1134</v>
      </c>
      <c r="C154" s="329">
        <f t="shared" si="4"/>
        <v>280.62909999999999</v>
      </c>
      <c r="D154" s="332">
        <f>COUNTIF(AT154:BH154,"*OK*")</f>
        <v>3</v>
      </c>
      <c r="E154" s="331" t="s">
        <v>73</v>
      </c>
      <c r="F154" s="331" t="s">
        <v>1135</v>
      </c>
      <c r="G154" s="331"/>
      <c r="H154" s="650">
        <f>IF(LEN(TRIM($G154&amp;""))=0, $C154, SUMIF($G$3:$G$561, TRIM($G154), $C$3:$C$561))</f>
        <v>280.62909999999999</v>
      </c>
      <c r="I154" s="333" t="s">
        <v>562</v>
      </c>
      <c r="J154" s="331"/>
      <c r="K154" s="560"/>
      <c r="L154" s="560" t="str">
        <f>HYPERLINK("https://crm.zoho.com/crm/org685875245/tab/Accounts/3525045000526284836","https://crm.zoho.com/crm/org685875245/tab/Accounts/3525045000526284836")</f>
        <v>https://crm.zoho.com/crm/org685875245/tab/Accounts/3525045000526284836</v>
      </c>
      <c r="M154" s="391"/>
      <c r="N154" s="560"/>
      <c r="O154" s="561" t="s">
        <v>1136</v>
      </c>
      <c r="P154" s="561" t="s">
        <v>1137</v>
      </c>
      <c r="Q154" s="561" t="s">
        <v>1138</v>
      </c>
      <c r="R154" s="560"/>
      <c r="S154" s="332"/>
      <c r="T154" s="423"/>
      <c r="U154" s="334" t="s">
        <v>902</v>
      </c>
      <c r="V154" s="335">
        <v>313.22000000000003</v>
      </c>
      <c r="W154" s="335">
        <v>312.93</v>
      </c>
      <c r="X154" s="335">
        <v>305.68</v>
      </c>
      <c r="Y154" s="336">
        <v>295</v>
      </c>
      <c r="Z154" s="337">
        <v>306.76440000000002</v>
      </c>
      <c r="AA154" s="365">
        <v>305.97000000000003</v>
      </c>
      <c r="AB154" s="365">
        <v>308.55309999999997</v>
      </c>
      <c r="AC154" s="635">
        <v>301.02280000000002</v>
      </c>
      <c r="AD154" s="365">
        <v>280.62909999999999</v>
      </c>
      <c r="AE154" s="339">
        <v>105</v>
      </c>
      <c r="AF154" s="340">
        <v>100</v>
      </c>
      <c r="AG154" s="334"/>
      <c r="AH154" s="341"/>
      <c r="AI154" s="422" t="s">
        <v>83</v>
      </c>
      <c r="AJ154" s="343" t="s">
        <v>130</v>
      </c>
      <c r="AK154" s="344" t="s">
        <v>1139</v>
      </c>
      <c r="AL154" s="340" t="s">
        <v>1140</v>
      </c>
      <c r="AM154" s="328"/>
      <c r="AN154" s="328"/>
      <c r="AO154" s="328"/>
      <c r="AP154" s="328"/>
      <c r="AQ154" s="328"/>
      <c r="AR154" s="451"/>
      <c r="AS154" s="372" t="s">
        <v>103</v>
      </c>
      <c r="AT154" s="345"/>
      <c r="AU154" s="345"/>
      <c r="AV154" s="421" t="s">
        <v>133</v>
      </c>
      <c r="AW154" s="345" t="s">
        <v>299</v>
      </c>
      <c r="AX154" s="345" t="s">
        <v>1141</v>
      </c>
      <c r="AY154" s="345"/>
      <c r="AZ154" s="345"/>
      <c r="BA154" s="345"/>
      <c r="BB154" s="345"/>
      <c r="BC154" s="345"/>
      <c r="BD154" s="345"/>
      <c r="BE154" s="345"/>
      <c r="BF154" s="345"/>
      <c r="BG154" s="345"/>
      <c r="BH154" s="345"/>
      <c r="BI154" s="434" t="s">
        <v>1142</v>
      </c>
      <c r="BJ154" s="597">
        <f>COUNTIF(AT154:BI154,"*OP*")</f>
        <v>1</v>
      </c>
      <c r="BK154" s="375" t="s">
        <v>103</v>
      </c>
      <c r="BL154" s="328">
        <f>(COUNTIF(AT154:AV154,"*OK*")*3) + (COUNTIF(AW154:AY154,"*OK*")*2) + COUNTIF(AZ154:BB154,"*OK*")+COUNTIF(BK154:BK154,"SI")*0.5</f>
        <v>7</v>
      </c>
      <c r="BM154" s="328" t="str">
        <f>IF(BL154&lt;0.6,"Demasiado Riesgo",IF(BL154&lt;=5,"Riesgo Medio",IF(BL154&lt;=11,"Riesgo Bajo","Cliente Blindado")))</f>
        <v>Riesgo Bajo</v>
      </c>
      <c r="BN154" s="328"/>
      <c r="BO154" s="349"/>
      <c r="BP154" s="349">
        <v>0</v>
      </c>
      <c r="BQ154" s="349"/>
      <c r="BR154" s="349"/>
      <c r="BS154" s="349"/>
      <c r="BT154" s="349"/>
      <c r="BU154" s="349"/>
      <c r="BV154" s="349"/>
      <c r="BW154" s="349"/>
      <c r="BX154" s="349"/>
      <c r="BY154" s="349"/>
      <c r="BZ154" s="349"/>
      <c r="CA154" s="349"/>
      <c r="CB154" s="349"/>
      <c r="CC154" s="349"/>
      <c r="CD154" s="349"/>
      <c r="CE154" s="349"/>
      <c r="CF154" s="349"/>
      <c r="CG154" s="349"/>
      <c r="CH154" s="349"/>
      <c r="CI154" s="349"/>
      <c r="CJ154" s="349"/>
      <c r="CK154" s="349"/>
      <c r="CL154" s="349">
        <f>COUNTIF(AT154:BH154,"*OK*")</f>
        <v>3</v>
      </c>
      <c r="CM154" s="349"/>
      <c r="CN154" s="349">
        <f>COUNTIF(AT154:BH154,"*OP*")</f>
        <v>0</v>
      </c>
    </row>
    <row r="155" spans="1:94" ht="15" customHeight="1">
      <c r="A155" s="834">
        <v>17830</v>
      </c>
      <c r="B155" s="560" t="s">
        <v>1143</v>
      </c>
      <c r="C155" s="329">
        <f t="shared" si="4"/>
        <v>283.4785</v>
      </c>
      <c r="D155" s="332">
        <f>COUNTIF(AT155:BH155,"*OK*")</f>
        <v>0</v>
      </c>
      <c r="E155" s="331" t="s">
        <v>439</v>
      </c>
      <c r="F155" s="429" t="s">
        <v>1144</v>
      </c>
      <c r="G155" s="665"/>
      <c r="H155" s="650">
        <f>IF(LEN(TRIM($G155&amp;""))=0, $C155, SUMIF($G$3:$G$561, TRIM($G155), $C$3:$C$561))</f>
        <v>283.4785</v>
      </c>
      <c r="I155" s="410" t="s">
        <v>562</v>
      </c>
      <c r="J155" s="665"/>
      <c r="K155" s="328"/>
      <c r="L155" s="328"/>
      <c r="M155" s="391" t="s">
        <v>77</v>
      </c>
      <c r="N155" s="332" t="s">
        <v>1145</v>
      </c>
      <c r="O155" s="651" t="s">
        <v>1146</v>
      </c>
      <c r="P155" s="651" t="s">
        <v>1147</v>
      </c>
      <c r="Q155" s="651" t="s">
        <v>1148</v>
      </c>
      <c r="R155" s="694"/>
      <c r="S155" s="694"/>
      <c r="T155" s="331"/>
      <c r="U155" s="334" t="s">
        <v>902</v>
      </c>
      <c r="V155" s="335">
        <v>414.16</v>
      </c>
      <c r="W155" s="335">
        <v>287.12</v>
      </c>
      <c r="X155" s="335">
        <v>277.64</v>
      </c>
      <c r="Y155" s="336">
        <v>276.2</v>
      </c>
      <c r="Z155" s="337">
        <v>277.80720000000002</v>
      </c>
      <c r="AA155" s="365">
        <v>272.68</v>
      </c>
      <c r="AB155" s="365">
        <v>295.97070000000002</v>
      </c>
      <c r="AC155" s="635">
        <v>299.27409999999998</v>
      </c>
      <c r="AD155" s="365">
        <v>283.4785</v>
      </c>
      <c r="AE155" s="339">
        <v>128</v>
      </c>
      <c r="AF155" s="340">
        <v>300</v>
      </c>
      <c r="AG155" s="334"/>
      <c r="AH155" s="341"/>
      <c r="AI155" s="418" t="s">
        <v>83</v>
      </c>
      <c r="AJ155" s="343" t="s">
        <v>130</v>
      </c>
      <c r="AK155" s="344" t="s">
        <v>1149</v>
      </c>
      <c r="AL155" s="340" t="s">
        <v>103</v>
      </c>
      <c r="AM155" s="328"/>
      <c r="AN155" s="328"/>
      <c r="AO155" s="328"/>
      <c r="AP155" s="328"/>
      <c r="AQ155" s="328"/>
      <c r="AR155" s="451"/>
      <c r="AS155" s="344" t="s">
        <v>103</v>
      </c>
      <c r="AT155" s="345"/>
      <c r="AU155" s="345"/>
      <c r="AV155" s="345"/>
      <c r="AW155" s="345"/>
      <c r="AX155" s="345"/>
      <c r="AY155" s="345"/>
      <c r="AZ155" s="345"/>
      <c r="BA155" s="345"/>
      <c r="BB155" s="345"/>
      <c r="BC155" s="345"/>
      <c r="BD155" s="345"/>
      <c r="BE155" s="345"/>
      <c r="BF155" s="345"/>
      <c r="BG155" s="345"/>
      <c r="BH155" s="345"/>
      <c r="BI155" s="345"/>
      <c r="BJ155" s="364">
        <f>COUNTIF(AT155:BI155,"*OP*")</f>
        <v>0</v>
      </c>
      <c r="BK155" s="344" t="s">
        <v>103</v>
      </c>
      <c r="BL155" s="328">
        <f>(COUNTIF(AT155:AV155,"*OK*")*3) + (COUNTIF(AW155:AY155,"*OK*")*2) + COUNTIF(AZ155:BB155,"*OK*")+COUNTIF(BK155:BK155,"SI")*0.5</f>
        <v>0</v>
      </c>
      <c r="BM155" s="328" t="str">
        <f>IF(BL155&lt;0.6,"Demasiado Riesgo",IF(BL155&lt;=5,"Riesgo Medio",IF(BL155&lt;=11,"Riesgo Bajo","Cliente Blindado")))</f>
        <v>Demasiado Riesgo</v>
      </c>
      <c r="BN155" s="328"/>
      <c r="BO155" s="349"/>
      <c r="BP155" s="349">
        <v>0</v>
      </c>
      <c r="BQ155" s="349"/>
      <c r="BR155" s="349"/>
      <c r="BS155" s="349"/>
      <c r="BT155" s="349"/>
      <c r="BU155" s="349"/>
      <c r="BV155" s="349"/>
      <c r="BW155" s="349"/>
      <c r="BX155" s="349"/>
      <c r="BY155" s="349"/>
      <c r="BZ155" s="349"/>
      <c r="CA155" s="349"/>
      <c r="CB155" s="349"/>
      <c r="CC155" s="349"/>
      <c r="CD155" s="349"/>
      <c r="CE155" s="349"/>
      <c r="CF155" s="349"/>
      <c r="CG155" s="349"/>
      <c r="CH155" s="349"/>
      <c r="CI155" s="349"/>
      <c r="CJ155" s="349"/>
      <c r="CK155" s="349"/>
      <c r="CL155" s="349">
        <f>COUNTIF(AT155:BH155,"*OK*")</f>
        <v>0</v>
      </c>
      <c r="CM155" s="349"/>
      <c r="CN155" s="349">
        <f>COUNTIF(AT155:BH155,"*OP*")</f>
        <v>0</v>
      </c>
    </row>
    <row r="156" spans="1:94" ht="15" customHeight="1">
      <c r="A156" s="835">
        <v>23417</v>
      </c>
      <c r="B156" s="560" t="s">
        <v>1150</v>
      </c>
      <c r="C156" s="329">
        <f t="shared" si="4"/>
        <v>291.28039999999999</v>
      </c>
      <c r="D156" s="352">
        <f>COUNTIF(AT156:BH156,"*OK*")</f>
        <v>0</v>
      </c>
      <c r="E156" s="351" t="s">
        <v>93</v>
      </c>
      <c r="F156" s="351" t="s">
        <v>1151</v>
      </c>
      <c r="G156" s="331" t="s">
        <v>1152</v>
      </c>
      <c r="H156" s="650">
        <f>IF(LEN(TRIM($G156&amp;""))=0, $C156, SUMIF($G$3:$G$561, TRIM($G156), $C$3:$C$561))</f>
        <v>950.33120000000008</v>
      </c>
      <c r="I156" s="413" t="s">
        <v>76</v>
      </c>
      <c r="J156" s="351"/>
      <c r="K156" s="349"/>
      <c r="L156" s="349"/>
      <c r="M156" s="359" t="s">
        <v>96</v>
      </c>
      <c r="N156" s="359"/>
      <c r="O156" s="545" t="s">
        <v>491</v>
      </c>
      <c r="P156" s="545" t="s">
        <v>1153</v>
      </c>
      <c r="Q156" s="545" t="s">
        <v>1154</v>
      </c>
      <c r="R156" s="359" t="s">
        <v>111</v>
      </c>
      <c r="S156" s="359"/>
      <c r="T156" s="351"/>
      <c r="U156" s="362" t="s">
        <v>82</v>
      </c>
      <c r="V156" s="355">
        <v>306.14</v>
      </c>
      <c r="W156" s="355">
        <v>318.85000000000002</v>
      </c>
      <c r="X156" s="355">
        <v>303.08</v>
      </c>
      <c r="Y156" s="356">
        <v>340.77</v>
      </c>
      <c r="Z156" s="337">
        <v>320.28280000000001</v>
      </c>
      <c r="AA156" s="365">
        <v>307.97000000000003</v>
      </c>
      <c r="AB156" s="365">
        <v>304.923</v>
      </c>
      <c r="AC156" s="635">
        <v>294.92020000000002</v>
      </c>
      <c r="AD156" s="365">
        <v>291.28039999999999</v>
      </c>
      <c r="AE156" s="357">
        <v>1219</v>
      </c>
      <c r="AF156" s="358">
        <v>300</v>
      </c>
      <c r="AG156" s="354"/>
      <c r="AH156" s="359"/>
      <c r="AI156" s="427" t="s">
        <v>83</v>
      </c>
      <c r="AJ156" s="361" t="s">
        <v>396</v>
      </c>
      <c r="AK156" s="362" t="s">
        <v>1155</v>
      </c>
      <c r="AL156" s="358" t="s">
        <v>103</v>
      </c>
      <c r="AM156" s="349"/>
      <c r="AN156" s="349" t="s">
        <v>104</v>
      </c>
      <c r="AO156" s="349"/>
      <c r="AP156" s="349"/>
      <c r="AQ156" s="349"/>
      <c r="AR156" s="453"/>
      <c r="AS156" s="363" t="s">
        <v>103</v>
      </c>
      <c r="AT156" s="345"/>
      <c r="AU156" s="345"/>
      <c r="AV156" s="345"/>
      <c r="AW156" s="345"/>
      <c r="AX156" s="345"/>
      <c r="AY156" s="345"/>
      <c r="AZ156" s="345"/>
      <c r="BA156" s="345"/>
      <c r="BB156" s="345"/>
      <c r="BC156" s="345"/>
      <c r="BD156" s="345"/>
      <c r="BE156" s="345"/>
      <c r="BF156" s="345"/>
      <c r="BG156" s="345"/>
      <c r="BH156" s="345"/>
      <c r="BI156" s="345"/>
      <c r="BJ156" s="346">
        <f>COUNTIF(AT156:BI156,"*OP*")</f>
        <v>0</v>
      </c>
      <c r="BK156" s="362" t="s">
        <v>103</v>
      </c>
      <c r="BL156" s="349">
        <f>(COUNTIF(AT156:AV156,"*OK*")*3) + (COUNTIF(AW156:AY156,"*OK*")*2) + COUNTIF(AZ156:BB156,"*OK*")+COUNTIF(BK156:BK156,"SI")*0.5</f>
        <v>0</v>
      </c>
      <c r="BM156" s="349" t="str">
        <f>IF(BL156&lt;0.6,"Demasiado Riesgo",IF(BL156&lt;=5,"Riesgo Medio",IF(BL156&lt;=11,"Riesgo Bajo","Cliente Blindado")))</f>
        <v>Demasiado Riesgo</v>
      </c>
      <c r="BN156" s="349"/>
      <c r="BO156" s="328"/>
      <c r="BP156" s="328">
        <v>0</v>
      </c>
      <c r="BQ156" s="328"/>
      <c r="BR156" s="328"/>
      <c r="BS156" s="328"/>
      <c r="BT156" s="328"/>
      <c r="BU156" s="328"/>
      <c r="BV156" s="328"/>
      <c r="BW156" s="328"/>
      <c r="BX156" s="328"/>
      <c r="BY156" s="328"/>
      <c r="BZ156" s="328"/>
      <c r="CA156" s="328"/>
      <c r="CB156" s="328"/>
      <c r="CC156" s="328"/>
      <c r="CD156" s="328"/>
      <c r="CE156" s="328"/>
      <c r="CF156" s="328"/>
      <c r="CG156" s="328"/>
      <c r="CH156" s="328"/>
      <c r="CI156" s="328"/>
      <c r="CJ156" s="328"/>
      <c r="CK156" s="328"/>
      <c r="CL156" s="328">
        <f>COUNTIF(AT156:BH156,"*OK*")</f>
        <v>0</v>
      </c>
      <c r="CM156" s="328"/>
      <c r="CN156" s="328">
        <f>COUNTIF(AT156:BH156,"*OP*")</f>
        <v>0</v>
      </c>
      <c r="CO156" s="425"/>
    </row>
    <row r="157" spans="1:94" s="425" customFormat="1" ht="15" customHeight="1">
      <c r="A157" s="835">
        <v>30029</v>
      </c>
      <c r="B157" s="560" t="s">
        <v>1156</v>
      </c>
      <c r="C157" s="329">
        <f t="shared" si="4"/>
        <v>245.47190000000001</v>
      </c>
      <c r="D157" s="352">
        <f>COUNTIF(AT157:BH157,"*OK*")</f>
        <v>0</v>
      </c>
      <c r="E157" s="397" t="s">
        <v>439</v>
      </c>
      <c r="F157" s="496" t="s">
        <v>1157</v>
      </c>
      <c r="G157" s="351"/>
      <c r="H157" s="650">
        <f>IF(LEN(TRIM($G157&amp;""))=0, $C157, SUMIF($G$3:$G$561, TRIM($G157), $C$3:$C$561))</f>
        <v>245.47190000000001</v>
      </c>
      <c r="I157" s="351" t="s">
        <v>562</v>
      </c>
      <c r="J157" s="351"/>
      <c r="K157" s="349"/>
      <c r="L157" s="349"/>
      <c r="M157" s="553"/>
      <c r="N157" s="332" t="s">
        <v>817</v>
      </c>
      <c r="O157" s="541" t="s">
        <v>1158</v>
      </c>
      <c r="P157" s="541" t="s">
        <v>1159</v>
      </c>
      <c r="Q157" s="541" t="s">
        <v>1160</v>
      </c>
      <c r="R157" s="332"/>
      <c r="S157" s="352" t="s">
        <v>860</v>
      </c>
      <c r="T157" s="397"/>
      <c r="U157" s="354" t="s">
        <v>82</v>
      </c>
      <c r="V157" s="355">
        <v>160.09</v>
      </c>
      <c r="W157" s="355">
        <v>159.94</v>
      </c>
      <c r="X157" s="355">
        <v>178.88</v>
      </c>
      <c r="Y157" s="356">
        <v>183.34</v>
      </c>
      <c r="Z157" s="337">
        <v>202.9348</v>
      </c>
      <c r="AA157" s="367">
        <v>269.79000000000002</v>
      </c>
      <c r="AB157" s="367">
        <v>249.71770000000001</v>
      </c>
      <c r="AC157" s="636">
        <v>291.78550000000001</v>
      </c>
      <c r="AD157" s="367">
        <v>245.47190000000001</v>
      </c>
      <c r="AE157" s="357">
        <v>186</v>
      </c>
      <c r="AF157" s="358">
        <v>300</v>
      </c>
      <c r="AG157" s="354"/>
      <c r="AH157" s="359"/>
      <c r="AI157" s="427" t="s">
        <v>83</v>
      </c>
      <c r="AJ157" s="361" t="s">
        <v>234</v>
      </c>
      <c r="AK157" s="362" t="s">
        <v>1161</v>
      </c>
      <c r="AL157" s="358" t="s">
        <v>103</v>
      </c>
      <c r="AM157" s="349"/>
      <c r="AN157" s="349"/>
      <c r="AO157" s="349"/>
      <c r="AP157" s="349"/>
      <c r="AQ157" s="349"/>
      <c r="AR157" s="453"/>
      <c r="AS157" s="371" t="s">
        <v>103</v>
      </c>
      <c r="AT157" s="345"/>
      <c r="AU157" s="345"/>
      <c r="AV157" s="345"/>
      <c r="AW157" s="345"/>
      <c r="AX157" s="345"/>
      <c r="AY157" s="345"/>
      <c r="AZ157" s="345"/>
      <c r="BA157" s="345"/>
      <c r="BB157" s="345"/>
      <c r="BC157" s="345"/>
      <c r="BD157" s="345"/>
      <c r="BE157" s="345"/>
      <c r="BF157" s="345"/>
      <c r="BG157" s="345"/>
      <c r="BH157" s="345"/>
      <c r="BI157" s="345"/>
      <c r="BJ157" s="346">
        <f>COUNTIF(AT157:BI157,"*OP*")</f>
        <v>0</v>
      </c>
      <c r="BK157" s="362" t="s">
        <v>103</v>
      </c>
      <c r="BL157" s="349">
        <f>(COUNTIF(AT157:AV157,"*OK*")*3) + (COUNTIF(AW157:AY157,"*OK*")*2) + COUNTIF(AZ157:BB157,"*OK*")+COUNTIF(BK157:BK157,"SI")*0.5</f>
        <v>0</v>
      </c>
      <c r="BM157" s="349" t="str">
        <f>IF(BL157&lt;0.6,"Demasiado Riesgo",IF(BL157&lt;=5,"Riesgo Medio",IF(BL157&lt;=11,"Riesgo Bajo","Cliente Blindado")))</f>
        <v>Demasiado Riesgo</v>
      </c>
      <c r="BN157" s="349"/>
      <c r="BO157" s="349"/>
      <c r="BP157" s="349">
        <v>0</v>
      </c>
      <c r="BQ157" s="349"/>
      <c r="BR157" s="349"/>
      <c r="BS157" s="349"/>
      <c r="BT157" s="349"/>
      <c r="BU157" s="349"/>
      <c r="BV157" s="349"/>
      <c r="BW157" s="349"/>
      <c r="BX157" s="349"/>
      <c r="BY157" s="349"/>
      <c r="BZ157" s="349"/>
      <c r="CA157" s="349"/>
      <c r="CB157" s="349"/>
      <c r="CC157" s="349"/>
      <c r="CD157" s="349"/>
      <c r="CE157" s="349"/>
      <c r="CF157" s="349"/>
      <c r="CG157" s="349"/>
      <c r="CH157" s="349"/>
      <c r="CI157" s="349"/>
      <c r="CJ157" s="349"/>
      <c r="CK157" s="349"/>
      <c r="CL157" s="349">
        <f>COUNTIF(AT157:BH157,"*OK*")</f>
        <v>0</v>
      </c>
      <c r="CM157" s="349"/>
      <c r="CN157" s="349">
        <f>COUNTIF(AT157:BH157,"*OP*")</f>
        <v>0</v>
      </c>
      <c r="CO157" s="287"/>
      <c r="CP157" s="287"/>
    </row>
    <row r="158" spans="1:94" s="425" customFormat="1" ht="15" customHeight="1">
      <c r="A158" s="837">
        <v>27840</v>
      </c>
      <c r="B158" s="560" t="s">
        <v>1162</v>
      </c>
      <c r="C158" s="329">
        <f t="shared" si="4"/>
        <v>271.22460000000001</v>
      </c>
      <c r="D158" s="352">
        <f>COUNTIF(AT158:BH158,"*OK*")</f>
        <v>0</v>
      </c>
      <c r="E158" s="331" t="s">
        <v>73</v>
      </c>
      <c r="F158" s="351" t="s">
        <v>1163</v>
      </c>
      <c r="G158" s="351" t="s">
        <v>1164</v>
      </c>
      <c r="H158" s="650">
        <f>IF(LEN(TRIM($G158&amp;""))=0, $C158, SUMIF($G$3:$G$561, TRIM($G158), $C$3:$C$561))</f>
        <v>271.22460000000001</v>
      </c>
      <c r="I158" s="353" t="s">
        <v>562</v>
      </c>
      <c r="J158" s="351"/>
      <c r="K158" s="558"/>
      <c r="L158" s="558" t="str">
        <f>HYPERLINK("https://crm.zoho.com/crm/org685875245/tab/Accounts/3525045000402924413","https://crm.zoho.com/crm/org685875245/tab/Accounts/3525045000402924413")</f>
        <v>https://crm.zoho.com/crm/org685875245/tab/Accounts/3525045000402924413</v>
      </c>
      <c r="M158" s="553" t="s">
        <v>787</v>
      </c>
      <c r="N158" s="570" t="s">
        <v>1165</v>
      </c>
      <c r="O158" s="559" t="s">
        <v>1166</v>
      </c>
      <c r="P158" s="559" t="s">
        <v>1167</v>
      </c>
      <c r="Q158" s="559" t="s">
        <v>1168</v>
      </c>
      <c r="R158" s="558"/>
      <c r="S158" s="352"/>
      <c r="T158" s="351"/>
      <c r="U158" s="354" t="s">
        <v>82</v>
      </c>
      <c r="V158" s="355">
        <v>285.07</v>
      </c>
      <c r="W158" s="355">
        <v>292.02</v>
      </c>
      <c r="X158" s="355">
        <v>319.51</v>
      </c>
      <c r="Y158" s="356">
        <v>328.35</v>
      </c>
      <c r="Z158" s="337">
        <v>319.8605</v>
      </c>
      <c r="AA158" s="365">
        <v>316.35000000000002</v>
      </c>
      <c r="AB158" s="365">
        <v>293.93029999999999</v>
      </c>
      <c r="AC158" s="635">
        <v>288.38279999999997</v>
      </c>
      <c r="AD158" s="365">
        <v>271.22460000000001</v>
      </c>
      <c r="AE158" s="357">
        <v>67</v>
      </c>
      <c r="AF158" s="358">
        <v>200</v>
      </c>
      <c r="AG158" s="354"/>
      <c r="AH158" s="359"/>
      <c r="AI158" s="360" t="s">
        <v>83</v>
      </c>
      <c r="AJ158" s="361" t="s">
        <v>396</v>
      </c>
      <c r="AK158" s="362" t="s">
        <v>1169</v>
      </c>
      <c r="AL158" s="358" t="s">
        <v>103</v>
      </c>
      <c r="AM158" s="349"/>
      <c r="AN158" s="349"/>
      <c r="AO158" s="349"/>
      <c r="AP158" s="349"/>
      <c r="AQ158" s="349"/>
      <c r="AR158" s="453" t="s">
        <v>87</v>
      </c>
      <c r="AS158" s="362" t="s">
        <v>1170</v>
      </c>
      <c r="AT158" s="345"/>
      <c r="AU158" s="345"/>
      <c r="AV158" s="345"/>
      <c r="AW158" s="345"/>
      <c r="AX158" s="345"/>
      <c r="AY158" s="345"/>
      <c r="AZ158" s="345"/>
      <c r="BA158" s="345"/>
      <c r="BB158" s="345"/>
      <c r="BC158" s="345"/>
      <c r="BD158" s="345"/>
      <c r="BE158" s="345"/>
      <c r="BF158" s="345"/>
      <c r="BG158" s="345"/>
      <c r="BH158" s="345"/>
      <c r="BI158" s="345"/>
      <c r="BJ158" s="346">
        <f>COUNTIF(AT158:BI158,"*OP*")</f>
        <v>0</v>
      </c>
      <c r="BK158" s="362" t="s">
        <v>103</v>
      </c>
      <c r="BL158" s="349">
        <f>(COUNTIF(AT158:AV158,"*OK*")*3) + (COUNTIF(AW158:AY158,"*OK*")*2) + COUNTIF(AZ158:BB158,"*OK*")+COUNTIF(BK158:BK158,"SI")*0.5</f>
        <v>0</v>
      </c>
      <c r="BM158" s="349" t="str">
        <f>IF(BL158&lt;0.6,"Demasiado Riesgo",IF(BL158&lt;=5,"Riesgo Medio",IF(BL158&lt;=11,"Riesgo Bajo","Cliente Blindado")))</f>
        <v>Demasiado Riesgo</v>
      </c>
      <c r="BN158" s="349"/>
      <c r="BO158" s="328"/>
      <c r="BP158" s="328">
        <v>0</v>
      </c>
      <c r="BQ158" s="328"/>
      <c r="BR158" s="328"/>
      <c r="BS158" s="328"/>
      <c r="BT158" s="328"/>
      <c r="BU158" s="328"/>
      <c r="BV158" s="328"/>
      <c r="BW158" s="328"/>
      <c r="BX158" s="328"/>
      <c r="BY158" s="328"/>
      <c r="BZ158" s="328"/>
      <c r="CA158" s="328"/>
      <c r="CB158" s="328"/>
      <c r="CC158" s="328"/>
      <c r="CD158" s="328"/>
      <c r="CE158" s="328"/>
      <c r="CF158" s="328"/>
      <c r="CG158" s="328"/>
      <c r="CH158" s="328"/>
      <c r="CI158" s="328"/>
      <c r="CJ158" s="328"/>
      <c r="CK158" s="328"/>
      <c r="CL158" s="328">
        <f>COUNTIF(AT158:BH158,"*OK*")</f>
        <v>0</v>
      </c>
      <c r="CM158" s="328"/>
      <c r="CN158" s="328">
        <f>COUNTIF(AT158:BH158,"*OP*")</f>
        <v>0</v>
      </c>
      <c r="CO158" s="287"/>
      <c r="CP158" s="287"/>
    </row>
    <row r="159" spans="1:94" ht="15" customHeight="1">
      <c r="A159" s="834">
        <v>35975</v>
      </c>
      <c r="B159" s="560" t="s">
        <v>1171</v>
      </c>
      <c r="C159" s="329">
        <f t="shared" si="4"/>
        <v>270.4194</v>
      </c>
      <c r="D159" s="332">
        <f>COUNTIF(AT159:BH159,"*OK*")</f>
        <v>0</v>
      </c>
      <c r="E159" s="397" t="s">
        <v>439</v>
      </c>
      <c r="F159" s="497" t="s">
        <v>1172</v>
      </c>
      <c r="G159" s="331"/>
      <c r="H159" s="650">
        <f>IF(LEN(TRIM($G159&amp;""))=0, $C159, SUMIF($G$3:$G$561, TRIM($G159), $C$3:$C$561))</f>
        <v>270.4194</v>
      </c>
      <c r="I159" s="333" t="s">
        <v>562</v>
      </c>
      <c r="J159" s="331"/>
      <c r="K159" s="328"/>
      <c r="L159" s="328"/>
      <c r="M159" s="391"/>
      <c r="N159" s="332" t="s">
        <v>817</v>
      </c>
      <c r="O159" s="541" t="s">
        <v>1173</v>
      </c>
      <c r="P159" s="541" t="s">
        <v>1174</v>
      </c>
      <c r="Q159" s="547"/>
      <c r="R159" s="471" t="s">
        <v>1175</v>
      </c>
      <c r="S159" s="352" t="s">
        <v>860</v>
      </c>
      <c r="T159" s="397"/>
      <c r="U159" s="334" t="s">
        <v>82</v>
      </c>
      <c r="V159" s="335"/>
      <c r="W159" s="335">
        <v>272.37</v>
      </c>
      <c r="X159" s="335">
        <v>270.61</v>
      </c>
      <c r="Y159" s="336">
        <v>270.2</v>
      </c>
      <c r="Z159" s="337">
        <v>278.45659999999998</v>
      </c>
      <c r="AA159" s="365">
        <v>273.12</v>
      </c>
      <c r="AB159" s="365">
        <v>277.72649999999999</v>
      </c>
      <c r="AC159" s="635">
        <v>287.52659999999997</v>
      </c>
      <c r="AD159" s="365">
        <v>270.4194</v>
      </c>
      <c r="AE159" s="339">
        <v>103</v>
      </c>
      <c r="AF159" s="340">
        <v>150</v>
      </c>
      <c r="AG159" s="334"/>
      <c r="AH159" s="341"/>
      <c r="AI159" s="422" t="s">
        <v>83</v>
      </c>
      <c r="AJ159" s="343" t="s">
        <v>130</v>
      </c>
      <c r="AK159" s="344" t="s">
        <v>1176</v>
      </c>
      <c r="AL159" s="340" t="s">
        <v>103</v>
      </c>
      <c r="AM159" s="328"/>
      <c r="AN159" s="328"/>
      <c r="AO159" s="328"/>
      <c r="AP159" s="328"/>
      <c r="AQ159" s="328"/>
      <c r="AR159" s="451"/>
      <c r="AS159" s="375" t="s">
        <v>103</v>
      </c>
      <c r="AT159" s="345"/>
      <c r="AU159" s="345"/>
      <c r="AV159" s="345"/>
      <c r="AW159" s="345"/>
      <c r="AX159" s="345"/>
      <c r="AY159" s="345"/>
      <c r="AZ159" s="345"/>
      <c r="BA159" s="345"/>
      <c r="BB159" s="345"/>
      <c r="BC159" s="345"/>
      <c r="BD159" s="345"/>
      <c r="BE159" s="345"/>
      <c r="BF159" s="345"/>
      <c r="BG159" s="345"/>
      <c r="BH159" s="345"/>
      <c r="BI159" s="345"/>
      <c r="BJ159" s="346">
        <f>COUNTIF(AT159:BI159,"*OP*")</f>
        <v>0</v>
      </c>
      <c r="BK159" s="375" t="s">
        <v>103</v>
      </c>
      <c r="BL159" s="328">
        <f>(COUNTIF(AT159:AV159,"*OK*")*3) + (COUNTIF(AW159:AY159,"*OK*")*2) + COUNTIF(AZ159:BB159,"*OK*")+COUNTIF(BK159:BK159,"SI")*0.5</f>
        <v>0</v>
      </c>
      <c r="BM159" s="328" t="str">
        <f>IF(BL159&lt;0.6,"Demasiado Riesgo",IF(BL159&lt;=5,"Riesgo Medio",IF(BL159&lt;=11,"Riesgo Bajo","Cliente Blindado")))</f>
        <v>Demasiado Riesgo</v>
      </c>
      <c r="BN159" s="328"/>
      <c r="BO159" s="328"/>
      <c r="BP159" s="328">
        <v>0</v>
      </c>
      <c r="BQ159" s="328"/>
      <c r="BR159" s="328"/>
      <c r="BS159" s="328"/>
      <c r="BT159" s="328"/>
      <c r="BU159" s="328"/>
      <c r="BV159" s="328"/>
      <c r="BW159" s="328"/>
      <c r="BX159" s="328"/>
      <c r="BY159" s="328"/>
      <c r="BZ159" s="328"/>
      <c r="CA159" s="328"/>
      <c r="CB159" s="328"/>
      <c r="CC159" s="328"/>
      <c r="CD159" s="328"/>
      <c r="CE159" s="328"/>
      <c r="CF159" s="328"/>
      <c r="CG159" s="328"/>
      <c r="CH159" s="328"/>
      <c r="CI159" s="328"/>
      <c r="CJ159" s="328"/>
      <c r="CK159" s="328"/>
      <c r="CL159" s="328">
        <f>COUNTIF(AT159:BH159,"*OK*")</f>
        <v>0</v>
      </c>
      <c r="CM159" s="328"/>
      <c r="CN159" s="328">
        <f>COUNTIF(AT159:BH159,"*OP*")</f>
        <v>0</v>
      </c>
    </row>
    <row r="160" spans="1:94" ht="15" customHeight="1">
      <c r="A160" s="834"/>
      <c r="B160" s="560"/>
      <c r="C160" s="329">
        <f t="shared" si="4"/>
        <v>393.48790000000002</v>
      </c>
      <c r="D160" s="332">
        <f>COUNTIF(AX160:BI160,"OK")</f>
        <v>0</v>
      </c>
      <c r="E160" s="328" t="s">
        <v>439</v>
      </c>
      <c r="F160" s="376" t="s">
        <v>1177</v>
      </c>
      <c r="G160" s="376"/>
      <c r="H160" s="650">
        <f>IF(LEN(TRIM($G160&amp;""))=0, $C160, SUMIF($G$3:$G$561, TRIM($G160), $C$3:$C$561))</f>
        <v>393.48790000000002</v>
      </c>
      <c r="I160" s="376"/>
      <c r="J160" s="328"/>
      <c r="K160" s="328"/>
      <c r="L160" s="328"/>
      <c r="M160" s="391"/>
      <c r="N160" s="332"/>
      <c r="O160" s="541"/>
      <c r="P160" s="541"/>
      <c r="Q160" s="541"/>
      <c r="R160" s="332"/>
      <c r="S160" s="332"/>
      <c r="T160" s="328"/>
      <c r="U160" s="344"/>
      <c r="V160" s="388"/>
      <c r="W160" s="377"/>
      <c r="X160" s="377"/>
      <c r="Y160" s="527"/>
      <c r="Z160" s="515"/>
      <c r="AA160" s="528"/>
      <c r="AB160" s="528">
        <v>192.91050000000001</v>
      </c>
      <c r="AC160" s="633">
        <v>287.40929999999997</v>
      </c>
      <c r="AD160" s="528">
        <v>393.48790000000002</v>
      </c>
      <c r="AE160" s="327"/>
      <c r="AF160" s="372" t="s">
        <v>103</v>
      </c>
      <c r="AG160" s="344"/>
      <c r="AH160" s="328"/>
      <c r="AI160" s="342"/>
      <c r="AJ160" s="343"/>
      <c r="AK160" s="344"/>
      <c r="AL160" s="372" t="s">
        <v>103</v>
      </c>
      <c r="AM160" s="328"/>
      <c r="AN160" s="328"/>
      <c r="AO160" s="328"/>
      <c r="AP160" s="328"/>
      <c r="AQ160" s="328"/>
      <c r="AR160" s="451"/>
      <c r="AS160" s="444"/>
      <c r="AT160" s="445"/>
      <c r="AU160" s="445"/>
      <c r="AV160" s="445"/>
      <c r="AW160" s="445"/>
      <c r="AX160" s="445"/>
      <c r="AY160" s="445"/>
      <c r="AZ160" s="445"/>
      <c r="BA160" s="445"/>
      <c r="BB160" s="445"/>
      <c r="BC160" s="445"/>
      <c r="BD160" s="445"/>
      <c r="BE160" s="445"/>
      <c r="BF160" s="445"/>
      <c r="BG160" s="445"/>
      <c r="BH160" s="445"/>
      <c r="BI160" s="445"/>
      <c r="BJ160" s="446">
        <f>COUNTIF(AT160:BI160,"*OP*")</f>
        <v>0</v>
      </c>
      <c r="BK160" s="447"/>
      <c r="BL160" s="328">
        <f>(COUNTIF(AT160:AV160,"*OK*")*3) + (COUNTIF(AW160:AY160,"*OK*")*2) + COUNTIF(AZ160:BB160,"*OK*")+COUNTIF(BK160:BK160,"SI")*0.5</f>
        <v>0</v>
      </c>
      <c r="BM160" s="328" t="str">
        <f>IF(BL160&lt;0.6,"Demasiado Riesgo",IF(BL160&lt;=5,"Riesgo Medio",IF(BL160&lt;=11,"Riesgo Bajo","Cliente Blindado")))</f>
        <v>Demasiado Riesgo</v>
      </c>
      <c r="BN160" s="328"/>
      <c r="BO160" s="349"/>
      <c r="BP160" s="349"/>
      <c r="BQ160" s="349"/>
      <c r="BR160" s="349"/>
      <c r="BS160" s="349"/>
      <c r="BT160" s="349"/>
      <c r="BU160" s="349"/>
      <c r="BV160" s="349"/>
      <c r="BW160" s="349"/>
      <c r="BX160" s="349"/>
      <c r="BY160" s="349"/>
      <c r="BZ160" s="349"/>
      <c r="CA160" s="349"/>
      <c r="CB160" s="349"/>
      <c r="CC160" s="349"/>
      <c r="CD160" s="349"/>
      <c r="CE160" s="349"/>
      <c r="CF160" s="349"/>
      <c r="CG160" s="349"/>
      <c r="CH160" s="349"/>
      <c r="CI160" s="349"/>
      <c r="CJ160" s="349"/>
      <c r="CK160" s="349"/>
      <c r="CL160" s="349">
        <f>COUNTIF(AT160:BH160,"*OK*")</f>
        <v>0</v>
      </c>
    </row>
    <row r="161" spans="1:94" ht="15" customHeight="1">
      <c r="A161" s="835">
        <v>24043</v>
      </c>
      <c r="B161" s="560" t="s">
        <v>1178</v>
      </c>
      <c r="C161" s="329">
        <f t="shared" si="4"/>
        <v>268.12860000000001</v>
      </c>
      <c r="D161" s="352">
        <f>COUNTIF(AT161:BH161,"*OK*")</f>
        <v>0</v>
      </c>
      <c r="E161" s="351" t="s">
        <v>439</v>
      </c>
      <c r="F161" s="351" t="s">
        <v>1179</v>
      </c>
      <c r="G161" s="351"/>
      <c r="H161" s="650">
        <f>IF(LEN(TRIM($G161&amp;""))=0, $C161, SUMIF($G$3:$G$561, TRIM($G161), $C$3:$C$561))</f>
        <v>268.12860000000001</v>
      </c>
      <c r="I161" s="413" t="s">
        <v>562</v>
      </c>
      <c r="J161" s="351"/>
      <c r="K161" s="349"/>
      <c r="L161" s="349" t="str">
        <f>HYPERLINK("https://crm.zoho.com/crm/org685875245/tab/Accounts/3525045000269328164","https://crm.zoho.com/crm/org685875245/tab/Accounts/3525045000269328164")</f>
        <v>https://crm.zoho.com/crm/org685875245/tab/Accounts/3525045000269328164</v>
      </c>
      <c r="M161" s="553" t="s">
        <v>77</v>
      </c>
      <c r="N161" s="352"/>
      <c r="O161" s="540" t="s">
        <v>126</v>
      </c>
      <c r="P161" s="540" t="s">
        <v>1180</v>
      </c>
      <c r="Q161" s="540" t="s">
        <v>1181</v>
      </c>
      <c r="R161" s="352"/>
      <c r="S161" s="352"/>
      <c r="T161" s="351"/>
      <c r="U161" s="354" t="s">
        <v>82</v>
      </c>
      <c r="V161" s="355">
        <v>254.73</v>
      </c>
      <c r="W161" s="355">
        <v>266.52</v>
      </c>
      <c r="X161" s="355">
        <v>253.99</v>
      </c>
      <c r="Y161" s="356">
        <v>268.08</v>
      </c>
      <c r="Z161" s="337">
        <v>272.6893</v>
      </c>
      <c r="AA161" s="347">
        <v>272.66000000000003</v>
      </c>
      <c r="AB161" s="347">
        <v>279.9443</v>
      </c>
      <c r="AC161" s="638">
        <v>285.09089999999998</v>
      </c>
      <c r="AD161" s="347">
        <v>268.12860000000001</v>
      </c>
      <c r="AE161" s="357">
        <v>281</v>
      </c>
      <c r="AF161" s="358">
        <v>200</v>
      </c>
      <c r="AG161" s="354"/>
      <c r="AH161" s="359"/>
      <c r="AI161" s="370" t="s">
        <v>379</v>
      </c>
      <c r="AJ161" s="361" t="s">
        <v>130</v>
      </c>
      <c r="AK161" s="362" t="s">
        <v>1182</v>
      </c>
      <c r="AL161" s="358" t="s">
        <v>103</v>
      </c>
      <c r="AM161" s="349"/>
      <c r="AN161" s="349"/>
      <c r="AO161" s="349"/>
      <c r="AP161" s="349"/>
      <c r="AQ161" s="349"/>
      <c r="AR161" s="453"/>
      <c r="AS161" s="371" t="s">
        <v>88</v>
      </c>
      <c r="AT161" s="445"/>
      <c r="AU161" s="445"/>
      <c r="AV161" s="445"/>
      <c r="AW161" s="445"/>
      <c r="AX161" s="445"/>
      <c r="AY161" s="445"/>
      <c r="AZ161" s="445"/>
      <c r="BA161" s="445"/>
      <c r="BB161" s="445"/>
      <c r="BC161" s="445"/>
      <c r="BD161" s="445"/>
      <c r="BE161" s="445"/>
      <c r="BF161" s="445"/>
      <c r="BG161" s="445"/>
      <c r="BH161" s="445"/>
      <c r="BI161" s="445"/>
      <c r="BJ161" s="446">
        <f>COUNTIF(AT161:BI161,"*OP*")</f>
        <v>0</v>
      </c>
      <c r="BK161" s="363" t="s">
        <v>89</v>
      </c>
      <c r="BL161" s="349">
        <f>(COUNTIF(AT161:AV161,"*OK*")*3) + (COUNTIF(AW161:AY161,"*OK*")*2) + COUNTIF(AZ161:BB161,"*OK*")+COUNTIF(BK161:BK161,"SI")*0.5</f>
        <v>0</v>
      </c>
      <c r="BM161" s="349" t="str">
        <f>IF(BL161&lt;0.6,"Demasiado Riesgo",IF(BL161&lt;=5,"Riesgo Medio",IF(BL161&lt;=11,"Riesgo Bajo","Cliente Blindado")))</f>
        <v>Demasiado Riesgo</v>
      </c>
      <c r="BN161" s="349"/>
      <c r="BO161" s="349"/>
      <c r="BP161" s="349">
        <v>0</v>
      </c>
      <c r="BQ161" s="349"/>
      <c r="BR161" s="349"/>
      <c r="BS161" s="349"/>
      <c r="BT161" s="349"/>
      <c r="BU161" s="349"/>
      <c r="BV161" s="349"/>
      <c r="BW161" s="349"/>
      <c r="BX161" s="349"/>
      <c r="BY161" s="349"/>
      <c r="BZ161" s="349"/>
      <c r="CA161" s="349"/>
      <c r="CB161" s="349"/>
      <c r="CC161" s="349"/>
      <c r="CD161" s="349"/>
      <c r="CE161" s="349"/>
      <c r="CF161" s="349"/>
      <c r="CG161" s="349"/>
      <c r="CH161" s="349"/>
      <c r="CI161" s="349"/>
      <c r="CJ161" s="349"/>
      <c r="CK161" s="349"/>
      <c r="CL161" s="349">
        <f>COUNTIF(AT161:BH161,"*OK*")</f>
        <v>0</v>
      </c>
      <c r="CM161" s="349"/>
      <c r="CN161" s="349">
        <f>COUNTIF(AT161:BH161,"*OP*")</f>
        <v>0</v>
      </c>
    </row>
    <row r="162" spans="1:94" ht="15" customHeight="1">
      <c r="A162" s="834">
        <v>35561</v>
      </c>
      <c r="B162" s="560" t="s">
        <v>1183</v>
      </c>
      <c r="C162" s="329">
        <f t="shared" si="4"/>
        <v>449.77929999999998</v>
      </c>
      <c r="D162" s="332">
        <f>COUNTIF(AT162:BH162,"*OK*")</f>
        <v>0</v>
      </c>
      <c r="E162" s="331" t="s">
        <v>439</v>
      </c>
      <c r="F162" s="330" t="s">
        <v>1184</v>
      </c>
      <c r="G162" s="331"/>
      <c r="H162" s="650">
        <f>IF(LEN(TRIM($G162&amp;""))=0, $C162, SUMIF($G$3:$G$561, TRIM($G162), $C$3:$C$561))</f>
        <v>449.77929999999998</v>
      </c>
      <c r="I162" s="333" t="s">
        <v>562</v>
      </c>
      <c r="J162" s="331"/>
      <c r="K162" s="328"/>
      <c r="L162" s="328" t="str">
        <f>HYPERLINK("https://crm.zoho.com/crm/org685875245/tab/Accounts/3525045000570622533","https://crm.zoho.com/crm/org685875245/tab/Accounts/3525045000570622533")</f>
        <v>https://crm.zoho.com/crm/org685875245/tab/Accounts/3525045000570622533</v>
      </c>
      <c r="M162" s="391"/>
      <c r="N162" s="332"/>
      <c r="O162" s="541" t="s">
        <v>1076</v>
      </c>
      <c r="P162" s="541" t="s">
        <v>1185</v>
      </c>
      <c r="Q162" s="541" t="s">
        <v>1186</v>
      </c>
      <c r="R162" s="332"/>
      <c r="S162" s="332"/>
      <c r="T162" s="331"/>
      <c r="U162" s="334" t="s">
        <v>82</v>
      </c>
      <c r="V162" s="335">
        <v>179.81</v>
      </c>
      <c r="W162" s="335">
        <v>81.13</v>
      </c>
      <c r="X162" s="335">
        <v>149.11000000000001</v>
      </c>
      <c r="Y162" s="336">
        <v>171.01</v>
      </c>
      <c r="Z162" s="337">
        <v>193.53309999999999</v>
      </c>
      <c r="AA162" s="367">
        <v>219.98</v>
      </c>
      <c r="AB162" s="367">
        <v>230.4785</v>
      </c>
      <c r="AC162" s="636">
        <v>284.5926</v>
      </c>
      <c r="AD162" s="367">
        <v>449.77929999999998</v>
      </c>
      <c r="AE162" s="339">
        <v>150</v>
      </c>
      <c r="AF162" s="340">
        <v>100</v>
      </c>
      <c r="AG162" s="334"/>
      <c r="AH162" s="341"/>
      <c r="AI162" s="422" t="s">
        <v>83</v>
      </c>
      <c r="AJ162" s="343" t="s">
        <v>101</v>
      </c>
      <c r="AK162" s="344" t="s">
        <v>1187</v>
      </c>
      <c r="AL162" s="340" t="s">
        <v>103</v>
      </c>
      <c r="AM162" s="328"/>
      <c r="AN162" s="328"/>
      <c r="AO162" s="328"/>
      <c r="AP162" s="328"/>
      <c r="AQ162" s="328"/>
      <c r="AR162" s="451"/>
      <c r="AS162" s="372" t="s">
        <v>103</v>
      </c>
      <c r="AT162" s="345"/>
      <c r="AU162" s="345"/>
      <c r="AV162" s="345"/>
      <c r="AW162" s="345"/>
      <c r="AX162" s="345"/>
      <c r="AY162" s="345"/>
      <c r="AZ162" s="345"/>
      <c r="BA162" s="345"/>
      <c r="BB162" s="345"/>
      <c r="BC162" s="345"/>
      <c r="BD162" s="345"/>
      <c r="BE162" s="345"/>
      <c r="BF162" s="345"/>
      <c r="BG162" s="345"/>
      <c r="BH162" s="345"/>
      <c r="BI162" s="345"/>
      <c r="BJ162" s="364">
        <f>COUNTIF(AT162:BI162,"*OP*")</f>
        <v>0</v>
      </c>
      <c r="BK162" s="375" t="s">
        <v>103</v>
      </c>
      <c r="BL162" s="328">
        <f>(COUNTIF(AT162:AV162,"*OK*")*3) + (COUNTIF(AW162:AY162,"*OK*")*2) + COUNTIF(AZ162:BB162,"*OK*")+COUNTIF(BK162:BK162,"SI")*0.5</f>
        <v>0</v>
      </c>
      <c r="BM162" s="328" t="str">
        <f>IF(BL162&lt;0.6,"Demasiado Riesgo",IF(BL162&lt;=5,"Riesgo Medio",IF(BL162&lt;=11,"Riesgo Bajo","Cliente Blindado")))</f>
        <v>Demasiado Riesgo</v>
      </c>
      <c r="BN162" s="328"/>
      <c r="BO162" s="349"/>
      <c r="BP162" s="349">
        <v>0</v>
      </c>
      <c r="BQ162" s="349"/>
      <c r="BR162" s="349"/>
      <c r="BS162" s="349"/>
      <c r="BT162" s="349"/>
      <c r="BU162" s="349"/>
      <c r="BV162" s="349"/>
      <c r="BW162" s="349"/>
      <c r="BX162" s="349"/>
      <c r="BY162" s="349"/>
      <c r="BZ162" s="349"/>
      <c r="CA162" s="349"/>
      <c r="CB162" s="349"/>
      <c r="CC162" s="349"/>
      <c r="CD162" s="349"/>
      <c r="CE162" s="349"/>
      <c r="CF162" s="349"/>
      <c r="CG162" s="349"/>
      <c r="CH162" s="349"/>
      <c r="CI162" s="349"/>
      <c r="CJ162" s="349"/>
      <c r="CK162" s="349"/>
      <c r="CL162" s="349">
        <f>COUNTIF(AT162:BH162,"*OK*")</f>
        <v>0</v>
      </c>
      <c r="CM162" s="349"/>
      <c r="CN162" s="349">
        <f>COUNTIF(AT162:BH162,"*OP*")</f>
        <v>0</v>
      </c>
    </row>
    <row r="163" spans="1:94" ht="15" customHeight="1">
      <c r="A163" s="835">
        <v>24373</v>
      </c>
      <c r="B163" s="560" t="s">
        <v>1188</v>
      </c>
      <c r="C163" s="329">
        <f t="shared" si="4"/>
        <v>267.40069999999997</v>
      </c>
      <c r="D163" s="352">
        <f>COUNTIF(AT163:BH163,"*OK*")</f>
        <v>2</v>
      </c>
      <c r="E163" s="351" t="s">
        <v>93</v>
      </c>
      <c r="F163" s="351" t="s">
        <v>1189</v>
      </c>
      <c r="G163" s="351"/>
      <c r="H163" s="650">
        <f>IF(LEN(TRIM($G163&amp;""))=0, $C163, SUMIF($G$3:$G$561, TRIM($G163), $C$3:$C$561))</f>
        <v>267.40069999999997</v>
      </c>
      <c r="I163" s="353" t="s">
        <v>562</v>
      </c>
      <c r="J163" s="351"/>
      <c r="K163" s="349"/>
      <c r="L163" s="349" t="str">
        <f>HYPERLINK("https://crm.zoho.com/crm/org685875245/tab/Accounts/3525045000273930332","https://crm.zoho.com/crm/org685875245/tab/Accounts/3525045000273930332")</f>
        <v>https://crm.zoho.com/crm/org685875245/tab/Accounts/3525045000273930332</v>
      </c>
      <c r="M163" s="359" t="s">
        <v>77</v>
      </c>
      <c r="N163" s="359"/>
      <c r="O163" s="545" t="s">
        <v>1190</v>
      </c>
      <c r="P163" s="545" t="s">
        <v>312</v>
      </c>
      <c r="Q163" s="545" t="s">
        <v>1191</v>
      </c>
      <c r="R163" s="359" t="s">
        <v>1192</v>
      </c>
      <c r="S163" s="359"/>
      <c r="T163" s="351"/>
      <c r="U163" s="362" t="s">
        <v>82</v>
      </c>
      <c r="V163" s="355">
        <v>281.05</v>
      </c>
      <c r="W163" s="355">
        <v>280.79000000000002</v>
      </c>
      <c r="X163" s="355">
        <v>267.58999999999997</v>
      </c>
      <c r="Y163" s="356">
        <v>276.2</v>
      </c>
      <c r="Z163" s="337">
        <v>279.91820000000001</v>
      </c>
      <c r="AA163" s="365">
        <v>276.85000000000002</v>
      </c>
      <c r="AB163" s="365">
        <v>279.18430000000001</v>
      </c>
      <c r="AC163" s="635">
        <v>284.31689999999998</v>
      </c>
      <c r="AD163" s="365">
        <v>267.40069999999997</v>
      </c>
      <c r="AE163" s="357">
        <v>358</v>
      </c>
      <c r="AF163" s="358">
        <v>100</v>
      </c>
      <c r="AG163" s="354"/>
      <c r="AH163" s="359"/>
      <c r="AI163" s="427" t="s">
        <v>83</v>
      </c>
      <c r="AJ163" s="361" t="s">
        <v>396</v>
      </c>
      <c r="AK163" s="362" t="s">
        <v>1193</v>
      </c>
      <c r="AL163" s="358" t="s">
        <v>103</v>
      </c>
      <c r="AM163" s="349"/>
      <c r="AN163" s="349" t="s">
        <v>104</v>
      </c>
      <c r="AO163" s="349"/>
      <c r="AP163" s="349"/>
      <c r="AQ163" s="349" t="s">
        <v>1194</v>
      </c>
      <c r="AR163" s="453"/>
      <c r="AS163" s="371"/>
      <c r="AT163" s="345"/>
      <c r="AU163" s="345"/>
      <c r="AV163" s="421" t="s">
        <v>1195</v>
      </c>
      <c r="AW163" s="345"/>
      <c r="AX163" s="421" t="s">
        <v>300</v>
      </c>
      <c r="AY163" s="345"/>
      <c r="AZ163" s="345"/>
      <c r="BA163" s="345"/>
      <c r="BB163" s="345"/>
      <c r="BC163" s="345"/>
      <c r="BD163" s="345"/>
      <c r="BE163" s="345"/>
      <c r="BF163" s="345"/>
      <c r="BG163" s="345"/>
      <c r="BH163" s="345"/>
      <c r="BI163" s="345"/>
      <c r="BJ163" s="364">
        <f>COUNTIF(AT163:BI163,"*OP*")</f>
        <v>0</v>
      </c>
      <c r="BK163" s="363" t="s">
        <v>103</v>
      </c>
      <c r="BL163" s="349">
        <f>(COUNTIF(AT163:AV163,"*OK*")*3) + (COUNTIF(AW163:AY163,"*OK*")*2) + COUNTIF(AZ163:BB163,"*OK*")+COUNTIF(BK163:BK163,"SI")*0.5</f>
        <v>5</v>
      </c>
      <c r="BM163" s="349" t="str">
        <f>IF(BL163&lt;0.6,"Demasiado Riesgo",IF(BL163&lt;=5,"Riesgo Medio",IF(BL163&lt;=11,"Riesgo Bajo","Cliente Blindado")))</f>
        <v>Riesgo Medio</v>
      </c>
      <c r="BN163" s="349"/>
      <c r="BO163" s="328"/>
      <c r="BP163" s="328">
        <v>0</v>
      </c>
      <c r="BQ163" s="328"/>
      <c r="BR163" s="328"/>
      <c r="BS163" s="328"/>
      <c r="BT163" s="328"/>
      <c r="BU163" s="328"/>
      <c r="BV163" s="328"/>
      <c r="BW163" s="328"/>
      <c r="BX163" s="328"/>
      <c r="BY163" s="328"/>
      <c r="BZ163" s="328"/>
      <c r="CA163" s="328"/>
      <c r="CB163" s="328"/>
      <c r="CC163" s="328"/>
      <c r="CD163" s="328"/>
      <c r="CE163" s="328"/>
      <c r="CF163" s="328"/>
      <c r="CG163" s="328"/>
      <c r="CH163" s="328"/>
      <c r="CI163" s="328"/>
      <c r="CJ163" s="328"/>
      <c r="CK163" s="328"/>
      <c r="CL163" s="328">
        <f>COUNTIF(AT163:BH163,"*OK*")</f>
        <v>2</v>
      </c>
      <c r="CM163" s="328"/>
      <c r="CN163" s="328">
        <f>COUNTIF(AT163:BH163,"*OP*")</f>
        <v>0</v>
      </c>
    </row>
    <row r="164" spans="1:94" ht="15" customHeight="1">
      <c r="A164" s="835"/>
      <c r="B164" s="560"/>
      <c r="C164" s="329">
        <f t="shared" si="4"/>
        <v>285</v>
      </c>
      <c r="D164" s="352">
        <f>COUNTIF(AT164:BH164,"*OK*")</f>
        <v>0</v>
      </c>
      <c r="E164" s="397" t="s">
        <v>439</v>
      </c>
      <c r="F164" s="496" t="s">
        <v>1196</v>
      </c>
      <c r="G164" s="351"/>
      <c r="H164" s="650">
        <f>IF(LEN(TRIM($G164&amp;""))=0, $C164, SUMIF($G$3:$G$561, TRIM($G164), $C$3:$C$561))</f>
        <v>285</v>
      </c>
      <c r="I164" s="353" t="s">
        <v>562</v>
      </c>
      <c r="J164" s="351"/>
      <c r="K164" s="349"/>
      <c r="L164" s="349"/>
      <c r="M164" s="553"/>
      <c r="N164" s="332" t="s">
        <v>817</v>
      </c>
      <c r="O164" s="541"/>
      <c r="P164" s="541"/>
      <c r="Q164" s="541"/>
      <c r="R164" s="332"/>
      <c r="S164" s="352" t="s">
        <v>860</v>
      </c>
      <c r="T164" s="397"/>
      <c r="U164" s="354" t="s">
        <v>82</v>
      </c>
      <c r="V164" s="355">
        <v>237.12</v>
      </c>
      <c r="W164" s="355">
        <v>238.7</v>
      </c>
      <c r="X164" s="355">
        <v>247.26</v>
      </c>
      <c r="Y164" s="356">
        <v>238.68</v>
      </c>
      <c r="Z164" s="337">
        <v>237.12</v>
      </c>
      <c r="AA164" s="338">
        <v>261.3</v>
      </c>
      <c r="AB164" s="338">
        <v>273.77999999999997</v>
      </c>
      <c r="AC164" s="634">
        <v>280.8</v>
      </c>
      <c r="AD164" s="338">
        <v>285</v>
      </c>
      <c r="AE164" s="357"/>
      <c r="AF164" s="358">
        <v>200</v>
      </c>
      <c r="AG164" s="354"/>
      <c r="AH164" s="359"/>
      <c r="AI164" s="427" t="s">
        <v>83</v>
      </c>
      <c r="AJ164" s="361" t="s">
        <v>120</v>
      </c>
      <c r="AK164" s="362" t="s">
        <v>1197</v>
      </c>
      <c r="AL164" s="358" t="s">
        <v>103</v>
      </c>
      <c r="AM164" s="349"/>
      <c r="AN164" s="349"/>
      <c r="AO164" s="349"/>
      <c r="AP164" s="349"/>
      <c r="AQ164" s="349"/>
      <c r="AR164" s="453"/>
      <c r="AS164" s="371" t="s">
        <v>103</v>
      </c>
      <c r="AT164" s="345"/>
      <c r="AU164" s="345"/>
      <c r="AV164" s="345"/>
      <c r="AW164" s="345"/>
      <c r="AX164" s="345"/>
      <c r="AY164" s="345"/>
      <c r="AZ164" s="345"/>
      <c r="BA164" s="345"/>
      <c r="BB164" s="345"/>
      <c r="BC164" s="345"/>
      <c r="BD164" s="345"/>
      <c r="BE164" s="345"/>
      <c r="BF164" s="345"/>
      <c r="BG164" s="345"/>
      <c r="BH164" s="345"/>
      <c r="BI164" s="345"/>
      <c r="BJ164" s="364">
        <f>COUNTIF(AT164:BI164,"*OP*")</f>
        <v>0</v>
      </c>
      <c r="BK164" s="363" t="s">
        <v>103</v>
      </c>
      <c r="BL164" s="349">
        <f>(COUNTIF(AT164:AV164,"*OK*")*3) + (COUNTIF(AW164:AY164,"*OK*")*2) + COUNTIF(AZ164:BB164,"*OK*")+COUNTIF(BK164:BK164,"SI")*0.5</f>
        <v>0</v>
      </c>
      <c r="BM164" s="349" t="str">
        <f>IF(BL164&lt;0.6,"Demasiado Riesgo",IF(BL164&lt;=5,"Riesgo Medio",IF(BL164&lt;=11,"Riesgo Bajo","Cliente Blindado")))</f>
        <v>Demasiado Riesgo</v>
      </c>
      <c r="BN164" s="349"/>
      <c r="BO164" s="349"/>
      <c r="BP164" s="349"/>
      <c r="BQ164" s="349"/>
      <c r="BR164" s="349"/>
      <c r="BS164" s="349"/>
      <c r="BT164" s="349"/>
      <c r="BU164" s="349"/>
      <c r="BV164" s="349"/>
      <c r="BW164" s="349"/>
      <c r="BX164" s="349"/>
      <c r="BY164" s="349"/>
      <c r="BZ164" s="349"/>
      <c r="CA164" s="349"/>
      <c r="CB164" s="349"/>
      <c r="CC164" s="349"/>
      <c r="CD164" s="349"/>
      <c r="CE164" s="349"/>
      <c r="CF164" s="349"/>
      <c r="CG164" s="349"/>
      <c r="CH164" s="349"/>
      <c r="CI164" s="349"/>
      <c r="CJ164" s="349"/>
      <c r="CK164" s="349"/>
      <c r="CL164" s="349">
        <f>COUNTIF(AT164:BH164,"*OK*")</f>
        <v>0</v>
      </c>
    </row>
    <row r="165" spans="1:94" ht="15" customHeight="1">
      <c r="A165" s="835">
        <v>37535</v>
      </c>
      <c r="B165" s="560" t="s">
        <v>1198</v>
      </c>
      <c r="C165" s="329">
        <f t="shared" si="4"/>
        <v>309.71300000000002</v>
      </c>
      <c r="D165" s="352">
        <f>COUNTIF(AX165:BI165,"OK")</f>
        <v>0</v>
      </c>
      <c r="E165" s="397" t="s">
        <v>439</v>
      </c>
      <c r="F165" s="370" t="s">
        <v>1199</v>
      </c>
      <c r="G165" s="370"/>
      <c r="H165" s="650">
        <f>IF(LEN(TRIM($G165&amp;""))=0, $C165, SUMIF($G$3:$G$561, TRIM($G165), $C$3:$C$561))</f>
        <v>309.71300000000002</v>
      </c>
      <c r="I165" s="397" t="s">
        <v>562</v>
      </c>
      <c r="J165" s="397" t="s">
        <v>103</v>
      </c>
      <c r="K165" s="349"/>
      <c r="L165" s="349"/>
      <c r="M165" s="553"/>
      <c r="N165" s="352" t="s">
        <v>817</v>
      </c>
      <c r="O165" s="540" t="s">
        <v>1158</v>
      </c>
      <c r="P165" s="540" t="s">
        <v>1200</v>
      </c>
      <c r="Q165" s="540" t="s">
        <v>1201</v>
      </c>
      <c r="R165" s="352"/>
      <c r="S165" s="352"/>
      <c r="T165" s="397" t="s">
        <v>88</v>
      </c>
      <c r="U165" s="362" t="s">
        <v>82</v>
      </c>
      <c r="V165" s="398" t="s">
        <v>103</v>
      </c>
      <c r="W165" s="398" t="s">
        <v>103</v>
      </c>
      <c r="X165" s="398" t="s">
        <v>103</v>
      </c>
      <c r="Y165" s="399">
        <v>312.95</v>
      </c>
      <c r="Z165" s="400">
        <v>222.01419999999999</v>
      </c>
      <c r="AA165" s="435">
        <v>292.77319999999997</v>
      </c>
      <c r="AB165" s="435">
        <v>274.15410000000003</v>
      </c>
      <c r="AC165" s="641">
        <v>279.19420000000002</v>
      </c>
      <c r="AD165" s="435">
        <v>309.71300000000002</v>
      </c>
      <c r="AE165" s="357">
        <v>87</v>
      </c>
      <c r="AF165" s="358" t="s">
        <v>103</v>
      </c>
      <c r="AG165" s="354"/>
      <c r="AH165" s="349"/>
      <c r="AI165" s="370"/>
      <c r="AJ165" s="361"/>
      <c r="AK165" s="362"/>
      <c r="AL165" s="371" t="s">
        <v>103</v>
      </c>
      <c r="AM165" s="349"/>
      <c r="AN165" s="349"/>
      <c r="AO165" s="349"/>
      <c r="AP165" s="349"/>
      <c r="AQ165" s="349"/>
      <c r="AR165" s="453"/>
      <c r="AS165" s="371" t="s">
        <v>103</v>
      </c>
      <c r="AT165" s="445"/>
      <c r="AU165" s="445"/>
      <c r="AV165" s="445"/>
      <c r="AW165" s="445"/>
      <c r="AX165" s="445"/>
      <c r="AY165" s="445"/>
      <c r="AZ165" s="445"/>
      <c r="BA165" s="445"/>
      <c r="BB165" s="445"/>
      <c r="BC165" s="445"/>
      <c r="BD165" s="445"/>
      <c r="BE165" s="445"/>
      <c r="BF165" s="445"/>
      <c r="BG165" s="445"/>
      <c r="BH165" s="445"/>
      <c r="BI165" s="445"/>
      <c r="BJ165" s="446">
        <f>COUNTIF(AT165:BI165,"*OP*")</f>
        <v>0</v>
      </c>
      <c r="BK165" s="363" t="s">
        <v>103</v>
      </c>
      <c r="BL165" s="349">
        <f>(COUNTIF(AT165:AV165,"*OK*")*3) + (COUNTIF(AW165:AY165,"*OK*")*2) + COUNTIF(AZ165:BB165,"*OK*")+COUNTIF(BK165:BK165,"SI")*0.5</f>
        <v>0</v>
      </c>
      <c r="BM165" s="349" t="str">
        <f>IF(BL165&lt;0.6,"Demasiado Riesgo",IF(BL165&lt;=5,"Riesgo Medio",IF(BL165&lt;=11,"Riesgo Bajo","Cliente Blindado")))</f>
        <v>Demasiado Riesgo</v>
      </c>
      <c r="BN165" s="349"/>
      <c r="BO165" s="328"/>
      <c r="BP165" s="328">
        <v>0</v>
      </c>
      <c r="BQ165" s="328"/>
      <c r="BR165" s="328"/>
      <c r="BS165" s="328"/>
      <c r="BT165" s="328"/>
      <c r="BU165" s="328"/>
      <c r="BV165" s="328"/>
      <c r="BW165" s="328"/>
      <c r="BX165" s="328"/>
      <c r="BY165" s="328"/>
      <c r="BZ165" s="328"/>
      <c r="CA165" s="328"/>
      <c r="CB165" s="328"/>
      <c r="CC165" s="328"/>
      <c r="CD165" s="328"/>
      <c r="CE165" s="328"/>
      <c r="CF165" s="328"/>
      <c r="CG165" s="328"/>
      <c r="CH165" s="328"/>
      <c r="CI165" s="328"/>
      <c r="CJ165" s="328"/>
      <c r="CK165" s="328"/>
      <c r="CL165" s="328">
        <f>COUNTIF(AT165:BH165,"*OK*")</f>
        <v>0</v>
      </c>
      <c r="CM165" s="328"/>
      <c r="CN165" s="328">
        <f>COUNTIF(AT165:BH165,"*OP*")</f>
        <v>0</v>
      </c>
    </row>
    <row r="166" spans="1:94" ht="15" customHeight="1">
      <c r="A166" s="834">
        <v>38340</v>
      </c>
      <c r="B166" s="560" t="s">
        <v>1202</v>
      </c>
      <c r="C166" s="329">
        <f t="shared" si="4"/>
        <v>267.6601</v>
      </c>
      <c r="D166" s="332">
        <f>COUNTIF(AX166:BI166,"OK")</f>
        <v>0</v>
      </c>
      <c r="E166" s="397" t="s">
        <v>439</v>
      </c>
      <c r="F166" s="376" t="s">
        <v>1203</v>
      </c>
      <c r="G166" s="376"/>
      <c r="H166" s="650">
        <f>IF(LEN(TRIM($G166&amp;""))=0, $C166, SUMIF($G$3:$G$561, TRIM($G166), $C$3:$C$561))</f>
        <v>267.6601</v>
      </c>
      <c r="I166" s="376" t="s">
        <v>562</v>
      </c>
      <c r="J166" s="328"/>
      <c r="K166" s="328"/>
      <c r="L166" s="328"/>
      <c r="M166" s="391"/>
      <c r="N166" s="332" t="s">
        <v>817</v>
      </c>
      <c r="O166" s="541" t="s">
        <v>1204</v>
      </c>
      <c r="P166" s="541" t="s">
        <v>1205</v>
      </c>
      <c r="Q166" s="541" t="s">
        <v>1206</v>
      </c>
      <c r="R166" s="332"/>
      <c r="S166" s="332"/>
      <c r="T166" s="397" t="s">
        <v>88</v>
      </c>
      <c r="U166" s="344"/>
      <c r="V166" s="335"/>
      <c r="W166" s="335"/>
      <c r="X166" s="335"/>
      <c r="Y166" s="336"/>
      <c r="Z166" s="337">
        <v>251.30420000000001</v>
      </c>
      <c r="AA166" s="374">
        <v>237.12</v>
      </c>
      <c r="AB166" s="374">
        <v>276.57420000000002</v>
      </c>
      <c r="AC166" s="643">
        <v>278.72480000000002</v>
      </c>
      <c r="AD166" s="374">
        <v>267.6601</v>
      </c>
      <c r="AE166" s="339">
        <v>184</v>
      </c>
      <c r="AF166" s="340" t="s">
        <v>103</v>
      </c>
      <c r="AG166" s="334"/>
      <c r="AH166" s="328"/>
      <c r="AI166" s="342"/>
      <c r="AJ166" s="343"/>
      <c r="AK166" s="344"/>
      <c r="AL166" s="372" t="s">
        <v>103</v>
      </c>
      <c r="AM166" s="328"/>
      <c r="AN166" s="328"/>
      <c r="AO166" s="328"/>
      <c r="AP166" s="328"/>
      <c r="AQ166" s="328"/>
      <c r="AR166" s="451"/>
      <c r="AS166" s="444"/>
      <c r="AT166" s="345"/>
      <c r="AU166" s="345"/>
      <c r="AV166" s="345"/>
      <c r="AW166" s="345"/>
      <c r="AX166" s="345"/>
      <c r="AY166" s="345"/>
      <c r="AZ166" s="345"/>
      <c r="BA166" s="345"/>
      <c r="BB166" s="345"/>
      <c r="BC166" s="345"/>
      <c r="BD166" s="345"/>
      <c r="BE166" s="345"/>
      <c r="BF166" s="345"/>
      <c r="BG166" s="345"/>
      <c r="BH166" s="345"/>
      <c r="BI166" s="345"/>
      <c r="BJ166" s="364">
        <f>COUNTIF(AT166:BI166,"*OP*")</f>
        <v>0</v>
      </c>
      <c r="BK166" s="447"/>
      <c r="BL166" s="328">
        <f>(COUNTIF(AT166:AV166,"*OK*")*3) + (COUNTIF(AW166:AY166,"*OK*")*2) + COUNTIF(AZ166:BB166,"*OK*")+COUNTIF(BK166:BK166,"SI")*0.5</f>
        <v>0</v>
      </c>
      <c r="BM166" s="328" t="str">
        <f>IF(BL166&lt;0.6,"Demasiado Riesgo",IF(BL166&lt;=5,"Riesgo Medio",IF(BL166&lt;=11,"Riesgo Bajo","Cliente Blindado")))</f>
        <v>Demasiado Riesgo</v>
      </c>
      <c r="BN166" s="328"/>
      <c r="BO166" s="328"/>
      <c r="BP166" s="328"/>
      <c r="BQ166" s="328"/>
      <c r="BR166" s="328"/>
      <c r="BS166" s="328"/>
      <c r="BT166" s="328"/>
      <c r="BU166" s="328"/>
      <c r="BV166" s="328"/>
      <c r="BW166" s="328"/>
      <c r="BX166" s="328"/>
      <c r="BY166" s="328"/>
      <c r="BZ166" s="328"/>
      <c r="CA166" s="328"/>
      <c r="CB166" s="328"/>
      <c r="CC166" s="328"/>
      <c r="CD166" s="328"/>
      <c r="CE166" s="328"/>
      <c r="CF166" s="328"/>
      <c r="CG166" s="328"/>
      <c r="CH166" s="328"/>
      <c r="CI166" s="328"/>
      <c r="CJ166" s="328"/>
      <c r="CK166" s="328"/>
      <c r="CL166" s="328">
        <f>COUNTIF(AT166:BH166,"*OK*")</f>
        <v>0</v>
      </c>
      <c r="CM166" s="328"/>
      <c r="CN166" s="328"/>
    </row>
    <row r="167" spans="1:94" s="425" customFormat="1" ht="15" customHeight="1">
      <c r="A167" s="834">
        <v>23029</v>
      </c>
      <c r="B167" s="560" t="s">
        <v>1207</v>
      </c>
      <c r="C167" s="329">
        <f t="shared" si="4"/>
        <v>279.28039999999999</v>
      </c>
      <c r="D167" s="332">
        <f>COUNTIF(AT167:BH167,"*OK*")</f>
        <v>2</v>
      </c>
      <c r="E167" s="331" t="s">
        <v>439</v>
      </c>
      <c r="F167" s="331" t="s">
        <v>1208</v>
      </c>
      <c r="G167" s="331" t="s">
        <v>1208</v>
      </c>
      <c r="H167" s="650">
        <f>IF(LEN(TRIM($G167&amp;""))=0, $C167, SUMIF($G$3:$G$561, TRIM($G167), $C$3:$C$561))</f>
        <v>616.93330000000003</v>
      </c>
      <c r="I167" s="410" t="s">
        <v>562</v>
      </c>
      <c r="J167" s="331"/>
      <c r="K167" s="328"/>
      <c r="L167" s="328"/>
      <c r="M167" s="391" t="s">
        <v>77</v>
      </c>
      <c r="N167" s="332"/>
      <c r="O167" s="541" t="s">
        <v>1209</v>
      </c>
      <c r="P167" s="541" t="s">
        <v>1210</v>
      </c>
      <c r="Q167" s="541" t="s">
        <v>1211</v>
      </c>
      <c r="R167" s="332"/>
      <c r="S167" s="332"/>
      <c r="T167" s="331"/>
      <c r="U167" s="334" t="s">
        <v>82</v>
      </c>
      <c r="V167" s="335">
        <v>218.95</v>
      </c>
      <c r="W167" s="335">
        <v>210.33</v>
      </c>
      <c r="X167" s="335">
        <v>200.44</v>
      </c>
      <c r="Y167" s="336">
        <v>215.17</v>
      </c>
      <c r="Z167" s="337">
        <v>228.8509</v>
      </c>
      <c r="AA167" s="367">
        <v>402.95</v>
      </c>
      <c r="AB167" s="367">
        <v>258.12670000000003</v>
      </c>
      <c r="AC167" s="636">
        <v>277.47609999999997</v>
      </c>
      <c r="AD167" s="367">
        <v>279.28039999999999</v>
      </c>
      <c r="AE167" s="339">
        <v>236</v>
      </c>
      <c r="AF167" s="340">
        <v>100</v>
      </c>
      <c r="AG167" s="334"/>
      <c r="AH167" s="341"/>
      <c r="AI167" s="422" t="s">
        <v>83</v>
      </c>
      <c r="AJ167" s="343" t="s">
        <v>130</v>
      </c>
      <c r="AK167" s="344" t="s">
        <v>1212</v>
      </c>
      <c r="AL167" s="340" t="s">
        <v>103</v>
      </c>
      <c r="AM167" s="328"/>
      <c r="AN167" s="328"/>
      <c r="AO167" s="328"/>
      <c r="AP167" s="328"/>
      <c r="AQ167" s="328"/>
      <c r="AR167" s="451"/>
      <c r="AS167" s="372" t="s">
        <v>88</v>
      </c>
      <c r="AT167" s="345"/>
      <c r="AU167" s="345"/>
      <c r="AV167" s="345" t="s">
        <v>299</v>
      </c>
      <c r="AW167" s="345"/>
      <c r="AX167" s="345"/>
      <c r="AY167" s="345" t="s">
        <v>1213</v>
      </c>
      <c r="AZ167" s="345"/>
      <c r="BA167" s="345"/>
      <c r="BB167" s="345"/>
      <c r="BC167" s="345"/>
      <c r="BD167" s="345"/>
      <c r="BE167" s="345"/>
      <c r="BF167" s="345"/>
      <c r="BG167" s="345"/>
      <c r="BH167" s="345"/>
      <c r="BI167" s="345" t="s">
        <v>1214</v>
      </c>
      <c r="BJ167" s="364">
        <f>COUNTIF(AT167:BI167,"*OP*")</f>
        <v>1</v>
      </c>
      <c r="BK167" s="375" t="s">
        <v>89</v>
      </c>
      <c r="BL167" s="328">
        <f>(COUNTIF(AT167:AV167,"*OK*")*3) + (COUNTIF(AW167:AY167,"*OK*")*2) + COUNTIF(AZ167:BB167,"*OK*")+COUNTIF(BK167:BK167,"SI")*0.5</f>
        <v>5</v>
      </c>
      <c r="BM167" s="328" t="str">
        <f>IF(BL167&lt;0.6,"Demasiado Riesgo",IF(BL167&lt;=5,"Riesgo Medio",IF(BL167&lt;=11,"Riesgo Bajo","Cliente Blindado")))</f>
        <v>Riesgo Medio</v>
      </c>
      <c r="BN167" s="328"/>
      <c r="BO167" s="349"/>
      <c r="BP167" s="349">
        <v>0</v>
      </c>
      <c r="BQ167" s="349"/>
      <c r="BR167" s="349"/>
      <c r="BS167" s="349"/>
      <c r="BT167" s="349"/>
      <c r="BU167" s="349"/>
      <c r="BV167" s="349"/>
      <c r="BW167" s="349"/>
      <c r="BX167" s="349"/>
      <c r="BY167" s="349"/>
      <c r="BZ167" s="349"/>
      <c r="CA167" s="349"/>
      <c r="CB167" s="349"/>
      <c r="CC167" s="349"/>
      <c r="CD167" s="349"/>
      <c r="CE167" s="349"/>
      <c r="CF167" s="349"/>
      <c r="CG167" s="349"/>
      <c r="CH167" s="349"/>
      <c r="CI167" s="349"/>
      <c r="CJ167" s="349"/>
      <c r="CK167" s="349"/>
      <c r="CL167" s="349">
        <f>COUNTIF(AT167:BH167,"*OK*")</f>
        <v>2</v>
      </c>
      <c r="CM167" s="349"/>
      <c r="CN167" s="349">
        <f>COUNTIF(AT167:BH167,"*OP*")</f>
        <v>0</v>
      </c>
      <c r="CO167" s="287"/>
      <c r="CP167" s="287"/>
    </row>
    <row r="168" spans="1:94" s="425" customFormat="1" ht="15" customHeight="1">
      <c r="A168" s="834">
        <v>37488</v>
      </c>
      <c r="B168" s="560" t="s">
        <v>1215</v>
      </c>
      <c r="C168" s="329">
        <f t="shared" si="4"/>
        <v>295.80579999999998</v>
      </c>
      <c r="D168" s="332">
        <f>COUNTIF(AX168:BI168,"OK")</f>
        <v>0</v>
      </c>
      <c r="E168" s="397" t="s">
        <v>439</v>
      </c>
      <c r="F168" s="591" t="s">
        <v>1216</v>
      </c>
      <c r="G168" s="376"/>
      <c r="H168" s="650">
        <f>IF(LEN(TRIM($G168&amp;""))=0, $C168, SUMIF($G$3:$G$561, TRIM($G168), $C$3:$C$561))</f>
        <v>295.80579999999998</v>
      </c>
      <c r="I168" s="376" t="s">
        <v>562</v>
      </c>
      <c r="J168" s="328"/>
      <c r="K168" s="328"/>
      <c r="L168" s="328" t="str">
        <f>HYPERLINK("https://crm.zoho.com/crm/org685875245/tab/Accounts/3525045000612031877","https://crm.zoho.com/crm/org685875245/tab/Accounts/3525045000612031877")</f>
        <v>https://crm.zoho.com/crm/org685875245/tab/Accounts/3525045000612031877</v>
      </c>
      <c r="M168" s="391"/>
      <c r="N168" s="332" t="s">
        <v>817</v>
      </c>
      <c r="O168" s="541" t="s">
        <v>1217</v>
      </c>
      <c r="P168" s="541" t="s">
        <v>1218</v>
      </c>
      <c r="Q168" s="541" t="s">
        <v>1219</v>
      </c>
      <c r="R168" s="332" t="s">
        <v>1220</v>
      </c>
      <c r="S168" s="352" t="s">
        <v>860</v>
      </c>
      <c r="T168" s="397"/>
      <c r="U168" s="344"/>
      <c r="V168" s="335"/>
      <c r="W168" s="335"/>
      <c r="X168" s="335"/>
      <c r="Y168" s="336">
        <v>262.21879999999999</v>
      </c>
      <c r="Z168" s="337">
        <v>295.78789999999998</v>
      </c>
      <c r="AA168" s="405">
        <v>278.83</v>
      </c>
      <c r="AB168" s="405">
        <v>276.57409999999999</v>
      </c>
      <c r="AC168" s="642">
        <v>276.96440000000001</v>
      </c>
      <c r="AD168" s="405">
        <v>295.80579999999998</v>
      </c>
      <c r="AE168" s="339">
        <v>87</v>
      </c>
      <c r="AF168" s="340" t="s">
        <v>103</v>
      </c>
      <c r="AG168" s="334"/>
      <c r="AH168" s="328"/>
      <c r="AI168" s="342"/>
      <c r="AJ168" s="343"/>
      <c r="AK168" s="344"/>
      <c r="AL168" s="372" t="s">
        <v>103</v>
      </c>
      <c r="AM168" s="328"/>
      <c r="AN168" s="328"/>
      <c r="AO168" s="328"/>
      <c r="AP168" s="328"/>
      <c r="AQ168" s="328"/>
      <c r="AR168" s="451"/>
      <c r="AS168" s="444"/>
      <c r="AT168" s="445"/>
      <c r="AU168" s="445"/>
      <c r="AV168" s="445"/>
      <c r="AW168" s="445"/>
      <c r="AX168" s="445"/>
      <c r="AY168" s="445"/>
      <c r="AZ168" s="445"/>
      <c r="BA168" s="445"/>
      <c r="BB168" s="445"/>
      <c r="BC168" s="445"/>
      <c r="BD168" s="445"/>
      <c r="BE168" s="445"/>
      <c r="BF168" s="445"/>
      <c r="BG168" s="445"/>
      <c r="BH168" s="445"/>
      <c r="BI168" s="445"/>
      <c r="BJ168" s="446">
        <f>COUNTIF(AT168:BI168,"*OP*")</f>
        <v>0</v>
      </c>
      <c r="BK168" s="447"/>
      <c r="BL168" s="328">
        <f>(COUNTIF(AT168:AV168,"*OK*")*3) + (COUNTIF(AW168:AY168,"*OK*")*2) + COUNTIF(AZ168:BB168,"*OK*")+COUNTIF(BK168:BK168,"SI")*0.5</f>
        <v>0</v>
      </c>
      <c r="BM168" s="328" t="str">
        <f>IF(BL168&lt;0.6,"Demasiado Riesgo",IF(BL168&lt;=5,"Riesgo Medio",IF(BL168&lt;=11,"Riesgo Bajo","Cliente Blindado")))</f>
        <v>Demasiado Riesgo</v>
      </c>
      <c r="BN168" s="328"/>
      <c r="BO168" s="328"/>
      <c r="BP168" s="328">
        <v>0</v>
      </c>
      <c r="BQ168" s="328"/>
      <c r="BR168" s="328"/>
      <c r="BS168" s="328"/>
      <c r="BT168" s="328"/>
      <c r="BU168" s="328"/>
      <c r="BV168" s="328"/>
      <c r="BW168" s="328"/>
      <c r="BX168" s="328"/>
      <c r="BY168" s="328"/>
      <c r="BZ168" s="328"/>
      <c r="CA168" s="328"/>
      <c r="CB168" s="328"/>
      <c r="CC168" s="328"/>
      <c r="CD168" s="328"/>
      <c r="CE168" s="328"/>
      <c r="CF168" s="328"/>
      <c r="CG168" s="328"/>
      <c r="CH168" s="328"/>
      <c r="CI168" s="328"/>
      <c r="CJ168" s="328"/>
      <c r="CK168" s="328"/>
      <c r="CL168" s="328">
        <f>COUNTIF(AT168:BH168,"*OK*")</f>
        <v>0</v>
      </c>
      <c r="CM168" s="328"/>
      <c r="CN168" s="328">
        <f>COUNTIF(AT168:BH168,"*OP*")</f>
        <v>0</v>
      </c>
      <c r="CO168" s="287"/>
      <c r="CP168" s="287"/>
    </row>
    <row r="169" spans="1:94" ht="15" customHeight="1">
      <c r="A169" s="834">
        <v>20005</v>
      </c>
      <c r="B169" s="560" t="s">
        <v>363</v>
      </c>
      <c r="C169" s="329">
        <f t="shared" si="4"/>
        <v>354.63580000000002</v>
      </c>
      <c r="D169" s="332">
        <f>COUNTIF(AT169:BH169,"*OK*")</f>
        <v>0</v>
      </c>
      <c r="E169" s="331" t="s">
        <v>93</v>
      </c>
      <c r="F169" s="331" t="s">
        <v>1221</v>
      </c>
      <c r="G169" s="331" t="s">
        <v>365</v>
      </c>
      <c r="H169" s="650">
        <f>IF(LEN(TRIM($G169&amp;""))=0, $C169, SUMIF($G$3:$G$561, TRIM($G169), $C$3:$C$561))</f>
        <v>4240.7285999999995</v>
      </c>
      <c r="I169" s="410" t="s">
        <v>76</v>
      </c>
      <c r="J169" s="331"/>
      <c r="K169" s="328" t="s">
        <v>125</v>
      </c>
      <c r="L169" s="328"/>
      <c r="M169" s="341" t="s">
        <v>96</v>
      </c>
      <c r="N169" s="341"/>
      <c r="O169" s="548" t="s">
        <v>367</v>
      </c>
      <c r="P169" s="548" t="s">
        <v>368</v>
      </c>
      <c r="Q169" s="548" t="s">
        <v>369</v>
      </c>
      <c r="R169" s="341" t="s">
        <v>160</v>
      </c>
      <c r="S169" s="341"/>
      <c r="T169" s="331"/>
      <c r="U169" s="344" t="s">
        <v>209</v>
      </c>
      <c r="V169" s="335">
        <v>271.45999999999998</v>
      </c>
      <c r="W169" s="335">
        <v>271.20999999999998</v>
      </c>
      <c r="X169" s="335">
        <v>258.45999999999998</v>
      </c>
      <c r="Y169" s="336">
        <v>266.77999999999997</v>
      </c>
      <c r="Z169" s="337">
        <v>272.67950000000002</v>
      </c>
      <c r="AA169" s="347">
        <v>265.12</v>
      </c>
      <c r="AB169" s="347">
        <v>269.65989999999999</v>
      </c>
      <c r="AC169" s="638">
        <v>276.96440000000001</v>
      </c>
      <c r="AD169" s="347">
        <v>354.63580000000002</v>
      </c>
      <c r="AE169" s="339">
        <v>1417</v>
      </c>
      <c r="AF169" s="340">
        <v>300</v>
      </c>
      <c r="AG169" s="334"/>
      <c r="AH169" s="341"/>
      <c r="AI169" s="342" t="s">
        <v>112</v>
      </c>
      <c r="AJ169" s="343" t="s">
        <v>101</v>
      </c>
      <c r="AK169" s="344" t="s">
        <v>1222</v>
      </c>
      <c r="AL169" s="340" t="s">
        <v>103</v>
      </c>
      <c r="AM169" s="328"/>
      <c r="AN169" s="328" t="s">
        <v>104</v>
      </c>
      <c r="AO169" s="328"/>
      <c r="AP169" s="328"/>
      <c r="AQ169" s="328"/>
      <c r="AR169" s="451"/>
      <c r="AS169" s="372"/>
      <c r="AT169" s="345"/>
      <c r="AU169" s="345"/>
      <c r="AV169" s="345"/>
      <c r="AW169" s="345"/>
      <c r="AX169" s="345"/>
      <c r="AY169" s="345"/>
      <c r="AZ169" s="345"/>
      <c r="BA169" s="345"/>
      <c r="BB169" s="345"/>
      <c r="BC169" s="345"/>
      <c r="BD169" s="345"/>
      <c r="BE169" s="345"/>
      <c r="BF169" s="345"/>
      <c r="BG169" s="345"/>
      <c r="BH169" s="345"/>
      <c r="BI169" s="345"/>
      <c r="BJ169" s="364">
        <f>COUNTIF(AT169:BI169,"*OP*")</f>
        <v>0</v>
      </c>
      <c r="BK169" s="375" t="s">
        <v>103</v>
      </c>
      <c r="BL169" s="328">
        <f>(COUNTIF(AT169:AV169,"*OK*")*3) + (COUNTIF(AW169:AY169,"*OK*")*2) + COUNTIF(AZ169:BB169,"*OK*")+COUNTIF(BK169:BK169,"SI")*0.5</f>
        <v>0</v>
      </c>
      <c r="BM169" s="328" t="str">
        <f>IF(BL169&lt;0.6,"Demasiado Riesgo",IF(BL169&lt;=5,"Riesgo Medio",IF(BL169&lt;=11,"Riesgo Bajo","Cliente Blindado")))</f>
        <v>Demasiado Riesgo</v>
      </c>
      <c r="BN169" s="328"/>
      <c r="BO169" s="349"/>
      <c r="BP169" s="349"/>
      <c r="BQ169" s="349"/>
      <c r="BR169" s="349"/>
      <c r="BS169" s="349"/>
      <c r="BT169" s="349"/>
      <c r="BU169" s="349"/>
      <c r="BV169" s="349"/>
      <c r="BW169" s="349"/>
      <c r="BX169" s="349"/>
      <c r="BY169" s="349"/>
      <c r="BZ169" s="349"/>
      <c r="CA169" s="349"/>
      <c r="CB169" s="349"/>
      <c r="CC169" s="349"/>
      <c r="CD169" s="349"/>
      <c r="CE169" s="349"/>
      <c r="CF169" s="349"/>
      <c r="CG169" s="349"/>
      <c r="CH169" s="349"/>
      <c r="CI169" s="349"/>
      <c r="CJ169" s="349"/>
      <c r="CK169" s="349"/>
      <c r="CL169" s="349">
        <f>COUNTIF(AT169:BH169,"*OK*")</f>
        <v>0</v>
      </c>
    </row>
    <row r="170" spans="1:94" ht="15" customHeight="1">
      <c r="A170" s="837">
        <v>18980</v>
      </c>
      <c r="B170" s="560" t="s">
        <v>1223</v>
      </c>
      <c r="C170" s="329">
        <f t="shared" si="4"/>
        <v>262.29640000000001</v>
      </c>
      <c r="D170" s="352">
        <f>COUNTIF(AT170:BH170,"*OK*")</f>
        <v>0</v>
      </c>
      <c r="E170" s="331" t="s">
        <v>73</v>
      </c>
      <c r="F170" s="351" t="s">
        <v>1224</v>
      </c>
      <c r="G170" s="351"/>
      <c r="H170" s="650">
        <f>IF(LEN(TRIM($G170&amp;""))=0, $C170, SUMIF($G$3:$G$561, TRIM($G170), $C$3:$C$561))</f>
        <v>262.29640000000001</v>
      </c>
      <c r="I170" s="353" t="s">
        <v>562</v>
      </c>
      <c r="J170" s="351"/>
      <c r="K170" s="558"/>
      <c r="L170" s="558" t="str">
        <f>HYPERLINK("https://crm.zoho.com/crm/org685875245/tab/Accounts/3525045000159126037","https://crm.zoho.com/crm/org685875245/tab/Accounts/3525045000159126037")</f>
        <v>https://crm.zoho.com/crm/org685875245/tab/Accounts/3525045000159126037</v>
      </c>
      <c r="M170" s="553" t="s">
        <v>96</v>
      </c>
      <c r="N170" s="558"/>
      <c r="O170" s="559" t="s">
        <v>982</v>
      </c>
      <c r="P170" s="559" t="s">
        <v>1225</v>
      </c>
      <c r="Q170" s="559" t="s">
        <v>1226</v>
      </c>
      <c r="R170" s="558"/>
      <c r="S170" s="352"/>
      <c r="T170" s="351"/>
      <c r="U170" s="354" t="s">
        <v>142</v>
      </c>
      <c r="V170" s="355">
        <v>263.01</v>
      </c>
      <c r="W170" s="355">
        <v>262.77</v>
      </c>
      <c r="X170" s="355">
        <v>262.48</v>
      </c>
      <c r="Y170" s="356">
        <v>267.82</v>
      </c>
      <c r="Z170" s="337">
        <v>277.73099999999999</v>
      </c>
      <c r="AA170" s="365">
        <v>274.69</v>
      </c>
      <c r="AB170" s="365">
        <v>264.41180000000003</v>
      </c>
      <c r="AC170" s="635">
        <v>275.68400000000003</v>
      </c>
      <c r="AD170" s="365">
        <v>262.29640000000001</v>
      </c>
      <c r="AE170" s="357">
        <v>87</v>
      </c>
      <c r="AF170" s="358">
        <v>100</v>
      </c>
      <c r="AG170" s="354"/>
      <c r="AH170" s="359" t="s">
        <v>83</v>
      </c>
      <c r="AI170" s="427" t="s">
        <v>83</v>
      </c>
      <c r="AJ170" s="361" t="s">
        <v>143</v>
      </c>
      <c r="AK170" s="362" t="s">
        <v>1227</v>
      </c>
      <c r="AL170" s="358" t="s">
        <v>662</v>
      </c>
      <c r="AM170" s="349"/>
      <c r="AN170" s="349"/>
      <c r="AO170" s="349"/>
      <c r="AP170" s="349"/>
      <c r="AQ170" s="349"/>
      <c r="AR170" s="453"/>
      <c r="AS170" s="371" t="s">
        <v>103</v>
      </c>
      <c r="AT170" s="345"/>
      <c r="AU170" s="345"/>
      <c r="AV170" s="345"/>
      <c r="AW170" s="345"/>
      <c r="AX170" s="345"/>
      <c r="AY170" s="345"/>
      <c r="AZ170" s="345"/>
      <c r="BA170" s="345"/>
      <c r="BB170" s="345"/>
      <c r="BC170" s="345"/>
      <c r="BD170" s="345"/>
      <c r="BE170" s="345"/>
      <c r="BF170" s="345"/>
      <c r="BG170" s="345"/>
      <c r="BH170" s="345"/>
      <c r="BI170" s="345"/>
      <c r="BJ170" s="364">
        <f>COUNTIF(AT170:BI170,"*OP*")</f>
        <v>0</v>
      </c>
      <c r="BK170" s="363" t="s">
        <v>103</v>
      </c>
      <c r="BL170" s="349">
        <f>(COUNTIF(AT170:AV170,"*OK*")*3) + (COUNTIF(AW170:AY170,"*OK*")*2) + COUNTIF(AZ170:BB170,"*OK*")+COUNTIF(BK170:BK170,"SI")*0.5</f>
        <v>0</v>
      </c>
      <c r="BM170" s="349" t="str">
        <f>IF(BL170&lt;0.6,"Demasiado Riesgo",IF(BL170&lt;=5,"Riesgo Medio",IF(BL170&lt;=11,"Riesgo Bajo","Cliente Blindado")))</f>
        <v>Demasiado Riesgo</v>
      </c>
      <c r="BN170" s="349"/>
      <c r="BO170" s="349"/>
      <c r="BP170" s="349">
        <v>0</v>
      </c>
      <c r="BQ170" s="349"/>
      <c r="BR170" s="349"/>
      <c r="BS170" s="349"/>
      <c r="BT170" s="349"/>
      <c r="BU170" s="349"/>
      <c r="BV170" s="349"/>
      <c r="BW170" s="349"/>
      <c r="BX170" s="349"/>
      <c r="BY170" s="349"/>
      <c r="BZ170" s="349"/>
      <c r="CA170" s="349"/>
      <c r="CB170" s="349"/>
      <c r="CC170" s="349"/>
      <c r="CD170" s="349"/>
      <c r="CE170" s="349"/>
      <c r="CF170" s="349"/>
      <c r="CG170" s="349"/>
      <c r="CH170" s="349"/>
      <c r="CI170" s="349"/>
      <c r="CJ170" s="349"/>
      <c r="CK170" s="349"/>
      <c r="CL170" s="349">
        <f>COUNTIF(AT170:BH170,"*OK*")</f>
        <v>0</v>
      </c>
      <c r="CM170" s="349"/>
      <c r="CN170" s="349">
        <f>COUNTIF(AT170:BH170,"*OP*")</f>
        <v>0</v>
      </c>
    </row>
    <row r="171" spans="1:94" ht="15" customHeight="1">
      <c r="A171" s="835">
        <v>36821</v>
      </c>
      <c r="B171" s="560" t="s">
        <v>1228</v>
      </c>
      <c r="C171" s="329">
        <f t="shared" si="4"/>
        <v>253.80799999999999</v>
      </c>
      <c r="D171" s="352">
        <f>COUNTIF(AT171:BH171,"*OK*")</f>
        <v>0</v>
      </c>
      <c r="E171" s="351" t="s">
        <v>439</v>
      </c>
      <c r="F171" s="350" t="s">
        <v>1229</v>
      </c>
      <c r="G171" s="351"/>
      <c r="H171" s="650">
        <f>IF(LEN(TRIM($G171&amp;""))=0, $C171, SUMIF($G$3:$G$561, TRIM($G171), $C$3:$C$561))</f>
        <v>253.80799999999999</v>
      </c>
      <c r="I171" s="353" t="s">
        <v>562</v>
      </c>
      <c r="J171" s="351"/>
      <c r="K171" s="349"/>
      <c r="L171" s="349" t="str">
        <f>HYPERLINK("https://crm.zoho.com/crm/org685875245/tab/Accounts/3525045000060987899","https://crm.zoho.com/crm/org685875245/tab/Accounts/3525045000060987899")</f>
        <v>https://crm.zoho.com/crm/org685875245/tab/Accounts/3525045000060987899</v>
      </c>
      <c r="M171" s="553"/>
      <c r="N171" s="352"/>
      <c r="O171" s="540" t="s">
        <v>982</v>
      </c>
      <c r="P171" s="540" t="s">
        <v>1230</v>
      </c>
      <c r="Q171" s="540" t="s">
        <v>1231</v>
      </c>
      <c r="R171" s="352"/>
      <c r="S171" s="352"/>
      <c r="T171" s="351" t="s">
        <v>88</v>
      </c>
      <c r="U171" s="354" t="s">
        <v>394</v>
      </c>
      <c r="V171" s="355"/>
      <c r="W171" s="355"/>
      <c r="X171" s="355">
        <v>246.03</v>
      </c>
      <c r="Y171" s="356">
        <v>259.43</v>
      </c>
      <c r="Z171" s="337">
        <v>262.9162</v>
      </c>
      <c r="AA171" s="347">
        <v>251.81</v>
      </c>
      <c r="AB171" s="347">
        <v>273.28989999999999</v>
      </c>
      <c r="AC171" s="638">
        <v>272.68090000000001</v>
      </c>
      <c r="AD171" s="347">
        <v>253.80799999999999</v>
      </c>
      <c r="AE171" s="357">
        <v>86</v>
      </c>
      <c r="AF171" s="358">
        <v>100</v>
      </c>
      <c r="AG171" s="354"/>
      <c r="AH171" s="359"/>
      <c r="AI171" s="360" t="s">
        <v>83</v>
      </c>
      <c r="AJ171" s="361" t="s">
        <v>396</v>
      </c>
      <c r="AK171" s="362" t="s">
        <v>1232</v>
      </c>
      <c r="AL171" s="358" t="s">
        <v>103</v>
      </c>
      <c r="AM171" s="349"/>
      <c r="AN171" s="349"/>
      <c r="AO171" s="349"/>
      <c r="AP171" s="349"/>
      <c r="AQ171" s="349"/>
      <c r="AR171" s="453"/>
      <c r="AS171" s="371" t="s">
        <v>103</v>
      </c>
      <c r="AT171" s="345"/>
      <c r="AU171" s="345"/>
      <c r="AV171" s="345"/>
      <c r="AW171" s="345"/>
      <c r="AX171" s="345"/>
      <c r="AY171" s="345"/>
      <c r="AZ171" s="345"/>
      <c r="BA171" s="345"/>
      <c r="BB171" s="345"/>
      <c r="BC171" s="345"/>
      <c r="BD171" s="345"/>
      <c r="BE171" s="345"/>
      <c r="BF171" s="345"/>
      <c r="BG171" s="345"/>
      <c r="BH171" s="345"/>
      <c r="BI171" s="345"/>
      <c r="BJ171" s="364">
        <f>COUNTIF(AT171:BI171,"*OP*")</f>
        <v>0</v>
      </c>
      <c r="BK171" s="363" t="s">
        <v>103</v>
      </c>
      <c r="BL171" s="349">
        <f>(COUNTIF(AT171:AV171,"*OK*")*3) + (COUNTIF(AW171:AY171,"*OK*")*2) + COUNTIF(AZ171:BB171,"*OK*")+COUNTIF(BK171:BK171,"SI")*0.5</f>
        <v>0</v>
      </c>
      <c r="BM171" s="349" t="str">
        <f>IF(BL171&lt;0.6,"Demasiado Riesgo",IF(BL171&lt;=5,"Riesgo Medio",IF(BL171&lt;=11,"Riesgo Bajo","Cliente Blindado")))</f>
        <v>Demasiado Riesgo</v>
      </c>
      <c r="BN171" s="349"/>
      <c r="BO171" s="349"/>
      <c r="BP171" s="349">
        <v>0</v>
      </c>
      <c r="BQ171" s="349"/>
      <c r="BR171" s="349"/>
      <c r="BS171" s="349"/>
      <c r="BT171" s="349"/>
      <c r="BU171" s="349"/>
      <c r="BV171" s="349"/>
      <c r="BW171" s="349"/>
      <c r="BX171" s="349"/>
      <c r="BY171" s="349"/>
      <c r="BZ171" s="349"/>
      <c r="CA171" s="349"/>
      <c r="CB171" s="349"/>
      <c r="CC171" s="349"/>
      <c r="CD171" s="349"/>
      <c r="CE171" s="349"/>
      <c r="CF171" s="349"/>
      <c r="CG171" s="349"/>
      <c r="CH171" s="349"/>
      <c r="CI171" s="349"/>
      <c r="CJ171" s="349"/>
      <c r="CK171" s="349"/>
      <c r="CL171" s="349">
        <f>COUNTIF(AT171:BH171,"*OK*")</f>
        <v>0</v>
      </c>
      <c r="CM171" s="349"/>
      <c r="CN171" s="349">
        <f>COUNTIF(AT171:BH171,"*OP*")</f>
        <v>0</v>
      </c>
      <c r="CP171" s="285"/>
    </row>
    <row r="172" spans="1:94" ht="15" customHeight="1">
      <c r="A172" s="836">
        <v>25082</v>
      </c>
      <c r="B172" s="560" t="s">
        <v>1233</v>
      </c>
      <c r="C172" s="329">
        <f t="shared" si="4"/>
        <v>255.91059999999999</v>
      </c>
      <c r="D172" s="332">
        <f>COUNTIF(AT172:BH172,"*OK*")</f>
        <v>0</v>
      </c>
      <c r="E172" s="331" t="s">
        <v>73</v>
      </c>
      <c r="F172" s="331" t="s">
        <v>1234</v>
      </c>
      <c r="G172" s="331"/>
      <c r="H172" s="650">
        <f>IF(LEN(TRIM($G172&amp;""))=0, $C172, SUMIF($G$3:$G$561, TRIM($G172), $C$3:$C$561))</f>
        <v>255.91059999999999</v>
      </c>
      <c r="I172" s="333" t="s">
        <v>562</v>
      </c>
      <c r="J172" s="331"/>
      <c r="K172" s="560"/>
      <c r="L172" s="560" t="str">
        <f>HYPERLINK("https://crm.zoho.com/crm/org685875245/tab/Accounts/3525045000320389056","https://crm.zoho.com/crm/org685875245/tab/Accounts/3525045000320389056")</f>
        <v>https://crm.zoho.com/crm/org685875245/tab/Accounts/3525045000320389056</v>
      </c>
      <c r="M172" s="391" t="s">
        <v>96</v>
      </c>
      <c r="N172" s="560"/>
      <c r="O172" s="561" t="s">
        <v>1235</v>
      </c>
      <c r="P172" s="561" t="s">
        <v>1236</v>
      </c>
      <c r="Q172" s="561" t="s">
        <v>1237</v>
      </c>
      <c r="R172" s="560"/>
      <c r="S172" s="332"/>
      <c r="T172" s="331"/>
      <c r="U172" s="334" t="s">
        <v>82</v>
      </c>
      <c r="V172" s="335">
        <v>257.94</v>
      </c>
      <c r="W172" s="335">
        <v>252.19</v>
      </c>
      <c r="X172" s="335">
        <v>245.58</v>
      </c>
      <c r="Y172" s="336">
        <v>264.33</v>
      </c>
      <c r="Z172" s="337">
        <v>263.76889999999997</v>
      </c>
      <c r="AA172" s="365">
        <v>260.88</v>
      </c>
      <c r="AB172" s="365">
        <v>272.6687</v>
      </c>
      <c r="AC172" s="635">
        <v>272.09989999999999</v>
      </c>
      <c r="AD172" s="365">
        <v>255.91059999999999</v>
      </c>
      <c r="AE172" s="339">
        <v>191</v>
      </c>
      <c r="AF172" s="340">
        <v>200</v>
      </c>
      <c r="AG172" s="334"/>
      <c r="AH172" s="341" t="s">
        <v>821</v>
      </c>
      <c r="AI172" s="343" t="s">
        <v>821</v>
      </c>
      <c r="AJ172" s="343" t="s">
        <v>297</v>
      </c>
      <c r="AK172" s="344" t="s">
        <v>1238</v>
      </c>
      <c r="AL172" s="340" t="s">
        <v>829</v>
      </c>
      <c r="AM172" s="328"/>
      <c r="AN172" s="328"/>
      <c r="AO172" s="328"/>
      <c r="AP172" s="328"/>
      <c r="AQ172" s="328"/>
      <c r="AR172" s="451"/>
      <c r="AS172" s="372" t="s">
        <v>103</v>
      </c>
      <c r="AT172" s="345"/>
      <c r="AU172" s="345"/>
      <c r="AV172" s="345"/>
      <c r="AW172" s="345"/>
      <c r="AX172" s="345"/>
      <c r="AY172" s="345"/>
      <c r="AZ172" s="345"/>
      <c r="BA172" s="345"/>
      <c r="BB172" s="345"/>
      <c r="BC172" s="345"/>
      <c r="BD172" s="345"/>
      <c r="BE172" s="345"/>
      <c r="BF172" s="345"/>
      <c r="BG172" s="345"/>
      <c r="BH172" s="345"/>
      <c r="BI172" s="345"/>
      <c r="BJ172" s="364">
        <f>COUNTIF(AT172:BI172,"*OP*")</f>
        <v>0</v>
      </c>
      <c r="BK172" s="375" t="s">
        <v>103</v>
      </c>
      <c r="BL172" s="328">
        <f>(COUNTIF(AT172:AV172,"*OK*")*3) + (COUNTIF(AW172:AY172,"*OK*")*2) + COUNTIF(AZ172:BB172,"*OK*")+COUNTIF(BK172:BK172,"SI")*0.5</f>
        <v>0</v>
      </c>
      <c r="BM172" s="328" t="str">
        <f>IF(BL172&lt;0.6,"Demasiado Riesgo",IF(BL172&lt;=5,"Riesgo Medio",IF(BL172&lt;=11,"Riesgo Bajo","Cliente Blindado")))</f>
        <v>Demasiado Riesgo</v>
      </c>
      <c r="BN172" s="328"/>
      <c r="BO172" s="328"/>
      <c r="BP172" s="328">
        <v>0</v>
      </c>
      <c r="BQ172" s="328"/>
      <c r="BR172" s="328"/>
      <c r="BS172" s="328"/>
      <c r="BT172" s="328"/>
      <c r="BU172" s="328"/>
      <c r="BV172" s="328"/>
      <c r="BW172" s="328"/>
      <c r="BX172" s="328"/>
      <c r="BY172" s="328"/>
      <c r="BZ172" s="328"/>
      <c r="CA172" s="328"/>
      <c r="CB172" s="328"/>
      <c r="CC172" s="328"/>
      <c r="CD172" s="328"/>
      <c r="CE172" s="328"/>
      <c r="CF172" s="328"/>
      <c r="CG172" s="328"/>
      <c r="CH172" s="328"/>
      <c r="CI172" s="328"/>
      <c r="CJ172" s="328"/>
      <c r="CK172" s="328"/>
      <c r="CL172" s="328">
        <f>COUNTIF(AT172:BH172,"*OK*")</f>
        <v>0</v>
      </c>
      <c r="CM172" s="328"/>
      <c r="CN172" s="328">
        <f>COUNTIF(AT172:BH172,"*OP*")</f>
        <v>0</v>
      </c>
    </row>
    <row r="173" spans="1:94" ht="15" customHeight="1">
      <c r="A173" s="834">
        <v>34309</v>
      </c>
      <c r="B173" s="560" t="s">
        <v>1239</v>
      </c>
      <c r="C173" s="329">
        <f t="shared" si="4"/>
        <v>236.93270000000001</v>
      </c>
      <c r="D173" s="332">
        <f>COUNTIF(AX173:BI173,"OK")</f>
        <v>0</v>
      </c>
      <c r="E173" s="331" t="s">
        <v>73</v>
      </c>
      <c r="F173" s="376" t="s">
        <v>1240</v>
      </c>
      <c r="G173" s="376"/>
      <c r="H173" s="650">
        <f>IF(LEN(TRIM($G173&amp;""))=0, $C173, SUMIF($G$3:$G$561, TRIM($G173), $C$3:$C$561))</f>
        <v>236.93270000000001</v>
      </c>
      <c r="I173" s="376" t="s">
        <v>562</v>
      </c>
      <c r="J173" s="328"/>
      <c r="K173" s="328"/>
      <c r="L173" s="328"/>
      <c r="M173" s="391"/>
      <c r="N173" s="332"/>
      <c r="O173" s="541" t="s">
        <v>1241</v>
      </c>
      <c r="P173" s="541" t="s">
        <v>1242</v>
      </c>
      <c r="Q173" s="541" t="s">
        <v>1243</v>
      </c>
      <c r="R173" s="332" t="s">
        <v>1244</v>
      </c>
      <c r="S173" s="332"/>
      <c r="T173" s="397"/>
      <c r="U173" s="344"/>
      <c r="V173" s="335"/>
      <c r="W173" s="335"/>
      <c r="X173" s="335"/>
      <c r="Y173" s="336">
        <v>321.5</v>
      </c>
      <c r="Z173" s="337">
        <v>301.39170000000001</v>
      </c>
      <c r="AA173" s="369">
        <v>303.45999999999998</v>
      </c>
      <c r="AB173" s="369">
        <v>330.39089999999999</v>
      </c>
      <c r="AC173" s="640">
        <v>270.27499999999998</v>
      </c>
      <c r="AD173" s="369">
        <v>236.93270000000001</v>
      </c>
      <c r="AE173" s="339">
        <v>98</v>
      </c>
      <c r="AF173" s="340" t="s">
        <v>103</v>
      </c>
      <c r="AG173" s="334"/>
      <c r="AH173" s="328"/>
      <c r="AI173" s="343"/>
      <c r="AJ173" s="343"/>
      <c r="AK173" s="344"/>
      <c r="AL173" s="372" t="s">
        <v>103</v>
      </c>
      <c r="AM173" s="328"/>
      <c r="AN173" s="328"/>
      <c r="AO173" s="328"/>
      <c r="AP173" s="328"/>
      <c r="AQ173" s="328"/>
      <c r="AR173" s="451"/>
      <c r="AS173" s="372"/>
      <c r="AT173" s="345"/>
      <c r="AU173" s="345"/>
      <c r="AV173" s="345"/>
      <c r="AW173" s="345"/>
      <c r="AX173" s="345"/>
      <c r="AY173" s="345"/>
      <c r="AZ173" s="345"/>
      <c r="BA173" s="345"/>
      <c r="BB173" s="345"/>
      <c r="BC173" s="345"/>
      <c r="BD173" s="345"/>
      <c r="BE173" s="345"/>
      <c r="BF173" s="345"/>
      <c r="BG173" s="345"/>
      <c r="BH173" s="345"/>
      <c r="BI173" s="345"/>
      <c r="BJ173" s="364">
        <f>COUNTIF(AT173:BI173,"*OP*")</f>
        <v>0</v>
      </c>
      <c r="BK173" s="375" t="s">
        <v>103</v>
      </c>
      <c r="BL173" s="328">
        <f>(COUNTIF(AT173:AV173,"*OK*")*3) + (COUNTIF(AW173:AY173,"*OK*")*2) + COUNTIF(AZ173:BB173,"*OK*")+COUNTIF(BK173:BK173,"SI")*0.5</f>
        <v>0</v>
      </c>
      <c r="BM173" s="328" t="str">
        <f>IF(BL173&lt;0.6,"Demasiado Riesgo",IF(BL173&lt;=5,"Riesgo Medio",IF(BL173&lt;=11,"Riesgo Bajo","Cliente Blindado")))</f>
        <v>Demasiado Riesgo</v>
      </c>
      <c r="BN173" s="328"/>
      <c r="BO173" s="328"/>
      <c r="BP173" s="328">
        <v>0</v>
      </c>
      <c r="BQ173" s="328"/>
      <c r="BR173" s="328"/>
      <c r="BS173" s="328"/>
      <c r="BT173" s="328"/>
      <c r="BU173" s="328"/>
      <c r="BV173" s="328"/>
      <c r="BW173" s="328"/>
      <c r="BX173" s="328"/>
      <c r="BY173" s="328"/>
      <c r="BZ173" s="328"/>
      <c r="CA173" s="328"/>
      <c r="CB173" s="328"/>
      <c r="CC173" s="328"/>
      <c r="CD173" s="328"/>
      <c r="CE173" s="328"/>
      <c r="CF173" s="328"/>
      <c r="CG173" s="328"/>
      <c r="CH173" s="328"/>
      <c r="CI173" s="328"/>
      <c r="CJ173" s="328"/>
      <c r="CK173" s="328"/>
      <c r="CL173" s="328">
        <f>COUNTIF(AT173:BH173,"*OK*")</f>
        <v>0</v>
      </c>
      <c r="CM173" s="328"/>
      <c r="CN173" s="328">
        <f>COUNTIF(AT173:BH173,"*OP*")</f>
        <v>0</v>
      </c>
    </row>
    <row r="174" spans="1:94" ht="15" customHeight="1">
      <c r="A174" s="834">
        <v>38100</v>
      </c>
      <c r="B174" s="560" t="s">
        <v>1245</v>
      </c>
      <c r="C174" s="329">
        <f t="shared" si="4"/>
        <v>247.46129999999999</v>
      </c>
      <c r="D174" s="332">
        <f>COUNTIF(AX174:BI174,"OK")</f>
        <v>0</v>
      </c>
      <c r="E174" s="501" t="s">
        <v>439</v>
      </c>
      <c r="F174" s="536" t="s">
        <v>1246</v>
      </c>
      <c r="G174" s="537"/>
      <c r="H174" s="650">
        <f>IF(LEN(TRIM($G174&amp;""))=0, $C174, SUMIF($G$3:$G$561, TRIM($G174), $C$3:$C$561))</f>
        <v>247.46129999999999</v>
      </c>
      <c r="I174" s="501" t="s">
        <v>562</v>
      </c>
      <c r="J174" s="501" t="s">
        <v>103</v>
      </c>
      <c r="K174" s="328"/>
      <c r="L174" s="328"/>
      <c r="M174" s="391"/>
      <c r="N174" s="501" t="s">
        <v>103</v>
      </c>
      <c r="O174" s="543" t="s">
        <v>1044</v>
      </c>
      <c r="P174" s="543" t="s">
        <v>1247</v>
      </c>
      <c r="Q174" s="543" t="s">
        <v>1248</v>
      </c>
      <c r="R174" s="501"/>
      <c r="S174" s="501" t="s">
        <v>103</v>
      </c>
      <c r="T174" s="501" t="s">
        <v>88</v>
      </c>
      <c r="U174" s="469" t="s">
        <v>103</v>
      </c>
      <c r="V174" s="501" t="s">
        <v>103</v>
      </c>
      <c r="W174" s="501" t="s">
        <v>103</v>
      </c>
      <c r="X174" s="501" t="s">
        <v>103</v>
      </c>
      <c r="Y174" s="470" t="s">
        <v>103</v>
      </c>
      <c r="Z174" s="513" t="s">
        <v>103</v>
      </c>
      <c r="AA174" s="518">
        <v>275.39999999999998</v>
      </c>
      <c r="AB174" s="518">
        <v>266.66359999999997</v>
      </c>
      <c r="AC174" s="639">
        <v>265.93279999999999</v>
      </c>
      <c r="AD174" s="518">
        <v>247.46129999999999</v>
      </c>
      <c r="AE174" s="327">
        <v>84</v>
      </c>
      <c r="AF174" s="372" t="s">
        <v>103</v>
      </c>
      <c r="AG174" s="344"/>
      <c r="AH174" s="328"/>
      <c r="AI174" s="343"/>
      <c r="AJ174" s="343"/>
      <c r="AK174" s="344"/>
      <c r="AL174" s="372" t="s">
        <v>103</v>
      </c>
      <c r="AM174" s="328"/>
      <c r="AN174" s="328"/>
      <c r="AO174" s="328"/>
      <c r="AP174" s="328"/>
      <c r="AQ174" s="328"/>
      <c r="AR174" s="451"/>
      <c r="AS174" s="444"/>
      <c r="AT174" s="345"/>
      <c r="AU174" s="345"/>
      <c r="AV174" s="345"/>
      <c r="AW174" s="345"/>
      <c r="AX174" s="345"/>
      <c r="AY174" s="345"/>
      <c r="AZ174" s="345"/>
      <c r="BA174" s="345"/>
      <c r="BB174" s="345"/>
      <c r="BC174" s="345"/>
      <c r="BD174" s="345"/>
      <c r="BE174" s="345"/>
      <c r="BF174" s="345"/>
      <c r="BG174" s="345"/>
      <c r="BH174" s="345"/>
      <c r="BI174" s="345"/>
      <c r="BJ174" s="364">
        <f>COUNTIF(AT174:BI174,"*OP*")</f>
        <v>0</v>
      </c>
      <c r="BK174" s="447"/>
      <c r="BL174" s="328">
        <f>(COUNTIF(AT174:AV174,"*OK*")*3) + (COUNTIF(AW174:AY174,"*OK*")*2) + COUNTIF(AZ174:BB174,"*OK*")+COUNTIF(BK174:BK174,"SI")*0.5</f>
        <v>0</v>
      </c>
      <c r="BM174" s="328" t="str">
        <f>IF(BL174&lt;0.6,"Demasiado Riesgo",IF(BL174&lt;=5,"Riesgo Medio",IF(BL174&lt;=11,"Riesgo Bajo","Cliente Blindado")))</f>
        <v>Demasiado Riesgo</v>
      </c>
      <c r="BN174" s="328"/>
      <c r="BO174" s="349"/>
      <c r="BP174" s="349"/>
      <c r="BQ174" s="349"/>
      <c r="BR174" s="349"/>
      <c r="BS174" s="349"/>
      <c r="BT174" s="349"/>
      <c r="BU174" s="349"/>
      <c r="BV174" s="349"/>
      <c r="BW174" s="349"/>
      <c r="BX174" s="349"/>
      <c r="BY174" s="349"/>
      <c r="BZ174" s="349"/>
      <c r="CA174" s="349"/>
      <c r="CB174" s="349"/>
      <c r="CC174" s="349"/>
      <c r="CD174" s="349"/>
      <c r="CE174" s="349"/>
      <c r="CF174" s="349"/>
      <c r="CG174" s="349"/>
      <c r="CH174" s="349"/>
      <c r="CI174" s="349"/>
      <c r="CJ174" s="349"/>
      <c r="CK174" s="349"/>
      <c r="CL174" s="349">
        <f>COUNTIF(AT174:BH174,"*OK*")</f>
        <v>0</v>
      </c>
    </row>
    <row r="175" spans="1:94" ht="15" customHeight="1">
      <c r="A175" s="834">
        <v>32544</v>
      </c>
      <c r="B175" s="560" t="s">
        <v>1249</v>
      </c>
      <c r="C175" s="329">
        <f t="shared" si="4"/>
        <v>251.76159999999999</v>
      </c>
      <c r="D175" s="332">
        <f>COUNTIF(AT175:BH175,"*OK*")</f>
        <v>1</v>
      </c>
      <c r="E175" s="397" t="s">
        <v>439</v>
      </c>
      <c r="F175" s="497" t="s">
        <v>1250</v>
      </c>
      <c r="G175" s="331"/>
      <c r="H175" s="650">
        <f>IF(LEN(TRIM($G175&amp;""))=0, $C175, SUMIF($G$3:$G$561, TRIM($G175), $C$3:$C$561))</f>
        <v>251.76159999999999</v>
      </c>
      <c r="I175" s="331" t="s">
        <v>562</v>
      </c>
      <c r="J175" s="331"/>
      <c r="K175" s="328"/>
      <c r="L175" s="328" t="str">
        <f>HYPERLINK("https://crm.zoho.com/crm/org685875245/tab/Accounts/3525045000489102394","https://crm.zoho.com/crm/org685875245/tab/Accounts/3525045000489102394")</f>
        <v>https://crm.zoho.com/crm/org685875245/tab/Accounts/3525045000489102394</v>
      </c>
      <c r="M175" s="391"/>
      <c r="N175" s="332" t="s">
        <v>817</v>
      </c>
      <c r="O175" s="541" t="s">
        <v>1044</v>
      </c>
      <c r="P175" s="541" t="s">
        <v>1251</v>
      </c>
      <c r="Q175" s="541" t="s">
        <v>1252</v>
      </c>
      <c r="R175" s="332"/>
      <c r="S175" s="352" t="s">
        <v>860</v>
      </c>
      <c r="T175" s="397"/>
      <c r="U175" s="334" t="s">
        <v>585</v>
      </c>
      <c r="V175" s="335">
        <v>246.57</v>
      </c>
      <c r="W175" s="335">
        <v>255.35</v>
      </c>
      <c r="X175" s="335">
        <v>251.94</v>
      </c>
      <c r="Y175" s="336">
        <v>283.69</v>
      </c>
      <c r="Z175" s="337">
        <v>260.55220000000003</v>
      </c>
      <c r="AA175" s="347">
        <v>257.7</v>
      </c>
      <c r="AB175" s="347">
        <v>268.83010000000002</v>
      </c>
      <c r="AC175" s="638">
        <v>264.64659999999998</v>
      </c>
      <c r="AD175" s="347">
        <v>251.76159999999999</v>
      </c>
      <c r="AE175" s="339">
        <v>91</v>
      </c>
      <c r="AF175" s="340">
        <v>300</v>
      </c>
      <c r="AG175" s="334"/>
      <c r="AH175" s="341"/>
      <c r="AI175" s="418" t="s">
        <v>83</v>
      </c>
      <c r="AJ175" s="343" t="s">
        <v>199</v>
      </c>
      <c r="AK175" s="344" t="s">
        <v>1253</v>
      </c>
      <c r="AL175" s="340" t="s">
        <v>199</v>
      </c>
      <c r="AM175" s="328"/>
      <c r="AN175" s="328"/>
      <c r="AO175" s="328"/>
      <c r="AP175" s="328"/>
      <c r="AQ175" s="328"/>
      <c r="AR175" s="451"/>
      <c r="AS175" s="372" t="s">
        <v>103</v>
      </c>
      <c r="AT175" s="345" t="s">
        <v>1254</v>
      </c>
      <c r="AU175" s="345"/>
      <c r="AV175" s="345"/>
      <c r="AW175" s="345"/>
      <c r="AX175" s="345"/>
      <c r="AY175" s="345" t="s">
        <v>1255</v>
      </c>
      <c r="AZ175" s="345"/>
      <c r="BA175" s="345"/>
      <c r="BB175" s="345"/>
      <c r="BC175" s="345"/>
      <c r="BD175" s="345"/>
      <c r="BE175" s="345"/>
      <c r="BF175" s="345"/>
      <c r="BG175" s="345"/>
      <c r="BH175" s="345"/>
      <c r="BI175" s="345" t="s">
        <v>179</v>
      </c>
      <c r="BJ175" s="364">
        <f>COUNTIF(AT175:BI175,"*OP*")</f>
        <v>2</v>
      </c>
      <c r="BK175" s="375" t="s">
        <v>103</v>
      </c>
      <c r="BL175" s="328">
        <f>(COUNTIF(AT175:AV175,"*OK*")*3) + (COUNTIF(AW175:AY175,"*OK*")*2) + COUNTIF(AZ175:BB175,"*OK*")+COUNTIF(BK175:BK175,"SI")*0.5</f>
        <v>2</v>
      </c>
      <c r="BM175" s="328" t="str">
        <f>IF(BL175&lt;0.6,"Demasiado Riesgo",IF(BL175&lt;=5,"Riesgo Medio",IF(BL175&lt;=11,"Riesgo Bajo","Cliente Blindado")))</f>
        <v>Riesgo Medio</v>
      </c>
      <c r="BN175" s="328"/>
      <c r="BO175" s="349"/>
      <c r="BP175" s="349">
        <v>0</v>
      </c>
      <c r="BQ175" s="349"/>
      <c r="BR175" s="349"/>
      <c r="BS175" s="349"/>
      <c r="BT175" s="349"/>
      <c r="BU175" s="349"/>
      <c r="BV175" s="349"/>
      <c r="BW175" s="349"/>
      <c r="BX175" s="349"/>
      <c r="BY175" s="349"/>
      <c r="BZ175" s="349"/>
      <c r="CA175" s="349"/>
      <c r="CB175" s="349"/>
      <c r="CC175" s="349"/>
      <c r="CD175" s="349"/>
      <c r="CE175" s="349"/>
      <c r="CF175" s="349"/>
      <c r="CG175" s="349"/>
      <c r="CH175" s="349"/>
      <c r="CI175" s="349"/>
      <c r="CJ175" s="349"/>
      <c r="CK175" s="349"/>
      <c r="CL175" s="349">
        <f>COUNTIF(AT175:BH175,"*OK*")</f>
        <v>1</v>
      </c>
      <c r="CM175" s="349"/>
      <c r="CN175" s="349">
        <f>COUNTIF(AT175:BH175,"*OP*")</f>
        <v>1</v>
      </c>
      <c r="CP175" s="285"/>
    </row>
    <row r="176" spans="1:94" ht="15" customHeight="1">
      <c r="A176" s="837">
        <v>20236</v>
      </c>
      <c r="B176" s="560" t="s">
        <v>1256</v>
      </c>
      <c r="C176" s="329">
        <f t="shared" si="4"/>
        <v>247.947</v>
      </c>
      <c r="D176" s="352">
        <f>COUNTIF(AT176:BH176,"*OK*")</f>
        <v>0</v>
      </c>
      <c r="E176" s="351" t="s">
        <v>439</v>
      </c>
      <c r="F176" s="351" t="s">
        <v>1257</v>
      </c>
      <c r="G176" s="351"/>
      <c r="H176" s="650">
        <f>IF(LEN(TRIM($G176&amp;""))=0, $C176, SUMIF($G$3:$G$561, TRIM($G176), $C$3:$C$561))</f>
        <v>247.947</v>
      </c>
      <c r="I176" s="353" t="s">
        <v>562</v>
      </c>
      <c r="J176" s="351"/>
      <c r="K176" s="349"/>
      <c r="L176" s="349"/>
      <c r="M176" s="553" t="s">
        <v>167</v>
      </c>
      <c r="N176" s="352"/>
      <c r="O176" s="540" t="s">
        <v>126</v>
      </c>
      <c r="P176" s="540"/>
      <c r="Q176" s="540" t="s">
        <v>1258</v>
      </c>
      <c r="R176" s="352"/>
      <c r="S176" s="352"/>
      <c r="T176" s="351"/>
      <c r="U176" s="354" t="s">
        <v>82</v>
      </c>
      <c r="V176" s="355">
        <v>260.60000000000002</v>
      </c>
      <c r="W176" s="355">
        <v>260.36</v>
      </c>
      <c r="X176" s="355">
        <v>248.12</v>
      </c>
      <c r="Y176" s="356">
        <v>256.11</v>
      </c>
      <c r="Z176" s="337">
        <v>259.5539</v>
      </c>
      <c r="AA176" s="347">
        <v>256.70999999999998</v>
      </c>
      <c r="AB176" s="347">
        <v>258.8734</v>
      </c>
      <c r="AC176" s="638">
        <v>263.63260000000002</v>
      </c>
      <c r="AD176" s="347">
        <v>247.947</v>
      </c>
      <c r="AE176" s="357">
        <v>72</v>
      </c>
      <c r="AF176" s="358">
        <v>100</v>
      </c>
      <c r="AG176" s="354"/>
      <c r="AH176" s="359"/>
      <c r="AI176" s="360" t="s">
        <v>83</v>
      </c>
      <c r="AJ176" s="361" t="s">
        <v>143</v>
      </c>
      <c r="AK176" s="362" t="s">
        <v>1259</v>
      </c>
      <c r="AL176" s="358" t="s">
        <v>103</v>
      </c>
      <c r="AM176" s="349"/>
      <c r="AN176" s="349"/>
      <c r="AO176" s="349"/>
      <c r="AP176" s="349"/>
      <c r="AQ176" s="349"/>
      <c r="AR176" s="453"/>
      <c r="AS176" s="371" t="s">
        <v>103</v>
      </c>
      <c r="AT176" s="345"/>
      <c r="AU176" s="345"/>
      <c r="AV176" s="345"/>
      <c r="AW176" s="345"/>
      <c r="AX176" s="345"/>
      <c r="AY176" s="345"/>
      <c r="AZ176" s="345"/>
      <c r="BA176" s="345"/>
      <c r="BB176" s="345"/>
      <c r="BC176" s="345"/>
      <c r="BD176" s="345"/>
      <c r="BE176" s="345"/>
      <c r="BF176" s="345"/>
      <c r="BG176" s="345"/>
      <c r="BH176" s="345"/>
      <c r="BI176" s="345"/>
      <c r="BJ176" s="364">
        <f>COUNTIF(AT176:BI176,"*OP*")</f>
        <v>0</v>
      </c>
      <c r="BK176" s="363" t="s">
        <v>103</v>
      </c>
      <c r="BL176" s="349">
        <f>(COUNTIF(AT176:AV176,"*OK*")*3) + (COUNTIF(AW176:AY176,"*OK*")*2) + COUNTIF(AZ176:BB176,"*OK*")+COUNTIF(BK176:BK176,"SI")*0.5</f>
        <v>0</v>
      </c>
      <c r="BM176" s="349" t="str">
        <f>IF(BL176&lt;0.6,"Demasiado Riesgo",IF(BL176&lt;=5,"Riesgo Medio",IF(BL176&lt;=11,"Riesgo Bajo","Cliente Blindado")))</f>
        <v>Demasiado Riesgo</v>
      </c>
      <c r="BN176" s="349"/>
      <c r="BO176" s="328"/>
      <c r="BP176" s="328">
        <v>0</v>
      </c>
      <c r="BQ176" s="328"/>
      <c r="BR176" s="328"/>
      <c r="BS176" s="328"/>
      <c r="BT176" s="328"/>
      <c r="BU176" s="328"/>
      <c r="BV176" s="328"/>
      <c r="BW176" s="328"/>
      <c r="BX176" s="328"/>
      <c r="BY176" s="328"/>
      <c r="BZ176" s="328"/>
      <c r="CA176" s="328"/>
      <c r="CB176" s="328"/>
      <c r="CC176" s="328"/>
      <c r="CD176" s="328"/>
      <c r="CE176" s="328"/>
      <c r="CF176" s="328"/>
      <c r="CG176" s="328"/>
      <c r="CH176" s="328"/>
      <c r="CI176" s="328"/>
      <c r="CJ176" s="328"/>
      <c r="CK176" s="328"/>
      <c r="CL176" s="328">
        <f>COUNTIF(AT176:BH176,"*OK*")</f>
        <v>0</v>
      </c>
      <c r="CM176" s="328"/>
      <c r="CN176" s="328">
        <f>COUNTIF(AT176:BH176,"*OP*")</f>
        <v>0</v>
      </c>
      <c r="CO176" s="285"/>
    </row>
    <row r="177" spans="1:94" ht="15" customHeight="1">
      <c r="A177" s="835">
        <v>31187</v>
      </c>
      <c r="B177" s="560" t="s">
        <v>1260</v>
      </c>
      <c r="C177" s="329">
        <f t="shared" si="4"/>
        <v>257.49169999999998</v>
      </c>
      <c r="D177" s="352">
        <f>COUNTIF(AT177:BH177,"*OK*")</f>
        <v>0</v>
      </c>
      <c r="E177" s="397" t="s">
        <v>439</v>
      </c>
      <c r="F177" s="496" t="s">
        <v>1261</v>
      </c>
      <c r="G177" s="351"/>
      <c r="H177" s="650">
        <f>IF(LEN(TRIM($G177&amp;""))=0, $C177, SUMIF($G$3:$G$561, TRIM($G177), $C$3:$C$561))</f>
        <v>257.49169999999998</v>
      </c>
      <c r="I177" s="351" t="s">
        <v>562</v>
      </c>
      <c r="J177" s="351"/>
      <c r="K177" s="349"/>
      <c r="L177" s="349" t="str">
        <f>HYPERLINK("https://crm.zoho.com/crm/org685875245/tab/Accounts/3525045000458170452","https://crm.zoho.com/crm/org685875245/tab/Accounts/3525045000458170452")</f>
        <v>https://crm.zoho.com/crm/org685875245/tab/Accounts/3525045000458170452</v>
      </c>
      <c r="M177" s="553"/>
      <c r="N177" s="332" t="s">
        <v>817</v>
      </c>
      <c r="O177" s="541" t="s">
        <v>352</v>
      </c>
      <c r="P177" s="541" t="s">
        <v>1262</v>
      </c>
      <c r="Q177" s="541" t="s">
        <v>1263</v>
      </c>
      <c r="R177" s="332"/>
      <c r="S177" s="352" t="s">
        <v>860</v>
      </c>
      <c r="T177" s="397"/>
      <c r="U177" s="354" t="s">
        <v>394</v>
      </c>
      <c r="V177" s="355">
        <v>212.9</v>
      </c>
      <c r="W177" s="355">
        <v>259.57</v>
      </c>
      <c r="X177" s="355">
        <v>257.67</v>
      </c>
      <c r="Y177" s="356">
        <v>276.61</v>
      </c>
      <c r="Z177" s="337">
        <v>283.9212</v>
      </c>
      <c r="AA177" s="347">
        <v>241.71</v>
      </c>
      <c r="AB177" s="347">
        <v>258.08519999999999</v>
      </c>
      <c r="AC177" s="638">
        <v>262.82979999999998</v>
      </c>
      <c r="AD177" s="347">
        <v>257.49169999999998</v>
      </c>
      <c r="AE177" s="357">
        <v>78</v>
      </c>
      <c r="AF177" s="358">
        <v>200</v>
      </c>
      <c r="AG177" s="354"/>
      <c r="AH177" s="359"/>
      <c r="AI177" s="360" t="s">
        <v>83</v>
      </c>
      <c r="AJ177" s="361" t="s">
        <v>396</v>
      </c>
      <c r="AK177" s="362" t="s">
        <v>1264</v>
      </c>
      <c r="AL177" s="358" t="s">
        <v>103</v>
      </c>
      <c r="AM177" s="349"/>
      <c r="AN177" s="349"/>
      <c r="AO177" s="349"/>
      <c r="AP177" s="349"/>
      <c r="AQ177" s="349"/>
      <c r="AR177" s="453"/>
      <c r="AS177" s="371" t="s">
        <v>103</v>
      </c>
      <c r="AT177" s="345"/>
      <c r="AU177" s="345"/>
      <c r="AV177" s="345"/>
      <c r="AW177" s="345"/>
      <c r="AX177" s="345"/>
      <c r="AY177" s="345"/>
      <c r="AZ177" s="345"/>
      <c r="BA177" s="345"/>
      <c r="BB177" s="345"/>
      <c r="BC177" s="345"/>
      <c r="BD177" s="345"/>
      <c r="BE177" s="345"/>
      <c r="BF177" s="345"/>
      <c r="BG177" s="345"/>
      <c r="BH177" s="345"/>
      <c r="BI177" s="345"/>
      <c r="BJ177" s="364">
        <f>COUNTIF(AT177:BI177,"*OP*")</f>
        <v>0</v>
      </c>
      <c r="BK177" s="363" t="s">
        <v>103</v>
      </c>
      <c r="BL177" s="349">
        <f>(COUNTIF(AT177:AV177,"*OK*")*3) + (COUNTIF(AW177:AY177,"*OK*")*2) + COUNTIF(AZ177:BB177,"*OK*")+COUNTIF(BK177:BK177,"SI")*0.5</f>
        <v>0</v>
      </c>
      <c r="BM177" s="349" t="str">
        <f>IF(BL177&lt;0.6,"Demasiado Riesgo",IF(BL177&lt;=5,"Riesgo Medio",IF(BL177&lt;=11,"Riesgo Bajo","Cliente Blindado")))</f>
        <v>Demasiado Riesgo</v>
      </c>
      <c r="BN177" s="349"/>
      <c r="BO177" s="349"/>
      <c r="BP177" s="349">
        <v>0</v>
      </c>
      <c r="BQ177" s="349"/>
      <c r="BR177" s="349"/>
      <c r="BS177" s="349"/>
      <c r="BT177" s="349"/>
      <c r="BU177" s="349"/>
      <c r="BV177" s="349"/>
      <c r="BW177" s="349"/>
      <c r="BX177" s="349"/>
      <c r="BY177" s="349"/>
      <c r="BZ177" s="349"/>
      <c r="CA177" s="349"/>
      <c r="CB177" s="349"/>
      <c r="CC177" s="349"/>
      <c r="CD177" s="349"/>
      <c r="CE177" s="349"/>
      <c r="CF177" s="349"/>
      <c r="CG177" s="349"/>
      <c r="CH177" s="349"/>
      <c r="CI177" s="349"/>
      <c r="CJ177" s="349"/>
      <c r="CK177" s="349"/>
      <c r="CL177" s="349">
        <f>COUNTIF(AT177:BH177,"*OK*")</f>
        <v>0</v>
      </c>
      <c r="CM177" s="349"/>
      <c r="CN177" s="349">
        <f>COUNTIF(AT177:BH177,"*OP*")</f>
        <v>0</v>
      </c>
    </row>
    <row r="178" spans="1:94" ht="15" customHeight="1">
      <c r="A178" s="834">
        <v>26683</v>
      </c>
      <c r="B178" s="560" t="s">
        <v>1265</v>
      </c>
      <c r="C178" s="329">
        <f t="shared" si="4"/>
        <v>235.6645</v>
      </c>
      <c r="D178" s="332">
        <f>COUNTIF(AT178:BH178,"*OK*")</f>
        <v>0</v>
      </c>
      <c r="E178" s="331" t="s">
        <v>73</v>
      </c>
      <c r="F178" s="331" t="s">
        <v>1266</v>
      </c>
      <c r="G178" s="331" t="s">
        <v>1266</v>
      </c>
      <c r="H178" s="650">
        <f>IF(LEN(TRIM($G178&amp;""))=0, $C178, SUMIF($G$3:$G$561, TRIM($G178), $C$3:$C$561))</f>
        <v>235.6645</v>
      </c>
      <c r="I178" s="333" t="s">
        <v>562</v>
      </c>
      <c r="J178" s="331"/>
      <c r="K178" s="560"/>
      <c r="L178" s="560"/>
      <c r="M178" s="391" t="s">
        <v>525</v>
      </c>
      <c r="N178" s="560"/>
      <c r="O178" s="561"/>
      <c r="P178" s="561"/>
      <c r="Q178" s="561"/>
      <c r="R178" s="560"/>
      <c r="S178" s="332"/>
      <c r="T178" s="423"/>
      <c r="U178" s="334" t="s">
        <v>82</v>
      </c>
      <c r="V178" s="335">
        <v>288.18</v>
      </c>
      <c r="W178" s="335">
        <v>254.6</v>
      </c>
      <c r="X178" s="335">
        <v>308.39</v>
      </c>
      <c r="Y178" s="336">
        <v>0</v>
      </c>
      <c r="Z178" s="337">
        <v>289.3938</v>
      </c>
      <c r="AA178" s="365">
        <v>232.26</v>
      </c>
      <c r="AB178" s="365">
        <v>257.87889999999999</v>
      </c>
      <c r="AC178" s="635">
        <v>262.6198</v>
      </c>
      <c r="AD178" s="365">
        <v>235.6645</v>
      </c>
      <c r="AE178" s="339">
        <v>186</v>
      </c>
      <c r="AF178" s="340">
        <v>200</v>
      </c>
      <c r="AG178" s="334"/>
      <c r="AH178" s="341"/>
      <c r="AI178" s="418" t="s">
        <v>83</v>
      </c>
      <c r="AJ178" s="343" t="s">
        <v>130</v>
      </c>
      <c r="AK178" s="344" t="s">
        <v>1267</v>
      </c>
      <c r="AL178" s="340" t="s">
        <v>103</v>
      </c>
      <c r="AM178" s="328"/>
      <c r="AN178" s="328"/>
      <c r="AO178" s="328"/>
      <c r="AP178" s="328"/>
      <c r="AQ178" s="328"/>
      <c r="AR178" s="451"/>
      <c r="AS178" s="372" t="s">
        <v>103</v>
      </c>
      <c r="AT178" s="345"/>
      <c r="AU178" s="345"/>
      <c r="AV178" s="345"/>
      <c r="AW178" s="345"/>
      <c r="AX178" s="345"/>
      <c r="AY178" s="345"/>
      <c r="AZ178" s="345"/>
      <c r="BA178" s="345"/>
      <c r="BB178" s="345"/>
      <c r="BC178" s="345"/>
      <c r="BD178" s="345"/>
      <c r="BE178" s="345"/>
      <c r="BF178" s="345"/>
      <c r="BG178" s="345"/>
      <c r="BH178" s="345"/>
      <c r="BI178" s="345"/>
      <c r="BJ178" s="364">
        <f>COUNTIF(AT178:BI178,"*OP*")</f>
        <v>0</v>
      </c>
      <c r="BK178" s="375" t="s">
        <v>103</v>
      </c>
      <c r="BL178" s="328">
        <f>(COUNTIF(AT178:AV178,"*OK*")*3) + (COUNTIF(AW178:AY178,"*OK*")*2) + COUNTIF(AZ178:BB178,"*OK*")+COUNTIF(BK178:BK178,"SI")*0.5</f>
        <v>0</v>
      </c>
      <c r="BM178" s="328" t="str">
        <f>IF(BL178&lt;0.6,"Demasiado Riesgo",IF(BL178&lt;=5,"Riesgo Medio",IF(BL178&lt;=11,"Riesgo Bajo","Cliente Blindado")))</f>
        <v>Demasiado Riesgo</v>
      </c>
      <c r="BN178" s="328"/>
      <c r="BO178" s="349"/>
      <c r="BP178" s="349">
        <v>0</v>
      </c>
      <c r="BQ178" s="349"/>
      <c r="BR178" s="349"/>
      <c r="BS178" s="349"/>
      <c r="BT178" s="349"/>
      <c r="BU178" s="349"/>
      <c r="BV178" s="349"/>
      <c r="BW178" s="349"/>
      <c r="BX178" s="349"/>
      <c r="BY178" s="349"/>
      <c r="BZ178" s="349"/>
      <c r="CA178" s="349"/>
      <c r="CB178" s="349"/>
      <c r="CC178" s="349"/>
      <c r="CD178" s="349"/>
      <c r="CE178" s="349"/>
      <c r="CF178" s="349"/>
      <c r="CG178" s="349"/>
      <c r="CH178" s="349"/>
      <c r="CI178" s="349"/>
      <c r="CJ178" s="349"/>
      <c r="CK178" s="349"/>
      <c r="CL178" s="349">
        <f>COUNTIF(AT178:BH178,"*OK*")</f>
        <v>0</v>
      </c>
      <c r="CM178" s="349"/>
      <c r="CN178" s="349">
        <f>COUNTIF(AT178:BH178,"*OP*")</f>
        <v>0</v>
      </c>
      <c r="CP178" s="425"/>
    </row>
    <row r="179" spans="1:94" ht="15" customHeight="1">
      <c r="A179" s="837">
        <v>25699</v>
      </c>
      <c r="B179" s="560" t="s">
        <v>1268</v>
      </c>
      <c r="C179" s="329">
        <f t="shared" si="4"/>
        <v>229.1181</v>
      </c>
      <c r="D179" s="352">
        <f>COUNTIF(AT179:BH179,"*OK*")</f>
        <v>0</v>
      </c>
      <c r="E179" s="331" t="s">
        <v>73</v>
      </c>
      <c r="F179" s="351" t="s">
        <v>1269</v>
      </c>
      <c r="G179" s="351" t="s">
        <v>1270</v>
      </c>
      <c r="H179" s="650">
        <f>IF(LEN(TRIM($G179&amp;""))=0, $C179, SUMIF($G$3:$G$561, TRIM($G179), $C$3:$C$561))</f>
        <v>389.298</v>
      </c>
      <c r="I179" s="416" t="s">
        <v>76</v>
      </c>
      <c r="J179" s="351"/>
      <c r="K179" s="558"/>
      <c r="L179" s="558" t="str">
        <f>HYPERLINK("https://crm.zoho.com/crm/org685875245/tab/Accounts/3525045000305828624","https://crm.zoho.com/crm/org685875245/tab/Accounts/3525045000305828624")</f>
        <v>https://crm.zoho.com/crm/org685875245/tab/Accounts/3525045000305828624</v>
      </c>
      <c r="M179" s="553"/>
      <c r="N179" s="558"/>
      <c r="O179" s="559" t="s">
        <v>1271</v>
      </c>
      <c r="P179" s="559" t="s">
        <v>1272</v>
      </c>
      <c r="Q179" s="559" t="s">
        <v>1273</v>
      </c>
      <c r="R179" s="558"/>
      <c r="S179" s="352"/>
      <c r="T179" s="351"/>
      <c r="U179" s="354" t="s">
        <v>82</v>
      </c>
      <c r="V179" s="355">
        <v>313.27</v>
      </c>
      <c r="W179" s="355">
        <v>309.79000000000002</v>
      </c>
      <c r="X179" s="355">
        <v>288.12</v>
      </c>
      <c r="Y179" s="356">
        <v>303.68</v>
      </c>
      <c r="Z179" s="337">
        <v>279.11</v>
      </c>
      <c r="AA179" s="347">
        <v>260.31</v>
      </c>
      <c r="AB179" s="347">
        <v>258.26729999999998</v>
      </c>
      <c r="AC179" s="638">
        <v>259.78149999999999</v>
      </c>
      <c r="AD179" s="347">
        <v>229.1181</v>
      </c>
      <c r="AE179" s="357">
        <v>444</v>
      </c>
      <c r="AF179" s="358">
        <v>300</v>
      </c>
      <c r="AG179" s="354"/>
      <c r="AH179" s="359"/>
      <c r="AI179" s="427" t="s">
        <v>83</v>
      </c>
      <c r="AJ179" s="361" t="s">
        <v>297</v>
      </c>
      <c r="AK179" s="362" t="s">
        <v>1274</v>
      </c>
      <c r="AL179" s="358" t="s">
        <v>103</v>
      </c>
      <c r="AM179" s="349"/>
      <c r="AN179" s="349"/>
      <c r="AO179" s="349"/>
      <c r="AP179" s="349"/>
      <c r="AQ179" s="349"/>
      <c r="AR179" s="453"/>
      <c r="AS179" s="371" t="s">
        <v>103</v>
      </c>
      <c r="AT179" s="345"/>
      <c r="AU179" s="345"/>
      <c r="AV179" s="345"/>
      <c r="AW179" s="345"/>
      <c r="AX179" s="345"/>
      <c r="AY179" s="345"/>
      <c r="AZ179" s="345"/>
      <c r="BA179" s="345"/>
      <c r="BB179" s="345"/>
      <c r="BC179" s="345"/>
      <c r="BD179" s="345"/>
      <c r="BE179" s="345"/>
      <c r="BF179" s="345"/>
      <c r="BG179" s="345"/>
      <c r="BH179" s="345"/>
      <c r="BI179" s="345"/>
      <c r="BJ179" s="364">
        <f>COUNTIF(AT179:BI179,"*OP*")</f>
        <v>0</v>
      </c>
      <c r="BK179" s="363" t="s">
        <v>103</v>
      </c>
      <c r="BL179" s="349">
        <f>(COUNTIF(AT179:AV179,"*OK*")*3) + (COUNTIF(AW179:AY179,"*OK*")*2) + COUNTIF(AZ179:BB179,"*OK*")+COUNTIF(BK179:BK179,"SI")*0.5</f>
        <v>0</v>
      </c>
      <c r="BM179" s="349" t="str">
        <f>IF(BL179&lt;0.6,"Demasiado Riesgo",IF(BL179&lt;=5,"Riesgo Medio",IF(BL179&lt;=11,"Riesgo Bajo","Cliente Blindado")))</f>
        <v>Demasiado Riesgo</v>
      </c>
      <c r="BN179" s="349"/>
      <c r="BO179" s="349"/>
      <c r="BP179" s="349">
        <v>0</v>
      </c>
      <c r="BQ179" s="349"/>
      <c r="BR179" s="349"/>
      <c r="BS179" s="349"/>
      <c r="BT179" s="349"/>
      <c r="BU179" s="349"/>
      <c r="BV179" s="349"/>
      <c r="BW179" s="349"/>
      <c r="BX179" s="349"/>
      <c r="BY179" s="349"/>
      <c r="BZ179" s="349"/>
      <c r="CA179" s="349"/>
      <c r="CB179" s="349"/>
      <c r="CC179" s="349"/>
      <c r="CD179" s="349"/>
      <c r="CE179" s="349"/>
      <c r="CF179" s="349"/>
      <c r="CG179" s="349"/>
      <c r="CH179" s="349"/>
      <c r="CI179" s="349"/>
      <c r="CJ179" s="349"/>
      <c r="CK179" s="349"/>
      <c r="CL179" s="349">
        <f>COUNTIF(AT179:BH179,"*OK*")</f>
        <v>0</v>
      </c>
      <c r="CM179" s="349"/>
      <c r="CN179" s="349">
        <f>COUNTIF(AT179:BH179,"*OP*")</f>
        <v>0</v>
      </c>
    </row>
    <row r="180" spans="1:94" ht="15" customHeight="1">
      <c r="A180" s="837">
        <v>24486</v>
      </c>
      <c r="B180" s="560" t="s">
        <v>1275</v>
      </c>
      <c r="C180" s="329">
        <f t="shared" si="4"/>
        <v>250.46360000000001</v>
      </c>
      <c r="D180" s="352">
        <f>COUNTIF(AT180:BH180,"*OK*")</f>
        <v>0</v>
      </c>
      <c r="E180" s="351" t="s">
        <v>439</v>
      </c>
      <c r="F180" s="351" t="s">
        <v>1276</v>
      </c>
      <c r="G180" s="351"/>
      <c r="H180" s="650">
        <f>IF(LEN(TRIM($G180&amp;""))=0, $C180, SUMIF($G$3:$G$561, TRIM($G180), $C$3:$C$561))</f>
        <v>250.46360000000001</v>
      </c>
      <c r="I180" s="353" t="s">
        <v>562</v>
      </c>
      <c r="J180" s="351"/>
      <c r="K180" s="349"/>
      <c r="L180" s="349" t="str">
        <f>HYPERLINK("https://crm.zoho.com/crm/org685875245/tab/Accounts/3525045000297373053","https://crm.zoho.com/crm/org685875245/tab/Accounts/3525045000297373053")</f>
        <v>https://crm.zoho.com/crm/org685875245/tab/Accounts/3525045000297373053</v>
      </c>
      <c r="M180" s="553" t="s">
        <v>525</v>
      </c>
      <c r="N180" s="352"/>
      <c r="O180" s="540"/>
      <c r="P180" s="540"/>
      <c r="Q180" s="540"/>
      <c r="R180" s="352"/>
      <c r="S180" s="352"/>
      <c r="T180" s="351"/>
      <c r="U180" s="354" t="s">
        <v>387</v>
      </c>
      <c r="V180" s="355">
        <v>324.67</v>
      </c>
      <c r="W180" s="355">
        <v>291.5</v>
      </c>
      <c r="X180" s="355">
        <v>300.77</v>
      </c>
      <c r="Y180" s="356">
        <v>271.64</v>
      </c>
      <c r="Z180" s="337">
        <v>321.18060000000003</v>
      </c>
      <c r="AA180" s="347">
        <v>287.41000000000003</v>
      </c>
      <c r="AB180" s="347">
        <v>246.2467</v>
      </c>
      <c r="AC180" s="638">
        <v>259.6506</v>
      </c>
      <c r="AD180" s="347">
        <v>250.46360000000001</v>
      </c>
      <c r="AE180" s="357">
        <v>97</v>
      </c>
      <c r="AF180" s="358">
        <v>200</v>
      </c>
      <c r="AG180" s="354"/>
      <c r="AH180" s="359"/>
      <c r="AI180" s="427" t="s">
        <v>83</v>
      </c>
      <c r="AJ180" s="361" t="s">
        <v>120</v>
      </c>
      <c r="AK180" s="362" t="s">
        <v>1277</v>
      </c>
      <c r="AL180" s="358" t="s">
        <v>103</v>
      </c>
      <c r="AM180" s="349"/>
      <c r="AN180" s="349"/>
      <c r="AO180" s="349"/>
      <c r="AP180" s="349"/>
      <c r="AQ180" s="349" t="s">
        <v>1278</v>
      </c>
      <c r="AR180" s="453"/>
      <c r="AS180" s="371" t="s">
        <v>103</v>
      </c>
      <c r="AT180" s="345"/>
      <c r="AU180" s="345"/>
      <c r="AV180" s="345"/>
      <c r="AW180" s="345"/>
      <c r="AX180" s="345"/>
      <c r="AY180" s="345"/>
      <c r="AZ180" s="345"/>
      <c r="BA180" s="345"/>
      <c r="BB180" s="345"/>
      <c r="BC180" s="345"/>
      <c r="BD180" s="345"/>
      <c r="BE180" s="345"/>
      <c r="BF180" s="345"/>
      <c r="BG180" s="345"/>
      <c r="BH180" s="345"/>
      <c r="BI180" s="345"/>
      <c r="BJ180" s="364">
        <f>COUNTIF(AT180:BI180,"*OP*")</f>
        <v>0</v>
      </c>
      <c r="BK180" s="363" t="s">
        <v>103</v>
      </c>
      <c r="BL180" s="349">
        <f>(COUNTIF(AT180:AV180,"*OK*")*3) + (COUNTIF(AW180:AY180,"*OK*")*2) + COUNTIF(AZ180:BB180,"*OK*")+COUNTIF(BK180:BK180,"SI")*0.5</f>
        <v>0</v>
      </c>
      <c r="BM180" s="349" t="str">
        <f>IF(BL180&lt;0.6,"Demasiado Riesgo",IF(BL180&lt;=5,"Riesgo Medio",IF(BL180&lt;=11,"Riesgo Bajo","Cliente Blindado")))</f>
        <v>Demasiado Riesgo</v>
      </c>
      <c r="BN180" s="349"/>
      <c r="BO180" s="349"/>
      <c r="BP180" s="349">
        <v>0</v>
      </c>
      <c r="BQ180" s="349"/>
      <c r="BR180" s="349"/>
      <c r="BS180" s="349"/>
      <c r="BT180" s="349"/>
      <c r="BU180" s="349"/>
      <c r="BV180" s="349"/>
      <c r="BW180" s="349"/>
      <c r="BX180" s="349"/>
      <c r="BY180" s="349"/>
      <c r="BZ180" s="349"/>
      <c r="CA180" s="349"/>
      <c r="CB180" s="349"/>
      <c r="CC180" s="349"/>
      <c r="CD180" s="349"/>
      <c r="CE180" s="349"/>
      <c r="CF180" s="349"/>
      <c r="CG180" s="349"/>
      <c r="CH180" s="349"/>
      <c r="CI180" s="349"/>
      <c r="CJ180" s="349"/>
      <c r="CK180" s="349"/>
      <c r="CL180" s="349">
        <f>COUNTIF(AT180:BH180,"*OK*")</f>
        <v>0</v>
      </c>
      <c r="CM180" s="349"/>
      <c r="CN180" s="349">
        <f>COUNTIF(AT180:BH180,"*OP*")</f>
        <v>0</v>
      </c>
    </row>
    <row r="181" spans="1:94" ht="15" customHeight="1">
      <c r="A181" s="834">
        <v>18481</v>
      </c>
      <c r="B181" s="560" t="s">
        <v>1279</v>
      </c>
      <c r="C181" s="329">
        <f t="shared" si="4"/>
        <v>243.45310000000001</v>
      </c>
      <c r="D181" s="332">
        <f>COUNTIF(AT181:BH181,"*OK*")</f>
        <v>1</v>
      </c>
      <c r="E181" s="331" t="s">
        <v>73</v>
      </c>
      <c r="F181" s="331" t="s">
        <v>1280</v>
      </c>
      <c r="G181" s="331"/>
      <c r="H181" s="650">
        <f>IF(LEN(TRIM($G181&amp;""))=0, $C181, SUMIF($G$3:$G$561, TRIM($G181), $C$3:$C$561))</f>
        <v>243.45310000000001</v>
      </c>
      <c r="I181" s="333" t="s">
        <v>562</v>
      </c>
      <c r="J181" s="331"/>
      <c r="K181" s="560"/>
      <c r="L181" s="560" t="str">
        <f>HYPERLINK("https://crm.zoho.com/crm/org685875245/tab/Accounts/3525045000142109081","https://crm.zoho.com/crm/org685875245/tab/Accounts/3525045000142109081")</f>
        <v>https://crm.zoho.com/crm/org685875245/tab/Accounts/3525045000142109081</v>
      </c>
      <c r="M181" s="391" t="s">
        <v>96</v>
      </c>
      <c r="N181" s="560"/>
      <c r="O181" s="561" t="s">
        <v>1281</v>
      </c>
      <c r="P181" s="561" t="s">
        <v>1282</v>
      </c>
      <c r="Q181" s="561" t="s">
        <v>1283</v>
      </c>
      <c r="R181" s="560"/>
      <c r="S181" s="332"/>
      <c r="T181" s="331"/>
      <c r="U181" s="334" t="s">
        <v>142</v>
      </c>
      <c r="V181" s="335">
        <v>255.88</v>
      </c>
      <c r="W181" s="335">
        <v>255.64</v>
      </c>
      <c r="X181" s="335">
        <v>243.62</v>
      </c>
      <c r="Y181" s="336">
        <v>251.47</v>
      </c>
      <c r="Z181" s="337">
        <v>254.84960000000001</v>
      </c>
      <c r="AA181" s="347">
        <v>252.06</v>
      </c>
      <c r="AB181" s="347">
        <v>254.1815</v>
      </c>
      <c r="AC181" s="638">
        <v>258.8544</v>
      </c>
      <c r="AD181" s="347">
        <v>243.45310000000001</v>
      </c>
      <c r="AE181" s="339">
        <v>133</v>
      </c>
      <c r="AF181" s="340">
        <v>150</v>
      </c>
      <c r="AG181" s="334"/>
      <c r="AH181" s="341" t="s">
        <v>83</v>
      </c>
      <c r="AI181" s="418" t="s">
        <v>83</v>
      </c>
      <c r="AJ181" s="343" t="s">
        <v>143</v>
      </c>
      <c r="AK181" s="344" t="s">
        <v>1284</v>
      </c>
      <c r="AL181" s="340" t="s">
        <v>662</v>
      </c>
      <c r="AM181" s="328"/>
      <c r="AN181" s="328"/>
      <c r="AO181" s="328"/>
      <c r="AP181" s="328"/>
      <c r="AQ181" s="328"/>
      <c r="AR181" s="451"/>
      <c r="AS181" s="372" t="s">
        <v>88</v>
      </c>
      <c r="AT181" s="345"/>
      <c r="AU181" s="345"/>
      <c r="AV181" s="421" t="s">
        <v>300</v>
      </c>
      <c r="AW181" s="345"/>
      <c r="AX181" s="345"/>
      <c r="AY181" s="345"/>
      <c r="AZ181" s="345"/>
      <c r="BA181" s="345"/>
      <c r="BB181" s="345"/>
      <c r="BC181" s="345"/>
      <c r="BD181" s="345"/>
      <c r="BE181" s="345"/>
      <c r="BF181" s="345"/>
      <c r="BG181" s="345"/>
      <c r="BH181" s="345"/>
      <c r="BI181" s="345"/>
      <c r="BJ181" s="364">
        <f>COUNTIF(AT181:BI181,"*OP*")</f>
        <v>0</v>
      </c>
      <c r="BK181" s="375" t="s">
        <v>89</v>
      </c>
      <c r="BL181" s="328">
        <f>(COUNTIF(AT181:AV181,"*OK*")*3) + (COUNTIF(AW181:AY181,"*OK*")*2) + COUNTIF(AZ181:BB181,"*OK*")+COUNTIF(BK181:BK181,"SI")*0.5</f>
        <v>3</v>
      </c>
      <c r="BM181" s="328" t="str">
        <f>IF(BL181&lt;0.6,"Demasiado Riesgo",IF(BL181&lt;=5,"Riesgo Medio",IF(BL181&lt;=11,"Riesgo Bajo","Cliente Blindado")))</f>
        <v>Riesgo Medio</v>
      </c>
      <c r="BN181" s="328"/>
      <c r="BO181" s="349"/>
      <c r="BP181" s="349">
        <v>0</v>
      </c>
      <c r="BQ181" s="349"/>
      <c r="BR181" s="349"/>
      <c r="BS181" s="349"/>
      <c r="BT181" s="349"/>
      <c r="BU181" s="349"/>
      <c r="BV181" s="349"/>
      <c r="BW181" s="349"/>
      <c r="BX181" s="349"/>
      <c r="BY181" s="349"/>
      <c r="BZ181" s="349"/>
      <c r="CA181" s="349"/>
      <c r="CB181" s="349"/>
      <c r="CC181" s="349"/>
      <c r="CD181" s="349"/>
      <c r="CE181" s="349"/>
      <c r="CF181" s="349"/>
      <c r="CG181" s="349"/>
      <c r="CH181" s="349"/>
      <c r="CI181" s="349"/>
      <c r="CJ181" s="349"/>
      <c r="CK181" s="349"/>
      <c r="CL181" s="349">
        <f>COUNTIF(AT181:BH181,"*OK*")</f>
        <v>1</v>
      </c>
      <c r="CM181" s="349"/>
      <c r="CN181" s="349">
        <f>COUNTIF(AT181:BH181,"*OP*")</f>
        <v>0</v>
      </c>
    </row>
    <row r="182" spans="1:94" ht="15" customHeight="1">
      <c r="A182" s="836">
        <v>33502</v>
      </c>
      <c r="B182" s="560" t="s">
        <v>1285</v>
      </c>
      <c r="C182" s="329">
        <f t="shared" si="4"/>
        <v>132.46850000000001</v>
      </c>
      <c r="D182" s="332">
        <f>COUNTIF(AT182:BH182,"*OK*")</f>
        <v>0</v>
      </c>
      <c r="E182" s="331" t="s">
        <v>73</v>
      </c>
      <c r="F182" s="331" t="s">
        <v>1286</v>
      </c>
      <c r="G182" s="331"/>
      <c r="H182" s="650">
        <f>IF(LEN(TRIM($G182&amp;""))=0, $C182, SUMIF($G$3:$G$561, TRIM($G182), $C$3:$C$561))</f>
        <v>132.46850000000001</v>
      </c>
      <c r="I182" s="333" t="s">
        <v>562</v>
      </c>
      <c r="J182" s="331" t="s">
        <v>1287</v>
      </c>
      <c r="K182" s="560"/>
      <c r="L182" s="560" t="str">
        <f>HYPERLINK("https://crm.zoho.com/crm/org685875245/tab/Accounts/3525045000487258080","https://crm.zoho.com/crm/org685875245/tab/Accounts/3525045000487258080")</f>
        <v>https://crm.zoho.com/crm/org685875245/tab/Accounts/3525045000487258080</v>
      </c>
      <c r="M182" s="391" t="s">
        <v>96</v>
      </c>
      <c r="N182" s="560"/>
      <c r="O182" s="561" t="s">
        <v>1288</v>
      </c>
      <c r="P182" s="561" t="s">
        <v>1289</v>
      </c>
      <c r="Q182" s="561" t="s">
        <v>1290</v>
      </c>
      <c r="R182" s="560"/>
      <c r="S182" s="332"/>
      <c r="T182" s="331"/>
      <c r="U182" s="334" t="s">
        <v>344</v>
      </c>
      <c r="V182" s="335">
        <v>358.46</v>
      </c>
      <c r="W182" s="335">
        <v>353.79</v>
      </c>
      <c r="X182" s="335">
        <v>341.57</v>
      </c>
      <c r="Y182" s="336">
        <v>328.91</v>
      </c>
      <c r="Z182" s="337">
        <v>251.8819</v>
      </c>
      <c r="AA182" s="365">
        <v>247.98</v>
      </c>
      <c r="AB182" s="365">
        <v>253.52629999999999</v>
      </c>
      <c r="AC182" s="635">
        <v>258.48059999999998</v>
      </c>
      <c r="AD182" s="365">
        <v>132.46850000000001</v>
      </c>
      <c r="AE182" s="339">
        <v>106</v>
      </c>
      <c r="AF182" s="340">
        <v>100</v>
      </c>
      <c r="AG182" s="334"/>
      <c r="AH182" s="341"/>
      <c r="AI182" s="422" t="s">
        <v>83</v>
      </c>
      <c r="AJ182" s="343" t="s">
        <v>130</v>
      </c>
      <c r="AK182" s="344" t="s">
        <v>1291</v>
      </c>
      <c r="AL182" s="340" t="s">
        <v>103</v>
      </c>
      <c r="AM182" s="328"/>
      <c r="AN182" s="328"/>
      <c r="AO182" s="328"/>
      <c r="AP182" s="328"/>
      <c r="AQ182" s="328"/>
      <c r="AR182" s="451"/>
      <c r="AS182" s="372" t="s">
        <v>103</v>
      </c>
      <c r="AT182" s="345"/>
      <c r="AU182" s="345"/>
      <c r="AV182" s="345" t="s">
        <v>1292</v>
      </c>
      <c r="AW182" s="345"/>
      <c r="AX182" s="345" t="s">
        <v>173</v>
      </c>
      <c r="AY182" s="345" t="s">
        <v>173</v>
      </c>
      <c r="AZ182" s="345"/>
      <c r="BA182" s="345"/>
      <c r="BB182" s="345"/>
      <c r="BC182" s="345"/>
      <c r="BD182" s="345"/>
      <c r="BE182" s="345"/>
      <c r="BF182" s="345"/>
      <c r="BG182" s="345"/>
      <c r="BH182" s="345"/>
      <c r="BI182" s="345"/>
      <c r="BJ182" s="364">
        <f>COUNTIF(AT182:BI182,"*OP*")</f>
        <v>2</v>
      </c>
      <c r="BK182" s="375" t="s">
        <v>103</v>
      </c>
      <c r="BL182" s="328">
        <f>(COUNTIF(AT182:AV182,"*OK*")*3) + (COUNTIF(AW182:AY182,"*OK*")*2) + COUNTIF(AZ182:BB182,"*OK*")+COUNTIF(BK182:BK182,"SI")*0.5</f>
        <v>0</v>
      </c>
      <c r="BM182" s="328" t="str">
        <f>IF(BL182&lt;0.6,"Demasiado Riesgo",IF(BL182&lt;=5,"Riesgo Medio",IF(BL182&lt;=11,"Riesgo Bajo","Cliente Blindado")))</f>
        <v>Demasiado Riesgo</v>
      </c>
      <c r="BN182" s="328"/>
      <c r="BO182" s="328"/>
      <c r="BP182" s="328">
        <v>0</v>
      </c>
      <c r="BQ182" s="328"/>
      <c r="BR182" s="328"/>
      <c r="BS182" s="328"/>
      <c r="BT182" s="328"/>
      <c r="BU182" s="328"/>
      <c r="BV182" s="328"/>
      <c r="BW182" s="328"/>
      <c r="BX182" s="328"/>
      <c r="BY182" s="328"/>
      <c r="BZ182" s="328"/>
      <c r="CA182" s="328"/>
      <c r="CB182" s="328"/>
      <c r="CC182" s="328"/>
      <c r="CD182" s="328"/>
      <c r="CE182" s="328"/>
      <c r="CF182" s="328"/>
      <c r="CG182" s="328"/>
      <c r="CH182" s="328"/>
      <c r="CI182" s="328"/>
      <c r="CJ182" s="328"/>
      <c r="CK182" s="328"/>
      <c r="CL182" s="328">
        <f>COUNTIF(AT182:BH182,"*OK*")</f>
        <v>0</v>
      </c>
      <c r="CM182" s="328"/>
      <c r="CN182" s="328">
        <f>COUNTIF(AT182:BH182,"*OP*")</f>
        <v>2</v>
      </c>
    </row>
    <row r="183" spans="1:94" ht="15" customHeight="1">
      <c r="A183" s="835">
        <v>38295</v>
      </c>
      <c r="B183" s="560" t="s">
        <v>1293</v>
      </c>
      <c r="C183" s="329">
        <f t="shared" si="4"/>
        <v>256.89840000000004</v>
      </c>
      <c r="D183" s="352">
        <f>COUNTIF(AX183:BI183,"OK")</f>
        <v>0</v>
      </c>
      <c r="E183" s="397" t="s">
        <v>439</v>
      </c>
      <c r="F183" s="592" t="s">
        <v>1294</v>
      </c>
      <c r="G183" s="368"/>
      <c r="H183" s="650">
        <f>IF(LEN(TRIM($G183&amp;""))=0, $C183, SUMIF($G$3:$G$561, TRIM($G183), $C$3:$C$561))</f>
        <v>256.89840000000004</v>
      </c>
      <c r="I183" s="368" t="s">
        <v>562</v>
      </c>
      <c r="J183" s="349"/>
      <c r="K183" s="349"/>
      <c r="L183" s="349"/>
      <c r="M183" s="553"/>
      <c r="N183" s="332" t="s">
        <v>817</v>
      </c>
      <c r="O183" s="541" t="s">
        <v>1295</v>
      </c>
      <c r="P183" s="541" t="s">
        <v>1296</v>
      </c>
      <c r="Q183" s="541" t="s">
        <v>1297</v>
      </c>
      <c r="R183" s="332"/>
      <c r="S183" s="352" t="s">
        <v>860</v>
      </c>
      <c r="T183" s="397" t="s">
        <v>88</v>
      </c>
      <c r="U183" s="362"/>
      <c r="V183" s="335"/>
      <c r="W183" s="335"/>
      <c r="X183" s="335"/>
      <c r="Y183" s="336"/>
      <c r="Z183" s="337">
        <v>259.03390000000002</v>
      </c>
      <c r="AA183" s="374">
        <v>217.76</v>
      </c>
      <c r="AB183" s="374">
        <v>262.74549999999999</v>
      </c>
      <c r="AC183" s="643">
        <v>256.42680000000001</v>
      </c>
      <c r="AD183" s="374">
        <v>256.89840000000004</v>
      </c>
      <c r="AE183" s="357">
        <v>47</v>
      </c>
      <c r="AF183" s="358" t="s">
        <v>103</v>
      </c>
      <c r="AG183" s="354"/>
      <c r="AH183" s="349"/>
      <c r="AI183" s="370"/>
      <c r="AJ183" s="361"/>
      <c r="AK183" s="362"/>
      <c r="AL183" s="371" t="s">
        <v>103</v>
      </c>
      <c r="AM183" s="349"/>
      <c r="AN183" s="349"/>
      <c r="AO183" s="349"/>
      <c r="AP183" s="349"/>
      <c r="AQ183" s="349"/>
      <c r="AR183" s="453"/>
      <c r="AS183" s="371"/>
      <c r="AT183" s="445"/>
      <c r="AU183" s="445"/>
      <c r="AV183" s="445"/>
      <c r="AW183" s="445"/>
      <c r="AX183" s="445"/>
      <c r="AY183" s="445"/>
      <c r="AZ183" s="445"/>
      <c r="BA183" s="445"/>
      <c r="BB183" s="445"/>
      <c r="BC183" s="445"/>
      <c r="BD183" s="445"/>
      <c r="BE183" s="445"/>
      <c r="BF183" s="445"/>
      <c r="BG183" s="445"/>
      <c r="BH183" s="445"/>
      <c r="BI183" s="445"/>
      <c r="BJ183" s="446">
        <f>COUNTIF(AT183:BI183,"*OP*")</f>
        <v>0</v>
      </c>
      <c r="BK183" s="363" t="s">
        <v>103</v>
      </c>
      <c r="BL183" s="349">
        <f>(COUNTIF(AT183:AV183,"*OK*")*3) + (COUNTIF(AW183:AY183,"*OK*")*2) + COUNTIF(AZ183:BB183,"*OK*")+COUNTIF(BK183:BK183,"SI")*0.5</f>
        <v>0</v>
      </c>
      <c r="BM183" s="349" t="str">
        <f>IF(BL183&lt;0.6,"Demasiado Riesgo",IF(BL183&lt;=5,"Riesgo Medio",IF(BL183&lt;=11,"Riesgo Bajo","Cliente Blindado")))</f>
        <v>Demasiado Riesgo</v>
      </c>
      <c r="BN183" s="349"/>
      <c r="BO183" s="349"/>
      <c r="BP183" s="349">
        <v>0</v>
      </c>
      <c r="BQ183" s="349"/>
      <c r="BR183" s="349"/>
      <c r="BS183" s="349"/>
      <c r="BT183" s="349"/>
      <c r="BU183" s="349"/>
      <c r="BV183" s="349"/>
      <c r="BW183" s="349"/>
      <c r="BX183" s="349"/>
      <c r="BY183" s="349"/>
      <c r="BZ183" s="349"/>
      <c r="CA183" s="349"/>
      <c r="CB183" s="349"/>
      <c r="CC183" s="349"/>
      <c r="CD183" s="349"/>
      <c r="CE183" s="349"/>
      <c r="CF183" s="349"/>
      <c r="CG183" s="349"/>
      <c r="CH183" s="349"/>
      <c r="CI183" s="349"/>
      <c r="CJ183" s="349"/>
      <c r="CK183" s="349"/>
      <c r="CL183" s="349">
        <f>COUNTIF(AT183:BH183,"*OK*")</f>
        <v>0</v>
      </c>
      <c r="CM183" s="349"/>
      <c r="CN183" s="349">
        <f>COUNTIF(AT183:BH183,"*OP*")</f>
        <v>0</v>
      </c>
    </row>
    <row r="184" spans="1:94" ht="15" customHeight="1">
      <c r="A184" s="835">
        <v>24945</v>
      </c>
      <c r="B184" s="560" t="s">
        <v>1298</v>
      </c>
      <c r="C184" s="329">
        <f t="shared" si="4"/>
        <v>265.23070000000001</v>
      </c>
      <c r="D184" s="352">
        <f>COUNTIF(AT184:BH184,"*OK*")</f>
        <v>0</v>
      </c>
      <c r="E184" s="351" t="s">
        <v>439</v>
      </c>
      <c r="F184" s="351" t="s">
        <v>1299</v>
      </c>
      <c r="G184" s="351"/>
      <c r="H184" s="650">
        <f>IF(LEN(TRIM($G184&amp;""))=0, $C184, SUMIF($G$3:$G$561, TRIM($G184), $C$3:$C$561))</f>
        <v>265.23070000000001</v>
      </c>
      <c r="I184" s="413" t="s">
        <v>562</v>
      </c>
      <c r="J184" s="351"/>
      <c r="K184" s="349"/>
      <c r="L184" s="349" t="str">
        <f>HYPERLINK("https://crm.zoho.com/crm/org685875245/tab/Accounts/3525045000321764028","https://crm.zoho.com/crm/org685875245/tab/Accounts/3525045000321764028")</f>
        <v>https://crm.zoho.com/crm/org685875245/tab/Accounts/3525045000321764028</v>
      </c>
      <c r="M184" s="553" t="s">
        <v>167</v>
      </c>
      <c r="N184" s="352"/>
      <c r="O184" s="540" t="s">
        <v>1300</v>
      </c>
      <c r="P184" s="540" t="s">
        <v>1301</v>
      </c>
      <c r="Q184" s="540" t="s">
        <v>1302</v>
      </c>
      <c r="R184" s="352"/>
      <c r="S184" s="352" t="s">
        <v>1303</v>
      </c>
      <c r="T184" s="351"/>
      <c r="U184" s="354" t="s">
        <v>82</v>
      </c>
      <c r="V184" s="355">
        <v>216.52</v>
      </c>
      <c r="W184" s="355">
        <v>210.91</v>
      </c>
      <c r="X184" s="355">
        <v>193.26</v>
      </c>
      <c r="Y184" s="356">
        <v>236.72</v>
      </c>
      <c r="Z184" s="337">
        <v>307.29820000000001</v>
      </c>
      <c r="AA184" s="347">
        <v>282.60000000000002</v>
      </c>
      <c r="AB184" s="347">
        <v>279.60730000000001</v>
      </c>
      <c r="AC184" s="638">
        <v>251.8921</v>
      </c>
      <c r="AD184" s="347">
        <v>265.23070000000001</v>
      </c>
      <c r="AE184" s="357">
        <v>87</v>
      </c>
      <c r="AF184" s="358">
        <v>200</v>
      </c>
      <c r="AG184" s="354"/>
      <c r="AH184" s="359"/>
      <c r="AI184" s="427" t="s">
        <v>83</v>
      </c>
      <c r="AJ184" s="361" t="s">
        <v>852</v>
      </c>
      <c r="AK184" s="362" t="s">
        <v>1304</v>
      </c>
      <c r="AL184" s="358" t="s">
        <v>103</v>
      </c>
      <c r="AM184" s="349"/>
      <c r="AN184" s="349"/>
      <c r="AO184" s="349"/>
      <c r="AP184" s="349"/>
      <c r="AQ184" s="349"/>
      <c r="AR184" s="453"/>
      <c r="AS184" s="371" t="s">
        <v>103</v>
      </c>
      <c r="AT184" s="345"/>
      <c r="AU184" s="345" t="s">
        <v>179</v>
      </c>
      <c r="AV184" s="345"/>
      <c r="AW184" s="345"/>
      <c r="AX184" s="345"/>
      <c r="AY184" s="345"/>
      <c r="AZ184" s="345"/>
      <c r="BA184" s="345"/>
      <c r="BB184" s="345"/>
      <c r="BC184" s="345"/>
      <c r="BD184" s="345"/>
      <c r="BE184" s="345"/>
      <c r="BF184" s="345"/>
      <c r="BG184" s="345"/>
      <c r="BH184" s="345"/>
      <c r="BI184" s="345"/>
      <c r="BJ184" s="364">
        <f>COUNTIF(AT184:BI184,"*OP*")</f>
        <v>1</v>
      </c>
      <c r="BK184" s="363" t="s">
        <v>89</v>
      </c>
      <c r="BL184" s="349">
        <f>(COUNTIF(AT184:AV184,"*OK*")*3) + (COUNTIF(AW184:AY184,"*OK*")*2) + COUNTIF(AZ184:BB184,"*OK*")+COUNTIF(BK184:BK184,"SI")*0.5</f>
        <v>0</v>
      </c>
      <c r="BM184" s="349" t="str">
        <f>IF(BL184&lt;0.6,"Demasiado Riesgo",IF(BL184&lt;=5,"Riesgo Medio",IF(BL184&lt;=11,"Riesgo Bajo","Cliente Blindado")))</f>
        <v>Demasiado Riesgo</v>
      </c>
      <c r="BN184" s="349"/>
      <c r="BO184" s="328"/>
      <c r="BP184" s="328">
        <v>0</v>
      </c>
      <c r="BQ184" s="328"/>
      <c r="BR184" s="328"/>
      <c r="BS184" s="328"/>
      <c r="BT184" s="328"/>
      <c r="BU184" s="328"/>
      <c r="BV184" s="328"/>
      <c r="BW184" s="328"/>
      <c r="BX184" s="328"/>
      <c r="BY184" s="328"/>
      <c r="BZ184" s="328"/>
      <c r="CA184" s="328"/>
      <c r="CB184" s="328"/>
      <c r="CC184" s="328"/>
      <c r="CD184" s="328"/>
      <c r="CE184" s="328"/>
      <c r="CF184" s="328"/>
      <c r="CG184" s="328"/>
      <c r="CH184" s="328"/>
      <c r="CI184" s="328"/>
      <c r="CJ184" s="328"/>
      <c r="CK184" s="328"/>
      <c r="CL184" s="328">
        <f>COUNTIF(AT184:BH184,"*OK*")</f>
        <v>0</v>
      </c>
      <c r="CM184" s="328"/>
      <c r="CN184" s="328">
        <f>COUNTIF(AT184:BH184,"*OP*")</f>
        <v>1</v>
      </c>
    </row>
    <row r="185" spans="1:94" ht="15" customHeight="1">
      <c r="A185" s="834">
        <v>38734</v>
      </c>
      <c r="B185" s="560" t="s">
        <v>1305</v>
      </c>
      <c r="C185" s="329">
        <f t="shared" si="4"/>
        <v>231.78809999999999</v>
      </c>
      <c r="D185" s="332">
        <f>COUNTIF(AX185:BI185,"OK")</f>
        <v>0</v>
      </c>
      <c r="E185" s="501" t="s">
        <v>439</v>
      </c>
      <c r="F185" s="536" t="s">
        <v>1306</v>
      </c>
      <c r="G185" s="537"/>
      <c r="H185" s="650">
        <f>IF(LEN(TRIM($G185&amp;""))=0, $C185, SUMIF($G$3:$G$561, TRIM($G185), $C$3:$C$561))</f>
        <v>231.78809999999999</v>
      </c>
      <c r="I185" s="501" t="s">
        <v>562</v>
      </c>
      <c r="J185" s="501" t="s">
        <v>103</v>
      </c>
      <c r="K185" s="328"/>
      <c r="L185" s="328" t="str">
        <f>HYPERLINK("https://crm.zoho.com/crm/org685875245/tab/Accounts/3525045000551532404","https://crm.zoho.com/crm/org685875245/tab/Accounts/3525045000551532404")</f>
        <v>https://crm.zoho.com/crm/org685875245/tab/Accounts/3525045000551532404</v>
      </c>
      <c r="M185" s="391"/>
      <c r="N185" s="501" t="s">
        <v>103</v>
      </c>
      <c r="O185" s="543" t="s">
        <v>1307</v>
      </c>
      <c r="P185" s="543" t="s">
        <v>312</v>
      </c>
      <c r="Q185" s="543" t="s">
        <v>1308</v>
      </c>
      <c r="R185" s="501"/>
      <c r="S185" s="501" t="s">
        <v>103</v>
      </c>
      <c r="T185" s="501" t="s">
        <v>88</v>
      </c>
      <c r="U185" s="469" t="s">
        <v>103</v>
      </c>
      <c r="V185" s="501" t="s">
        <v>103</v>
      </c>
      <c r="W185" s="501" t="s">
        <v>103</v>
      </c>
      <c r="X185" s="501" t="s">
        <v>103</v>
      </c>
      <c r="Y185" s="470" t="s">
        <v>103</v>
      </c>
      <c r="Z185" s="513" t="s">
        <v>103</v>
      </c>
      <c r="AA185" s="518">
        <v>243.41</v>
      </c>
      <c r="AB185" s="518">
        <v>262.74549999999999</v>
      </c>
      <c r="AC185" s="639">
        <v>242.9307</v>
      </c>
      <c r="AD185" s="518">
        <v>231.78809999999999</v>
      </c>
      <c r="AE185" s="327">
        <v>64</v>
      </c>
      <c r="AF185" s="372" t="s">
        <v>103</v>
      </c>
      <c r="AG185" s="344"/>
      <c r="AH185" s="328"/>
      <c r="AI185" s="342"/>
      <c r="AJ185" s="343"/>
      <c r="AK185" s="344"/>
      <c r="AL185" s="372" t="s">
        <v>103</v>
      </c>
      <c r="AM185" s="328"/>
      <c r="AN185" s="328"/>
      <c r="AO185" s="328"/>
      <c r="AP185" s="328"/>
      <c r="AQ185" s="328"/>
      <c r="AR185" s="451"/>
      <c r="AS185" s="444"/>
      <c r="AT185" s="345"/>
      <c r="AU185" s="345"/>
      <c r="AV185" s="345"/>
      <c r="AW185" s="345"/>
      <c r="AX185" s="345"/>
      <c r="AY185" s="345"/>
      <c r="AZ185" s="345"/>
      <c r="BA185" s="345"/>
      <c r="BB185" s="345"/>
      <c r="BC185" s="345"/>
      <c r="BD185" s="345"/>
      <c r="BE185" s="345"/>
      <c r="BF185" s="345"/>
      <c r="BG185" s="345"/>
      <c r="BH185" s="345"/>
      <c r="BI185" s="345"/>
      <c r="BJ185" s="364">
        <f>COUNTIF(AT185:BI185,"*OP*")</f>
        <v>0</v>
      </c>
      <c r="BK185" s="447"/>
      <c r="BL185" s="328">
        <f>(COUNTIF(AT185:AV185,"*OK*")*3) + (COUNTIF(AW185:AY185,"*OK*")*2) + COUNTIF(AZ185:BB185,"*OK*")+COUNTIF(BK185:BK185,"SI")*0.5</f>
        <v>0</v>
      </c>
      <c r="BM185" s="328" t="str">
        <f>IF(BL185&lt;0.6,"Demasiado Riesgo",IF(BL185&lt;=5,"Riesgo Medio",IF(BL185&lt;=11,"Riesgo Bajo","Cliente Blindado")))</f>
        <v>Demasiado Riesgo</v>
      </c>
      <c r="BN185" s="328"/>
      <c r="BO185" s="349"/>
      <c r="BP185" s="349">
        <v>0</v>
      </c>
      <c r="BQ185" s="349"/>
      <c r="BR185" s="349"/>
      <c r="BS185" s="349"/>
      <c r="BT185" s="349"/>
      <c r="BU185" s="349"/>
      <c r="BV185" s="349"/>
      <c r="BW185" s="349"/>
      <c r="BX185" s="349"/>
      <c r="BY185" s="349"/>
      <c r="BZ185" s="349"/>
      <c r="CA185" s="349"/>
      <c r="CB185" s="349"/>
      <c r="CC185" s="349"/>
      <c r="CD185" s="349"/>
      <c r="CE185" s="349"/>
      <c r="CF185" s="349"/>
      <c r="CG185" s="349"/>
      <c r="CH185" s="349"/>
      <c r="CI185" s="349"/>
      <c r="CJ185" s="349"/>
      <c r="CK185" s="349"/>
      <c r="CL185" s="349">
        <f>COUNTIF(AT185:BH185,"*OK*")</f>
        <v>0</v>
      </c>
      <c r="CM185" s="349"/>
      <c r="CN185" s="349">
        <f>COUNTIF(AT185:BH185,"*OP*")</f>
        <v>0</v>
      </c>
    </row>
    <row r="186" spans="1:94" s="442" customFormat="1" ht="15" customHeight="1">
      <c r="A186" s="834">
        <v>23124</v>
      </c>
      <c r="B186" s="560" t="s">
        <v>1309</v>
      </c>
      <c r="C186" s="329">
        <f t="shared" si="4"/>
        <v>240.02760000000001</v>
      </c>
      <c r="D186" s="332">
        <f>COUNTIF(AT186:BH186,"*OK*")</f>
        <v>0</v>
      </c>
      <c r="E186" s="331" t="s">
        <v>439</v>
      </c>
      <c r="F186" s="331" t="s">
        <v>1310</v>
      </c>
      <c r="G186" s="331"/>
      <c r="H186" s="650">
        <f>IF(LEN(TRIM($G186&amp;""))=0, $C186, SUMIF($G$3:$G$561, TRIM($G186), $C$3:$C$561))</f>
        <v>240.02760000000001</v>
      </c>
      <c r="I186" s="410" t="s">
        <v>562</v>
      </c>
      <c r="J186" s="331"/>
      <c r="K186" s="328"/>
      <c r="L186" s="328" t="str">
        <f>HYPERLINK("https://crm.zoho.com/crm/org685875245/tab/Accounts/3525045000263417271","https://crm.zoho.com/crm/org685875245/tab/Accounts/3525045000263417271")</f>
        <v>https://crm.zoho.com/crm/org685875245/tab/Accounts/3525045000263417271</v>
      </c>
      <c r="M186" s="391" t="s">
        <v>96</v>
      </c>
      <c r="N186" s="332"/>
      <c r="O186" s="541" t="s">
        <v>1311</v>
      </c>
      <c r="P186" s="541" t="s">
        <v>1312</v>
      </c>
      <c r="Q186" s="541" t="s">
        <v>1313</v>
      </c>
      <c r="R186" s="332"/>
      <c r="S186" s="332"/>
      <c r="T186" s="331"/>
      <c r="U186" s="334" t="s">
        <v>198</v>
      </c>
      <c r="V186" s="335">
        <v>221.56</v>
      </c>
      <c r="W186" s="335">
        <v>315.61</v>
      </c>
      <c r="X186" s="335">
        <v>277.79000000000002</v>
      </c>
      <c r="Y186" s="336">
        <v>251.16</v>
      </c>
      <c r="Z186" s="337">
        <v>215.21289999999999</v>
      </c>
      <c r="AA186" s="365">
        <v>210.69</v>
      </c>
      <c r="AB186" s="365">
        <v>208.11109999999999</v>
      </c>
      <c r="AC186" s="635">
        <v>239.67750000000001</v>
      </c>
      <c r="AD186" s="365">
        <v>240.02760000000001</v>
      </c>
      <c r="AE186" s="339">
        <v>219</v>
      </c>
      <c r="AF186" s="340">
        <v>200</v>
      </c>
      <c r="AG186" s="334"/>
      <c r="AH186" s="341"/>
      <c r="AI186" s="342" t="s">
        <v>258</v>
      </c>
      <c r="AJ186" s="343" t="s">
        <v>130</v>
      </c>
      <c r="AK186" s="344" t="s">
        <v>1314</v>
      </c>
      <c r="AL186" s="340" t="s">
        <v>103</v>
      </c>
      <c r="AM186" s="328"/>
      <c r="AN186" s="328"/>
      <c r="AO186" s="328"/>
      <c r="AP186" s="328"/>
      <c r="AQ186" s="328"/>
      <c r="AR186" s="451"/>
      <c r="AS186" s="372" t="s">
        <v>88</v>
      </c>
      <c r="AT186" s="345"/>
      <c r="AU186" s="345"/>
      <c r="AV186" s="345"/>
      <c r="AW186" s="345"/>
      <c r="AX186" s="345"/>
      <c r="AY186" s="345"/>
      <c r="AZ186" s="345"/>
      <c r="BA186" s="345"/>
      <c r="BB186" s="345"/>
      <c r="BC186" s="345"/>
      <c r="BD186" s="345"/>
      <c r="BE186" s="345"/>
      <c r="BF186" s="345"/>
      <c r="BG186" s="345"/>
      <c r="BH186" s="345"/>
      <c r="BI186" s="345"/>
      <c r="BJ186" s="364">
        <f>COUNTIF(AT186:BI186,"*OP*")</f>
        <v>0</v>
      </c>
      <c r="BK186" s="375" t="s">
        <v>89</v>
      </c>
      <c r="BL186" s="328">
        <f>(COUNTIF(AT186:AV186,"*OK*")*3) + (COUNTIF(AW186:AY186,"*OK*")*2) + COUNTIF(AZ186:BB186,"*OK*")+COUNTIF(BK186:BK186,"SI")*0.5</f>
        <v>0</v>
      </c>
      <c r="BM186" s="328" t="str">
        <f>IF(BL186&lt;0.6,"Demasiado Riesgo",IF(BL186&lt;=5,"Riesgo Medio",IF(BL186&lt;=11,"Riesgo Bajo","Cliente Blindado")))</f>
        <v>Demasiado Riesgo</v>
      </c>
      <c r="BN186" s="328"/>
      <c r="BO186" s="349"/>
      <c r="BP186" s="349"/>
      <c r="BQ186" s="349"/>
      <c r="BR186" s="349"/>
      <c r="BS186" s="349"/>
      <c r="BT186" s="349"/>
      <c r="BU186" s="349"/>
      <c r="BV186" s="349"/>
      <c r="BW186" s="349"/>
      <c r="BX186" s="349"/>
      <c r="BY186" s="349"/>
      <c r="BZ186" s="349"/>
      <c r="CA186" s="349"/>
      <c r="CB186" s="349"/>
      <c r="CC186" s="349"/>
      <c r="CD186" s="349"/>
      <c r="CE186" s="349"/>
      <c r="CF186" s="349"/>
      <c r="CG186" s="349"/>
      <c r="CH186" s="349"/>
      <c r="CI186" s="349"/>
      <c r="CJ186" s="349"/>
      <c r="CK186" s="349"/>
      <c r="CL186" s="349">
        <f>COUNTIF(AT186:BH186,"*OK*")</f>
        <v>0</v>
      </c>
      <c r="CM186" s="349"/>
      <c r="CN186" s="349">
        <f>COUNTIF(AT186:BH186,"*OP*")</f>
        <v>0</v>
      </c>
      <c r="CO186" s="287"/>
      <c r="CP186" s="287"/>
    </row>
    <row r="187" spans="1:94" ht="15" customHeight="1">
      <c r="A187" s="834">
        <v>25961</v>
      </c>
      <c r="B187" s="560" t="s">
        <v>1315</v>
      </c>
      <c r="C187" s="329">
        <f t="shared" si="4"/>
        <v>231.42170000000002</v>
      </c>
      <c r="D187" s="332">
        <f>COUNTIF(AT187:BH187,"*OK*")</f>
        <v>0</v>
      </c>
      <c r="E187" s="331" t="s">
        <v>439</v>
      </c>
      <c r="F187" s="331" t="s">
        <v>1316</v>
      </c>
      <c r="G187" s="331"/>
      <c r="H187" s="650">
        <f>IF(LEN(TRIM($G187&amp;""))=0, $C187, SUMIF($G$3:$G$561, TRIM($G187), $C$3:$C$561))</f>
        <v>231.42170000000002</v>
      </c>
      <c r="I187" s="410" t="s">
        <v>562</v>
      </c>
      <c r="J187" s="331"/>
      <c r="K187" s="328"/>
      <c r="L187" s="328" t="str">
        <f>HYPERLINK("https://crm.zoho.com/crm/org685875245/tab/Accounts/3525045000340439439","https://crm.zoho.com/crm/org685875245/tab/Accounts/3525045000340439439")</f>
        <v>https://crm.zoho.com/crm/org685875245/tab/Accounts/3525045000340439439</v>
      </c>
      <c r="M187" s="391" t="s">
        <v>96</v>
      </c>
      <c r="N187" s="332"/>
      <c r="O187" s="541" t="s">
        <v>1317</v>
      </c>
      <c r="P187" s="541" t="s">
        <v>1318</v>
      </c>
      <c r="Q187" s="541" t="s">
        <v>1319</v>
      </c>
      <c r="R187" s="332" t="s">
        <v>160</v>
      </c>
      <c r="S187" s="332"/>
      <c r="T187" s="331"/>
      <c r="U187" s="334" t="s">
        <v>209</v>
      </c>
      <c r="V187" s="335">
        <v>218.1</v>
      </c>
      <c r="W187" s="335">
        <v>245.51</v>
      </c>
      <c r="X187" s="335">
        <v>231.58</v>
      </c>
      <c r="Y187" s="336">
        <v>226.72</v>
      </c>
      <c r="Z187" s="337">
        <v>229.7706</v>
      </c>
      <c r="AA187" s="365">
        <v>227.25</v>
      </c>
      <c r="AB187" s="365">
        <v>229.16829999999999</v>
      </c>
      <c r="AC187" s="635">
        <v>235.91739999999999</v>
      </c>
      <c r="AD187" s="365">
        <v>231.42170000000002</v>
      </c>
      <c r="AE187" s="339">
        <v>93</v>
      </c>
      <c r="AF187" s="340">
        <v>50</v>
      </c>
      <c r="AG187" s="334"/>
      <c r="AH187" s="341"/>
      <c r="AI187" s="342" t="s">
        <v>258</v>
      </c>
      <c r="AJ187" s="343" t="s">
        <v>101</v>
      </c>
      <c r="AK187" s="344" t="s">
        <v>1320</v>
      </c>
      <c r="AL187" s="340" t="s">
        <v>101</v>
      </c>
      <c r="AM187" s="328"/>
      <c r="AN187" s="328"/>
      <c r="AO187" s="328"/>
      <c r="AP187" s="328"/>
      <c r="AQ187" s="328"/>
      <c r="AR187" s="451"/>
      <c r="AS187" s="372" t="s">
        <v>88</v>
      </c>
      <c r="AT187" s="345"/>
      <c r="AU187" s="345"/>
      <c r="AV187" s="345" t="s">
        <v>1007</v>
      </c>
      <c r="AW187" s="345"/>
      <c r="AX187" s="345"/>
      <c r="AY187" s="345"/>
      <c r="AZ187" s="345"/>
      <c r="BA187" s="345"/>
      <c r="BB187" s="345"/>
      <c r="BC187" s="345"/>
      <c r="BD187" s="345"/>
      <c r="BE187" s="345"/>
      <c r="BF187" s="345"/>
      <c r="BG187" s="345"/>
      <c r="BH187" s="345"/>
      <c r="BI187" s="345"/>
      <c r="BJ187" s="364">
        <f>COUNTIF(AT187:BI187,"*OP*")</f>
        <v>1</v>
      </c>
      <c r="BK187" s="375" t="s">
        <v>89</v>
      </c>
      <c r="BL187" s="328">
        <f>(COUNTIF(AT187:AV187,"*OK*")*3) + (COUNTIF(AW187:AY187,"*OK*")*2) + COUNTIF(AZ187:BB187,"*OK*")+COUNTIF(BK187:BK187,"SI")*0.5</f>
        <v>0</v>
      </c>
      <c r="BM187" s="328" t="str">
        <f>IF(BL187&lt;0.6,"Demasiado Riesgo",IF(BL187&lt;=5,"Riesgo Medio",IF(BL187&lt;=11,"Riesgo Bajo","Cliente Blindado")))</f>
        <v>Demasiado Riesgo</v>
      </c>
      <c r="BN187" s="328"/>
      <c r="BO187" s="328"/>
      <c r="BP187" s="328">
        <v>0</v>
      </c>
      <c r="BQ187" s="328"/>
      <c r="BR187" s="328"/>
      <c r="BS187" s="328"/>
      <c r="BT187" s="328"/>
      <c r="BU187" s="328"/>
      <c r="BV187" s="328"/>
      <c r="BW187" s="328"/>
      <c r="BX187" s="328"/>
      <c r="BY187" s="328"/>
      <c r="BZ187" s="328"/>
      <c r="CA187" s="328"/>
      <c r="CB187" s="328"/>
      <c r="CC187" s="328"/>
      <c r="CD187" s="328"/>
      <c r="CE187" s="328"/>
      <c r="CF187" s="328"/>
      <c r="CG187" s="328"/>
      <c r="CH187" s="328"/>
      <c r="CI187" s="328"/>
      <c r="CJ187" s="328"/>
      <c r="CK187" s="328"/>
      <c r="CL187" s="328">
        <f>COUNTIF(AT187:BH187,"*OK*")</f>
        <v>0</v>
      </c>
      <c r="CM187" s="328"/>
      <c r="CN187" s="328">
        <f>COUNTIF(AT187:BH187,"*OP*")</f>
        <v>1</v>
      </c>
    </row>
    <row r="188" spans="1:94" ht="15" customHeight="1">
      <c r="A188" s="835"/>
      <c r="B188" s="560" t="s">
        <v>1321</v>
      </c>
      <c r="C188" s="329">
        <f t="shared" si="4"/>
        <v>208.27809999999999</v>
      </c>
      <c r="D188" s="352">
        <f>COUNTIF(AX188:BI188,"OK")</f>
        <v>0</v>
      </c>
      <c r="E188" s="500" t="s">
        <v>439</v>
      </c>
      <c r="F188" s="537" t="s">
        <v>1322</v>
      </c>
      <c r="G188" s="536"/>
      <c r="H188" s="650">
        <f>IF(LEN(TRIM($G188&amp;""))=0, $C188, SUMIF($G$3:$G$561, TRIM($G188), $C$3:$C$561))</f>
        <v>208.27809999999999</v>
      </c>
      <c r="I188" s="500" t="s">
        <v>562</v>
      </c>
      <c r="J188" s="500" t="s">
        <v>103</v>
      </c>
      <c r="K188" s="349"/>
      <c r="L188" s="349" t="str">
        <f>HYPERLINK("https://crm.zoho.com/crm/org685875245/tab/Accounts/3525045000631723177","https://crm.zoho.com/crm/org685875245/tab/Accounts/3525045000631723177")</f>
        <v>https://crm.zoho.com/crm/org685875245/tab/Accounts/3525045000631723177</v>
      </c>
      <c r="M188" s="553"/>
      <c r="N188" s="500" t="s">
        <v>103</v>
      </c>
      <c r="O188" s="542" t="s">
        <v>982</v>
      </c>
      <c r="P188" s="542" t="s">
        <v>1323</v>
      </c>
      <c r="Q188" s="542" t="s">
        <v>1324</v>
      </c>
      <c r="R188" s="500"/>
      <c r="S188" s="500" t="s">
        <v>103</v>
      </c>
      <c r="T188" s="500" t="s">
        <v>88</v>
      </c>
      <c r="U188" s="467" t="s">
        <v>103</v>
      </c>
      <c r="V188" s="500" t="s">
        <v>103</v>
      </c>
      <c r="W188" s="500" t="s">
        <v>103</v>
      </c>
      <c r="X188" s="500" t="s">
        <v>103</v>
      </c>
      <c r="Y188" s="511" t="s">
        <v>103</v>
      </c>
      <c r="Z188" s="517" t="s">
        <v>103</v>
      </c>
      <c r="AA188" s="518">
        <v>104.9</v>
      </c>
      <c r="AB188" s="518">
        <v>126.35980000000001</v>
      </c>
      <c r="AC188" s="639">
        <v>233.4247</v>
      </c>
      <c r="AD188" s="518">
        <v>208.27809999999999</v>
      </c>
      <c r="AE188" s="348"/>
      <c r="AF188" s="371" t="s">
        <v>103</v>
      </c>
      <c r="AG188" s="362"/>
      <c r="AH188" s="349"/>
      <c r="AI188" s="370"/>
      <c r="AJ188" s="361"/>
      <c r="AK188" s="362"/>
      <c r="AL188" s="371" t="s">
        <v>103</v>
      </c>
      <c r="AM188" s="349"/>
      <c r="AN188" s="349"/>
      <c r="AO188" s="349"/>
      <c r="AP188" s="349"/>
      <c r="AQ188" s="349"/>
      <c r="AR188" s="453"/>
      <c r="AS188" s="449"/>
      <c r="AT188" s="345"/>
      <c r="AU188" s="345"/>
      <c r="AV188" s="345"/>
      <c r="AW188" s="345"/>
      <c r="AX188" s="345"/>
      <c r="AY188" s="345"/>
      <c r="AZ188" s="345"/>
      <c r="BA188" s="345"/>
      <c r="BB188" s="345"/>
      <c r="BC188" s="345"/>
      <c r="BD188" s="345"/>
      <c r="BE188" s="345"/>
      <c r="BF188" s="345"/>
      <c r="BG188" s="345"/>
      <c r="BH188" s="345"/>
      <c r="BI188" s="345"/>
      <c r="BJ188" s="364">
        <f>COUNTIF(AT188:BI188,"*OP*")</f>
        <v>0</v>
      </c>
      <c r="BK188" s="450"/>
      <c r="BL188" s="349">
        <f>(COUNTIF(AT188:AV188,"*OK*")*3) + (COUNTIF(AW188:AY188,"*OK*")*2) + COUNTIF(AZ188:BB188,"*OK*")+COUNTIF(BK188:BK188,"SI")*0.5</f>
        <v>0</v>
      </c>
      <c r="BM188" s="349" t="str">
        <f>IF(BL188&lt;0.6,"Demasiado Riesgo",IF(BL188&lt;=5,"Riesgo Medio",IF(BL188&lt;=11,"Riesgo Bajo","Cliente Blindado")))</f>
        <v>Demasiado Riesgo</v>
      </c>
      <c r="BN188" s="349"/>
      <c r="BO188" s="349"/>
      <c r="BP188" s="349">
        <v>0</v>
      </c>
      <c r="BQ188" s="349"/>
      <c r="BR188" s="349"/>
      <c r="BS188" s="349"/>
      <c r="BT188" s="349"/>
      <c r="BU188" s="349"/>
      <c r="BV188" s="349"/>
      <c r="BW188" s="349"/>
      <c r="BX188" s="349"/>
      <c r="BY188" s="349"/>
      <c r="BZ188" s="349"/>
      <c r="CA188" s="349"/>
      <c r="CB188" s="349"/>
      <c r="CC188" s="349"/>
      <c r="CD188" s="349"/>
      <c r="CE188" s="349"/>
      <c r="CF188" s="349"/>
      <c r="CG188" s="349"/>
      <c r="CH188" s="349"/>
      <c r="CI188" s="349"/>
      <c r="CJ188" s="349"/>
      <c r="CK188" s="349"/>
      <c r="CL188" s="349">
        <f>COUNTIF(AT188:BH188,"*OK*")</f>
        <v>0</v>
      </c>
      <c r="CM188" s="349"/>
      <c r="CN188" s="349">
        <f>COUNTIF(AT188:BH188,"*OP*")</f>
        <v>0</v>
      </c>
      <c r="CO188" s="425"/>
    </row>
    <row r="189" spans="1:94" ht="15" customHeight="1">
      <c r="A189" s="834">
        <v>24521</v>
      </c>
      <c r="B189" s="560" t="s">
        <v>1325</v>
      </c>
      <c r="C189" s="329">
        <f t="shared" si="4"/>
        <v>227.78749999999999</v>
      </c>
      <c r="D189" s="332">
        <f>COUNTIF(AT189:BH189,"*OK*")</f>
        <v>0</v>
      </c>
      <c r="E189" s="331" t="s">
        <v>439</v>
      </c>
      <c r="F189" s="331" t="s">
        <v>1326</v>
      </c>
      <c r="G189" s="331"/>
      <c r="H189" s="650">
        <f>IF(LEN(TRIM($G189&amp;""))=0, $C189, SUMIF($G$3:$G$561, TRIM($G189), $C$3:$C$561))</f>
        <v>227.78749999999999</v>
      </c>
      <c r="I189" s="410" t="s">
        <v>562</v>
      </c>
      <c r="J189" s="331"/>
      <c r="K189" s="328"/>
      <c r="L189" s="328" t="str">
        <f>HYPERLINK("https://crm.zoho.com/crm/org685875245/tab/Accounts/3525045000256988024","https://crm.zoho.com/crm/org685875245/tab/Accounts/3525045000256988024")</f>
        <v>https://crm.zoho.com/crm/org685875245/tab/Accounts/3525045000256988024</v>
      </c>
      <c r="M189" s="391" t="s">
        <v>77</v>
      </c>
      <c r="N189" s="332"/>
      <c r="O189" s="541" t="s">
        <v>1327</v>
      </c>
      <c r="P189" s="541" t="s">
        <v>1328</v>
      </c>
      <c r="Q189" s="541" t="s">
        <v>1329</v>
      </c>
      <c r="R189" s="332"/>
      <c r="S189" s="332"/>
      <c r="T189" s="331"/>
      <c r="U189" s="334" t="s">
        <v>82</v>
      </c>
      <c r="V189" s="335">
        <v>183.01</v>
      </c>
      <c r="W189" s="335">
        <v>187.85</v>
      </c>
      <c r="X189" s="335">
        <v>182.6</v>
      </c>
      <c r="Y189" s="336">
        <v>197.1</v>
      </c>
      <c r="Z189" s="337">
        <v>196.00399999999999</v>
      </c>
      <c r="AA189" s="367">
        <v>203.73</v>
      </c>
      <c r="AB189" s="367">
        <v>216.65780000000001</v>
      </c>
      <c r="AC189" s="636">
        <v>229.5172</v>
      </c>
      <c r="AD189" s="367">
        <v>227.78749999999999</v>
      </c>
      <c r="AE189" s="339">
        <v>178</v>
      </c>
      <c r="AF189" s="340">
        <v>200</v>
      </c>
      <c r="AG189" s="334"/>
      <c r="AH189" s="341"/>
      <c r="AI189" s="422" t="s">
        <v>83</v>
      </c>
      <c r="AJ189" s="343" t="s">
        <v>101</v>
      </c>
      <c r="AK189" s="344" t="s">
        <v>1330</v>
      </c>
      <c r="AL189" s="340" t="s">
        <v>103</v>
      </c>
      <c r="AM189" s="328"/>
      <c r="AN189" s="328"/>
      <c r="AO189" s="328"/>
      <c r="AP189" s="328"/>
      <c r="AQ189" s="328"/>
      <c r="AR189" s="451"/>
      <c r="AS189" s="372" t="s">
        <v>103</v>
      </c>
      <c r="AT189" s="345"/>
      <c r="AU189" s="345"/>
      <c r="AV189" s="345"/>
      <c r="AW189" s="345"/>
      <c r="AX189" s="345"/>
      <c r="AY189" s="345"/>
      <c r="AZ189" s="345"/>
      <c r="BA189" s="345"/>
      <c r="BB189" s="345"/>
      <c r="BC189" s="345"/>
      <c r="BD189" s="345"/>
      <c r="BE189" s="345"/>
      <c r="BF189" s="345"/>
      <c r="BG189" s="345"/>
      <c r="BH189" s="345"/>
      <c r="BI189" s="345"/>
      <c r="BJ189" s="364">
        <f>COUNTIF(AT189:BI189,"*OP*")</f>
        <v>0</v>
      </c>
      <c r="BK189" s="375" t="s">
        <v>103</v>
      </c>
      <c r="BL189" s="328">
        <f>(COUNTIF(AT189:AV189,"*OK*")*3) + (COUNTIF(AW189:AY189,"*OK*")*2) + COUNTIF(AZ189:BB189,"*OK*")+COUNTIF(BK189:BK189,"SI")*0.5</f>
        <v>0</v>
      </c>
      <c r="BM189" s="328" t="str">
        <f>IF(BL189&lt;0.6,"Demasiado Riesgo",IF(BL189&lt;=5,"Riesgo Medio",IF(BL189&lt;=11,"Riesgo Bajo","Cliente Blindado")))</f>
        <v>Demasiado Riesgo</v>
      </c>
      <c r="BN189" s="328"/>
      <c r="BO189" s="349"/>
      <c r="BP189" s="349">
        <v>0</v>
      </c>
      <c r="BQ189" s="349"/>
      <c r="BR189" s="349"/>
      <c r="BS189" s="349"/>
      <c r="BT189" s="349"/>
      <c r="BU189" s="349"/>
      <c r="BV189" s="349"/>
      <c r="BW189" s="349"/>
      <c r="BX189" s="349"/>
      <c r="BY189" s="349"/>
      <c r="BZ189" s="349"/>
      <c r="CA189" s="349"/>
      <c r="CB189" s="349"/>
      <c r="CC189" s="349"/>
      <c r="CD189" s="349"/>
      <c r="CE189" s="349"/>
      <c r="CF189" s="349"/>
      <c r="CG189" s="349"/>
      <c r="CH189" s="349"/>
      <c r="CI189" s="349"/>
      <c r="CJ189" s="349"/>
      <c r="CK189" s="349"/>
      <c r="CL189" s="349">
        <f>COUNTIF(AT189:BH189,"*OK*")</f>
        <v>0</v>
      </c>
      <c r="CM189" s="349"/>
      <c r="CN189" s="349">
        <f>COUNTIF(AT189:BH189,"*OP*")</f>
        <v>0</v>
      </c>
    </row>
    <row r="190" spans="1:94" ht="15" customHeight="1">
      <c r="A190" s="834">
        <v>24773</v>
      </c>
      <c r="B190" s="560" t="s">
        <v>1331</v>
      </c>
      <c r="C190" s="329">
        <f t="shared" si="4"/>
        <v>225.3621</v>
      </c>
      <c r="D190" s="332">
        <f>COUNTIF(AT190:BH190,"*OK*")</f>
        <v>0</v>
      </c>
      <c r="E190" s="331" t="s">
        <v>439</v>
      </c>
      <c r="F190" s="330" t="s">
        <v>1332</v>
      </c>
      <c r="G190" s="331"/>
      <c r="H190" s="650">
        <f>IF(LEN(TRIM($G190&amp;""))=0, $C190, SUMIF($G$3:$G$561, TRIM($G190), $C$3:$C$561))</f>
        <v>225.3621</v>
      </c>
      <c r="I190" s="410" t="s">
        <v>562</v>
      </c>
      <c r="J190" s="331"/>
      <c r="K190" s="328"/>
      <c r="L190" s="328" t="str">
        <f>HYPERLINK("https://crm.zoho.com/crm/org685875245/tab/Accounts/3525045000304160441","https://crm.zoho.com/crm/org685875245/tab/Accounts/3525045000304160441")</f>
        <v>https://crm.zoho.com/crm/org685875245/tab/Accounts/3525045000304160441</v>
      </c>
      <c r="M190" s="391" t="s">
        <v>943</v>
      </c>
      <c r="N190" s="332"/>
      <c r="O190" s="541" t="s">
        <v>1333</v>
      </c>
      <c r="P190" s="541" t="s">
        <v>1334</v>
      </c>
      <c r="Q190" s="541" t="s">
        <v>1335</v>
      </c>
      <c r="R190" s="332"/>
      <c r="S190" s="332"/>
      <c r="T190" s="331"/>
      <c r="U190" s="334" t="s">
        <v>82</v>
      </c>
      <c r="V190" s="335">
        <v>236.86</v>
      </c>
      <c r="W190" s="335">
        <v>214.1</v>
      </c>
      <c r="X190" s="335">
        <v>211.2</v>
      </c>
      <c r="Y190" s="336">
        <v>230.32</v>
      </c>
      <c r="Z190" s="337">
        <v>228.4211</v>
      </c>
      <c r="AA190" s="367">
        <v>230.86</v>
      </c>
      <c r="AB190" s="367">
        <v>230.3125</v>
      </c>
      <c r="AC190" s="636">
        <v>229.4744</v>
      </c>
      <c r="AD190" s="367">
        <v>225.3621</v>
      </c>
      <c r="AE190" s="339">
        <v>50</v>
      </c>
      <c r="AF190" s="340">
        <v>200</v>
      </c>
      <c r="AG190" s="334"/>
      <c r="AH190" s="341"/>
      <c r="AI190" s="422" t="s">
        <v>83</v>
      </c>
      <c r="AJ190" s="343" t="s">
        <v>852</v>
      </c>
      <c r="AK190" s="344" t="s">
        <v>1336</v>
      </c>
      <c r="AL190" s="340" t="s">
        <v>103</v>
      </c>
      <c r="AM190" s="328"/>
      <c r="AN190" s="328"/>
      <c r="AO190" s="328"/>
      <c r="AP190" s="328"/>
      <c r="AQ190" s="328"/>
      <c r="AR190" s="451"/>
      <c r="AS190" s="372" t="s">
        <v>88</v>
      </c>
      <c r="AT190" s="345"/>
      <c r="AU190" s="345"/>
      <c r="AV190" s="345"/>
      <c r="AW190" s="345"/>
      <c r="AX190" s="345"/>
      <c r="AY190" s="345"/>
      <c r="AZ190" s="345"/>
      <c r="BA190" s="345"/>
      <c r="BB190" s="345"/>
      <c r="BC190" s="345"/>
      <c r="BD190" s="345"/>
      <c r="BE190" s="345"/>
      <c r="BF190" s="345"/>
      <c r="BG190" s="345"/>
      <c r="BH190" s="345"/>
      <c r="BI190" s="345"/>
      <c r="BJ190" s="364">
        <f>COUNTIF(AT190:BI190,"*OP*")</f>
        <v>0</v>
      </c>
      <c r="BK190" s="375" t="s">
        <v>1337</v>
      </c>
      <c r="BL190" s="328">
        <f>(COUNTIF(AT190:AV190,"*OK*")*3) + (COUNTIF(AW190:AY190,"*OK*")*2) + COUNTIF(AZ190:BB190,"*OK*")+COUNTIF(BK190:BK190,"SI")*0.5</f>
        <v>0</v>
      </c>
      <c r="BM190" s="328" t="str">
        <f>IF(BL190&lt;0.6,"Demasiado Riesgo",IF(BL190&lt;=5,"Riesgo Medio",IF(BL190&lt;=11,"Riesgo Bajo","Cliente Blindado")))</f>
        <v>Demasiado Riesgo</v>
      </c>
      <c r="BN190" s="328"/>
      <c r="BO190" s="328"/>
      <c r="BP190" s="328">
        <v>0</v>
      </c>
      <c r="BQ190" s="328"/>
      <c r="BR190" s="328"/>
      <c r="BS190" s="328"/>
      <c r="BT190" s="328"/>
      <c r="BU190" s="328"/>
      <c r="BV190" s="328"/>
      <c r="BW190" s="328"/>
      <c r="BX190" s="328"/>
      <c r="BY190" s="328"/>
      <c r="BZ190" s="328"/>
      <c r="CA190" s="328"/>
      <c r="CB190" s="328"/>
      <c r="CC190" s="328"/>
      <c r="CD190" s="328"/>
      <c r="CE190" s="328"/>
      <c r="CF190" s="328"/>
      <c r="CG190" s="328"/>
      <c r="CH190" s="328"/>
      <c r="CI190" s="328"/>
      <c r="CJ190" s="328"/>
      <c r="CK190" s="328"/>
      <c r="CL190" s="328">
        <f>COUNTIF(AT190:BH190,"*OK*")</f>
        <v>0</v>
      </c>
      <c r="CM190" s="328"/>
      <c r="CN190" s="328">
        <f>COUNTIF(AT190:BH190,"*OP*")</f>
        <v>0</v>
      </c>
      <c r="CP190" s="425"/>
    </row>
    <row r="191" spans="1:94" ht="15" customHeight="1">
      <c r="A191" s="835">
        <v>36040</v>
      </c>
      <c r="B191" s="560" t="s">
        <v>1338</v>
      </c>
      <c r="C191" s="329">
        <f t="shared" si="4"/>
        <v>251.10379999999998</v>
      </c>
      <c r="D191" s="352">
        <f>COUNTIF(AT191:BH191,"*OK*")</f>
        <v>0</v>
      </c>
      <c r="E191" s="397" t="s">
        <v>439</v>
      </c>
      <c r="F191" s="496" t="s">
        <v>1339</v>
      </c>
      <c r="G191" s="351"/>
      <c r="H191" s="650">
        <f>IF(LEN(TRIM($G191&amp;""))=0, $C191, SUMIF($G$3:$G$561, TRIM($G191), $C$3:$C$561))</f>
        <v>251.10379999999998</v>
      </c>
      <c r="I191" s="353" t="s">
        <v>562</v>
      </c>
      <c r="J191" s="351"/>
      <c r="K191" s="349"/>
      <c r="L191" s="349"/>
      <c r="M191" s="553"/>
      <c r="N191" s="332" t="s">
        <v>817</v>
      </c>
      <c r="O191" s="541" t="s">
        <v>1340</v>
      </c>
      <c r="P191" s="541" t="s">
        <v>1341</v>
      </c>
      <c r="Q191" s="541" t="s">
        <v>1342</v>
      </c>
      <c r="R191" s="332"/>
      <c r="S191" s="352" t="s">
        <v>860</v>
      </c>
      <c r="T191" s="397"/>
      <c r="U191" s="354" t="s">
        <v>82</v>
      </c>
      <c r="V191" s="355"/>
      <c r="W191" s="355">
        <v>283.95999999999998</v>
      </c>
      <c r="X191" s="355">
        <v>204.34</v>
      </c>
      <c r="Y191" s="356">
        <v>208.06</v>
      </c>
      <c r="Z191" s="337">
        <v>213.75299999999999</v>
      </c>
      <c r="AA191" s="367">
        <v>225.69</v>
      </c>
      <c r="AB191" s="367">
        <v>230.4785</v>
      </c>
      <c r="AC191" s="636">
        <v>228.8477</v>
      </c>
      <c r="AD191" s="367">
        <v>251.10379999999998</v>
      </c>
      <c r="AE191" s="357">
        <v>79</v>
      </c>
      <c r="AF191" s="358">
        <v>100</v>
      </c>
      <c r="AG191" s="354"/>
      <c r="AH191" s="359"/>
      <c r="AI191" s="427" t="s">
        <v>83</v>
      </c>
      <c r="AJ191" s="361" t="s">
        <v>396</v>
      </c>
      <c r="AK191" s="362" t="s">
        <v>1343</v>
      </c>
      <c r="AL191" s="358" t="s">
        <v>103</v>
      </c>
      <c r="AM191" s="349"/>
      <c r="AN191" s="349"/>
      <c r="AO191" s="349"/>
      <c r="AP191" s="349"/>
      <c r="AQ191" s="349"/>
      <c r="AR191" s="453"/>
      <c r="AS191" s="371" t="s">
        <v>103</v>
      </c>
      <c r="AT191" s="345"/>
      <c r="AU191" s="345"/>
      <c r="AV191" s="345" t="s">
        <v>307</v>
      </c>
      <c r="AW191" s="345"/>
      <c r="AX191" s="345"/>
      <c r="AY191" s="345"/>
      <c r="AZ191" s="345"/>
      <c r="BA191" s="345"/>
      <c r="BB191" s="345"/>
      <c r="BC191" s="345"/>
      <c r="BD191" s="345"/>
      <c r="BE191" s="345"/>
      <c r="BF191" s="345"/>
      <c r="BG191" s="345"/>
      <c r="BH191" s="345"/>
      <c r="BI191" s="345"/>
      <c r="BJ191" s="364">
        <f>COUNTIF(AT191:BI191,"*OP*")</f>
        <v>1</v>
      </c>
      <c r="BK191" s="363" t="s">
        <v>103</v>
      </c>
      <c r="BL191" s="349">
        <f>(COUNTIF(AT191:AV191,"*OK*")*3) + (COUNTIF(AW191:AY191,"*OK*")*2) + COUNTIF(AZ191:BB191,"*OK*")+COUNTIF(BK191:BK191,"SI")*0.5</f>
        <v>0</v>
      </c>
      <c r="BM191" s="349" t="str">
        <f>IF(BL191&lt;0.6,"Demasiado Riesgo",IF(BL191&lt;=5,"Riesgo Medio",IF(BL191&lt;=11,"Riesgo Bajo","Cliente Blindado")))</f>
        <v>Demasiado Riesgo</v>
      </c>
      <c r="BN191" s="349"/>
      <c r="BO191" s="349"/>
      <c r="BP191" s="349">
        <v>0</v>
      </c>
      <c r="BQ191" s="349"/>
      <c r="BR191" s="349"/>
      <c r="BS191" s="349"/>
      <c r="BT191" s="349"/>
      <c r="BU191" s="349"/>
      <c r="BV191" s="349"/>
      <c r="BW191" s="349"/>
      <c r="BX191" s="349"/>
      <c r="BY191" s="349"/>
      <c r="BZ191" s="349"/>
      <c r="CA191" s="349"/>
      <c r="CB191" s="349"/>
      <c r="CC191" s="349"/>
      <c r="CD191" s="349"/>
      <c r="CE191" s="349"/>
      <c r="CF191" s="349"/>
      <c r="CG191" s="349"/>
      <c r="CH191" s="349"/>
      <c r="CI191" s="349"/>
      <c r="CJ191" s="349"/>
      <c r="CK191" s="349"/>
      <c r="CL191" s="349">
        <f>COUNTIF(AT191:BH191,"*OK*")</f>
        <v>0</v>
      </c>
      <c r="CM191" s="349"/>
      <c r="CN191" s="349">
        <f>COUNTIF(AT191:BH191,"*OP*")</f>
        <v>1</v>
      </c>
    </row>
    <row r="192" spans="1:94" ht="15" customHeight="1">
      <c r="A192" s="835">
        <v>28517</v>
      </c>
      <c r="B192" s="560" t="s">
        <v>1344</v>
      </c>
      <c r="C192" s="329">
        <f t="shared" si="4"/>
        <v>214.4041</v>
      </c>
      <c r="D192" s="352">
        <f>COUNTIF(AT192:BH192,"*OK*")</f>
        <v>0</v>
      </c>
      <c r="E192" s="351" t="s">
        <v>439</v>
      </c>
      <c r="F192" s="351" t="s">
        <v>1345</v>
      </c>
      <c r="G192" s="351"/>
      <c r="H192" s="650">
        <f>IF(LEN(TRIM($G192&amp;""))=0, $C192, SUMIF($G$3:$G$561, TRIM($G192), $C$3:$C$561))</f>
        <v>214.4041</v>
      </c>
      <c r="I192" s="413" t="s">
        <v>562</v>
      </c>
      <c r="J192" s="351"/>
      <c r="K192" s="349"/>
      <c r="L192" s="349" t="str">
        <f>HYPERLINK("https://crm.zoho.com/crm/org685875245/tab/Accounts/3525045000403780168","https://crm.zoho.com/crm/org685875245/tab/Accounts/3525045000403780168")</f>
        <v>https://crm.zoho.com/crm/org685875245/tab/Accounts/3525045000403780168</v>
      </c>
      <c r="M192" s="553" t="s">
        <v>96</v>
      </c>
      <c r="N192" s="352"/>
      <c r="O192" s="540" t="s">
        <v>1346</v>
      </c>
      <c r="P192" s="540" t="s">
        <v>1347</v>
      </c>
      <c r="Q192" s="540" t="s">
        <v>1348</v>
      </c>
      <c r="R192" s="352"/>
      <c r="S192" s="352"/>
      <c r="T192" s="351"/>
      <c r="U192" s="354" t="s">
        <v>82</v>
      </c>
      <c r="V192" s="355">
        <v>242.31</v>
      </c>
      <c r="W192" s="355">
        <v>239.03</v>
      </c>
      <c r="X192" s="355">
        <v>222.87</v>
      </c>
      <c r="Y192" s="356">
        <v>230.47</v>
      </c>
      <c r="Z192" s="337">
        <v>233.53970000000001</v>
      </c>
      <c r="AA192" s="338">
        <v>269.12</v>
      </c>
      <c r="AB192" s="338">
        <v>271.38839999999999</v>
      </c>
      <c r="AC192" s="634">
        <v>227.9675</v>
      </c>
      <c r="AD192" s="338">
        <v>214.4041</v>
      </c>
      <c r="AE192" s="357">
        <v>83</v>
      </c>
      <c r="AF192" s="358">
        <v>100</v>
      </c>
      <c r="AG192" s="354"/>
      <c r="AH192" s="359"/>
      <c r="AI192" s="427" t="s">
        <v>83</v>
      </c>
      <c r="AJ192" s="361" t="s">
        <v>574</v>
      </c>
      <c r="AK192" s="362" t="s">
        <v>1349</v>
      </c>
      <c r="AL192" s="358" t="s">
        <v>103</v>
      </c>
      <c r="AM192" s="349"/>
      <c r="AN192" s="349"/>
      <c r="AO192" s="349"/>
      <c r="AP192" s="349"/>
      <c r="AQ192" s="349"/>
      <c r="AR192" s="453"/>
      <c r="AS192" s="371" t="s">
        <v>88</v>
      </c>
      <c r="AT192" s="345"/>
      <c r="AU192" s="345"/>
      <c r="AV192" s="345"/>
      <c r="AW192" s="345"/>
      <c r="AX192" s="345"/>
      <c r="AY192" s="345"/>
      <c r="AZ192" s="345"/>
      <c r="BA192" s="345"/>
      <c r="BB192" s="345"/>
      <c r="BC192" s="345"/>
      <c r="BD192" s="345"/>
      <c r="BE192" s="345"/>
      <c r="BF192" s="345"/>
      <c r="BG192" s="345"/>
      <c r="BH192" s="345"/>
      <c r="BI192" s="345"/>
      <c r="BJ192" s="364">
        <f>COUNTIF(AT192:BI192,"*OP*")</f>
        <v>0</v>
      </c>
      <c r="BK192" s="363" t="s">
        <v>89</v>
      </c>
      <c r="BL192" s="349">
        <f>(COUNTIF(AT192:AV192,"*OK*")*3) + (COUNTIF(AW192:AY192,"*OK*")*2) + COUNTIF(AZ192:BB192,"*OK*")+COUNTIF(BK192:BK192,"SI")*0.5</f>
        <v>0</v>
      </c>
      <c r="BM192" s="349" t="str">
        <f>IF(BL192&lt;0.6,"Demasiado Riesgo",IF(BL192&lt;=5,"Riesgo Medio",IF(BL192&lt;=11,"Riesgo Bajo","Cliente Blindado")))</f>
        <v>Demasiado Riesgo</v>
      </c>
      <c r="BN192" s="349"/>
      <c r="BO192" s="328"/>
      <c r="BP192" s="328">
        <v>0</v>
      </c>
      <c r="BQ192" s="328"/>
      <c r="BR192" s="328"/>
      <c r="BS192" s="328"/>
      <c r="BT192" s="328"/>
      <c r="BU192" s="328"/>
      <c r="BV192" s="328"/>
      <c r="BW192" s="328"/>
      <c r="BX192" s="328"/>
      <c r="BY192" s="328"/>
      <c r="BZ192" s="328"/>
      <c r="CA192" s="328"/>
      <c r="CB192" s="328"/>
      <c r="CC192" s="328"/>
      <c r="CD192" s="328"/>
      <c r="CE192" s="328"/>
      <c r="CF192" s="328"/>
      <c r="CG192" s="328"/>
      <c r="CH192" s="328"/>
      <c r="CI192" s="328"/>
      <c r="CJ192" s="328"/>
      <c r="CK192" s="328"/>
      <c r="CL192" s="328">
        <f>COUNTIF(AT192:BH192,"*OK*")</f>
        <v>0</v>
      </c>
      <c r="CM192" s="328"/>
      <c r="CN192" s="328">
        <f>COUNTIF(AT192:BH192,"*OP*")</f>
        <v>0</v>
      </c>
      <c r="CO192" s="285"/>
    </row>
    <row r="193" spans="1:94" ht="15" customHeight="1">
      <c r="A193" s="835">
        <v>21105</v>
      </c>
      <c r="B193" s="560" t="s">
        <v>1350</v>
      </c>
      <c r="C193" s="329">
        <f t="shared" si="4"/>
        <v>264.6739</v>
      </c>
      <c r="D193" s="352">
        <f>COUNTIF(AT193:BH193,"*OK*")</f>
        <v>0</v>
      </c>
      <c r="E193" s="351" t="s">
        <v>93</v>
      </c>
      <c r="F193" s="351" t="s">
        <v>1351</v>
      </c>
      <c r="G193" s="351"/>
      <c r="H193" s="650">
        <f>IF(LEN(TRIM($G193&amp;""))=0, $C193, SUMIF($G$3:$G$561, TRIM($G193), $C$3:$C$561))</f>
        <v>264.6739</v>
      </c>
      <c r="I193" s="353" t="s">
        <v>562</v>
      </c>
      <c r="J193" s="351"/>
      <c r="K193" s="349"/>
      <c r="L193" s="349" t="str">
        <f>HYPERLINK("https://crm.zoho.com/crm/org685875245/tab/Accounts/3525045000217841487","https://crm.zoho.com/crm/org685875245/tab/Accounts/3525045000217841487")</f>
        <v>https://crm.zoho.com/crm/org685875245/tab/Accounts/3525045000217841487</v>
      </c>
      <c r="M193" s="359" t="s">
        <v>77</v>
      </c>
      <c r="N193" s="359"/>
      <c r="O193" s="545" t="s">
        <v>1352</v>
      </c>
      <c r="P193" s="545" t="s">
        <v>1353</v>
      </c>
      <c r="Q193" s="545" t="s">
        <v>1354</v>
      </c>
      <c r="R193" s="359"/>
      <c r="S193" s="359"/>
      <c r="T193" s="351"/>
      <c r="U193" s="362" t="s">
        <v>1355</v>
      </c>
      <c r="V193" s="355">
        <v>190.19</v>
      </c>
      <c r="W193" s="355">
        <v>195.15</v>
      </c>
      <c r="X193" s="355">
        <v>217.95</v>
      </c>
      <c r="Y193" s="356">
        <v>232.02</v>
      </c>
      <c r="Z193" s="337">
        <v>229.78559999999999</v>
      </c>
      <c r="AA193" s="365">
        <v>194.51</v>
      </c>
      <c r="AB193" s="365">
        <v>216.3801</v>
      </c>
      <c r="AC193" s="635">
        <v>222.4059</v>
      </c>
      <c r="AD193" s="365">
        <v>264.6739</v>
      </c>
      <c r="AE193" s="357">
        <v>85</v>
      </c>
      <c r="AF193" s="358">
        <v>300</v>
      </c>
      <c r="AG193" s="354"/>
      <c r="AH193" s="359"/>
      <c r="AI193" s="427" t="s">
        <v>83</v>
      </c>
      <c r="AJ193" s="361" t="s">
        <v>113</v>
      </c>
      <c r="AK193" s="362" t="s">
        <v>1356</v>
      </c>
      <c r="AL193" s="358" t="s">
        <v>103</v>
      </c>
      <c r="AM193" s="349"/>
      <c r="AN193" s="349" t="s">
        <v>152</v>
      </c>
      <c r="AO193" s="349"/>
      <c r="AP193" s="349"/>
      <c r="AQ193" s="349"/>
      <c r="AR193" s="453"/>
      <c r="AS193" s="371"/>
      <c r="AT193" s="345"/>
      <c r="AU193" s="345" t="s">
        <v>1357</v>
      </c>
      <c r="AV193" s="345"/>
      <c r="AW193" s="345"/>
      <c r="AX193" s="345"/>
      <c r="AY193" s="345"/>
      <c r="AZ193" s="345" t="s">
        <v>89</v>
      </c>
      <c r="BA193" s="345"/>
      <c r="BB193" s="345"/>
      <c r="BC193" s="345"/>
      <c r="BD193" s="345"/>
      <c r="BE193" s="345"/>
      <c r="BF193" s="345"/>
      <c r="BG193" s="345"/>
      <c r="BH193" s="345"/>
      <c r="BI193" s="345"/>
      <c r="BJ193" s="364">
        <f>COUNTIF(AT193:BI193,"*OP*")</f>
        <v>1</v>
      </c>
      <c r="BK193" s="363" t="s">
        <v>103</v>
      </c>
      <c r="BL193" s="349">
        <f>(COUNTIF(AT193:AV193,"*OK*")*3) + (COUNTIF(AW193:AY193,"*OK*")*2) + COUNTIF(AZ193:BB193,"*OK*")+COUNTIF(BK193:BK193,"SI")*0.5</f>
        <v>0</v>
      </c>
      <c r="BM193" s="349" t="str">
        <f>IF(BL193&lt;0.6,"Demasiado Riesgo",IF(BL193&lt;=5,"Riesgo Medio",IF(BL193&lt;=11,"Riesgo Bajo","Cliente Blindado")))</f>
        <v>Demasiado Riesgo</v>
      </c>
      <c r="BN193" s="349"/>
      <c r="BO193" s="349"/>
      <c r="BP193" s="349">
        <v>0</v>
      </c>
      <c r="BQ193" s="349"/>
      <c r="BR193" s="349"/>
      <c r="BS193" s="349"/>
      <c r="BT193" s="349"/>
      <c r="BU193" s="349"/>
      <c r="BV193" s="349"/>
      <c r="BW193" s="349"/>
      <c r="BX193" s="349"/>
      <c r="BY193" s="349"/>
      <c r="BZ193" s="349"/>
      <c r="CA193" s="349"/>
      <c r="CB193" s="349"/>
      <c r="CC193" s="349"/>
      <c r="CD193" s="349"/>
      <c r="CE193" s="349"/>
      <c r="CF193" s="349"/>
      <c r="CG193" s="349"/>
      <c r="CH193" s="349"/>
      <c r="CI193" s="349"/>
      <c r="CJ193" s="349"/>
      <c r="CK193" s="349"/>
      <c r="CL193" s="349">
        <f>COUNTIF(AT193:BH193,"*OK*")</f>
        <v>0</v>
      </c>
      <c r="CM193" s="349"/>
      <c r="CN193" s="349">
        <f>COUNTIF(AT193:BH193,"*OP*")</f>
        <v>1</v>
      </c>
    </row>
    <row r="194" spans="1:94" ht="15" customHeight="1">
      <c r="A194" s="835">
        <v>36134</v>
      </c>
      <c r="B194" s="560" t="s">
        <v>1358</v>
      </c>
      <c r="C194" s="329">
        <f t="shared" si="4"/>
        <v>224.94480000000001</v>
      </c>
      <c r="D194" s="352">
        <f>COUNTIF(AT194:BH194,"*OK*")</f>
        <v>0</v>
      </c>
      <c r="E194" s="351" t="s">
        <v>439</v>
      </c>
      <c r="F194" s="351" t="s">
        <v>1359</v>
      </c>
      <c r="G194" s="351"/>
      <c r="H194" s="650">
        <f>IF(LEN(TRIM($G194&amp;""))=0, $C194, SUMIF($G$3:$G$561, TRIM($G194), $C$3:$C$561))</f>
        <v>224.94480000000001</v>
      </c>
      <c r="I194" s="353" t="s">
        <v>562</v>
      </c>
      <c r="J194" s="351"/>
      <c r="K194" s="349"/>
      <c r="L194" s="349"/>
      <c r="M194" s="553"/>
      <c r="N194" s="352"/>
      <c r="O194" s="540" t="s">
        <v>1360</v>
      </c>
      <c r="P194" s="540" t="s">
        <v>1361</v>
      </c>
      <c r="Q194" s="540" t="s">
        <v>1362</v>
      </c>
      <c r="R194" s="352" t="s">
        <v>160</v>
      </c>
      <c r="S194" s="352"/>
      <c r="T194" s="351"/>
      <c r="U194" s="362" t="s">
        <v>82</v>
      </c>
      <c r="V194" s="355"/>
      <c r="W194" s="355">
        <v>130.38999999999999</v>
      </c>
      <c r="X194" s="355">
        <v>143.59</v>
      </c>
      <c r="Y194" s="356">
        <v>151.06</v>
      </c>
      <c r="Z194" s="337">
        <v>164.64750000000001</v>
      </c>
      <c r="AA194" s="367">
        <v>171.41</v>
      </c>
      <c r="AB194" s="367">
        <v>161.3349</v>
      </c>
      <c r="AC194" s="636">
        <v>220.04589999999999</v>
      </c>
      <c r="AD194" s="367">
        <v>224.94480000000001</v>
      </c>
      <c r="AE194" s="357">
        <v>60</v>
      </c>
      <c r="AF194" s="358">
        <v>100</v>
      </c>
      <c r="AG194" s="354"/>
      <c r="AH194" s="359"/>
      <c r="AI194" s="427" t="s">
        <v>83</v>
      </c>
      <c r="AJ194" s="361" t="s">
        <v>143</v>
      </c>
      <c r="AK194" s="362" t="s">
        <v>1363</v>
      </c>
      <c r="AL194" s="358" t="s">
        <v>103</v>
      </c>
      <c r="AM194" s="349"/>
      <c r="AN194" s="349"/>
      <c r="AO194" s="349"/>
      <c r="AP194" s="349"/>
      <c r="AQ194" s="349"/>
      <c r="AR194" s="453"/>
      <c r="AS194" s="371" t="s">
        <v>103</v>
      </c>
      <c r="AT194" s="345"/>
      <c r="AU194" s="345"/>
      <c r="AV194" s="345"/>
      <c r="AW194" s="345"/>
      <c r="AX194" s="345"/>
      <c r="AY194" s="345"/>
      <c r="AZ194" s="345"/>
      <c r="BA194" s="345"/>
      <c r="BB194" s="345"/>
      <c r="BC194" s="345"/>
      <c r="BD194" s="345"/>
      <c r="BE194" s="345"/>
      <c r="BF194" s="345"/>
      <c r="BG194" s="345"/>
      <c r="BH194" s="345"/>
      <c r="BI194" s="345"/>
      <c r="BJ194" s="364">
        <f>COUNTIF(AT194:BI194,"*OP*")</f>
        <v>0</v>
      </c>
      <c r="BK194" s="363" t="s">
        <v>103</v>
      </c>
      <c r="BL194" s="349">
        <f>(COUNTIF(AT194:AV194,"*OK*")*3) + (COUNTIF(AW194:AY194,"*OK*")*2) + COUNTIF(AZ194:BB194,"*OK*")+COUNTIF(BK194:BK194,"SI")*0.5</f>
        <v>0</v>
      </c>
      <c r="BM194" s="349" t="str">
        <f>IF(BL194&lt;0.6,"Demasiado Riesgo",IF(BL194&lt;=5,"Riesgo Medio",IF(BL194&lt;=11,"Riesgo Bajo","Cliente Blindado")))</f>
        <v>Demasiado Riesgo</v>
      </c>
      <c r="BN194" s="349"/>
      <c r="BO194" s="349"/>
      <c r="BP194" s="349">
        <v>0</v>
      </c>
      <c r="BQ194" s="349"/>
      <c r="BR194" s="349"/>
      <c r="BS194" s="349"/>
      <c r="BT194" s="349"/>
      <c r="BU194" s="349"/>
      <c r="BV194" s="349"/>
      <c r="BW194" s="349"/>
      <c r="BX194" s="349"/>
      <c r="BY194" s="349"/>
      <c r="BZ194" s="349"/>
      <c r="CA194" s="349"/>
      <c r="CB194" s="349"/>
      <c r="CC194" s="349"/>
      <c r="CD194" s="349"/>
      <c r="CE194" s="349"/>
      <c r="CF194" s="349"/>
      <c r="CG194" s="349"/>
      <c r="CH194" s="349"/>
      <c r="CI194" s="349"/>
      <c r="CJ194" s="349"/>
      <c r="CK194" s="349"/>
      <c r="CL194" s="349">
        <f>COUNTIF(AT194:BH194,"*OK*")</f>
        <v>0</v>
      </c>
      <c r="CM194" s="349"/>
      <c r="CN194" s="349">
        <f>COUNTIF(AT194:BH194,"*OP*")</f>
        <v>0</v>
      </c>
    </row>
    <row r="195" spans="1:94" ht="15" customHeight="1">
      <c r="A195" s="834">
        <v>6055</v>
      </c>
      <c r="B195" s="560" t="s">
        <v>1364</v>
      </c>
      <c r="C195" s="329">
        <f t="shared" si="4"/>
        <v>206.14510000000001</v>
      </c>
      <c r="D195" s="332">
        <f>COUNTIF(AT195:BH195,"*OK*")</f>
        <v>1</v>
      </c>
      <c r="E195" s="331" t="s">
        <v>93</v>
      </c>
      <c r="F195" s="331" t="s">
        <v>1365</v>
      </c>
      <c r="G195" s="331"/>
      <c r="H195" s="650">
        <f>IF(LEN(TRIM($G195&amp;""))=0, $C195, SUMIF($G$3:$G$561, TRIM($G195), $C$3:$C$561))</f>
        <v>206.14510000000001</v>
      </c>
      <c r="I195" s="333" t="s">
        <v>562</v>
      </c>
      <c r="J195" s="331"/>
      <c r="K195" s="328"/>
      <c r="L195" s="328" t="str">
        <f>HYPERLINK("https://crm.zoho.com/crm/org685875245/tab/Accounts/3525045000060805042","https://crm.zoho.com/crm/org685875245/tab/Accounts/3525045000060805042")</f>
        <v>https://crm.zoho.com/crm/org685875245/tab/Accounts/3525045000060805042</v>
      </c>
      <c r="M195" s="341" t="s">
        <v>96</v>
      </c>
      <c r="N195" s="341"/>
      <c r="O195" s="548"/>
      <c r="P195" s="548"/>
      <c r="Q195" s="548"/>
      <c r="R195" s="341"/>
      <c r="S195" s="341"/>
      <c r="T195" s="331"/>
      <c r="U195" s="344" t="s">
        <v>315</v>
      </c>
      <c r="V195" s="335">
        <v>216.67</v>
      </c>
      <c r="W195" s="335">
        <v>216.47</v>
      </c>
      <c r="X195" s="335">
        <v>206.29</v>
      </c>
      <c r="Y195" s="336">
        <v>212.93</v>
      </c>
      <c r="Z195" s="337">
        <v>215.79519999999999</v>
      </c>
      <c r="AA195" s="347">
        <v>213.43</v>
      </c>
      <c r="AB195" s="347">
        <v>215.2294</v>
      </c>
      <c r="AC195" s="638">
        <v>219.18620000000001</v>
      </c>
      <c r="AD195" s="347">
        <v>206.14510000000001</v>
      </c>
      <c r="AE195" s="339">
        <v>206</v>
      </c>
      <c r="AF195" s="340">
        <v>300</v>
      </c>
      <c r="AG195" s="334"/>
      <c r="AH195" s="341"/>
      <c r="AI195" s="343" t="s">
        <v>112</v>
      </c>
      <c r="AJ195" s="343" t="s">
        <v>161</v>
      </c>
      <c r="AK195" s="344" t="s">
        <v>1366</v>
      </c>
      <c r="AL195" s="340" t="s">
        <v>103</v>
      </c>
      <c r="AM195" s="328"/>
      <c r="AN195" s="328" t="s">
        <v>152</v>
      </c>
      <c r="AO195" s="328"/>
      <c r="AP195" s="328"/>
      <c r="AQ195" s="328"/>
      <c r="AR195" s="451"/>
      <c r="AS195" s="372"/>
      <c r="AT195" s="345"/>
      <c r="AU195" s="345"/>
      <c r="AV195" s="345"/>
      <c r="AW195" s="345"/>
      <c r="AX195" s="345"/>
      <c r="AY195" s="345"/>
      <c r="AZ195" s="345"/>
      <c r="BA195" s="345"/>
      <c r="BB195" s="345"/>
      <c r="BC195" s="345"/>
      <c r="BD195" s="345"/>
      <c r="BE195" s="345"/>
      <c r="BF195" s="345"/>
      <c r="BG195" s="345"/>
      <c r="BH195" s="345" t="s">
        <v>644</v>
      </c>
      <c r="BI195" s="345"/>
      <c r="BJ195" s="364">
        <f>COUNTIF(AT195:BI195,"*OP*")</f>
        <v>0</v>
      </c>
      <c r="BK195" s="375" t="s">
        <v>103</v>
      </c>
      <c r="BL195" s="328">
        <f>(COUNTIF(AT195:AV195,"*OK*")*3) + (COUNTIF(AW195:AY195,"*OK*")*2) + COUNTIF(AZ195:BB195,"*OK*")+COUNTIF(BK195:BK195,"SI")*0.5</f>
        <v>0</v>
      </c>
      <c r="BM195" s="328" t="str">
        <f>IF(BL195&lt;0.6,"Demasiado Riesgo",IF(BL195&lt;=5,"Riesgo Medio",IF(BL195&lt;=11,"Riesgo Bajo","Cliente Blindado")))</f>
        <v>Demasiado Riesgo</v>
      </c>
      <c r="BN195" s="328"/>
      <c r="BO195" s="328"/>
      <c r="BP195" s="328">
        <v>0</v>
      </c>
      <c r="BQ195" s="328"/>
      <c r="BR195" s="328"/>
      <c r="BS195" s="328"/>
      <c r="BT195" s="328"/>
      <c r="BU195" s="328"/>
      <c r="BV195" s="328"/>
      <c r="BW195" s="328"/>
      <c r="BX195" s="328"/>
      <c r="BY195" s="328"/>
      <c r="BZ195" s="328"/>
      <c r="CA195" s="328"/>
      <c r="CB195" s="328"/>
      <c r="CC195" s="328"/>
      <c r="CD195" s="328"/>
      <c r="CE195" s="328"/>
      <c r="CF195" s="328"/>
      <c r="CG195" s="328"/>
      <c r="CH195" s="328"/>
      <c r="CI195" s="328"/>
      <c r="CJ195" s="328"/>
      <c r="CK195" s="328"/>
      <c r="CL195" s="328">
        <f>COUNTIF(AT195:BH195,"*OK*")</f>
        <v>1</v>
      </c>
      <c r="CM195" s="328"/>
      <c r="CN195" s="328">
        <f>COUNTIF(AT195:BH195,"*OP*")</f>
        <v>0</v>
      </c>
    </row>
    <row r="196" spans="1:94" ht="15" customHeight="1">
      <c r="A196" s="834">
        <v>37083</v>
      </c>
      <c r="B196" s="560" t="s">
        <v>1367</v>
      </c>
      <c r="C196" s="329">
        <f t="shared" ref="C196:C259" si="5">AD196</f>
        <v>204.1943</v>
      </c>
      <c r="D196" s="332">
        <f>COUNTIF(AT196:BH196,"*OK*")</f>
        <v>1</v>
      </c>
      <c r="E196" s="397" t="s">
        <v>439</v>
      </c>
      <c r="F196" s="497" t="s">
        <v>1368</v>
      </c>
      <c r="G196" s="331"/>
      <c r="H196" s="650">
        <f>IF(LEN(TRIM($G196&amp;""))=0, $C196, SUMIF($G$3:$G$561, TRIM($G196), $C$3:$C$561))</f>
        <v>204.1943</v>
      </c>
      <c r="I196" s="333" t="s">
        <v>562</v>
      </c>
      <c r="J196" s="331"/>
      <c r="K196" s="328"/>
      <c r="L196" s="328"/>
      <c r="M196" s="391"/>
      <c r="N196" s="332" t="s">
        <v>817</v>
      </c>
      <c r="O196" s="541" t="s">
        <v>1369</v>
      </c>
      <c r="P196" s="541" t="s">
        <v>1370</v>
      </c>
      <c r="Q196" s="541" t="s">
        <v>1371</v>
      </c>
      <c r="R196" s="332" t="s">
        <v>1372</v>
      </c>
      <c r="S196" s="352" t="s">
        <v>860</v>
      </c>
      <c r="T196" s="397"/>
      <c r="U196" s="334" t="s">
        <v>394</v>
      </c>
      <c r="V196" s="335"/>
      <c r="W196" s="335"/>
      <c r="X196" s="335">
        <v>215.38</v>
      </c>
      <c r="Y196" s="336">
        <v>228.02</v>
      </c>
      <c r="Z196" s="337">
        <v>254.19280000000001</v>
      </c>
      <c r="AA196" s="347">
        <v>222.84</v>
      </c>
      <c r="AB196" s="347">
        <v>224.7165</v>
      </c>
      <c r="AC196" s="638">
        <v>217.11199999999999</v>
      </c>
      <c r="AD196" s="347">
        <v>204.1943</v>
      </c>
      <c r="AE196" s="339">
        <v>25</v>
      </c>
      <c r="AF196" s="340">
        <v>200</v>
      </c>
      <c r="AG196" s="334"/>
      <c r="AH196" s="341"/>
      <c r="AI196" s="422" t="s">
        <v>83</v>
      </c>
      <c r="AJ196" s="343" t="s">
        <v>130</v>
      </c>
      <c r="AK196" s="344" t="s">
        <v>1373</v>
      </c>
      <c r="AL196" s="340" t="s">
        <v>103</v>
      </c>
      <c r="AM196" s="328"/>
      <c r="AN196" s="328"/>
      <c r="AO196" s="328"/>
      <c r="AP196" s="328"/>
      <c r="AQ196" s="328"/>
      <c r="AR196" s="451"/>
      <c r="AS196" s="372" t="s">
        <v>103</v>
      </c>
      <c r="AT196" s="345"/>
      <c r="AU196" s="345" t="s">
        <v>179</v>
      </c>
      <c r="AV196" s="421" t="s">
        <v>189</v>
      </c>
      <c r="AW196" s="345"/>
      <c r="AX196" s="345"/>
      <c r="AY196" s="345"/>
      <c r="AZ196" s="345"/>
      <c r="BA196" s="345"/>
      <c r="BB196" s="345"/>
      <c r="BC196" s="345"/>
      <c r="BD196" s="345"/>
      <c r="BE196" s="345"/>
      <c r="BF196" s="345"/>
      <c r="BG196" s="345"/>
      <c r="BH196" s="345"/>
      <c r="BI196" s="345"/>
      <c r="BJ196" s="364">
        <f>COUNTIF(AT196:BI196,"*OP*")</f>
        <v>1</v>
      </c>
      <c r="BK196" s="344" t="s">
        <v>103</v>
      </c>
      <c r="BL196" s="328">
        <f>(COUNTIF(AT196:AV196,"*OK*")*3) + (COUNTIF(AW196:AY196,"*OK*")*2) + COUNTIF(AZ196:BB196,"*OK*")+COUNTIF(BK196:BK196,"SI")*0.5</f>
        <v>3</v>
      </c>
      <c r="BM196" s="328" t="str">
        <f>IF(BL196&lt;0.6,"Demasiado Riesgo",IF(BL196&lt;=5,"Riesgo Medio",IF(BL196&lt;=11,"Riesgo Bajo","Cliente Blindado")))</f>
        <v>Riesgo Medio</v>
      </c>
      <c r="BN196" s="328"/>
      <c r="BO196" s="349"/>
      <c r="BP196" s="349"/>
      <c r="BQ196" s="349"/>
      <c r="BR196" s="349"/>
      <c r="BS196" s="349"/>
      <c r="BT196" s="349"/>
      <c r="BU196" s="349"/>
      <c r="BV196" s="349"/>
      <c r="BW196" s="349"/>
      <c r="BX196" s="349"/>
      <c r="BY196" s="349"/>
      <c r="BZ196" s="349"/>
      <c r="CA196" s="349"/>
      <c r="CB196" s="349"/>
      <c r="CC196" s="349"/>
      <c r="CD196" s="349"/>
      <c r="CE196" s="349"/>
      <c r="CF196" s="349"/>
      <c r="CG196" s="349"/>
      <c r="CH196" s="349"/>
      <c r="CI196" s="349"/>
      <c r="CJ196" s="349"/>
      <c r="CK196" s="349"/>
      <c r="CL196" s="349">
        <f>COUNTIF(AT196:BH196,"*OK*")</f>
        <v>1</v>
      </c>
    </row>
    <row r="197" spans="1:94" ht="15" customHeight="1">
      <c r="A197" s="834">
        <v>26038</v>
      </c>
      <c r="B197" s="560" t="s">
        <v>1374</v>
      </c>
      <c r="C197" s="329">
        <f t="shared" si="5"/>
        <v>201.24170000000001</v>
      </c>
      <c r="D197" s="332">
        <f>COUNTIF(AT197:BH197,"*OK*")</f>
        <v>0</v>
      </c>
      <c r="E197" s="331" t="s">
        <v>439</v>
      </c>
      <c r="F197" s="331" t="s">
        <v>1375</v>
      </c>
      <c r="G197" s="331"/>
      <c r="H197" s="650">
        <f>IF(LEN(TRIM($G197&amp;""))=0, $C197, SUMIF($G$3:$G$561, TRIM($G197), $C$3:$C$561))</f>
        <v>201.24170000000001</v>
      </c>
      <c r="I197" s="410" t="s">
        <v>562</v>
      </c>
      <c r="J197" s="331"/>
      <c r="K197" s="328"/>
      <c r="L197" s="328" t="str">
        <f>HYPERLINK("https://crm.zoho.com/crm/org685875245/tab/Accounts/3525045000349504159","https://crm.zoho.com/crm/org685875245/tab/Accounts/3525045000349504159")</f>
        <v>https://crm.zoho.com/crm/org685875245/tab/Accounts/3525045000349504159</v>
      </c>
      <c r="M197" s="391" t="s">
        <v>77</v>
      </c>
      <c r="N197" s="332"/>
      <c r="O197" s="541" t="s">
        <v>1376</v>
      </c>
      <c r="P197" s="541" t="s">
        <v>1377</v>
      </c>
      <c r="Q197" s="541" t="s">
        <v>1378</v>
      </c>
      <c r="R197" s="332"/>
      <c r="S197" s="332"/>
      <c r="T197" s="331"/>
      <c r="U197" s="334" t="s">
        <v>82</v>
      </c>
      <c r="V197" s="335">
        <v>205.87</v>
      </c>
      <c r="W197" s="335">
        <v>208.5</v>
      </c>
      <c r="X197" s="335">
        <v>209.44</v>
      </c>
      <c r="Y197" s="336">
        <v>207.87</v>
      </c>
      <c r="Z197" s="337">
        <v>205.0446</v>
      </c>
      <c r="AA197" s="367">
        <v>208.35</v>
      </c>
      <c r="AB197" s="367">
        <v>215.71289999999999</v>
      </c>
      <c r="AC197" s="636">
        <v>216.82560000000001</v>
      </c>
      <c r="AD197" s="367">
        <v>201.24170000000001</v>
      </c>
      <c r="AE197" s="339">
        <v>73</v>
      </c>
      <c r="AF197" s="340">
        <v>100</v>
      </c>
      <c r="AG197" s="334"/>
      <c r="AH197" s="341"/>
      <c r="AI197" s="422" t="s">
        <v>83</v>
      </c>
      <c r="AJ197" s="343" t="s">
        <v>852</v>
      </c>
      <c r="AK197" s="344" t="s">
        <v>1379</v>
      </c>
      <c r="AL197" s="340" t="s">
        <v>103</v>
      </c>
      <c r="AM197" s="328"/>
      <c r="AN197" s="328"/>
      <c r="AO197" s="328"/>
      <c r="AP197" s="328"/>
      <c r="AQ197" s="328"/>
      <c r="AR197" s="451"/>
      <c r="AS197" s="372" t="s">
        <v>103</v>
      </c>
      <c r="AT197" s="345"/>
      <c r="AU197" s="345"/>
      <c r="AV197" s="345" t="s">
        <v>1380</v>
      </c>
      <c r="AW197" s="345"/>
      <c r="AX197" s="345"/>
      <c r="AY197" s="345"/>
      <c r="AZ197" s="345"/>
      <c r="BA197" s="345"/>
      <c r="BB197" s="345"/>
      <c r="BC197" s="345"/>
      <c r="BD197" s="345"/>
      <c r="BE197" s="345"/>
      <c r="BF197" s="345"/>
      <c r="BG197" s="345"/>
      <c r="BH197" s="345"/>
      <c r="BI197" s="345"/>
      <c r="BJ197" s="346">
        <f>COUNTIF(AT197:BI197,"*OP*")</f>
        <v>0</v>
      </c>
      <c r="BK197" s="375" t="s">
        <v>89</v>
      </c>
      <c r="BL197" s="328">
        <f>(COUNTIF(AT197:AV197,"*OK*")*3) + (COUNTIF(AW197:AY197,"*OK*")*2) + COUNTIF(AZ197:BB197,"*OK*")+COUNTIF(BK197:BK197,"SI")*0.5</f>
        <v>0</v>
      </c>
      <c r="BM197" s="328" t="str">
        <f>IF(BL197&lt;0.6,"Demasiado Riesgo",IF(BL197&lt;=5,"Riesgo Medio",IF(BL197&lt;=11,"Riesgo Bajo","Cliente Blindado")))</f>
        <v>Demasiado Riesgo</v>
      </c>
      <c r="BN197" s="328"/>
      <c r="BO197" s="349"/>
      <c r="BP197" s="349">
        <v>0</v>
      </c>
      <c r="BQ197" s="349"/>
      <c r="BR197" s="349"/>
      <c r="BS197" s="349"/>
      <c r="BT197" s="349"/>
      <c r="BU197" s="349"/>
      <c r="BV197" s="349"/>
      <c r="BW197" s="349"/>
      <c r="BX197" s="349"/>
      <c r="BY197" s="349"/>
      <c r="BZ197" s="349"/>
      <c r="CA197" s="349"/>
      <c r="CB197" s="349"/>
      <c r="CC197" s="349"/>
      <c r="CD197" s="349"/>
      <c r="CE197" s="349"/>
      <c r="CF197" s="349"/>
      <c r="CG197" s="349"/>
      <c r="CH197" s="349"/>
      <c r="CI197" s="349"/>
      <c r="CJ197" s="349"/>
      <c r="CK197" s="349"/>
      <c r="CL197" s="349">
        <f>COUNTIF(AT197:BH197,"*OK*")</f>
        <v>0</v>
      </c>
      <c r="CM197" s="349"/>
      <c r="CN197" s="349">
        <f>COUNTIF(AT197:BH197,"*OP*")</f>
        <v>0</v>
      </c>
    </row>
    <row r="198" spans="1:94" ht="15" customHeight="1">
      <c r="A198" s="834"/>
      <c r="B198" s="560" t="s">
        <v>1381</v>
      </c>
      <c r="C198" s="329">
        <f t="shared" si="5"/>
        <v>201.899</v>
      </c>
      <c r="D198" s="332">
        <f>COUNTIF(AT198:BH198,"*OK*")</f>
        <v>0</v>
      </c>
      <c r="E198" s="397" t="s">
        <v>439</v>
      </c>
      <c r="F198" s="497" t="s">
        <v>1382</v>
      </c>
      <c r="G198" s="331"/>
      <c r="H198" s="650">
        <f>IF(LEN(TRIM($G198&amp;""))=0, $C198, SUMIF($G$3:$G$561, TRIM($G198), $C$3:$C$561))</f>
        <v>201.899</v>
      </c>
      <c r="I198" s="331" t="s">
        <v>562</v>
      </c>
      <c r="J198" s="331"/>
      <c r="K198" s="328"/>
      <c r="L198" s="328"/>
      <c r="M198" s="391" t="s">
        <v>787</v>
      </c>
      <c r="N198" s="332" t="s">
        <v>817</v>
      </c>
      <c r="O198" s="541"/>
      <c r="P198" s="541"/>
      <c r="Q198" s="541"/>
      <c r="R198" s="332"/>
      <c r="S198" s="352" t="s">
        <v>860</v>
      </c>
      <c r="T198" s="397"/>
      <c r="U198" s="334" t="s">
        <v>82</v>
      </c>
      <c r="V198" s="335">
        <v>185.26</v>
      </c>
      <c r="W198" s="335">
        <v>185.09</v>
      </c>
      <c r="X198" s="335">
        <v>192.42</v>
      </c>
      <c r="Y198" s="336">
        <v>208.54</v>
      </c>
      <c r="Z198" s="337">
        <v>224.76929999999999</v>
      </c>
      <c r="AA198" s="365">
        <v>222.3</v>
      </c>
      <c r="AB198" s="365">
        <v>204.10419999999999</v>
      </c>
      <c r="AC198" s="635">
        <v>214.67150000000001</v>
      </c>
      <c r="AD198" s="365">
        <v>201.899</v>
      </c>
      <c r="AE198" s="339"/>
      <c r="AF198" s="340">
        <v>100</v>
      </c>
      <c r="AG198" s="334"/>
      <c r="AH198" s="341"/>
      <c r="AI198" s="422" t="s">
        <v>83</v>
      </c>
      <c r="AJ198" s="343" t="s">
        <v>143</v>
      </c>
      <c r="AK198" s="344" t="s">
        <v>1383</v>
      </c>
      <c r="AL198" s="340" t="s">
        <v>103</v>
      </c>
      <c r="AM198" s="328"/>
      <c r="AN198" s="328"/>
      <c r="AO198" s="328"/>
      <c r="AP198" s="328"/>
      <c r="AQ198" s="328"/>
      <c r="AR198" s="451"/>
      <c r="AS198" s="372" t="s">
        <v>103</v>
      </c>
      <c r="AT198" s="345"/>
      <c r="AU198" s="345"/>
      <c r="AV198" s="345"/>
      <c r="AW198" s="345"/>
      <c r="AX198" s="345"/>
      <c r="AY198" s="345"/>
      <c r="AZ198" s="345"/>
      <c r="BA198" s="345"/>
      <c r="BB198" s="345"/>
      <c r="BC198" s="345"/>
      <c r="BD198" s="345"/>
      <c r="BE198" s="345"/>
      <c r="BF198" s="345"/>
      <c r="BG198" s="345"/>
      <c r="BH198" s="345"/>
      <c r="BI198" s="345"/>
      <c r="BJ198" s="364">
        <f>COUNTIF(AT198:BI198,"*OP*")</f>
        <v>0</v>
      </c>
      <c r="BK198" s="375" t="s">
        <v>103</v>
      </c>
      <c r="BL198" s="328">
        <f>(COUNTIF(AT198:AV198,"*OK*")*3) + (COUNTIF(AW198:AY198,"*OK*")*2) + COUNTIF(AZ198:BB198,"*OK*")+COUNTIF(BK198:BK198,"SI")*0.5</f>
        <v>0</v>
      </c>
      <c r="BM198" s="328" t="str">
        <f>IF(BL198&lt;0.6,"Demasiado Riesgo",IF(BL198&lt;=5,"Riesgo Medio",IF(BL198&lt;=11,"Riesgo Bajo","Cliente Blindado")))</f>
        <v>Demasiado Riesgo</v>
      </c>
      <c r="BN198" s="328"/>
      <c r="BO198" s="328"/>
      <c r="BP198" s="328">
        <v>0</v>
      </c>
      <c r="BQ198" s="328"/>
      <c r="BR198" s="328"/>
      <c r="BS198" s="328"/>
      <c r="BT198" s="328"/>
      <c r="BU198" s="328"/>
      <c r="BV198" s="328"/>
      <c r="BW198" s="328"/>
      <c r="BX198" s="328"/>
      <c r="BY198" s="328"/>
      <c r="BZ198" s="328"/>
      <c r="CA198" s="328"/>
      <c r="CB198" s="328"/>
      <c r="CC198" s="328"/>
      <c r="CD198" s="328"/>
      <c r="CE198" s="328"/>
      <c r="CF198" s="328"/>
      <c r="CG198" s="328"/>
      <c r="CH198" s="328"/>
      <c r="CI198" s="328"/>
      <c r="CJ198" s="328"/>
      <c r="CK198" s="328"/>
      <c r="CL198" s="328">
        <f>COUNTIF(AT198:BH198,"*OK*")</f>
        <v>0</v>
      </c>
      <c r="CM198" s="328"/>
      <c r="CN198" s="328">
        <f>COUNTIF(AT198:BH198,"*OP*")</f>
        <v>0</v>
      </c>
    </row>
    <row r="199" spans="1:94" ht="15" customHeight="1">
      <c r="A199" s="834">
        <v>34424</v>
      </c>
      <c r="B199" s="560" t="s">
        <v>1384</v>
      </c>
      <c r="C199" s="329">
        <f t="shared" si="5"/>
        <v>212.47239999999999</v>
      </c>
      <c r="D199" s="332">
        <f>COUNTIF(AT199:BH199,"*OK*")</f>
        <v>0</v>
      </c>
      <c r="E199" s="331" t="s">
        <v>439</v>
      </c>
      <c r="F199" s="331" t="s">
        <v>1385</v>
      </c>
      <c r="G199" s="331"/>
      <c r="H199" s="650">
        <f>IF(LEN(TRIM($G199&amp;""))=0, $C199, SUMIF($G$3:$G$561, TRIM($G199), $C$3:$C$561))</f>
        <v>212.47239999999999</v>
      </c>
      <c r="I199" s="333" t="s">
        <v>562</v>
      </c>
      <c r="J199" s="331"/>
      <c r="K199" s="328"/>
      <c r="L199" s="328" t="str">
        <f>HYPERLINK("https://crm.zoho.com/crm/org685875245/tab/Accounts/3525045000533201089","https://crm.zoho.com/crm/org685875245/tab/Accounts/3525045000533201089")</f>
        <v>https://crm.zoho.com/crm/org685875245/tab/Accounts/3525045000533201089</v>
      </c>
      <c r="M199" s="391" t="s">
        <v>167</v>
      </c>
      <c r="N199" s="332"/>
      <c r="O199" s="541" t="s">
        <v>1386</v>
      </c>
      <c r="P199" s="541" t="s">
        <v>1387</v>
      </c>
      <c r="Q199" s="541" t="s">
        <v>1388</v>
      </c>
      <c r="R199" s="332"/>
      <c r="S199" s="332"/>
      <c r="T199" s="331"/>
      <c r="U199" s="334" t="s">
        <v>902</v>
      </c>
      <c r="V199" s="335">
        <v>182.71</v>
      </c>
      <c r="W199" s="335">
        <v>173.85</v>
      </c>
      <c r="X199" s="335">
        <v>168.44</v>
      </c>
      <c r="Y199" s="336">
        <v>176.71</v>
      </c>
      <c r="Z199" s="337">
        <v>202.19880000000001</v>
      </c>
      <c r="AA199" s="367">
        <v>217.12</v>
      </c>
      <c r="AB199" s="367">
        <v>210.3116</v>
      </c>
      <c r="AC199" s="636">
        <v>214.178</v>
      </c>
      <c r="AD199" s="367">
        <v>212.47239999999999</v>
      </c>
      <c r="AE199" s="339">
        <v>76</v>
      </c>
      <c r="AF199" s="340">
        <v>100</v>
      </c>
      <c r="AG199" s="334"/>
      <c r="AH199" s="341"/>
      <c r="AI199" s="422" t="s">
        <v>83</v>
      </c>
      <c r="AJ199" s="343" t="s">
        <v>396</v>
      </c>
      <c r="AK199" s="344" t="s">
        <v>1389</v>
      </c>
      <c r="AL199" s="340" t="s">
        <v>103</v>
      </c>
      <c r="AM199" s="328"/>
      <c r="AN199" s="328"/>
      <c r="AO199" s="328"/>
      <c r="AP199" s="328"/>
      <c r="AQ199" s="328"/>
      <c r="AR199" s="451"/>
      <c r="AS199" s="372" t="s">
        <v>103</v>
      </c>
      <c r="AT199" s="445" t="s">
        <v>173</v>
      </c>
      <c r="AU199" s="345"/>
      <c r="AV199" s="345"/>
      <c r="AW199" s="345"/>
      <c r="AX199" s="345"/>
      <c r="AY199" s="345"/>
      <c r="AZ199" s="345"/>
      <c r="BA199" s="345"/>
      <c r="BB199" s="345"/>
      <c r="BC199" s="345"/>
      <c r="BD199" s="345"/>
      <c r="BE199" s="345"/>
      <c r="BF199" s="345"/>
      <c r="BG199" s="345"/>
      <c r="BH199" s="345"/>
      <c r="BI199" s="345"/>
      <c r="BJ199" s="364">
        <f>COUNTIF(AT199:BI199,"*OP*")</f>
        <v>1</v>
      </c>
      <c r="BK199" s="375" t="s">
        <v>103</v>
      </c>
      <c r="BL199" s="328">
        <f>(COUNTIF(AT199:AV199,"*OK*")*3) + (COUNTIF(AW199:AY199,"*OK*")*2) + COUNTIF(AZ199:BB199,"*OK*")+COUNTIF(BK199:BK199,"SI")*0.5</f>
        <v>0</v>
      </c>
      <c r="BM199" s="328" t="str">
        <f>IF(BL199&lt;0.6,"Demasiado Riesgo",IF(BL199&lt;=5,"Riesgo Medio",IF(BL199&lt;=11,"Riesgo Bajo","Cliente Blindado")))</f>
        <v>Demasiado Riesgo</v>
      </c>
      <c r="BN199" s="328"/>
      <c r="BO199" s="328"/>
      <c r="BP199" s="328">
        <v>0</v>
      </c>
      <c r="BQ199" s="328"/>
      <c r="BR199" s="328"/>
      <c r="BS199" s="328"/>
      <c r="BT199" s="328"/>
      <c r="BU199" s="328"/>
      <c r="BV199" s="328"/>
      <c r="BW199" s="328"/>
      <c r="BX199" s="328"/>
      <c r="BY199" s="328"/>
      <c r="BZ199" s="328"/>
      <c r="CA199" s="328"/>
      <c r="CB199" s="328"/>
      <c r="CC199" s="328"/>
      <c r="CD199" s="328"/>
      <c r="CE199" s="328"/>
      <c r="CF199" s="328"/>
      <c r="CG199" s="328"/>
      <c r="CH199" s="328"/>
      <c r="CI199" s="328"/>
      <c r="CJ199" s="328"/>
      <c r="CK199" s="328"/>
      <c r="CL199" s="328">
        <f>COUNTIF(AT199:BH199,"*OK*")</f>
        <v>0</v>
      </c>
      <c r="CM199" s="328"/>
      <c r="CN199" s="328">
        <f>COUNTIF(AT199:BH199,"*OP*")</f>
        <v>1</v>
      </c>
    </row>
    <row r="200" spans="1:94" ht="15" customHeight="1">
      <c r="A200" s="835">
        <v>17466</v>
      </c>
      <c r="B200" s="560" t="s">
        <v>1390</v>
      </c>
      <c r="C200" s="329">
        <f t="shared" si="5"/>
        <v>201.0265</v>
      </c>
      <c r="D200" s="352">
        <f>COUNTIF(AT200:BH200,"*OK*")</f>
        <v>0</v>
      </c>
      <c r="E200" s="351" t="s">
        <v>439</v>
      </c>
      <c r="F200" s="351" t="s">
        <v>1391</v>
      </c>
      <c r="G200" s="351"/>
      <c r="H200" s="650">
        <f>IF(LEN(TRIM($G200&amp;""))=0, $C200, SUMIF($G$3:$G$561, TRIM($G200), $C$3:$C$561))</f>
        <v>201.0265</v>
      </c>
      <c r="I200" s="413" t="s">
        <v>562</v>
      </c>
      <c r="J200" s="351"/>
      <c r="K200" s="349"/>
      <c r="L200" s="349" t="str">
        <f>HYPERLINK("https://crm.zoho.com/crm/org685875245/tab/Accounts/3525045000125248095","https://crm.zoho.com/crm/org685875245/tab/Accounts/3525045000125248095")</f>
        <v>https://crm.zoho.com/crm/org685875245/tab/Accounts/3525045000125248095</v>
      </c>
      <c r="M200" s="553" t="s">
        <v>77</v>
      </c>
      <c r="N200" s="352"/>
      <c r="O200" s="540" t="s">
        <v>1392</v>
      </c>
      <c r="P200" s="540" t="s">
        <v>1393</v>
      </c>
      <c r="Q200" s="540" t="s">
        <v>1394</v>
      </c>
      <c r="R200" s="352"/>
      <c r="S200" s="352"/>
      <c r="T200" s="351"/>
      <c r="U200" s="354" t="s">
        <v>82</v>
      </c>
      <c r="V200" s="355">
        <v>232.41</v>
      </c>
      <c r="W200" s="355">
        <v>214.61</v>
      </c>
      <c r="X200" s="355">
        <v>207.87</v>
      </c>
      <c r="Y200" s="356">
        <v>214.56</v>
      </c>
      <c r="Z200" s="337">
        <v>217.45150000000001</v>
      </c>
      <c r="AA200" s="338">
        <v>218.54</v>
      </c>
      <c r="AB200" s="338">
        <v>209.8852</v>
      </c>
      <c r="AC200" s="634">
        <v>213.74379999999999</v>
      </c>
      <c r="AD200" s="338">
        <v>201.0265</v>
      </c>
      <c r="AE200" s="357">
        <v>60</v>
      </c>
      <c r="AF200" s="358">
        <v>100</v>
      </c>
      <c r="AG200" s="354"/>
      <c r="AH200" s="359"/>
      <c r="AI200" s="427" t="s">
        <v>83</v>
      </c>
      <c r="AJ200" s="361" t="s">
        <v>161</v>
      </c>
      <c r="AK200" s="362" t="s">
        <v>1395</v>
      </c>
      <c r="AL200" s="358" t="s">
        <v>103</v>
      </c>
      <c r="AM200" s="349"/>
      <c r="AN200" s="349"/>
      <c r="AO200" s="349"/>
      <c r="AP200" s="349"/>
      <c r="AQ200" s="349"/>
      <c r="AR200" s="453"/>
      <c r="AS200" s="371" t="s">
        <v>103</v>
      </c>
      <c r="AT200" s="345"/>
      <c r="AU200" s="345"/>
      <c r="AV200" s="345"/>
      <c r="AW200" s="345"/>
      <c r="AX200" s="345"/>
      <c r="AY200" s="345"/>
      <c r="AZ200" s="345"/>
      <c r="BA200" s="345"/>
      <c r="BB200" s="345"/>
      <c r="BC200" s="345"/>
      <c r="BD200" s="345"/>
      <c r="BE200" s="345"/>
      <c r="BF200" s="345"/>
      <c r="BG200" s="345"/>
      <c r="BH200" s="345"/>
      <c r="BI200" s="345"/>
      <c r="BJ200" s="364">
        <f>COUNTIF(AT200:BI200,"*OP*")</f>
        <v>0</v>
      </c>
      <c r="BK200" s="363" t="s">
        <v>89</v>
      </c>
      <c r="BL200" s="349">
        <f>(COUNTIF(AT200:AV200,"*OK*")*3) + (COUNTIF(AW200:AY200,"*OK*")*2) + COUNTIF(AZ200:BB200,"*OK*")+COUNTIF(BK200:BK200,"SI")*0.5</f>
        <v>0</v>
      </c>
      <c r="BM200" s="349" t="str">
        <f>IF(BL200&lt;0.6,"Demasiado Riesgo",IF(BL200&lt;=5,"Riesgo Medio",IF(BL200&lt;=11,"Riesgo Bajo","Cliente Blindado")))</f>
        <v>Demasiado Riesgo</v>
      </c>
      <c r="BN200" s="349"/>
      <c r="BO200" s="349"/>
      <c r="BP200" s="349">
        <v>0</v>
      </c>
      <c r="BQ200" s="349"/>
      <c r="BR200" s="349"/>
      <c r="BS200" s="349"/>
      <c r="BT200" s="349"/>
      <c r="BU200" s="349"/>
      <c r="BV200" s="349"/>
      <c r="BW200" s="349"/>
      <c r="BX200" s="349"/>
      <c r="BY200" s="349"/>
      <c r="BZ200" s="349"/>
      <c r="CA200" s="349"/>
      <c r="CB200" s="349"/>
      <c r="CC200" s="349"/>
      <c r="CD200" s="349"/>
      <c r="CE200" s="349"/>
      <c r="CF200" s="349"/>
      <c r="CG200" s="349"/>
      <c r="CH200" s="349"/>
      <c r="CI200" s="349"/>
      <c r="CJ200" s="349"/>
      <c r="CK200" s="349"/>
      <c r="CL200" s="349">
        <f>COUNTIF(AT200:BH200,"*OK*")</f>
        <v>0</v>
      </c>
      <c r="CM200" s="349"/>
      <c r="CN200" s="349">
        <f>COUNTIF(AT200:BH200,"*OP*")</f>
        <v>0</v>
      </c>
    </row>
    <row r="201" spans="1:94" ht="15" customHeight="1">
      <c r="A201" s="834"/>
      <c r="B201" s="560" t="s">
        <v>1396</v>
      </c>
      <c r="C201" s="329">
        <f t="shared" si="5"/>
        <v>203.53199999999998</v>
      </c>
      <c r="D201" s="332">
        <f>COUNTIF(AT201:BH201,"*OK*")</f>
        <v>0</v>
      </c>
      <c r="E201" s="397" t="s">
        <v>439</v>
      </c>
      <c r="F201" s="497" t="s">
        <v>1397</v>
      </c>
      <c r="G201" s="331"/>
      <c r="H201" s="650">
        <f>IF(LEN(TRIM($G201&amp;""))=0, $C201, SUMIF($G$3:$G$561, TRIM($G201), $C$3:$C$561))</f>
        <v>203.53199999999998</v>
      </c>
      <c r="I201" s="410" t="s">
        <v>562</v>
      </c>
      <c r="J201" s="331" t="s">
        <v>1397</v>
      </c>
      <c r="K201" s="328"/>
      <c r="L201" s="328"/>
      <c r="M201" s="391" t="s">
        <v>167</v>
      </c>
      <c r="N201" s="332" t="s">
        <v>817</v>
      </c>
      <c r="O201" s="541"/>
      <c r="P201" s="541"/>
      <c r="Q201" s="541"/>
      <c r="R201" s="332"/>
      <c r="S201" s="352" t="s">
        <v>860</v>
      </c>
      <c r="T201" s="397"/>
      <c r="U201" s="334" t="s">
        <v>82</v>
      </c>
      <c r="V201" s="335">
        <v>140.02000000000001</v>
      </c>
      <c r="W201" s="335">
        <v>183.7</v>
      </c>
      <c r="X201" s="335">
        <v>185.12</v>
      </c>
      <c r="Y201" s="336">
        <v>186.29</v>
      </c>
      <c r="Z201" s="337">
        <v>186.83160000000001</v>
      </c>
      <c r="AA201" s="338">
        <v>193.24</v>
      </c>
      <c r="AB201" s="338">
        <v>205.81729999999999</v>
      </c>
      <c r="AC201" s="634">
        <v>212.41759999999999</v>
      </c>
      <c r="AD201" s="338">
        <v>203.53199999999998</v>
      </c>
      <c r="AE201" s="339"/>
      <c r="AF201" s="340">
        <v>150</v>
      </c>
      <c r="AG201" s="334"/>
      <c r="AH201" s="341"/>
      <c r="AI201" s="422" t="s">
        <v>83</v>
      </c>
      <c r="AJ201" s="343" t="s">
        <v>120</v>
      </c>
      <c r="AK201" s="344" t="s">
        <v>1398</v>
      </c>
      <c r="AL201" s="340" t="s">
        <v>103</v>
      </c>
      <c r="AM201" s="328"/>
      <c r="AN201" s="328"/>
      <c r="AO201" s="328"/>
      <c r="AP201" s="328"/>
      <c r="AQ201" s="328"/>
      <c r="AR201" s="451"/>
      <c r="AS201" s="344" t="s">
        <v>103</v>
      </c>
      <c r="AT201" s="345"/>
      <c r="AU201" s="345"/>
      <c r="AV201" s="345"/>
      <c r="AW201" s="345"/>
      <c r="AX201" s="345"/>
      <c r="AY201" s="345"/>
      <c r="AZ201" s="345"/>
      <c r="BA201" s="345"/>
      <c r="BB201" s="345"/>
      <c r="BC201" s="345"/>
      <c r="BD201" s="345"/>
      <c r="BE201" s="345"/>
      <c r="BF201" s="345"/>
      <c r="BG201" s="345"/>
      <c r="BH201" s="345"/>
      <c r="BI201" s="345"/>
      <c r="BJ201" s="364">
        <f>COUNTIF(AT201:BI201,"*OP*")</f>
        <v>0</v>
      </c>
      <c r="BK201" s="344" t="s">
        <v>103</v>
      </c>
      <c r="BL201" s="328">
        <f>(COUNTIF(AT201:AV201,"*OK*")*3) + (COUNTIF(AW201:AY201,"*OK*")*2) + COUNTIF(AZ201:BB201,"*OK*")+COUNTIF(BK201:BK201,"SI")*0.5</f>
        <v>0</v>
      </c>
      <c r="BM201" s="328" t="str">
        <f>IF(BL201&lt;0.6,"Demasiado Riesgo",IF(BL201&lt;=5,"Riesgo Medio",IF(BL201&lt;=11,"Riesgo Bajo","Cliente Blindado")))</f>
        <v>Demasiado Riesgo</v>
      </c>
      <c r="BN201" s="328"/>
      <c r="BO201" s="349"/>
      <c r="BP201" s="349">
        <v>0</v>
      </c>
      <c r="BQ201" s="349"/>
      <c r="BR201" s="349"/>
      <c r="BS201" s="349"/>
      <c r="BT201" s="349"/>
      <c r="BU201" s="349"/>
      <c r="BV201" s="349"/>
      <c r="BW201" s="349"/>
      <c r="BX201" s="349"/>
      <c r="BY201" s="349"/>
      <c r="BZ201" s="349"/>
      <c r="CA201" s="349"/>
      <c r="CB201" s="349"/>
      <c r="CC201" s="349"/>
      <c r="CD201" s="349"/>
      <c r="CE201" s="349"/>
      <c r="CF201" s="349"/>
      <c r="CG201" s="349"/>
      <c r="CH201" s="349"/>
      <c r="CI201" s="349"/>
      <c r="CJ201" s="349"/>
      <c r="CK201" s="349"/>
      <c r="CL201" s="349">
        <f>COUNTIF(AT201:BH201,"*OK*")</f>
        <v>0</v>
      </c>
      <c r="CM201" s="349"/>
      <c r="CN201" s="349">
        <f>COUNTIF(AT201:BH201,"*OP*")</f>
        <v>0</v>
      </c>
    </row>
    <row r="202" spans="1:94" s="285" customFormat="1" ht="15" customHeight="1">
      <c r="A202" s="837">
        <v>7305</v>
      </c>
      <c r="B202" s="560" t="s">
        <v>1399</v>
      </c>
      <c r="C202" s="329">
        <f t="shared" si="5"/>
        <v>207.50550000000001</v>
      </c>
      <c r="D202" s="352">
        <f>COUNTIF(AT202:BH202,"*OK*")</f>
        <v>0</v>
      </c>
      <c r="E202" s="351" t="s">
        <v>439</v>
      </c>
      <c r="F202" s="351" t="s">
        <v>1400</v>
      </c>
      <c r="G202" s="351"/>
      <c r="H202" s="650">
        <f>IF(LEN(TRIM($G202&amp;""))=0, $C202, SUMIF($G$3:$G$561, TRIM($G202), $C$3:$C$561))</f>
        <v>207.50550000000001</v>
      </c>
      <c r="I202" s="353" t="s">
        <v>562</v>
      </c>
      <c r="J202" s="351"/>
      <c r="K202" s="349"/>
      <c r="L202" s="349" t="str">
        <f>HYPERLINK("https://crm.zoho.com/crm/org685875245/tab/Accounts/3525045000122463027","https://crm.zoho.com/crm/org685875245/tab/Accounts/3525045000122463027")</f>
        <v>https://crm.zoho.com/crm/org685875245/tab/Accounts/3525045000122463027</v>
      </c>
      <c r="M202" s="553" t="s">
        <v>96</v>
      </c>
      <c r="N202" s="352"/>
      <c r="O202" s="540" t="s">
        <v>1401</v>
      </c>
      <c r="P202" s="540" t="s">
        <v>1402</v>
      </c>
      <c r="Q202" s="540" t="s">
        <v>1403</v>
      </c>
      <c r="R202" s="352"/>
      <c r="S202" s="352"/>
      <c r="T202" s="351"/>
      <c r="U202" s="354" t="s">
        <v>142</v>
      </c>
      <c r="V202" s="355"/>
      <c r="W202" s="355"/>
      <c r="X202" s="355">
        <v>213.17</v>
      </c>
      <c r="Y202" s="356">
        <v>215.48</v>
      </c>
      <c r="Z202" s="337">
        <v>217.2192</v>
      </c>
      <c r="AA202" s="347">
        <v>217.12</v>
      </c>
      <c r="AB202" s="347">
        <v>216.6498</v>
      </c>
      <c r="AC202" s="638">
        <v>210.07050000000001</v>
      </c>
      <c r="AD202" s="347">
        <v>207.50550000000001</v>
      </c>
      <c r="AE202" s="357">
        <v>169</v>
      </c>
      <c r="AF202" s="358">
        <v>200</v>
      </c>
      <c r="AG202" s="354"/>
      <c r="AH202" s="359"/>
      <c r="AI202" s="427" t="s">
        <v>83</v>
      </c>
      <c r="AJ202" s="361" t="s">
        <v>143</v>
      </c>
      <c r="AK202" s="362" t="s">
        <v>1404</v>
      </c>
      <c r="AL202" s="358" t="s">
        <v>103</v>
      </c>
      <c r="AM202" s="349"/>
      <c r="AN202" s="349"/>
      <c r="AO202" s="349"/>
      <c r="AP202" s="349"/>
      <c r="AQ202" s="349"/>
      <c r="AR202" s="453"/>
      <c r="AS202" s="371" t="s">
        <v>88</v>
      </c>
      <c r="AT202" s="345"/>
      <c r="AU202" s="345"/>
      <c r="AV202" s="345" t="s">
        <v>179</v>
      </c>
      <c r="AW202" s="345"/>
      <c r="AX202" s="345"/>
      <c r="AY202" s="345"/>
      <c r="AZ202" s="345"/>
      <c r="BA202" s="345"/>
      <c r="BB202" s="345"/>
      <c r="BC202" s="345"/>
      <c r="BD202" s="345"/>
      <c r="BE202" s="345"/>
      <c r="BF202" s="345"/>
      <c r="BG202" s="345"/>
      <c r="BH202" s="345"/>
      <c r="BI202" s="345"/>
      <c r="BJ202" s="346">
        <f>COUNTIF(AT202:BI202,"*OP*")</f>
        <v>1</v>
      </c>
      <c r="BK202" s="363" t="s">
        <v>89</v>
      </c>
      <c r="BL202" s="349">
        <f>(COUNTIF(AT202:AV202,"*OK*")*3) + (COUNTIF(AW202:AY202,"*OK*")*2) + COUNTIF(AZ202:BB202,"*OK*")+COUNTIF(BK202:BK202,"SI")*0.5</f>
        <v>0</v>
      </c>
      <c r="BM202" s="349" t="str">
        <f>IF(BL202&lt;0.6,"Demasiado Riesgo",IF(BL202&lt;=5,"Riesgo Medio",IF(BL202&lt;=11,"Riesgo Bajo","Cliente Blindado")))</f>
        <v>Demasiado Riesgo</v>
      </c>
      <c r="BN202" s="349"/>
      <c r="BO202" s="349"/>
      <c r="BP202" s="349">
        <v>0</v>
      </c>
      <c r="BQ202" s="349"/>
      <c r="BR202" s="349"/>
      <c r="BS202" s="349"/>
      <c r="BT202" s="349"/>
      <c r="BU202" s="349"/>
      <c r="BV202" s="349"/>
      <c r="BW202" s="349"/>
      <c r="BX202" s="349"/>
      <c r="BY202" s="349"/>
      <c r="BZ202" s="349"/>
      <c r="CA202" s="349"/>
      <c r="CB202" s="349"/>
      <c r="CC202" s="349"/>
      <c r="CD202" s="349"/>
      <c r="CE202" s="349"/>
      <c r="CF202" s="349"/>
      <c r="CG202" s="349"/>
      <c r="CH202" s="349"/>
      <c r="CI202" s="349"/>
      <c r="CJ202" s="349"/>
      <c r="CK202" s="349"/>
      <c r="CL202" s="349">
        <f>COUNTIF(AT202:BH202,"*OK*")</f>
        <v>0</v>
      </c>
      <c r="CM202" s="349"/>
      <c r="CN202" s="349">
        <f>COUNTIF(AT202:BH202,"*OP*")</f>
        <v>1</v>
      </c>
      <c r="CO202" s="425"/>
      <c r="CP202" s="287"/>
    </row>
    <row r="203" spans="1:94" ht="15" customHeight="1">
      <c r="A203" s="835">
        <v>31720</v>
      </c>
      <c r="B203" s="560" t="s">
        <v>1405</v>
      </c>
      <c r="C203" s="329">
        <f t="shared" si="5"/>
        <v>180.84549999999999</v>
      </c>
      <c r="D203" s="352">
        <f>COUNTIF(AT203:BH203,"*OK*")</f>
        <v>0</v>
      </c>
      <c r="E203" s="351" t="s">
        <v>439</v>
      </c>
      <c r="F203" s="351" t="s">
        <v>1406</v>
      </c>
      <c r="G203" s="351"/>
      <c r="H203" s="650">
        <f>IF(LEN(TRIM($G203&amp;""))=0, $C203, SUMIF($G$3:$G$561, TRIM($G203), $C$3:$C$561))</f>
        <v>180.84549999999999</v>
      </c>
      <c r="I203" s="413" t="s">
        <v>562</v>
      </c>
      <c r="J203" s="351"/>
      <c r="K203" s="349"/>
      <c r="L203" s="349" t="str">
        <f>HYPERLINK("https://crm.zoho.com/crm/org685875245/tab/Accounts/3525045000467374314","https://crm.zoho.com/crm/org685875245/tab/Accounts/3525045000467374314")</f>
        <v>https://crm.zoho.com/crm/org685875245/tab/Accounts/3525045000467374314</v>
      </c>
      <c r="M203" s="553" t="s">
        <v>77</v>
      </c>
      <c r="N203" s="352"/>
      <c r="O203" s="540" t="s">
        <v>1407</v>
      </c>
      <c r="P203" s="540" t="s">
        <v>1408</v>
      </c>
      <c r="Q203" s="540" t="s">
        <v>1409</v>
      </c>
      <c r="R203" s="352"/>
      <c r="S203" s="352"/>
      <c r="T203" s="351"/>
      <c r="U203" s="354" t="s">
        <v>82</v>
      </c>
      <c r="V203" s="355">
        <v>185.26</v>
      </c>
      <c r="W203" s="355">
        <v>185.09</v>
      </c>
      <c r="X203" s="355">
        <v>171.81</v>
      </c>
      <c r="Y203" s="356">
        <v>184.43</v>
      </c>
      <c r="Z203" s="337">
        <v>191.70750000000001</v>
      </c>
      <c r="AA203" s="347">
        <v>180.13</v>
      </c>
      <c r="AB203" s="347">
        <v>186.4248</v>
      </c>
      <c r="AC203" s="638">
        <v>209.32409999999999</v>
      </c>
      <c r="AD203" s="347">
        <v>180.84549999999999</v>
      </c>
      <c r="AE203" s="357">
        <v>78</v>
      </c>
      <c r="AF203" s="358">
        <v>100</v>
      </c>
      <c r="AG203" s="354"/>
      <c r="AH203" s="359"/>
      <c r="AI203" s="427" t="s">
        <v>83</v>
      </c>
      <c r="AJ203" s="361" t="s">
        <v>396</v>
      </c>
      <c r="AK203" s="362" t="s">
        <v>1410</v>
      </c>
      <c r="AL203" s="358" t="s">
        <v>103</v>
      </c>
      <c r="AM203" s="349"/>
      <c r="AN203" s="349"/>
      <c r="AO203" s="349"/>
      <c r="AP203" s="349"/>
      <c r="AQ203" s="349"/>
      <c r="AR203" s="453"/>
      <c r="AS203" s="371" t="s">
        <v>103</v>
      </c>
      <c r="AT203" s="345"/>
      <c r="AU203" s="345"/>
      <c r="AV203" s="345"/>
      <c r="AW203" s="345"/>
      <c r="AX203" s="345"/>
      <c r="AY203" s="345"/>
      <c r="AZ203" s="345"/>
      <c r="BA203" s="345"/>
      <c r="BB203" s="345"/>
      <c r="BC203" s="345"/>
      <c r="BD203" s="345"/>
      <c r="BE203" s="345"/>
      <c r="BF203" s="345"/>
      <c r="BG203" s="345"/>
      <c r="BH203" s="345"/>
      <c r="BI203" s="345"/>
      <c r="BJ203" s="364">
        <f>COUNTIF(AT203:BI203,"*OP*")</f>
        <v>0</v>
      </c>
      <c r="BK203" s="363" t="s">
        <v>89</v>
      </c>
      <c r="BL203" s="349">
        <f>(COUNTIF(AT203:AV203,"*OK*")*3) + (COUNTIF(AW203:AY203,"*OK*")*2) + COUNTIF(AZ203:BB203,"*OK*")+COUNTIF(BK203:BK203,"SI")*0.5</f>
        <v>0</v>
      </c>
      <c r="BM203" s="349" t="str">
        <f>IF(BL203&lt;0.6,"Demasiado Riesgo",IF(BL203&lt;=5,"Riesgo Medio",IF(BL203&lt;=11,"Riesgo Bajo","Cliente Blindado")))</f>
        <v>Demasiado Riesgo</v>
      </c>
      <c r="BN203" s="349"/>
      <c r="BO203" s="349"/>
      <c r="BP203" s="349">
        <v>0</v>
      </c>
      <c r="BQ203" s="349"/>
      <c r="BR203" s="349"/>
      <c r="BS203" s="349"/>
      <c r="BT203" s="349"/>
      <c r="BU203" s="349"/>
      <c r="BV203" s="349"/>
      <c r="BW203" s="349"/>
      <c r="BX203" s="349"/>
      <c r="BY203" s="349"/>
      <c r="BZ203" s="349"/>
      <c r="CA203" s="349"/>
      <c r="CB203" s="349"/>
      <c r="CC203" s="349"/>
      <c r="CD203" s="349"/>
      <c r="CE203" s="349"/>
      <c r="CF203" s="349"/>
      <c r="CG203" s="349"/>
      <c r="CH203" s="349"/>
      <c r="CI203" s="349"/>
      <c r="CJ203" s="349"/>
      <c r="CK203" s="349"/>
      <c r="CL203" s="349">
        <f>COUNTIF(AT203:BH203,"*OK*")</f>
        <v>0</v>
      </c>
      <c r="CM203" s="349"/>
      <c r="CN203" s="349">
        <f>COUNTIF(AT203:BH203,"*OP*")</f>
        <v>0</v>
      </c>
    </row>
    <row r="204" spans="1:94" ht="15" customHeight="1">
      <c r="A204" s="835">
        <v>34899</v>
      </c>
      <c r="B204" s="560" t="s">
        <v>1411</v>
      </c>
      <c r="C204" s="329">
        <f t="shared" si="5"/>
        <v>194.26050000000001</v>
      </c>
      <c r="D204" s="352">
        <f>COUNTIF(AT204:BH204,"*OK*")</f>
        <v>0</v>
      </c>
      <c r="E204" s="351" t="s">
        <v>439</v>
      </c>
      <c r="F204" s="351" t="s">
        <v>1412</v>
      </c>
      <c r="G204" s="351"/>
      <c r="H204" s="650">
        <f>IF(LEN(TRIM($G204&amp;""))=0, $C204, SUMIF($G$3:$G$561, TRIM($G204), $C$3:$C$561))</f>
        <v>194.26050000000001</v>
      </c>
      <c r="I204" s="413" t="s">
        <v>562</v>
      </c>
      <c r="J204" s="351"/>
      <c r="K204" s="349"/>
      <c r="L204" s="349" t="str">
        <f>HYPERLINK("https://crm.zoho.com/crm/org685875245/tab/Accounts/3525045000244460061","https://crm.zoho.com/crm/org685875245/tab/Accounts/3525045000244460061")</f>
        <v>https://crm.zoho.com/crm/org685875245/tab/Accounts/3525045000244460061</v>
      </c>
      <c r="M204" s="553" t="s">
        <v>943</v>
      </c>
      <c r="N204" s="352"/>
      <c r="O204" s="540"/>
      <c r="P204" s="540"/>
      <c r="Q204" s="540"/>
      <c r="R204" s="352"/>
      <c r="S204" s="352"/>
      <c r="T204" s="351"/>
      <c r="U204" s="354" t="s">
        <v>82</v>
      </c>
      <c r="V204" s="355">
        <v>197.79</v>
      </c>
      <c r="W204" s="355">
        <v>200.8</v>
      </c>
      <c r="X204" s="355">
        <v>194.4</v>
      </c>
      <c r="Y204" s="356">
        <v>203.79</v>
      </c>
      <c r="Z204" s="337">
        <v>209.709</v>
      </c>
      <c r="AA204" s="347">
        <v>204.27</v>
      </c>
      <c r="AB204" s="347">
        <v>209.1592</v>
      </c>
      <c r="AC204" s="638">
        <v>203.32239999999999</v>
      </c>
      <c r="AD204" s="347">
        <v>194.26050000000001</v>
      </c>
      <c r="AE204" s="357">
        <v>63</v>
      </c>
      <c r="AF204" s="358">
        <v>200</v>
      </c>
      <c r="AG204" s="354"/>
      <c r="AH204" s="359"/>
      <c r="AI204" s="427" t="s">
        <v>83</v>
      </c>
      <c r="AJ204" s="361" t="s">
        <v>345</v>
      </c>
      <c r="AK204" s="362" t="s">
        <v>1413</v>
      </c>
      <c r="AL204" s="358" t="s">
        <v>103</v>
      </c>
      <c r="AM204" s="349"/>
      <c r="AN204" s="349"/>
      <c r="AO204" s="349"/>
      <c r="AP204" s="349"/>
      <c r="AQ204" s="349"/>
      <c r="AR204" s="453"/>
      <c r="AS204" s="371" t="s">
        <v>103</v>
      </c>
      <c r="AT204" s="345"/>
      <c r="AU204" s="345"/>
      <c r="AV204" s="594"/>
      <c r="AW204" s="345" t="s">
        <v>1414</v>
      </c>
      <c r="AX204" s="345"/>
      <c r="AY204" s="345"/>
      <c r="AZ204" s="345"/>
      <c r="BA204" s="345"/>
      <c r="BB204" s="345"/>
      <c r="BC204" s="345"/>
      <c r="BD204" s="345"/>
      <c r="BE204" s="345"/>
      <c r="BF204" s="345"/>
      <c r="BG204" s="345"/>
      <c r="BH204" s="345"/>
      <c r="BI204" s="345"/>
      <c r="BJ204" s="364">
        <f>COUNTIF(AT204:BI204,"*OP*")</f>
        <v>1</v>
      </c>
      <c r="BK204" s="363" t="s">
        <v>103</v>
      </c>
      <c r="BL204" s="349">
        <f>(COUNTIF(AT204:AV204,"*OK*")*3) + (COUNTIF(AW204:AY204,"*OK*")*2) + COUNTIF(AZ204:BB204,"*OK*")+COUNTIF(BK204:BK204,"SI")*0.5</f>
        <v>0</v>
      </c>
      <c r="BM204" s="349" t="str">
        <f>IF(BL204&lt;0.6,"Demasiado Riesgo",IF(BL204&lt;=5,"Riesgo Medio",IF(BL204&lt;=11,"Riesgo Bajo","Cliente Blindado")))</f>
        <v>Demasiado Riesgo</v>
      </c>
      <c r="BN204" s="349"/>
      <c r="BO204" s="349"/>
      <c r="BP204" s="349">
        <v>0</v>
      </c>
      <c r="BQ204" s="349"/>
      <c r="BR204" s="349"/>
      <c r="BS204" s="349"/>
      <c r="BT204" s="349"/>
      <c r="BU204" s="349"/>
      <c r="BV204" s="349"/>
      <c r="BW204" s="349"/>
      <c r="BX204" s="349"/>
      <c r="BY204" s="349"/>
      <c r="BZ204" s="349"/>
      <c r="CA204" s="349"/>
      <c r="CB204" s="349"/>
      <c r="CC204" s="349"/>
      <c r="CD204" s="349"/>
      <c r="CE204" s="349"/>
      <c r="CF204" s="349"/>
      <c r="CG204" s="349"/>
      <c r="CH204" s="349"/>
      <c r="CI204" s="349"/>
      <c r="CJ204" s="349"/>
      <c r="CK204" s="349"/>
      <c r="CL204" s="349">
        <f>COUNTIF(AT204:BH204,"*OK*")</f>
        <v>0</v>
      </c>
      <c r="CM204" s="349"/>
      <c r="CN204" s="349">
        <f>COUNTIF(AT204:BH204,"*OP*")</f>
        <v>1</v>
      </c>
    </row>
    <row r="205" spans="1:94" s="285" customFormat="1" ht="15" customHeight="1">
      <c r="A205" s="835">
        <v>28545</v>
      </c>
      <c r="B205" s="560" t="s">
        <v>1415</v>
      </c>
      <c r="C205" s="329">
        <f t="shared" si="5"/>
        <v>190.3973</v>
      </c>
      <c r="D205" s="352">
        <f>COUNTIF(AT205:BH205,"*OK*")</f>
        <v>0</v>
      </c>
      <c r="E205" s="351" t="s">
        <v>439</v>
      </c>
      <c r="F205" s="433" t="s">
        <v>1416</v>
      </c>
      <c r="G205" s="351"/>
      <c r="H205" s="650">
        <f>IF(LEN(TRIM($G205&amp;""))=0, $C205, SUMIF($G$3:$G$561, TRIM($G205), $C$3:$C$561))</f>
        <v>190.3973</v>
      </c>
      <c r="I205" s="413" t="s">
        <v>562</v>
      </c>
      <c r="J205" s="351"/>
      <c r="K205" s="349"/>
      <c r="L205" s="349" t="str">
        <f>HYPERLINK("https://crm.zoho.com/crm/org685875245/tab/Accounts/3525045000348478718","https://crm.zoho.com/crm/org685875245/tab/Accounts/3525045000348478718")</f>
        <v>https://crm.zoho.com/crm/org685875245/tab/Accounts/3525045000348478718</v>
      </c>
      <c r="M205" s="553" t="s">
        <v>77</v>
      </c>
      <c r="N205" s="352" t="s">
        <v>321</v>
      </c>
      <c r="O205" s="540" t="s">
        <v>1417</v>
      </c>
      <c r="P205" s="540" t="s">
        <v>1418</v>
      </c>
      <c r="Q205" s="540" t="s">
        <v>1419</v>
      </c>
      <c r="R205" s="352"/>
      <c r="S205" s="352"/>
      <c r="T205" s="351"/>
      <c r="U205" s="354" t="s">
        <v>209</v>
      </c>
      <c r="V205" s="355">
        <v>233.47</v>
      </c>
      <c r="W205" s="355">
        <v>233.25</v>
      </c>
      <c r="X205" s="355">
        <v>222.29</v>
      </c>
      <c r="Y205" s="356">
        <v>132.41999999999999</v>
      </c>
      <c r="Z205" s="337">
        <v>136.57079999999999</v>
      </c>
      <c r="AA205" s="347">
        <v>197.12</v>
      </c>
      <c r="AB205" s="347">
        <v>198.7877</v>
      </c>
      <c r="AC205" s="638">
        <v>202.44220000000001</v>
      </c>
      <c r="AD205" s="347">
        <v>190.3973</v>
      </c>
      <c r="AE205" s="357"/>
      <c r="AF205" s="358">
        <v>200</v>
      </c>
      <c r="AG205" s="354"/>
      <c r="AH205" s="359"/>
      <c r="AI205" s="427" t="s">
        <v>83</v>
      </c>
      <c r="AJ205" s="361" t="s">
        <v>101</v>
      </c>
      <c r="AK205" s="362" t="s">
        <v>1420</v>
      </c>
      <c r="AL205" s="358" t="s">
        <v>101</v>
      </c>
      <c r="AM205" s="349"/>
      <c r="AN205" s="349"/>
      <c r="AO205" s="349"/>
      <c r="AP205" s="349"/>
      <c r="AQ205" s="349"/>
      <c r="AR205" s="453"/>
      <c r="AS205" s="371" t="s">
        <v>88</v>
      </c>
      <c r="AT205" s="345"/>
      <c r="AU205" s="345"/>
      <c r="AV205" s="345"/>
      <c r="AW205" s="345"/>
      <c r="AX205" s="345"/>
      <c r="AY205" s="345"/>
      <c r="AZ205" s="345"/>
      <c r="BA205" s="345"/>
      <c r="BB205" s="345"/>
      <c r="BC205" s="345"/>
      <c r="BD205" s="345"/>
      <c r="BE205" s="345"/>
      <c r="BF205" s="345"/>
      <c r="BG205" s="345"/>
      <c r="BH205" s="345"/>
      <c r="BI205" s="345"/>
      <c r="BJ205" s="364">
        <f>COUNTIF(AT205:BI205,"*OP*")</f>
        <v>0</v>
      </c>
      <c r="BK205" s="363" t="s">
        <v>89</v>
      </c>
      <c r="BL205" s="349">
        <f>(COUNTIF(AT205:AV205,"*OK*")*3) + (COUNTIF(AW205:AY205,"*OK*")*2) + COUNTIF(AZ205:BB205,"*OK*")+COUNTIF(BK205:BK205,"SI")*0.5</f>
        <v>0</v>
      </c>
      <c r="BM205" s="349" t="str">
        <f>IF(BL205&lt;0.6,"Demasiado Riesgo",IF(BL205&lt;=5,"Riesgo Medio",IF(BL205&lt;=11,"Riesgo Bajo","Cliente Blindado")))</f>
        <v>Demasiado Riesgo</v>
      </c>
      <c r="BN205" s="349"/>
      <c r="BO205" s="328"/>
      <c r="BP205" s="328">
        <v>0</v>
      </c>
      <c r="BQ205" s="328"/>
      <c r="BR205" s="328"/>
      <c r="BS205" s="328"/>
      <c r="BT205" s="328"/>
      <c r="BU205" s="328"/>
      <c r="BV205" s="328"/>
      <c r="BW205" s="328"/>
      <c r="BX205" s="328"/>
      <c r="BY205" s="328"/>
      <c r="BZ205" s="328"/>
      <c r="CA205" s="328"/>
      <c r="CB205" s="328"/>
      <c r="CC205" s="328"/>
      <c r="CD205" s="328"/>
      <c r="CE205" s="328"/>
      <c r="CF205" s="328"/>
      <c r="CG205" s="328"/>
      <c r="CH205" s="328"/>
      <c r="CI205" s="328"/>
      <c r="CJ205" s="328"/>
      <c r="CK205" s="328"/>
      <c r="CL205" s="328">
        <f>COUNTIF(AT205:BH205,"*OK*")</f>
        <v>0</v>
      </c>
      <c r="CM205" s="328"/>
      <c r="CN205" s="328">
        <f>COUNTIF(AT205:BH205,"*OP*")</f>
        <v>0</v>
      </c>
      <c r="CO205" s="287"/>
      <c r="CP205" s="287"/>
    </row>
    <row r="206" spans="1:94" ht="15" customHeight="1">
      <c r="A206" s="834">
        <v>29825</v>
      </c>
      <c r="B206" s="560" t="s">
        <v>1421</v>
      </c>
      <c r="C206" s="329">
        <f t="shared" si="5"/>
        <v>191.68209999999999</v>
      </c>
      <c r="D206" s="332">
        <f>COUNTIF(AT206:BH206,"*OK*")</f>
        <v>0</v>
      </c>
      <c r="E206" s="331" t="s">
        <v>73</v>
      </c>
      <c r="F206" s="331" t="s">
        <v>1422</v>
      </c>
      <c r="G206" s="331"/>
      <c r="H206" s="650">
        <f>IF(LEN(TRIM($G206&amp;""))=0, $C206, SUMIF($G$3:$G$561, TRIM($G206), $C$3:$C$561))</f>
        <v>191.68209999999999</v>
      </c>
      <c r="I206" s="410" t="s">
        <v>562</v>
      </c>
      <c r="J206" s="331"/>
      <c r="K206" s="560"/>
      <c r="L206" s="560" t="str">
        <f>HYPERLINK("https://crm.zoho.com/crm/org685875245/tab/Accounts/3525045000443231435","https://crm.zoho.com/crm/org685875245/tab/Accounts/3525045000443231435")</f>
        <v>https://crm.zoho.com/crm/org685875245/tab/Accounts/3525045000443231435</v>
      </c>
      <c r="M206" s="391" t="s">
        <v>96</v>
      </c>
      <c r="N206" s="560"/>
      <c r="O206" s="561" t="s">
        <v>455</v>
      </c>
      <c r="P206" s="561" t="s">
        <v>1423</v>
      </c>
      <c r="Q206" s="561" t="s">
        <v>1424</v>
      </c>
      <c r="R206" s="560"/>
      <c r="S206" s="332"/>
      <c r="T206" s="331"/>
      <c r="U206" s="334" t="s">
        <v>394</v>
      </c>
      <c r="V206" s="335">
        <v>231.53</v>
      </c>
      <c r="W206" s="335">
        <v>225.31</v>
      </c>
      <c r="X206" s="335">
        <v>220.45</v>
      </c>
      <c r="Y206" s="336">
        <v>192.08</v>
      </c>
      <c r="Z206" s="337">
        <v>203.65</v>
      </c>
      <c r="AA206" s="367">
        <v>207.34</v>
      </c>
      <c r="AB206" s="367">
        <v>212.0771</v>
      </c>
      <c r="AC206" s="636">
        <v>200.7663</v>
      </c>
      <c r="AD206" s="367">
        <v>191.68209999999999</v>
      </c>
      <c r="AE206" s="339">
        <v>78</v>
      </c>
      <c r="AF206" s="340">
        <v>100</v>
      </c>
      <c r="AG206" s="334"/>
      <c r="AH206" s="341" t="s">
        <v>83</v>
      </c>
      <c r="AI206" s="422" t="s">
        <v>83</v>
      </c>
      <c r="AJ206" s="343" t="s">
        <v>396</v>
      </c>
      <c r="AK206" s="344" t="s">
        <v>1425</v>
      </c>
      <c r="AL206" s="340" t="s">
        <v>396</v>
      </c>
      <c r="AM206" s="328"/>
      <c r="AN206" s="328"/>
      <c r="AO206" s="328"/>
      <c r="AP206" s="328"/>
      <c r="AQ206" s="328"/>
      <c r="AR206" s="451"/>
      <c r="AS206" s="372" t="s">
        <v>103</v>
      </c>
      <c r="AT206" s="345"/>
      <c r="AU206" s="345"/>
      <c r="AV206" s="345"/>
      <c r="AW206" s="345"/>
      <c r="AX206" s="345"/>
      <c r="AY206" s="345"/>
      <c r="AZ206" s="345"/>
      <c r="BA206" s="345"/>
      <c r="BB206" s="345"/>
      <c r="BC206" s="345"/>
      <c r="BD206" s="345"/>
      <c r="BE206" s="345"/>
      <c r="BF206" s="345"/>
      <c r="BG206" s="345"/>
      <c r="BH206" s="345"/>
      <c r="BI206" s="345"/>
      <c r="BJ206" s="364">
        <f>COUNTIF(AT206:BI206,"*OP*")</f>
        <v>0</v>
      </c>
      <c r="BK206" s="375" t="s">
        <v>103</v>
      </c>
      <c r="BL206" s="328">
        <f>(COUNTIF(AT206:AV206,"*OK*")*3) + (COUNTIF(AW206:AY206,"*OK*")*2) + COUNTIF(AZ206:BB206,"*OK*")+COUNTIF(BK206:BK206,"SI")*0.5</f>
        <v>0</v>
      </c>
      <c r="BM206" s="328" t="str">
        <f>IF(BL206&lt;0.6,"Demasiado Riesgo",IF(BL206&lt;=5,"Riesgo Medio",IF(BL206&lt;=11,"Riesgo Bajo","Cliente Blindado")))</f>
        <v>Demasiado Riesgo</v>
      </c>
      <c r="BN206" s="328"/>
      <c r="BO206" s="328"/>
      <c r="BP206" s="328">
        <v>0</v>
      </c>
      <c r="BQ206" s="328"/>
      <c r="BR206" s="328"/>
      <c r="BS206" s="328"/>
      <c r="BT206" s="328"/>
      <c r="BU206" s="328"/>
      <c r="BV206" s="328"/>
      <c r="BW206" s="328"/>
      <c r="BX206" s="328"/>
      <c r="BY206" s="328"/>
      <c r="BZ206" s="328"/>
      <c r="CA206" s="328"/>
      <c r="CB206" s="328"/>
      <c r="CC206" s="328"/>
      <c r="CD206" s="328"/>
      <c r="CE206" s="328"/>
      <c r="CF206" s="328"/>
      <c r="CG206" s="328"/>
      <c r="CH206" s="328"/>
      <c r="CI206" s="328"/>
      <c r="CJ206" s="328"/>
      <c r="CK206" s="328"/>
      <c r="CL206" s="328">
        <f>COUNTIF(AT206:BH206,"*OK*")</f>
        <v>0</v>
      </c>
      <c r="CM206" s="328"/>
      <c r="CN206" s="328">
        <f>COUNTIF(AT206:BH206,"*OP*")</f>
        <v>0</v>
      </c>
    </row>
    <row r="207" spans="1:94" ht="15" customHeight="1">
      <c r="A207" s="837">
        <v>18593</v>
      </c>
      <c r="B207" s="560" t="s">
        <v>1426</v>
      </c>
      <c r="C207" s="329">
        <f t="shared" si="5"/>
        <v>187.4238</v>
      </c>
      <c r="D207" s="352">
        <f>COUNTIF(AT207:BH207,"*OK*")</f>
        <v>0</v>
      </c>
      <c r="E207" s="351" t="s">
        <v>439</v>
      </c>
      <c r="F207" s="351" t="s">
        <v>1427</v>
      </c>
      <c r="G207" s="351"/>
      <c r="H207" s="650">
        <f>IF(LEN(TRIM($G207&amp;""))=0, $C207, SUMIF($G$3:$G$561, TRIM($G207), $C$3:$C$561))</f>
        <v>187.4238</v>
      </c>
      <c r="I207" s="353" t="s">
        <v>562</v>
      </c>
      <c r="J207" s="351" t="s">
        <v>1428</v>
      </c>
      <c r="K207" s="349"/>
      <c r="L207" s="349"/>
      <c r="M207" s="553" t="s">
        <v>96</v>
      </c>
      <c r="N207" s="352"/>
      <c r="O207" s="540" t="s">
        <v>871</v>
      </c>
      <c r="P207" s="540" t="s">
        <v>872</v>
      </c>
      <c r="Q207" s="540" t="s">
        <v>873</v>
      </c>
      <c r="R207" s="352"/>
      <c r="S207" s="352"/>
      <c r="T207" s="351"/>
      <c r="U207" s="354" t="s">
        <v>394</v>
      </c>
      <c r="V207" s="355">
        <v>203.3</v>
      </c>
      <c r="W207" s="355">
        <v>204.38</v>
      </c>
      <c r="X207" s="355">
        <v>177.94</v>
      </c>
      <c r="Y207" s="356">
        <v>188.63</v>
      </c>
      <c r="Z207" s="337">
        <v>194.93979999999999</v>
      </c>
      <c r="AA207" s="347">
        <v>192.8</v>
      </c>
      <c r="AB207" s="347">
        <v>196.9375</v>
      </c>
      <c r="AC207" s="638">
        <v>200.55799999999999</v>
      </c>
      <c r="AD207" s="347">
        <v>187.4238</v>
      </c>
      <c r="AE207" s="357">
        <v>161</v>
      </c>
      <c r="AF207" s="358">
        <v>150</v>
      </c>
      <c r="AG207" s="354"/>
      <c r="AH207" s="359"/>
      <c r="AI207" s="427" t="s">
        <v>83</v>
      </c>
      <c r="AJ207" s="361" t="s">
        <v>120</v>
      </c>
      <c r="AK207" s="362" t="s">
        <v>1429</v>
      </c>
      <c r="AL207" s="358" t="s">
        <v>103</v>
      </c>
      <c r="AM207" s="349"/>
      <c r="AN207" s="349"/>
      <c r="AO207" s="349"/>
      <c r="AP207" s="349"/>
      <c r="AQ207" s="349"/>
      <c r="AR207" s="453"/>
      <c r="AS207" s="371" t="s">
        <v>103</v>
      </c>
      <c r="AT207" s="345"/>
      <c r="AU207" s="345"/>
      <c r="AV207" s="345" t="s">
        <v>179</v>
      </c>
      <c r="AW207" s="345"/>
      <c r="AX207" s="345"/>
      <c r="AY207" s="345"/>
      <c r="AZ207" s="345"/>
      <c r="BA207" s="345"/>
      <c r="BB207" s="345"/>
      <c r="BC207" s="345"/>
      <c r="BD207" s="345"/>
      <c r="BE207" s="345"/>
      <c r="BF207" s="345"/>
      <c r="BG207" s="345"/>
      <c r="BH207" s="345"/>
      <c r="BI207" s="345"/>
      <c r="BJ207" s="364">
        <f>COUNTIF(AT207:BI207,"*OP*")</f>
        <v>1</v>
      </c>
      <c r="BK207" s="363" t="s">
        <v>103</v>
      </c>
      <c r="BL207" s="349">
        <f>(COUNTIF(AT207:AV207,"*OK*")*3) + (COUNTIF(AW207:AY207,"*OK*")*2) + COUNTIF(AZ207:BB207,"*OK*")+COUNTIF(BK207:BK207,"SI")*0.5</f>
        <v>0</v>
      </c>
      <c r="BM207" s="349" t="str">
        <f>IF(BL207&lt;0.6,"Demasiado Riesgo",IF(BL207&lt;=5,"Riesgo Medio",IF(BL207&lt;=11,"Riesgo Bajo","Cliente Blindado")))</f>
        <v>Demasiado Riesgo</v>
      </c>
      <c r="BN207" s="349"/>
      <c r="BO207" s="349"/>
      <c r="BP207" s="349">
        <v>0</v>
      </c>
      <c r="BQ207" s="349"/>
      <c r="BR207" s="349"/>
      <c r="BS207" s="349"/>
      <c r="BT207" s="349"/>
      <c r="BU207" s="349"/>
      <c r="BV207" s="349"/>
      <c r="BW207" s="349"/>
      <c r="BX207" s="349"/>
      <c r="BY207" s="349"/>
      <c r="BZ207" s="349"/>
      <c r="CA207" s="349"/>
      <c r="CB207" s="349"/>
      <c r="CC207" s="349"/>
      <c r="CD207" s="349"/>
      <c r="CE207" s="349"/>
      <c r="CF207" s="349"/>
      <c r="CG207" s="349"/>
      <c r="CH207" s="349"/>
      <c r="CI207" s="349"/>
      <c r="CJ207" s="349"/>
      <c r="CK207" s="349"/>
      <c r="CL207" s="349">
        <f>COUNTIF(AT207:BH207,"*OK*")</f>
        <v>0</v>
      </c>
      <c r="CM207" s="349"/>
      <c r="CN207" s="349">
        <f>COUNTIF(AT207:BH207,"*OP*")</f>
        <v>1</v>
      </c>
    </row>
    <row r="208" spans="1:94" ht="15" customHeight="1">
      <c r="A208" s="835">
        <v>26920</v>
      </c>
      <c r="B208" s="560" t="s">
        <v>1430</v>
      </c>
      <c r="C208" s="329">
        <f t="shared" si="5"/>
        <v>181.29140000000001</v>
      </c>
      <c r="D208" s="352">
        <f>COUNTIF(AT208:BH208,"*OK*")</f>
        <v>0</v>
      </c>
      <c r="E208" s="351" t="s">
        <v>439</v>
      </c>
      <c r="F208" s="351" t="s">
        <v>1431</v>
      </c>
      <c r="G208" s="351"/>
      <c r="H208" s="650">
        <f>IF(LEN(TRIM($G208&amp;""))=0, $C208, SUMIF($G$3:$G$561, TRIM($G208), $C$3:$C$561))</f>
        <v>181.29140000000001</v>
      </c>
      <c r="I208" s="413" t="s">
        <v>562</v>
      </c>
      <c r="J208" s="351"/>
      <c r="K208" s="349"/>
      <c r="L208" s="349" t="str">
        <f>HYPERLINK("https://crm.zoho.com/crm/org685875245/tab/Accounts/3525045000373402170","https://crm.zoho.com/crm/org685875245/tab/Accounts/3525045000373402170")</f>
        <v>https://crm.zoho.com/crm/org685875245/tab/Accounts/3525045000373402170</v>
      </c>
      <c r="M208" s="553" t="s">
        <v>943</v>
      </c>
      <c r="N208" s="352"/>
      <c r="O208" s="540"/>
      <c r="P208" s="540"/>
      <c r="Q208" s="540"/>
      <c r="R208" s="352"/>
      <c r="S208" s="352"/>
      <c r="T208" s="351"/>
      <c r="U208" s="354" t="s">
        <v>585</v>
      </c>
      <c r="V208" s="355"/>
      <c r="W208" s="355">
        <v>179.94</v>
      </c>
      <c r="X208" s="355">
        <v>131.71</v>
      </c>
      <c r="Y208" s="356">
        <v>182.13</v>
      </c>
      <c r="Z208" s="337">
        <v>184.57859999999999</v>
      </c>
      <c r="AA208" s="338">
        <v>187.7</v>
      </c>
      <c r="AB208" s="338">
        <v>202.2449</v>
      </c>
      <c r="AC208" s="634">
        <v>198.04130000000001</v>
      </c>
      <c r="AD208" s="338">
        <v>181.29140000000001</v>
      </c>
      <c r="AE208" s="357">
        <v>66</v>
      </c>
      <c r="AF208" s="358">
        <v>150</v>
      </c>
      <c r="AG208" s="354"/>
      <c r="AH208" s="359"/>
      <c r="AI208" s="427" t="s">
        <v>83</v>
      </c>
      <c r="AJ208" s="361" t="s">
        <v>199</v>
      </c>
      <c r="AK208" s="362" t="s">
        <v>1432</v>
      </c>
      <c r="AL208" s="358" t="s">
        <v>199</v>
      </c>
      <c r="AM208" s="349"/>
      <c r="AN208" s="349"/>
      <c r="AO208" s="349"/>
      <c r="AP208" s="349"/>
      <c r="AQ208" s="349"/>
      <c r="AR208" s="453"/>
      <c r="AS208" s="371" t="s">
        <v>103</v>
      </c>
      <c r="AT208" s="345"/>
      <c r="AU208" s="345"/>
      <c r="AV208" s="345"/>
      <c r="AW208" s="345"/>
      <c r="AX208" s="345"/>
      <c r="AY208" s="345"/>
      <c r="AZ208" s="345"/>
      <c r="BA208" s="345"/>
      <c r="BB208" s="345"/>
      <c r="BC208" s="345"/>
      <c r="BD208" s="345"/>
      <c r="BE208" s="345"/>
      <c r="BF208" s="345"/>
      <c r="BG208" s="345"/>
      <c r="BH208" s="345"/>
      <c r="BI208" s="345"/>
      <c r="BJ208" s="364">
        <f>COUNTIF(AT208:BI208,"*OP*")</f>
        <v>0</v>
      </c>
      <c r="BK208" s="363" t="s">
        <v>89</v>
      </c>
      <c r="BL208" s="349">
        <f>(COUNTIF(AT208:AV208,"*OK*")*3) + (COUNTIF(AW208:AY208,"*OK*")*2) + COUNTIF(AZ208:BB208,"*OK*")+COUNTIF(BK208:BK208,"SI")*0.5</f>
        <v>0</v>
      </c>
      <c r="BM208" s="349" t="str">
        <f>IF(BL208&lt;0.6,"Demasiado Riesgo",IF(BL208&lt;=5,"Riesgo Medio",IF(BL208&lt;=11,"Riesgo Bajo","Cliente Blindado")))</f>
        <v>Demasiado Riesgo</v>
      </c>
      <c r="BN208" s="349"/>
      <c r="BO208" s="328"/>
      <c r="BP208" s="328">
        <v>0</v>
      </c>
      <c r="BQ208" s="328"/>
      <c r="BR208" s="328"/>
      <c r="BS208" s="328"/>
      <c r="BT208" s="328"/>
      <c r="BU208" s="328"/>
      <c r="BV208" s="328"/>
      <c r="BW208" s="328"/>
      <c r="BX208" s="328"/>
      <c r="BY208" s="328"/>
      <c r="BZ208" s="328"/>
      <c r="CA208" s="328"/>
      <c r="CB208" s="328"/>
      <c r="CC208" s="328"/>
      <c r="CD208" s="328"/>
      <c r="CE208" s="328"/>
      <c r="CF208" s="328"/>
      <c r="CG208" s="328"/>
      <c r="CH208" s="328"/>
      <c r="CI208" s="328"/>
      <c r="CJ208" s="328"/>
      <c r="CK208" s="328"/>
      <c r="CL208" s="328">
        <f>COUNTIF(AT208:BH208,"*OK*")</f>
        <v>0</v>
      </c>
      <c r="CM208" s="328"/>
      <c r="CN208" s="328">
        <f>COUNTIF(AT208:BH208,"*OP*")</f>
        <v>0</v>
      </c>
    </row>
    <row r="209" spans="1:94" ht="15" customHeight="1">
      <c r="A209" s="835">
        <v>37460</v>
      </c>
      <c r="B209" s="560" t="s">
        <v>1433</v>
      </c>
      <c r="C209" s="329">
        <f t="shared" si="5"/>
        <v>166.39070000000001</v>
      </c>
      <c r="D209" s="332">
        <f>COUNTIF(AX209:BI209,"OK")</f>
        <v>0</v>
      </c>
      <c r="E209" s="397" t="s">
        <v>439</v>
      </c>
      <c r="F209" s="376" t="s">
        <v>1434</v>
      </c>
      <c r="G209" s="376"/>
      <c r="H209" s="650">
        <f>IF(LEN(TRIM($G209&amp;""))=0, $C209, SUMIF($G$3:$G$561, TRIM($G209), $C$3:$C$561))</f>
        <v>166.39070000000001</v>
      </c>
      <c r="I209" s="376" t="s">
        <v>562</v>
      </c>
      <c r="J209" s="328"/>
      <c r="K209" s="328"/>
      <c r="L209" s="328" t="str">
        <f>HYPERLINK("https://crm.zoho.com/crm/org685875245/tab/Accounts/3525045000600047493","https://crm.zoho.com/crm/org685875245/tab/Accounts/3525045000600047493")</f>
        <v>https://crm.zoho.com/crm/org685875245/tab/Accounts/3525045000600047493</v>
      </c>
      <c r="M209" s="391"/>
      <c r="N209" s="332" t="s">
        <v>817</v>
      </c>
      <c r="O209" s="541" t="s">
        <v>1435</v>
      </c>
      <c r="P209" s="541" t="s">
        <v>1436</v>
      </c>
      <c r="Q209" s="541" t="s">
        <v>1437</v>
      </c>
      <c r="R209" s="332"/>
      <c r="S209" s="332"/>
      <c r="T209" s="397" t="s">
        <v>88</v>
      </c>
      <c r="U209" s="344"/>
      <c r="V209" s="335"/>
      <c r="W209" s="335"/>
      <c r="X209" s="335"/>
      <c r="Y209" s="336"/>
      <c r="Z209" s="337">
        <v>449.74779999999998</v>
      </c>
      <c r="AA209" s="374">
        <v>187.7</v>
      </c>
      <c r="AB209" s="374">
        <v>189.28039999999999</v>
      </c>
      <c r="AC209" s="643">
        <v>198.04130000000001</v>
      </c>
      <c r="AD209" s="374">
        <v>166.39070000000001</v>
      </c>
      <c r="AE209" s="339">
        <v>66</v>
      </c>
      <c r="AF209" s="340" t="s">
        <v>103</v>
      </c>
      <c r="AG209" s="334"/>
      <c r="AH209" s="328"/>
      <c r="AI209" s="342"/>
      <c r="AJ209" s="343"/>
      <c r="AK209" s="344"/>
      <c r="AL209" s="372" t="s">
        <v>103</v>
      </c>
      <c r="AM209" s="328"/>
      <c r="AN209" s="328"/>
      <c r="AO209" s="328"/>
      <c r="AP209" s="328"/>
      <c r="AQ209" s="328"/>
      <c r="AR209" s="451"/>
      <c r="AS209" s="444"/>
      <c r="AT209" s="345"/>
      <c r="AU209" s="345"/>
      <c r="AV209" s="345"/>
      <c r="AW209" s="345"/>
      <c r="AX209" s="345"/>
      <c r="AY209" s="345"/>
      <c r="AZ209" s="345"/>
      <c r="BA209" s="345"/>
      <c r="BB209" s="345"/>
      <c r="BC209" s="345"/>
      <c r="BD209" s="345"/>
      <c r="BE209" s="345"/>
      <c r="BF209" s="345"/>
      <c r="BG209" s="345"/>
      <c r="BH209" s="345"/>
      <c r="BI209" s="345"/>
      <c r="BJ209" s="364">
        <f>COUNTIF(AT209:BI209,"*OP*")</f>
        <v>0</v>
      </c>
      <c r="BK209" s="447"/>
      <c r="BL209" s="328">
        <f>(COUNTIF(AT209:AV209,"*OK*")*3) + (COUNTIF(AW209:AY209,"*OK*")*2) + COUNTIF(AZ209:BB209,"*OK*")+COUNTIF(BK209:BK209,"SI")*0.5</f>
        <v>0</v>
      </c>
      <c r="BM209" s="328" t="str">
        <f>IF(BL209&lt;0.6,"Demasiado Riesgo",IF(BL209&lt;=5,"Riesgo Medio",IF(BL209&lt;=11,"Riesgo Bajo","Cliente Blindado")))</f>
        <v>Demasiado Riesgo</v>
      </c>
      <c r="BN209" s="328"/>
      <c r="BO209" s="328"/>
      <c r="BP209" s="328">
        <v>0</v>
      </c>
      <c r="BQ209" s="328"/>
      <c r="BR209" s="328"/>
      <c r="BS209" s="328"/>
      <c r="BT209" s="328"/>
      <c r="BU209" s="328"/>
      <c r="BV209" s="328"/>
      <c r="BW209" s="328"/>
      <c r="BX209" s="328"/>
      <c r="BY209" s="328"/>
      <c r="BZ209" s="328"/>
      <c r="CA209" s="328"/>
      <c r="CB209" s="328"/>
      <c r="CC209" s="328"/>
      <c r="CD209" s="328"/>
      <c r="CE209" s="328"/>
      <c r="CF209" s="328"/>
      <c r="CG209" s="328"/>
      <c r="CH209" s="328"/>
      <c r="CI209" s="328"/>
      <c r="CJ209" s="328"/>
      <c r="CK209" s="328"/>
      <c r="CL209" s="328">
        <f>COUNTIF(AT209:BH209,"*OK*")</f>
        <v>0</v>
      </c>
      <c r="CM209" s="328"/>
      <c r="CN209" s="328">
        <f>COUNTIF(AT209:BH209,"*OP*")</f>
        <v>0</v>
      </c>
    </row>
    <row r="210" spans="1:94" ht="15" customHeight="1">
      <c r="A210" s="835">
        <v>32905</v>
      </c>
      <c r="B210" s="560" t="s">
        <v>1438</v>
      </c>
      <c r="C210" s="329">
        <f t="shared" si="5"/>
        <v>194.26769999999999</v>
      </c>
      <c r="D210" s="352">
        <f>COUNTIF(AX210:BI210,"OK")</f>
        <v>0</v>
      </c>
      <c r="E210" s="397" t="s">
        <v>439</v>
      </c>
      <c r="F210" s="370" t="s">
        <v>1439</v>
      </c>
      <c r="G210" s="370"/>
      <c r="H210" s="650">
        <f>IF(LEN(TRIM($G210&amp;""))=0, $C210, SUMIF($G$3:$G$561, TRIM($G210), $C$3:$C$561))</f>
        <v>194.26769999999999</v>
      </c>
      <c r="I210" s="397" t="s">
        <v>562</v>
      </c>
      <c r="J210" s="397" t="s">
        <v>103</v>
      </c>
      <c r="K210" s="349"/>
      <c r="L210" s="349" t="str">
        <f>HYPERLINK("https://crm.zoho.com/crm/org685875245/tab/Accounts/3525045000502787792","https://crm.zoho.com/crm/org685875245/tab/Accounts/3525045000502787792")</f>
        <v>https://crm.zoho.com/crm/org685875245/tab/Accounts/3525045000502787792</v>
      </c>
      <c r="M210" s="553"/>
      <c r="N210" s="352" t="s">
        <v>817</v>
      </c>
      <c r="O210" s="540" t="s">
        <v>760</v>
      </c>
      <c r="P210" s="540" t="s">
        <v>1440</v>
      </c>
      <c r="Q210" s="540" t="s">
        <v>1441</v>
      </c>
      <c r="R210" s="352"/>
      <c r="S210" s="352"/>
      <c r="T210" s="397"/>
      <c r="U210" s="362" t="s">
        <v>82</v>
      </c>
      <c r="V210" s="398">
        <v>172.61</v>
      </c>
      <c r="W210" s="398">
        <v>182.96</v>
      </c>
      <c r="X210" s="398">
        <v>182.38</v>
      </c>
      <c r="Y210" s="399">
        <v>179.98</v>
      </c>
      <c r="Z210" s="400">
        <v>203.36170000000001</v>
      </c>
      <c r="AA210" s="405">
        <v>196.98480000000001</v>
      </c>
      <c r="AB210" s="405">
        <v>188.19139999999999</v>
      </c>
      <c r="AC210" s="642">
        <v>198.0395</v>
      </c>
      <c r="AD210" s="405">
        <v>194.26769999999999</v>
      </c>
      <c r="AE210" s="357">
        <v>73</v>
      </c>
      <c r="AF210" s="358" t="s">
        <v>103</v>
      </c>
      <c r="AG210" s="354"/>
      <c r="AH210" s="349"/>
      <c r="AI210" s="361"/>
      <c r="AJ210" s="361"/>
      <c r="AK210" s="362"/>
      <c r="AL210" s="371" t="s">
        <v>103</v>
      </c>
      <c r="AM210" s="349"/>
      <c r="AN210" s="349"/>
      <c r="AO210" s="349"/>
      <c r="AP210" s="349"/>
      <c r="AQ210" s="349"/>
      <c r="AR210" s="453"/>
      <c r="AS210" s="371" t="s">
        <v>103</v>
      </c>
      <c r="AT210" s="445"/>
      <c r="AU210" s="445"/>
      <c r="AV210" s="445"/>
      <c r="AW210" s="445"/>
      <c r="AX210" s="445"/>
      <c r="AY210" s="445"/>
      <c r="AZ210" s="445"/>
      <c r="BA210" s="445"/>
      <c r="BB210" s="445"/>
      <c r="BC210" s="445"/>
      <c r="BD210" s="445"/>
      <c r="BE210" s="445"/>
      <c r="BF210" s="445"/>
      <c r="BG210" s="445"/>
      <c r="BH210" s="445"/>
      <c r="BI210" s="445"/>
      <c r="BJ210" s="446">
        <f>COUNTIF(AT210:BI210,"*OP*")</f>
        <v>0</v>
      </c>
      <c r="BK210" s="363" t="s">
        <v>103</v>
      </c>
      <c r="BL210" s="349">
        <f>(COUNTIF(AT210:AV210,"*OK*")*3) + (COUNTIF(AW210:AY210,"*OK*")*2) + COUNTIF(AZ210:BB210,"*OK*")+COUNTIF(BK210:BK210,"SI")*0.5</f>
        <v>0</v>
      </c>
      <c r="BM210" s="349" t="str">
        <f>IF(BL210&lt;0.6,"Demasiado Riesgo",IF(BL210&lt;=5,"Riesgo Medio",IF(BL210&lt;=11,"Riesgo Bajo","Cliente Blindado")))</f>
        <v>Demasiado Riesgo</v>
      </c>
      <c r="BN210" s="349"/>
      <c r="BO210" s="328"/>
      <c r="BP210" s="328">
        <v>0</v>
      </c>
      <c r="BQ210" s="328"/>
      <c r="BR210" s="328"/>
      <c r="BS210" s="328"/>
      <c r="BT210" s="328"/>
      <c r="BU210" s="328"/>
      <c r="BV210" s="328"/>
      <c r="BW210" s="328"/>
      <c r="BX210" s="328"/>
      <c r="BY210" s="328"/>
      <c r="BZ210" s="328"/>
      <c r="CA210" s="328"/>
      <c r="CB210" s="328"/>
      <c r="CC210" s="328"/>
      <c r="CD210" s="328"/>
      <c r="CE210" s="328"/>
      <c r="CF210" s="328"/>
      <c r="CG210" s="328"/>
      <c r="CH210" s="328"/>
      <c r="CI210" s="328"/>
      <c r="CJ210" s="328"/>
      <c r="CK210" s="328"/>
      <c r="CL210" s="328">
        <f>COUNTIF(AT210:BH210,"*OK*")</f>
        <v>0</v>
      </c>
      <c r="CM210" s="328"/>
      <c r="CN210" s="328">
        <f>COUNTIF(AT210:BH210,"*OP*")</f>
        <v>0</v>
      </c>
    </row>
    <row r="211" spans="1:94" ht="15" customHeight="1">
      <c r="A211" s="836">
        <v>27444</v>
      </c>
      <c r="B211" s="560" t="s">
        <v>1442</v>
      </c>
      <c r="C211" s="329">
        <f t="shared" si="5"/>
        <v>186.14789999999999</v>
      </c>
      <c r="D211" s="332">
        <f>COUNTIF(AT211:BH211,"*OK*")</f>
        <v>0</v>
      </c>
      <c r="E211" s="331" t="s">
        <v>1443</v>
      </c>
      <c r="F211" s="331" t="s">
        <v>1444</v>
      </c>
      <c r="G211" s="331"/>
      <c r="H211" s="650">
        <f>IF(LEN(TRIM($G211&amp;""))=0, $C211, SUMIF($G$3:$G$561, TRIM($G211), $C$3:$C$561))</f>
        <v>186.14789999999999</v>
      </c>
      <c r="I211" s="410" t="s">
        <v>76</v>
      </c>
      <c r="J211" s="331"/>
      <c r="K211" s="328"/>
      <c r="L211" s="328" t="str">
        <f>HYPERLINK("https://crm.zoho.com/crm/org685875245/tab/Accounts/3525045000430721001","https://crm.zoho.com/crm/org685875245/tab/Accounts/3525045000430721001")</f>
        <v>https://crm.zoho.com/crm/org685875245/tab/Accounts/3525045000430721001</v>
      </c>
      <c r="M211" s="391"/>
      <c r="N211" s="332"/>
      <c r="O211" s="541" t="s">
        <v>1445</v>
      </c>
      <c r="P211" s="541" t="s">
        <v>1446</v>
      </c>
      <c r="Q211" s="541" t="s">
        <v>1447</v>
      </c>
      <c r="R211" s="332"/>
      <c r="S211" s="332"/>
      <c r="T211" s="331"/>
      <c r="U211" s="334" t="s">
        <v>198</v>
      </c>
      <c r="V211" s="335"/>
      <c r="W211" s="335">
        <v>1069.5899999999999</v>
      </c>
      <c r="X211" s="335">
        <v>319.36</v>
      </c>
      <c r="Y211" s="336">
        <v>379.08</v>
      </c>
      <c r="Z211" s="337">
        <v>364.70240000000001</v>
      </c>
      <c r="AA211" s="365">
        <v>355.22</v>
      </c>
      <c r="AB211" s="365">
        <v>316.56220000000002</v>
      </c>
      <c r="AC211" s="635">
        <v>197.94149999999999</v>
      </c>
      <c r="AD211" s="365">
        <v>186.14789999999999</v>
      </c>
      <c r="AE211" s="339">
        <v>66</v>
      </c>
      <c r="AF211" s="340">
        <v>200</v>
      </c>
      <c r="AG211" s="334"/>
      <c r="AH211" s="341"/>
      <c r="AI211" s="422" t="s">
        <v>83</v>
      </c>
      <c r="AJ211" s="343" t="s">
        <v>130</v>
      </c>
      <c r="AK211" s="344" t="s">
        <v>1448</v>
      </c>
      <c r="AL211" s="340" t="s">
        <v>103</v>
      </c>
      <c r="AM211" s="328"/>
      <c r="AN211" s="328"/>
      <c r="AO211" s="328"/>
      <c r="AP211" s="328"/>
      <c r="AQ211" s="328"/>
      <c r="AR211" s="451"/>
      <c r="AS211" s="372" t="s">
        <v>103</v>
      </c>
      <c r="AT211" s="345"/>
      <c r="AU211" s="345"/>
      <c r="AV211" s="345"/>
      <c r="AW211" s="345"/>
      <c r="AX211" s="345"/>
      <c r="AY211" s="345"/>
      <c r="AZ211" s="345"/>
      <c r="BA211" s="345"/>
      <c r="BB211" s="345"/>
      <c r="BC211" s="345"/>
      <c r="BD211" s="345"/>
      <c r="BE211" s="345"/>
      <c r="BF211" s="345"/>
      <c r="BG211" s="345"/>
      <c r="BH211" s="345"/>
      <c r="BI211" s="345"/>
      <c r="BJ211" s="364">
        <f>COUNTIF(AT211:BI211,"*OP*")</f>
        <v>0</v>
      </c>
      <c r="BK211" s="375" t="s">
        <v>103</v>
      </c>
      <c r="BL211" s="328">
        <f>(COUNTIF(AT211:AV211,"*OK*")*3) + (COUNTIF(AW211:AY211,"*OK*")*2) + COUNTIF(AZ211:BB211,"*OK*")+COUNTIF(BK211:BK211,"SI")*0.5</f>
        <v>0</v>
      </c>
      <c r="BM211" s="328" t="str">
        <f>IF(BL211&lt;0.6,"Demasiado Riesgo",IF(BL211&lt;=5,"Riesgo Medio",IF(BL211&lt;=11,"Riesgo Bajo","Cliente Blindado")))</f>
        <v>Demasiado Riesgo</v>
      </c>
      <c r="BN211" s="328"/>
      <c r="BO211" s="328"/>
      <c r="BP211" s="328">
        <v>0</v>
      </c>
      <c r="BQ211" s="328"/>
      <c r="BR211" s="328"/>
      <c r="BS211" s="328"/>
      <c r="BT211" s="328"/>
      <c r="BU211" s="328"/>
      <c r="BV211" s="328"/>
      <c r="BW211" s="328"/>
      <c r="BX211" s="328"/>
      <c r="BY211" s="328"/>
      <c r="BZ211" s="328"/>
      <c r="CA211" s="328"/>
      <c r="CB211" s="328"/>
      <c r="CC211" s="328"/>
      <c r="CD211" s="328"/>
      <c r="CE211" s="328"/>
      <c r="CF211" s="328"/>
      <c r="CG211" s="328"/>
      <c r="CH211" s="328"/>
      <c r="CI211" s="328"/>
      <c r="CJ211" s="328"/>
      <c r="CK211" s="328"/>
      <c r="CL211" s="328">
        <f>COUNTIF(AT211:BH211,"*OK*")</f>
        <v>0</v>
      </c>
      <c r="CM211" s="328"/>
      <c r="CN211" s="328">
        <f>COUNTIF(AT211:BH211,"*OP*")</f>
        <v>0</v>
      </c>
    </row>
    <row r="212" spans="1:94" ht="15" customHeight="1">
      <c r="A212" s="835"/>
      <c r="B212" s="560" t="s">
        <v>1449</v>
      </c>
      <c r="C212" s="329">
        <f t="shared" si="5"/>
        <v>182.18979999999999</v>
      </c>
      <c r="D212" s="352">
        <f>COUNTIF(AT212:BH212,"*OK*")</f>
        <v>0</v>
      </c>
      <c r="E212" s="397" t="s">
        <v>439</v>
      </c>
      <c r="F212" s="351" t="s">
        <v>1450</v>
      </c>
      <c r="G212" s="351"/>
      <c r="H212" s="650">
        <f>IF(LEN(TRIM($G212&amp;""))=0, $C212, SUMIF($G$3:$G$561, TRIM($G212), $C$3:$C$561))</f>
        <v>182.18979999999999</v>
      </c>
      <c r="I212" s="351" t="s">
        <v>562</v>
      </c>
      <c r="J212" s="351"/>
      <c r="K212" s="349"/>
      <c r="L212" s="349" t="str">
        <f>HYPERLINK("https://crm.zoho.com/crm/org685875245/tab/Accounts/3525045000217274331","https://crm.zoho.com/crm/org685875245/tab/Accounts/3525045000217274331")</f>
        <v>https://crm.zoho.com/crm/org685875245/tab/Accounts/3525045000217274331</v>
      </c>
      <c r="M212" s="553"/>
      <c r="N212" s="332" t="s">
        <v>817</v>
      </c>
      <c r="O212" s="541"/>
      <c r="P212" s="541"/>
      <c r="Q212" s="541"/>
      <c r="R212" s="332"/>
      <c r="S212" s="352"/>
      <c r="T212" s="397"/>
      <c r="U212" s="362" t="s">
        <v>82</v>
      </c>
      <c r="V212" s="355">
        <v>150.75</v>
      </c>
      <c r="W212" s="355">
        <v>170.96</v>
      </c>
      <c r="X212" s="355">
        <v>151.28</v>
      </c>
      <c r="Y212" s="356">
        <v>160.16</v>
      </c>
      <c r="Z212" s="337">
        <v>174.4871</v>
      </c>
      <c r="AA212" s="367">
        <v>184.61</v>
      </c>
      <c r="AB212" s="367">
        <v>190.21850000000001</v>
      </c>
      <c r="AC212" s="636">
        <v>197.83709999999999</v>
      </c>
      <c r="AD212" s="367">
        <v>182.18979999999999</v>
      </c>
      <c r="AE212" s="357"/>
      <c r="AF212" s="358">
        <v>50</v>
      </c>
      <c r="AG212" s="354"/>
      <c r="AH212" s="359"/>
      <c r="AI212" s="427" t="s">
        <v>83</v>
      </c>
      <c r="AJ212" s="361" t="s">
        <v>396</v>
      </c>
      <c r="AK212" s="362" t="s">
        <v>1451</v>
      </c>
      <c r="AL212" s="358" t="s">
        <v>103</v>
      </c>
      <c r="AM212" s="349"/>
      <c r="AN212" s="349"/>
      <c r="AO212" s="349"/>
      <c r="AP212" s="349"/>
      <c r="AQ212" s="349"/>
      <c r="AR212" s="453"/>
      <c r="AS212" s="371" t="s">
        <v>103</v>
      </c>
      <c r="AT212" s="345"/>
      <c r="AU212" s="345"/>
      <c r="AV212" s="345"/>
      <c r="AW212" s="345"/>
      <c r="AX212" s="345"/>
      <c r="AY212" s="345"/>
      <c r="AZ212" s="345"/>
      <c r="BA212" s="345"/>
      <c r="BB212" s="345"/>
      <c r="BC212" s="345"/>
      <c r="BD212" s="345"/>
      <c r="BE212" s="345"/>
      <c r="BF212" s="345"/>
      <c r="BG212" s="345"/>
      <c r="BH212" s="345"/>
      <c r="BI212" s="345"/>
      <c r="BJ212" s="364">
        <f>COUNTIF(AT212:BI212,"*OP*")</f>
        <v>0</v>
      </c>
      <c r="BK212" s="363" t="s">
        <v>103</v>
      </c>
      <c r="BL212" s="349">
        <f>(COUNTIF(AT212:AV212,"*OK*")*3) + (COUNTIF(AW212:AY212,"*OK*")*2) + COUNTIF(AZ212:BB212,"*OK*")+COUNTIF(BK212:BK212,"SI")*0.5</f>
        <v>0</v>
      </c>
      <c r="BM212" s="349" t="str">
        <f>IF(BL212&lt;0.6,"Demasiado Riesgo",IF(BL212&lt;=5,"Riesgo Medio",IF(BL212&lt;=11,"Riesgo Bajo","Cliente Blindado")))</f>
        <v>Demasiado Riesgo</v>
      </c>
      <c r="BN212" s="349"/>
      <c r="BO212" s="349"/>
      <c r="BP212" s="349">
        <v>0</v>
      </c>
      <c r="BQ212" s="349"/>
      <c r="BR212" s="349"/>
      <c r="BS212" s="349"/>
      <c r="BT212" s="349"/>
      <c r="BU212" s="349"/>
      <c r="BV212" s="349"/>
      <c r="BW212" s="349"/>
      <c r="BX212" s="349"/>
      <c r="BY212" s="349"/>
      <c r="BZ212" s="349"/>
      <c r="CA212" s="349"/>
      <c r="CB212" s="349"/>
      <c r="CC212" s="349"/>
      <c r="CD212" s="349"/>
      <c r="CE212" s="349"/>
      <c r="CF212" s="349"/>
      <c r="CG212" s="349"/>
      <c r="CH212" s="349"/>
      <c r="CI212" s="349"/>
      <c r="CJ212" s="349"/>
      <c r="CK212" s="349"/>
      <c r="CL212" s="349">
        <f>COUNTIF(AT212:BH212,"*OK*")</f>
        <v>0</v>
      </c>
      <c r="CM212" s="349"/>
      <c r="CN212" s="349">
        <f>COUNTIF(AT212:BH212,"*OP*")</f>
        <v>0</v>
      </c>
    </row>
    <row r="213" spans="1:94" ht="15" customHeight="1">
      <c r="A213" s="834">
        <v>20005</v>
      </c>
      <c r="B213" s="560" t="s">
        <v>363</v>
      </c>
      <c r="C213" s="329">
        <f t="shared" si="5"/>
        <v>244.37100000000001</v>
      </c>
      <c r="D213" s="332">
        <f>COUNTIF(AT213:BH213,"*OK*")</f>
        <v>0</v>
      </c>
      <c r="E213" s="331" t="s">
        <v>93</v>
      </c>
      <c r="F213" s="331" t="s">
        <v>1452</v>
      </c>
      <c r="G213" s="331" t="s">
        <v>365</v>
      </c>
      <c r="H213" s="650">
        <f>IF(LEN(TRIM($G213&amp;""))=0, $C213, SUMIF($G$3:$G$561, TRIM($G213), $C$3:$C$561))</f>
        <v>4240.7285999999995</v>
      </c>
      <c r="I213" s="410" t="s">
        <v>76</v>
      </c>
      <c r="J213" s="331"/>
      <c r="K213" s="328" t="s">
        <v>125</v>
      </c>
      <c r="L213" s="328"/>
      <c r="M213" s="341" t="s">
        <v>96</v>
      </c>
      <c r="N213" s="341"/>
      <c r="O213" s="548" t="s">
        <v>367</v>
      </c>
      <c r="P213" s="548" t="s">
        <v>368</v>
      </c>
      <c r="Q213" s="548" t="s">
        <v>369</v>
      </c>
      <c r="R213" s="341" t="s">
        <v>160</v>
      </c>
      <c r="S213" s="341"/>
      <c r="T213" s="331"/>
      <c r="U213" s="344" t="s">
        <v>82</v>
      </c>
      <c r="V213" s="335">
        <v>187.93</v>
      </c>
      <c r="W213" s="335">
        <v>187.76</v>
      </c>
      <c r="X213" s="335">
        <v>187.77</v>
      </c>
      <c r="Y213" s="336">
        <v>184.69</v>
      </c>
      <c r="Z213" s="337">
        <v>191.8</v>
      </c>
      <c r="AA213" s="347">
        <v>187.41</v>
      </c>
      <c r="AB213" s="347">
        <v>193.6019</v>
      </c>
      <c r="AC213" s="638">
        <v>194.81389999999999</v>
      </c>
      <c r="AD213" s="347">
        <v>244.37100000000001</v>
      </c>
      <c r="AE213" s="339">
        <v>1417</v>
      </c>
      <c r="AF213" s="340">
        <v>500</v>
      </c>
      <c r="AG213" s="334"/>
      <c r="AH213" s="341"/>
      <c r="AI213" s="342" t="s">
        <v>258</v>
      </c>
      <c r="AJ213" s="343" t="s">
        <v>150</v>
      </c>
      <c r="AK213" s="344" t="s">
        <v>1453</v>
      </c>
      <c r="AL213" s="340" t="s">
        <v>103</v>
      </c>
      <c r="AM213" s="328"/>
      <c r="AN213" s="328" t="s">
        <v>104</v>
      </c>
      <c r="AO213" s="328"/>
      <c r="AP213" s="328"/>
      <c r="AQ213" s="328"/>
      <c r="AR213" s="451"/>
      <c r="AS213" s="372"/>
      <c r="AT213" s="345"/>
      <c r="AU213" s="345"/>
      <c r="AV213" s="345"/>
      <c r="AW213" s="345"/>
      <c r="AX213" s="345"/>
      <c r="AY213" s="345"/>
      <c r="AZ213" s="345"/>
      <c r="BA213" s="345"/>
      <c r="BB213" s="345"/>
      <c r="BC213" s="345"/>
      <c r="BD213" s="345"/>
      <c r="BE213" s="345"/>
      <c r="BF213" s="345"/>
      <c r="BG213" s="345"/>
      <c r="BH213" s="345"/>
      <c r="BI213" s="345"/>
      <c r="BJ213" s="364">
        <f>COUNTIF(AT213:BI213,"*OP*")</f>
        <v>0</v>
      </c>
      <c r="BK213" s="375" t="s">
        <v>103</v>
      </c>
      <c r="BL213" s="328">
        <f>(COUNTIF(AT213:AV213,"*OK*")*3) + (COUNTIF(AW213:AY213,"*OK*")*2) + COUNTIF(AZ213:BB213,"*OK*")+COUNTIF(BK213:BK213,"SI")*0.5</f>
        <v>0</v>
      </c>
      <c r="BM213" s="328" t="str">
        <f>IF(BL213&lt;0.6,"Demasiado Riesgo",IF(BL213&lt;=5,"Riesgo Medio",IF(BL213&lt;=11,"Riesgo Bajo","Cliente Blindado")))</f>
        <v>Demasiado Riesgo</v>
      </c>
      <c r="BN213" s="328"/>
      <c r="BO213" s="328"/>
      <c r="BP213" s="328"/>
      <c r="BQ213" s="328"/>
      <c r="BR213" s="328"/>
      <c r="BS213" s="328"/>
      <c r="BT213" s="328"/>
      <c r="BU213" s="328"/>
      <c r="BV213" s="328"/>
      <c r="BW213" s="328"/>
      <c r="BX213" s="328"/>
      <c r="BY213" s="328"/>
      <c r="BZ213" s="328"/>
      <c r="CA213" s="328"/>
      <c r="CB213" s="328"/>
      <c r="CC213" s="328"/>
      <c r="CD213" s="328"/>
      <c r="CE213" s="328"/>
      <c r="CF213" s="328"/>
      <c r="CG213" s="328"/>
      <c r="CH213" s="328"/>
      <c r="CI213" s="328"/>
      <c r="CJ213" s="328"/>
      <c r="CK213" s="328"/>
      <c r="CL213" s="328">
        <f>COUNTIF(AT213:BH213,"*OK*")</f>
        <v>0</v>
      </c>
      <c r="CM213" s="328"/>
      <c r="CN213" s="328">
        <f>COUNTIF(AT213:BH213,"*OP*")</f>
        <v>0</v>
      </c>
    </row>
    <row r="214" spans="1:94" ht="15" customHeight="1">
      <c r="A214" s="835">
        <v>27747</v>
      </c>
      <c r="B214" s="560" t="s">
        <v>1454</v>
      </c>
      <c r="C214" s="329">
        <f t="shared" si="5"/>
        <v>182.03370000000001</v>
      </c>
      <c r="D214" s="352">
        <f>COUNTIF(AT214:BH214,"*OK*")</f>
        <v>0</v>
      </c>
      <c r="E214" s="351" t="s">
        <v>93</v>
      </c>
      <c r="F214" s="620" t="s">
        <v>1455</v>
      </c>
      <c r="G214" s="351"/>
      <c r="H214" s="650">
        <f>IF(LEN(TRIM($G214&amp;""))=0, $C214, SUMIF($G$3:$G$561, TRIM($G214), $C$3:$C$561))</f>
        <v>182.03370000000001</v>
      </c>
      <c r="I214" s="353" t="s">
        <v>562</v>
      </c>
      <c r="J214" s="351"/>
      <c r="K214" s="349"/>
      <c r="L214" s="349" t="str">
        <f>HYPERLINK("https://crm.zoho.com/crm/org685875245/tab/Accounts/3525045000307053610","https://crm.zoho.com/crm/org685875245/tab/Accounts/3525045000307053610")</f>
        <v>https://crm.zoho.com/crm/org685875245/tab/Accounts/3525045000307053610</v>
      </c>
      <c r="M214" s="359" t="s">
        <v>525</v>
      </c>
      <c r="N214" s="359"/>
      <c r="O214" s="545" t="s">
        <v>1456</v>
      </c>
      <c r="P214" s="545" t="s">
        <v>1457</v>
      </c>
      <c r="Q214" s="545" t="s">
        <v>1458</v>
      </c>
      <c r="R214" s="359" t="s">
        <v>160</v>
      </c>
      <c r="S214" s="359"/>
      <c r="T214" s="351"/>
      <c r="U214" s="362" t="s">
        <v>315</v>
      </c>
      <c r="V214" s="355">
        <v>1101.27</v>
      </c>
      <c r="W214" s="355">
        <v>200.47</v>
      </c>
      <c r="X214" s="355">
        <v>185.72</v>
      </c>
      <c r="Y214" s="356">
        <v>188.03</v>
      </c>
      <c r="Z214" s="337">
        <v>195.20269999999999</v>
      </c>
      <c r="AA214" s="365">
        <v>193.06</v>
      </c>
      <c r="AB214" s="365">
        <v>195.61799999999999</v>
      </c>
      <c r="AC214" s="635">
        <v>194.49359999999999</v>
      </c>
      <c r="AD214" s="365">
        <v>182.03370000000001</v>
      </c>
      <c r="AE214" s="357">
        <v>193</v>
      </c>
      <c r="AF214" s="358">
        <v>1000</v>
      </c>
      <c r="AG214" s="354"/>
      <c r="AH214" s="359"/>
      <c r="AI214" s="370" t="s">
        <v>1459</v>
      </c>
      <c r="AJ214" s="361" t="s">
        <v>161</v>
      </c>
      <c r="AK214" s="362" t="s">
        <v>1460</v>
      </c>
      <c r="AL214" s="358" t="s">
        <v>103</v>
      </c>
      <c r="AM214" s="349"/>
      <c r="AN214" s="349" t="s">
        <v>152</v>
      </c>
      <c r="AO214" s="349"/>
      <c r="AP214" s="349" t="s">
        <v>1461</v>
      </c>
      <c r="AQ214" s="349"/>
      <c r="AR214" s="453"/>
      <c r="AS214" s="371"/>
      <c r="AT214" s="345"/>
      <c r="AU214" s="345"/>
      <c r="AV214" s="345"/>
      <c r="AW214" s="345"/>
      <c r="AX214" s="345"/>
      <c r="AY214" s="345"/>
      <c r="AZ214" s="345"/>
      <c r="BA214" s="345"/>
      <c r="BB214" s="345"/>
      <c r="BC214" s="345"/>
      <c r="BD214" s="345"/>
      <c r="BE214" s="345"/>
      <c r="BF214" s="345"/>
      <c r="BG214" s="345"/>
      <c r="BH214" s="345"/>
      <c r="BI214" s="345"/>
      <c r="BJ214" s="364">
        <f>COUNTIF(AT214:BI214,"*OP*")</f>
        <v>0</v>
      </c>
      <c r="BK214" s="363" t="s">
        <v>103</v>
      </c>
      <c r="BL214" s="349">
        <f>(COUNTIF(AT214:AV214,"*OK*")*3) + (COUNTIF(AW214:AY214,"*OK*")*2) + COUNTIF(AZ214:BB214,"*OK*")+COUNTIF(BK214:BK214,"SI")*0.5</f>
        <v>0</v>
      </c>
      <c r="BM214" s="349" t="str">
        <f>IF(BL214&lt;0.6,"Demasiado Riesgo",IF(BL214&lt;=5,"Riesgo Medio",IF(BL214&lt;=11,"Riesgo Bajo","Cliente Blindado")))</f>
        <v>Demasiado Riesgo</v>
      </c>
      <c r="BN214" s="349"/>
      <c r="BO214" s="328"/>
      <c r="BP214" s="328"/>
      <c r="BQ214" s="328"/>
      <c r="BR214" s="328"/>
      <c r="BS214" s="328"/>
      <c r="BT214" s="328"/>
      <c r="BU214" s="328"/>
      <c r="BV214" s="328"/>
      <c r="BW214" s="328"/>
      <c r="BX214" s="328"/>
      <c r="BY214" s="328"/>
      <c r="BZ214" s="328"/>
      <c r="CA214" s="328"/>
      <c r="CB214" s="328"/>
      <c r="CC214" s="328"/>
      <c r="CD214" s="328"/>
      <c r="CE214" s="328"/>
      <c r="CF214" s="328"/>
      <c r="CG214" s="328"/>
      <c r="CH214" s="328"/>
      <c r="CI214" s="328"/>
      <c r="CJ214" s="328"/>
      <c r="CK214" s="328"/>
      <c r="CL214" s="328">
        <f>COUNTIF(AT214:BH214,"*OK*")</f>
        <v>0</v>
      </c>
      <c r="CM214" s="328"/>
      <c r="CN214" s="328">
        <f>COUNTIF(AT214:BH214,"*OP*")</f>
        <v>0</v>
      </c>
      <c r="CP214" s="425"/>
    </row>
    <row r="215" spans="1:94" ht="15" customHeight="1">
      <c r="A215" s="836">
        <v>20442</v>
      </c>
      <c r="B215" s="560" t="s">
        <v>1462</v>
      </c>
      <c r="C215" s="329">
        <f t="shared" si="5"/>
        <v>196.7003</v>
      </c>
      <c r="D215" s="332">
        <f>COUNTIF(AT215:BH215,"*OK*")</f>
        <v>0</v>
      </c>
      <c r="E215" s="331" t="s">
        <v>439</v>
      </c>
      <c r="F215" s="331" t="s">
        <v>1463</v>
      </c>
      <c r="G215" s="331"/>
      <c r="H215" s="650">
        <f>IF(LEN(TRIM($G215&amp;""))=0, $C215, SUMIF($G$3:$G$561, TRIM($G215), $C$3:$C$561))</f>
        <v>196.7003</v>
      </c>
      <c r="I215" s="333" t="s">
        <v>562</v>
      </c>
      <c r="J215" s="331"/>
      <c r="K215" s="328"/>
      <c r="L215" s="328" t="str">
        <f>HYPERLINK("https://crm.zoho.com/crm/org685875245/tab/Accounts/3525045000197701677","https://crm.zoho.com/crm/org685875245/tab/Accounts/3525045000197701677")</f>
        <v>https://crm.zoho.com/crm/org685875245/tab/Accounts/3525045000197701677</v>
      </c>
      <c r="M215" s="391" t="s">
        <v>96</v>
      </c>
      <c r="N215" s="332"/>
      <c r="O215" s="541" t="s">
        <v>1029</v>
      </c>
      <c r="P215" s="541" t="s">
        <v>1464</v>
      </c>
      <c r="Q215" s="541" t="s">
        <v>1465</v>
      </c>
      <c r="R215" s="332"/>
      <c r="S215" s="332"/>
      <c r="T215" s="331"/>
      <c r="U215" s="334" t="s">
        <v>82</v>
      </c>
      <c r="V215" s="335">
        <v>108.81</v>
      </c>
      <c r="W215" s="335">
        <v>119.58</v>
      </c>
      <c r="X215" s="335">
        <v>120.87</v>
      </c>
      <c r="Y215" s="336">
        <v>124.76</v>
      </c>
      <c r="Z215" s="337">
        <v>162.5591</v>
      </c>
      <c r="AA215" s="365">
        <v>160.78</v>
      </c>
      <c r="AB215" s="365">
        <v>165.73589999999999</v>
      </c>
      <c r="AC215" s="635">
        <v>194.46719999999999</v>
      </c>
      <c r="AD215" s="365">
        <v>196.7003</v>
      </c>
      <c r="AE215" s="339">
        <v>48</v>
      </c>
      <c r="AF215" s="340">
        <v>50</v>
      </c>
      <c r="AG215" s="334"/>
      <c r="AH215" s="341"/>
      <c r="AI215" s="418" t="s">
        <v>83</v>
      </c>
      <c r="AJ215" s="343" t="s">
        <v>396</v>
      </c>
      <c r="AK215" s="344" t="s">
        <v>1466</v>
      </c>
      <c r="AL215" s="340" t="s">
        <v>103</v>
      </c>
      <c r="AM215" s="328"/>
      <c r="AN215" s="328"/>
      <c r="AO215" s="328"/>
      <c r="AP215" s="328"/>
      <c r="AQ215" s="328"/>
      <c r="AR215" s="451"/>
      <c r="AS215" s="372" t="s">
        <v>103</v>
      </c>
      <c r="AT215" s="345"/>
      <c r="AU215" s="345"/>
      <c r="AV215" s="345"/>
      <c r="AW215" s="345"/>
      <c r="AX215" s="345"/>
      <c r="AY215" s="345"/>
      <c r="AZ215" s="345"/>
      <c r="BA215" s="345"/>
      <c r="BB215" s="345"/>
      <c r="BC215" s="345"/>
      <c r="BD215" s="345"/>
      <c r="BE215" s="345"/>
      <c r="BF215" s="345"/>
      <c r="BG215" s="345"/>
      <c r="BH215" s="345"/>
      <c r="BI215" s="345"/>
      <c r="BJ215" s="364">
        <f>COUNTIF(AT215:BI215,"*OP*")</f>
        <v>0</v>
      </c>
      <c r="BK215" s="375" t="s">
        <v>103</v>
      </c>
      <c r="BL215" s="328">
        <f>(COUNTIF(AT215:AV215,"*OK*")*3) + (COUNTIF(AW215:AY215,"*OK*")*2) + COUNTIF(AZ215:BB215,"*OK*")+COUNTIF(BK215:BK215,"SI")*0.5</f>
        <v>0</v>
      </c>
      <c r="BM215" s="328" t="str">
        <f>IF(BL215&lt;0.6,"Demasiado Riesgo",IF(BL215&lt;=5,"Riesgo Medio",IF(BL215&lt;=11,"Riesgo Bajo","Cliente Blindado")))</f>
        <v>Demasiado Riesgo</v>
      </c>
      <c r="BN215" s="328"/>
      <c r="BO215" s="328"/>
      <c r="BP215" s="328"/>
      <c r="BQ215" s="328"/>
      <c r="BR215" s="328"/>
      <c r="BS215" s="328"/>
      <c r="BT215" s="328"/>
      <c r="BU215" s="328"/>
      <c r="BV215" s="328"/>
      <c r="BW215" s="328"/>
      <c r="BX215" s="328"/>
      <c r="BY215" s="328"/>
      <c r="BZ215" s="328"/>
      <c r="CA215" s="328"/>
      <c r="CB215" s="328"/>
      <c r="CC215" s="328"/>
      <c r="CD215" s="328"/>
      <c r="CE215" s="328"/>
      <c r="CF215" s="328"/>
      <c r="CG215" s="328"/>
      <c r="CH215" s="328"/>
      <c r="CI215" s="328"/>
      <c r="CJ215" s="328"/>
      <c r="CK215" s="328"/>
      <c r="CL215" s="328">
        <f>COUNTIF(AT215:BH215,"*OK*")</f>
        <v>0</v>
      </c>
      <c r="CM215" s="328"/>
      <c r="CN215" s="328">
        <f>COUNTIF(AT215:BH215,"*OP*")</f>
        <v>0</v>
      </c>
    </row>
    <row r="216" spans="1:94" ht="15" customHeight="1">
      <c r="A216" s="835">
        <v>26334</v>
      </c>
      <c r="B216" s="560" t="s">
        <v>1467</v>
      </c>
      <c r="C216" s="329">
        <f t="shared" si="5"/>
        <v>163.67660000000001</v>
      </c>
      <c r="D216" s="352">
        <f>COUNTIF(AT216:BH216,"*OK*")</f>
        <v>0</v>
      </c>
      <c r="E216" s="331" t="s">
        <v>782</v>
      </c>
      <c r="F216" s="350" t="s">
        <v>1468</v>
      </c>
      <c r="G216" s="351"/>
      <c r="H216" s="650">
        <f>IF(LEN(TRIM($G216&amp;""))=0, $C216, SUMIF($G$3:$G$561, TRIM($G216), $C$3:$C$561))</f>
        <v>163.67660000000001</v>
      </c>
      <c r="I216" s="351" t="s">
        <v>562</v>
      </c>
      <c r="J216" s="351"/>
      <c r="K216" s="349"/>
      <c r="L216" s="349" t="str">
        <f>HYPERLINK("https://crm.zoho.com/crm/org685875245/tab/Accounts/3525045000354852479","https://crm.zoho.com/crm/org685875245/tab/Accounts/3525045000354852479")</f>
        <v>https://crm.zoho.com/crm/org685875245/tab/Accounts/3525045000354852479</v>
      </c>
      <c r="M216" s="553"/>
      <c r="N216" s="352"/>
      <c r="O216" s="540" t="s">
        <v>1469</v>
      </c>
      <c r="P216" s="540" t="s">
        <v>1470</v>
      </c>
      <c r="Q216" s="540" t="s">
        <v>1471</v>
      </c>
      <c r="R216" s="352"/>
      <c r="S216" s="352"/>
      <c r="T216" s="351"/>
      <c r="U216" s="362" t="s">
        <v>387</v>
      </c>
      <c r="V216" s="355">
        <v>36.659999999999997</v>
      </c>
      <c r="W216" s="355">
        <v>47.9</v>
      </c>
      <c r="X216" s="355">
        <v>37.590000000000003</v>
      </c>
      <c r="Y216" s="356">
        <v>47.12</v>
      </c>
      <c r="Z216" s="337">
        <v>73.029600000000002</v>
      </c>
      <c r="AA216" s="365">
        <v>52.78</v>
      </c>
      <c r="AB216" s="365">
        <v>112.0586</v>
      </c>
      <c r="AC216" s="635">
        <v>194.0018</v>
      </c>
      <c r="AD216" s="365">
        <v>163.67660000000001</v>
      </c>
      <c r="AE216" s="357">
        <v>61</v>
      </c>
      <c r="AF216" s="358">
        <v>200</v>
      </c>
      <c r="AG216" s="354"/>
      <c r="AH216" s="359"/>
      <c r="AI216" s="427" t="s">
        <v>83</v>
      </c>
      <c r="AJ216" s="361" t="s">
        <v>150</v>
      </c>
      <c r="AK216" s="362" t="s">
        <v>1472</v>
      </c>
      <c r="AL216" s="358" t="s">
        <v>103</v>
      </c>
      <c r="AM216" s="349"/>
      <c r="AN216" s="349"/>
      <c r="AO216" s="349"/>
      <c r="AP216" s="349"/>
      <c r="AQ216" s="349"/>
      <c r="AR216" s="453"/>
      <c r="AS216" s="371" t="s">
        <v>103</v>
      </c>
      <c r="AT216" s="445"/>
      <c r="AU216" s="445"/>
      <c r="AV216" s="445"/>
      <c r="AW216" s="445"/>
      <c r="AX216" s="445"/>
      <c r="AY216" s="445"/>
      <c r="AZ216" s="445"/>
      <c r="BA216" s="445"/>
      <c r="BB216" s="445"/>
      <c r="BC216" s="445"/>
      <c r="BD216" s="445"/>
      <c r="BE216" s="445"/>
      <c r="BF216" s="445"/>
      <c r="BG216" s="445"/>
      <c r="BH216" s="445"/>
      <c r="BI216" s="445"/>
      <c r="BJ216" s="446">
        <f>COUNTIF(AT216:BI216,"*OP*")</f>
        <v>0</v>
      </c>
      <c r="BK216" s="363" t="s">
        <v>103</v>
      </c>
      <c r="BL216" s="349">
        <f>(COUNTIF(AT216:AV216,"*OK*")*3) + (COUNTIF(AW216:AY216,"*OK*")*2) + COUNTIF(AZ216:BB216,"*OK*")+COUNTIF(BK216:BK216,"SI")*0.5</f>
        <v>0</v>
      </c>
      <c r="BM216" s="349" t="str">
        <f>IF(BL216&lt;0.6,"Demasiado Riesgo",IF(BL216&lt;=5,"Riesgo Medio",IF(BL216&lt;=11,"Riesgo Bajo","Cliente Blindado")))</f>
        <v>Demasiado Riesgo</v>
      </c>
      <c r="BN216" s="349"/>
      <c r="BO216" s="328"/>
      <c r="BP216" s="328">
        <v>0</v>
      </c>
      <c r="BQ216" s="328"/>
      <c r="BR216" s="328"/>
      <c r="BS216" s="328"/>
      <c r="BT216" s="328"/>
      <c r="BU216" s="328"/>
      <c r="BV216" s="328"/>
      <c r="BW216" s="328"/>
      <c r="BX216" s="328"/>
      <c r="BY216" s="328"/>
      <c r="BZ216" s="328"/>
      <c r="CA216" s="328"/>
      <c r="CB216" s="328"/>
      <c r="CC216" s="328"/>
      <c r="CD216" s="328"/>
      <c r="CE216" s="328"/>
      <c r="CF216" s="328"/>
      <c r="CG216" s="328"/>
      <c r="CH216" s="328"/>
      <c r="CI216" s="328"/>
      <c r="CJ216" s="328"/>
      <c r="CK216" s="328"/>
      <c r="CL216" s="328">
        <f>COUNTIF(AT216:BH216,"*OK*")</f>
        <v>0</v>
      </c>
      <c r="CM216" s="328"/>
      <c r="CN216" s="328">
        <f>COUNTIF(AT216:BH216,"*OP*")</f>
        <v>0</v>
      </c>
    </row>
    <row r="217" spans="1:94" s="448" customFormat="1" ht="15" customHeight="1">
      <c r="A217" s="836">
        <v>20787</v>
      </c>
      <c r="B217" s="560" t="s">
        <v>1473</v>
      </c>
      <c r="C217" s="329">
        <f t="shared" si="5"/>
        <v>175.09440000000001</v>
      </c>
      <c r="D217" s="332">
        <f>COUNTIF(AT217:BH217,"*OK*")</f>
        <v>0</v>
      </c>
      <c r="E217" s="331" t="s">
        <v>73</v>
      </c>
      <c r="F217" s="331" t="s">
        <v>1474</v>
      </c>
      <c r="G217" s="331"/>
      <c r="H217" s="650">
        <f>IF(LEN(TRIM($G217&amp;""))=0, $C217, SUMIF($G$3:$G$561, TRIM($G217), $C$3:$C$561))</f>
        <v>175.09440000000001</v>
      </c>
      <c r="I217" s="333" t="s">
        <v>562</v>
      </c>
      <c r="J217" s="331"/>
      <c r="K217" s="560"/>
      <c r="L217" s="560" t="str">
        <f>HYPERLINK("https://crm.zoho.com/crm/org685875245/tab/Accounts/3525045000209983001","https://crm.zoho.com/crm/org685875245/tab/Accounts/3525045000209983001")</f>
        <v>https://crm.zoho.com/crm/org685875245/tab/Accounts/3525045000209983001</v>
      </c>
      <c r="M217" s="391" t="s">
        <v>96</v>
      </c>
      <c r="N217" s="560"/>
      <c r="O217" s="561" t="s">
        <v>1340</v>
      </c>
      <c r="P217" s="561" t="s">
        <v>1475</v>
      </c>
      <c r="Q217" s="561" t="s">
        <v>1476</v>
      </c>
      <c r="R217" s="560"/>
      <c r="S217" s="332"/>
      <c r="T217" s="331"/>
      <c r="U217" s="334" t="s">
        <v>960</v>
      </c>
      <c r="V217" s="335">
        <v>227.33</v>
      </c>
      <c r="W217" s="335">
        <v>227.12</v>
      </c>
      <c r="X217" s="335">
        <v>219.88</v>
      </c>
      <c r="Y217" s="336">
        <v>219.87</v>
      </c>
      <c r="Z217" s="337">
        <v>204.8545</v>
      </c>
      <c r="AA217" s="367">
        <v>209.72</v>
      </c>
      <c r="AB217" s="367">
        <v>215.071</v>
      </c>
      <c r="AC217" s="636">
        <v>193.47200000000001</v>
      </c>
      <c r="AD217" s="367">
        <v>175.09440000000001</v>
      </c>
      <c r="AE217" s="339">
        <v>51</v>
      </c>
      <c r="AF217" s="340">
        <v>100</v>
      </c>
      <c r="AG217" s="334"/>
      <c r="AH217" s="341" t="s">
        <v>83</v>
      </c>
      <c r="AI217" s="422" t="s">
        <v>83</v>
      </c>
      <c r="AJ217" s="343" t="s">
        <v>101</v>
      </c>
      <c r="AK217" s="344" t="s">
        <v>1477</v>
      </c>
      <c r="AL217" s="340" t="s">
        <v>101</v>
      </c>
      <c r="AM217" s="328"/>
      <c r="AN217" s="328"/>
      <c r="AO217" s="328"/>
      <c r="AP217" s="328"/>
      <c r="AQ217" s="328"/>
      <c r="AR217" s="451"/>
      <c r="AS217" s="372" t="s">
        <v>103</v>
      </c>
      <c r="AT217" s="345"/>
      <c r="AU217" s="345"/>
      <c r="AV217" s="345"/>
      <c r="AW217" s="345"/>
      <c r="AX217" s="345"/>
      <c r="AY217" s="345"/>
      <c r="AZ217" s="345"/>
      <c r="BA217" s="345"/>
      <c r="BB217" s="345"/>
      <c r="BC217" s="345"/>
      <c r="BD217" s="345"/>
      <c r="BE217" s="345"/>
      <c r="BF217" s="345"/>
      <c r="BG217" s="345"/>
      <c r="BH217" s="345"/>
      <c r="BI217" s="345"/>
      <c r="BJ217" s="364">
        <f>COUNTIF(AT217:BI217,"*OP*")</f>
        <v>0</v>
      </c>
      <c r="BK217" s="375" t="s">
        <v>103</v>
      </c>
      <c r="BL217" s="328">
        <f>(COUNTIF(AT217:AV217,"*OK*")*3) + (COUNTIF(AW217:AY217,"*OK*")*2) + COUNTIF(AZ217:BB217,"*OK*")+COUNTIF(BK217:BK217,"SI")*0.5</f>
        <v>0</v>
      </c>
      <c r="BM217" s="328" t="str">
        <f>IF(BL217&lt;0.6,"Demasiado Riesgo",IF(BL217&lt;=5,"Riesgo Medio",IF(BL217&lt;=11,"Riesgo Bajo","Cliente Blindado")))</f>
        <v>Demasiado Riesgo</v>
      </c>
      <c r="BN217" s="328"/>
      <c r="BO217" s="349"/>
      <c r="BP217" s="349">
        <v>0</v>
      </c>
      <c r="BQ217" s="349"/>
      <c r="BR217" s="349"/>
      <c r="BS217" s="349"/>
      <c r="BT217" s="349"/>
      <c r="BU217" s="349"/>
      <c r="BV217" s="349"/>
      <c r="BW217" s="349"/>
      <c r="BX217" s="349"/>
      <c r="BY217" s="349"/>
      <c r="BZ217" s="349"/>
      <c r="CA217" s="349"/>
      <c r="CB217" s="349"/>
      <c r="CC217" s="349"/>
      <c r="CD217" s="349"/>
      <c r="CE217" s="349"/>
      <c r="CF217" s="349"/>
      <c r="CG217" s="349"/>
      <c r="CH217" s="349"/>
      <c r="CI217" s="349"/>
      <c r="CJ217" s="349"/>
      <c r="CK217" s="349"/>
      <c r="CL217" s="349">
        <f>COUNTIF(AT217:BH217,"*OK*")</f>
        <v>0</v>
      </c>
      <c r="CM217" s="349"/>
      <c r="CN217" s="349">
        <f>COUNTIF(AT217:BH217,"*OP*")</f>
        <v>0</v>
      </c>
      <c r="CO217" s="287"/>
      <c r="CP217" s="287"/>
    </row>
    <row r="218" spans="1:94" ht="15" customHeight="1">
      <c r="A218" s="834">
        <v>27131</v>
      </c>
      <c r="B218" s="560" t="s">
        <v>1478</v>
      </c>
      <c r="C218" s="329">
        <f t="shared" si="5"/>
        <v>205.99340000000001</v>
      </c>
      <c r="D218" s="332">
        <f>COUNTIF(AT218:BH218,"*OK*")</f>
        <v>0</v>
      </c>
      <c r="E218" s="397" t="s">
        <v>439</v>
      </c>
      <c r="F218" s="497" t="s">
        <v>1479</v>
      </c>
      <c r="G218" s="331"/>
      <c r="H218" s="650">
        <f>IF(LEN(TRIM($G218&amp;""))=0, $C218, SUMIF($G$3:$G$561, TRIM($G218), $C$3:$C$561))</f>
        <v>205.99340000000001</v>
      </c>
      <c r="I218" s="331" t="s">
        <v>562</v>
      </c>
      <c r="J218" s="331"/>
      <c r="K218" s="328"/>
      <c r="L218" s="328" t="str">
        <f>HYPERLINK("https://crm.zoho.com/crm/org685875245/tab/Accounts/3525045000374121712","https://crm.zoho.com/crm/org685875245/tab/Accounts/3525045000374121712")</f>
        <v>https://crm.zoho.com/crm/org685875245/tab/Accounts/3525045000374121712</v>
      </c>
      <c r="M218" s="391"/>
      <c r="N218" s="332" t="s">
        <v>817</v>
      </c>
      <c r="O218" s="541"/>
      <c r="P218" s="541"/>
      <c r="Q218" s="541"/>
      <c r="R218" s="332" t="s">
        <v>1372</v>
      </c>
      <c r="S218" s="352" t="s">
        <v>860</v>
      </c>
      <c r="T218" s="397"/>
      <c r="U218" s="334" t="s">
        <v>1355</v>
      </c>
      <c r="V218" s="335">
        <v>216.51</v>
      </c>
      <c r="W218" s="335">
        <v>194.68</v>
      </c>
      <c r="X218" s="335">
        <v>171.78</v>
      </c>
      <c r="Y218" s="336">
        <v>173.76</v>
      </c>
      <c r="Z218" s="337">
        <v>183.29089999999999</v>
      </c>
      <c r="AA218" s="338">
        <v>195.5</v>
      </c>
      <c r="AB218" s="338">
        <v>204.31739999999999</v>
      </c>
      <c r="AC218" s="634">
        <v>193.47200000000001</v>
      </c>
      <c r="AD218" s="338">
        <v>205.99340000000001</v>
      </c>
      <c r="AE218" s="339">
        <v>60</v>
      </c>
      <c r="AF218" s="340">
        <v>200</v>
      </c>
      <c r="AG218" s="334"/>
      <c r="AH218" s="341"/>
      <c r="AI218" s="422" t="s">
        <v>83</v>
      </c>
      <c r="AJ218" s="343" t="s">
        <v>297</v>
      </c>
      <c r="AK218" s="344" t="s">
        <v>1480</v>
      </c>
      <c r="AL218" s="340" t="s">
        <v>483</v>
      </c>
      <c r="AM218" s="328"/>
      <c r="AN218" s="328"/>
      <c r="AO218" s="328"/>
      <c r="AP218" s="328"/>
      <c r="AQ218" s="328"/>
      <c r="AR218" s="451"/>
      <c r="AS218" s="372" t="s">
        <v>103</v>
      </c>
      <c r="AT218" s="345"/>
      <c r="AU218" s="345"/>
      <c r="AV218" s="345"/>
      <c r="AW218" s="345"/>
      <c r="AX218" s="345"/>
      <c r="AY218" s="345"/>
      <c r="AZ218" s="345"/>
      <c r="BA218" s="345"/>
      <c r="BB218" s="345"/>
      <c r="BC218" s="345"/>
      <c r="BD218" s="345"/>
      <c r="BE218" s="345"/>
      <c r="BF218" s="345"/>
      <c r="BG218" s="345"/>
      <c r="BH218" s="345"/>
      <c r="BI218" s="345"/>
      <c r="BJ218" s="364">
        <f>COUNTIF(AT218:BI218,"*OP*")</f>
        <v>0</v>
      </c>
      <c r="BK218" s="375" t="s">
        <v>103</v>
      </c>
      <c r="BL218" s="328">
        <f>(COUNTIF(AT218:AV218,"*OK*")*3) + (COUNTIF(AW218:AY218,"*OK*")*2) + COUNTIF(AZ218:BB218,"*OK*")+COUNTIF(BK218:BK218,"SI")*0.5</f>
        <v>0</v>
      </c>
      <c r="BM218" s="328" t="str">
        <f>IF(BL218&lt;0.6,"Demasiado Riesgo",IF(BL218&lt;=5,"Riesgo Medio",IF(BL218&lt;=11,"Riesgo Bajo","Cliente Blindado")))</f>
        <v>Demasiado Riesgo</v>
      </c>
      <c r="BN218" s="328"/>
      <c r="BO218" s="349"/>
      <c r="BP218" s="349">
        <v>0</v>
      </c>
      <c r="BQ218" s="349"/>
      <c r="BR218" s="349"/>
      <c r="BS218" s="349"/>
      <c r="BT218" s="349"/>
      <c r="BU218" s="349"/>
      <c r="BV218" s="349"/>
      <c r="BW218" s="349"/>
      <c r="BX218" s="349"/>
      <c r="BY218" s="349"/>
      <c r="BZ218" s="349"/>
      <c r="CA218" s="349"/>
      <c r="CB218" s="349"/>
      <c r="CC218" s="349"/>
      <c r="CD218" s="349"/>
      <c r="CE218" s="349"/>
      <c r="CF218" s="349"/>
      <c r="CG218" s="349"/>
      <c r="CH218" s="349"/>
      <c r="CI218" s="349"/>
      <c r="CJ218" s="349"/>
      <c r="CK218" s="349"/>
      <c r="CL218" s="349">
        <f>COUNTIF(AT218:BH218,"*OK*")</f>
        <v>0</v>
      </c>
      <c r="CM218" s="349"/>
      <c r="CN218" s="349">
        <f>COUNTIF(AT218:BH218,"*OP*")</f>
        <v>0</v>
      </c>
    </row>
    <row r="219" spans="1:94" ht="15" customHeight="1">
      <c r="A219" s="834">
        <v>23187</v>
      </c>
      <c r="B219" s="560" t="s">
        <v>1481</v>
      </c>
      <c r="C219" s="329">
        <f t="shared" si="5"/>
        <v>167.37860000000001</v>
      </c>
      <c r="D219" s="332">
        <f>COUNTIF(AT219:BH219,"*OK*")</f>
        <v>0</v>
      </c>
      <c r="E219" s="331" t="s">
        <v>439</v>
      </c>
      <c r="F219" s="331" t="s">
        <v>1482</v>
      </c>
      <c r="G219" s="331"/>
      <c r="H219" s="650">
        <f>IF(LEN(TRIM($G219&amp;""))=0, $C219, SUMIF($G$3:$G$561, TRIM($G219), $C$3:$C$561))</f>
        <v>167.37860000000001</v>
      </c>
      <c r="I219" s="410" t="s">
        <v>562</v>
      </c>
      <c r="J219" s="331"/>
      <c r="K219" s="328"/>
      <c r="L219" s="328"/>
      <c r="M219" s="391" t="s">
        <v>96</v>
      </c>
      <c r="N219" s="332"/>
      <c r="O219" s="541" t="s">
        <v>706</v>
      </c>
      <c r="P219" s="541" t="s">
        <v>1483</v>
      </c>
      <c r="Q219" s="541" t="s">
        <v>1484</v>
      </c>
      <c r="R219" s="332"/>
      <c r="S219" s="332"/>
      <c r="T219" s="331"/>
      <c r="U219" s="334" t="s">
        <v>82</v>
      </c>
      <c r="V219" s="335">
        <v>146.15</v>
      </c>
      <c r="W219" s="335">
        <v>175.76</v>
      </c>
      <c r="X219" s="335">
        <v>170.07</v>
      </c>
      <c r="Y219" s="336">
        <v>151.61000000000001</v>
      </c>
      <c r="Z219" s="337">
        <v>188.6919</v>
      </c>
      <c r="AA219" s="365">
        <v>175.96</v>
      </c>
      <c r="AB219" s="365">
        <v>169.3775</v>
      </c>
      <c r="AC219" s="635">
        <v>191.65700000000001</v>
      </c>
      <c r="AD219" s="365">
        <v>167.37860000000001</v>
      </c>
      <c r="AE219" s="339">
        <v>64</v>
      </c>
      <c r="AF219" s="340">
        <v>100</v>
      </c>
      <c r="AG219" s="334"/>
      <c r="AH219" s="341"/>
      <c r="AI219" s="422" t="s">
        <v>83</v>
      </c>
      <c r="AJ219" s="343" t="s">
        <v>143</v>
      </c>
      <c r="AK219" s="344" t="s">
        <v>1485</v>
      </c>
      <c r="AL219" s="340" t="s">
        <v>103</v>
      </c>
      <c r="AM219" s="328"/>
      <c r="AN219" s="328"/>
      <c r="AO219" s="328"/>
      <c r="AP219" s="328"/>
      <c r="AQ219" s="328"/>
      <c r="AR219" s="451"/>
      <c r="AS219" s="372" t="s">
        <v>103</v>
      </c>
      <c r="AT219" s="345"/>
      <c r="AU219" s="345"/>
      <c r="AV219" s="345"/>
      <c r="AW219" s="345"/>
      <c r="AX219" s="345"/>
      <c r="AY219" s="345"/>
      <c r="AZ219" s="345"/>
      <c r="BA219" s="345"/>
      <c r="BB219" s="345"/>
      <c r="BC219" s="345"/>
      <c r="BD219" s="345"/>
      <c r="BE219" s="345"/>
      <c r="BF219" s="345"/>
      <c r="BG219" s="345"/>
      <c r="BH219" s="345"/>
      <c r="BI219" s="345"/>
      <c r="BJ219" s="364">
        <f>COUNTIF(AT219:BI219,"*OP*")</f>
        <v>0</v>
      </c>
      <c r="BK219" s="375" t="s">
        <v>89</v>
      </c>
      <c r="BL219" s="328">
        <f>(COUNTIF(AT219:AV219,"*OK*")*3) + (COUNTIF(AW219:AY219,"*OK*")*2) + COUNTIF(AZ219:BB219,"*OK*")+COUNTIF(BK219:BK219,"SI")*0.5</f>
        <v>0</v>
      </c>
      <c r="BM219" s="328" t="str">
        <f>IF(BL219&lt;0.6,"Demasiado Riesgo",IF(BL219&lt;=5,"Riesgo Medio",IF(BL219&lt;=11,"Riesgo Bajo","Cliente Blindado")))</f>
        <v>Demasiado Riesgo</v>
      </c>
      <c r="BN219" s="328"/>
      <c r="BO219" s="328"/>
      <c r="BP219" s="328">
        <v>0</v>
      </c>
      <c r="BQ219" s="328"/>
      <c r="BR219" s="328"/>
      <c r="BS219" s="328"/>
      <c r="BT219" s="328"/>
      <c r="BU219" s="328"/>
      <c r="BV219" s="328"/>
      <c r="BW219" s="328"/>
      <c r="BX219" s="328"/>
      <c r="BY219" s="328"/>
      <c r="BZ219" s="328"/>
      <c r="CA219" s="328"/>
      <c r="CB219" s="328"/>
      <c r="CC219" s="328"/>
      <c r="CD219" s="328"/>
      <c r="CE219" s="328"/>
      <c r="CF219" s="328"/>
      <c r="CG219" s="328"/>
      <c r="CH219" s="328"/>
      <c r="CI219" s="328"/>
      <c r="CJ219" s="328"/>
      <c r="CK219" s="328"/>
      <c r="CL219" s="328">
        <f>COUNTIF(AT219:BH219,"*OK*")</f>
        <v>0</v>
      </c>
      <c r="CM219" s="328"/>
      <c r="CN219" s="328">
        <f>COUNTIF(AT219:BH219,"*OP*")</f>
        <v>0</v>
      </c>
    </row>
    <row r="220" spans="1:94" ht="15" customHeight="1">
      <c r="A220" s="834"/>
      <c r="B220" s="560" t="s">
        <v>1486</v>
      </c>
      <c r="C220" s="329">
        <f t="shared" si="5"/>
        <v>82.504400000000004</v>
      </c>
      <c r="D220" s="332">
        <f>COUNTIF(AX220:BI220,"OK")</f>
        <v>0</v>
      </c>
      <c r="E220" s="501" t="s">
        <v>782</v>
      </c>
      <c r="F220" s="536" t="s">
        <v>1487</v>
      </c>
      <c r="G220" s="537"/>
      <c r="H220" s="650">
        <f>IF(LEN(TRIM($G220&amp;""))=0, $C220, SUMIF($G$3:$G$561, TRIM($G220), $C$3:$C$561))</f>
        <v>82.504400000000004</v>
      </c>
      <c r="I220" s="501" t="s">
        <v>562</v>
      </c>
      <c r="J220" s="501" t="s">
        <v>103</v>
      </c>
      <c r="K220" s="328"/>
      <c r="L220" s="328" t="str">
        <f>HYPERLINK("https://crm.zoho.com/crm/org685875245/tab/Accounts/3525045000630200352","https://crm.zoho.com/crm/org685875245/tab/Accounts/3525045000630200352")</f>
        <v>https://crm.zoho.com/crm/org685875245/tab/Accounts/3525045000630200352</v>
      </c>
      <c r="M220" s="391"/>
      <c r="N220" s="501" t="s">
        <v>103</v>
      </c>
      <c r="O220" s="543" t="s">
        <v>1488</v>
      </c>
      <c r="P220" s="543" t="s">
        <v>1489</v>
      </c>
      <c r="Q220" s="543" t="s">
        <v>1490</v>
      </c>
      <c r="R220" s="501"/>
      <c r="S220" s="501" t="s">
        <v>103</v>
      </c>
      <c r="T220" s="501" t="s">
        <v>88</v>
      </c>
      <c r="U220" s="469" t="s">
        <v>103</v>
      </c>
      <c r="V220" s="501" t="s">
        <v>103</v>
      </c>
      <c r="W220" s="501" t="s">
        <v>103</v>
      </c>
      <c r="X220" s="501" t="s">
        <v>103</v>
      </c>
      <c r="Y220" s="470" t="s">
        <v>103</v>
      </c>
      <c r="Z220" s="513" t="s">
        <v>103</v>
      </c>
      <c r="AA220" s="518">
        <v>85.42</v>
      </c>
      <c r="AB220" s="518">
        <v>187.26259999999999</v>
      </c>
      <c r="AC220" s="639">
        <v>190.70529999999999</v>
      </c>
      <c r="AD220" s="518">
        <v>82.504400000000004</v>
      </c>
      <c r="AE220" s="327"/>
      <c r="AF220" s="372" t="s">
        <v>103</v>
      </c>
      <c r="AG220" s="344"/>
      <c r="AH220" s="328"/>
      <c r="AI220" s="342"/>
      <c r="AJ220" s="343"/>
      <c r="AK220" s="344"/>
      <c r="AL220" s="372" t="s">
        <v>103</v>
      </c>
      <c r="AM220" s="328"/>
      <c r="AN220" s="328"/>
      <c r="AO220" s="328"/>
      <c r="AP220" s="328"/>
      <c r="AQ220" s="328"/>
      <c r="AR220" s="451"/>
      <c r="AS220" s="444"/>
      <c r="AT220" s="345"/>
      <c r="AU220" s="345"/>
      <c r="AV220" s="345"/>
      <c r="AW220" s="345"/>
      <c r="AX220" s="345"/>
      <c r="AY220" s="345"/>
      <c r="AZ220" s="345"/>
      <c r="BA220" s="345"/>
      <c r="BB220" s="345"/>
      <c r="BC220" s="345"/>
      <c r="BD220" s="345"/>
      <c r="BE220" s="345"/>
      <c r="BF220" s="345"/>
      <c r="BG220" s="345"/>
      <c r="BH220" s="345"/>
      <c r="BI220" s="345"/>
      <c r="BJ220" s="364">
        <f>COUNTIF(AT220:BI220,"*OP*")</f>
        <v>0</v>
      </c>
      <c r="BK220" s="447"/>
      <c r="BL220" s="328">
        <f>(COUNTIF(AT220:AV220,"*OK*")*3) + (COUNTIF(AW220:AY220,"*OK*")*2) + COUNTIF(AZ220:BB220,"*OK*")+COUNTIF(BK220:BK220,"SI")*0.5</f>
        <v>0</v>
      </c>
      <c r="BM220" s="328" t="str">
        <f>IF(BL220&lt;0.6,"Demasiado Riesgo",IF(BL220&lt;=5,"Riesgo Medio",IF(BL220&lt;=11,"Riesgo Bajo","Cliente Blindado")))</f>
        <v>Demasiado Riesgo</v>
      </c>
      <c r="BN220" s="328"/>
      <c r="BO220" s="328"/>
      <c r="BP220" s="328"/>
      <c r="BQ220" s="328"/>
      <c r="BR220" s="328"/>
      <c r="BS220" s="328"/>
      <c r="BT220" s="328"/>
      <c r="BU220" s="328"/>
      <c r="BV220" s="328"/>
      <c r="BW220" s="328"/>
      <c r="BX220" s="328"/>
      <c r="BY220" s="328"/>
      <c r="BZ220" s="328"/>
      <c r="CA220" s="328"/>
      <c r="CB220" s="328"/>
      <c r="CC220" s="328"/>
      <c r="CD220" s="328"/>
      <c r="CE220" s="328"/>
      <c r="CF220" s="328"/>
      <c r="CG220" s="328"/>
      <c r="CH220" s="328"/>
      <c r="CI220" s="328"/>
      <c r="CJ220" s="328"/>
      <c r="CK220" s="328"/>
      <c r="CL220" s="328">
        <f>COUNTIF(AT220:BH220,"*OK*")</f>
        <v>0</v>
      </c>
    </row>
    <row r="221" spans="1:94" ht="15" customHeight="1">
      <c r="A221" s="837">
        <v>21542</v>
      </c>
      <c r="B221" s="560" t="s">
        <v>1491</v>
      </c>
      <c r="C221" s="329">
        <f t="shared" si="5"/>
        <v>178.45529999999999</v>
      </c>
      <c r="D221" s="352">
        <f>COUNTIF(AT221:BH221,"*OK*")</f>
        <v>0</v>
      </c>
      <c r="E221" s="351" t="s">
        <v>439</v>
      </c>
      <c r="F221" s="351" t="s">
        <v>1492</v>
      </c>
      <c r="G221" s="351"/>
      <c r="H221" s="650">
        <f>IF(LEN(TRIM($G221&amp;""))=0, $C221, SUMIF($G$3:$G$561, TRIM($G221), $C$3:$C$561))</f>
        <v>178.45529999999999</v>
      </c>
      <c r="I221" s="353" t="s">
        <v>562</v>
      </c>
      <c r="J221" s="351"/>
      <c r="K221" s="349"/>
      <c r="L221" s="349" t="str">
        <f>HYPERLINK("https://crm.zoho.com/crm/org685875245/tab/Accounts/3525045000225568026","https://crm.zoho.com/crm/org685875245/tab/Accounts/3525045000225568026")</f>
        <v>https://crm.zoho.com/crm/org685875245/tab/Accounts/3525045000225568026</v>
      </c>
      <c r="M221" s="553" t="s">
        <v>77</v>
      </c>
      <c r="N221" s="352"/>
      <c r="O221" s="540" t="s">
        <v>1493</v>
      </c>
      <c r="P221" s="540" t="s">
        <v>1494</v>
      </c>
      <c r="Q221" s="540" t="s">
        <v>1495</v>
      </c>
      <c r="R221" s="352"/>
      <c r="S221" s="352"/>
      <c r="T221" s="351"/>
      <c r="U221" s="354" t="s">
        <v>209</v>
      </c>
      <c r="V221" s="355">
        <v>180.98</v>
      </c>
      <c r="W221" s="355">
        <v>177.53</v>
      </c>
      <c r="X221" s="355">
        <v>172.31</v>
      </c>
      <c r="Y221" s="356">
        <v>181.1</v>
      </c>
      <c r="Z221" s="337">
        <v>183.5318</v>
      </c>
      <c r="AA221" s="347">
        <v>168.55</v>
      </c>
      <c r="AB221" s="347">
        <v>176.51310000000001</v>
      </c>
      <c r="AC221" s="638">
        <v>189.74469999999999</v>
      </c>
      <c r="AD221" s="347">
        <v>178.45529999999999</v>
      </c>
      <c r="AE221" s="357">
        <v>59</v>
      </c>
      <c r="AF221" s="358">
        <v>200</v>
      </c>
      <c r="AG221" s="354"/>
      <c r="AH221" s="359"/>
      <c r="AI221" s="370" t="s">
        <v>129</v>
      </c>
      <c r="AJ221" s="361" t="s">
        <v>101</v>
      </c>
      <c r="AK221" s="362" t="s">
        <v>1496</v>
      </c>
      <c r="AL221" s="358" t="s">
        <v>101</v>
      </c>
      <c r="AM221" s="349"/>
      <c r="AN221" s="349"/>
      <c r="AO221" s="349"/>
      <c r="AP221" s="349"/>
      <c r="AQ221" s="349"/>
      <c r="AR221" s="453"/>
      <c r="AS221" s="371" t="s">
        <v>88</v>
      </c>
      <c r="AT221" s="345"/>
      <c r="AU221" s="345"/>
      <c r="AV221" s="345"/>
      <c r="AW221" s="345"/>
      <c r="AX221" s="345"/>
      <c r="AY221" s="345"/>
      <c r="AZ221" s="345"/>
      <c r="BA221" s="345"/>
      <c r="BB221" s="345"/>
      <c r="BC221" s="345"/>
      <c r="BD221" s="345"/>
      <c r="BE221" s="345"/>
      <c r="BF221" s="345"/>
      <c r="BG221" s="345"/>
      <c r="BH221" s="345"/>
      <c r="BI221" s="345"/>
      <c r="BJ221" s="364">
        <f>COUNTIF(AT221:BI221,"*OP*")</f>
        <v>0</v>
      </c>
      <c r="BK221" s="363" t="s">
        <v>179</v>
      </c>
      <c r="BL221" s="349">
        <f>(COUNTIF(AT221:AV221,"*OK*")*3) + (COUNTIF(AW221:AY221,"*OK*")*2) + COUNTIF(AZ221:BB221,"*OK*")+COUNTIF(BK221:BK221,"SI")*0.5</f>
        <v>0</v>
      </c>
      <c r="BM221" s="349" t="str">
        <f>IF(BL221&lt;0.6,"Demasiado Riesgo",IF(BL221&lt;=5,"Riesgo Medio",IF(BL221&lt;=11,"Riesgo Bajo","Cliente Blindado")))</f>
        <v>Demasiado Riesgo</v>
      </c>
      <c r="BN221" s="349"/>
      <c r="BO221" s="349"/>
      <c r="BP221" s="349"/>
      <c r="BQ221" s="349"/>
      <c r="BR221" s="349"/>
      <c r="BS221" s="349"/>
      <c r="BT221" s="349"/>
      <c r="BU221" s="349"/>
      <c r="BV221" s="349"/>
      <c r="BW221" s="349"/>
      <c r="BX221" s="349"/>
      <c r="BY221" s="349"/>
      <c r="BZ221" s="349"/>
      <c r="CA221" s="349"/>
      <c r="CB221" s="349"/>
      <c r="CC221" s="349"/>
      <c r="CD221" s="349"/>
      <c r="CE221" s="349"/>
      <c r="CF221" s="349"/>
      <c r="CG221" s="349"/>
      <c r="CH221" s="349"/>
      <c r="CI221" s="349"/>
      <c r="CJ221" s="349"/>
      <c r="CK221" s="349"/>
      <c r="CL221" s="349">
        <f>COUNTIF(AT221:BH221,"*OK*")</f>
        <v>0</v>
      </c>
    </row>
    <row r="222" spans="1:94" ht="15" customHeight="1">
      <c r="A222" s="835">
        <v>37191</v>
      </c>
      <c r="B222" s="560" t="s">
        <v>1497</v>
      </c>
      <c r="C222" s="329">
        <f t="shared" si="5"/>
        <v>169.48009999999999</v>
      </c>
      <c r="D222" s="352">
        <f>COUNTIF(AT222:BH222,"*OK*")</f>
        <v>0</v>
      </c>
      <c r="E222" s="397" t="s">
        <v>439</v>
      </c>
      <c r="F222" s="351" t="s">
        <v>1498</v>
      </c>
      <c r="G222" s="351"/>
      <c r="H222" s="650">
        <f>IF(LEN(TRIM($G222&amp;""))=0, $C222, SUMIF($G$3:$G$561, TRIM($G222), $C$3:$C$561))</f>
        <v>169.48009999999999</v>
      </c>
      <c r="I222" s="353" t="s">
        <v>562</v>
      </c>
      <c r="J222" s="351"/>
      <c r="K222" s="349"/>
      <c r="L222" s="349" t="str">
        <f>HYPERLINK("https://crm.zoho.com/crm/org685875245/tab/Accounts/3525045000613613127","https://crm.zoho.com/crm/org685875245/tab/Accounts/3525045000613613127")</f>
        <v>https://crm.zoho.com/crm/org685875245/tab/Accounts/3525045000613613127</v>
      </c>
      <c r="M222" s="553"/>
      <c r="N222" s="332" t="s">
        <v>817</v>
      </c>
      <c r="O222" s="541" t="s">
        <v>1499</v>
      </c>
      <c r="P222" s="541" t="s">
        <v>1500</v>
      </c>
      <c r="Q222" s="541" t="s">
        <v>1501</v>
      </c>
      <c r="R222" s="332"/>
      <c r="S222" s="352"/>
      <c r="T222" s="397" t="s">
        <v>88</v>
      </c>
      <c r="U222" s="354" t="s">
        <v>895</v>
      </c>
      <c r="V222" s="355"/>
      <c r="W222" s="355"/>
      <c r="X222" s="355">
        <v>176.82</v>
      </c>
      <c r="Y222" s="356">
        <v>186.23</v>
      </c>
      <c r="Z222" s="337">
        <v>188.7381</v>
      </c>
      <c r="AA222" s="367">
        <v>190.4</v>
      </c>
      <c r="AB222" s="367">
        <v>192.00819999999999</v>
      </c>
      <c r="AC222" s="636">
        <v>187.8699</v>
      </c>
      <c r="AD222" s="367">
        <v>169.48009999999999</v>
      </c>
      <c r="AE222" s="357">
        <v>50</v>
      </c>
      <c r="AF222" s="358">
        <v>300</v>
      </c>
      <c r="AG222" s="354"/>
      <c r="AH222" s="359"/>
      <c r="AI222" s="370" t="s">
        <v>258</v>
      </c>
      <c r="AJ222" s="361" t="s">
        <v>150</v>
      </c>
      <c r="AK222" s="362" t="s">
        <v>1502</v>
      </c>
      <c r="AL222" s="358" t="s">
        <v>103</v>
      </c>
      <c r="AM222" s="349"/>
      <c r="AN222" s="349"/>
      <c r="AO222" s="349"/>
      <c r="AP222" s="349"/>
      <c r="AQ222" s="349"/>
      <c r="AR222" s="453"/>
      <c r="AS222" s="371" t="s">
        <v>103</v>
      </c>
      <c r="AT222" s="345"/>
      <c r="AU222" s="345"/>
      <c r="AV222" s="345"/>
      <c r="AW222" s="345"/>
      <c r="AX222" s="345"/>
      <c r="AY222" s="345"/>
      <c r="AZ222" s="345"/>
      <c r="BA222" s="345"/>
      <c r="BB222" s="345"/>
      <c r="BC222" s="345"/>
      <c r="BD222" s="345"/>
      <c r="BE222" s="345"/>
      <c r="BF222" s="345"/>
      <c r="BG222" s="345"/>
      <c r="BH222" s="345"/>
      <c r="BI222" s="345"/>
      <c r="BJ222" s="364">
        <f>COUNTIF(AT222:BI222,"*OP*")</f>
        <v>0</v>
      </c>
      <c r="BK222" s="363" t="s">
        <v>103</v>
      </c>
      <c r="BL222" s="349">
        <f>(COUNTIF(AT222:AV222,"*OK*")*3) + (COUNTIF(AW222:AY222,"*OK*")*2) + COUNTIF(AZ222:BB222,"*OK*")+COUNTIF(BK222:BK222,"SI")*0.5</f>
        <v>0</v>
      </c>
      <c r="BM222" s="349" t="str">
        <f>IF(BL222&lt;0.6,"Demasiado Riesgo",IF(BL222&lt;=5,"Riesgo Medio",IF(BL222&lt;=11,"Riesgo Bajo","Cliente Blindado")))</f>
        <v>Demasiado Riesgo</v>
      </c>
      <c r="BN222" s="349"/>
      <c r="BO222" s="328"/>
      <c r="BP222" s="328">
        <v>0</v>
      </c>
      <c r="BQ222" s="328"/>
      <c r="BR222" s="328"/>
      <c r="BS222" s="328"/>
      <c r="BT222" s="328"/>
      <c r="BU222" s="328"/>
      <c r="BV222" s="328"/>
      <c r="BW222" s="328"/>
      <c r="BX222" s="328"/>
      <c r="BY222" s="328"/>
      <c r="BZ222" s="328"/>
      <c r="CA222" s="328"/>
      <c r="CB222" s="328"/>
      <c r="CC222" s="328"/>
      <c r="CD222" s="328"/>
      <c r="CE222" s="328"/>
      <c r="CF222" s="328"/>
      <c r="CG222" s="328"/>
      <c r="CH222" s="328"/>
      <c r="CI222" s="328"/>
      <c r="CJ222" s="328"/>
      <c r="CK222" s="328"/>
      <c r="CL222" s="328">
        <f>COUNTIF(AT222:BH222,"*OK*")</f>
        <v>0</v>
      </c>
      <c r="CM222" s="328"/>
      <c r="CN222" s="328">
        <f>COUNTIF(AT222:BH222,"*OP*")</f>
        <v>0</v>
      </c>
      <c r="CP222" s="285"/>
    </row>
    <row r="223" spans="1:94" ht="15" customHeight="1">
      <c r="A223" s="835">
        <v>35509</v>
      </c>
      <c r="B223" s="560" t="s">
        <v>1503</v>
      </c>
      <c r="C223" s="329">
        <f t="shared" si="5"/>
        <v>190.12139999999999</v>
      </c>
      <c r="D223" s="352">
        <f>COUNTIF(AT223:BH223,"*OK*")</f>
        <v>0</v>
      </c>
      <c r="E223" s="397" t="s">
        <v>439</v>
      </c>
      <c r="F223" s="351" t="s">
        <v>1504</v>
      </c>
      <c r="G223" s="351"/>
      <c r="H223" s="650">
        <f>IF(LEN(TRIM($G223&amp;""))=0, $C223, SUMIF($G$3:$G$561, TRIM($G223), $C$3:$C$561))</f>
        <v>190.12139999999999</v>
      </c>
      <c r="I223" s="353" t="s">
        <v>562</v>
      </c>
      <c r="J223" s="351"/>
      <c r="K223" s="349"/>
      <c r="L223" s="349" t="str">
        <f>HYPERLINK("https://crm.zoho.com/crm/org685875245/tab/Accounts/3525045000544680587","https://crm.zoho.com/crm/org685875245/tab/Accounts/3525045000544680587")</f>
        <v>https://crm.zoho.com/crm/org685875245/tab/Accounts/3525045000544680587</v>
      </c>
      <c r="M223" s="553"/>
      <c r="N223" s="332" t="s">
        <v>817</v>
      </c>
      <c r="O223" s="541" t="s">
        <v>1505</v>
      </c>
      <c r="P223" s="541" t="s">
        <v>1506</v>
      </c>
      <c r="Q223" s="541" t="s">
        <v>1507</v>
      </c>
      <c r="R223" s="332" t="s">
        <v>1508</v>
      </c>
      <c r="S223" s="352"/>
      <c r="T223" s="397"/>
      <c r="U223" s="354" t="s">
        <v>82</v>
      </c>
      <c r="V223" s="355">
        <v>226.22</v>
      </c>
      <c r="W223" s="355">
        <v>195.87</v>
      </c>
      <c r="X223" s="355">
        <v>193.84</v>
      </c>
      <c r="Y223" s="356">
        <v>214.91</v>
      </c>
      <c r="Z223" s="337">
        <v>206.5316</v>
      </c>
      <c r="AA223" s="347">
        <v>189.41</v>
      </c>
      <c r="AB223" s="347">
        <v>191.00899999999999</v>
      </c>
      <c r="AC223" s="638">
        <v>186.89230000000001</v>
      </c>
      <c r="AD223" s="347">
        <v>190.12139999999999</v>
      </c>
      <c r="AE223" s="357">
        <v>50</v>
      </c>
      <c r="AF223" s="358">
        <v>100</v>
      </c>
      <c r="AG223" s="354"/>
      <c r="AH223" s="359"/>
      <c r="AI223" s="360" t="s">
        <v>83</v>
      </c>
      <c r="AJ223" s="361" t="s">
        <v>396</v>
      </c>
      <c r="AK223" s="362" t="s">
        <v>1509</v>
      </c>
      <c r="AL223" s="358" t="s">
        <v>103</v>
      </c>
      <c r="AM223" s="349"/>
      <c r="AN223" s="349"/>
      <c r="AO223" s="349"/>
      <c r="AP223" s="349"/>
      <c r="AQ223" s="349"/>
      <c r="AR223" s="453"/>
      <c r="AS223" s="371" t="s">
        <v>103</v>
      </c>
      <c r="AT223" s="345"/>
      <c r="AU223" s="345"/>
      <c r="AV223" s="345"/>
      <c r="AW223" s="345"/>
      <c r="AX223" s="345"/>
      <c r="AY223" s="345"/>
      <c r="AZ223" s="345"/>
      <c r="BA223" s="345"/>
      <c r="BB223" s="345"/>
      <c r="BC223" s="345"/>
      <c r="BD223" s="345"/>
      <c r="BE223" s="345"/>
      <c r="BF223" s="345"/>
      <c r="BG223" s="345"/>
      <c r="BH223" s="345"/>
      <c r="BI223" s="345"/>
      <c r="BJ223" s="364">
        <f>COUNTIF(AT223:BI223,"*OP*")</f>
        <v>0</v>
      </c>
      <c r="BK223" s="363" t="s">
        <v>103</v>
      </c>
      <c r="BL223" s="349">
        <f>(COUNTIF(AT223:AV223,"*OK*")*3) + (COUNTIF(AW223:AY223,"*OK*")*2) + COUNTIF(AZ223:BB223,"*OK*")+COUNTIF(BK223:BK223,"SI")*0.5</f>
        <v>0</v>
      </c>
      <c r="BM223" s="349" t="str">
        <f>IF(BL223&lt;0.6,"Demasiado Riesgo",IF(BL223&lt;=5,"Riesgo Medio",IF(BL223&lt;=11,"Riesgo Bajo","Cliente Blindado")))</f>
        <v>Demasiado Riesgo</v>
      </c>
      <c r="BN223" s="349"/>
      <c r="BO223" s="328"/>
      <c r="BP223" s="328">
        <v>0</v>
      </c>
      <c r="BQ223" s="328"/>
      <c r="BR223" s="328"/>
      <c r="BS223" s="328"/>
      <c r="BT223" s="328"/>
      <c r="BU223" s="328"/>
      <c r="BV223" s="328"/>
      <c r="BW223" s="328"/>
      <c r="BX223" s="328"/>
      <c r="BY223" s="328"/>
      <c r="BZ223" s="328"/>
      <c r="CA223" s="328"/>
      <c r="CB223" s="328"/>
      <c r="CC223" s="328"/>
      <c r="CD223" s="328"/>
      <c r="CE223" s="328"/>
      <c r="CF223" s="328"/>
      <c r="CG223" s="328"/>
      <c r="CH223" s="328"/>
      <c r="CI223" s="328"/>
      <c r="CJ223" s="328"/>
      <c r="CK223" s="328"/>
      <c r="CL223" s="328">
        <f>COUNTIF(AT223:BH223,"*OK*")</f>
        <v>0</v>
      </c>
      <c r="CM223" s="328"/>
      <c r="CN223" s="328">
        <f>COUNTIF(AT223:BH223,"*OP*")</f>
        <v>0</v>
      </c>
    </row>
    <row r="224" spans="1:94" ht="15" customHeight="1">
      <c r="A224" s="835">
        <v>19276</v>
      </c>
      <c r="B224" s="560" t="s">
        <v>1510</v>
      </c>
      <c r="C224" s="329">
        <f t="shared" si="5"/>
        <v>196.19649999999999</v>
      </c>
      <c r="D224" s="352">
        <f>COUNTIF(AT224:BH224,"*OK*")</f>
        <v>0</v>
      </c>
      <c r="E224" s="351" t="s">
        <v>439</v>
      </c>
      <c r="F224" s="351" t="s">
        <v>1511</v>
      </c>
      <c r="G224" s="351"/>
      <c r="H224" s="650">
        <f>IF(LEN(TRIM($G224&amp;""))=0, $C224, SUMIF($G$3:$G$561, TRIM($G224), $C$3:$C$561))</f>
        <v>196.19649999999999</v>
      </c>
      <c r="I224" s="413" t="s">
        <v>562</v>
      </c>
      <c r="J224" s="351"/>
      <c r="K224" s="349"/>
      <c r="L224" s="349"/>
      <c r="M224" s="553" t="s">
        <v>96</v>
      </c>
      <c r="N224" s="352"/>
      <c r="O224" s="540" t="s">
        <v>1512</v>
      </c>
      <c r="P224" s="540" t="s">
        <v>1513</v>
      </c>
      <c r="Q224" s="540" t="s">
        <v>1514</v>
      </c>
      <c r="R224" s="352"/>
      <c r="S224" s="352"/>
      <c r="T224" s="351"/>
      <c r="U224" s="354" t="s">
        <v>82</v>
      </c>
      <c r="V224" s="355">
        <v>214.98</v>
      </c>
      <c r="W224" s="355">
        <v>230.13</v>
      </c>
      <c r="X224" s="355">
        <v>223.49</v>
      </c>
      <c r="Y224" s="356">
        <v>250.08</v>
      </c>
      <c r="Z224" s="337">
        <v>144.20349999999999</v>
      </c>
      <c r="AA224" s="338">
        <v>153.43</v>
      </c>
      <c r="AB224" s="338">
        <v>172.15469999999999</v>
      </c>
      <c r="AC224" s="634">
        <v>186.41579999999999</v>
      </c>
      <c r="AD224" s="338">
        <v>196.19649999999999</v>
      </c>
      <c r="AE224" s="357">
        <v>110</v>
      </c>
      <c r="AF224" s="358">
        <v>150</v>
      </c>
      <c r="AG224" s="354"/>
      <c r="AH224" s="359"/>
      <c r="AI224" s="427" t="s">
        <v>83</v>
      </c>
      <c r="AJ224" s="361" t="s">
        <v>852</v>
      </c>
      <c r="AK224" s="362" t="s">
        <v>1515</v>
      </c>
      <c r="AL224" s="358" t="s">
        <v>103</v>
      </c>
      <c r="AM224" s="349"/>
      <c r="AN224" s="349"/>
      <c r="AO224" s="349"/>
      <c r="AP224" s="349"/>
      <c r="AQ224" s="349"/>
      <c r="AR224" s="453"/>
      <c r="AS224" s="371" t="s">
        <v>103</v>
      </c>
      <c r="AT224" s="345"/>
      <c r="AU224" s="345"/>
      <c r="AV224" s="345"/>
      <c r="AW224" s="345"/>
      <c r="AX224" s="345"/>
      <c r="AY224" s="345"/>
      <c r="AZ224" s="345"/>
      <c r="BA224" s="345"/>
      <c r="BB224" s="345"/>
      <c r="BC224" s="345"/>
      <c r="BD224" s="345"/>
      <c r="BE224" s="345"/>
      <c r="BF224" s="345"/>
      <c r="BG224" s="345"/>
      <c r="BH224" s="345"/>
      <c r="BI224" s="345"/>
      <c r="BJ224" s="364">
        <f>COUNTIF(AT224:BI224,"*OP*")</f>
        <v>0</v>
      </c>
      <c r="BK224" s="363" t="s">
        <v>103</v>
      </c>
      <c r="BL224" s="349">
        <f>(COUNTIF(AT224:AV224,"*OK*")*3) + (COUNTIF(AW224:AY224,"*OK*")*2) + COUNTIF(AZ224:BB224,"*OK*")+COUNTIF(BK224:BK224,"SI")*0.5</f>
        <v>0</v>
      </c>
      <c r="BM224" s="349" t="str">
        <f>IF(BL224&lt;0.6,"Demasiado Riesgo",IF(BL224&lt;=5,"Riesgo Medio",IF(BL224&lt;=11,"Riesgo Bajo","Cliente Blindado")))</f>
        <v>Demasiado Riesgo</v>
      </c>
      <c r="BN224" s="349"/>
      <c r="BO224" s="328"/>
      <c r="BP224" s="328">
        <v>0</v>
      </c>
      <c r="BQ224" s="328"/>
      <c r="BR224" s="328"/>
      <c r="BS224" s="328"/>
      <c r="BT224" s="328"/>
      <c r="BU224" s="328"/>
      <c r="BV224" s="328"/>
      <c r="BW224" s="328"/>
      <c r="BX224" s="328"/>
      <c r="BY224" s="328"/>
      <c r="BZ224" s="328"/>
      <c r="CA224" s="328"/>
      <c r="CB224" s="328"/>
      <c r="CC224" s="328"/>
      <c r="CD224" s="328"/>
      <c r="CE224" s="328"/>
      <c r="CF224" s="328"/>
      <c r="CG224" s="328"/>
      <c r="CH224" s="328"/>
      <c r="CI224" s="328"/>
      <c r="CJ224" s="328"/>
      <c r="CK224" s="328"/>
      <c r="CL224" s="328">
        <f>COUNTIF(AT224:BH224,"*OK*")</f>
        <v>0</v>
      </c>
      <c r="CM224" s="328"/>
      <c r="CN224" s="328">
        <f>COUNTIF(AT224:BH224,"*OP*")</f>
        <v>0</v>
      </c>
      <c r="CO224" s="285"/>
    </row>
    <row r="225" spans="1:94" ht="15" customHeight="1">
      <c r="A225" s="835">
        <v>24251</v>
      </c>
      <c r="B225" s="560" t="s">
        <v>1516</v>
      </c>
      <c r="C225" s="329">
        <f t="shared" si="5"/>
        <v>166.35980000000001</v>
      </c>
      <c r="D225" s="352">
        <f>COUNTIF(AT225:BH225,"*OK*")</f>
        <v>0</v>
      </c>
      <c r="E225" s="351" t="s">
        <v>439</v>
      </c>
      <c r="F225" s="351" t="s">
        <v>1517</v>
      </c>
      <c r="G225" s="351"/>
      <c r="H225" s="650">
        <f>IF(LEN(TRIM($G225&amp;""))=0, $C225, SUMIF($G$3:$G$561, TRIM($G225), $C$3:$C$561))</f>
        <v>166.35980000000001</v>
      </c>
      <c r="I225" s="413" t="s">
        <v>562</v>
      </c>
      <c r="J225" s="351"/>
      <c r="K225" s="349"/>
      <c r="L225" s="349" t="str">
        <f>HYPERLINK("https://crm.zoho.com/crm/org685875245/tab/Accounts/3525045000189394046","https://crm.zoho.com/crm/org685875245/tab/Accounts/3525045000189394046")</f>
        <v>https://crm.zoho.com/crm/org685875245/tab/Accounts/3525045000189394046</v>
      </c>
      <c r="M225" s="553" t="s">
        <v>167</v>
      </c>
      <c r="N225" s="352"/>
      <c r="O225" s="540" t="s">
        <v>706</v>
      </c>
      <c r="P225" s="540" t="s">
        <v>312</v>
      </c>
      <c r="Q225" s="540" t="s">
        <v>1518</v>
      </c>
      <c r="R225" s="352"/>
      <c r="S225" s="352"/>
      <c r="T225" s="351"/>
      <c r="U225" s="354" t="s">
        <v>82</v>
      </c>
      <c r="V225" s="355">
        <v>191.77</v>
      </c>
      <c r="W225" s="355">
        <v>191.59</v>
      </c>
      <c r="X225" s="355">
        <v>182.59</v>
      </c>
      <c r="Y225" s="356">
        <v>169.06</v>
      </c>
      <c r="Z225" s="337">
        <v>176.9563</v>
      </c>
      <c r="AA225" s="347">
        <v>175.02</v>
      </c>
      <c r="AB225" s="347">
        <v>179.2938</v>
      </c>
      <c r="AC225" s="638">
        <v>185.44290000000001</v>
      </c>
      <c r="AD225" s="347">
        <v>166.35980000000001</v>
      </c>
      <c r="AE225" s="357">
        <v>71</v>
      </c>
      <c r="AF225" s="358">
        <v>100</v>
      </c>
      <c r="AG225" s="354"/>
      <c r="AH225" s="359"/>
      <c r="AI225" s="361" t="s">
        <v>100</v>
      </c>
      <c r="AJ225" s="361" t="s">
        <v>143</v>
      </c>
      <c r="AK225" s="362" t="s">
        <v>1519</v>
      </c>
      <c r="AL225" s="358" t="s">
        <v>103</v>
      </c>
      <c r="AM225" s="349"/>
      <c r="AN225" s="349"/>
      <c r="AO225" s="349"/>
      <c r="AP225" s="349"/>
      <c r="AQ225" s="349"/>
      <c r="AR225" s="453"/>
      <c r="AS225" s="371" t="s">
        <v>103</v>
      </c>
      <c r="AT225" s="345"/>
      <c r="AU225" s="345"/>
      <c r="AV225" s="345"/>
      <c r="AW225" s="345"/>
      <c r="AX225" s="345"/>
      <c r="AY225" s="345"/>
      <c r="AZ225" s="345"/>
      <c r="BA225" s="345"/>
      <c r="BB225" s="345"/>
      <c r="BC225" s="345"/>
      <c r="BD225" s="345"/>
      <c r="BE225" s="345"/>
      <c r="BF225" s="345"/>
      <c r="BG225" s="345"/>
      <c r="BH225" s="345"/>
      <c r="BI225" s="345"/>
      <c r="BJ225" s="364">
        <f>COUNTIF(AT225:BI225,"*OP*")</f>
        <v>0</v>
      </c>
      <c r="BK225" s="363" t="s">
        <v>89</v>
      </c>
      <c r="BL225" s="349">
        <f>(COUNTIF(AT225:AV225,"*OK*")*3) + (COUNTIF(AW225:AY225,"*OK*")*2) + COUNTIF(AZ225:BB225,"*OK*")+COUNTIF(BK225:BK225,"SI")*0.5</f>
        <v>0</v>
      </c>
      <c r="BM225" s="349" t="str">
        <f>IF(BL225&lt;0.6,"Demasiado Riesgo",IF(BL225&lt;=5,"Riesgo Medio",IF(BL225&lt;=11,"Riesgo Bajo","Cliente Blindado")))</f>
        <v>Demasiado Riesgo</v>
      </c>
      <c r="BN225" s="349"/>
      <c r="BO225" s="328"/>
      <c r="BP225" s="328">
        <v>0</v>
      </c>
      <c r="BQ225" s="328"/>
      <c r="BR225" s="328"/>
      <c r="BS225" s="328"/>
      <c r="BT225" s="328"/>
      <c r="BU225" s="328"/>
      <c r="BV225" s="328"/>
      <c r="BW225" s="328"/>
      <c r="BX225" s="328"/>
      <c r="BY225" s="328"/>
      <c r="BZ225" s="328"/>
      <c r="CA225" s="328"/>
      <c r="CB225" s="328"/>
      <c r="CC225" s="328"/>
      <c r="CD225" s="328"/>
      <c r="CE225" s="328"/>
      <c r="CF225" s="328"/>
      <c r="CG225" s="328"/>
      <c r="CH225" s="328"/>
      <c r="CI225" s="328"/>
      <c r="CJ225" s="328"/>
      <c r="CK225" s="328"/>
      <c r="CL225" s="328">
        <f>COUNTIF(AT225:BH225,"*OK*")</f>
        <v>0</v>
      </c>
      <c r="CM225" s="328"/>
      <c r="CN225" s="328">
        <f>COUNTIF(AT225:BH225,"*OP*")</f>
        <v>0</v>
      </c>
    </row>
    <row r="226" spans="1:94" ht="15" customHeight="1">
      <c r="A226" s="834">
        <v>23031</v>
      </c>
      <c r="B226" s="560" t="s">
        <v>1520</v>
      </c>
      <c r="C226" s="329">
        <f t="shared" si="5"/>
        <v>170.54249999999999</v>
      </c>
      <c r="D226" s="332">
        <f>COUNTIF(AT226:BH226,"*OK*")</f>
        <v>2</v>
      </c>
      <c r="E226" s="331" t="s">
        <v>439</v>
      </c>
      <c r="F226" s="331" t="s">
        <v>1521</v>
      </c>
      <c r="G226" s="331" t="s">
        <v>1208</v>
      </c>
      <c r="H226" s="650">
        <f>IF(LEN(TRIM($G226&amp;""))=0, $C226, SUMIF($G$3:$G$561, TRIM($G226), $C$3:$C$561))</f>
        <v>616.93330000000003</v>
      </c>
      <c r="I226" s="410" t="s">
        <v>562</v>
      </c>
      <c r="J226" s="331"/>
      <c r="K226" s="328"/>
      <c r="L226" s="328" t="str">
        <f>HYPERLINK("https://crm.zoho.com/crm/org685875245/tab/Accounts/3525045000254632056","https://crm.zoho.com/crm/org685875245/tab/Accounts/3525045000254632056")</f>
        <v>https://crm.zoho.com/crm/org685875245/tab/Accounts/3525045000254632056</v>
      </c>
      <c r="M226" s="391" t="s">
        <v>77</v>
      </c>
      <c r="N226" s="332"/>
      <c r="O226" s="541" t="s">
        <v>1076</v>
      </c>
      <c r="P226" s="541" t="s">
        <v>1522</v>
      </c>
      <c r="Q226" s="541" t="s">
        <v>1523</v>
      </c>
      <c r="R226" s="332"/>
      <c r="S226" s="332"/>
      <c r="T226" s="331"/>
      <c r="U226" s="334" t="s">
        <v>198</v>
      </c>
      <c r="V226" s="335">
        <v>195.54</v>
      </c>
      <c r="W226" s="335">
        <v>191.6</v>
      </c>
      <c r="X226" s="335">
        <v>180.21</v>
      </c>
      <c r="Y226" s="336">
        <v>182.32</v>
      </c>
      <c r="Z226" s="337">
        <v>183.5196</v>
      </c>
      <c r="AA226" s="367">
        <v>297.06</v>
      </c>
      <c r="AB226" s="367">
        <v>180.54820000000001</v>
      </c>
      <c r="AC226" s="636">
        <v>182.5994</v>
      </c>
      <c r="AD226" s="367">
        <v>170.54249999999999</v>
      </c>
      <c r="AE226" s="339">
        <v>169</v>
      </c>
      <c r="AF226" s="340">
        <v>150</v>
      </c>
      <c r="AG226" s="334"/>
      <c r="AH226" s="341"/>
      <c r="AI226" s="422" t="s">
        <v>83</v>
      </c>
      <c r="AJ226" s="343" t="s">
        <v>130</v>
      </c>
      <c r="AK226" s="344" t="s">
        <v>1524</v>
      </c>
      <c r="AL226" s="340" t="s">
        <v>224</v>
      </c>
      <c r="AM226" s="328"/>
      <c r="AN226" s="328"/>
      <c r="AO226" s="328"/>
      <c r="AP226" s="328"/>
      <c r="AQ226" s="328"/>
      <c r="AR226" s="451"/>
      <c r="AS226" s="372" t="s">
        <v>88</v>
      </c>
      <c r="AT226" s="345" t="s">
        <v>299</v>
      </c>
      <c r="AU226" s="345"/>
      <c r="AV226" s="345" t="s">
        <v>299</v>
      </c>
      <c r="AW226" s="345"/>
      <c r="AX226" s="345"/>
      <c r="AY226" s="345"/>
      <c r="AZ226" s="345"/>
      <c r="BA226" s="345"/>
      <c r="BB226" s="345"/>
      <c r="BC226" s="345"/>
      <c r="BD226" s="345"/>
      <c r="BE226" s="345"/>
      <c r="BF226" s="345"/>
      <c r="BG226" s="345"/>
      <c r="BH226" s="345"/>
      <c r="BI226" s="345"/>
      <c r="BJ226" s="364">
        <f>COUNTIF(AT226:BI226,"*OP*")</f>
        <v>0</v>
      </c>
      <c r="BK226" s="375" t="s">
        <v>89</v>
      </c>
      <c r="BL226" s="328">
        <f>(COUNTIF(AT226:AV226,"*OK*")*3) + (COUNTIF(AW226:AY226,"*OK*")*2) + COUNTIF(AZ226:BB226,"*OK*")+COUNTIF(BK226:BK226,"SI")*0.5</f>
        <v>6</v>
      </c>
      <c r="BM226" s="328" t="str">
        <f>IF(BL226&lt;0.6,"Demasiado Riesgo",IF(BL226&lt;=5,"Riesgo Medio",IF(BL226&lt;=11,"Riesgo Bajo","Cliente Blindado")))</f>
        <v>Riesgo Bajo</v>
      </c>
      <c r="BN226" s="328"/>
      <c r="BO226" s="349"/>
      <c r="BP226" s="349">
        <v>0</v>
      </c>
      <c r="BQ226" s="349"/>
      <c r="BR226" s="349"/>
      <c r="BS226" s="349"/>
      <c r="BT226" s="349"/>
      <c r="BU226" s="349"/>
      <c r="BV226" s="349"/>
      <c r="BW226" s="349"/>
      <c r="BX226" s="349"/>
      <c r="BY226" s="349"/>
      <c r="BZ226" s="349"/>
      <c r="CA226" s="349"/>
      <c r="CB226" s="349"/>
      <c r="CC226" s="349"/>
      <c r="CD226" s="349"/>
      <c r="CE226" s="349"/>
      <c r="CF226" s="349"/>
      <c r="CG226" s="349"/>
      <c r="CH226" s="349"/>
      <c r="CI226" s="349"/>
      <c r="CJ226" s="349"/>
      <c r="CK226" s="349"/>
      <c r="CL226" s="349">
        <f>COUNTIF(AT226:BH226,"*OK*")</f>
        <v>2</v>
      </c>
      <c r="CM226" s="349"/>
      <c r="CN226" s="349">
        <f>COUNTIF(AT226:BH226,"*OP*")</f>
        <v>0</v>
      </c>
    </row>
    <row r="227" spans="1:94" ht="15" customHeight="1">
      <c r="A227" s="835"/>
      <c r="B227" s="560"/>
      <c r="C227" s="329">
        <f t="shared" si="5"/>
        <v>181.56729999999999</v>
      </c>
      <c r="D227" s="352">
        <f>COUNTIF(AX227:BI227,"OK")</f>
        <v>0</v>
      </c>
      <c r="E227" s="328" t="s">
        <v>439</v>
      </c>
      <c r="F227" s="368" t="s">
        <v>1525</v>
      </c>
      <c r="G227" s="368"/>
      <c r="H227" s="650">
        <f>IF(LEN(TRIM($G227&amp;""))=0, $C227, SUMIF($G$3:$G$561, TRIM($G227), $C$3:$C$561))</f>
        <v>181.56729999999999</v>
      </c>
      <c r="I227" s="368"/>
      <c r="J227" s="349"/>
      <c r="K227" s="349"/>
      <c r="L227" s="349" t="str">
        <f>HYPERLINK("https://crm.zoho.com/crm/org685875245/tab/Accounts/3525045000628074709","https://crm.zoho.com/crm/org685875245/tab/Accounts/3525045000628074709")</f>
        <v>https://crm.zoho.com/crm/org685875245/tab/Accounts/3525045000628074709</v>
      </c>
      <c r="M227" s="553"/>
      <c r="N227" s="352"/>
      <c r="O227" s="540"/>
      <c r="P227" s="540"/>
      <c r="Q227" s="540"/>
      <c r="R227" s="352"/>
      <c r="S227" s="352"/>
      <c r="T227" s="349"/>
      <c r="U227" s="362"/>
      <c r="V227" s="387"/>
      <c r="W227" s="381"/>
      <c r="X227" s="381"/>
      <c r="Y227" s="627"/>
      <c r="Z227" s="629"/>
      <c r="AA227" s="662"/>
      <c r="AB227" s="662">
        <v>165.3683</v>
      </c>
      <c r="AC227" s="663">
        <v>180.73099999999999</v>
      </c>
      <c r="AD227" s="662">
        <v>181.56729999999999</v>
      </c>
      <c r="AE227" s="348"/>
      <c r="AF227" s="371" t="s">
        <v>103</v>
      </c>
      <c r="AG227" s="362"/>
      <c r="AH227" s="349"/>
      <c r="AI227" s="370"/>
      <c r="AJ227" s="361"/>
      <c r="AK227" s="362"/>
      <c r="AL227" s="371" t="s">
        <v>103</v>
      </c>
      <c r="AM227" s="349"/>
      <c r="AN227" s="349"/>
      <c r="AO227" s="349"/>
      <c r="AP227" s="349"/>
      <c r="AQ227" s="349"/>
      <c r="AR227" s="453"/>
      <c r="AS227" s="449"/>
      <c r="AT227" s="445"/>
      <c r="AU227" s="445"/>
      <c r="AV227" s="445"/>
      <c r="AW227" s="445"/>
      <c r="AX227" s="445"/>
      <c r="AY227" s="445"/>
      <c r="AZ227" s="445"/>
      <c r="BA227" s="445"/>
      <c r="BB227" s="445"/>
      <c r="BC227" s="445"/>
      <c r="BD227" s="445"/>
      <c r="BE227" s="445"/>
      <c r="BF227" s="445"/>
      <c r="BG227" s="445"/>
      <c r="BH227" s="445"/>
      <c r="BI227" s="445"/>
      <c r="BJ227" s="446">
        <f>COUNTIF(AT227:BI227,"*OP*")</f>
        <v>0</v>
      </c>
      <c r="BK227" s="450"/>
      <c r="BL227" s="349">
        <f>(COUNTIF(AT227:AV227,"*OK*")*3) + (COUNTIF(AW227:AY227,"*OK*")*2) + COUNTIF(AZ227:BB227,"*OK*")+COUNTIF(BK227:BK227,"SI")*0.5</f>
        <v>0</v>
      </c>
      <c r="BM227" s="349" t="str">
        <f>IF(BL227&lt;0.6,"Demasiado Riesgo",IF(BL227&lt;=5,"Riesgo Medio",IF(BL227&lt;=11,"Riesgo Bajo","Cliente Blindado")))</f>
        <v>Demasiado Riesgo</v>
      </c>
      <c r="BN227" s="349"/>
      <c r="BO227" s="328"/>
      <c r="BP227" s="328"/>
      <c r="BQ227" s="328"/>
      <c r="BR227" s="328"/>
      <c r="BS227" s="328"/>
      <c r="BT227" s="328"/>
      <c r="BU227" s="328"/>
      <c r="BV227" s="328"/>
      <c r="BW227" s="328"/>
      <c r="BX227" s="328"/>
      <c r="BY227" s="328"/>
      <c r="BZ227" s="328"/>
      <c r="CA227" s="328"/>
      <c r="CB227" s="328"/>
      <c r="CC227" s="328"/>
      <c r="CD227" s="328"/>
      <c r="CE227" s="328"/>
      <c r="CF227" s="328"/>
      <c r="CG227" s="328"/>
      <c r="CH227" s="328"/>
      <c r="CI227" s="328"/>
      <c r="CJ227" s="328"/>
      <c r="CK227" s="328"/>
      <c r="CL227" s="328">
        <f>COUNTIF(AT227:BH227,"*OK*")</f>
        <v>0</v>
      </c>
      <c r="CP227" s="285"/>
    </row>
    <row r="228" spans="1:94" ht="15" customHeight="1">
      <c r="A228" s="835">
        <v>5725</v>
      </c>
      <c r="B228" s="560"/>
      <c r="C228" s="329">
        <f t="shared" si="5"/>
        <v>0</v>
      </c>
      <c r="D228" s="352">
        <f>COUNTIF(AX228:BI228,"OK")</f>
        <v>0</v>
      </c>
      <c r="E228" s="437" t="s">
        <v>439</v>
      </c>
      <c r="F228" s="370" t="s">
        <v>1526</v>
      </c>
      <c r="G228" s="370"/>
      <c r="H228" s="650">
        <f>IF(LEN(TRIM($G228&amp;""))=0, $C228, SUMIF($G$3:$G$561, TRIM($G228), $C$3:$C$561))</f>
        <v>0</v>
      </c>
      <c r="I228" s="397" t="s">
        <v>562</v>
      </c>
      <c r="J228" s="397" t="s">
        <v>837</v>
      </c>
      <c r="K228" s="349"/>
      <c r="L228" s="349" t="str">
        <f>HYPERLINK("https://crm.zoho.com/crm/org685875245/tab/Accounts/3525045000413527050","https://crm.zoho.com/crm/org685875245/tab/Accounts/3525045000413527050")</f>
        <v>https://crm.zoho.com/crm/org685875245/tab/Accounts/3525045000413527050</v>
      </c>
      <c r="M228" s="553"/>
      <c r="N228" s="352"/>
      <c r="O228" s="540" t="s">
        <v>1029</v>
      </c>
      <c r="P228" s="540" t="s">
        <v>1527</v>
      </c>
      <c r="Q228" s="540" t="s">
        <v>1528</v>
      </c>
      <c r="R228" s="352"/>
      <c r="S228" s="352"/>
      <c r="T228" s="397"/>
      <c r="U228" s="362" t="s">
        <v>902</v>
      </c>
      <c r="V228" s="397" t="s">
        <v>103</v>
      </c>
      <c r="W228" s="397" t="s">
        <v>103</v>
      </c>
      <c r="X228" s="397" t="s">
        <v>103</v>
      </c>
      <c r="Y228" s="371">
        <v>156.19</v>
      </c>
      <c r="Z228" s="373"/>
      <c r="AA228" s="443" t="s">
        <v>103</v>
      </c>
      <c r="AB228" s="443">
        <v>186.6876</v>
      </c>
      <c r="AC228" s="637">
        <v>180.73099999999999</v>
      </c>
      <c r="AD228" s="443"/>
      <c r="AE228" s="357">
        <v>239</v>
      </c>
      <c r="AF228" s="358">
        <v>175</v>
      </c>
      <c r="AG228" s="354"/>
      <c r="AH228" s="349"/>
      <c r="AI228" s="370"/>
      <c r="AJ228" s="361"/>
      <c r="AK228" s="362"/>
      <c r="AL228" s="371" t="s">
        <v>103</v>
      </c>
      <c r="AM228" s="349"/>
      <c r="AN228" s="349"/>
      <c r="AO228" s="349"/>
      <c r="AP228" s="349"/>
      <c r="AQ228" s="349"/>
      <c r="AR228" s="453"/>
      <c r="AS228" s="371" t="s">
        <v>103</v>
      </c>
      <c r="AT228" s="345"/>
      <c r="AU228" s="345"/>
      <c r="AV228" s="345"/>
      <c r="AW228" s="345"/>
      <c r="AX228" s="345"/>
      <c r="AY228" s="345"/>
      <c r="AZ228" s="345"/>
      <c r="BA228" s="421"/>
      <c r="BB228" s="345"/>
      <c r="BC228" s="345"/>
      <c r="BD228" s="345"/>
      <c r="BE228" s="345"/>
      <c r="BF228" s="345"/>
      <c r="BG228" s="345"/>
      <c r="BH228" s="345"/>
      <c r="BI228" s="345"/>
      <c r="BJ228" s="364">
        <f>COUNTIF(AT228:BI228,"*OP*")</f>
        <v>0</v>
      </c>
      <c r="BK228" s="363" t="s">
        <v>103</v>
      </c>
      <c r="BL228" s="349">
        <f>(COUNTIF(AT228:AV228,"*OK*")*3) + (COUNTIF(AW228:AY228,"*OK*")*2) + COUNTIF(AZ228:BB228,"*OK*")+COUNTIF(BK228:BK228,"SI")*0.5</f>
        <v>0</v>
      </c>
      <c r="BM228" s="349" t="str">
        <f>IF(BL228&lt;0.6,"Demasiado Riesgo",IF(BL228&lt;=5,"Riesgo Medio",IF(BL228&lt;=11,"Riesgo Bajo","Cliente Blindado")))</f>
        <v>Demasiado Riesgo</v>
      </c>
      <c r="BN228" s="349"/>
      <c r="BO228" s="349"/>
      <c r="BP228" s="349">
        <v>0</v>
      </c>
      <c r="BQ228" s="349"/>
      <c r="BR228" s="349"/>
      <c r="BS228" s="349"/>
      <c r="BT228" s="349"/>
      <c r="BU228" s="349"/>
      <c r="BV228" s="349"/>
      <c r="BW228" s="349"/>
      <c r="BX228" s="349"/>
      <c r="BY228" s="349"/>
      <c r="BZ228" s="349"/>
      <c r="CA228" s="349"/>
      <c r="CB228" s="349"/>
      <c r="CC228" s="349"/>
      <c r="CD228" s="349"/>
      <c r="CE228" s="349"/>
      <c r="CF228" s="349"/>
      <c r="CG228" s="349"/>
      <c r="CH228" s="349"/>
      <c r="CI228" s="349"/>
      <c r="CJ228" s="349"/>
      <c r="CK228" s="349"/>
      <c r="CL228" s="349">
        <f>COUNTIF(AT228:BH228,"*OK*")</f>
        <v>0</v>
      </c>
      <c r="CM228" s="349"/>
      <c r="CN228" s="349">
        <f>COUNTIF(AT228:BH228,"*OP*")</f>
        <v>0</v>
      </c>
    </row>
    <row r="229" spans="1:94" ht="15" customHeight="1">
      <c r="A229" s="834">
        <v>23718</v>
      </c>
      <c r="B229" s="560" t="s">
        <v>1529</v>
      </c>
      <c r="C229" s="329">
        <f t="shared" si="5"/>
        <v>172.0745</v>
      </c>
      <c r="D229" s="332">
        <f>COUNTIF(AT229:BH229,"*OK*")</f>
        <v>0</v>
      </c>
      <c r="E229" s="331" t="s">
        <v>439</v>
      </c>
      <c r="F229" s="331" t="s">
        <v>1530</v>
      </c>
      <c r="G229" s="331"/>
      <c r="H229" s="650">
        <f>IF(LEN(TRIM($G229&amp;""))=0, $C229, SUMIF($G$3:$G$561, TRIM($G229), $C$3:$C$561))</f>
        <v>172.0745</v>
      </c>
      <c r="I229" s="410" t="s">
        <v>562</v>
      </c>
      <c r="J229" s="331"/>
      <c r="K229" s="328"/>
      <c r="L229" s="328" t="str">
        <f>HYPERLINK("https://crm.zoho.com/crm/org685875245/tab/Accounts/3525045000286256021","https://crm.zoho.com/crm/org685875245/tab/Accounts/3525045000286256021")</f>
        <v>https://crm.zoho.com/crm/org685875245/tab/Accounts/3525045000286256021</v>
      </c>
      <c r="M229" s="391" t="s">
        <v>96</v>
      </c>
      <c r="N229" s="332"/>
      <c r="O229" s="541" t="s">
        <v>1531</v>
      </c>
      <c r="P229" s="541" t="s">
        <v>1532</v>
      </c>
      <c r="Q229" s="541" t="s">
        <v>1533</v>
      </c>
      <c r="R229" s="332"/>
      <c r="S229" s="332"/>
      <c r="T229" s="331"/>
      <c r="U229" s="334" t="s">
        <v>82</v>
      </c>
      <c r="V229" s="335">
        <v>164.56</v>
      </c>
      <c r="W229" s="335">
        <v>167.67</v>
      </c>
      <c r="X229" s="335">
        <v>164.44</v>
      </c>
      <c r="Y229" s="336">
        <v>169.73</v>
      </c>
      <c r="Z229" s="337">
        <v>170.3929</v>
      </c>
      <c r="AA229" s="365">
        <v>170.13</v>
      </c>
      <c r="AB229" s="365">
        <v>173.1833</v>
      </c>
      <c r="AC229" s="635">
        <v>178.0154</v>
      </c>
      <c r="AD229" s="365">
        <v>172.0745</v>
      </c>
      <c r="AE229" s="339">
        <v>108</v>
      </c>
      <c r="AF229" s="340">
        <v>100</v>
      </c>
      <c r="AG229" s="334"/>
      <c r="AH229" s="341"/>
      <c r="AI229" s="422" t="s">
        <v>83</v>
      </c>
      <c r="AJ229" s="343" t="s">
        <v>120</v>
      </c>
      <c r="AK229" s="344" t="s">
        <v>1534</v>
      </c>
      <c r="AL229" s="340" t="s">
        <v>103</v>
      </c>
      <c r="AM229" s="328"/>
      <c r="AN229" s="328"/>
      <c r="AO229" s="328"/>
      <c r="AP229" s="328"/>
      <c r="AQ229" s="328"/>
      <c r="AR229" s="451"/>
      <c r="AS229" s="372" t="s">
        <v>88</v>
      </c>
      <c r="AT229" s="345"/>
      <c r="AU229" s="345"/>
      <c r="AV229" s="345"/>
      <c r="AW229" s="345" t="s">
        <v>179</v>
      </c>
      <c r="AX229" s="345"/>
      <c r="AY229" s="345"/>
      <c r="AZ229" s="345"/>
      <c r="BA229" s="345"/>
      <c r="BB229" s="345"/>
      <c r="BC229" s="345"/>
      <c r="BD229" s="345"/>
      <c r="BE229" s="345"/>
      <c r="BF229" s="345"/>
      <c r="BG229" s="345"/>
      <c r="BH229" s="345"/>
      <c r="BI229" s="345"/>
      <c r="BJ229" s="364">
        <f>COUNTIF(AT229:BI229,"*OP*")</f>
        <v>1</v>
      </c>
      <c r="BK229" s="375" t="s">
        <v>89</v>
      </c>
      <c r="BL229" s="328">
        <f>(COUNTIF(AT229:AV229,"*OK*")*3) + (COUNTIF(AW229:AY229,"*OK*")*2) + COUNTIF(AZ229:BB229,"*OK*")+COUNTIF(BK229:BK229,"SI")*0.5</f>
        <v>0</v>
      </c>
      <c r="BM229" s="328" t="str">
        <f>IF(BL229&lt;0.6,"Demasiado Riesgo",IF(BL229&lt;=5,"Riesgo Medio",IF(BL229&lt;=11,"Riesgo Bajo","Cliente Blindado")))</f>
        <v>Demasiado Riesgo</v>
      </c>
      <c r="BN229" s="328"/>
      <c r="BO229" s="349"/>
      <c r="BP229" s="349">
        <v>0</v>
      </c>
      <c r="BQ229" s="349"/>
      <c r="BR229" s="349"/>
      <c r="BS229" s="349"/>
      <c r="BT229" s="349"/>
      <c r="BU229" s="349"/>
      <c r="BV229" s="349"/>
      <c r="BW229" s="349"/>
      <c r="BX229" s="349"/>
      <c r="BY229" s="349"/>
      <c r="BZ229" s="349"/>
      <c r="CA229" s="349"/>
      <c r="CB229" s="349"/>
      <c r="CC229" s="349"/>
      <c r="CD229" s="349"/>
      <c r="CE229" s="349"/>
      <c r="CF229" s="349"/>
      <c r="CG229" s="349"/>
      <c r="CH229" s="349"/>
      <c r="CI229" s="349"/>
      <c r="CJ229" s="349"/>
      <c r="CK229" s="349"/>
      <c r="CL229" s="349">
        <f>COUNTIF(AT229:BH229,"*OK*")</f>
        <v>0</v>
      </c>
      <c r="CM229" s="349"/>
      <c r="CN229" s="349">
        <f>COUNTIF(AT229:BH229,"*OP*")</f>
        <v>1</v>
      </c>
    </row>
    <row r="230" spans="1:94" ht="15" customHeight="1">
      <c r="A230" s="834">
        <v>19640</v>
      </c>
      <c r="B230" s="560" t="s">
        <v>1535</v>
      </c>
      <c r="C230" s="329">
        <f t="shared" si="5"/>
        <v>173.03749999999999</v>
      </c>
      <c r="D230" s="332">
        <f>COUNTIF(AT230:BH230,"*OK*")</f>
        <v>0</v>
      </c>
      <c r="E230" s="331" t="s">
        <v>439</v>
      </c>
      <c r="F230" s="331" t="s">
        <v>1536</v>
      </c>
      <c r="G230" s="331"/>
      <c r="H230" s="650">
        <f>IF(LEN(TRIM($G230&amp;""))=0, $C230, SUMIF($G$3:$G$561, TRIM($G230), $C$3:$C$561))</f>
        <v>173.03749999999999</v>
      </c>
      <c r="I230" s="410" t="s">
        <v>562</v>
      </c>
      <c r="J230" s="331"/>
      <c r="K230" s="328"/>
      <c r="L230" s="328"/>
      <c r="M230" s="391" t="s">
        <v>943</v>
      </c>
      <c r="N230" s="332"/>
      <c r="O230" s="541" t="s">
        <v>1537</v>
      </c>
      <c r="P230" s="541" t="s">
        <v>1538</v>
      </c>
      <c r="Q230" s="541" t="s">
        <v>1539</v>
      </c>
      <c r="R230" s="332"/>
      <c r="S230" s="332"/>
      <c r="T230" s="331"/>
      <c r="U230" s="334" t="s">
        <v>82</v>
      </c>
      <c r="V230" s="335">
        <v>221.35</v>
      </c>
      <c r="W230" s="335">
        <v>211.29</v>
      </c>
      <c r="X230" s="335">
        <v>191.96</v>
      </c>
      <c r="Y230" s="336">
        <v>188.43</v>
      </c>
      <c r="Z230" s="337">
        <v>194.24709999999999</v>
      </c>
      <c r="AA230" s="367">
        <v>198.6</v>
      </c>
      <c r="AB230" s="367">
        <v>187.2004</v>
      </c>
      <c r="AC230" s="636">
        <v>177.32650000000001</v>
      </c>
      <c r="AD230" s="367">
        <v>173.03749999999999</v>
      </c>
      <c r="AE230" s="339">
        <v>50</v>
      </c>
      <c r="AF230" s="340">
        <v>200</v>
      </c>
      <c r="AG230" s="334"/>
      <c r="AH230" s="341"/>
      <c r="AI230" s="342" t="s">
        <v>618</v>
      </c>
      <c r="AJ230" s="343" t="s">
        <v>130</v>
      </c>
      <c r="AK230" s="344" t="s">
        <v>1540</v>
      </c>
      <c r="AL230" s="340" t="s">
        <v>103</v>
      </c>
      <c r="AM230" s="328"/>
      <c r="AN230" s="328"/>
      <c r="AO230" s="328"/>
      <c r="AP230" s="328"/>
      <c r="AQ230" s="328"/>
      <c r="AR230" s="451"/>
      <c r="AS230" s="372" t="s">
        <v>88</v>
      </c>
      <c r="AT230" s="345"/>
      <c r="AU230" s="345"/>
      <c r="AV230" s="345"/>
      <c r="AW230" s="345"/>
      <c r="AX230" s="345"/>
      <c r="AY230" s="345"/>
      <c r="AZ230" s="345"/>
      <c r="BA230" s="345"/>
      <c r="BB230" s="345"/>
      <c r="BC230" s="345"/>
      <c r="BD230" s="345"/>
      <c r="BE230" s="345"/>
      <c r="BF230" s="345"/>
      <c r="BG230" s="345"/>
      <c r="BH230" s="345"/>
      <c r="BI230" s="345"/>
      <c r="BJ230" s="364">
        <f>COUNTIF(AT230:BI230,"*OP*")</f>
        <v>0</v>
      </c>
      <c r="BK230" s="375" t="s">
        <v>89</v>
      </c>
      <c r="BL230" s="328">
        <f>(COUNTIF(AT230:AV230,"*OK*")*3) + (COUNTIF(AW230:AY230,"*OK*")*2) + COUNTIF(AZ230:BB230,"*OK*")+COUNTIF(BK230:BK230,"SI")*0.5</f>
        <v>0</v>
      </c>
      <c r="BM230" s="328" t="str">
        <f>IF(BL230&lt;0.6,"Demasiado Riesgo",IF(BL230&lt;=5,"Riesgo Medio",IF(BL230&lt;=11,"Riesgo Bajo","Cliente Blindado")))</f>
        <v>Demasiado Riesgo</v>
      </c>
      <c r="BN230" s="328"/>
      <c r="BO230" s="349"/>
      <c r="BP230" s="349">
        <v>0</v>
      </c>
      <c r="BQ230" s="349"/>
      <c r="BR230" s="349"/>
      <c r="BS230" s="349"/>
      <c r="BT230" s="349"/>
      <c r="BU230" s="349"/>
      <c r="BV230" s="349"/>
      <c r="BW230" s="349"/>
      <c r="BX230" s="349"/>
      <c r="BY230" s="349"/>
      <c r="BZ230" s="349"/>
      <c r="CA230" s="349"/>
      <c r="CB230" s="349"/>
      <c r="CC230" s="349"/>
      <c r="CD230" s="349"/>
      <c r="CE230" s="349"/>
      <c r="CF230" s="349"/>
      <c r="CG230" s="349"/>
      <c r="CH230" s="349"/>
      <c r="CI230" s="349"/>
      <c r="CJ230" s="349"/>
      <c r="CK230" s="349"/>
      <c r="CL230" s="349">
        <f>COUNTIF(AT230:BH230,"*OK*")</f>
        <v>0</v>
      </c>
      <c r="CM230" s="349"/>
      <c r="CN230" s="349">
        <f>COUNTIF(AT230:BH230,"*OP*")</f>
        <v>0</v>
      </c>
    </row>
    <row r="231" spans="1:94" ht="15" customHeight="1">
      <c r="A231" s="834">
        <v>20005</v>
      </c>
      <c r="B231" s="560" t="s">
        <v>363</v>
      </c>
      <c r="C231" s="329">
        <f t="shared" si="5"/>
        <v>220.5299</v>
      </c>
      <c r="D231" s="352">
        <f>COUNTIF(AT231:BH231,"*OK*")</f>
        <v>0</v>
      </c>
      <c r="E231" s="351" t="s">
        <v>93</v>
      </c>
      <c r="F231" s="351" t="s">
        <v>1541</v>
      </c>
      <c r="G231" s="331" t="s">
        <v>365</v>
      </c>
      <c r="H231" s="650">
        <f>IF(LEN(TRIM($G231&amp;""))=0, $C231, SUMIF($G$3:$G$561, TRIM($G231), $C$3:$C$561))</f>
        <v>4240.7285999999995</v>
      </c>
      <c r="I231" s="413" t="s">
        <v>76</v>
      </c>
      <c r="J231" s="351"/>
      <c r="K231" s="349" t="s">
        <v>125</v>
      </c>
      <c r="L231" s="349"/>
      <c r="M231" s="359" t="s">
        <v>96</v>
      </c>
      <c r="N231" s="359"/>
      <c r="O231" s="545" t="s">
        <v>367</v>
      </c>
      <c r="P231" s="545" t="s">
        <v>368</v>
      </c>
      <c r="Q231" s="545" t="s">
        <v>369</v>
      </c>
      <c r="R231" s="341" t="s">
        <v>160</v>
      </c>
      <c r="S231" s="359"/>
      <c r="T231" s="351"/>
      <c r="U231" s="362" t="s">
        <v>82</v>
      </c>
      <c r="V231" s="355">
        <v>169.37</v>
      </c>
      <c r="W231" s="355">
        <v>171.53</v>
      </c>
      <c r="X231" s="355">
        <v>167.89</v>
      </c>
      <c r="Y231" s="356">
        <v>168.73</v>
      </c>
      <c r="Z231" s="337">
        <v>173.3133</v>
      </c>
      <c r="AA231" s="365">
        <v>171.41</v>
      </c>
      <c r="AB231" s="365">
        <v>172.8588</v>
      </c>
      <c r="AC231" s="635">
        <v>176.0367</v>
      </c>
      <c r="AD231" s="365">
        <v>220.5299</v>
      </c>
      <c r="AE231" s="357">
        <v>1417</v>
      </c>
      <c r="AF231" s="358">
        <v>200</v>
      </c>
      <c r="AG231" s="354"/>
      <c r="AH231" s="359"/>
      <c r="AI231" s="360" t="s">
        <v>83</v>
      </c>
      <c r="AJ231" s="361" t="s">
        <v>396</v>
      </c>
      <c r="AK231" s="362" t="s">
        <v>1542</v>
      </c>
      <c r="AL231" s="358" t="s">
        <v>103</v>
      </c>
      <c r="AM231" s="349"/>
      <c r="AN231" s="349" t="s">
        <v>104</v>
      </c>
      <c r="AO231" s="349"/>
      <c r="AP231" s="349"/>
      <c r="AQ231" s="349"/>
      <c r="AR231" s="453"/>
      <c r="AS231" s="371"/>
      <c r="AT231" s="345"/>
      <c r="AU231" s="345"/>
      <c r="AV231" s="345"/>
      <c r="AW231" s="345"/>
      <c r="AX231" s="345"/>
      <c r="AY231" s="345"/>
      <c r="AZ231" s="345"/>
      <c r="BA231" s="345"/>
      <c r="BB231" s="345"/>
      <c r="BC231" s="345"/>
      <c r="BD231" s="345"/>
      <c r="BE231" s="345"/>
      <c r="BF231" s="345"/>
      <c r="BG231" s="345"/>
      <c r="BH231" s="345"/>
      <c r="BI231" s="345"/>
      <c r="BJ231" s="364">
        <f>COUNTIF(AT231:BI231,"*OP*")</f>
        <v>0</v>
      </c>
      <c r="BK231" s="363" t="s">
        <v>103</v>
      </c>
      <c r="BL231" s="349">
        <f>(COUNTIF(AT231:AV231,"*OK*")*3) + (COUNTIF(AW231:AY231,"*OK*")*2) + COUNTIF(AZ231:BB231,"*OK*")+COUNTIF(BK231:BK231,"SI")*0.5</f>
        <v>0</v>
      </c>
      <c r="BM231" s="349" t="str">
        <f>IF(BL231&lt;0.6,"Demasiado Riesgo",IF(BL231&lt;=5,"Riesgo Medio",IF(BL231&lt;=11,"Riesgo Bajo","Cliente Blindado")))</f>
        <v>Demasiado Riesgo</v>
      </c>
      <c r="BN231" s="349"/>
      <c r="BO231" s="328"/>
      <c r="BP231" s="328"/>
      <c r="BQ231" s="328"/>
      <c r="BR231" s="328"/>
      <c r="BS231" s="328"/>
      <c r="BT231" s="328"/>
      <c r="BU231" s="328"/>
      <c r="BV231" s="328"/>
      <c r="BW231" s="328"/>
      <c r="BX231" s="328"/>
      <c r="BY231" s="328"/>
      <c r="BZ231" s="328"/>
      <c r="CA231" s="328"/>
      <c r="CB231" s="328"/>
      <c r="CC231" s="328"/>
      <c r="CD231" s="328"/>
      <c r="CE231" s="328"/>
      <c r="CF231" s="328"/>
      <c r="CG231" s="328"/>
      <c r="CH231" s="328"/>
      <c r="CI231" s="328"/>
      <c r="CJ231" s="328"/>
      <c r="CK231" s="328"/>
      <c r="CL231" s="328">
        <f>COUNTIF(AT231:BH231,"*OK*")</f>
        <v>0</v>
      </c>
    </row>
    <row r="232" spans="1:94" ht="15" customHeight="1">
      <c r="A232" s="837">
        <v>22523</v>
      </c>
      <c r="B232" s="560" t="s">
        <v>1543</v>
      </c>
      <c r="C232" s="329">
        <f t="shared" si="5"/>
        <v>165.93209999999999</v>
      </c>
      <c r="D232" s="352">
        <f>COUNTIF(AT232:BH232,"*OK*")</f>
        <v>0</v>
      </c>
      <c r="E232" s="351" t="s">
        <v>439</v>
      </c>
      <c r="F232" s="351" t="s">
        <v>1544</v>
      </c>
      <c r="G232" s="351"/>
      <c r="H232" s="650">
        <f>IF(LEN(TRIM($G232&amp;""))=0, $C232, SUMIF($G$3:$G$561, TRIM($G232), $C$3:$C$561))</f>
        <v>165.93209999999999</v>
      </c>
      <c r="I232" s="353" t="s">
        <v>562</v>
      </c>
      <c r="J232" s="351"/>
      <c r="K232" s="349"/>
      <c r="L232" s="349" t="str">
        <f>HYPERLINK("https://crm.zoho.com/crm/org685875245/tab/Accounts/3525045000251705399","https://crm.zoho.com/crm/org685875245/tab/Accounts/3525045000251705399")</f>
        <v>https://crm.zoho.com/crm/org685875245/tab/Accounts/3525045000251705399</v>
      </c>
      <c r="M232" s="553" t="s">
        <v>77</v>
      </c>
      <c r="N232" s="352"/>
      <c r="O232" s="540" t="s">
        <v>1545</v>
      </c>
      <c r="P232" s="540" t="s">
        <v>1546</v>
      </c>
      <c r="Q232" s="540" t="s">
        <v>1547</v>
      </c>
      <c r="R232" s="352"/>
      <c r="S232" s="352"/>
      <c r="T232" s="351"/>
      <c r="U232" s="354" t="s">
        <v>209</v>
      </c>
      <c r="V232" s="355">
        <v>175.5</v>
      </c>
      <c r="W232" s="355">
        <v>176.43</v>
      </c>
      <c r="X232" s="355">
        <v>166.05</v>
      </c>
      <c r="Y232" s="356">
        <v>170.32</v>
      </c>
      <c r="Z232" s="337">
        <v>173.69970000000001</v>
      </c>
      <c r="AA232" s="347">
        <v>170.71</v>
      </c>
      <c r="AB232" s="347">
        <v>175.42349999999999</v>
      </c>
      <c r="AC232" s="638">
        <v>175.31970000000001</v>
      </c>
      <c r="AD232" s="347">
        <v>165.93209999999999</v>
      </c>
      <c r="AE232" s="357">
        <v>186</v>
      </c>
      <c r="AF232" s="358">
        <v>150</v>
      </c>
      <c r="AG232" s="354"/>
      <c r="AH232" s="359"/>
      <c r="AI232" s="360" t="s">
        <v>83</v>
      </c>
      <c r="AJ232" s="361" t="s">
        <v>574</v>
      </c>
      <c r="AK232" s="362" t="s">
        <v>1548</v>
      </c>
      <c r="AL232" s="358" t="s">
        <v>103</v>
      </c>
      <c r="AM232" s="349"/>
      <c r="AN232" s="349"/>
      <c r="AO232" s="349"/>
      <c r="AP232" s="349"/>
      <c r="AQ232" s="349"/>
      <c r="AR232" s="453"/>
      <c r="AS232" s="371" t="s">
        <v>103</v>
      </c>
      <c r="AT232" s="345"/>
      <c r="AU232" s="345"/>
      <c r="AV232" s="345"/>
      <c r="AW232" s="345"/>
      <c r="AX232" s="345"/>
      <c r="AY232" s="345"/>
      <c r="AZ232" s="345"/>
      <c r="BA232" s="345"/>
      <c r="BB232" s="345"/>
      <c r="BC232" s="345"/>
      <c r="BD232" s="345"/>
      <c r="BE232" s="345"/>
      <c r="BF232" s="345"/>
      <c r="BG232" s="345"/>
      <c r="BH232" s="345"/>
      <c r="BI232" s="345"/>
      <c r="BJ232" s="364">
        <f>COUNTIF(AT232:BI232,"*OP*")</f>
        <v>0</v>
      </c>
      <c r="BK232" s="363" t="s">
        <v>103</v>
      </c>
      <c r="BL232" s="349">
        <f>(COUNTIF(AT232:AV232,"*OK*")*3) + (COUNTIF(AW232:AY232,"*OK*")*2) + COUNTIF(AZ232:BB232,"*OK*")+COUNTIF(BK232:BK232,"SI")*0.5</f>
        <v>0</v>
      </c>
      <c r="BM232" s="349" t="str">
        <f>IF(BL232&lt;0.6,"Demasiado Riesgo",IF(BL232&lt;=5,"Riesgo Medio",IF(BL232&lt;=11,"Riesgo Bajo","Cliente Blindado")))</f>
        <v>Demasiado Riesgo</v>
      </c>
      <c r="BN232" s="349"/>
      <c r="BO232" s="328"/>
      <c r="BP232" s="328">
        <v>0</v>
      </c>
      <c r="BQ232" s="328"/>
      <c r="BR232" s="328"/>
      <c r="BS232" s="328"/>
      <c r="BT232" s="328"/>
      <c r="BU232" s="328"/>
      <c r="BV232" s="328"/>
      <c r="BW232" s="328"/>
      <c r="BX232" s="328"/>
      <c r="BY232" s="328"/>
      <c r="BZ232" s="328"/>
      <c r="CA232" s="328"/>
      <c r="CB232" s="328"/>
      <c r="CC232" s="328"/>
      <c r="CD232" s="328"/>
      <c r="CE232" s="328"/>
      <c r="CF232" s="328"/>
      <c r="CG232" s="328"/>
      <c r="CH232" s="328"/>
      <c r="CI232" s="328"/>
      <c r="CJ232" s="328"/>
      <c r="CK232" s="328"/>
      <c r="CL232" s="328">
        <f>COUNTIF(AT232:BH232,"*OK*")</f>
        <v>0</v>
      </c>
      <c r="CM232" s="328"/>
      <c r="CN232" s="328">
        <f>COUNTIF(AT232:BH232,"*OP*")</f>
        <v>0</v>
      </c>
    </row>
    <row r="233" spans="1:94" ht="15" customHeight="1">
      <c r="A233" s="837" t="s">
        <v>1549</v>
      </c>
      <c r="B233" s="560" t="s">
        <v>1550</v>
      </c>
      <c r="C233" s="329">
        <f t="shared" si="5"/>
        <v>296.92610000000002</v>
      </c>
      <c r="D233" s="352">
        <f>COUNTIF(AT233:BH233,"*OK*")</f>
        <v>0</v>
      </c>
      <c r="E233" s="331" t="s">
        <v>73</v>
      </c>
      <c r="F233" s="351" t="s">
        <v>1551</v>
      </c>
      <c r="G233" s="351" t="s">
        <v>1551</v>
      </c>
      <c r="H233" s="650">
        <f>IF(LEN(TRIM($G233&amp;""))=0, $C233, SUMIF($G$3:$G$561, TRIM($G233), $C$3:$C$561))</f>
        <v>296.92610000000002</v>
      </c>
      <c r="I233" s="353" t="s">
        <v>562</v>
      </c>
      <c r="J233" s="351"/>
      <c r="K233" s="558"/>
      <c r="L233" s="558" t="str">
        <f>HYPERLINK("https://crm.zoho.com/crm/org685875245/tab/Accounts/3525045000271929046","https://crm.zoho.com/crm/org685875245/tab/Accounts/3525045000271929046")</f>
        <v>https://crm.zoho.com/crm/org685875245/tab/Accounts/3525045000271929046</v>
      </c>
      <c r="M233" s="553" t="s">
        <v>525</v>
      </c>
      <c r="N233" s="558"/>
      <c r="O233" s="559" t="s">
        <v>1552</v>
      </c>
      <c r="P233" s="559" t="s">
        <v>1553</v>
      </c>
      <c r="Q233" s="559" t="s">
        <v>1554</v>
      </c>
      <c r="R233" s="558"/>
      <c r="S233" s="352"/>
      <c r="T233" s="351"/>
      <c r="U233" s="354" t="s">
        <v>895</v>
      </c>
      <c r="V233" s="355">
        <v>232.71</v>
      </c>
      <c r="W233" s="355">
        <v>170.86</v>
      </c>
      <c r="X233" s="355">
        <v>176.91</v>
      </c>
      <c r="Y233" s="356">
        <v>178.17</v>
      </c>
      <c r="Z233" s="337">
        <v>156.31120000000001</v>
      </c>
      <c r="AA233" s="365">
        <v>136.83000000000001</v>
      </c>
      <c r="AB233" s="365">
        <v>171.1302</v>
      </c>
      <c r="AC233" s="635">
        <v>175.1917</v>
      </c>
      <c r="AD233" s="365">
        <v>296.92610000000002</v>
      </c>
      <c r="AE233" s="357">
        <v>454</v>
      </c>
      <c r="AF233" s="358">
        <v>200</v>
      </c>
      <c r="AG233" s="354"/>
      <c r="AH233" s="359" t="s">
        <v>83</v>
      </c>
      <c r="AI233" s="427" t="s">
        <v>83</v>
      </c>
      <c r="AJ233" s="361" t="s">
        <v>150</v>
      </c>
      <c r="AK233" s="362" t="s">
        <v>1555</v>
      </c>
      <c r="AL233" s="358" t="s">
        <v>150</v>
      </c>
      <c r="AM233" s="349"/>
      <c r="AN233" s="349"/>
      <c r="AO233" s="349"/>
      <c r="AP233" s="349"/>
      <c r="AQ233" s="349"/>
      <c r="AR233" s="453"/>
      <c r="AS233" s="371" t="s">
        <v>88</v>
      </c>
      <c r="AT233" s="345"/>
      <c r="AU233" s="345"/>
      <c r="AV233" s="345"/>
      <c r="AW233" s="345"/>
      <c r="AX233" s="345"/>
      <c r="AY233" s="345"/>
      <c r="AZ233" s="345"/>
      <c r="BA233" s="345"/>
      <c r="BB233" s="345"/>
      <c r="BC233" s="345"/>
      <c r="BD233" s="345"/>
      <c r="BE233" s="345"/>
      <c r="BF233" s="345"/>
      <c r="BG233" s="345"/>
      <c r="BH233" s="345"/>
      <c r="BI233" s="345"/>
      <c r="BJ233" s="364">
        <f>COUNTIF(AT233:BI233,"*OP*")</f>
        <v>0</v>
      </c>
      <c r="BK233" s="363" t="s">
        <v>103</v>
      </c>
      <c r="BL233" s="349">
        <f>(COUNTIF(AT233:AV233,"*OK*")*3) + (COUNTIF(AW233:AY233,"*OK*")*2) + COUNTIF(AZ233:BB233,"*OK*")+COUNTIF(BK233:BK233,"SI")*0.5</f>
        <v>0</v>
      </c>
      <c r="BM233" s="349" t="str">
        <f>IF(BL233&lt;0.6,"Demasiado Riesgo",IF(BL233&lt;=5,"Riesgo Medio",IF(BL233&lt;=11,"Riesgo Bajo","Cliente Blindado")))</f>
        <v>Demasiado Riesgo</v>
      </c>
      <c r="BN233" s="349"/>
      <c r="BO233" s="349"/>
      <c r="BP233" s="349">
        <v>0</v>
      </c>
      <c r="BQ233" s="349"/>
      <c r="BR233" s="349"/>
      <c r="BS233" s="349"/>
      <c r="BT233" s="349"/>
      <c r="BU233" s="349"/>
      <c r="BV233" s="349"/>
      <c r="BW233" s="349"/>
      <c r="BX233" s="349"/>
      <c r="BY233" s="349"/>
      <c r="BZ233" s="349"/>
      <c r="CA233" s="349"/>
      <c r="CB233" s="349"/>
      <c r="CC233" s="349"/>
      <c r="CD233" s="349"/>
      <c r="CE233" s="349"/>
      <c r="CF233" s="349"/>
      <c r="CG233" s="349"/>
      <c r="CH233" s="349"/>
      <c r="CI233" s="349"/>
      <c r="CJ233" s="349"/>
      <c r="CK233" s="349"/>
      <c r="CL233" s="349">
        <f>COUNTIF(AT233:BH233,"*OK*")</f>
        <v>0</v>
      </c>
      <c r="CM233" s="349"/>
      <c r="CN233" s="349">
        <f>COUNTIF(AT233:BH233,"*OP*")</f>
        <v>0</v>
      </c>
    </row>
    <row r="234" spans="1:94" ht="15" customHeight="1">
      <c r="A234" s="834">
        <v>35782</v>
      </c>
      <c r="B234" s="560" t="s">
        <v>1556</v>
      </c>
      <c r="C234" s="329">
        <f t="shared" si="5"/>
        <v>162.25170000000003</v>
      </c>
      <c r="D234" s="332">
        <f>COUNTIF(AT234:BH234,"*OK*")</f>
        <v>1</v>
      </c>
      <c r="E234" s="397" t="s">
        <v>439</v>
      </c>
      <c r="F234" s="331" t="s">
        <v>1557</v>
      </c>
      <c r="G234" s="331"/>
      <c r="H234" s="650">
        <f>IF(LEN(TRIM($G234&amp;""))=0, $C234, SUMIF($G$3:$G$561, TRIM($G234), $C$3:$C$561))</f>
        <v>162.25170000000003</v>
      </c>
      <c r="I234" s="333" t="s">
        <v>562</v>
      </c>
      <c r="J234" s="331"/>
      <c r="K234" s="328"/>
      <c r="L234" s="328" t="str">
        <f>HYPERLINK("https://crm.zoho.com/crm/org685875245/tab/Accounts/3525045000555178278","https://crm.zoho.com/crm/org685875245/tab/Accounts/3525045000555178278")</f>
        <v>https://crm.zoho.com/crm/org685875245/tab/Accounts/3525045000555178278</v>
      </c>
      <c r="M234" s="391"/>
      <c r="N234" s="332" t="s">
        <v>817</v>
      </c>
      <c r="O234" s="541" t="s">
        <v>1558</v>
      </c>
      <c r="P234" s="541" t="s">
        <v>1559</v>
      </c>
      <c r="Q234" s="541" t="s">
        <v>1560</v>
      </c>
      <c r="R234" s="332"/>
      <c r="S234" s="332"/>
      <c r="T234" s="397" t="s">
        <v>88</v>
      </c>
      <c r="U234" s="334" t="s">
        <v>198</v>
      </c>
      <c r="V234" s="335"/>
      <c r="W234" s="335"/>
      <c r="X234" s="335">
        <v>199.48</v>
      </c>
      <c r="Y234" s="336">
        <v>177.17</v>
      </c>
      <c r="Z234" s="337">
        <v>174.69970000000001</v>
      </c>
      <c r="AA234" s="347">
        <v>167.98</v>
      </c>
      <c r="AB234" s="347">
        <v>169.4016</v>
      </c>
      <c r="AC234" s="638">
        <v>172.51599999999999</v>
      </c>
      <c r="AD234" s="347">
        <v>162.25170000000003</v>
      </c>
      <c r="AE234" s="339">
        <v>35</v>
      </c>
      <c r="AF234" s="340">
        <v>200</v>
      </c>
      <c r="AG234" s="334"/>
      <c r="AH234" s="341"/>
      <c r="AI234" s="343" t="s">
        <v>1561</v>
      </c>
      <c r="AJ234" s="343" t="s">
        <v>130</v>
      </c>
      <c r="AK234" s="344" t="s">
        <v>1562</v>
      </c>
      <c r="AL234" s="340" t="s">
        <v>103</v>
      </c>
      <c r="AM234" s="328"/>
      <c r="AN234" s="328"/>
      <c r="AO234" s="328"/>
      <c r="AP234" s="328"/>
      <c r="AQ234" s="328"/>
      <c r="AR234" s="451"/>
      <c r="AS234" s="372" t="s">
        <v>103</v>
      </c>
      <c r="AT234" s="345"/>
      <c r="AU234" s="345"/>
      <c r="AV234" s="345"/>
      <c r="AW234" s="345"/>
      <c r="AX234" s="345"/>
      <c r="AY234" s="345"/>
      <c r="AZ234" s="345" t="s">
        <v>299</v>
      </c>
      <c r="BA234" s="345"/>
      <c r="BB234" s="345"/>
      <c r="BC234" s="345"/>
      <c r="BD234" s="345"/>
      <c r="BE234" s="345"/>
      <c r="BF234" s="345"/>
      <c r="BG234" s="345"/>
      <c r="BH234" s="345"/>
      <c r="BI234" s="345"/>
      <c r="BJ234" s="364">
        <f>COUNTIF(AT234:BI234,"*OP*")</f>
        <v>0</v>
      </c>
      <c r="BK234" s="375" t="s">
        <v>103</v>
      </c>
      <c r="BL234" s="328">
        <f>(COUNTIF(AT234:AV234,"*OK*")*3) + (COUNTIF(AW234:AY234,"*OK*")*2) + COUNTIF(AZ234:BB234,"*OK*")+COUNTIF(BK234:BK234,"SI")*0.5</f>
        <v>1</v>
      </c>
      <c r="BM234" s="328" t="str">
        <f>IF(BL234&lt;0.6,"Demasiado Riesgo",IF(BL234&lt;=5,"Riesgo Medio",IF(BL234&lt;=11,"Riesgo Bajo","Cliente Blindado")))</f>
        <v>Riesgo Medio</v>
      </c>
      <c r="BN234" s="328"/>
      <c r="BO234" s="349"/>
      <c r="BP234" s="349">
        <v>0</v>
      </c>
      <c r="BQ234" s="349"/>
      <c r="BR234" s="349"/>
      <c r="BS234" s="349"/>
      <c r="BT234" s="349"/>
      <c r="BU234" s="349"/>
      <c r="BV234" s="349"/>
      <c r="BW234" s="349"/>
      <c r="BX234" s="349"/>
      <c r="BY234" s="349"/>
      <c r="BZ234" s="349"/>
      <c r="CA234" s="349"/>
      <c r="CB234" s="349"/>
      <c r="CC234" s="349"/>
      <c r="CD234" s="349"/>
      <c r="CE234" s="349"/>
      <c r="CF234" s="349"/>
      <c r="CG234" s="349"/>
      <c r="CH234" s="349"/>
      <c r="CI234" s="349"/>
      <c r="CJ234" s="349"/>
      <c r="CK234" s="349"/>
      <c r="CL234" s="349">
        <f>COUNTIF(AT234:BH234,"*OK*")</f>
        <v>1</v>
      </c>
      <c r="CM234" s="349"/>
      <c r="CN234" s="349">
        <f>COUNTIF(AT234:BH234,"*OP*")</f>
        <v>0</v>
      </c>
    </row>
    <row r="235" spans="1:94" ht="15" customHeight="1">
      <c r="A235" s="834"/>
      <c r="B235" s="560" t="s">
        <v>1563</v>
      </c>
      <c r="C235" s="329">
        <f t="shared" si="5"/>
        <v>157.8366</v>
      </c>
      <c r="D235" s="332">
        <f>COUNTIF(AX235:BI235,"OK")</f>
        <v>0</v>
      </c>
      <c r="E235" s="501" t="s">
        <v>439</v>
      </c>
      <c r="F235" s="536" t="s">
        <v>1564</v>
      </c>
      <c r="G235" s="537"/>
      <c r="H235" s="650">
        <f>IF(LEN(TRIM($G235&amp;""))=0, $C235, SUMIF($G$3:$G$561, TRIM($G235), $C$3:$C$561))</f>
        <v>157.8366</v>
      </c>
      <c r="I235" s="501" t="s">
        <v>562</v>
      </c>
      <c r="J235" s="501" t="s">
        <v>103</v>
      </c>
      <c r="K235" s="328"/>
      <c r="L235" s="328" t="str">
        <f>HYPERLINK("https://crm.zoho.com/crm/org685875245/tab/Accounts/3525045000631328402","https://crm.zoho.com/crm/org685875245/tab/Accounts/3525045000631328402")</f>
        <v>https://crm.zoho.com/crm/org685875245/tab/Accounts/3525045000631328402</v>
      </c>
      <c r="M235" s="391"/>
      <c r="N235" s="501" t="s">
        <v>103</v>
      </c>
      <c r="O235" s="543" t="s">
        <v>184</v>
      </c>
      <c r="P235" s="543" t="s">
        <v>1565</v>
      </c>
      <c r="Q235" s="543" t="s">
        <v>1566</v>
      </c>
      <c r="R235" s="501"/>
      <c r="S235" s="501" t="s">
        <v>103</v>
      </c>
      <c r="T235" s="501" t="s">
        <v>88</v>
      </c>
      <c r="U235" s="469" t="s">
        <v>103</v>
      </c>
      <c r="V235" s="501" t="s">
        <v>103</v>
      </c>
      <c r="W235" s="501" t="s">
        <v>103</v>
      </c>
      <c r="X235" s="501" t="s">
        <v>103</v>
      </c>
      <c r="Y235" s="470" t="s">
        <v>103</v>
      </c>
      <c r="Z235" s="513" t="s">
        <v>103</v>
      </c>
      <c r="AA235" s="518">
        <v>141.13</v>
      </c>
      <c r="AB235" s="518">
        <v>161.04679999999999</v>
      </c>
      <c r="AC235" s="639">
        <v>171.63579999999999</v>
      </c>
      <c r="AD235" s="518">
        <v>157.8366</v>
      </c>
      <c r="AE235" s="339"/>
      <c r="AF235" s="340" t="s">
        <v>103</v>
      </c>
      <c r="AG235" s="334"/>
      <c r="AH235" s="328"/>
      <c r="AI235" s="342"/>
      <c r="AJ235" s="343"/>
      <c r="AK235" s="344"/>
      <c r="AL235" s="372" t="s">
        <v>103</v>
      </c>
      <c r="AM235" s="328"/>
      <c r="AN235" s="328"/>
      <c r="AO235" s="328"/>
      <c r="AP235" s="328"/>
      <c r="AQ235" s="328"/>
      <c r="AR235" s="451"/>
      <c r="AS235" s="444"/>
      <c r="AT235" s="345"/>
      <c r="AU235" s="345"/>
      <c r="AV235" s="364" t="s">
        <v>173</v>
      </c>
      <c r="AW235" s="345"/>
      <c r="AX235" s="345"/>
      <c r="AY235" s="345"/>
      <c r="AZ235" s="345"/>
      <c r="BA235" s="345"/>
      <c r="BB235" s="345"/>
      <c r="BC235" s="345"/>
      <c r="BD235" s="345"/>
      <c r="BE235" s="345"/>
      <c r="BF235" s="345"/>
      <c r="BG235" s="345"/>
      <c r="BH235" s="345"/>
      <c r="BI235" s="345"/>
      <c r="BJ235" s="364">
        <f>COUNTIF(AT235:BI235,"*OP*")</f>
        <v>1</v>
      </c>
      <c r="BK235" s="447"/>
      <c r="BL235" s="328">
        <f>(COUNTIF(AT235:AV235,"*OK*")*3) + (COUNTIF(AW235:AY235,"*OK*")*2) + COUNTIF(AZ235:BB235,"*OK*")+COUNTIF(BK235:BK235,"SI")*0.5</f>
        <v>0</v>
      </c>
      <c r="BM235" s="328" t="str">
        <f>IF(BL235&lt;0.6,"Demasiado Riesgo",IF(BL235&lt;=5,"Riesgo Medio",IF(BL235&lt;=11,"Riesgo Bajo","Cliente Blindado")))</f>
        <v>Demasiado Riesgo</v>
      </c>
      <c r="BN235" s="328"/>
      <c r="BO235" s="349"/>
      <c r="BP235" s="349">
        <v>0</v>
      </c>
      <c r="BQ235" s="349"/>
      <c r="BR235" s="349"/>
      <c r="BS235" s="349"/>
      <c r="BT235" s="349"/>
      <c r="BU235" s="349"/>
      <c r="BV235" s="349"/>
      <c r="BW235" s="349"/>
      <c r="BX235" s="349"/>
      <c r="BY235" s="349"/>
      <c r="BZ235" s="349"/>
      <c r="CA235" s="349"/>
      <c r="CB235" s="349"/>
      <c r="CC235" s="349"/>
      <c r="CD235" s="349"/>
      <c r="CE235" s="349"/>
      <c r="CF235" s="349"/>
      <c r="CG235" s="349"/>
      <c r="CH235" s="349"/>
      <c r="CI235" s="349"/>
      <c r="CJ235" s="349"/>
      <c r="CK235" s="349"/>
      <c r="CL235" s="349">
        <f>COUNTIF(AT235:BH235,"*OK*")</f>
        <v>0</v>
      </c>
      <c r="CM235" s="349"/>
      <c r="CN235" s="349">
        <f>COUNTIF(AT235:BH235,"*OP*")</f>
        <v>1</v>
      </c>
    </row>
    <row r="236" spans="1:94" ht="15" customHeight="1">
      <c r="A236" s="836">
        <v>33253</v>
      </c>
      <c r="B236" s="560" t="s">
        <v>979</v>
      </c>
      <c r="C236" s="329">
        <f t="shared" si="5"/>
        <v>162.2517</v>
      </c>
      <c r="D236" s="332">
        <f>COUNTIF(AT236:BH236,"*OK*")</f>
        <v>0</v>
      </c>
      <c r="E236" s="331" t="s">
        <v>73</v>
      </c>
      <c r="F236" s="858" t="s">
        <v>1567</v>
      </c>
      <c r="G236" s="351" t="s">
        <v>981</v>
      </c>
      <c r="H236" s="650">
        <f>IF(LEN(TRIM($G236&amp;""))=0, $C236, SUMIF($G$3:$G$561, TRIM($G236), $C$3:$C$561))</f>
        <v>1278.1458</v>
      </c>
      <c r="I236" s="417" t="s">
        <v>76</v>
      </c>
      <c r="J236" s="331"/>
      <c r="K236" s="560"/>
      <c r="L236" s="560" t="str">
        <f>HYPERLINK("https://crm.zoho.com/crm/org685875245/tab/Accounts/3525045000461676230","https://crm.zoho.com/crm/org685875245/tab/Accounts/3525045000461676230")</f>
        <v>https://crm.zoho.com/crm/org685875245/tab/Accounts/3525045000461676230</v>
      </c>
      <c r="M236" s="391" t="s">
        <v>96</v>
      </c>
      <c r="N236" s="560"/>
      <c r="O236" s="561" t="s">
        <v>982</v>
      </c>
      <c r="P236" s="561" t="s">
        <v>983</v>
      </c>
      <c r="Q236" s="561" t="s">
        <v>984</v>
      </c>
      <c r="R236" s="560"/>
      <c r="S236" s="332" t="s">
        <v>220</v>
      </c>
      <c r="T236" s="331"/>
      <c r="U236" s="334" t="s">
        <v>82</v>
      </c>
      <c r="V236" s="335">
        <v>176.62</v>
      </c>
      <c r="W236" s="335">
        <v>181.68</v>
      </c>
      <c r="X236" s="335">
        <v>178.11</v>
      </c>
      <c r="Y236" s="336">
        <v>183.84</v>
      </c>
      <c r="Z236" s="337">
        <v>183.71199999999999</v>
      </c>
      <c r="AA236" s="347">
        <v>174.84</v>
      </c>
      <c r="AB236" s="347">
        <v>169.40170000000001</v>
      </c>
      <c r="AC236" s="638">
        <v>170.75559999999999</v>
      </c>
      <c r="AD236" s="347">
        <v>162.2517</v>
      </c>
      <c r="AE236" s="339">
        <v>1583</v>
      </c>
      <c r="AF236" s="340">
        <v>1525</v>
      </c>
      <c r="AG236" s="334"/>
      <c r="AH236" s="341"/>
      <c r="AI236" s="342" t="s">
        <v>379</v>
      </c>
      <c r="AJ236" s="343" t="s">
        <v>852</v>
      </c>
      <c r="AK236" s="344" t="s">
        <v>1568</v>
      </c>
      <c r="AL236" s="340" t="s">
        <v>103</v>
      </c>
      <c r="AM236" s="328"/>
      <c r="AN236" s="328"/>
      <c r="AO236" s="328"/>
      <c r="AP236" s="328"/>
      <c r="AQ236" s="328"/>
      <c r="AR236" s="451"/>
      <c r="AS236" s="372" t="s">
        <v>103</v>
      </c>
      <c r="AT236" s="345"/>
      <c r="AU236" s="345"/>
      <c r="AV236" s="345"/>
      <c r="AW236" s="345"/>
      <c r="AX236" s="345"/>
      <c r="AY236" s="345"/>
      <c r="AZ236" s="345"/>
      <c r="BA236" s="345"/>
      <c r="BB236" s="345"/>
      <c r="BC236" s="345"/>
      <c r="BD236" s="345"/>
      <c r="BE236" s="345"/>
      <c r="BF236" s="345"/>
      <c r="BG236" s="345"/>
      <c r="BH236" s="345"/>
      <c r="BI236" s="345"/>
      <c r="BJ236" s="364">
        <f>COUNTIF(AT236:BI236,"*OP*")</f>
        <v>0</v>
      </c>
      <c r="BK236" s="375" t="s">
        <v>103</v>
      </c>
      <c r="BL236" s="328">
        <f>(COUNTIF(AT236:AV236,"*OK*")*3) + (COUNTIF(AW236:AY236,"*OK*")*2) + COUNTIF(AZ236:BB236,"*OK*")+COUNTIF(BK236:BK236,"SI")*0.5</f>
        <v>0</v>
      </c>
      <c r="BM236" s="328" t="str">
        <f>IF(BL236&lt;0.6,"Demasiado Riesgo",IF(BL236&lt;=5,"Riesgo Medio",IF(BL236&lt;=11,"Riesgo Bajo","Cliente Blindado")))</f>
        <v>Demasiado Riesgo</v>
      </c>
      <c r="BN236" s="328"/>
      <c r="BO236" s="349"/>
      <c r="BP236" s="349">
        <v>0</v>
      </c>
      <c r="BQ236" s="349"/>
      <c r="BR236" s="349"/>
      <c r="BS236" s="349"/>
      <c r="BT236" s="349"/>
      <c r="BU236" s="349"/>
      <c r="BV236" s="349"/>
      <c r="BW236" s="349"/>
      <c r="BX236" s="349"/>
      <c r="BY236" s="349"/>
      <c r="BZ236" s="349"/>
      <c r="CA236" s="349"/>
      <c r="CB236" s="349"/>
      <c r="CC236" s="349"/>
      <c r="CD236" s="349"/>
      <c r="CE236" s="349"/>
      <c r="CF236" s="349"/>
      <c r="CG236" s="349"/>
      <c r="CH236" s="349"/>
      <c r="CI236" s="349"/>
      <c r="CJ236" s="349"/>
      <c r="CK236" s="349"/>
      <c r="CL236" s="349">
        <f>COUNTIF(AT236:BH236,"*OK*")</f>
        <v>0</v>
      </c>
      <c r="CM236" s="349"/>
      <c r="CN236" s="349">
        <f>COUNTIF(AT236:BH236,"*OP*")</f>
        <v>0</v>
      </c>
    </row>
    <row r="237" spans="1:94" ht="15" customHeight="1">
      <c r="A237" s="834"/>
      <c r="B237" s="560" t="s">
        <v>1569</v>
      </c>
      <c r="C237" s="329">
        <f t="shared" si="5"/>
        <v>165.56290000000001</v>
      </c>
      <c r="D237" s="332">
        <f>COUNTIF(AT237:BH237,"*OK*")</f>
        <v>0</v>
      </c>
      <c r="E237" s="331" t="s">
        <v>439</v>
      </c>
      <c r="F237" s="331" t="s">
        <v>1570</v>
      </c>
      <c r="G237" s="331"/>
      <c r="H237" s="650">
        <f>IF(LEN(TRIM($G237&amp;""))=0, $C237, SUMIF($G$3:$G$561, TRIM($G237), $C$3:$C$561))</f>
        <v>165.56290000000001</v>
      </c>
      <c r="I237" s="410" t="s">
        <v>562</v>
      </c>
      <c r="J237" s="331"/>
      <c r="K237" s="328"/>
      <c r="L237" s="328" t="str">
        <f>HYPERLINK("https://crm.zoho.com/crm/org685875245/tab/Accounts/3525045000449381320","https://crm.zoho.com/crm/org685875245/tab/Accounts/3525045000449381320")</f>
        <v>https://crm.zoho.com/crm/org685875245/tab/Accounts/3525045000449381320</v>
      </c>
      <c r="M237" s="391"/>
      <c r="N237" s="332"/>
      <c r="O237" s="541"/>
      <c r="P237" s="541"/>
      <c r="Q237" s="541"/>
      <c r="R237" s="332"/>
      <c r="S237" s="332"/>
      <c r="T237" s="331"/>
      <c r="U237" s="334" t="s">
        <v>285</v>
      </c>
      <c r="V237" s="335">
        <v>191.41</v>
      </c>
      <c r="W237" s="335">
        <v>170.96</v>
      </c>
      <c r="X237" s="335">
        <v>162.91999999999999</v>
      </c>
      <c r="Y237" s="336">
        <v>168.16</v>
      </c>
      <c r="Z237" s="337">
        <v>181.97890000000001</v>
      </c>
      <c r="AA237" s="367">
        <v>182.84</v>
      </c>
      <c r="AB237" s="367">
        <v>181.5018</v>
      </c>
      <c r="AC237" s="636">
        <v>170.1688</v>
      </c>
      <c r="AD237" s="367">
        <v>165.56290000000001</v>
      </c>
      <c r="AE237" s="339"/>
      <c r="AF237" s="340">
        <v>400</v>
      </c>
      <c r="AG237" s="334"/>
      <c r="AH237" s="341"/>
      <c r="AI237" s="422" t="s">
        <v>83</v>
      </c>
      <c r="AJ237" s="343" t="s">
        <v>297</v>
      </c>
      <c r="AK237" s="344" t="s">
        <v>1571</v>
      </c>
      <c r="AL237" s="340" t="s">
        <v>103</v>
      </c>
      <c r="AM237" s="328"/>
      <c r="AN237" s="328"/>
      <c r="AO237" s="328"/>
      <c r="AP237" s="328"/>
      <c r="AQ237" s="328"/>
      <c r="AR237" s="451"/>
      <c r="AS237" s="372" t="s">
        <v>103</v>
      </c>
      <c r="AT237" s="445"/>
      <c r="AU237" s="445"/>
      <c r="AV237" s="445"/>
      <c r="AW237" s="445"/>
      <c r="AX237" s="445"/>
      <c r="AY237" s="445"/>
      <c r="AZ237" s="445"/>
      <c r="BA237" s="445"/>
      <c r="BB237" s="445"/>
      <c r="BC237" s="445"/>
      <c r="BD237" s="445"/>
      <c r="BE237" s="445"/>
      <c r="BF237" s="445"/>
      <c r="BG237" s="445"/>
      <c r="BH237" s="445"/>
      <c r="BI237" s="445"/>
      <c r="BJ237" s="446">
        <f>COUNTIF(AT237:BI237,"*OP*")</f>
        <v>0</v>
      </c>
      <c r="BK237" s="375" t="s">
        <v>103</v>
      </c>
      <c r="BL237" s="328">
        <f>(COUNTIF(AT237:AV237,"*OK*")*3) + (COUNTIF(AW237:AY237,"*OK*")*2) + COUNTIF(AZ237:BB237,"*OK*")+COUNTIF(BK237:BK237,"SI")*0.5</f>
        <v>0</v>
      </c>
      <c r="BM237" s="328" t="str">
        <f>IF(BL237&lt;0.6,"Demasiado Riesgo",IF(BL237&lt;=5,"Riesgo Medio",IF(BL237&lt;=11,"Riesgo Bajo","Cliente Blindado")))</f>
        <v>Demasiado Riesgo</v>
      </c>
      <c r="BN237" s="328"/>
      <c r="BO237" s="349"/>
      <c r="BP237" s="349">
        <v>0</v>
      </c>
      <c r="BQ237" s="349"/>
      <c r="BR237" s="349"/>
      <c r="BS237" s="349"/>
      <c r="BT237" s="349"/>
      <c r="BU237" s="349"/>
      <c r="BV237" s="349"/>
      <c r="BW237" s="349"/>
      <c r="BX237" s="349"/>
      <c r="BY237" s="349"/>
      <c r="BZ237" s="349"/>
      <c r="CA237" s="349"/>
      <c r="CB237" s="349"/>
      <c r="CC237" s="349"/>
      <c r="CD237" s="349"/>
      <c r="CE237" s="349"/>
      <c r="CF237" s="349"/>
      <c r="CG237" s="349"/>
      <c r="CH237" s="349"/>
      <c r="CI237" s="349"/>
      <c r="CJ237" s="349"/>
      <c r="CK237" s="349"/>
      <c r="CL237" s="349">
        <f>COUNTIF(AT237:BH237,"*OK*")</f>
        <v>0</v>
      </c>
      <c r="CM237" s="349"/>
      <c r="CN237" s="349">
        <f>COUNTIF(AT237:BH237,"*OP*")</f>
        <v>0</v>
      </c>
      <c r="CP237" s="425"/>
    </row>
    <row r="238" spans="1:94" ht="15" customHeight="1">
      <c r="A238" s="834">
        <v>26688</v>
      </c>
      <c r="B238" s="560" t="s">
        <v>1061</v>
      </c>
      <c r="C238" s="329">
        <f t="shared" si="5"/>
        <v>157.07839999999999</v>
      </c>
      <c r="D238" s="332">
        <f>COUNTIF(AT238:BH238,"*OK*")</f>
        <v>0</v>
      </c>
      <c r="E238" s="331" t="s">
        <v>73</v>
      </c>
      <c r="F238" s="331" t="s">
        <v>1572</v>
      </c>
      <c r="G238" s="331" t="s">
        <v>1063</v>
      </c>
      <c r="H238" s="650">
        <f>IF(LEN(TRIM($G238&amp;""))=0, $C238, SUMIF($G$3:$G$561, TRIM($G238), $C$3:$C$561))</f>
        <v>507.28589999999997</v>
      </c>
      <c r="I238" s="410" t="s">
        <v>562</v>
      </c>
      <c r="J238" s="331"/>
      <c r="K238" s="560"/>
      <c r="L238" s="560"/>
      <c r="M238" s="391" t="s">
        <v>77</v>
      </c>
      <c r="N238" s="560"/>
      <c r="O238" s="561"/>
      <c r="P238" s="561"/>
      <c r="Q238" s="561"/>
      <c r="R238" s="560"/>
      <c r="S238" s="332"/>
      <c r="T238" s="331"/>
      <c r="U238" s="334" t="s">
        <v>82</v>
      </c>
      <c r="V238" s="335">
        <v>148.86000000000001</v>
      </c>
      <c r="W238" s="335">
        <v>154.13</v>
      </c>
      <c r="X238" s="335">
        <v>154.61000000000001</v>
      </c>
      <c r="Y238" s="336">
        <v>146.29</v>
      </c>
      <c r="Z238" s="337">
        <v>156.34469999999999</v>
      </c>
      <c r="AA238" s="338">
        <v>159.96</v>
      </c>
      <c r="AB238" s="338">
        <v>166.68889999999999</v>
      </c>
      <c r="AC238" s="634">
        <v>167.0154</v>
      </c>
      <c r="AD238" s="338">
        <v>157.07839999999999</v>
      </c>
      <c r="AE238" s="339">
        <v>181</v>
      </c>
      <c r="AF238" s="340">
        <v>100</v>
      </c>
      <c r="AG238" s="334"/>
      <c r="AH238" s="341"/>
      <c r="AI238" s="422" t="s">
        <v>83</v>
      </c>
      <c r="AJ238" s="343" t="s">
        <v>143</v>
      </c>
      <c r="AK238" s="344" t="s">
        <v>1573</v>
      </c>
      <c r="AL238" s="340" t="s">
        <v>103</v>
      </c>
      <c r="AM238" s="328"/>
      <c r="AN238" s="328"/>
      <c r="AO238" s="328"/>
      <c r="AP238" s="328"/>
      <c r="AQ238" s="328"/>
      <c r="AR238" s="451"/>
      <c r="AS238" s="372" t="s">
        <v>103</v>
      </c>
      <c r="AT238" s="345"/>
      <c r="AU238" s="345"/>
      <c r="AV238" s="345"/>
      <c r="AW238" s="345"/>
      <c r="AX238" s="345"/>
      <c r="AY238" s="345"/>
      <c r="AZ238" s="345"/>
      <c r="BA238" s="345"/>
      <c r="BB238" s="345"/>
      <c r="BC238" s="345"/>
      <c r="BD238" s="345"/>
      <c r="BE238" s="345"/>
      <c r="BF238" s="345"/>
      <c r="BG238" s="345"/>
      <c r="BH238" s="345"/>
      <c r="BI238" s="345"/>
      <c r="BJ238" s="364">
        <f>COUNTIF(AT238:BI238,"*OP*")</f>
        <v>0</v>
      </c>
      <c r="BK238" s="375" t="s">
        <v>103</v>
      </c>
      <c r="BL238" s="328">
        <f>(COUNTIF(AT238:AV238,"*OK*")*3) + (COUNTIF(AW238:AY238,"*OK*")*2) + COUNTIF(AZ238:BB238,"*OK*")+COUNTIF(BK238:BK238,"SI")*0.5</f>
        <v>0</v>
      </c>
      <c r="BM238" s="328" t="str">
        <f>IF(BL238&lt;0.6,"Demasiado Riesgo",IF(BL238&lt;=5,"Riesgo Medio",IF(BL238&lt;=11,"Riesgo Bajo","Cliente Blindado")))</f>
        <v>Demasiado Riesgo</v>
      </c>
      <c r="BN238" s="328"/>
      <c r="BO238" s="328"/>
      <c r="BP238" s="328">
        <v>0</v>
      </c>
      <c r="BQ238" s="328"/>
      <c r="BR238" s="328"/>
      <c r="BS238" s="328"/>
      <c r="BT238" s="328"/>
      <c r="BU238" s="328"/>
      <c r="BV238" s="328"/>
      <c r="BW238" s="328"/>
      <c r="BX238" s="328"/>
      <c r="BY238" s="328"/>
      <c r="BZ238" s="328"/>
      <c r="CA238" s="328"/>
      <c r="CB238" s="328"/>
      <c r="CC238" s="328"/>
      <c r="CD238" s="328"/>
      <c r="CE238" s="328"/>
      <c r="CF238" s="328"/>
      <c r="CG238" s="328"/>
      <c r="CH238" s="328"/>
      <c r="CI238" s="328"/>
      <c r="CJ238" s="328"/>
      <c r="CK238" s="328"/>
      <c r="CL238" s="328">
        <f>COUNTIF(AT238:BH238,"*OK*")</f>
        <v>0</v>
      </c>
      <c r="CM238" s="328"/>
      <c r="CN238" s="328">
        <f>COUNTIF(AT238:BH238,"*OP*")</f>
        <v>0</v>
      </c>
    </row>
    <row r="239" spans="1:94" ht="15" customHeight="1">
      <c r="A239" s="834">
        <v>32684</v>
      </c>
      <c r="B239" s="560" t="s">
        <v>1574</v>
      </c>
      <c r="C239" s="329">
        <f t="shared" si="5"/>
        <v>0</v>
      </c>
      <c r="D239" s="332">
        <f>COUNTIF(AT239:BH239,"*OK*")</f>
        <v>0</v>
      </c>
      <c r="E239" s="437" t="s">
        <v>439</v>
      </c>
      <c r="F239" s="331" t="s">
        <v>1575</v>
      </c>
      <c r="G239" s="331"/>
      <c r="H239" s="650">
        <f>IF(LEN(TRIM($G239&amp;""))=0, $C239, SUMIF($G$3:$G$561, TRIM($G239), $C$3:$C$561))</f>
        <v>0</v>
      </c>
      <c r="I239" s="331" t="s">
        <v>562</v>
      </c>
      <c r="J239" s="331"/>
      <c r="K239" s="328"/>
      <c r="L239" s="328"/>
      <c r="M239" s="391" t="s">
        <v>787</v>
      </c>
      <c r="N239" s="332" t="s">
        <v>817</v>
      </c>
      <c r="O239" s="541" t="s">
        <v>1576</v>
      </c>
      <c r="P239" s="541" t="s">
        <v>1577</v>
      </c>
      <c r="Q239" s="541" t="s">
        <v>1578</v>
      </c>
      <c r="R239" s="332"/>
      <c r="S239" s="332"/>
      <c r="T239" s="397"/>
      <c r="U239" s="334" t="s">
        <v>82</v>
      </c>
      <c r="V239" s="335">
        <v>171.78</v>
      </c>
      <c r="W239" s="335">
        <v>168.26</v>
      </c>
      <c r="X239" s="335">
        <v>166.76</v>
      </c>
      <c r="Y239" s="336">
        <v>165.51</v>
      </c>
      <c r="Z239" s="337">
        <v>161.02879999999999</v>
      </c>
      <c r="AA239" s="338">
        <v>165.9</v>
      </c>
      <c r="AB239" s="338">
        <v>163.95259999999999</v>
      </c>
      <c r="AC239" s="634">
        <v>166.9667</v>
      </c>
      <c r="AD239" s="338"/>
      <c r="AE239" s="339">
        <v>53</v>
      </c>
      <c r="AF239" s="340">
        <v>100</v>
      </c>
      <c r="AG239" s="334"/>
      <c r="AH239" s="341"/>
      <c r="AI239" s="418" t="s">
        <v>83</v>
      </c>
      <c r="AJ239" s="343" t="s">
        <v>161</v>
      </c>
      <c r="AK239" s="344" t="s">
        <v>1579</v>
      </c>
      <c r="AL239" s="340" t="s">
        <v>103</v>
      </c>
      <c r="AM239" s="328"/>
      <c r="AN239" s="328"/>
      <c r="AO239" s="328"/>
      <c r="AP239" s="328"/>
      <c r="AQ239" s="328"/>
      <c r="AR239" s="451"/>
      <c r="AS239" s="372" t="s">
        <v>103</v>
      </c>
      <c r="AT239" s="345"/>
      <c r="AU239" s="345"/>
      <c r="AV239" s="345"/>
      <c r="AW239" s="345"/>
      <c r="AX239" s="345"/>
      <c r="AY239" s="345"/>
      <c r="AZ239" s="345"/>
      <c r="BA239" s="345"/>
      <c r="BB239" s="345"/>
      <c r="BC239" s="345"/>
      <c r="BD239" s="345"/>
      <c r="BE239" s="345"/>
      <c r="BF239" s="345"/>
      <c r="BG239" s="345"/>
      <c r="BH239" s="345"/>
      <c r="BI239" s="345"/>
      <c r="BJ239" s="364">
        <f>COUNTIF(AT239:BI239,"*OP*")</f>
        <v>0</v>
      </c>
      <c r="BK239" s="375" t="s">
        <v>103</v>
      </c>
      <c r="BL239" s="328">
        <f>(COUNTIF(AT239:AV239,"*OK*")*3) + (COUNTIF(AW239:AY239,"*OK*")*2) + COUNTIF(AZ239:BB239,"*OK*")+COUNTIF(BK239:BK239,"SI")*0.5</f>
        <v>0</v>
      </c>
      <c r="BM239" s="328" t="str">
        <f>IF(BL239&lt;0.6,"Demasiado Riesgo",IF(BL239&lt;=5,"Riesgo Medio",IF(BL239&lt;=11,"Riesgo Bajo","Cliente Blindado")))</f>
        <v>Demasiado Riesgo</v>
      </c>
      <c r="BN239" s="328"/>
      <c r="BO239" s="328"/>
      <c r="BP239" s="328">
        <v>0</v>
      </c>
      <c r="BQ239" s="328"/>
      <c r="BR239" s="328"/>
      <c r="BS239" s="328"/>
      <c r="BT239" s="328"/>
      <c r="BU239" s="328"/>
      <c r="BV239" s="328"/>
      <c r="BW239" s="328"/>
      <c r="BX239" s="328"/>
      <c r="BY239" s="328"/>
      <c r="BZ239" s="328"/>
      <c r="CA239" s="328"/>
      <c r="CB239" s="328"/>
      <c r="CC239" s="328"/>
      <c r="CD239" s="328"/>
      <c r="CE239" s="328"/>
      <c r="CF239" s="328"/>
      <c r="CG239" s="328"/>
      <c r="CH239" s="328"/>
      <c r="CI239" s="328"/>
      <c r="CJ239" s="328"/>
      <c r="CK239" s="328"/>
      <c r="CL239" s="328">
        <f>COUNTIF(AT239:BH239,"*OK*")</f>
        <v>0</v>
      </c>
      <c r="CM239" s="328"/>
      <c r="CN239" s="328">
        <f>COUNTIF(AT239:BH239,"*OP*")</f>
        <v>0</v>
      </c>
    </row>
    <row r="240" spans="1:94" ht="15" customHeight="1">
      <c r="A240" s="835">
        <v>24389</v>
      </c>
      <c r="B240" s="560" t="s">
        <v>1580</v>
      </c>
      <c r="C240" s="329">
        <f t="shared" si="5"/>
        <v>156.4879</v>
      </c>
      <c r="D240" s="352">
        <f>COUNTIF(AT240:BH240,"*OK*")</f>
        <v>0</v>
      </c>
      <c r="E240" s="351" t="s">
        <v>439</v>
      </c>
      <c r="F240" s="351" t="s">
        <v>1581</v>
      </c>
      <c r="G240" s="351"/>
      <c r="H240" s="650">
        <f>IF(LEN(TRIM($G240&amp;""))=0, $C240, SUMIF($G$3:$G$561, TRIM($G240), $C$3:$C$561))</f>
        <v>156.4879</v>
      </c>
      <c r="I240" s="413" t="s">
        <v>562</v>
      </c>
      <c r="J240" s="351"/>
      <c r="K240" s="349"/>
      <c r="L240" s="349" t="str">
        <f>HYPERLINK("https://crm.zoho.com/crm/org685875245/tab/Accounts/3525045000303422072","https://crm.zoho.com/crm/org685875245/tab/Accounts/3525045000303422072")</f>
        <v>https://crm.zoho.com/crm/org685875245/tab/Accounts/3525045000303422072</v>
      </c>
      <c r="M240" s="553" t="s">
        <v>96</v>
      </c>
      <c r="N240" s="352"/>
      <c r="O240" s="540" t="s">
        <v>1582</v>
      </c>
      <c r="P240" s="540" t="s">
        <v>1583</v>
      </c>
      <c r="Q240" s="540" t="s">
        <v>1584</v>
      </c>
      <c r="R240" s="352"/>
      <c r="S240" s="352"/>
      <c r="T240" s="351"/>
      <c r="U240" s="354" t="s">
        <v>387</v>
      </c>
      <c r="V240" s="355">
        <v>210.61</v>
      </c>
      <c r="W240" s="355">
        <v>210.41</v>
      </c>
      <c r="X240" s="355">
        <v>190.97</v>
      </c>
      <c r="Y240" s="356">
        <v>193.18</v>
      </c>
      <c r="Z240" s="337">
        <v>191.78149999999999</v>
      </c>
      <c r="AA240" s="338">
        <v>209.44</v>
      </c>
      <c r="AB240" s="338">
        <v>185.30119999999999</v>
      </c>
      <c r="AC240" s="634">
        <v>166.38759999999999</v>
      </c>
      <c r="AD240" s="338">
        <v>156.4879</v>
      </c>
      <c r="AE240" s="357">
        <v>101</v>
      </c>
      <c r="AF240" s="358">
        <v>100</v>
      </c>
      <c r="AG240" s="354"/>
      <c r="AH240" s="359"/>
      <c r="AI240" s="427" t="s">
        <v>83</v>
      </c>
      <c r="AJ240" s="361" t="s">
        <v>396</v>
      </c>
      <c r="AK240" s="362" t="s">
        <v>1585</v>
      </c>
      <c r="AL240" s="358" t="s">
        <v>86</v>
      </c>
      <c r="AM240" s="349"/>
      <c r="AN240" s="349"/>
      <c r="AO240" s="349"/>
      <c r="AP240" s="349"/>
      <c r="AQ240" s="349"/>
      <c r="AR240" s="453"/>
      <c r="AS240" s="371" t="s">
        <v>88</v>
      </c>
      <c r="AT240" s="345"/>
      <c r="AU240" s="345" t="s">
        <v>179</v>
      </c>
      <c r="AV240" s="345"/>
      <c r="AW240" s="345"/>
      <c r="AX240" s="345"/>
      <c r="AY240" s="345"/>
      <c r="AZ240" s="345"/>
      <c r="BA240" s="345"/>
      <c r="BB240" s="345"/>
      <c r="BC240" s="345"/>
      <c r="BD240" s="345"/>
      <c r="BE240" s="345"/>
      <c r="BF240" s="345"/>
      <c r="BG240" s="345"/>
      <c r="BH240" s="345"/>
      <c r="BI240" s="345"/>
      <c r="BJ240" s="364">
        <f>COUNTIF(AT240:BI240,"*OP*")</f>
        <v>1</v>
      </c>
      <c r="BK240" s="363" t="s">
        <v>89</v>
      </c>
      <c r="BL240" s="349">
        <f>(COUNTIF(AT240:AV240,"*OK*")*3) + (COUNTIF(AW240:AY240,"*OK*")*2) + COUNTIF(AZ240:BB240,"*OK*")+COUNTIF(BK240:BK240,"SI")*0.5</f>
        <v>0</v>
      </c>
      <c r="BM240" s="349" t="str">
        <f>IF(BL240&lt;0.6,"Demasiado Riesgo",IF(BL240&lt;=5,"Riesgo Medio",IF(BL240&lt;=11,"Riesgo Bajo","Cliente Blindado")))</f>
        <v>Demasiado Riesgo</v>
      </c>
      <c r="BN240" s="349"/>
      <c r="BO240" s="349"/>
      <c r="BP240" s="349">
        <v>0</v>
      </c>
      <c r="BQ240" s="349"/>
      <c r="BR240" s="349"/>
      <c r="BS240" s="349"/>
      <c r="BT240" s="349"/>
      <c r="BU240" s="349"/>
      <c r="BV240" s="349"/>
      <c r="BW240" s="349"/>
      <c r="BX240" s="349"/>
      <c r="BY240" s="349"/>
      <c r="BZ240" s="349"/>
      <c r="CA240" s="349"/>
      <c r="CB240" s="349"/>
      <c r="CC240" s="349"/>
      <c r="CD240" s="349"/>
      <c r="CE240" s="349"/>
      <c r="CF240" s="349"/>
      <c r="CG240" s="349"/>
      <c r="CH240" s="349"/>
      <c r="CI240" s="349"/>
      <c r="CJ240" s="349"/>
      <c r="CK240" s="349"/>
      <c r="CL240" s="349">
        <f>COUNTIF(AT240:BH240,"*OK*")</f>
        <v>0</v>
      </c>
      <c r="CM240" s="349"/>
      <c r="CN240" s="349">
        <f>COUNTIF(AT240:BH240,"*OP*")</f>
        <v>1</v>
      </c>
    </row>
    <row r="241" spans="1:92" ht="15" customHeight="1">
      <c r="A241" s="834">
        <v>27671</v>
      </c>
      <c r="B241" s="560" t="s">
        <v>1586</v>
      </c>
      <c r="C241" s="329">
        <f t="shared" si="5"/>
        <v>154.52539999999999</v>
      </c>
      <c r="D241" s="332">
        <f>COUNTIF(AT241:BH241,"*OK*")</f>
        <v>0</v>
      </c>
      <c r="E241" s="397" t="s">
        <v>439</v>
      </c>
      <c r="F241" s="331" t="s">
        <v>1587</v>
      </c>
      <c r="G241" s="331"/>
      <c r="H241" s="650">
        <f>IF(LEN(TRIM($G241&amp;""))=0, $C241, SUMIF($G$3:$G$561, TRIM($G241), $C$3:$C$561))</f>
        <v>154.52539999999999</v>
      </c>
      <c r="I241" s="331" t="s">
        <v>562</v>
      </c>
      <c r="J241" s="331"/>
      <c r="K241" s="328"/>
      <c r="L241" s="328" t="str">
        <f>HYPERLINK("https://crm.zoho.com/crm/org685875245/tab/Accounts/3525045000409940100","https://crm.zoho.com/crm/org685875245/tab/Accounts/3525045000409940100")</f>
        <v>https://crm.zoho.com/crm/org685875245/tab/Accounts/3525045000409940100</v>
      </c>
      <c r="M241" s="391"/>
      <c r="N241" s="332" t="s">
        <v>817</v>
      </c>
      <c r="O241" s="541" t="s">
        <v>1588</v>
      </c>
      <c r="P241" s="541" t="s">
        <v>1589</v>
      </c>
      <c r="Q241" s="541" t="s">
        <v>1590</v>
      </c>
      <c r="R241" s="332"/>
      <c r="S241" s="332"/>
      <c r="T241" s="397"/>
      <c r="U241" s="344" t="s">
        <v>394</v>
      </c>
      <c r="V241" s="335">
        <v>162.41</v>
      </c>
      <c r="W241" s="335">
        <v>162.26</v>
      </c>
      <c r="X241" s="335">
        <v>154.63</v>
      </c>
      <c r="Y241" s="336">
        <v>159.61000000000001</v>
      </c>
      <c r="Z241" s="337">
        <v>161.75899999999999</v>
      </c>
      <c r="AA241" s="365">
        <v>159.99</v>
      </c>
      <c r="AB241" s="365">
        <v>137.999</v>
      </c>
      <c r="AC241" s="635">
        <v>164.30090000000001</v>
      </c>
      <c r="AD241" s="365">
        <v>154.52539999999999</v>
      </c>
      <c r="AE241" s="339">
        <v>34</v>
      </c>
      <c r="AF241" s="340">
        <v>300</v>
      </c>
      <c r="AG241" s="334"/>
      <c r="AH241" s="341"/>
      <c r="AI241" s="422" t="s">
        <v>83</v>
      </c>
      <c r="AJ241" s="343" t="s">
        <v>396</v>
      </c>
      <c r="AK241" s="344" t="s">
        <v>1591</v>
      </c>
      <c r="AL241" s="340" t="s">
        <v>396</v>
      </c>
      <c r="AM241" s="328"/>
      <c r="AN241" s="328"/>
      <c r="AO241" s="328"/>
      <c r="AP241" s="328"/>
      <c r="AQ241" s="328"/>
      <c r="AR241" s="451"/>
      <c r="AS241" s="372" t="s">
        <v>103</v>
      </c>
      <c r="AT241" s="345"/>
      <c r="AU241" s="345"/>
      <c r="AV241" s="345"/>
      <c r="AW241" s="345"/>
      <c r="AX241" s="345"/>
      <c r="AY241" s="345"/>
      <c r="AZ241" s="345"/>
      <c r="BA241" s="345"/>
      <c r="BB241" s="345"/>
      <c r="BC241" s="345"/>
      <c r="BD241" s="345"/>
      <c r="BE241" s="345"/>
      <c r="BF241" s="345"/>
      <c r="BG241" s="345"/>
      <c r="BH241" s="345"/>
      <c r="BI241" s="345"/>
      <c r="BJ241" s="364">
        <f>COUNTIF(AT241:BI241,"*OP*")</f>
        <v>0</v>
      </c>
      <c r="BK241" s="375" t="s">
        <v>103</v>
      </c>
      <c r="BL241" s="328">
        <f>(COUNTIF(AT241:AV241,"*OK*")*3) + (COUNTIF(AW241:AY241,"*OK*")*2) + COUNTIF(AZ241:BB241,"*OK*")+COUNTIF(BK241:BK241,"SI")*0.5</f>
        <v>0</v>
      </c>
      <c r="BM241" s="328" t="str">
        <f>IF(BL241&lt;0.6,"Demasiado Riesgo",IF(BL241&lt;=5,"Riesgo Medio",IF(BL241&lt;=11,"Riesgo Bajo","Cliente Blindado")))</f>
        <v>Demasiado Riesgo</v>
      </c>
      <c r="BN241" s="328"/>
      <c r="BO241" s="349"/>
      <c r="BP241" s="349">
        <v>0</v>
      </c>
      <c r="BQ241" s="349"/>
      <c r="BR241" s="349"/>
      <c r="BS241" s="349"/>
      <c r="BT241" s="349"/>
      <c r="BU241" s="349"/>
      <c r="BV241" s="349"/>
      <c r="BW241" s="349"/>
      <c r="BX241" s="349"/>
      <c r="BY241" s="349"/>
      <c r="BZ241" s="349"/>
      <c r="CA241" s="349"/>
      <c r="CB241" s="349"/>
      <c r="CC241" s="349"/>
      <c r="CD241" s="349"/>
      <c r="CE241" s="349"/>
      <c r="CF241" s="349"/>
      <c r="CG241" s="349"/>
      <c r="CH241" s="349"/>
      <c r="CI241" s="349"/>
      <c r="CJ241" s="349"/>
      <c r="CK241" s="349"/>
      <c r="CL241" s="349">
        <f>COUNTIF(AT241:BH241,"*OK*")</f>
        <v>0</v>
      </c>
      <c r="CM241" s="349"/>
      <c r="CN241" s="349">
        <f>COUNTIF(AT241:BH241,"*OP*")</f>
        <v>0</v>
      </c>
    </row>
    <row r="242" spans="1:92" ht="15" customHeight="1">
      <c r="A242" s="837">
        <v>25875</v>
      </c>
      <c r="B242" s="560" t="s">
        <v>1592</v>
      </c>
      <c r="C242" s="329">
        <f t="shared" si="5"/>
        <v>154.45249999999999</v>
      </c>
      <c r="D242" s="352">
        <f>COUNTIF(AT242:BH242,"*OK*")</f>
        <v>0</v>
      </c>
      <c r="E242" s="331" t="s">
        <v>73</v>
      </c>
      <c r="F242" s="351" t="s">
        <v>1593</v>
      </c>
      <c r="G242" s="351"/>
      <c r="H242" s="650">
        <f>IF(LEN(TRIM($G242&amp;""))=0, $C242, SUMIF($G$3:$G$561, TRIM($G242), $C$3:$C$561))</f>
        <v>154.45249999999999</v>
      </c>
      <c r="I242" s="353" t="s">
        <v>562</v>
      </c>
      <c r="J242" s="351"/>
      <c r="K242" s="558"/>
      <c r="L242" s="558" t="str">
        <f>HYPERLINK("https://crm.zoho.com/crm/org685875245/tab/Accounts/3525045000309845641","https://crm.zoho.com/crm/org685875245/tab/Accounts/3525045000309845641")</f>
        <v>https://crm.zoho.com/crm/org685875245/tab/Accounts/3525045000309845641</v>
      </c>
      <c r="M242" s="553" t="s">
        <v>167</v>
      </c>
      <c r="N242" s="558"/>
      <c r="O242" s="559"/>
      <c r="P242" s="559"/>
      <c r="Q242" s="559"/>
      <c r="R242" s="558"/>
      <c r="S242" s="352"/>
      <c r="T242" s="351"/>
      <c r="U242" s="354" t="s">
        <v>82</v>
      </c>
      <c r="V242" s="355">
        <v>163.43</v>
      </c>
      <c r="W242" s="355">
        <v>162.19</v>
      </c>
      <c r="X242" s="355">
        <v>154.56</v>
      </c>
      <c r="Y242" s="356">
        <v>160.61000000000001</v>
      </c>
      <c r="Z242" s="337">
        <v>158.40539999999999</v>
      </c>
      <c r="AA242" s="365">
        <v>153.43</v>
      </c>
      <c r="AB242" s="365">
        <v>159.0797</v>
      </c>
      <c r="AC242" s="635">
        <v>164.2235</v>
      </c>
      <c r="AD242" s="365">
        <v>154.45249999999999</v>
      </c>
      <c r="AE242" s="357">
        <v>156</v>
      </c>
      <c r="AF242" s="358">
        <v>150</v>
      </c>
      <c r="AG242" s="354"/>
      <c r="AH242" s="359" t="s">
        <v>1594</v>
      </c>
      <c r="AI242" s="427" t="s">
        <v>83</v>
      </c>
      <c r="AJ242" s="361" t="s">
        <v>852</v>
      </c>
      <c r="AK242" s="362" t="s">
        <v>1595</v>
      </c>
      <c r="AL242" s="358" t="s">
        <v>662</v>
      </c>
      <c r="AM242" s="349"/>
      <c r="AN242" s="349"/>
      <c r="AO242" s="349"/>
      <c r="AP242" s="349"/>
      <c r="AQ242" s="349"/>
      <c r="AR242" s="453"/>
      <c r="AS242" s="371" t="s">
        <v>103</v>
      </c>
      <c r="AT242" s="345"/>
      <c r="AU242" s="345"/>
      <c r="AV242" s="345"/>
      <c r="AW242" s="345"/>
      <c r="AX242" s="345"/>
      <c r="AY242" s="345"/>
      <c r="AZ242" s="345"/>
      <c r="BA242" s="345"/>
      <c r="BB242" s="345"/>
      <c r="BC242" s="345"/>
      <c r="BD242" s="345"/>
      <c r="BE242" s="345"/>
      <c r="BF242" s="345"/>
      <c r="BG242" s="345"/>
      <c r="BH242" s="345"/>
      <c r="BI242" s="345"/>
      <c r="BJ242" s="364">
        <f>COUNTIF(AT242:BI242,"*OP*")</f>
        <v>0</v>
      </c>
      <c r="BK242" s="363" t="s">
        <v>103</v>
      </c>
      <c r="BL242" s="349">
        <f>(COUNTIF(AT242:AV242,"*OK*")*3) + (COUNTIF(AW242:AY242,"*OK*")*2) + COUNTIF(AZ242:BB242,"*OK*")+COUNTIF(BK242:BK242,"SI")*0.5</f>
        <v>0</v>
      </c>
      <c r="BM242" s="349" t="str">
        <f>IF(BL242&lt;0.6,"Demasiado Riesgo",IF(BL242&lt;=5,"Riesgo Medio",IF(BL242&lt;=11,"Riesgo Bajo","Cliente Blindado")))</f>
        <v>Demasiado Riesgo</v>
      </c>
      <c r="BN242" s="349"/>
      <c r="BO242" s="349"/>
      <c r="BP242" s="349">
        <v>0</v>
      </c>
      <c r="BQ242" s="349"/>
      <c r="BR242" s="349"/>
      <c r="BS242" s="349"/>
      <c r="BT242" s="349"/>
      <c r="BU242" s="349"/>
      <c r="BV242" s="349"/>
      <c r="BW242" s="349"/>
      <c r="BX242" s="349"/>
      <c r="BY242" s="349"/>
      <c r="BZ242" s="349"/>
      <c r="CA242" s="349"/>
      <c r="CB242" s="349"/>
      <c r="CC242" s="349"/>
      <c r="CD242" s="349"/>
      <c r="CE242" s="349"/>
      <c r="CF242" s="349"/>
      <c r="CG242" s="349"/>
      <c r="CH242" s="349"/>
      <c r="CI242" s="349"/>
      <c r="CJ242" s="349"/>
      <c r="CK242" s="349"/>
      <c r="CL242" s="349">
        <f>COUNTIF(AT242:BH242,"*OK*")</f>
        <v>0</v>
      </c>
      <c r="CM242" s="349"/>
      <c r="CN242" s="349">
        <f>COUNTIF(AT242:BH242,"*OP*")</f>
        <v>0</v>
      </c>
    </row>
    <row r="243" spans="1:92" ht="15" customHeight="1">
      <c r="A243" s="835">
        <v>23283</v>
      </c>
      <c r="B243" s="560" t="s">
        <v>1596</v>
      </c>
      <c r="C243" s="329">
        <f t="shared" si="5"/>
        <v>150.89619999999999</v>
      </c>
      <c r="D243" s="352">
        <f>COUNTIF(AT243:BH243,"*OK*")</f>
        <v>0</v>
      </c>
      <c r="E243" s="397" t="s">
        <v>439</v>
      </c>
      <c r="F243" s="351" t="s">
        <v>1597</v>
      </c>
      <c r="G243" s="351"/>
      <c r="H243" s="650">
        <f>IF(LEN(TRIM($G243&amp;""))=0, $C243, SUMIF($G$3:$G$561, TRIM($G243), $C$3:$C$561))</f>
        <v>150.89619999999999</v>
      </c>
      <c r="I243" s="351" t="s">
        <v>562</v>
      </c>
      <c r="J243" s="351"/>
      <c r="K243" s="349"/>
      <c r="L243" s="349" t="str">
        <f>HYPERLINK("https://crm.zoho.com/crm/org685875245/tab/Accounts/3525045000261339297","https://crm.zoho.com/crm/org685875245/tab/Accounts/3525045000261339297")</f>
        <v>https://crm.zoho.com/crm/org685875245/tab/Accounts/3525045000261339297</v>
      </c>
      <c r="M243" s="553"/>
      <c r="N243" s="332" t="s">
        <v>817</v>
      </c>
      <c r="O243" s="541" t="s">
        <v>1598</v>
      </c>
      <c r="P243" s="541" t="s">
        <v>1599</v>
      </c>
      <c r="Q243" s="541" t="s">
        <v>1600</v>
      </c>
      <c r="R243" s="332"/>
      <c r="S243" s="352"/>
      <c r="T243" s="397"/>
      <c r="U243" s="362" t="s">
        <v>198</v>
      </c>
      <c r="V243" s="355">
        <v>141.36000000000001</v>
      </c>
      <c r="W243" s="355">
        <v>155.01</v>
      </c>
      <c r="X243" s="355">
        <v>147.72</v>
      </c>
      <c r="Y243" s="356">
        <v>159.25</v>
      </c>
      <c r="Z243" s="337">
        <v>175.12960000000001</v>
      </c>
      <c r="AA243" s="347">
        <v>159.62</v>
      </c>
      <c r="AB243" s="347">
        <v>164.39570000000001</v>
      </c>
      <c r="AC243" s="638">
        <v>163.93010000000001</v>
      </c>
      <c r="AD243" s="347">
        <v>150.89619999999999</v>
      </c>
      <c r="AE243" s="357">
        <v>43</v>
      </c>
      <c r="AF243" s="358">
        <v>50</v>
      </c>
      <c r="AG243" s="354"/>
      <c r="AH243" s="359"/>
      <c r="AI243" s="427" t="s">
        <v>83</v>
      </c>
      <c r="AJ243" s="361" t="s">
        <v>396</v>
      </c>
      <c r="AK243" s="362" t="s">
        <v>1601</v>
      </c>
      <c r="AL243" s="358" t="s">
        <v>103</v>
      </c>
      <c r="AM243" s="349"/>
      <c r="AN243" s="349"/>
      <c r="AO243" s="349"/>
      <c r="AP243" s="349"/>
      <c r="AQ243" s="349"/>
      <c r="AR243" s="453" t="s">
        <v>998</v>
      </c>
      <c r="AS243" s="371" t="s">
        <v>103</v>
      </c>
      <c r="AT243" s="345"/>
      <c r="AU243" s="345"/>
      <c r="AV243" s="345"/>
      <c r="AW243" s="345"/>
      <c r="AX243" s="345"/>
      <c r="AY243" s="345"/>
      <c r="AZ243" s="345"/>
      <c r="BA243" s="345"/>
      <c r="BB243" s="345"/>
      <c r="BC243" s="345"/>
      <c r="BD243" s="345"/>
      <c r="BE243" s="345"/>
      <c r="BF243" s="345"/>
      <c r="BG243" s="345"/>
      <c r="BH243" s="345"/>
      <c r="BI243" s="345"/>
      <c r="BJ243" s="364">
        <f>COUNTIF(AT243:BI243,"*OP*")</f>
        <v>0</v>
      </c>
      <c r="BK243" s="363" t="s">
        <v>103</v>
      </c>
      <c r="BL243" s="349">
        <f>(COUNTIF(AT243:AV243,"*OK*")*3) + (COUNTIF(AW243:AY243,"*OK*")*2) + COUNTIF(AZ243:BB243,"*OK*")+COUNTIF(BK243:BK243,"SI")*0.5</f>
        <v>0</v>
      </c>
      <c r="BM243" s="349" t="str">
        <f>IF(BL243&lt;0.6,"Demasiado Riesgo",IF(BL243&lt;=5,"Riesgo Medio",IF(BL243&lt;=11,"Riesgo Bajo","Cliente Blindado")))</f>
        <v>Demasiado Riesgo</v>
      </c>
      <c r="BN243" s="349"/>
      <c r="BO243" s="328"/>
      <c r="BP243" s="328"/>
      <c r="BQ243" s="328"/>
      <c r="BR243" s="328"/>
      <c r="BS243" s="328"/>
      <c r="BT243" s="328"/>
      <c r="BU243" s="328"/>
      <c r="BV243" s="328"/>
      <c r="BW243" s="328"/>
      <c r="BX243" s="328"/>
      <c r="BY243" s="328"/>
      <c r="BZ243" s="328"/>
      <c r="CA243" s="328"/>
      <c r="CB243" s="328"/>
      <c r="CC243" s="328"/>
      <c r="CD243" s="328"/>
      <c r="CE243" s="328"/>
      <c r="CF243" s="328"/>
      <c r="CG243" s="328"/>
      <c r="CH243" s="328"/>
      <c r="CI243" s="328"/>
      <c r="CJ243" s="328"/>
      <c r="CK243" s="328"/>
      <c r="CL243" s="328">
        <f>COUNTIF(AT243:BH243,"*OK*")</f>
        <v>0</v>
      </c>
      <c r="CM243" s="328"/>
      <c r="CN243" s="328">
        <f>COUNTIF(AT243:BH243,"*OP*")</f>
        <v>0</v>
      </c>
    </row>
    <row r="244" spans="1:92" ht="15" customHeight="1">
      <c r="A244" s="835">
        <v>33738</v>
      </c>
      <c r="B244" s="560" t="s">
        <v>1602</v>
      </c>
      <c r="C244" s="329">
        <f t="shared" si="5"/>
        <v>149.2826</v>
      </c>
      <c r="D244" s="352">
        <f>COUNTIF(AT244:BH244,"*OK*")</f>
        <v>0</v>
      </c>
      <c r="E244" s="439" t="s">
        <v>439</v>
      </c>
      <c r="F244" s="350" t="s">
        <v>1603</v>
      </c>
      <c r="G244" s="351"/>
      <c r="H244" s="650">
        <f>IF(LEN(TRIM($G244&amp;""))=0, $C244, SUMIF($G$3:$G$561, TRIM($G244), $C$3:$C$561))</f>
        <v>149.2826</v>
      </c>
      <c r="I244" s="351" t="s">
        <v>562</v>
      </c>
      <c r="J244" s="351"/>
      <c r="K244" s="349"/>
      <c r="L244" s="349" t="str">
        <f>HYPERLINK("https://crm.zoho.com/crm/org685875245/tab/Accounts/3525045000513109886","https://crm.zoho.com/crm/org685875245/tab/Accounts/3525045000513109886")</f>
        <v>https://crm.zoho.com/crm/org685875245/tab/Accounts/3525045000513109886</v>
      </c>
      <c r="M244" s="553"/>
      <c r="N244" s="352"/>
      <c r="O244" s="540" t="s">
        <v>1604</v>
      </c>
      <c r="P244" s="540" t="s">
        <v>1605</v>
      </c>
      <c r="Q244" s="540" t="s">
        <v>1606</v>
      </c>
      <c r="R244" s="352"/>
      <c r="S244" s="352"/>
      <c r="T244" s="439"/>
      <c r="U244" s="362" t="s">
        <v>82</v>
      </c>
      <c r="V244" s="355">
        <v>131.96</v>
      </c>
      <c r="W244" s="355">
        <v>97.94</v>
      </c>
      <c r="X244" s="355">
        <v>96.92</v>
      </c>
      <c r="Y244" s="356">
        <v>103.75</v>
      </c>
      <c r="Z244" s="337">
        <v>123.919</v>
      </c>
      <c r="AA244" s="367">
        <v>166.27</v>
      </c>
      <c r="AB244" s="367">
        <v>169.40170000000001</v>
      </c>
      <c r="AC244" s="636">
        <v>162.54060000000001</v>
      </c>
      <c r="AD244" s="367">
        <v>149.2826</v>
      </c>
      <c r="AE244" s="357">
        <v>34</v>
      </c>
      <c r="AF244" s="358">
        <v>100</v>
      </c>
      <c r="AG244" s="354"/>
      <c r="AH244" s="359"/>
      <c r="AI244" s="360" t="s">
        <v>83</v>
      </c>
      <c r="AJ244" s="361" t="s">
        <v>130</v>
      </c>
      <c r="AK244" s="362" t="s">
        <v>1607</v>
      </c>
      <c r="AL244" s="358" t="s">
        <v>103</v>
      </c>
      <c r="AM244" s="349"/>
      <c r="AN244" s="349"/>
      <c r="AO244" s="349"/>
      <c r="AP244" s="349"/>
      <c r="AQ244" s="349"/>
      <c r="AR244" s="453"/>
      <c r="AS244" s="371" t="s">
        <v>103</v>
      </c>
      <c r="AT244" s="345"/>
      <c r="AU244" s="345"/>
      <c r="AV244" s="345"/>
      <c r="AW244" s="345"/>
      <c r="AX244" s="345"/>
      <c r="AY244" s="345"/>
      <c r="AZ244" s="345"/>
      <c r="BA244" s="345"/>
      <c r="BB244" s="345"/>
      <c r="BC244" s="345"/>
      <c r="BD244" s="345"/>
      <c r="BE244" s="345"/>
      <c r="BF244" s="345"/>
      <c r="BG244" s="345"/>
      <c r="BH244" s="345"/>
      <c r="BI244" s="345"/>
      <c r="BJ244" s="364">
        <f>COUNTIF(AT244:BI244,"*OP*")</f>
        <v>0</v>
      </c>
      <c r="BK244" s="363" t="s">
        <v>103</v>
      </c>
      <c r="BL244" s="349">
        <f>(COUNTIF(AT244:AV244,"*OK*")*3) + (COUNTIF(AW244:AY244,"*OK*")*2) + COUNTIF(AZ244:BB244,"*OK*")+COUNTIF(BK244:BK244,"SI")*0.5</f>
        <v>0</v>
      </c>
      <c r="BM244" s="349" t="str">
        <f>IF(BL244&lt;0.6,"Demasiado Riesgo",IF(BL244&lt;=5,"Riesgo Medio",IF(BL244&lt;=11,"Riesgo Bajo","Cliente Blindado")))</f>
        <v>Demasiado Riesgo</v>
      </c>
      <c r="BN244" s="349"/>
      <c r="BO244" s="328"/>
      <c r="BP244" s="328">
        <v>0</v>
      </c>
      <c r="BQ244" s="328"/>
      <c r="BR244" s="328"/>
      <c r="BS244" s="328"/>
      <c r="BT244" s="328"/>
      <c r="BU244" s="328"/>
      <c r="BV244" s="328"/>
      <c r="BW244" s="328"/>
      <c r="BX244" s="328"/>
      <c r="BY244" s="328"/>
      <c r="BZ244" s="328"/>
      <c r="CA244" s="328"/>
      <c r="CB244" s="328"/>
      <c r="CC244" s="328"/>
      <c r="CD244" s="328"/>
      <c r="CE244" s="328"/>
      <c r="CF244" s="328"/>
      <c r="CG244" s="328"/>
      <c r="CH244" s="328"/>
      <c r="CI244" s="328"/>
      <c r="CJ244" s="328"/>
      <c r="CK244" s="328"/>
      <c r="CL244" s="328">
        <f>COUNTIF(AT244:BH244,"*OK*")</f>
        <v>0</v>
      </c>
      <c r="CM244" s="328"/>
      <c r="CN244" s="328">
        <f>COUNTIF(AT244:BH244,"*OP*")</f>
        <v>0</v>
      </c>
    </row>
    <row r="245" spans="1:92" ht="15" customHeight="1">
      <c r="A245" s="835">
        <v>33301</v>
      </c>
      <c r="B245" s="560" t="s">
        <v>1608</v>
      </c>
      <c r="C245" s="329">
        <f t="shared" si="5"/>
        <v>162.5</v>
      </c>
      <c r="D245" s="352">
        <f>COUNTIF(AT245:BH245,"*OK*")</f>
        <v>0</v>
      </c>
      <c r="E245" s="397" t="s">
        <v>439</v>
      </c>
      <c r="F245" s="351" t="s">
        <v>1609</v>
      </c>
      <c r="G245" s="351"/>
      <c r="H245" s="650">
        <f>IF(LEN(TRIM($G245&amp;""))=0, $C245, SUMIF($G$3:$G$561, TRIM($G245), $C$3:$C$561))</f>
        <v>162.5</v>
      </c>
      <c r="I245" s="351" t="s">
        <v>562</v>
      </c>
      <c r="J245" s="351"/>
      <c r="K245" s="349"/>
      <c r="L245" s="349" t="str">
        <f>HYPERLINK("https://crm.zoho.com/crm/org685875245/tab/Accounts/3525045000380193562","https://crm.zoho.com/crm/org685875245/tab/Accounts/3525045000380193562")</f>
        <v>https://crm.zoho.com/crm/org685875245/tab/Accounts/3525045000380193562</v>
      </c>
      <c r="M245" s="553"/>
      <c r="N245" s="332" t="s">
        <v>817</v>
      </c>
      <c r="O245" s="541" t="s">
        <v>1610</v>
      </c>
      <c r="P245" s="541" t="s">
        <v>1611</v>
      </c>
      <c r="Q245" s="541" t="s">
        <v>1612</v>
      </c>
      <c r="R245" s="332"/>
      <c r="S245" s="352"/>
      <c r="T245" s="397"/>
      <c r="U245" s="354" t="s">
        <v>82</v>
      </c>
      <c r="V245" s="355">
        <v>165</v>
      </c>
      <c r="W245" s="355">
        <v>165</v>
      </c>
      <c r="X245" s="355">
        <v>165</v>
      </c>
      <c r="Y245" s="356">
        <v>165</v>
      </c>
      <c r="Z245" s="337">
        <v>165</v>
      </c>
      <c r="AA245" s="347">
        <v>165</v>
      </c>
      <c r="AB245" s="347">
        <v>165</v>
      </c>
      <c r="AC245" s="638">
        <v>162.5</v>
      </c>
      <c r="AD245" s="347">
        <v>162.5</v>
      </c>
      <c r="AE245" s="357">
        <v>65</v>
      </c>
      <c r="AF245" s="358">
        <v>200</v>
      </c>
      <c r="AG245" s="354"/>
      <c r="AH245" s="359"/>
      <c r="AI245" s="427" t="s">
        <v>83</v>
      </c>
      <c r="AJ245" s="361" t="s">
        <v>396</v>
      </c>
      <c r="AK245" s="362" t="s">
        <v>1613</v>
      </c>
      <c r="AL245" s="358" t="s">
        <v>103</v>
      </c>
      <c r="AM245" s="349"/>
      <c r="AN245" s="349"/>
      <c r="AO245" s="349"/>
      <c r="AP245" s="349"/>
      <c r="AQ245" s="349"/>
      <c r="AR245" s="453"/>
      <c r="AS245" s="371" t="s">
        <v>103</v>
      </c>
      <c r="AT245" s="345"/>
      <c r="AU245" s="345"/>
      <c r="AV245" s="345"/>
      <c r="AW245" s="345"/>
      <c r="AX245" s="345"/>
      <c r="AY245" s="345"/>
      <c r="AZ245" s="345"/>
      <c r="BA245" s="345"/>
      <c r="BB245" s="345"/>
      <c r="BC245" s="345"/>
      <c r="BD245" s="345"/>
      <c r="BE245" s="345"/>
      <c r="BF245" s="345"/>
      <c r="BG245" s="345"/>
      <c r="BH245" s="345"/>
      <c r="BI245" s="345"/>
      <c r="BJ245" s="364">
        <f>COUNTIF(AT245:BI245,"*OP*")</f>
        <v>0</v>
      </c>
      <c r="BK245" s="363" t="s">
        <v>103</v>
      </c>
      <c r="BL245" s="349">
        <f>(COUNTIF(AT245:AV245,"*OK*")*3) + (COUNTIF(AW245:AY245,"*OK*")*2) + COUNTIF(AZ245:BB245,"*OK*")+COUNTIF(BK245:BK245,"SI")*0.5</f>
        <v>0</v>
      </c>
      <c r="BM245" s="349" t="str">
        <f>IF(BL245&lt;0.6,"Demasiado Riesgo",IF(BL245&lt;=5,"Riesgo Medio",IF(BL245&lt;=11,"Riesgo Bajo","Cliente Blindado")))</f>
        <v>Demasiado Riesgo</v>
      </c>
      <c r="BN245" s="349"/>
      <c r="BO245" s="328"/>
      <c r="BP245" s="328">
        <v>0</v>
      </c>
      <c r="BQ245" s="328"/>
      <c r="BR245" s="328"/>
      <c r="BS245" s="328"/>
      <c r="BT245" s="328"/>
      <c r="BU245" s="328"/>
      <c r="BV245" s="328"/>
      <c r="BW245" s="328"/>
      <c r="BX245" s="328"/>
      <c r="BY245" s="328"/>
      <c r="BZ245" s="328"/>
      <c r="CA245" s="328"/>
      <c r="CB245" s="328"/>
      <c r="CC245" s="328"/>
      <c r="CD245" s="328"/>
      <c r="CE245" s="328"/>
      <c r="CF245" s="328"/>
      <c r="CG245" s="328"/>
      <c r="CH245" s="328"/>
      <c r="CI245" s="328"/>
      <c r="CJ245" s="328"/>
      <c r="CK245" s="328"/>
      <c r="CL245" s="328">
        <f>COUNTIF(AT245:BH245,"*OK*")</f>
        <v>0</v>
      </c>
      <c r="CM245" s="328"/>
      <c r="CN245" s="328">
        <f>COUNTIF(AT245:BH245,"*OP*")</f>
        <v>0</v>
      </c>
    </row>
    <row r="246" spans="1:92" ht="15" customHeight="1">
      <c r="A246" s="835">
        <v>4911</v>
      </c>
      <c r="B246" s="560" t="s">
        <v>1614</v>
      </c>
      <c r="C246" s="329">
        <f t="shared" si="5"/>
        <v>148.38579999999999</v>
      </c>
      <c r="D246" s="352">
        <f>COUNTIF(AT246:BH246,"*OK*")</f>
        <v>0</v>
      </c>
      <c r="E246" s="351" t="s">
        <v>439</v>
      </c>
      <c r="F246" s="351" t="s">
        <v>1615</v>
      </c>
      <c r="G246" s="351"/>
      <c r="H246" s="650">
        <f>IF(LEN(TRIM($G246&amp;""))=0, $C246, SUMIF($G$3:$G$561, TRIM($G246), $C$3:$C$561))</f>
        <v>148.38579999999999</v>
      </c>
      <c r="I246" s="413" t="s">
        <v>562</v>
      </c>
      <c r="J246" s="351"/>
      <c r="K246" s="349"/>
      <c r="L246" s="349" t="str">
        <f>HYPERLINK("https://crm.zoho.com/crm/org685875245/tab/Accounts/3525045000182780014","https://crm.zoho.com/crm/org685875245/tab/Accounts/3525045000182780014")</f>
        <v>https://crm.zoho.com/crm/org685875245/tab/Accounts/3525045000182780014</v>
      </c>
      <c r="M246" s="553" t="s">
        <v>167</v>
      </c>
      <c r="N246" s="352"/>
      <c r="O246" s="540" t="s">
        <v>1616</v>
      </c>
      <c r="P246" s="540" t="s">
        <v>1617</v>
      </c>
      <c r="Q246" s="540" t="s">
        <v>1618</v>
      </c>
      <c r="R246" s="352"/>
      <c r="S246" s="352"/>
      <c r="T246" s="351"/>
      <c r="U246" s="354" t="s">
        <v>82</v>
      </c>
      <c r="V246" s="355">
        <v>166.36</v>
      </c>
      <c r="W246" s="355">
        <v>162.05000000000001</v>
      </c>
      <c r="X246" s="355">
        <v>154.43</v>
      </c>
      <c r="Y246" s="356">
        <v>161.44</v>
      </c>
      <c r="Z246" s="337">
        <v>163.6164</v>
      </c>
      <c r="AA246" s="347">
        <v>159.77000000000001</v>
      </c>
      <c r="AB246" s="347">
        <v>163.1874</v>
      </c>
      <c r="AC246" s="638">
        <v>161.9802</v>
      </c>
      <c r="AD246" s="347">
        <v>148.38579999999999</v>
      </c>
      <c r="AE246" s="357">
        <v>79</v>
      </c>
      <c r="AF246" s="358">
        <v>200</v>
      </c>
      <c r="AG246" s="354"/>
      <c r="AH246" s="359"/>
      <c r="AI246" s="370" t="s">
        <v>258</v>
      </c>
      <c r="AJ246" s="361" t="s">
        <v>130</v>
      </c>
      <c r="AK246" s="362" t="s">
        <v>1619</v>
      </c>
      <c r="AL246" s="358" t="s">
        <v>103</v>
      </c>
      <c r="AM246" s="349"/>
      <c r="AN246" s="349"/>
      <c r="AO246" s="349"/>
      <c r="AP246" s="349"/>
      <c r="AQ246" s="349"/>
      <c r="AR246" s="453"/>
      <c r="AS246" s="371" t="s">
        <v>88</v>
      </c>
      <c r="AT246" s="345"/>
      <c r="AU246" s="345" t="s">
        <v>173</v>
      </c>
      <c r="AV246" s="345"/>
      <c r="AW246" s="345"/>
      <c r="AX246" s="345"/>
      <c r="AY246" s="345"/>
      <c r="AZ246" s="345"/>
      <c r="BA246" s="345"/>
      <c r="BB246" s="345"/>
      <c r="BC246" s="345"/>
      <c r="BD246" s="345" t="s">
        <v>173</v>
      </c>
      <c r="BE246" s="345"/>
      <c r="BF246" s="345"/>
      <c r="BG246" s="345"/>
      <c r="BH246" s="345"/>
      <c r="BI246" s="345"/>
      <c r="BJ246" s="364">
        <f>COUNTIF(AT246:BI246,"*OP*")</f>
        <v>2</v>
      </c>
      <c r="BK246" s="363" t="s">
        <v>89</v>
      </c>
      <c r="BL246" s="349">
        <f>(COUNTIF(AT246:AV246,"*OK*")*3) + (COUNTIF(AW246:AY246,"*OK*")*2) + COUNTIF(AZ246:BB246,"*OK*")+COUNTIF(BK246:BK246,"SI")*0.5</f>
        <v>0</v>
      </c>
      <c r="BM246" s="349" t="str">
        <f>IF(BL246&lt;0.6,"Demasiado Riesgo",IF(BL246&lt;=5,"Riesgo Medio",IF(BL246&lt;=11,"Riesgo Bajo","Cliente Blindado")))</f>
        <v>Demasiado Riesgo</v>
      </c>
      <c r="BN246" s="349"/>
      <c r="BO246" s="328"/>
      <c r="BP246" s="328">
        <v>0</v>
      </c>
      <c r="BQ246" s="328"/>
      <c r="BR246" s="328"/>
      <c r="BS246" s="328"/>
      <c r="BT246" s="328"/>
      <c r="BU246" s="328"/>
      <c r="BV246" s="328"/>
      <c r="BW246" s="328"/>
      <c r="BX246" s="328"/>
      <c r="BY246" s="328"/>
      <c r="BZ246" s="328"/>
      <c r="CA246" s="328"/>
      <c r="CB246" s="328"/>
      <c r="CC246" s="328"/>
      <c r="CD246" s="328"/>
      <c r="CE246" s="328"/>
      <c r="CF246" s="328"/>
      <c r="CG246" s="328"/>
      <c r="CH246" s="328"/>
      <c r="CI246" s="328"/>
      <c r="CJ246" s="328"/>
      <c r="CK246" s="328"/>
      <c r="CL246" s="328">
        <f>COUNTIF(AT246:BH246,"*OK*")</f>
        <v>0</v>
      </c>
      <c r="CM246" s="328"/>
      <c r="CN246" s="328">
        <f>COUNTIF(AT246:BH246,"*OP*")</f>
        <v>2</v>
      </c>
    </row>
    <row r="247" spans="1:92" ht="15" customHeight="1">
      <c r="A247" s="834"/>
      <c r="B247" s="560" t="s">
        <v>1620</v>
      </c>
      <c r="C247" s="329">
        <f t="shared" si="5"/>
        <v>139.0729</v>
      </c>
      <c r="D247" s="332">
        <f>COUNTIF(AX247:BI247,"OK")</f>
        <v>0</v>
      </c>
      <c r="E247" s="501" t="s">
        <v>439</v>
      </c>
      <c r="F247" s="536" t="s">
        <v>1621</v>
      </c>
      <c r="G247" s="537"/>
      <c r="H247" s="650">
        <f>IF(LEN(TRIM($G247&amp;""))=0, $C247, SUMIF($G$3:$G$561, TRIM($G247), $C$3:$C$561))</f>
        <v>139.0729</v>
      </c>
      <c r="I247" s="501" t="s">
        <v>562</v>
      </c>
      <c r="J247" s="501" t="s">
        <v>103</v>
      </c>
      <c r="K247" s="328"/>
      <c r="L247" s="328" t="str">
        <f>HYPERLINK("https://crm.zoho.com/crm/org685875245/tab/Accounts/3525045000631372459","https://crm.zoho.com/crm/org685875245/tab/Accounts/3525045000631372459")</f>
        <v>https://crm.zoho.com/crm/org685875245/tab/Accounts/3525045000631372459</v>
      </c>
      <c r="M247" s="391"/>
      <c r="N247" s="501" t="s">
        <v>103</v>
      </c>
      <c r="O247" s="543" t="s">
        <v>1622</v>
      </c>
      <c r="P247" s="543" t="s">
        <v>1623</v>
      </c>
      <c r="Q247" s="543" t="s">
        <v>1624</v>
      </c>
      <c r="R247" s="501"/>
      <c r="S247" s="501" t="s">
        <v>103</v>
      </c>
      <c r="T247" s="501" t="s">
        <v>88</v>
      </c>
      <c r="U247" s="469" t="s">
        <v>103</v>
      </c>
      <c r="V247" s="501" t="s">
        <v>103</v>
      </c>
      <c r="W247" s="501" t="s">
        <v>103</v>
      </c>
      <c r="X247" s="501" t="s">
        <v>103</v>
      </c>
      <c r="Y247" s="470" t="s">
        <v>103</v>
      </c>
      <c r="Z247" s="513" t="s">
        <v>103</v>
      </c>
      <c r="AA247" s="518">
        <v>139.99</v>
      </c>
      <c r="AB247" s="518">
        <v>141.16810000000001</v>
      </c>
      <c r="AC247" s="639">
        <v>156.08590000000001</v>
      </c>
      <c r="AD247" s="518">
        <v>139.0729</v>
      </c>
      <c r="AE247" s="339"/>
      <c r="AF247" s="340" t="s">
        <v>103</v>
      </c>
      <c r="AG247" s="334"/>
      <c r="AH247" s="328"/>
      <c r="AI247" s="342"/>
      <c r="AJ247" s="343"/>
      <c r="AK247" s="344"/>
      <c r="AL247" s="372" t="s">
        <v>103</v>
      </c>
      <c r="AM247" s="328"/>
      <c r="AN247" s="328"/>
      <c r="AO247" s="328"/>
      <c r="AP247" s="328"/>
      <c r="AQ247" s="328"/>
      <c r="AR247" s="451"/>
      <c r="AS247" s="444"/>
      <c r="AT247" s="345"/>
      <c r="AU247" s="345"/>
      <c r="AV247" s="345"/>
      <c r="AW247" s="345"/>
      <c r="AX247" s="345"/>
      <c r="AY247" s="345"/>
      <c r="AZ247" s="345"/>
      <c r="BA247" s="345"/>
      <c r="BB247" s="345"/>
      <c r="BC247" s="345"/>
      <c r="BD247" s="345"/>
      <c r="BE247" s="345"/>
      <c r="BF247" s="345"/>
      <c r="BG247" s="345"/>
      <c r="BH247" s="345"/>
      <c r="BI247" s="345"/>
      <c r="BJ247" s="364">
        <f>COUNTIF(AT247:BI247,"*OP*")</f>
        <v>0</v>
      </c>
      <c r="BK247" s="447"/>
      <c r="BL247" s="328">
        <f>(COUNTIF(AT247:AV247,"*OK*")*3) + (COUNTIF(AW247:AY247,"*OK*")*2) + COUNTIF(AZ247:BB247,"*OK*")+COUNTIF(BK247:BK247,"SI")*0.5</f>
        <v>0</v>
      </c>
      <c r="BM247" s="328" t="str">
        <f>IF(BL247&lt;0.6,"Demasiado Riesgo",IF(BL247&lt;=5,"Riesgo Medio",IF(BL247&lt;=11,"Riesgo Bajo","Cliente Blindado")))</f>
        <v>Demasiado Riesgo</v>
      </c>
      <c r="BN247" s="328"/>
      <c r="BO247" s="349"/>
      <c r="BP247" s="349">
        <v>0</v>
      </c>
      <c r="BQ247" s="349"/>
      <c r="BR247" s="349"/>
      <c r="BS247" s="349"/>
      <c r="BT247" s="349"/>
      <c r="BU247" s="349"/>
      <c r="BV247" s="349"/>
      <c r="BW247" s="349"/>
      <c r="BX247" s="349"/>
      <c r="BY247" s="349"/>
      <c r="BZ247" s="349"/>
      <c r="CA247" s="349"/>
      <c r="CB247" s="349"/>
      <c r="CC247" s="349"/>
      <c r="CD247" s="349"/>
      <c r="CE247" s="349"/>
      <c r="CF247" s="349"/>
      <c r="CG247" s="349"/>
      <c r="CH247" s="349"/>
      <c r="CI247" s="349"/>
      <c r="CJ247" s="349"/>
      <c r="CK247" s="349"/>
      <c r="CL247" s="349">
        <f>COUNTIF(AT247:BH247,"*OK*")</f>
        <v>0</v>
      </c>
      <c r="CM247" s="349"/>
      <c r="CN247" s="349">
        <f>COUNTIF(AT247:BH247,"*OP*")</f>
        <v>0</v>
      </c>
    </row>
    <row r="248" spans="1:92" ht="15" customHeight="1">
      <c r="A248" s="835">
        <v>27817</v>
      </c>
      <c r="B248" s="560" t="s">
        <v>1625</v>
      </c>
      <c r="C248" s="329">
        <f t="shared" si="5"/>
        <v>153.4768</v>
      </c>
      <c r="D248" s="352">
        <f>COUNTIF(AT248:BH248,"*OK*")</f>
        <v>0</v>
      </c>
      <c r="E248" s="351" t="s">
        <v>439</v>
      </c>
      <c r="F248" s="351" t="s">
        <v>1626</v>
      </c>
      <c r="G248" s="351"/>
      <c r="H248" s="650">
        <f>IF(LEN(TRIM($G248&amp;""))=0, $C248, SUMIF($G$3:$G$561, TRIM($G248), $C$3:$C$561))</f>
        <v>153.4768</v>
      </c>
      <c r="I248" s="413" t="s">
        <v>562</v>
      </c>
      <c r="J248" s="351"/>
      <c r="K248" s="349"/>
      <c r="L248" s="349" t="str">
        <f>HYPERLINK("https://crm.zoho.com/crm/org685875245/tab/Accounts/3525045000407719946","https://crm.zoho.com/crm/org685875245/tab/Accounts/3525045000407719946")</f>
        <v>https://crm.zoho.com/crm/org685875245/tab/Accounts/3525045000407719946</v>
      </c>
      <c r="M248" s="553" t="s">
        <v>96</v>
      </c>
      <c r="N248" s="352"/>
      <c r="O248" s="540" t="s">
        <v>1352</v>
      </c>
      <c r="P248" s="540" t="s">
        <v>1627</v>
      </c>
      <c r="Q248" s="540" t="s">
        <v>1628</v>
      </c>
      <c r="R248" s="352"/>
      <c r="S248" s="352"/>
      <c r="T248" s="351"/>
      <c r="U248" s="354" t="s">
        <v>1629</v>
      </c>
      <c r="V248" s="355">
        <v>144.78</v>
      </c>
      <c r="W248" s="355">
        <v>144.65</v>
      </c>
      <c r="X248" s="355">
        <v>140.99</v>
      </c>
      <c r="Y248" s="356">
        <v>148.78</v>
      </c>
      <c r="Z248" s="337">
        <v>154.07550000000001</v>
      </c>
      <c r="AA248" s="338">
        <v>155.63999999999999</v>
      </c>
      <c r="AB248" s="338">
        <v>150.38730000000001</v>
      </c>
      <c r="AC248" s="634">
        <v>153.15190000000001</v>
      </c>
      <c r="AD248" s="338">
        <v>153.4768</v>
      </c>
      <c r="AE248" s="357">
        <v>68</v>
      </c>
      <c r="AF248" s="358">
        <v>39</v>
      </c>
      <c r="AG248" s="354"/>
      <c r="AH248" s="359"/>
      <c r="AI248" s="427" t="s">
        <v>83</v>
      </c>
      <c r="AJ248" s="361" t="s">
        <v>101</v>
      </c>
      <c r="AK248" s="362" t="s">
        <v>1630</v>
      </c>
      <c r="AL248" s="358" t="s">
        <v>103</v>
      </c>
      <c r="AM248" s="349"/>
      <c r="AN248" s="349"/>
      <c r="AO248" s="349"/>
      <c r="AP248" s="349"/>
      <c r="AQ248" s="349"/>
      <c r="AR248" s="453"/>
      <c r="AS248" s="371" t="s">
        <v>88</v>
      </c>
      <c r="AT248" s="445" t="s">
        <v>173</v>
      </c>
      <c r="AU248" s="445"/>
      <c r="AV248" s="445"/>
      <c r="AW248" s="445"/>
      <c r="AX248" s="445"/>
      <c r="AY248" s="445"/>
      <c r="AZ248" s="445"/>
      <c r="BA248" s="445"/>
      <c r="BB248" s="445"/>
      <c r="BC248" s="445"/>
      <c r="BD248" s="445"/>
      <c r="BE248" s="445"/>
      <c r="BF248" s="445"/>
      <c r="BG248" s="445"/>
      <c r="BH248" s="445"/>
      <c r="BI248" s="445"/>
      <c r="BJ248" s="446">
        <f>COUNTIF(AT248:BI248,"*OP*")</f>
        <v>1</v>
      </c>
      <c r="BK248" s="363" t="s">
        <v>88</v>
      </c>
      <c r="BL248" s="349">
        <f>(COUNTIF(AT248:AV248,"*OK*")*3) + (COUNTIF(AW248:AY248,"*OK*")*2) + COUNTIF(AZ248:BB248,"*OK*")+COUNTIF(BK248:BK248,"SI")*0.5</f>
        <v>0.5</v>
      </c>
      <c r="BM248" s="349" t="str">
        <f>IF(BL248&lt;0.6,"Demasiado Riesgo",IF(BL248&lt;=5,"Riesgo Medio",IF(BL248&lt;=11,"Riesgo Bajo","Cliente Blindado")))</f>
        <v>Demasiado Riesgo</v>
      </c>
      <c r="BN248" s="349"/>
      <c r="BO248" s="349"/>
      <c r="BP248" s="349"/>
      <c r="BQ248" s="349"/>
      <c r="BR248" s="349"/>
      <c r="BS248" s="349"/>
      <c r="BT248" s="349"/>
      <c r="BU248" s="349"/>
      <c r="BV248" s="349"/>
      <c r="BW248" s="349"/>
      <c r="BX248" s="349"/>
      <c r="BY248" s="349"/>
      <c r="BZ248" s="349"/>
      <c r="CA248" s="349"/>
      <c r="CB248" s="349"/>
      <c r="CC248" s="349"/>
      <c r="CD248" s="349"/>
      <c r="CE248" s="349"/>
      <c r="CF248" s="349"/>
      <c r="CG248" s="349"/>
      <c r="CH248" s="349"/>
      <c r="CI248" s="349"/>
      <c r="CJ248" s="349"/>
      <c r="CK248" s="349"/>
      <c r="CL248" s="349">
        <f>COUNTIF(AT248:BH248,"*OK*")</f>
        <v>0</v>
      </c>
    </row>
    <row r="249" spans="1:92" ht="15" customHeight="1">
      <c r="A249" s="834"/>
      <c r="B249" s="560" t="s">
        <v>1631</v>
      </c>
      <c r="C249" s="329">
        <f t="shared" si="5"/>
        <v>140.94649999999999</v>
      </c>
      <c r="D249" s="332">
        <f>COUNTIF(AT249:BH249,"*OK*")</f>
        <v>0</v>
      </c>
      <c r="E249" s="397" t="s">
        <v>439</v>
      </c>
      <c r="F249" s="331" t="s">
        <v>1632</v>
      </c>
      <c r="G249" s="331"/>
      <c r="H249" s="650">
        <f>IF(LEN(TRIM($G249&amp;""))=0, $C249, SUMIF($G$3:$G$561, TRIM($G249), $C$3:$C$561))</f>
        <v>140.94649999999999</v>
      </c>
      <c r="I249" s="333" t="s">
        <v>562</v>
      </c>
      <c r="J249" s="331"/>
      <c r="K249" s="328"/>
      <c r="L249" s="328"/>
      <c r="M249" s="391"/>
      <c r="N249" s="332" t="s">
        <v>817</v>
      </c>
      <c r="O249" s="541"/>
      <c r="P249" s="541"/>
      <c r="Q249" s="541"/>
      <c r="R249" s="332"/>
      <c r="S249" s="332"/>
      <c r="T249" s="397"/>
      <c r="U249" s="344" t="s">
        <v>82</v>
      </c>
      <c r="V249" s="335">
        <v>148.13999999999999</v>
      </c>
      <c r="W249" s="335">
        <v>148</v>
      </c>
      <c r="X249" s="335">
        <v>141.05000000000001</v>
      </c>
      <c r="Y249" s="336">
        <v>145.59</v>
      </c>
      <c r="Z249" s="337">
        <v>147.5444</v>
      </c>
      <c r="AA249" s="365">
        <v>145.93</v>
      </c>
      <c r="AB249" s="365">
        <v>147.1576</v>
      </c>
      <c r="AC249" s="635">
        <v>149.863</v>
      </c>
      <c r="AD249" s="365">
        <v>140.94649999999999</v>
      </c>
      <c r="AE249" s="339"/>
      <c r="AF249" s="340">
        <v>100</v>
      </c>
      <c r="AG249" s="334"/>
      <c r="AH249" s="341"/>
      <c r="AI249" s="422" t="s">
        <v>83</v>
      </c>
      <c r="AJ249" s="343" t="s">
        <v>143</v>
      </c>
      <c r="AK249" s="344" t="s">
        <v>1633</v>
      </c>
      <c r="AL249" s="340" t="s">
        <v>103</v>
      </c>
      <c r="AM249" s="328"/>
      <c r="AN249" s="328"/>
      <c r="AO249" s="328"/>
      <c r="AP249" s="328"/>
      <c r="AQ249" s="328"/>
      <c r="AR249" s="451"/>
      <c r="AS249" s="372" t="s">
        <v>103</v>
      </c>
      <c r="AT249" s="345"/>
      <c r="AU249" s="345"/>
      <c r="AV249" s="345"/>
      <c r="AW249" s="345"/>
      <c r="AX249" s="345"/>
      <c r="AY249" s="345"/>
      <c r="AZ249" s="345"/>
      <c r="BA249" s="345"/>
      <c r="BB249" s="345"/>
      <c r="BC249" s="345"/>
      <c r="BD249" s="345"/>
      <c r="BE249" s="345"/>
      <c r="BF249" s="345"/>
      <c r="BG249" s="345"/>
      <c r="BH249" s="345"/>
      <c r="BI249" s="345"/>
      <c r="BJ249" s="364">
        <f>COUNTIF(AT249:BI249,"*OP*")</f>
        <v>0</v>
      </c>
      <c r="BK249" s="375" t="s">
        <v>103</v>
      </c>
      <c r="BL249" s="328">
        <f>(COUNTIF(AT249:AV249,"*OK*")*3) + (COUNTIF(AW249:AY249,"*OK*")*2) + COUNTIF(AZ249:BB249,"*OK*")+COUNTIF(BK249:BK249,"SI")*0.5</f>
        <v>0</v>
      </c>
      <c r="BM249" s="328" t="str">
        <f>IF(BL249&lt;0.6,"Demasiado Riesgo",IF(BL249&lt;=5,"Riesgo Medio",IF(BL249&lt;=11,"Riesgo Bajo","Cliente Blindado")))</f>
        <v>Demasiado Riesgo</v>
      </c>
      <c r="BN249" s="328"/>
      <c r="BO249" s="349"/>
      <c r="BP249" s="349">
        <v>0</v>
      </c>
      <c r="BQ249" s="349"/>
      <c r="BR249" s="349"/>
      <c r="BS249" s="349"/>
      <c r="BT249" s="349"/>
      <c r="BU249" s="349"/>
      <c r="BV249" s="349"/>
      <c r="BW249" s="349"/>
      <c r="BX249" s="349"/>
      <c r="BY249" s="349"/>
      <c r="BZ249" s="349"/>
      <c r="CA249" s="349"/>
      <c r="CB249" s="349"/>
      <c r="CC249" s="349"/>
      <c r="CD249" s="349"/>
      <c r="CE249" s="349"/>
      <c r="CF249" s="349"/>
      <c r="CG249" s="349"/>
      <c r="CH249" s="349"/>
      <c r="CI249" s="349"/>
      <c r="CJ249" s="349"/>
      <c r="CK249" s="349"/>
      <c r="CL249" s="349">
        <f>COUNTIF(AT249:BH249,"*OK*")</f>
        <v>0</v>
      </c>
      <c r="CM249" s="349"/>
      <c r="CN249" s="349">
        <f>COUNTIF(AT249:BH249,"*OP*")</f>
        <v>0</v>
      </c>
    </row>
    <row r="250" spans="1:92" ht="15" customHeight="1">
      <c r="A250" s="835">
        <v>23030</v>
      </c>
      <c r="B250" s="560" t="s">
        <v>1634</v>
      </c>
      <c r="C250" s="329">
        <f t="shared" si="5"/>
        <v>167.1104</v>
      </c>
      <c r="D250" s="352">
        <f>COUNTIF(AT250:BH250,"*OK*")</f>
        <v>2</v>
      </c>
      <c r="E250" s="351" t="s">
        <v>439</v>
      </c>
      <c r="F250" s="351" t="s">
        <v>1635</v>
      </c>
      <c r="G250" s="331" t="s">
        <v>1208</v>
      </c>
      <c r="H250" s="650">
        <f>IF(LEN(TRIM($G250&amp;""))=0, $C250, SUMIF($G$3:$G$561, TRIM($G250), $C$3:$C$561))</f>
        <v>616.93330000000003</v>
      </c>
      <c r="I250" s="413" t="s">
        <v>562</v>
      </c>
      <c r="J250" s="351"/>
      <c r="K250" s="349"/>
      <c r="L250" s="349"/>
      <c r="M250" s="553" t="s">
        <v>77</v>
      </c>
      <c r="N250" s="352"/>
      <c r="O250" s="540" t="s">
        <v>1209</v>
      </c>
      <c r="P250" s="540" t="s">
        <v>1210</v>
      </c>
      <c r="Q250" s="540" t="s">
        <v>1211</v>
      </c>
      <c r="R250" s="352"/>
      <c r="S250" s="352"/>
      <c r="T250" s="351"/>
      <c r="U250" s="354" t="s">
        <v>82</v>
      </c>
      <c r="V250" s="355">
        <v>102.26</v>
      </c>
      <c r="W250" s="355">
        <v>97.35</v>
      </c>
      <c r="X250" s="355">
        <v>101.94</v>
      </c>
      <c r="Y250" s="356">
        <v>106.4</v>
      </c>
      <c r="Z250" s="337">
        <v>128.20439999999999</v>
      </c>
      <c r="AA250" s="338">
        <v>143.38999999999999</v>
      </c>
      <c r="AB250" s="338">
        <v>149.37889999999999</v>
      </c>
      <c r="AC250" s="634">
        <v>148.47409999999999</v>
      </c>
      <c r="AD250" s="338">
        <v>167.1104</v>
      </c>
      <c r="AE250" s="357">
        <v>125</v>
      </c>
      <c r="AF250" s="358">
        <v>100</v>
      </c>
      <c r="AG250" s="354"/>
      <c r="AH250" s="359"/>
      <c r="AI250" s="370" t="s">
        <v>129</v>
      </c>
      <c r="AJ250" s="361" t="s">
        <v>130</v>
      </c>
      <c r="AK250" s="362" t="s">
        <v>1636</v>
      </c>
      <c r="AL250" s="358" t="s">
        <v>103</v>
      </c>
      <c r="AM250" s="349"/>
      <c r="AN250" s="349"/>
      <c r="AO250" s="349"/>
      <c r="AP250" s="349"/>
      <c r="AQ250" s="349"/>
      <c r="AR250" s="453"/>
      <c r="AS250" s="371" t="s">
        <v>88</v>
      </c>
      <c r="AT250" s="345" t="s">
        <v>299</v>
      </c>
      <c r="AU250" s="345"/>
      <c r="AV250" s="345" t="s">
        <v>299</v>
      </c>
      <c r="AW250" s="345"/>
      <c r="AX250" s="345"/>
      <c r="AY250" s="345"/>
      <c r="AZ250" s="345"/>
      <c r="BA250" s="345"/>
      <c r="BB250" s="345"/>
      <c r="BC250" s="345"/>
      <c r="BD250" s="345"/>
      <c r="BE250" s="345"/>
      <c r="BF250" s="345"/>
      <c r="BG250" s="345"/>
      <c r="BH250" s="345"/>
      <c r="BI250" s="345"/>
      <c r="BJ250" s="364">
        <f>COUNTIF(AT250:BI250,"*OP*")</f>
        <v>0</v>
      </c>
      <c r="BK250" s="363" t="s">
        <v>89</v>
      </c>
      <c r="BL250" s="349">
        <f>(COUNTIF(AT250:AV250,"*OK*")*3) + (COUNTIF(AW250:AY250,"*OK*")*2) + COUNTIF(AZ250:BB250,"*OK*")+COUNTIF(BK250:BK250,"SI")*0.5</f>
        <v>6</v>
      </c>
      <c r="BM250" s="349" t="str">
        <f>IF(BL250&lt;0.6,"Demasiado Riesgo",IF(BL250&lt;=5,"Riesgo Medio",IF(BL250&lt;=11,"Riesgo Bajo","Cliente Blindado")))</f>
        <v>Riesgo Bajo</v>
      </c>
      <c r="BN250" s="349"/>
      <c r="BO250" s="349"/>
      <c r="BP250" s="349">
        <v>0</v>
      </c>
      <c r="BQ250" s="349"/>
      <c r="BR250" s="349"/>
      <c r="BS250" s="349"/>
      <c r="BT250" s="349"/>
      <c r="BU250" s="349"/>
      <c r="BV250" s="349"/>
      <c r="BW250" s="349"/>
      <c r="BX250" s="349"/>
      <c r="BY250" s="349"/>
      <c r="BZ250" s="349"/>
      <c r="CA250" s="349"/>
      <c r="CB250" s="349"/>
      <c r="CC250" s="349"/>
      <c r="CD250" s="349"/>
      <c r="CE250" s="349"/>
      <c r="CF250" s="349"/>
      <c r="CG250" s="349"/>
      <c r="CH250" s="349"/>
      <c r="CI250" s="349"/>
      <c r="CJ250" s="349"/>
      <c r="CK250" s="349"/>
      <c r="CL250" s="349">
        <f>COUNTIF(AT250:BH250,"*OK*")</f>
        <v>2</v>
      </c>
      <c r="CM250" s="349"/>
      <c r="CN250" s="349">
        <f>COUNTIF(AT250:BH250,"*OP*")</f>
        <v>0</v>
      </c>
    </row>
    <row r="251" spans="1:92" ht="15" customHeight="1">
      <c r="A251" s="837">
        <v>23247</v>
      </c>
      <c r="B251" s="560" t="s">
        <v>1637</v>
      </c>
      <c r="C251" s="329">
        <f t="shared" si="5"/>
        <v>141.96790000000001</v>
      </c>
      <c r="D251" s="352">
        <f>COUNTIF(AT251:BH251,"*OK*")</f>
        <v>0</v>
      </c>
      <c r="E251" s="351" t="s">
        <v>93</v>
      </c>
      <c r="F251" s="351" t="s">
        <v>1638</v>
      </c>
      <c r="G251" s="351"/>
      <c r="H251" s="650">
        <f>IF(LEN(TRIM($G251&amp;""))=0, $C251, SUMIF($G$3:$G$561, TRIM($G251), $C$3:$C$561))</f>
        <v>141.96790000000001</v>
      </c>
      <c r="I251" s="353" t="s">
        <v>562</v>
      </c>
      <c r="J251" s="351"/>
      <c r="K251" s="349"/>
      <c r="L251" s="349" t="str">
        <f>HYPERLINK("https://crm.zoho.com/crm/org685875245/tab/Accounts/3525045000271164010","https://crm.zoho.com/crm/org685875245/tab/Accounts/3525045000271164010")</f>
        <v>https://crm.zoho.com/crm/org685875245/tab/Accounts/3525045000271164010</v>
      </c>
      <c r="M251" s="359" t="s">
        <v>96</v>
      </c>
      <c r="N251" s="359"/>
      <c r="O251" s="545" t="s">
        <v>1639</v>
      </c>
      <c r="P251" s="545" t="s">
        <v>1640</v>
      </c>
      <c r="Q251" s="545" t="s">
        <v>1641</v>
      </c>
      <c r="R251" s="359"/>
      <c r="S251" s="359"/>
      <c r="T251" s="351"/>
      <c r="U251" s="362" t="s">
        <v>198</v>
      </c>
      <c r="V251" s="355">
        <v>149.75</v>
      </c>
      <c r="W251" s="355">
        <v>148.97999999999999</v>
      </c>
      <c r="X251" s="355">
        <v>146.1</v>
      </c>
      <c r="Y251" s="356">
        <v>144.79</v>
      </c>
      <c r="Z251" s="337">
        <v>146.17930000000001</v>
      </c>
      <c r="AA251" s="365">
        <v>144.61000000000001</v>
      </c>
      <c r="AB251" s="365">
        <v>142.09289999999999</v>
      </c>
      <c r="AC251" s="635">
        <v>147.2089</v>
      </c>
      <c r="AD251" s="365">
        <v>141.96790000000001</v>
      </c>
      <c r="AE251" s="357">
        <v>101</v>
      </c>
      <c r="AF251" s="358">
        <v>100</v>
      </c>
      <c r="AG251" s="354"/>
      <c r="AH251" s="359"/>
      <c r="AI251" s="427" t="s">
        <v>83</v>
      </c>
      <c r="AJ251" s="361" t="s">
        <v>130</v>
      </c>
      <c r="AK251" s="362" t="s">
        <v>1642</v>
      </c>
      <c r="AL251" s="358" t="s">
        <v>103</v>
      </c>
      <c r="AM251" s="349"/>
      <c r="AN251" s="349" t="s">
        <v>152</v>
      </c>
      <c r="AO251" s="349"/>
      <c r="AP251" s="349"/>
      <c r="AQ251" s="349"/>
      <c r="AR251" s="453"/>
      <c r="AS251" s="371"/>
      <c r="AT251" s="345"/>
      <c r="AU251" s="345"/>
      <c r="AV251" s="345"/>
      <c r="AW251" s="345"/>
      <c r="AX251" s="345"/>
      <c r="AY251" s="345"/>
      <c r="AZ251" s="345"/>
      <c r="BA251" s="345"/>
      <c r="BB251" s="345"/>
      <c r="BC251" s="345"/>
      <c r="BD251" s="345"/>
      <c r="BE251" s="345"/>
      <c r="BF251" s="345"/>
      <c r="BG251" s="345"/>
      <c r="BH251" s="345"/>
      <c r="BI251" s="345"/>
      <c r="BJ251" s="364">
        <f>COUNTIF(AT251:BI251,"*OP*")</f>
        <v>0</v>
      </c>
      <c r="BK251" s="363" t="s">
        <v>89</v>
      </c>
      <c r="BL251" s="349">
        <f>(COUNTIF(AT251:AV251,"*OK*")*3) + (COUNTIF(AW251:AY251,"*OK*")*2) + COUNTIF(AZ251:BB251,"*OK*")+COUNTIF(BK251:BK251,"SI")*0.5</f>
        <v>0</v>
      </c>
      <c r="BM251" s="349" t="str">
        <f>IF(BL251&lt;0.6,"Demasiado Riesgo",IF(BL251&lt;=5,"Riesgo Medio",IF(BL251&lt;=11,"Riesgo Bajo","Cliente Blindado")))</f>
        <v>Demasiado Riesgo</v>
      </c>
      <c r="BN251" s="349"/>
      <c r="BO251" s="349"/>
      <c r="BP251" s="349"/>
      <c r="BQ251" s="349"/>
      <c r="BR251" s="349"/>
      <c r="BS251" s="349"/>
      <c r="BT251" s="349"/>
      <c r="BU251" s="349"/>
      <c r="BV251" s="349"/>
      <c r="BW251" s="349"/>
      <c r="BX251" s="349"/>
      <c r="BY251" s="349"/>
      <c r="BZ251" s="349"/>
      <c r="CA251" s="349"/>
      <c r="CB251" s="349"/>
      <c r="CC251" s="349"/>
      <c r="CD251" s="349"/>
      <c r="CE251" s="349"/>
      <c r="CF251" s="349"/>
      <c r="CG251" s="349"/>
      <c r="CH251" s="349"/>
      <c r="CI251" s="349"/>
      <c r="CJ251" s="349"/>
      <c r="CK251" s="349"/>
      <c r="CL251" s="349">
        <f>COUNTIF(AT251:BH251,"*OK*")</f>
        <v>0</v>
      </c>
      <c r="CM251" s="349"/>
      <c r="CN251" s="349">
        <f>COUNTIF(AT251:BH251,"*OP*")</f>
        <v>0</v>
      </c>
    </row>
    <row r="252" spans="1:92" ht="15" customHeight="1">
      <c r="A252" s="835">
        <v>23417</v>
      </c>
      <c r="B252" s="560" t="s">
        <v>1643</v>
      </c>
      <c r="C252" s="329">
        <f t="shared" si="5"/>
        <v>139.0728</v>
      </c>
      <c r="D252" s="352">
        <f>COUNTIF(AT252:BH252,"*OK*")</f>
        <v>0</v>
      </c>
      <c r="E252" s="351" t="s">
        <v>93</v>
      </c>
      <c r="F252" s="351" t="s">
        <v>1644</v>
      </c>
      <c r="G252" s="331" t="s">
        <v>1152</v>
      </c>
      <c r="H252" s="650">
        <f>IF(LEN(TRIM($G252&amp;""))=0, $C252, SUMIF($G$3:$G$561, TRIM($G252), $C$3:$C$561))</f>
        <v>950.33120000000008</v>
      </c>
      <c r="I252" s="413" t="s">
        <v>76</v>
      </c>
      <c r="J252" s="351"/>
      <c r="K252" s="349"/>
      <c r="L252" s="349"/>
      <c r="M252" s="359" t="s">
        <v>96</v>
      </c>
      <c r="N252" s="359"/>
      <c r="O252" s="545"/>
      <c r="P252" s="545"/>
      <c r="Q252" s="545"/>
      <c r="R252" s="359" t="s">
        <v>111</v>
      </c>
      <c r="S252" s="359"/>
      <c r="T252" s="351"/>
      <c r="U252" s="362" t="s">
        <v>82</v>
      </c>
      <c r="V252" s="355">
        <v>136.43</v>
      </c>
      <c r="W252" s="355">
        <v>146.04</v>
      </c>
      <c r="X252" s="355">
        <v>135.30000000000001</v>
      </c>
      <c r="Y252" s="356">
        <v>150.03</v>
      </c>
      <c r="Z252" s="337">
        <v>143.1567</v>
      </c>
      <c r="AA252" s="365">
        <v>139.19</v>
      </c>
      <c r="AB252" s="365">
        <v>143.5881</v>
      </c>
      <c r="AC252" s="635">
        <v>146.2278</v>
      </c>
      <c r="AD252" s="365">
        <v>139.0728</v>
      </c>
      <c r="AE252" s="357">
        <v>1219</v>
      </c>
      <c r="AF252" s="358">
        <v>150</v>
      </c>
      <c r="AG252" s="354"/>
      <c r="AH252" s="359"/>
      <c r="AI252" s="360" t="s">
        <v>83</v>
      </c>
      <c r="AJ252" s="361" t="s">
        <v>297</v>
      </c>
      <c r="AK252" s="362" t="s">
        <v>1645</v>
      </c>
      <c r="AL252" s="358" t="s">
        <v>103</v>
      </c>
      <c r="AM252" s="349"/>
      <c r="AN252" s="349" t="s">
        <v>104</v>
      </c>
      <c r="AO252" s="349"/>
      <c r="AP252" s="349"/>
      <c r="AQ252" s="349"/>
      <c r="AR252" s="453"/>
      <c r="AS252" s="371" t="s">
        <v>103</v>
      </c>
      <c r="AT252" s="345"/>
      <c r="AU252" s="345"/>
      <c r="AV252" s="345"/>
      <c r="AW252" s="345"/>
      <c r="AX252" s="345"/>
      <c r="AY252" s="345"/>
      <c r="AZ252" s="345"/>
      <c r="BA252" s="345"/>
      <c r="BB252" s="345"/>
      <c r="BC252" s="345"/>
      <c r="BD252" s="345"/>
      <c r="BE252" s="345"/>
      <c r="BF252" s="345"/>
      <c r="BG252" s="345"/>
      <c r="BH252" s="345"/>
      <c r="BI252" s="345"/>
      <c r="BJ252" s="364">
        <f>COUNTIF(AT252:BI252,"*OP*")</f>
        <v>0</v>
      </c>
      <c r="BK252" s="363" t="s">
        <v>103</v>
      </c>
      <c r="BL252" s="349">
        <f>(COUNTIF(AT252:AV252,"*OK*")*3) + (COUNTIF(AW252:AY252,"*OK*")*2) + COUNTIF(AZ252:BB252,"*OK*")+COUNTIF(BK252:BK252,"SI")*0.5</f>
        <v>0</v>
      </c>
      <c r="BM252" s="349" t="str">
        <f>IF(BL252&lt;0.6,"Demasiado Riesgo",IF(BL252&lt;=5,"Riesgo Medio",IF(BL252&lt;=11,"Riesgo Bajo","Cliente Blindado")))</f>
        <v>Demasiado Riesgo</v>
      </c>
      <c r="BN252" s="349"/>
      <c r="BO252" s="349"/>
      <c r="BP252" s="349">
        <v>0</v>
      </c>
      <c r="BQ252" s="349"/>
      <c r="BR252" s="349"/>
      <c r="BS252" s="349"/>
      <c r="BT252" s="349"/>
      <c r="BU252" s="349"/>
      <c r="BV252" s="349"/>
      <c r="BW252" s="349"/>
      <c r="BX252" s="349"/>
      <c r="BY252" s="349"/>
      <c r="BZ252" s="349"/>
      <c r="CA252" s="349"/>
      <c r="CB252" s="349"/>
      <c r="CC252" s="349"/>
      <c r="CD252" s="349"/>
      <c r="CE252" s="349"/>
      <c r="CF252" s="349"/>
      <c r="CG252" s="349"/>
      <c r="CH252" s="349"/>
      <c r="CI252" s="349"/>
      <c r="CJ252" s="349"/>
      <c r="CK252" s="349"/>
      <c r="CL252" s="349">
        <f>COUNTIF(AT252:BH252,"*OK*")</f>
        <v>0</v>
      </c>
      <c r="CM252" s="349"/>
      <c r="CN252" s="349">
        <f>COUNTIF(AT252:BH252,"*OP*")</f>
        <v>0</v>
      </c>
    </row>
    <row r="253" spans="1:92" ht="15" customHeight="1">
      <c r="A253" s="834">
        <v>23417</v>
      </c>
      <c r="B253" s="560" t="s">
        <v>1646</v>
      </c>
      <c r="C253" s="329">
        <f t="shared" si="5"/>
        <v>142.1634</v>
      </c>
      <c r="D253" s="332">
        <f>COUNTIF(AT253:BH253,"*OK*")</f>
        <v>0</v>
      </c>
      <c r="E253" s="331" t="s">
        <v>93</v>
      </c>
      <c r="F253" s="429" t="s">
        <v>1647</v>
      </c>
      <c r="G253" s="331" t="s">
        <v>1152</v>
      </c>
      <c r="H253" s="650">
        <f>IF(LEN(TRIM($G253&amp;""))=0, $C253, SUMIF($G$3:$G$561, TRIM($G253), $C$3:$C$561))</f>
        <v>950.33120000000008</v>
      </c>
      <c r="I253" s="410" t="s">
        <v>76</v>
      </c>
      <c r="J253" s="331"/>
      <c r="K253" s="328"/>
      <c r="L253" s="328"/>
      <c r="M253" s="341" t="s">
        <v>96</v>
      </c>
      <c r="N253" s="341" t="s">
        <v>1648</v>
      </c>
      <c r="O253" s="548"/>
      <c r="P253" s="548"/>
      <c r="Q253" s="548"/>
      <c r="R253" s="359" t="s">
        <v>111</v>
      </c>
      <c r="S253" s="341"/>
      <c r="T253" s="331"/>
      <c r="U253" s="344" t="s">
        <v>82</v>
      </c>
      <c r="V253" s="335">
        <v>134.80000000000001</v>
      </c>
      <c r="W253" s="335">
        <v>141.16999999999999</v>
      </c>
      <c r="X253" s="335">
        <v>262.10000000000002</v>
      </c>
      <c r="Y253" s="336">
        <v>145.25</v>
      </c>
      <c r="Z253" s="337">
        <v>145.5831</v>
      </c>
      <c r="AA253" s="347">
        <v>142.38999999999999</v>
      </c>
      <c r="AB253" s="347">
        <v>144.3948</v>
      </c>
      <c r="AC253" s="638">
        <v>145.40629999999999</v>
      </c>
      <c r="AD253" s="347">
        <v>142.1634</v>
      </c>
      <c r="AE253" s="339">
        <v>1219</v>
      </c>
      <c r="AF253" s="340">
        <v>200</v>
      </c>
      <c r="AG253" s="334"/>
      <c r="AH253" s="341"/>
      <c r="AI253" s="422" t="s">
        <v>83</v>
      </c>
      <c r="AJ253" s="343" t="s">
        <v>130</v>
      </c>
      <c r="AK253" s="344" t="s">
        <v>1649</v>
      </c>
      <c r="AL253" s="340" t="s">
        <v>103</v>
      </c>
      <c r="AM253" s="328"/>
      <c r="AN253" s="328" t="s">
        <v>104</v>
      </c>
      <c r="AO253" s="328"/>
      <c r="AP253" s="328"/>
      <c r="AQ253" s="328"/>
      <c r="AR253" s="451"/>
      <c r="AS253" s="372" t="s">
        <v>103</v>
      </c>
      <c r="AT253" s="345"/>
      <c r="AU253" s="345"/>
      <c r="AV253" s="345"/>
      <c r="AW253" s="345"/>
      <c r="AX253" s="345"/>
      <c r="AY253" s="345"/>
      <c r="AZ253" s="345"/>
      <c r="BA253" s="345"/>
      <c r="BB253" s="345"/>
      <c r="BC253" s="345"/>
      <c r="BD253" s="345"/>
      <c r="BE253" s="345"/>
      <c r="BF253" s="345"/>
      <c r="BG253" s="345"/>
      <c r="BH253" s="345"/>
      <c r="BI253" s="345"/>
      <c r="BJ253" s="364">
        <f>COUNTIF(AT253:BI253,"*OP*")</f>
        <v>0</v>
      </c>
      <c r="BK253" s="375" t="s">
        <v>103</v>
      </c>
      <c r="BL253" s="328">
        <f>(COUNTIF(AT253:AV253,"*OK*")*3) + (COUNTIF(AW253:AY253,"*OK*")*2) + COUNTIF(AZ253:BB253,"*OK*")+COUNTIF(BK253:BK253,"SI")*0.5</f>
        <v>0</v>
      </c>
      <c r="BM253" s="328" t="str">
        <f>IF(BL253&lt;0.6,"Demasiado Riesgo",IF(BL253&lt;=5,"Riesgo Medio",IF(BL253&lt;=11,"Riesgo Bajo","Cliente Blindado")))</f>
        <v>Demasiado Riesgo</v>
      </c>
      <c r="BN253" s="328"/>
      <c r="BO253" s="328"/>
      <c r="BP253" s="328">
        <v>0</v>
      </c>
      <c r="BQ253" s="328"/>
      <c r="BR253" s="328"/>
      <c r="BS253" s="328"/>
      <c r="BT253" s="328"/>
      <c r="BU253" s="328"/>
      <c r="BV253" s="328"/>
      <c r="BW253" s="328"/>
      <c r="BX253" s="328"/>
      <c r="BY253" s="328"/>
      <c r="BZ253" s="328"/>
      <c r="CA253" s="328"/>
      <c r="CB253" s="328"/>
      <c r="CC253" s="328"/>
      <c r="CD253" s="328"/>
      <c r="CE253" s="328"/>
      <c r="CF253" s="328"/>
      <c r="CG253" s="328"/>
      <c r="CH253" s="328"/>
      <c r="CI253" s="328"/>
      <c r="CJ253" s="328"/>
      <c r="CK253" s="328"/>
      <c r="CL253" s="328">
        <f>COUNTIF(AT253:BH253,"*OK*")</f>
        <v>0</v>
      </c>
      <c r="CM253" s="328"/>
      <c r="CN253" s="328">
        <f>COUNTIF(AT253:BH253,"*OP*")</f>
        <v>0</v>
      </c>
    </row>
    <row r="254" spans="1:92" ht="15" customHeight="1">
      <c r="A254" s="834">
        <v>26371</v>
      </c>
      <c r="B254" s="560" t="s">
        <v>1650</v>
      </c>
      <c r="C254" s="329">
        <f t="shared" si="5"/>
        <v>135.6678</v>
      </c>
      <c r="D254" s="332">
        <f>COUNTIF(AT254:BH254,"*OK*")</f>
        <v>0</v>
      </c>
      <c r="E254" s="331" t="s">
        <v>439</v>
      </c>
      <c r="F254" s="331" t="s">
        <v>1651</v>
      </c>
      <c r="G254" s="331"/>
      <c r="H254" s="650">
        <f>IF(LEN(TRIM($G254&amp;""))=0, $C254, SUMIF($G$3:$G$561, TRIM($G254), $C$3:$C$561))</f>
        <v>135.6678</v>
      </c>
      <c r="I254" s="410" t="s">
        <v>562</v>
      </c>
      <c r="J254" s="331"/>
      <c r="K254" s="328"/>
      <c r="L254" s="328" t="str">
        <f>HYPERLINK("https://crm.zoho.com/crm/org685875245/tab/Accounts/3525045000358941577","https://crm.zoho.com/crm/org685875245/tab/Accounts/3525045000358941577")</f>
        <v>https://crm.zoho.com/crm/org685875245/tab/Accounts/3525045000358941577</v>
      </c>
      <c r="M254" s="391" t="s">
        <v>1652</v>
      </c>
      <c r="N254" s="332"/>
      <c r="O254" s="541" t="s">
        <v>1653</v>
      </c>
      <c r="P254" s="541" t="s">
        <v>1654</v>
      </c>
      <c r="Q254" s="541" t="s">
        <v>1655</v>
      </c>
      <c r="R254" s="332"/>
      <c r="S254" s="332"/>
      <c r="T254" s="331"/>
      <c r="U254" s="334" t="s">
        <v>617</v>
      </c>
      <c r="V254" s="335">
        <v>146.97999999999999</v>
      </c>
      <c r="W254" s="335">
        <v>153.41999999999999</v>
      </c>
      <c r="X254" s="335">
        <v>142.03</v>
      </c>
      <c r="Y254" s="336">
        <v>146.6</v>
      </c>
      <c r="Z254" s="337">
        <v>142.01859999999999</v>
      </c>
      <c r="AA254" s="365">
        <v>140.46</v>
      </c>
      <c r="AB254" s="365">
        <v>141.6463</v>
      </c>
      <c r="AC254" s="635">
        <v>144.25030000000001</v>
      </c>
      <c r="AD254" s="365">
        <v>135.6678</v>
      </c>
      <c r="AE254" s="339">
        <v>79</v>
      </c>
      <c r="AF254" s="340">
        <v>100</v>
      </c>
      <c r="AG254" s="334"/>
      <c r="AH254" s="341"/>
      <c r="AI254" s="422" t="s">
        <v>83</v>
      </c>
      <c r="AJ254" s="343" t="s">
        <v>143</v>
      </c>
      <c r="AK254" s="344" t="s">
        <v>1656</v>
      </c>
      <c r="AL254" s="340" t="s">
        <v>222</v>
      </c>
      <c r="AM254" s="328"/>
      <c r="AN254" s="328"/>
      <c r="AO254" s="328"/>
      <c r="AP254" s="328"/>
      <c r="AQ254" s="328"/>
      <c r="AR254" s="451"/>
      <c r="AS254" s="372" t="s">
        <v>88</v>
      </c>
      <c r="AT254" s="345"/>
      <c r="AU254" s="345"/>
      <c r="AV254" s="345"/>
      <c r="AW254" s="345"/>
      <c r="AX254" s="345"/>
      <c r="AY254" s="345"/>
      <c r="AZ254" s="345"/>
      <c r="BA254" s="345"/>
      <c r="BB254" s="345"/>
      <c r="BC254" s="345"/>
      <c r="BD254" s="345"/>
      <c r="BE254" s="345"/>
      <c r="BF254" s="345"/>
      <c r="BG254" s="345"/>
      <c r="BH254" s="345"/>
      <c r="BI254" s="345"/>
      <c r="BJ254" s="364">
        <f>COUNTIF(AT254:BI254,"*OP*")</f>
        <v>0</v>
      </c>
      <c r="BK254" s="375" t="s">
        <v>89</v>
      </c>
      <c r="BL254" s="328">
        <f>(COUNTIF(AT254:AV254,"*OK*")*3) + (COUNTIF(AW254:AY254,"*OK*")*2) + COUNTIF(AZ254:BB254,"*OK*")+COUNTIF(BK254:BK254,"SI")*0.5</f>
        <v>0</v>
      </c>
      <c r="BM254" s="328" t="str">
        <f>IF(BL254&lt;0.6,"Demasiado Riesgo",IF(BL254&lt;=5,"Riesgo Medio",IF(BL254&lt;=11,"Riesgo Bajo","Cliente Blindado")))</f>
        <v>Demasiado Riesgo</v>
      </c>
      <c r="BN254" s="328"/>
      <c r="BO254" s="349"/>
      <c r="BP254" s="349">
        <v>0</v>
      </c>
      <c r="BQ254" s="349"/>
      <c r="BR254" s="349"/>
      <c r="BS254" s="349"/>
      <c r="BT254" s="349"/>
      <c r="BU254" s="349"/>
      <c r="BV254" s="349"/>
      <c r="BW254" s="349"/>
      <c r="BX254" s="349"/>
      <c r="BY254" s="349"/>
      <c r="BZ254" s="349"/>
      <c r="CA254" s="349"/>
      <c r="CB254" s="349"/>
      <c r="CC254" s="349"/>
      <c r="CD254" s="349"/>
      <c r="CE254" s="349"/>
      <c r="CF254" s="349"/>
      <c r="CG254" s="349"/>
      <c r="CH254" s="349"/>
      <c r="CI254" s="349"/>
      <c r="CJ254" s="349"/>
      <c r="CK254" s="349"/>
      <c r="CL254" s="349">
        <f>COUNTIF(AT254:BH254,"*OK*")</f>
        <v>0</v>
      </c>
      <c r="CM254" s="349"/>
      <c r="CN254" s="349">
        <f>COUNTIF(AT254:BH254,"*OP*")</f>
        <v>0</v>
      </c>
    </row>
    <row r="255" spans="1:92" ht="15" customHeight="1">
      <c r="A255" s="834">
        <v>20005</v>
      </c>
      <c r="B255" s="560" t="s">
        <v>363</v>
      </c>
      <c r="C255" s="329">
        <f t="shared" si="5"/>
        <v>184.76819999999998</v>
      </c>
      <c r="D255" s="332">
        <f>COUNTIF(AT255:BH255,"*OK*")</f>
        <v>0</v>
      </c>
      <c r="E255" s="331" t="s">
        <v>93</v>
      </c>
      <c r="F255" s="331" t="s">
        <v>1657</v>
      </c>
      <c r="G255" s="331" t="s">
        <v>365</v>
      </c>
      <c r="H255" s="650">
        <f>IF(LEN(TRIM($G255&amp;""))=0, $C255, SUMIF($G$3:$G$561, TRIM($G255), $C$3:$C$561))</f>
        <v>4240.7285999999995</v>
      </c>
      <c r="I255" s="410" t="s">
        <v>76</v>
      </c>
      <c r="J255" s="331"/>
      <c r="K255" s="328" t="s">
        <v>125</v>
      </c>
      <c r="L255" s="328"/>
      <c r="M255" s="341" t="s">
        <v>96</v>
      </c>
      <c r="N255" s="341"/>
      <c r="O255" s="548" t="s">
        <v>367</v>
      </c>
      <c r="P255" s="548" t="s">
        <v>368</v>
      </c>
      <c r="Q255" s="548" t="s">
        <v>369</v>
      </c>
      <c r="R255" s="341" t="s">
        <v>160</v>
      </c>
      <c r="S255" s="341"/>
      <c r="T255" s="331"/>
      <c r="U255" s="344" t="s">
        <v>82</v>
      </c>
      <c r="V255" s="335">
        <v>139.21</v>
      </c>
      <c r="W255" s="335">
        <v>139.08000000000001</v>
      </c>
      <c r="X255" s="335">
        <v>132.54</v>
      </c>
      <c r="Y255" s="336">
        <v>139.09</v>
      </c>
      <c r="Z255" s="337">
        <v>140.9614</v>
      </c>
      <c r="AA255" s="338">
        <v>141.69999999999999</v>
      </c>
      <c r="AB255" s="338">
        <v>140.59190000000001</v>
      </c>
      <c r="AC255" s="634">
        <v>143.1765</v>
      </c>
      <c r="AD255" s="338">
        <v>184.76819999999998</v>
      </c>
      <c r="AE255" s="339">
        <v>1417</v>
      </c>
      <c r="AF255" s="340">
        <v>300</v>
      </c>
      <c r="AG255" s="334"/>
      <c r="AH255" s="341"/>
      <c r="AI255" s="422" t="s">
        <v>83</v>
      </c>
      <c r="AJ255" s="343" t="s">
        <v>150</v>
      </c>
      <c r="AK255" s="344" t="s">
        <v>1658</v>
      </c>
      <c r="AL255" s="340" t="s">
        <v>103</v>
      </c>
      <c r="AM255" s="328"/>
      <c r="AN255" s="328" t="s">
        <v>104</v>
      </c>
      <c r="AO255" s="328"/>
      <c r="AP255" s="328"/>
      <c r="AQ255" s="328"/>
      <c r="AR255" s="451"/>
      <c r="AS255" s="372"/>
      <c r="AT255" s="345"/>
      <c r="AU255" s="345"/>
      <c r="AV255" s="345"/>
      <c r="AW255" s="345"/>
      <c r="AX255" s="345"/>
      <c r="AY255" s="345"/>
      <c r="AZ255" s="345"/>
      <c r="BA255" s="345"/>
      <c r="BB255" s="345"/>
      <c r="BC255" s="345"/>
      <c r="BD255" s="345"/>
      <c r="BE255" s="345"/>
      <c r="BF255" s="345"/>
      <c r="BG255" s="345"/>
      <c r="BH255" s="345"/>
      <c r="BI255" s="345"/>
      <c r="BJ255" s="364">
        <f>COUNTIF(AT255:BI255,"*OP*")</f>
        <v>0</v>
      </c>
      <c r="BK255" s="375" t="s">
        <v>103</v>
      </c>
      <c r="BL255" s="328">
        <f>(COUNTIF(AT255:AV255,"*OK*")*3) + (COUNTIF(AW255:AY255,"*OK*")*2) + COUNTIF(AZ255:BB255,"*OK*")+COUNTIF(BK255:BK255,"SI")*0.5</f>
        <v>0</v>
      </c>
      <c r="BM255" s="328" t="str">
        <f>IF(BL255&lt;0.6,"Demasiado Riesgo",IF(BL255&lt;=5,"Riesgo Medio",IF(BL255&lt;=11,"Riesgo Bajo","Cliente Blindado")))</f>
        <v>Demasiado Riesgo</v>
      </c>
      <c r="BN255" s="328"/>
      <c r="BO255" s="349"/>
      <c r="BP255" s="349">
        <v>0</v>
      </c>
      <c r="BQ255" s="349"/>
      <c r="BR255" s="349"/>
      <c r="BS255" s="349"/>
      <c r="BT255" s="349"/>
      <c r="BU255" s="349"/>
      <c r="BV255" s="349"/>
      <c r="BW255" s="349"/>
      <c r="BX255" s="349"/>
      <c r="BY255" s="349"/>
      <c r="BZ255" s="349"/>
      <c r="CA255" s="349"/>
      <c r="CB255" s="349"/>
      <c r="CC255" s="349"/>
      <c r="CD255" s="349"/>
      <c r="CE255" s="349"/>
      <c r="CF255" s="349"/>
      <c r="CG255" s="349"/>
      <c r="CH255" s="349"/>
      <c r="CI255" s="349"/>
      <c r="CJ255" s="349"/>
      <c r="CK255" s="349"/>
      <c r="CL255" s="349">
        <f>COUNTIF(AT255:BH255,"*OK*")</f>
        <v>0</v>
      </c>
      <c r="CM255" s="349"/>
      <c r="CN255" s="349">
        <f>COUNTIF(AT255:BH255,"*OP*")</f>
        <v>0</v>
      </c>
    </row>
    <row r="256" spans="1:92" ht="15" customHeight="1">
      <c r="A256" s="835">
        <v>35243</v>
      </c>
      <c r="B256" s="560" t="s">
        <v>1659</v>
      </c>
      <c r="C256" s="329">
        <f t="shared" si="5"/>
        <v>123.0685</v>
      </c>
      <c r="D256" s="352">
        <f>COUNTIF(AT256:BH256,"*OK*")</f>
        <v>0</v>
      </c>
      <c r="E256" s="397" t="s">
        <v>439</v>
      </c>
      <c r="F256" s="351" t="s">
        <v>1660</v>
      </c>
      <c r="G256" s="351"/>
      <c r="H256" s="650">
        <f>IF(LEN(TRIM($G256&amp;""))=0, $C256, SUMIF($G$3:$G$561, TRIM($G256), $C$3:$C$561))</f>
        <v>123.0685</v>
      </c>
      <c r="I256" s="353" t="s">
        <v>562</v>
      </c>
      <c r="J256" s="351"/>
      <c r="K256" s="349"/>
      <c r="L256" s="349" t="str">
        <f>HYPERLINK("https://crm.zoho.com/crm/org685875245/tab/Accounts/3525045000560331298","https://crm.zoho.com/crm/org685875245/tab/Accounts/3525045000560331298")</f>
        <v>https://crm.zoho.com/crm/org685875245/tab/Accounts/3525045000560331298</v>
      </c>
      <c r="M256" s="553"/>
      <c r="N256" s="332" t="s">
        <v>817</v>
      </c>
      <c r="O256" s="541" t="s">
        <v>1661</v>
      </c>
      <c r="P256" s="541" t="s">
        <v>1662</v>
      </c>
      <c r="Q256" s="541" t="s">
        <v>1663</v>
      </c>
      <c r="R256" s="332"/>
      <c r="S256" s="352"/>
      <c r="T256" s="397"/>
      <c r="U256" s="362" t="s">
        <v>82</v>
      </c>
      <c r="V256" s="355">
        <v>84.11</v>
      </c>
      <c r="W256" s="355">
        <v>132.71</v>
      </c>
      <c r="X256" s="355">
        <v>129.78</v>
      </c>
      <c r="Y256" s="356">
        <v>147.63999999999999</v>
      </c>
      <c r="Z256" s="337">
        <v>135.7621</v>
      </c>
      <c r="AA256" s="365">
        <v>127.42</v>
      </c>
      <c r="AB256" s="365">
        <v>128.49170000000001</v>
      </c>
      <c r="AC256" s="635">
        <v>141.4161</v>
      </c>
      <c r="AD256" s="365">
        <v>123.0685</v>
      </c>
      <c r="AE256" s="357">
        <v>31</v>
      </c>
      <c r="AF256" s="358">
        <v>200</v>
      </c>
      <c r="AG256" s="354"/>
      <c r="AH256" s="359"/>
      <c r="AI256" s="427" t="s">
        <v>83</v>
      </c>
      <c r="AJ256" s="361" t="s">
        <v>297</v>
      </c>
      <c r="AK256" s="362" t="s">
        <v>1664</v>
      </c>
      <c r="AL256" s="358" t="s">
        <v>103</v>
      </c>
      <c r="AM256" s="349"/>
      <c r="AN256" s="349"/>
      <c r="AO256" s="349"/>
      <c r="AP256" s="349"/>
      <c r="AQ256" s="349"/>
      <c r="AR256" s="453"/>
      <c r="AS256" s="371" t="s">
        <v>103</v>
      </c>
      <c r="AT256" s="345"/>
      <c r="AU256" s="345"/>
      <c r="AV256" s="345"/>
      <c r="AW256" s="345"/>
      <c r="AX256" s="345"/>
      <c r="AY256" s="345"/>
      <c r="AZ256" s="345"/>
      <c r="BA256" s="345"/>
      <c r="BB256" s="345"/>
      <c r="BC256" s="345"/>
      <c r="BD256" s="345"/>
      <c r="BE256" s="345"/>
      <c r="BF256" s="345"/>
      <c r="BG256" s="345"/>
      <c r="BH256" s="345"/>
      <c r="BI256" s="345"/>
      <c r="BJ256" s="364">
        <f>COUNTIF(AT256:BI256,"*OP*")</f>
        <v>0</v>
      </c>
      <c r="BK256" s="363" t="s">
        <v>103</v>
      </c>
      <c r="BL256" s="349">
        <f>(COUNTIF(AT256:AV256,"*OK*")*3) + (COUNTIF(AW256:AY256,"*OK*")*2) + COUNTIF(AZ256:BB256,"*OK*")+COUNTIF(BK256:BK256,"SI")*0.5</f>
        <v>0</v>
      </c>
      <c r="BM256" s="349" t="str">
        <f>IF(BL256&lt;0.6,"Demasiado Riesgo",IF(BL256&lt;=5,"Riesgo Medio",IF(BL256&lt;=11,"Riesgo Bajo","Cliente Blindado")))</f>
        <v>Demasiado Riesgo</v>
      </c>
      <c r="BN256" s="349"/>
      <c r="BO256" s="328"/>
      <c r="BP256" s="328">
        <v>0</v>
      </c>
      <c r="BQ256" s="328"/>
      <c r="BR256" s="328"/>
      <c r="BS256" s="328"/>
      <c r="BT256" s="328"/>
      <c r="BU256" s="328"/>
      <c r="BV256" s="328"/>
      <c r="BW256" s="328"/>
      <c r="BX256" s="328"/>
      <c r="BY256" s="328"/>
      <c r="BZ256" s="328"/>
      <c r="CA256" s="328"/>
      <c r="CB256" s="328"/>
      <c r="CC256" s="328"/>
      <c r="CD256" s="328"/>
      <c r="CE256" s="328"/>
      <c r="CF256" s="328"/>
      <c r="CG256" s="328"/>
      <c r="CH256" s="328"/>
      <c r="CI256" s="328"/>
      <c r="CJ256" s="328"/>
      <c r="CK256" s="328"/>
      <c r="CL256" s="328">
        <f>COUNTIF(AT256:BH256,"*OK*")</f>
        <v>0</v>
      </c>
      <c r="CM256" s="328"/>
      <c r="CN256" s="328">
        <f>COUNTIF(AT256:BH256,"*OP*")</f>
        <v>0</v>
      </c>
    </row>
    <row r="257" spans="1:94" ht="15" customHeight="1">
      <c r="A257" s="834"/>
      <c r="B257" s="560" t="s">
        <v>1665</v>
      </c>
      <c r="C257" s="329">
        <f t="shared" si="5"/>
        <v>131.07070000000002</v>
      </c>
      <c r="D257" s="332">
        <f>COUNTIF(AX257:BI257,"OK")</f>
        <v>0</v>
      </c>
      <c r="E257" s="501" t="s">
        <v>439</v>
      </c>
      <c r="F257" s="536" t="s">
        <v>1666</v>
      </c>
      <c r="G257" s="537"/>
      <c r="H257" s="650">
        <f>IF(LEN(TRIM($G257&amp;""))=0, $C257, SUMIF($G$3:$G$561, TRIM($G257), $C$3:$C$561))</f>
        <v>131.07070000000002</v>
      </c>
      <c r="I257" s="501" t="s">
        <v>562</v>
      </c>
      <c r="J257" s="501" t="s">
        <v>103</v>
      </c>
      <c r="K257" s="328"/>
      <c r="L257" s="328" t="str">
        <f>HYPERLINK("https://crm.zoho.com/crm/org685875245/tab/Accounts/3525045000511880161","https://crm.zoho.com/crm/org685875245/tab/Accounts/3525045000511880161")</f>
        <v>https://crm.zoho.com/crm/org685875245/tab/Accounts/3525045000511880161</v>
      </c>
      <c r="M257" s="391"/>
      <c r="N257" s="501" t="s">
        <v>103</v>
      </c>
      <c r="O257" s="543" t="s">
        <v>982</v>
      </c>
      <c r="P257" s="543" t="s">
        <v>312</v>
      </c>
      <c r="Q257" s="543" t="s">
        <v>1667</v>
      </c>
      <c r="R257" s="501"/>
      <c r="S257" s="501" t="s">
        <v>103</v>
      </c>
      <c r="T257" s="501" t="s">
        <v>88</v>
      </c>
      <c r="U257" s="469" t="s">
        <v>103</v>
      </c>
      <c r="V257" s="501" t="s">
        <v>103</v>
      </c>
      <c r="W257" s="501" t="s">
        <v>103</v>
      </c>
      <c r="X257" s="501" t="s">
        <v>103</v>
      </c>
      <c r="Y257" s="470" t="s">
        <v>103</v>
      </c>
      <c r="Z257" s="513" t="s">
        <v>103</v>
      </c>
      <c r="AA257" s="518">
        <v>142.84</v>
      </c>
      <c r="AB257" s="518">
        <v>182.53899999999999</v>
      </c>
      <c r="AC257" s="639">
        <v>139.36240000000001</v>
      </c>
      <c r="AD257" s="518">
        <v>131.07070000000002</v>
      </c>
      <c r="AE257" s="339"/>
      <c r="AF257" s="340" t="s">
        <v>103</v>
      </c>
      <c r="AG257" s="334"/>
      <c r="AH257" s="328"/>
      <c r="AI257" s="342"/>
      <c r="AJ257" s="343"/>
      <c r="AK257" s="344"/>
      <c r="AL257" s="372" t="s">
        <v>103</v>
      </c>
      <c r="AM257" s="328"/>
      <c r="AN257" s="328"/>
      <c r="AO257" s="328"/>
      <c r="AP257" s="328"/>
      <c r="AQ257" s="328"/>
      <c r="AR257" s="451"/>
      <c r="AS257" s="444"/>
      <c r="AT257" s="345"/>
      <c r="AU257" s="345"/>
      <c r="AV257" s="594"/>
      <c r="AW257" s="345"/>
      <c r="AX257" s="345"/>
      <c r="AY257" s="345"/>
      <c r="AZ257" s="345"/>
      <c r="BA257" s="345"/>
      <c r="BB257" s="345"/>
      <c r="BC257" s="345"/>
      <c r="BD257" s="345"/>
      <c r="BE257" s="345"/>
      <c r="BF257" s="345"/>
      <c r="BG257" s="345"/>
      <c r="BH257" s="345"/>
      <c r="BI257" s="345"/>
      <c r="BJ257" s="364">
        <f>COUNTIF(AT257:BI257,"*OP*")</f>
        <v>0</v>
      </c>
      <c r="BK257" s="447"/>
      <c r="BL257" s="328">
        <f>(COUNTIF(AT257:AV257,"*OK*")*3) + (COUNTIF(AW257:AY257,"*OK*")*2) + COUNTIF(AZ257:BB257,"*OK*")+COUNTIF(BK257:BK257,"SI")*0.5</f>
        <v>0</v>
      </c>
      <c r="BM257" s="328" t="str">
        <f>IF(BL257&lt;0.6,"Demasiado Riesgo",IF(BL257&lt;=5,"Riesgo Medio",IF(BL257&lt;=11,"Riesgo Bajo","Cliente Blindado")))</f>
        <v>Demasiado Riesgo</v>
      </c>
      <c r="BN257" s="328"/>
      <c r="BO257" s="349"/>
      <c r="BP257" s="349">
        <v>0</v>
      </c>
      <c r="BQ257" s="349"/>
      <c r="BR257" s="349"/>
      <c r="BS257" s="349"/>
      <c r="BT257" s="349"/>
      <c r="BU257" s="349"/>
      <c r="BV257" s="349"/>
      <c r="BW257" s="349"/>
      <c r="BX257" s="349"/>
      <c r="BY257" s="349"/>
      <c r="BZ257" s="349"/>
      <c r="CA257" s="349"/>
      <c r="CB257" s="349"/>
      <c r="CC257" s="349"/>
      <c r="CD257" s="349"/>
      <c r="CE257" s="349"/>
      <c r="CF257" s="349"/>
      <c r="CG257" s="349"/>
      <c r="CH257" s="349"/>
      <c r="CI257" s="349"/>
      <c r="CJ257" s="349"/>
      <c r="CK257" s="349"/>
      <c r="CL257" s="349">
        <f>COUNTIF(AT257:BH257,"*OK*")</f>
        <v>0</v>
      </c>
      <c r="CM257" s="349"/>
      <c r="CN257" s="349">
        <f>COUNTIF(AT257:BH257,"*OP*")</f>
        <v>0</v>
      </c>
    </row>
    <row r="258" spans="1:94" ht="15" customHeight="1">
      <c r="A258" s="835"/>
      <c r="B258" s="560" t="s">
        <v>1668</v>
      </c>
      <c r="C258" s="329">
        <f t="shared" si="5"/>
        <v>130.5188</v>
      </c>
      <c r="D258" s="352">
        <f>COUNTIF(AX258:BI258,"OK")</f>
        <v>0</v>
      </c>
      <c r="E258" s="500" t="s">
        <v>439</v>
      </c>
      <c r="F258" s="537" t="s">
        <v>1669</v>
      </c>
      <c r="G258" s="536"/>
      <c r="H258" s="650">
        <f>IF(LEN(TRIM($G258&amp;""))=0, $C258, SUMIF($G$3:$G$561, TRIM($G258), $C$3:$C$561))</f>
        <v>130.5188</v>
      </c>
      <c r="I258" s="500" t="s">
        <v>562</v>
      </c>
      <c r="J258" s="500" t="s">
        <v>103</v>
      </c>
      <c r="K258" s="349"/>
      <c r="L258" s="349" t="str">
        <f>HYPERLINK("https://crm.zoho.com/crm/org685875245/tab/Accounts/3525045000627032188","https://crm.zoho.com/crm/org685875245/tab/Accounts/3525045000627032188")</f>
        <v>https://crm.zoho.com/crm/org685875245/tab/Accounts/3525045000627032188</v>
      </c>
      <c r="M258" s="553"/>
      <c r="N258" s="500" t="s">
        <v>103</v>
      </c>
      <c r="O258" s="542" t="s">
        <v>1670</v>
      </c>
      <c r="P258" s="542" t="s">
        <v>1671</v>
      </c>
      <c r="Q258" s="542" t="s">
        <v>1672</v>
      </c>
      <c r="R258" s="500"/>
      <c r="S258" s="500" t="s">
        <v>103</v>
      </c>
      <c r="T258" s="500" t="s">
        <v>88</v>
      </c>
      <c r="U258" s="467" t="s">
        <v>103</v>
      </c>
      <c r="V258" s="500" t="s">
        <v>103</v>
      </c>
      <c r="W258" s="500" t="s">
        <v>103</v>
      </c>
      <c r="X258" s="500" t="s">
        <v>103</v>
      </c>
      <c r="Y258" s="511" t="s">
        <v>103</v>
      </c>
      <c r="Z258" s="517" t="s">
        <v>103</v>
      </c>
      <c r="AA258" s="518">
        <v>128.85</v>
      </c>
      <c r="AB258" s="518">
        <v>136.2704</v>
      </c>
      <c r="AC258" s="639">
        <v>138.7756</v>
      </c>
      <c r="AD258" s="518">
        <v>130.5188</v>
      </c>
      <c r="AE258" s="348"/>
      <c r="AF258" s="371" t="s">
        <v>103</v>
      </c>
      <c r="AG258" s="362"/>
      <c r="AH258" s="349"/>
      <c r="AI258" s="361"/>
      <c r="AJ258" s="361"/>
      <c r="AK258" s="362"/>
      <c r="AL258" s="371" t="s">
        <v>103</v>
      </c>
      <c r="AM258" s="349"/>
      <c r="AN258" s="349"/>
      <c r="AO258" s="349"/>
      <c r="AP258" s="349"/>
      <c r="AQ258" s="349"/>
      <c r="AR258" s="453"/>
      <c r="AS258" s="449"/>
      <c r="AT258" s="345"/>
      <c r="AU258" s="345"/>
      <c r="AV258" s="345"/>
      <c r="AW258" s="345"/>
      <c r="AX258" s="345"/>
      <c r="AY258" s="345"/>
      <c r="AZ258" s="345"/>
      <c r="BA258" s="345"/>
      <c r="BB258" s="345"/>
      <c r="BC258" s="345"/>
      <c r="BD258" s="345"/>
      <c r="BE258" s="345"/>
      <c r="BF258" s="345"/>
      <c r="BG258" s="345"/>
      <c r="BH258" s="345"/>
      <c r="BI258" s="345"/>
      <c r="BJ258" s="364">
        <f>COUNTIF(AT258:BI258,"*OP*")</f>
        <v>0</v>
      </c>
      <c r="BK258" s="450"/>
      <c r="BL258" s="349">
        <f>(COUNTIF(AT258:AV258,"*OK*")*3) + (COUNTIF(AW258:AY258,"*OK*")*2) + COUNTIF(AZ258:BB258,"*OK*")+COUNTIF(BK258:BK258,"SI")*0.5</f>
        <v>0</v>
      </c>
      <c r="BM258" s="349" t="str">
        <f>IF(BL258&lt;0.6,"Demasiado Riesgo",IF(BL258&lt;=5,"Riesgo Medio",IF(BL258&lt;=11,"Riesgo Bajo","Cliente Blindado")))</f>
        <v>Demasiado Riesgo</v>
      </c>
      <c r="BN258" s="349"/>
      <c r="BO258" s="328"/>
      <c r="BP258" s="328"/>
      <c r="BQ258" s="328"/>
      <c r="BR258" s="328"/>
      <c r="BS258" s="328"/>
      <c r="BT258" s="328"/>
      <c r="BU258" s="328"/>
      <c r="BV258" s="328"/>
      <c r="BW258" s="328"/>
      <c r="BX258" s="328"/>
      <c r="BY258" s="328"/>
      <c r="BZ258" s="328"/>
      <c r="CA258" s="328"/>
      <c r="CB258" s="328"/>
      <c r="CC258" s="328"/>
      <c r="CD258" s="328"/>
      <c r="CE258" s="328"/>
      <c r="CF258" s="328"/>
      <c r="CG258" s="328"/>
      <c r="CH258" s="328"/>
      <c r="CI258" s="328"/>
      <c r="CJ258" s="328"/>
      <c r="CK258" s="328"/>
      <c r="CL258" s="328">
        <f>COUNTIF(AT258:BH258,"*OK*")</f>
        <v>0</v>
      </c>
    </row>
    <row r="259" spans="1:94" ht="15" customHeight="1">
      <c r="A259" s="834">
        <v>23417</v>
      </c>
      <c r="B259" s="560" t="s">
        <v>1673</v>
      </c>
      <c r="C259" s="329">
        <f t="shared" si="5"/>
        <v>132.89179999999999</v>
      </c>
      <c r="D259" s="332">
        <f>COUNTIF(AT259:BH259,"*OK*")</f>
        <v>0</v>
      </c>
      <c r="E259" s="331" t="s">
        <v>93</v>
      </c>
      <c r="F259" s="331" t="s">
        <v>1674</v>
      </c>
      <c r="G259" s="331" t="s">
        <v>1152</v>
      </c>
      <c r="H259" s="650">
        <f>IF(LEN(TRIM($G259&amp;""))=0, $C259, SUMIF($G$3:$G$561, TRIM($G259), $C$3:$C$561))</f>
        <v>950.33120000000008</v>
      </c>
      <c r="I259" s="410" t="s">
        <v>76</v>
      </c>
      <c r="J259" s="331"/>
      <c r="K259" s="328"/>
      <c r="L259" s="328"/>
      <c r="M259" s="341" t="s">
        <v>96</v>
      </c>
      <c r="N259" s="341"/>
      <c r="O259" s="548"/>
      <c r="P259" s="548"/>
      <c r="Q259" s="548"/>
      <c r="R259" s="359" t="s">
        <v>111</v>
      </c>
      <c r="S259" s="341"/>
      <c r="T259" s="331"/>
      <c r="U259" s="344" t="s">
        <v>82</v>
      </c>
      <c r="V259" s="335">
        <v>133.99</v>
      </c>
      <c r="W259" s="335">
        <v>143.6</v>
      </c>
      <c r="X259" s="335">
        <v>133.76</v>
      </c>
      <c r="Y259" s="336">
        <v>142.05000000000001</v>
      </c>
      <c r="Z259" s="337">
        <v>135.06880000000001</v>
      </c>
      <c r="AA259" s="347">
        <v>131.99</v>
      </c>
      <c r="AB259" s="347">
        <v>135.5213</v>
      </c>
      <c r="AC259" s="638">
        <v>137.19130000000001</v>
      </c>
      <c r="AD259" s="347">
        <v>132.89179999999999</v>
      </c>
      <c r="AE259" s="339">
        <v>1219</v>
      </c>
      <c r="AF259" s="340">
        <v>100</v>
      </c>
      <c r="AG259" s="334"/>
      <c r="AH259" s="341"/>
      <c r="AI259" s="342" t="s">
        <v>1459</v>
      </c>
      <c r="AJ259" s="343" t="s">
        <v>143</v>
      </c>
      <c r="AK259" s="344" t="s">
        <v>1675</v>
      </c>
      <c r="AL259" s="340" t="s">
        <v>103</v>
      </c>
      <c r="AM259" s="328"/>
      <c r="AN259" s="328" t="s">
        <v>104</v>
      </c>
      <c r="AO259" s="328"/>
      <c r="AP259" s="328"/>
      <c r="AQ259" s="328"/>
      <c r="AR259" s="451"/>
      <c r="AS259" s="372" t="s">
        <v>103</v>
      </c>
      <c r="AT259" s="345"/>
      <c r="AU259" s="345"/>
      <c r="AV259" s="345"/>
      <c r="AW259" s="345"/>
      <c r="AX259" s="345"/>
      <c r="AY259" s="345"/>
      <c r="AZ259" s="345"/>
      <c r="BA259" s="345"/>
      <c r="BB259" s="345"/>
      <c r="BC259" s="345"/>
      <c r="BD259" s="345"/>
      <c r="BE259" s="345"/>
      <c r="BF259" s="345"/>
      <c r="BG259" s="345"/>
      <c r="BH259" s="345"/>
      <c r="BI259" s="345"/>
      <c r="BJ259" s="364">
        <f>COUNTIF(AT259:BI259,"*OP*")</f>
        <v>0</v>
      </c>
      <c r="BK259" s="375" t="s">
        <v>103</v>
      </c>
      <c r="BL259" s="328">
        <f>(COUNTIF(AT259:AV259,"*OK*")*3) + (COUNTIF(AW259:AY259,"*OK*")*2) + COUNTIF(AZ259:BB259,"*OK*")+COUNTIF(BK259:BK259,"SI")*0.5</f>
        <v>0</v>
      </c>
      <c r="BM259" s="328" t="str">
        <f>IF(BL259&lt;0.6,"Demasiado Riesgo",IF(BL259&lt;=5,"Riesgo Medio",IF(BL259&lt;=11,"Riesgo Bajo","Cliente Blindado")))</f>
        <v>Demasiado Riesgo</v>
      </c>
      <c r="BN259" s="328"/>
      <c r="BO259" s="349"/>
      <c r="BP259" s="349">
        <v>0</v>
      </c>
      <c r="BQ259" s="349"/>
      <c r="BR259" s="349"/>
      <c r="BS259" s="349"/>
      <c r="BT259" s="349"/>
      <c r="BU259" s="349"/>
      <c r="BV259" s="349"/>
      <c r="BW259" s="349"/>
      <c r="BX259" s="349"/>
      <c r="BY259" s="349"/>
      <c r="BZ259" s="349"/>
      <c r="CA259" s="349"/>
      <c r="CB259" s="349"/>
      <c r="CC259" s="349"/>
      <c r="CD259" s="349"/>
      <c r="CE259" s="349"/>
      <c r="CF259" s="349"/>
      <c r="CG259" s="349"/>
      <c r="CH259" s="349"/>
      <c r="CI259" s="349"/>
      <c r="CJ259" s="349"/>
      <c r="CK259" s="349"/>
      <c r="CL259" s="349">
        <f>COUNTIF(AT259:BH259,"*OK*")</f>
        <v>0</v>
      </c>
      <c r="CM259" s="349"/>
      <c r="CN259" s="349">
        <f>COUNTIF(AT259:BH259,"*OP*")</f>
        <v>0</v>
      </c>
    </row>
    <row r="260" spans="1:94" ht="15" customHeight="1">
      <c r="A260" s="835"/>
      <c r="B260" s="560" t="s">
        <v>1676</v>
      </c>
      <c r="C260" s="329">
        <f t="shared" ref="C260:C323" si="6">AD260</f>
        <v>128.31129999999999</v>
      </c>
      <c r="D260" s="352">
        <f>COUNTIF(AX260:BI260,"OK")</f>
        <v>0</v>
      </c>
      <c r="E260" s="500" t="s">
        <v>439</v>
      </c>
      <c r="F260" s="537" t="s">
        <v>1677</v>
      </c>
      <c r="G260" s="536"/>
      <c r="H260" s="650">
        <f>IF(LEN(TRIM($G260&amp;""))=0, $C260, SUMIF($G$3:$G$561, TRIM($G260), $C$3:$C$561))</f>
        <v>128.31129999999999</v>
      </c>
      <c r="I260" s="500" t="s">
        <v>562</v>
      </c>
      <c r="J260" s="500" t="s">
        <v>103</v>
      </c>
      <c r="K260" s="349"/>
      <c r="L260" s="349" t="str">
        <f>HYPERLINK("https://crm.zoho.com/crm/org685875245/tab/Accounts/3525045000636267094","https://crm.zoho.com/crm/org685875245/tab/Accounts/3525045000636267094")</f>
        <v>https://crm.zoho.com/crm/org685875245/tab/Accounts/3525045000636267094</v>
      </c>
      <c r="M260" s="553"/>
      <c r="N260" s="500" t="s">
        <v>103</v>
      </c>
      <c r="O260" s="542"/>
      <c r="P260" s="542"/>
      <c r="Q260" s="542"/>
      <c r="R260" s="500"/>
      <c r="S260" s="500" t="s">
        <v>103</v>
      </c>
      <c r="T260" s="500" t="s">
        <v>88</v>
      </c>
      <c r="U260" s="467" t="s">
        <v>103</v>
      </c>
      <c r="V260" s="500" t="s">
        <v>103</v>
      </c>
      <c r="W260" s="500" t="s">
        <v>103</v>
      </c>
      <c r="X260" s="500" t="s">
        <v>103</v>
      </c>
      <c r="Y260" s="511" t="s">
        <v>103</v>
      </c>
      <c r="Z260" s="517" t="s">
        <v>103</v>
      </c>
      <c r="AA260" s="518">
        <v>102.85</v>
      </c>
      <c r="AB260" s="518">
        <v>133.96559999999999</v>
      </c>
      <c r="AC260" s="639">
        <v>136.42850000000001</v>
      </c>
      <c r="AD260" s="518">
        <v>128.31129999999999</v>
      </c>
      <c r="AE260" s="357"/>
      <c r="AF260" s="358" t="s">
        <v>103</v>
      </c>
      <c r="AG260" s="354"/>
      <c r="AH260" s="349"/>
      <c r="AI260" s="370"/>
      <c r="AJ260" s="361"/>
      <c r="AK260" s="362"/>
      <c r="AL260" s="371" t="s">
        <v>103</v>
      </c>
      <c r="AM260" s="349"/>
      <c r="AN260" s="349"/>
      <c r="AO260" s="349"/>
      <c r="AP260" s="349"/>
      <c r="AQ260" s="349"/>
      <c r="AR260" s="453"/>
      <c r="AS260" s="449"/>
      <c r="AT260" s="345"/>
      <c r="AU260" s="345"/>
      <c r="AV260" s="345" t="s">
        <v>179</v>
      </c>
      <c r="AW260" s="345" t="s">
        <v>179</v>
      </c>
      <c r="AX260" s="345"/>
      <c r="AY260" s="345"/>
      <c r="AZ260" s="345"/>
      <c r="BA260" s="345"/>
      <c r="BB260" s="345"/>
      <c r="BC260" s="345"/>
      <c r="BD260" s="345"/>
      <c r="BE260" s="345"/>
      <c r="BF260" s="345"/>
      <c r="BG260" s="345"/>
      <c r="BH260" s="345"/>
      <c r="BI260" s="345"/>
      <c r="BJ260" s="364">
        <f>COUNTIF(AT260:BI260,"*OP*")</f>
        <v>2</v>
      </c>
      <c r="BK260" s="450"/>
      <c r="BL260" s="349">
        <f>(COUNTIF(AT260:AV260,"*OK*")*3) + (COUNTIF(AW260:AY260,"*OK*")*2) + COUNTIF(AZ260:BB260,"*OK*")+COUNTIF(BK260:BK260,"SI")*0.5</f>
        <v>0</v>
      </c>
      <c r="BM260" s="349" t="str">
        <f>IF(BL260&lt;0.6,"Demasiado Riesgo",IF(BL260&lt;=5,"Riesgo Medio",IF(BL260&lt;=11,"Riesgo Bajo","Cliente Blindado")))</f>
        <v>Demasiado Riesgo</v>
      </c>
      <c r="BN260" s="349"/>
      <c r="BO260" s="349"/>
      <c r="BP260" s="349">
        <v>0</v>
      </c>
      <c r="BQ260" s="349"/>
      <c r="BR260" s="349"/>
      <c r="BS260" s="349"/>
      <c r="BT260" s="349"/>
      <c r="BU260" s="349"/>
      <c r="BV260" s="349"/>
      <c r="BW260" s="349"/>
      <c r="BX260" s="349"/>
      <c r="BY260" s="349"/>
      <c r="BZ260" s="349"/>
      <c r="CA260" s="349"/>
      <c r="CB260" s="349"/>
      <c r="CC260" s="349"/>
      <c r="CD260" s="349"/>
      <c r="CE260" s="349"/>
      <c r="CF260" s="349"/>
      <c r="CG260" s="349"/>
      <c r="CH260" s="349"/>
      <c r="CI260" s="349"/>
      <c r="CJ260" s="349"/>
      <c r="CK260" s="349"/>
      <c r="CL260" s="349">
        <f>COUNTIF(AT260:BH260,"*OK*")</f>
        <v>0</v>
      </c>
      <c r="CM260" s="349"/>
      <c r="CN260" s="349">
        <f>COUNTIF(AT260:BH260,"*OP*")</f>
        <v>2</v>
      </c>
    </row>
    <row r="261" spans="1:94" ht="15" customHeight="1">
      <c r="A261" s="835">
        <v>24506</v>
      </c>
      <c r="B261" s="560" t="s">
        <v>1678</v>
      </c>
      <c r="C261" s="329">
        <f t="shared" si="6"/>
        <v>135.6678</v>
      </c>
      <c r="D261" s="352">
        <f>COUNTIF(AT261:BH261,"*OK*")</f>
        <v>0</v>
      </c>
      <c r="E261" s="331" t="s">
        <v>73</v>
      </c>
      <c r="F261" s="351" t="s">
        <v>1679</v>
      </c>
      <c r="G261" s="351" t="s">
        <v>1680</v>
      </c>
      <c r="H261" s="650">
        <f>IF(LEN(TRIM($G261&amp;""))=0, $C261, SUMIF($G$3:$G$561, TRIM($G261), $C$3:$C$561))</f>
        <v>237.94050000000001</v>
      </c>
      <c r="I261" s="413" t="s">
        <v>562</v>
      </c>
      <c r="J261" s="351"/>
      <c r="K261" s="558"/>
      <c r="L261" s="558"/>
      <c r="M261" s="553"/>
      <c r="N261" s="558"/>
      <c r="O261" s="559"/>
      <c r="P261" s="559"/>
      <c r="Q261" s="559"/>
      <c r="R261" s="558"/>
      <c r="S261" s="352"/>
      <c r="T261" s="351"/>
      <c r="U261" s="354" t="s">
        <v>82</v>
      </c>
      <c r="V261" s="355">
        <v>74.59</v>
      </c>
      <c r="W261" s="355">
        <v>72.33</v>
      </c>
      <c r="X261" s="355">
        <v>64.75</v>
      </c>
      <c r="Y261" s="356">
        <v>60.37</v>
      </c>
      <c r="Z261" s="337">
        <v>58.992400000000004</v>
      </c>
      <c r="AA261" s="338">
        <v>155.59</v>
      </c>
      <c r="AB261" s="338">
        <v>152.54220000000001</v>
      </c>
      <c r="AC261" s="634">
        <v>135.3734</v>
      </c>
      <c r="AD261" s="338">
        <v>135.6678</v>
      </c>
      <c r="AE261" s="357">
        <v>111</v>
      </c>
      <c r="AF261" s="358">
        <v>100</v>
      </c>
      <c r="AG261" s="354"/>
      <c r="AH261" s="359"/>
      <c r="AI261" s="370" t="s">
        <v>1681</v>
      </c>
      <c r="AJ261" s="361" t="s">
        <v>297</v>
      </c>
      <c r="AK261" s="362" t="s">
        <v>1682</v>
      </c>
      <c r="AL261" s="358" t="s">
        <v>103</v>
      </c>
      <c r="AM261" s="349"/>
      <c r="AN261" s="349"/>
      <c r="AO261" s="349"/>
      <c r="AP261" s="349"/>
      <c r="AQ261" s="349"/>
      <c r="AR261" s="453"/>
      <c r="AS261" s="371" t="s">
        <v>103</v>
      </c>
      <c r="AT261" s="364"/>
      <c r="AU261" s="364"/>
      <c r="AV261" s="364"/>
      <c r="AW261" s="364"/>
      <c r="AX261" s="364"/>
      <c r="AY261" s="364"/>
      <c r="AZ261" s="364"/>
      <c r="BA261" s="364"/>
      <c r="BB261" s="364"/>
      <c r="BC261" s="364"/>
      <c r="BD261" s="364"/>
      <c r="BE261" s="364"/>
      <c r="BF261" s="364"/>
      <c r="BG261" s="364"/>
      <c r="BH261" s="364"/>
      <c r="BI261" s="364"/>
      <c r="BJ261" s="364">
        <f>COUNTIF(AT261:BI261,"*OP*")</f>
        <v>0</v>
      </c>
      <c r="BK261" s="363" t="s">
        <v>103</v>
      </c>
      <c r="BL261" s="349">
        <f>(COUNTIF(AT261:AV261,"*OK*")*3) + (COUNTIF(AW261:AY261,"*OK*")*2) + COUNTIF(AZ261:BB261,"*OK*")+COUNTIF(BK261:BK261,"SI")*0.5</f>
        <v>0</v>
      </c>
      <c r="BM261" s="349" t="str">
        <f>IF(BL261&lt;0.6,"Demasiado Riesgo",IF(BL261&lt;=5,"Riesgo Medio",IF(BL261&lt;=11,"Riesgo Bajo","Cliente Blindado")))</f>
        <v>Demasiado Riesgo</v>
      </c>
      <c r="BN261" s="349"/>
      <c r="BO261" s="328"/>
      <c r="BP261" s="328">
        <v>0</v>
      </c>
      <c r="BQ261" s="328"/>
      <c r="BR261" s="328"/>
      <c r="BS261" s="328"/>
      <c r="BT261" s="328"/>
      <c r="BU261" s="328"/>
      <c r="BV261" s="328"/>
      <c r="BW261" s="328"/>
      <c r="BX261" s="328"/>
      <c r="BY261" s="328"/>
      <c r="BZ261" s="328"/>
      <c r="CA261" s="328"/>
      <c r="CB261" s="328"/>
      <c r="CC261" s="328"/>
      <c r="CD261" s="328"/>
      <c r="CE261" s="328"/>
      <c r="CF261" s="328"/>
      <c r="CG261" s="328"/>
      <c r="CH261" s="328"/>
      <c r="CI261" s="328"/>
      <c r="CJ261" s="328"/>
      <c r="CK261" s="328"/>
      <c r="CL261" s="328">
        <f>COUNTIF(AT261:BH261,"*OK*")</f>
        <v>0</v>
      </c>
      <c r="CM261" s="328"/>
      <c r="CN261" s="328">
        <f>COUNTIF(AT261:BH261,"*OP*")</f>
        <v>0</v>
      </c>
    </row>
    <row r="262" spans="1:94" ht="15" customHeight="1">
      <c r="A262" s="834"/>
      <c r="B262" s="560" t="s">
        <v>1683</v>
      </c>
      <c r="C262" s="329">
        <f t="shared" si="6"/>
        <v>131.6225</v>
      </c>
      <c r="D262" s="332">
        <f>COUNTIF(AT262:BH262,"*OK*")</f>
        <v>0</v>
      </c>
      <c r="E262" s="331" t="s">
        <v>93</v>
      </c>
      <c r="F262" s="331" t="s">
        <v>1684</v>
      </c>
      <c r="G262" s="331" t="s">
        <v>230</v>
      </c>
      <c r="H262" s="650">
        <f>IF(LEN(TRIM($G262&amp;""))=0, $C262, SUMIF($G$3:$G$561, TRIM($G262), $C$3:$C$561))</f>
        <v>3660.4305000000004</v>
      </c>
      <c r="I262" s="410" t="s">
        <v>76</v>
      </c>
      <c r="J262" s="331"/>
      <c r="K262" s="328"/>
      <c r="L262" s="328" t="str">
        <f>HYPERLINK("https://crm.zoho.com/crm/org685875245/tab/Accounts/3525045000269312009","https://crm.zoho.com/crm/org685875245/tab/Accounts/3525045000269312009")</f>
        <v>https://crm.zoho.com/crm/org685875245/tab/Accounts/3525045000269312009</v>
      </c>
      <c r="M262" s="341" t="s">
        <v>96</v>
      </c>
      <c r="N262" s="341"/>
      <c r="O262" s="548"/>
      <c r="P262" s="548"/>
      <c r="Q262" s="548"/>
      <c r="R262" s="341"/>
      <c r="S262" s="341"/>
      <c r="T262" s="331"/>
      <c r="U262" s="344" t="s">
        <v>82</v>
      </c>
      <c r="V262" s="335">
        <v>168.42</v>
      </c>
      <c r="W262" s="335">
        <v>165.86</v>
      </c>
      <c r="X262" s="335">
        <v>143.19999999999999</v>
      </c>
      <c r="Y262" s="336">
        <v>151.35</v>
      </c>
      <c r="Z262" s="337">
        <v>176.14400000000001</v>
      </c>
      <c r="AA262" s="347">
        <v>145.76</v>
      </c>
      <c r="AB262" s="347">
        <v>136.21279999999999</v>
      </c>
      <c r="AC262" s="638">
        <v>135.0788</v>
      </c>
      <c r="AD262" s="347">
        <v>131.6225</v>
      </c>
      <c r="AE262" s="339"/>
      <c r="AF262" s="340">
        <v>3060</v>
      </c>
      <c r="AG262" s="334"/>
      <c r="AH262" s="341"/>
      <c r="AI262" s="422" t="s">
        <v>83</v>
      </c>
      <c r="AJ262" s="343" t="s">
        <v>113</v>
      </c>
      <c r="AK262" s="344" t="s">
        <v>1685</v>
      </c>
      <c r="AL262" s="340" t="s">
        <v>103</v>
      </c>
      <c r="AM262" s="328"/>
      <c r="AN262" s="328" t="s">
        <v>236</v>
      </c>
      <c r="AO262" s="328"/>
      <c r="AP262" s="328"/>
      <c r="AQ262" s="328"/>
      <c r="AR262" s="451"/>
      <c r="AS262" s="372"/>
      <c r="AT262" s="345"/>
      <c r="AU262" s="345"/>
      <c r="AV262" s="345"/>
      <c r="AW262" s="345" t="s">
        <v>1686</v>
      </c>
      <c r="AX262" s="345" t="s">
        <v>1687</v>
      </c>
      <c r="AY262" s="345"/>
      <c r="AZ262" s="345"/>
      <c r="BA262" s="345"/>
      <c r="BB262" s="345"/>
      <c r="BC262" s="345"/>
      <c r="BD262" s="345"/>
      <c r="BE262" s="345"/>
      <c r="BF262" s="345"/>
      <c r="BG262" s="345"/>
      <c r="BH262" s="345"/>
      <c r="BI262" s="345"/>
      <c r="BJ262" s="364">
        <f>COUNTIF(AT262:BI262,"*OP*")</f>
        <v>2</v>
      </c>
      <c r="BK262" s="375" t="s">
        <v>103</v>
      </c>
      <c r="BL262" s="328">
        <f>(COUNTIF(AT262:AV262,"*OK*")*3) + (COUNTIF(AW262:AY262,"*OK*")*2) + COUNTIF(AZ262:BB262,"*OK*")+COUNTIF(BK262:BK262,"SI")*0.5</f>
        <v>0</v>
      </c>
      <c r="BM262" s="328" t="str">
        <f>IF(BL262&lt;0.6,"Demasiado Riesgo",IF(BL262&lt;=5,"Riesgo Medio",IF(BL262&lt;=11,"Riesgo Bajo","Cliente Blindado")))</f>
        <v>Demasiado Riesgo</v>
      </c>
      <c r="BN262" s="328"/>
      <c r="BO262" s="328"/>
      <c r="BP262" s="328">
        <v>0</v>
      </c>
      <c r="BQ262" s="328"/>
      <c r="BR262" s="328"/>
      <c r="BS262" s="328"/>
      <c r="BT262" s="328"/>
      <c r="BU262" s="328"/>
      <c r="BV262" s="328"/>
      <c r="BW262" s="328"/>
      <c r="BX262" s="328"/>
      <c r="BY262" s="328"/>
      <c r="BZ262" s="328"/>
      <c r="CA262" s="328"/>
      <c r="CB262" s="328"/>
      <c r="CC262" s="328"/>
      <c r="CD262" s="328"/>
      <c r="CE262" s="328"/>
      <c r="CF262" s="328"/>
      <c r="CG262" s="328"/>
      <c r="CH262" s="328"/>
      <c r="CI262" s="328"/>
      <c r="CJ262" s="328"/>
      <c r="CK262" s="328"/>
      <c r="CL262" s="328">
        <f>COUNTIF(AT262:BH262,"*OK*")</f>
        <v>0</v>
      </c>
      <c r="CM262" s="328"/>
      <c r="CN262" s="328">
        <f>COUNTIF(AT262:BH262,"*OP*")</f>
        <v>2</v>
      </c>
      <c r="CP262" s="285"/>
    </row>
    <row r="263" spans="1:94" ht="15" customHeight="1">
      <c r="A263" s="834">
        <v>6902</v>
      </c>
      <c r="B263" s="560" t="s">
        <v>1688</v>
      </c>
      <c r="C263" s="329">
        <f t="shared" si="6"/>
        <v>134.75</v>
      </c>
      <c r="D263" s="332">
        <f>COUNTIF(AT263:BH263,"*OK*")</f>
        <v>0</v>
      </c>
      <c r="E263" s="397" t="s">
        <v>439</v>
      </c>
      <c r="F263" s="331" t="s">
        <v>1689</v>
      </c>
      <c r="G263" s="331"/>
      <c r="H263" s="650">
        <f>IF(LEN(TRIM($G263&amp;""))=0, $C263, SUMIF($G$3:$G$561, TRIM($G263), $C$3:$C$561))</f>
        <v>134.75</v>
      </c>
      <c r="I263" s="331" t="s">
        <v>562</v>
      </c>
      <c r="J263" s="331"/>
      <c r="K263" s="328"/>
      <c r="L263" s="328" t="str">
        <f>HYPERLINK("https://crm.zoho.com/crm/org685875245/tab/Accounts/3525045000094569386","https://crm.zoho.com/crm/org685875245/tab/Accounts/3525045000094569386")</f>
        <v>https://crm.zoho.com/crm/org685875245/tab/Accounts/3525045000094569386</v>
      </c>
      <c r="M263" s="391"/>
      <c r="N263" s="332" t="s">
        <v>817</v>
      </c>
      <c r="O263" s="541" t="s">
        <v>1690</v>
      </c>
      <c r="P263" s="541" t="s">
        <v>1691</v>
      </c>
      <c r="Q263" s="541" t="s">
        <v>1692</v>
      </c>
      <c r="R263" s="332"/>
      <c r="S263" s="332"/>
      <c r="T263" s="397"/>
      <c r="U263" s="344" t="s">
        <v>387</v>
      </c>
      <c r="V263" s="335">
        <v>163.09</v>
      </c>
      <c r="W263" s="335">
        <v>158.65</v>
      </c>
      <c r="X263" s="335">
        <v>147.1</v>
      </c>
      <c r="Y263" s="336">
        <v>143.4</v>
      </c>
      <c r="Z263" s="337">
        <v>141.05789999999999</v>
      </c>
      <c r="AA263" s="338">
        <v>156.41999999999999</v>
      </c>
      <c r="AB263" s="338">
        <v>140.68809999999999</v>
      </c>
      <c r="AC263" s="634">
        <v>134.59119999999999</v>
      </c>
      <c r="AD263" s="338">
        <v>134.75</v>
      </c>
      <c r="AE263" s="339">
        <v>37</v>
      </c>
      <c r="AF263" s="340">
        <v>100</v>
      </c>
      <c r="AG263" s="334"/>
      <c r="AH263" s="341"/>
      <c r="AI263" s="422" t="s">
        <v>83</v>
      </c>
      <c r="AJ263" s="343" t="s">
        <v>396</v>
      </c>
      <c r="AK263" s="344" t="s">
        <v>1693</v>
      </c>
      <c r="AL263" s="340" t="s">
        <v>86</v>
      </c>
      <c r="AM263" s="328"/>
      <c r="AN263" s="328"/>
      <c r="AO263" s="328"/>
      <c r="AP263" s="328"/>
      <c r="AQ263" s="328"/>
      <c r="AR263" s="451"/>
      <c r="AS263" s="372" t="s">
        <v>103</v>
      </c>
      <c r="AT263" s="445"/>
      <c r="AU263" s="445"/>
      <c r="AV263" s="445"/>
      <c r="AW263" s="445"/>
      <c r="AX263" s="445"/>
      <c r="AY263" s="445"/>
      <c r="AZ263" s="445"/>
      <c r="BA263" s="445"/>
      <c r="BB263" s="445"/>
      <c r="BC263" s="445"/>
      <c r="BD263" s="445"/>
      <c r="BE263" s="445"/>
      <c r="BF263" s="445"/>
      <c r="BG263" s="445"/>
      <c r="BH263" s="445"/>
      <c r="BI263" s="445"/>
      <c r="BJ263" s="446">
        <f>COUNTIF(AT263:BI263,"*OP*")</f>
        <v>0</v>
      </c>
      <c r="BK263" s="375" t="s">
        <v>103</v>
      </c>
      <c r="BL263" s="328">
        <f>(COUNTIF(AT263:AV263,"*OK*")*3) + (COUNTIF(AW263:AY263,"*OK*")*2) + COUNTIF(AZ263:BB263,"*OK*")+COUNTIF(BK263:BK263,"SI")*0.5</f>
        <v>0</v>
      </c>
      <c r="BM263" s="328" t="str">
        <f>IF(BL263&lt;0.6,"Demasiado Riesgo",IF(BL263&lt;=5,"Riesgo Medio",IF(BL263&lt;=11,"Riesgo Bajo","Cliente Blindado")))</f>
        <v>Demasiado Riesgo</v>
      </c>
      <c r="BN263" s="328"/>
      <c r="BO263" s="349"/>
      <c r="BP263" s="349">
        <v>0</v>
      </c>
      <c r="BQ263" s="349"/>
      <c r="BR263" s="349"/>
      <c r="BS263" s="349"/>
      <c r="BT263" s="349"/>
      <c r="BU263" s="349"/>
      <c r="BV263" s="349"/>
      <c r="BW263" s="349"/>
      <c r="BX263" s="349"/>
      <c r="BY263" s="349"/>
      <c r="BZ263" s="349"/>
      <c r="CA263" s="349"/>
      <c r="CB263" s="349"/>
      <c r="CC263" s="349"/>
      <c r="CD263" s="349"/>
      <c r="CE263" s="349"/>
      <c r="CF263" s="349"/>
      <c r="CG263" s="349"/>
      <c r="CH263" s="349"/>
      <c r="CI263" s="349"/>
      <c r="CJ263" s="349"/>
      <c r="CK263" s="349"/>
      <c r="CL263" s="349">
        <f>COUNTIF(AT263:BH263,"*OK*")</f>
        <v>0</v>
      </c>
      <c r="CM263" s="349"/>
      <c r="CN263" s="349">
        <f>COUNTIF(AT263:BH263,"*OP*")</f>
        <v>0</v>
      </c>
    </row>
    <row r="264" spans="1:94" ht="15" customHeight="1">
      <c r="A264" s="835"/>
      <c r="B264" s="560" t="s">
        <v>1694</v>
      </c>
      <c r="C264" s="329">
        <f t="shared" si="6"/>
        <v>104.0287</v>
      </c>
      <c r="D264" s="352">
        <f>COUNTIF(AX264:BI264,"OK")</f>
        <v>0</v>
      </c>
      <c r="E264" s="500" t="s">
        <v>439</v>
      </c>
      <c r="F264" s="537" t="s">
        <v>1695</v>
      </c>
      <c r="G264" s="536"/>
      <c r="H264" s="650">
        <f>IF(LEN(TRIM($G264&amp;""))=0, $C264, SUMIF($G$3:$G$561, TRIM($G264), $C$3:$C$561))</f>
        <v>104.0287</v>
      </c>
      <c r="I264" s="500" t="s">
        <v>562</v>
      </c>
      <c r="J264" s="500" t="s">
        <v>103</v>
      </c>
      <c r="K264" s="349"/>
      <c r="L264" s="349"/>
      <c r="M264" s="553"/>
      <c r="N264" s="500" t="s">
        <v>103</v>
      </c>
      <c r="O264" s="542" t="s">
        <v>417</v>
      </c>
      <c r="P264" s="542" t="s">
        <v>1696</v>
      </c>
      <c r="Q264" s="542" t="s">
        <v>1697</v>
      </c>
      <c r="R264" s="500"/>
      <c r="S264" s="500" t="s">
        <v>103</v>
      </c>
      <c r="T264" s="500" t="s">
        <v>88</v>
      </c>
      <c r="U264" s="467" t="s">
        <v>103</v>
      </c>
      <c r="V264" s="500" t="s">
        <v>103</v>
      </c>
      <c r="W264" s="500" t="s">
        <v>103</v>
      </c>
      <c r="X264" s="500" t="s">
        <v>103</v>
      </c>
      <c r="Y264" s="511" t="s">
        <v>103</v>
      </c>
      <c r="Z264" s="517" t="s">
        <v>103</v>
      </c>
      <c r="AA264" s="518">
        <v>81.709999999999994</v>
      </c>
      <c r="AB264" s="518">
        <v>127.3394</v>
      </c>
      <c r="AC264" s="639">
        <v>133.49449999999999</v>
      </c>
      <c r="AD264" s="518">
        <v>104.0287</v>
      </c>
      <c r="AE264" s="348"/>
      <c r="AF264" s="371" t="s">
        <v>103</v>
      </c>
      <c r="AG264" s="362"/>
      <c r="AH264" s="349"/>
      <c r="AI264" s="370"/>
      <c r="AJ264" s="361"/>
      <c r="AK264" s="362"/>
      <c r="AL264" s="371" t="s">
        <v>103</v>
      </c>
      <c r="AM264" s="349"/>
      <c r="AN264" s="349"/>
      <c r="AO264" s="349"/>
      <c r="AP264" s="349"/>
      <c r="AQ264" s="349"/>
      <c r="AR264" s="453"/>
      <c r="AS264" s="449"/>
      <c r="AT264" s="345"/>
      <c r="AU264" s="345"/>
      <c r="AV264" s="345"/>
      <c r="AW264" s="345"/>
      <c r="AX264" s="345"/>
      <c r="AY264" s="345"/>
      <c r="AZ264" s="345"/>
      <c r="BA264" s="345"/>
      <c r="BB264" s="345"/>
      <c r="BC264" s="345"/>
      <c r="BD264" s="345"/>
      <c r="BE264" s="345"/>
      <c r="BF264" s="345"/>
      <c r="BG264" s="345"/>
      <c r="BH264" s="345"/>
      <c r="BI264" s="345"/>
      <c r="BJ264" s="364">
        <f>COUNTIF(AT264:BI264,"*OP*")</f>
        <v>0</v>
      </c>
      <c r="BK264" s="450"/>
      <c r="BL264" s="349">
        <f>(COUNTIF(AT264:AV264,"*OK*")*3) + (COUNTIF(AW264:AY264,"*OK*")*2) + COUNTIF(AZ264:BB264,"*OK*")+COUNTIF(BK264:BK264,"SI")*0.5</f>
        <v>0</v>
      </c>
      <c r="BM264" s="349" t="str">
        <f>IF(BL264&lt;0.6,"Demasiado Riesgo",IF(BL264&lt;=5,"Riesgo Medio",IF(BL264&lt;=11,"Riesgo Bajo","Cliente Blindado")))</f>
        <v>Demasiado Riesgo</v>
      </c>
      <c r="BN264" s="349"/>
      <c r="BO264" s="328"/>
      <c r="BP264" s="328"/>
      <c r="BQ264" s="328"/>
      <c r="BR264" s="328"/>
      <c r="BS264" s="328"/>
      <c r="BT264" s="328"/>
      <c r="BU264" s="328"/>
      <c r="BV264" s="328"/>
      <c r="BW264" s="328"/>
      <c r="BX264" s="328"/>
      <c r="BY264" s="328"/>
      <c r="BZ264" s="328"/>
      <c r="CA264" s="328"/>
      <c r="CB264" s="328"/>
      <c r="CC264" s="328"/>
      <c r="CD264" s="328"/>
      <c r="CE264" s="328"/>
      <c r="CF264" s="328"/>
      <c r="CG264" s="328"/>
      <c r="CH264" s="328"/>
      <c r="CI264" s="328"/>
      <c r="CJ264" s="328"/>
      <c r="CK264" s="328"/>
      <c r="CL264" s="328">
        <f>COUNTIF(AT264:BH264,"*OK*")</f>
        <v>0</v>
      </c>
    </row>
    <row r="265" spans="1:94" ht="15" customHeight="1">
      <c r="A265" s="835">
        <v>21369</v>
      </c>
      <c r="B265" s="560" t="s">
        <v>1698</v>
      </c>
      <c r="C265" s="329">
        <f t="shared" si="6"/>
        <v>125.2428</v>
      </c>
      <c r="D265" s="352">
        <f>COUNTIF(AT265:BH265,"*OK*")</f>
        <v>0</v>
      </c>
      <c r="E265" s="397" t="s">
        <v>439</v>
      </c>
      <c r="F265" s="351" t="s">
        <v>1699</v>
      </c>
      <c r="G265" s="351"/>
      <c r="H265" s="650">
        <f>IF(LEN(TRIM($G265&amp;""))=0, $C265, SUMIF($G$3:$G$561, TRIM($G265), $C$3:$C$561))</f>
        <v>125.2428</v>
      </c>
      <c r="I265" s="351" t="s">
        <v>562</v>
      </c>
      <c r="J265" s="351"/>
      <c r="K265" s="349"/>
      <c r="L265" s="349" t="str">
        <f>HYPERLINK("https://crm.zoho.com/crm/org685875245/tab/Accounts/3525045000205713005","https://crm.zoho.com/crm/org685875245/tab/Accounts/3525045000205713005")</f>
        <v>https://crm.zoho.com/crm/org685875245/tab/Accounts/3525045000205713005</v>
      </c>
      <c r="M265" s="553"/>
      <c r="N265" s="332" t="s">
        <v>817</v>
      </c>
      <c r="O265" s="541" t="s">
        <v>1700</v>
      </c>
      <c r="P265" s="541" t="s">
        <v>1701</v>
      </c>
      <c r="Q265" s="541" t="s">
        <v>1702</v>
      </c>
      <c r="R265" s="332"/>
      <c r="S265" s="352"/>
      <c r="T265" s="397"/>
      <c r="U265" s="354" t="s">
        <v>394</v>
      </c>
      <c r="V265" s="355">
        <v>176.77</v>
      </c>
      <c r="W265" s="355">
        <v>172.85</v>
      </c>
      <c r="X265" s="355">
        <v>157.56</v>
      </c>
      <c r="Y265" s="356">
        <v>166.34</v>
      </c>
      <c r="Z265" s="337"/>
      <c r="AA265" s="367">
        <v>155.6</v>
      </c>
      <c r="AB265" s="367">
        <v>156.8982</v>
      </c>
      <c r="AC265" s="636">
        <v>133.16589999999999</v>
      </c>
      <c r="AD265" s="367">
        <v>125.2428</v>
      </c>
      <c r="AE265" s="357">
        <v>32</v>
      </c>
      <c r="AF265" s="358">
        <v>300</v>
      </c>
      <c r="AG265" s="354"/>
      <c r="AH265" s="359"/>
      <c r="AI265" s="427" t="s">
        <v>83</v>
      </c>
      <c r="AJ265" s="361" t="s">
        <v>120</v>
      </c>
      <c r="AK265" s="362" t="s">
        <v>1703</v>
      </c>
      <c r="AL265" s="358" t="s">
        <v>103</v>
      </c>
      <c r="AM265" s="349"/>
      <c r="AN265" s="349"/>
      <c r="AO265" s="349"/>
      <c r="AP265" s="349"/>
      <c r="AQ265" s="349"/>
      <c r="AR265" s="453"/>
      <c r="AS265" s="371" t="s">
        <v>103</v>
      </c>
      <c r="AT265" s="445"/>
      <c r="AU265" s="445"/>
      <c r="AV265" s="445"/>
      <c r="AW265" s="445"/>
      <c r="AX265" s="445"/>
      <c r="AY265" s="445"/>
      <c r="AZ265" s="445"/>
      <c r="BA265" s="445"/>
      <c r="BB265" s="445"/>
      <c r="BC265" s="445"/>
      <c r="BD265" s="445"/>
      <c r="BE265" s="445"/>
      <c r="BF265" s="445"/>
      <c r="BG265" s="445"/>
      <c r="BH265" s="445"/>
      <c r="BI265" s="445"/>
      <c r="BJ265" s="446">
        <f>COUNTIF(AT265:BI265,"*OP*")</f>
        <v>0</v>
      </c>
      <c r="BK265" s="363" t="s">
        <v>103</v>
      </c>
      <c r="BL265" s="349">
        <f>(COUNTIF(AT265:AV265,"*OK*")*3) + (COUNTIF(AW265:AY265,"*OK*")*2) + COUNTIF(AZ265:BB265,"*OK*")+COUNTIF(BK265:BK265,"SI")*0.5</f>
        <v>0</v>
      </c>
      <c r="BM265" s="349" t="str">
        <f>IF(BL265&lt;0.6,"Demasiado Riesgo",IF(BL265&lt;=5,"Riesgo Medio",IF(BL265&lt;=11,"Riesgo Bajo","Cliente Blindado")))</f>
        <v>Demasiado Riesgo</v>
      </c>
      <c r="BN265" s="349"/>
      <c r="BO265" s="349"/>
      <c r="BP265" s="349"/>
      <c r="BQ265" s="349"/>
      <c r="BR265" s="349"/>
      <c r="BS265" s="349"/>
      <c r="BT265" s="349"/>
      <c r="BU265" s="349"/>
      <c r="BV265" s="349"/>
      <c r="BW265" s="349"/>
      <c r="BX265" s="349"/>
      <c r="BY265" s="349"/>
      <c r="BZ265" s="349"/>
      <c r="CA265" s="349"/>
      <c r="CB265" s="349"/>
      <c r="CC265" s="349"/>
      <c r="CD265" s="349"/>
      <c r="CE265" s="349"/>
      <c r="CF265" s="349"/>
      <c r="CG265" s="349"/>
      <c r="CH265" s="349"/>
      <c r="CI265" s="349"/>
      <c r="CJ265" s="349"/>
      <c r="CK265" s="349"/>
      <c r="CL265" s="349">
        <f>COUNTIF(AT265:BH265,"*OK*")</f>
        <v>0</v>
      </c>
      <c r="CM265" s="349"/>
      <c r="CN265" s="349">
        <f>COUNTIF(AT265:BH265,"*OP*")</f>
        <v>0</v>
      </c>
    </row>
    <row r="266" spans="1:94" ht="15" customHeight="1">
      <c r="A266" s="834">
        <v>20005</v>
      </c>
      <c r="B266" s="560" t="s">
        <v>363</v>
      </c>
      <c r="C266" s="329">
        <f t="shared" si="6"/>
        <v>166.88740000000001</v>
      </c>
      <c r="D266" s="352">
        <f>COUNTIF(AT266:BH266,"*OK*")</f>
        <v>0</v>
      </c>
      <c r="E266" s="351" t="s">
        <v>93</v>
      </c>
      <c r="F266" s="351" t="s">
        <v>1704</v>
      </c>
      <c r="G266" s="331" t="s">
        <v>365</v>
      </c>
      <c r="H266" s="650">
        <f>IF(LEN(TRIM($G266&amp;""))=0, $C266, SUMIF($G$3:$G$561, TRIM($G266), $C$3:$C$561))</f>
        <v>4240.7285999999995</v>
      </c>
      <c r="I266" s="413" t="s">
        <v>76</v>
      </c>
      <c r="J266" s="351"/>
      <c r="K266" s="349" t="s">
        <v>125</v>
      </c>
      <c r="L266" s="349"/>
      <c r="M266" s="359" t="s">
        <v>96</v>
      </c>
      <c r="N266" s="359"/>
      <c r="O266" s="545" t="s">
        <v>367</v>
      </c>
      <c r="P266" s="545" t="s">
        <v>368</v>
      </c>
      <c r="Q266" s="545" t="s">
        <v>369</v>
      </c>
      <c r="R266" s="341" t="s">
        <v>160</v>
      </c>
      <c r="S266" s="359"/>
      <c r="T266" s="351"/>
      <c r="U266" s="362" t="s">
        <v>82</v>
      </c>
      <c r="V266" s="355">
        <v>127.61</v>
      </c>
      <c r="W266" s="355">
        <v>127.49</v>
      </c>
      <c r="X266" s="355">
        <v>121.5</v>
      </c>
      <c r="Y266" s="356">
        <v>125.41</v>
      </c>
      <c r="Z266" s="337">
        <v>129.40719999999999</v>
      </c>
      <c r="AA266" s="367">
        <v>130.27000000000001</v>
      </c>
      <c r="AB266" s="367">
        <v>129.06800000000001</v>
      </c>
      <c r="AC266" s="636">
        <v>131.4408</v>
      </c>
      <c r="AD266" s="367">
        <v>166.88740000000001</v>
      </c>
      <c r="AE266" s="357">
        <v>1417</v>
      </c>
      <c r="AF266" s="358">
        <v>500</v>
      </c>
      <c r="AG266" s="354"/>
      <c r="AH266" s="359"/>
      <c r="AI266" s="370" t="s">
        <v>258</v>
      </c>
      <c r="AJ266" s="361" t="s">
        <v>150</v>
      </c>
      <c r="AK266" s="362" t="s">
        <v>371</v>
      </c>
      <c r="AL266" s="358" t="s">
        <v>103</v>
      </c>
      <c r="AM266" s="349"/>
      <c r="AN266" s="349" t="s">
        <v>104</v>
      </c>
      <c r="AO266" s="349"/>
      <c r="AP266" s="349"/>
      <c r="AQ266" s="349"/>
      <c r="AR266" s="453"/>
      <c r="AS266" s="371"/>
      <c r="AT266" s="345"/>
      <c r="AU266" s="345"/>
      <c r="AV266" s="345"/>
      <c r="AW266" s="345"/>
      <c r="AX266" s="345"/>
      <c r="AY266" s="345"/>
      <c r="AZ266" s="345"/>
      <c r="BA266" s="345"/>
      <c r="BB266" s="345"/>
      <c r="BC266" s="345"/>
      <c r="BD266" s="345"/>
      <c r="BE266" s="345"/>
      <c r="BF266" s="345"/>
      <c r="BG266" s="345"/>
      <c r="BH266" s="345"/>
      <c r="BI266" s="345"/>
      <c r="BJ266" s="364">
        <f>COUNTIF(AT266:BI266,"*OP*")</f>
        <v>0</v>
      </c>
      <c r="BK266" s="363" t="s">
        <v>103</v>
      </c>
      <c r="BL266" s="349">
        <f>(COUNTIF(AT266:AV266,"*OK*")*3) + (COUNTIF(AW266:AY266,"*OK*")*2) + COUNTIF(AZ266:BB266,"*OK*")+COUNTIF(BK266:BK266,"SI")*0.5</f>
        <v>0</v>
      </c>
      <c r="BM266" s="349" t="str">
        <f>IF(BL266&lt;0.6,"Demasiado Riesgo",IF(BL266&lt;=5,"Riesgo Medio",IF(BL266&lt;=11,"Riesgo Bajo","Cliente Blindado")))</f>
        <v>Demasiado Riesgo</v>
      </c>
      <c r="BN266" s="349"/>
      <c r="BO266" s="349"/>
      <c r="BP266" s="349">
        <v>0</v>
      </c>
      <c r="BQ266" s="349"/>
      <c r="BR266" s="349"/>
      <c r="BS266" s="349"/>
      <c r="BT266" s="349"/>
      <c r="BU266" s="349"/>
      <c r="BV266" s="349"/>
      <c r="BW266" s="349"/>
      <c r="BX266" s="349"/>
      <c r="BY266" s="349"/>
      <c r="BZ266" s="349"/>
      <c r="CA266" s="349"/>
      <c r="CB266" s="349"/>
      <c r="CC266" s="349"/>
      <c r="CD266" s="349"/>
      <c r="CE266" s="349"/>
      <c r="CF266" s="349"/>
      <c r="CG266" s="349"/>
      <c r="CH266" s="349"/>
      <c r="CI266" s="349"/>
      <c r="CJ266" s="349"/>
      <c r="CK266" s="349"/>
      <c r="CL266" s="349">
        <f>COUNTIF(AT266:BH266,"*OK*")</f>
        <v>0</v>
      </c>
      <c r="CM266" s="349"/>
      <c r="CN266" s="349">
        <f>COUNTIF(AT266:BH266,"*OP*")</f>
        <v>0</v>
      </c>
    </row>
    <row r="267" spans="1:94" ht="15" customHeight="1">
      <c r="A267" s="835"/>
      <c r="B267" s="560" t="s">
        <v>1705</v>
      </c>
      <c r="C267" s="329">
        <f t="shared" si="6"/>
        <v>152.59379999999999</v>
      </c>
      <c r="D267" s="352">
        <f>COUNTIF(AX267:BI267,"OK")</f>
        <v>0</v>
      </c>
      <c r="E267" s="397" t="s">
        <v>439</v>
      </c>
      <c r="F267" s="368" t="s">
        <v>1706</v>
      </c>
      <c r="G267" s="368"/>
      <c r="H267" s="650">
        <f>IF(LEN(TRIM($G267&amp;""))=0, $C267, SUMIF($G$3:$G$561, TRIM($G267), $C$3:$C$561))</f>
        <v>152.59379999999999</v>
      </c>
      <c r="I267" s="368" t="s">
        <v>562</v>
      </c>
      <c r="J267" s="349"/>
      <c r="K267" s="349"/>
      <c r="L267" s="349" t="str">
        <f>HYPERLINK("https://crm.zoho.com/crm/org685875245/tab/Accounts/3525045000612121530","https://crm.zoho.com/crm/org685875245/tab/Accounts/3525045000612121530")</f>
        <v>https://crm.zoho.com/crm/org685875245/tab/Accounts/3525045000612121530</v>
      </c>
      <c r="M267" s="553"/>
      <c r="N267" s="332" t="s">
        <v>817</v>
      </c>
      <c r="O267" s="541" t="s">
        <v>1352</v>
      </c>
      <c r="P267" s="541" t="s">
        <v>1707</v>
      </c>
      <c r="Q267" s="541" t="s">
        <v>1708</v>
      </c>
      <c r="R267" s="332"/>
      <c r="S267" s="352"/>
      <c r="T267" s="397" t="s">
        <v>88</v>
      </c>
      <c r="U267" s="362"/>
      <c r="V267" s="335"/>
      <c r="W267" s="335"/>
      <c r="X267" s="335"/>
      <c r="Y267" s="336"/>
      <c r="Z267" s="337">
        <v>151.6491</v>
      </c>
      <c r="AA267" s="435">
        <v>151.99</v>
      </c>
      <c r="AB267" s="435">
        <v>153.26820000000001</v>
      </c>
      <c r="AC267" s="641">
        <v>131.44069999999999</v>
      </c>
      <c r="AD267" s="435">
        <v>152.59379999999999</v>
      </c>
      <c r="AE267" s="357"/>
      <c r="AF267" s="358" t="s">
        <v>103</v>
      </c>
      <c r="AG267" s="354"/>
      <c r="AH267" s="349"/>
      <c r="AI267" s="370"/>
      <c r="AJ267" s="361"/>
      <c r="AK267" s="362"/>
      <c r="AL267" s="371" t="s">
        <v>103</v>
      </c>
      <c r="AM267" s="349"/>
      <c r="AN267" s="349"/>
      <c r="AO267" s="349"/>
      <c r="AP267" s="349"/>
      <c r="AQ267" s="349"/>
      <c r="AR267" s="453"/>
      <c r="AS267" s="449"/>
      <c r="AT267" s="345"/>
      <c r="AU267" s="345"/>
      <c r="AV267" s="345"/>
      <c r="AW267" s="345"/>
      <c r="AX267" s="345"/>
      <c r="AY267" s="345"/>
      <c r="AZ267" s="345"/>
      <c r="BA267" s="345"/>
      <c r="BB267" s="345"/>
      <c r="BC267" s="345"/>
      <c r="BD267" s="345"/>
      <c r="BE267" s="345"/>
      <c r="BF267" s="345"/>
      <c r="BG267" s="345"/>
      <c r="BH267" s="345"/>
      <c r="BI267" s="345"/>
      <c r="BJ267" s="364">
        <f>COUNTIF(AT267:BI267,"*OP*")</f>
        <v>0</v>
      </c>
      <c r="BK267" s="450"/>
      <c r="BL267" s="349">
        <f>(COUNTIF(AT267:AV267,"*OK*")*3) + (COUNTIF(AW267:AY267,"*OK*")*2) + COUNTIF(AZ267:BB267,"*OK*")+COUNTIF(BK267:BK267,"SI")*0.5</f>
        <v>0</v>
      </c>
      <c r="BM267" s="349" t="str">
        <f>IF(BL267&lt;0.6,"Demasiado Riesgo",IF(BL267&lt;=5,"Riesgo Medio",IF(BL267&lt;=11,"Riesgo Bajo","Cliente Blindado")))</f>
        <v>Demasiado Riesgo</v>
      </c>
      <c r="BN267" s="349"/>
      <c r="BO267" s="328"/>
      <c r="BP267" s="328">
        <v>0</v>
      </c>
      <c r="BQ267" s="328"/>
      <c r="BR267" s="328"/>
      <c r="BS267" s="328"/>
      <c r="BT267" s="328"/>
      <c r="BU267" s="328"/>
      <c r="BV267" s="328"/>
      <c r="BW267" s="328"/>
      <c r="BX267" s="328"/>
      <c r="BY267" s="328"/>
      <c r="BZ267" s="328"/>
      <c r="CA267" s="328"/>
      <c r="CB267" s="328"/>
      <c r="CC267" s="328"/>
      <c r="CD267" s="328"/>
      <c r="CE267" s="328"/>
      <c r="CF267" s="328"/>
      <c r="CG267" s="328"/>
      <c r="CH267" s="328"/>
      <c r="CI267" s="328"/>
      <c r="CJ267" s="328"/>
      <c r="CK267" s="328"/>
      <c r="CL267" s="328">
        <f>COUNTIF(AT267:BH267,"*OK*")</f>
        <v>0</v>
      </c>
      <c r="CM267" s="328"/>
      <c r="CN267" s="328">
        <f>COUNTIF(AT267:BH267,"*OP*")</f>
        <v>0</v>
      </c>
    </row>
    <row r="268" spans="1:94" ht="15" customHeight="1">
      <c r="A268" s="835"/>
      <c r="B268" s="560" t="s">
        <v>1709</v>
      </c>
      <c r="C268" s="329">
        <f t="shared" si="6"/>
        <v>122.78919999999999</v>
      </c>
      <c r="D268" s="352">
        <f>COUNTIF(AT268:BH268,"*OK*")</f>
        <v>0</v>
      </c>
      <c r="E268" s="397" t="s">
        <v>439</v>
      </c>
      <c r="F268" s="351" t="s">
        <v>1710</v>
      </c>
      <c r="G268" s="351"/>
      <c r="H268" s="650">
        <f>IF(LEN(TRIM($G268&amp;""))=0, $C268, SUMIF($G$3:$G$561, TRIM($G268), $C$3:$C$561))</f>
        <v>122.78919999999999</v>
      </c>
      <c r="I268" s="351" t="s">
        <v>562</v>
      </c>
      <c r="J268" s="351"/>
      <c r="K268" s="349"/>
      <c r="L268" s="349" t="str">
        <f>HYPERLINK("https://crm.zoho.com/crm/org685875245/tab/Accounts/3525045000118231219","https://crm.zoho.com/crm/org685875245/tab/Accounts/3525045000118231219")</f>
        <v>https://crm.zoho.com/crm/org685875245/tab/Accounts/3525045000118231219</v>
      </c>
      <c r="M268" s="553"/>
      <c r="N268" s="332" t="s">
        <v>817</v>
      </c>
      <c r="O268" s="541"/>
      <c r="P268" s="541"/>
      <c r="Q268" s="541"/>
      <c r="R268" s="332"/>
      <c r="S268" s="352"/>
      <c r="T268" s="397"/>
      <c r="U268" s="362" t="s">
        <v>82</v>
      </c>
      <c r="V268" s="355">
        <v>136.36000000000001</v>
      </c>
      <c r="W268" s="355">
        <v>136.24</v>
      </c>
      <c r="X268" s="355">
        <v>125.19</v>
      </c>
      <c r="Y268" s="356">
        <v>126.83</v>
      </c>
      <c r="Z268" s="337">
        <v>130.96250000000001</v>
      </c>
      <c r="AA268" s="365">
        <v>127.13</v>
      </c>
      <c r="AB268" s="365">
        <v>130.6191</v>
      </c>
      <c r="AC268" s="635">
        <v>130.55699999999999</v>
      </c>
      <c r="AD268" s="365">
        <v>122.78919999999999</v>
      </c>
      <c r="AE268" s="357"/>
      <c r="AF268" s="358">
        <v>100</v>
      </c>
      <c r="AG268" s="354"/>
      <c r="AH268" s="359"/>
      <c r="AI268" s="427" t="s">
        <v>83</v>
      </c>
      <c r="AJ268" s="361" t="s">
        <v>345</v>
      </c>
      <c r="AK268" s="362" t="s">
        <v>1711</v>
      </c>
      <c r="AL268" s="358" t="s">
        <v>103</v>
      </c>
      <c r="AM268" s="349"/>
      <c r="AN268" s="349"/>
      <c r="AO268" s="349"/>
      <c r="AP268" s="349"/>
      <c r="AQ268" s="349"/>
      <c r="AR268" s="453"/>
      <c r="AS268" s="371" t="s">
        <v>103</v>
      </c>
      <c r="AT268" s="345"/>
      <c r="AU268" s="345"/>
      <c r="AV268" s="345"/>
      <c r="AW268" s="345"/>
      <c r="AX268" s="345"/>
      <c r="AY268" s="345"/>
      <c r="AZ268" s="345"/>
      <c r="BA268" s="345"/>
      <c r="BB268" s="345"/>
      <c r="BC268" s="345"/>
      <c r="BD268" s="345"/>
      <c r="BE268" s="345"/>
      <c r="BF268" s="345"/>
      <c r="BG268" s="345"/>
      <c r="BH268" s="345"/>
      <c r="BI268" s="345"/>
      <c r="BJ268" s="364">
        <f>COUNTIF(AT268:BI268,"*OP*")</f>
        <v>0</v>
      </c>
      <c r="BK268" s="363" t="s">
        <v>103</v>
      </c>
      <c r="BL268" s="349">
        <f>(COUNTIF(AT268:AV268,"*OK*")*3) + (COUNTIF(AW268:AY268,"*OK*")*2) + COUNTIF(AZ268:BB268,"*OK*")+COUNTIF(BK268:BK268,"SI")*0.5</f>
        <v>0</v>
      </c>
      <c r="BM268" s="349" t="str">
        <f>IF(BL268&lt;0.6,"Demasiado Riesgo",IF(BL268&lt;=5,"Riesgo Medio",IF(BL268&lt;=11,"Riesgo Bajo","Cliente Blindado")))</f>
        <v>Demasiado Riesgo</v>
      </c>
      <c r="BN268" s="349"/>
      <c r="BO268" s="328"/>
      <c r="BP268" s="328"/>
      <c r="BQ268" s="328"/>
      <c r="BR268" s="328"/>
      <c r="BS268" s="328"/>
      <c r="BT268" s="328"/>
      <c r="BU268" s="328"/>
      <c r="BV268" s="328"/>
      <c r="BW268" s="328"/>
      <c r="BX268" s="328"/>
      <c r="BY268" s="328"/>
      <c r="BZ268" s="328"/>
      <c r="CA268" s="328"/>
      <c r="CB268" s="328"/>
      <c r="CC268" s="328"/>
      <c r="CD268" s="328"/>
      <c r="CE268" s="328"/>
      <c r="CF268" s="328"/>
      <c r="CG268" s="328"/>
      <c r="CH268" s="328"/>
      <c r="CI268" s="328"/>
      <c r="CJ268" s="328"/>
      <c r="CK268" s="328"/>
      <c r="CL268" s="328">
        <f>COUNTIF(AT268:BH268,"*OK*")</f>
        <v>0</v>
      </c>
    </row>
    <row r="269" spans="1:94" ht="15" customHeight="1">
      <c r="A269" s="834">
        <v>23417</v>
      </c>
      <c r="B269" s="560" t="s">
        <v>1712</v>
      </c>
      <c r="C269" s="329">
        <f t="shared" si="6"/>
        <v>122.8477</v>
      </c>
      <c r="D269" s="332">
        <f>COUNTIF(AT269:BH269,"*OK*")</f>
        <v>0</v>
      </c>
      <c r="E269" s="331" t="s">
        <v>93</v>
      </c>
      <c r="F269" s="331" t="s">
        <v>1713</v>
      </c>
      <c r="G269" s="331" t="s">
        <v>1152</v>
      </c>
      <c r="H269" s="650">
        <f>IF(LEN(TRIM($G269&amp;""))=0, $C269, SUMIF($G$3:$G$561, TRIM($G269), $C$3:$C$561))</f>
        <v>950.33120000000008</v>
      </c>
      <c r="I269" s="410" t="s">
        <v>76</v>
      </c>
      <c r="J269" s="331"/>
      <c r="K269" s="328"/>
      <c r="L269" s="328"/>
      <c r="M269" s="341" t="s">
        <v>96</v>
      </c>
      <c r="N269" s="341"/>
      <c r="O269" s="548"/>
      <c r="P269" s="548"/>
      <c r="Q269" s="548"/>
      <c r="R269" s="359" t="s">
        <v>111</v>
      </c>
      <c r="S269" s="341"/>
      <c r="T269" s="331"/>
      <c r="U269" s="344" t="s">
        <v>82</v>
      </c>
      <c r="V269" s="335">
        <v>123.43</v>
      </c>
      <c r="W269" s="335">
        <v>135.49</v>
      </c>
      <c r="X269" s="335">
        <v>141.49</v>
      </c>
      <c r="Y269" s="336">
        <v>153.22999999999999</v>
      </c>
      <c r="Z269" s="337">
        <v>135.8776</v>
      </c>
      <c r="AA269" s="347">
        <v>128.79</v>
      </c>
      <c r="AB269" s="347">
        <v>134.71469999999999</v>
      </c>
      <c r="AC269" s="638">
        <v>129.79769999999999</v>
      </c>
      <c r="AD269" s="347">
        <v>122.8477</v>
      </c>
      <c r="AE269" s="339">
        <v>1219</v>
      </c>
      <c r="AF269" s="340">
        <v>100</v>
      </c>
      <c r="AG269" s="334"/>
      <c r="AH269" s="341"/>
      <c r="AI269" s="422" t="s">
        <v>83</v>
      </c>
      <c r="AJ269" s="343" t="s">
        <v>396</v>
      </c>
      <c r="AK269" s="344" t="s">
        <v>1714</v>
      </c>
      <c r="AL269" s="340" t="s">
        <v>103</v>
      </c>
      <c r="AM269" s="328"/>
      <c r="AN269" s="328" t="s">
        <v>104</v>
      </c>
      <c r="AO269" s="328"/>
      <c r="AP269" s="328"/>
      <c r="AQ269" s="328"/>
      <c r="AR269" s="451"/>
      <c r="AS269" s="372" t="s">
        <v>103</v>
      </c>
      <c r="AT269" s="345"/>
      <c r="AU269" s="345"/>
      <c r="AV269" s="594"/>
      <c r="AW269" s="345"/>
      <c r="AX269" s="345"/>
      <c r="AY269" s="345"/>
      <c r="AZ269" s="345"/>
      <c r="BA269" s="345"/>
      <c r="BB269" s="345"/>
      <c r="BC269" s="345"/>
      <c r="BD269" s="345"/>
      <c r="BE269" s="345"/>
      <c r="BF269" s="345"/>
      <c r="BG269" s="345"/>
      <c r="BH269" s="345"/>
      <c r="BI269" s="345"/>
      <c r="BJ269" s="364">
        <f>COUNTIF(AT269:BI269,"*OP*")</f>
        <v>0</v>
      </c>
      <c r="BK269" s="375" t="s">
        <v>103</v>
      </c>
      <c r="BL269" s="328">
        <f>(COUNTIF(AT269:AV269,"*OK*")*3) + (COUNTIF(AW269:AY269,"*OK*")*2) + COUNTIF(AZ269:BB269,"*OK*")+COUNTIF(BK269:BK269,"SI")*0.5</f>
        <v>0</v>
      </c>
      <c r="BM269" s="328" t="str">
        <f>IF(BL269&lt;0.6,"Demasiado Riesgo",IF(BL269&lt;=5,"Riesgo Medio",IF(BL269&lt;=11,"Riesgo Bajo","Cliente Blindado")))</f>
        <v>Demasiado Riesgo</v>
      </c>
      <c r="BN269" s="328"/>
      <c r="BO269" s="328"/>
      <c r="BP269" s="328">
        <v>0</v>
      </c>
      <c r="BQ269" s="328"/>
      <c r="BR269" s="328"/>
      <c r="BS269" s="328"/>
      <c r="BT269" s="328"/>
      <c r="BU269" s="328"/>
      <c r="BV269" s="328"/>
      <c r="BW269" s="328"/>
      <c r="BX269" s="328"/>
      <c r="BY269" s="328"/>
      <c r="BZ269" s="328"/>
      <c r="CA269" s="328"/>
      <c r="CB269" s="328"/>
      <c r="CC269" s="328"/>
      <c r="CD269" s="328"/>
      <c r="CE269" s="328"/>
      <c r="CF269" s="328"/>
      <c r="CG269" s="328"/>
      <c r="CH269" s="328"/>
      <c r="CI269" s="328"/>
      <c r="CJ269" s="328"/>
      <c r="CK269" s="328"/>
      <c r="CL269" s="328">
        <f>COUNTIF(AT269:BH269,"*OK*")</f>
        <v>0</v>
      </c>
      <c r="CM269" s="328"/>
      <c r="CN269" s="328">
        <f>COUNTIF(AT269:BH269,"*OP*")</f>
        <v>0</v>
      </c>
    </row>
    <row r="270" spans="1:94" ht="15" customHeight="1">
      <c r="A270" s="834">
        <v>33934</v>
      </c>
      <c r="B270" s="560" t="s">
        <v>1715</v>
      </c>
      <c r="C270" s="329">
        <f t="shared" si="6"/>
        <v>138.52099999999999</v>
      </c>
      <c r="D270" s="332">
        <f>COUNTIF(AT270:BH270,"*OK*")</f>
        <v>1</v>
      </c>
      <c r="E270" s="397" t="s">
        <v>439</v>
      </c>
      <c r="F270" s="331" t="s">
        <v>1716</v>
      </c>
      <c r="G270" s="331"/>
      <c r="H270" s="650">
        <f>IF(LEN(TRIM($G270&amp;""))=0, $C270, SUMIF($G$3:$G$561, TRIM($G270), $C$3:$C$561))</f>
        <v>138.52099999999999</v>
      </c>
      <c r="I270" s="331" t="s">
        <v>562</v>
      </c>
      <c r="J270" s="331"/>
      <c r="K270" s="328"/>
      <c r="L270" s="328"/>
      <c r="M270" s="391"/>
      <c r="N270" s="332" t="s">
        <v>817</v>
      </c>
      <c r="O270" s="541" t="s">
        <v>1717</v>
      </c>
      <c r="P270" s="541" t="s">
        <v>1718</v>
      </c>
      <c r="Q270" s="541" t="s">
        <v>1719</v>
      </c>
      <c r="R270" s="332"/>
      <c r="S270" s="332"/>
      <c r="T270" s="397"/>
      <c r="U270" s="344" t="s">
        <v>82</v>
      </c>
      <c r="V270" s="335">
        <v>124.71</v>
      </c>
      <c r="W270" s="335">
        <v>131.55000000000001</v>
      </c>
      <c r="X270" s="335">
        <v>128.68</v>
      </c>
      <c r="Y270" s="336">
        <v>132.82</v>
      </c>
      <c r="Z270" s="337">
        <v>138.0729</v>
      </c>
      <c r="AA270" s="367">
        <v>139.99</v>
      </c>
      <c r="AB270" s="367">
        <v>137.71090000000001</v>
      </c>
      <c r="AC270" s="636">
        <v>129.68039999999999</v>
      </c>
      <c r="AD270" s="367">
        <v>138.52099999999999</v>
      </c>
      <c r="AE270" s="339">
        <v>33</v>
      </c>
      <c r="AF270" s="340">
        <v>200</v>
      </c>
      <c r="AG270" s="334"/>
      <c r="AH270" s="341"/>
      <c r="AI270" s="422" t="s">
        <v>83</v>
      </c>
      <c r="AJ270" s="343" t="s">
        <v>297</v>
      </c>
      <c r="AK270" s="344" t="s">
        <v>1720</v>
      </c>
      <c r="AL270" s="340" t="s">
        <v>103</v>
      </c>
      <c r="AM270" s="328"/>
      <c r="AN270" s="328"/>
      <c r="AO270" s="328"/>
      <c r="AP270" s="328"/>
      <c r="AQ270" s="328"/>
      <c r="AR270" s="451"/>
      <c r="AS270" s="372" t="s">
        <v>103</v>
      </c>
      <c r="AT270" s="345"/>
      <c r="AU270" s="345"/>
      <c r="AV270" s="421" t="s">
        <v>300</v>
      </c>
      <c r="AW270" s="345"/>
      <c r="AX270" s="345"/>
      <c r="AY270" s="345"/>
      <c r="AZ270" s="345"/>
      <c r="BA270" s="345"/>
      <c r="BB270" s="345"/>
      <c r="BC270" s="345"/>
      <c r="BD270" s="345"/>
      <c r="BE270" s="345"/>
      <c r="BF270" s="345"/>
      <c r="BG270" s="345"/>
      <c r="BH270" s="345"/>
      <c r="BI270" s="345"/>
      <c r="BJ270" s="364">
        <f>COUNTIF(AT270:BI270,"*OP*")</f>
        <v>0</v>
      </c>
      <c r="BK270" s="375" t="s">
        <v>103</v>
      </c>
      <c r="BL270" s="328">
        <f>(COUNTIF(AT270:AV270,"*OK*")*3) + (COUNTIF(AW270:AY270,"*OK*")*2) + COUNTIF(AZ270:BB270,"*OK*")+COUNTIF(BK270:BK270,"SI")*0.5</f>
        <v>3</v>
      </c>
      <c r="BM270" s="328" t="str">
        <f>IF(BL270&lt;0.6,"Demasiado Riesgo",IF(BL270&lt;=5,"Riesgo Medio",IF(BL270&lt;=11,"Riesgo Bajo","Cliente Blindado")))</f>
        <v>Riesgo Medio</v>
      </c>
      <c r="BN270" s="328"/>
      <c r="BO270" s="328"/>
      <c r="BP270" s="328">
        <v>0</v>
      </c>
      <c r="BQ270" s="328"/>
      <c r="BR270" s="328"/>
      <c r="BS270" s="328"/>
      <c r="BT270" s="328"/>
      <c r="BU270" s="328"/>
      <c r="BV270" s="328"/>
      <c r="BW270" s="328"/>
      <c r="BX270" s="328"/>
      <c r="BY270" s="328"/>
      <c r="BZ270" s="328"/>
      <c r="CA270" s="328"/>
      <c r="CB270" s="328"/>
      <c r="CC270" s="328"/>
      <c r="CD270" s="328"/>
      <c r="CE270" s="328"/>
      <c r="CF270" s="328"/>
      <c r="CG270" s="328"/>
      <c r="CH270" s="328"/>
      <c r="CI270" s="328"/>
      <c r="CJ270" s="328"/>
      <c r="CK270" s="328"/>
      <c r="CL270" s="328">
        <f>COUNTIF(AT270:BH270,"*OK*")</f>
        <v>1</v>
      </c>
      <c r="CM270" s="328"/>
      <c r="CN270" s="328">
        <f>COUNTIF(AT270:BH270,"*OP*")</f>
        <v>0</v>
      </c>
    </row>
    <row r="271" spans="1:94" ht="15" customHeight="1">
      <c r="A271" s="834"/>
      <c r="B271" s="560" t="s">
        <v>1721</v>
      </c>
      <c r="C271" s="329">
        <f t="shared" si="6"/>
        <v>117.8278</v>
      </c>
      <c r="D271" s="332">
        <f>COUNTIF(AT271:BH271,"*OK*")</f>
        <v>0</v>
      </c>
      <c r="E271" s="397" t="s">
        <v>439</v>
      </c>
      <c r="F271" s="331" t="s">
        <v>1722</v>
      </c>
      <c r="G271" s="331"/>
      <c r="H271" s="650">
        <f>IF(LEN(TRIM($G271&amp;""))=0, $C271, SUMIF($G$3:$G$561, TRIM($G271), $C$3:$C$561))</f>
        <v>117.8278</v>
      </c>
      <c r="I271" s="331" t="s">
        <v>562</v>
      </c>
      <c r="J271" s="331"/>
      <c r="K271" s="328"/>
      <c r="L271" s="328"/>
      <c r="M271" s="391"/>
      <c r="N271" s="332" t="s">
        <v>817</v>
      </c>
      <c r="O271" s="541"/>
      <c r="P271" s="541"/>
      <c r="Q271" s="541"/>
      <c r="R271" s="332"/>
      <c r="S271" s="332"/>
      <c r="T271" s="397"/>
      <c r="U271" s="344" t="s">
        <v>82</v>
      </c>
      <c r="V271" s="335">
        <v>112.23</v>
      </c>
      <c r="W271" s="335">
        <v>127.59</v>
      </c>
      <c r="X271" s="335">
        <v>121.6</v>
      </c>
      <c r="Y271" s="336">
        <v>125.51</v>
      </c>
      <c r="Z271" s="337">
        <v>134.90700000000001</v>
      </c>
      <c r="AA271" s="347">
        <v>121.99</v>
      </c>
      <c r="AB271" s="347">
        <v>126.8646</v>
      </c>
      <c r="AC271" s="638">
        <v>125.2818</v>
      </c>
      <c r="AD271" s="347">
        <v>117.8278</v>
      </c>
      <c r="AE271" s="339"/>
      <c r="AF271" s="340">
        <v>50</v>
      </c>
      <c r="AG271" s="334"/>
      <c r="AH271" s="341"/>
      <c r="AI271" s="422" t="s">
        <v>83</v>
      </c>
      <c r="AJ271" s="343" t="s">
        <v>396</v>
      </c>
      <c r="AK271" s="344" t="s">
        <v>1723</v>
      </c>
      <c r="AL271" s="340" t="s">
        <v>103</v>
      </c>
      <c r="AM271" s="328"/>
      <c r="AN271" s="328"/>
      <c r="AO271" s="328"/>
      <c r="AP271" s="328"/>
      <c r="AQ271" s="328"/>
      <c r="AR271" s="451"/>
      <c r="AS271" s="372" t="s">
        <v>103</v>
      </c>
      <c r="AT271" s="445"/>
      <c r="AU271" s="445"/>
      <c r="AV271" s="445"/>
      <c r="AW271" s="445"/>
      <c r="AX271" s="445"/>
      <c r="AY271" s="445"/>
      <c r="AZ271" s="445"/>
      <c r="BA271" s="445"/>
      <c r="BB271" s="445"/>
      <c r="BC271" s="445"/>
      <c r="BD271" s="445"/>
      <c r="BE271" s="445"/>
      <c r="BF271" s="445"/>
      <c r="BG271" s="445"/>
      <c r="BH271" s="445"/>
      <c r="BI271" s="445"/>
      <c r="BJ271" s="446">
        <f>COUNTIF(AT271:BI271,"*OP*")</f>
        <v>0</v>
      </c>
      <c r="BK271" s="375" t="s">
        <v>103</v>
      </c>
      <c r="BL271" s="328">
        <f>(COUNTIF(AT271:AV271,"*OK*")*3) + (COUNTIF(AW271:AY271,"*OK*")*2) + COUNTIF(AZ271:BB271,"*OK*")+COUNTIF(BK271:BK271,"SI")*0.5</f>
        <v>0</v>
      </c>
      <c r="BM271" s="328" t="str">
        <f>IF(BL271&lt;0.6,"Demasiado Riesgo",IF(BL271&lt;=5,"Riesgo Medio",IF(BL271&lt;=11,"Riesgo Bajo","Cliente Blindado")))</f>
        <v>Demasiado Riesgo</v>
      </c>
      <c r="BN271" s="328"/>
      <c r="BO271" s="328"/>
      <c r="BP271" s="328">
        <v>0</v>
      </c>
      <c r="BQ271" s="328"/>
      <c r="BR271" s="328"/>
      <c r="BS271" s="328"/>
      <c r="BT271" s="328"/>
      <c r="BU271" s="328"/>
      <c r="BV271" s="328"/>
      <c r="BW271" s="328"/>
      <c r="BX271" s="328"/>
      <c r="BY271" s="328"/>
      <c r="BZ271" s="328"/>
      <c r="CA271" s="328"/>
      <c r="CB271" s="328"/>
      <c r="CC271" s="328"/>
      <c r="CD271" s="328"/>
      <c r="CE271" s="328"/>
      <c r="CF271" s="328"/>
      <c r="CG271" s="328"/>
      <c r="CH271" s="328"/>
      <c r="CI271" s="328"/>
      <c r="CJ271" s="328"/>
      <c r="CK271" s="328"/>
      <c r="CL271" s="328">
        <f>COUNTIF(AT271:BH271,"*OK*")</f>
        <v>0</v>
      </c>
      <c r="CM271" s="328"/>
      <c r="CN271" s="328">
        <f>COUNTIF(AT271:BH271,"*OP*")</f>
        <v>0</v>
      </c>
    </row>
    <row r="272" spans="1:94" ht="15" customHeight="1">
      <c r="A272" s="837">
        <v>23417</v>
      </c>
      <c r="B272" s="560" t="s">
        <v>1724</v>
      </c>
      <c r="C272" s="329">
        <f t="shared" si="6"/>
        <v>122.07510000000001</v>
      </c>
      <c r="D272" s="352">
        <f>COUNTIF(AT272:BH272,"*OK*")</f>
        <v>0</v>
      </c>
      <c r="E272" s="351" t="s">
        <v>93</v>
      </c>
      <c r="F272" s="351" t="s">
        <v>1725</v>
      </c>
      <c r="G272" s="331" t="s">
        <v>1152</v>
      </c>
      <c r="H272" s="650">
        <f>IF(LEN(TRIM($G272&amp;""))=0, $C272, SUMIF($G$3:$G$561, TRIM($G272), $C$3:$C$561))</f>
        <v>950.33120000000008</v>
      </c>
      <c r="I272" s="413" t="s">
        <v>76</v>
      </c>
      <c r="J272" s="351"/>
      <c r="K272" s="349"/>
      <c r="L272" s="349"/>
      <c r="M272" s="359" t="s">
        <v>96</v>
      </c>
      <c r="N272" s="359"/>
      <c r="O272" s="545"/>
      <c r="P272" s="545"/>
      <c r="Q272" s="545"/>
      <c r="R272" s="359" t="s">
        <v>111</v>
      </c>
      <c r="S272" s="359"/>
      <c r="T272" s="351"/>
      <c r="U272" s="362" t="s">
        <v>82</v>
      </c>
      <c r="V272" s="355">
        <v>119.37</v>
      </c>
      <c r="W272" s="355">
        <v>119.26</v>
      </c>
      <c r="X272" s="355">
        <v>109.02</v>
      </c>
      <c r="Y272" s="356">
        <v>117.31</v>
      </c>
      <c r="Z272" s="337">
        <v>111.61369999999999</v>
      </c>
      <c r="AA272" s="365">
        <v>111.19</v>
      </c>
      <c r="AB272" s="365">
        <v>118.5812</v>
      </c>
      <c r="AC272" s="635">
        <v>124.0472</v>
      </c>
      <c r="AD272" s="365">
        <v>122.07510000000001</v>
      </c>
      <c r="AE272" s="357">
        <v>1219</v>
      </c>
      <c r="AF272" s="358">
        <v>100</v>
      </c>
      <c r="AG272" s="354"/>
      <c r="AH272" s="359"/>
      <c r="AI272" s="370" t="s">
        <v>601</v>
      </c>
      <c r="AJ272" s="361" t="s">
        <v>396</v>
      </c>
      <c r="AK272" s="362" t="s">
        <v>1726</v>
      </c>
      <c r="AL272" s="358" t="s">
        <v>103</v>
      </c>
      <c r="AM272" s="349"/>
      <c r="AN272" s="349" t="s">
        <v>104</v>
      </c>
      <c r="AO272" s="349"/>
      <c r="AP272" s="349"/>
      <c r="AQ272" s="349"/>
      <c r="AR272" s="453"/>
      <c r="AS272" s="371" t="s">
        <v>103</v>
      </c>
      <c r="AT272" s="345"/>
      <c r="AU272" s="345" t="s">
        <v>179</v>
      </c>
      <c r="AV272" s="345" t="s">
        <v>1727</v>
      </c>
      <c r="AW272" s="345" t="s">
        <v>1728</v>
      </c>
      <c r="AX272" s="345"/>
      <c r="AY272" s="345"/>
      <c r="AZ272" s="345"/>
      <c r="BA272" s="345"/>
      <c r="BB272" s="345"/>
      <c r="BC272" s="345"/>
      <c r="BD272" s="345"/>
      <c r="BE272" s="345"/>
      <c r="BF272" s="345"/>
      <c r="BG272" s="345"/>
      <c r="BH272" s="345"/>
      <c r="BI272" s="345"/>
      <c r="BJ272" s="364">
        <f>COUNTIF(AT272:BI272,"*OP*")</f>
        <v>3</v>
      </c>
      <c r="BK272" s="363" t="s">
        <v>103</v>
      </c>
      <c r="BL272" s="349">
        <f>(COUNTIF(AT272:AV272,"*OK*")*3) + (COUNTIF(AW272:AY272,"*OK*")*2) + COUNTIF(AZ272:BB272,"*OK*")+COUNTIF(BK272:BK272,"SI")*0.5</f>
        <v>0</v>
      </c>
      <c r="BM272" s="349" t="str">
        <f>IF(BL272&lt;0.6,"Demasiado Riesgo",IF(BL272&lt;=5,"Riesgo Medio",IF(BL272&lt;=11,"Riesgo Bajo","Cliente Blindado")))</f>
        <v>Demasiado Riesgo</v>
      </c>
      <c r="BN272" s="349"/>
      <c r="BO272" s="328"/>
      <c r="BP272" s="328">
        <v>0</v>
      </c>
      <c r="BQ272" s="328"/>
      <c r="BR272" s="328"/>
      <c r="BS272" s="328"/>
      <c r="BT272" s="328"/>
      <c r="BU272" s="328"/>
      <c r="BV272" s="328"/>
      <c r="BW272" s="328"/>
      <c r="BX272" s="328"/>
      <c r="BY272" s="328"/>
      <c r="BZ272" s="328"/>
      <c r="CA272" s="328"/>
      <c r="CB272" s="328"/>
      <c r="CC272" s="328"/>
      <c r="CD272" s="328"/>
      <c r="CE272" s="328"/>
      <c r="CF272" s="328"/>
      <c r="CG272" s="328"/>
      <c r="CH272" s="328"/>
      <c r="CI272" s="328"/>
      <c r="CJ272" s="328"/>
      <c r="CK272" s="328"/>
      <c r="CL272" s="328">
        <f>COUNTIF(AT272:BH272,"*OK*")</f>
        <v>0</v>
      </c>
      <c r="CM272" s="328"/>
      <c r="CN272" s="328">
        <f>COUNTIF(AT272:BH272,"*OP*")</f>
        <v>3</v>
      </c>
    </row>
    <row r="273" spans="1:94" ht="15" customHeight="1">
      <c r="A273" s="835"/>
      <c r="B273" s="560" t="s">
        <v>1729</v>
      </c>
      <c r="C273" s="329">
        <f t="shared" si="6"/>
        <v>115.89400000000001</v>
      </c>
      <c r="D273" s="352">
        <f>COUNTIF(AX273:BI273,"OK")</f>
        <v>0</v>
      </c>
      <c r="E273" s="331" t="s">
        <v>782</v>
      </c>
      <c r="F273" s="368" t="s">
        <v>1730</v>
      </c>
      <c r="G273" s="368"/>
      <c r="H273" s="650">
        <f>IF(LEN(TRIM($G273&amp;""))=0, $C273, SUMIF($G$3:$G$561, TRIM($G273), $C$3:$C$561))</f>
        <v>115.89400000000001</v>
      </c>
      <c r="I273" s="368" t="s">
        <v>562</v>
      </c>
      <c r="J273" s="349"/>
      <c r="K273" s="349"/>
      <c r="L273" s="349"/>
      <c r="M273" s="553"/>
      <c r="N273" s="352"/>
      <c r="O273" s="540" t="s">
        <v>1092</v>
      </c>
      <c r="P273" s="540" t="s">
        <v>1731</v>
      </c>
      <c r="Q273" s="540" t="s">
        <v>1732</v>
      </c>
      <c r="R273" s="352"/>
      <c r="S273" s="352"/>
      <c r="T273" s="349"/>
      <c r="U273" s="362"/>
      <c r="V273" s="335"/>
      <c r="W273" s="335"/>
      <c r="X273" s="335"/>
      <c r="Y273" s="336">
        <v>119.7086</v>
      </c>
      <c r="Z273" s="337">
        <v>121.3193</v>
      </c>
      <c r="AA273" s="405">
        <v>119.99</v>
      </c>
      <c r="AB273" s="405">
        <v>121.0012</v>
      </c>
      <c r="AC273" s="642">
        <v>123.2257</v>
      </c>
      <c r="AD273" s="405">
        <v>115.89400000000001</v>
      </c>
      <c r="AE273" s="357"/>
      <c r="AF273" s="358" t="s">
        <v>103</v>
      </c>
      <c r="AG273" s="354"/>
      <c r="AH273" s="349"/>
      <c r="AI273" s="361"/>
      <c r="AJ273" s="361"/>
      <c r="AK273" s="362"/>
      <c r="AL273" s="371" t="s">
        <v>103</v>
      </c>
      <c r="AM273" s="349"/>
      <c r="AN273" s="349"/>
      <c r="AO273" s="349"/>
      <c r="AP273" s="349"/>
      <c r="AQ273" s="349"/>
      <c r="AR273" s="453"/>
      <c r="AS273" s="449"/>
      <c r="AT273" s="345"/>
      <c r="AU273" s="345"/>
      <c r="AV273" s="345"/>
      <c r="AW273" s="345"/>
      <c r="AX273" s="345"/>
      <c r="AY273" s="345"/>
      <c r="AZ273" s="345"/>
      <c r="BA273" s="345"/>
      <c r="BB273" s="345"/>
      <c r="BC273" s="345"/>
      <c r="BD273" s="345"/>
      <c r="BE273" s="345"/>
      <c r="BF273" s="345"/>
      <c r="BG273" s="345"/>
      <c r="BH273" s="345"/>
      <c r="BI273" s="345"/>
      <c r="BJ273" s="364">
        <f>COUNTIF(AT273:BI273,"*OP*")</f>
        <v>0</v>
      </c>
      <c r="BK273" s="450"/>
      <c r="BL273" s="349">
        <f>(COUNTIF(AT273:AV273,"*OK*")*3) + (COUNTIF(AW273:AY273,"*OK*")*2) + COUNTIF(AZ273:BB273,"*OK*")+COUNTIF(BK273:BK273,"SI")*0.5</f>
        <v>0</v>
      </c>
      <c r="BM273" s="349" t="str">
        <f>IF(BL273&lt;0.6,"Demasiado Riesgo",IF(BL273&lt;=5,"Riesgo Medio",IF(BL273&lt;=11,"Riesgo Bajo","Cliente Blindado")))</f>
        <v>Demasiado Riesgo</v>
      </c>
      <c r="BN273" s="349"/>
      <c r="BO273" s="349"/>
      <c r="BP273" s="349">
        <v>0</v>
      </c>
      <c r="BQ273" s="349"/>
      <c r="BR273" s="349"/>
      <c r="BS273" s="349"/>
      <c r="BT273" s="349"/>
      <c r="BU273" s="349"/>
      <c r="BV273" s="349"/>
      <c r="BW273" s="349"/>
      <c r="BX273" s="349"/>
      <c r="BY273" s="349"/>
      <c r="BZ273" s="349"/>
      <c r="CA273" s="349"/>
      <c r="CB273" s="349"/>
      <c r="CC273" s="349"/>
      <c r="CD273" s="349"/>
      <c r="CE273" s="349"/>
      <c r="CF273" s="349"/>
      <c r="CG273" s="349"/>
      <c r="CH273" s="349"/>
      <c r="CI273" s="349"/>
      <c r="CJ273" s="349"/>
      <c r="CK273" s="349"/>
      <c r="CL273" s="349">
        <f>COUNTIF(AT273:BH273,"*OK*")</f>
        <v>0</v>
      </c>
      <c r="CM273" s="349"/>
      <c r="CN273" s="349">
        <f>COUNTIF(AT273:BH273,"*OP*")</f>
        <v>0</v>
      </c>
    </row>
    <row r="274" spans="1:94" ht="15" customHeight="1">
      <c r="A274" s="834">
        <v>28721</v>
      </c>
      <c r="B274" s="560" t="s">
        <v>1733</v>
      </c>
      <c r="C274" s="329">
        <f t="shared" si="6"/>
        <v>114.4371</v>
      </c>
      <c r="D274" s="332">
        <f>COUNTIF(AT274:BH274,"*OK*")</f>
        <v>0</v>
      </c>
      <c r="E274" s="397" t="s">
        <v>439</v>
      </c>
      <c r="F274" s="331" t="s">
        <v>1734</v>
      </c>
      <c r="G274" s="331"/>
      <c r="H274" s="650">
        <f>IF(LEN(TRIM($G274&amp;""))=0, $C274, SUMIF($G$3:$G$561, TRIM($G274), $C$3:$C$561))</f>
        <v>114.4371</v>
      </c>
      <c r="I274" s="331" t="s">
        <v>562</v>
      </c>
      <c r="J274" s="331"/>
      <c r="K274" s="328"/>
      <c r="L274" s="328" t="str">
        <f>HYPERLINK("https://crm.zoho.com/crm/org685875245/tab/Accounts/3525045000427802077","https://crm.zoho.com/crm/org685875245/tab/Accounts/3525045000427802077")</f>
        <v>https://crm.zoho.com/crm/org685875245/tab/Accounts/3525045000427802077</v>
      </c>
      <c r="M274" s="391"/>
      <c r="N274" s="332" t="s">
        <v>817</v>
      </c>
      <c r="O274" s="541" t="s">
        <v>1735</v>
      </c>
      <c r="P274" s="541" t="s">
        <v>1736</v>
      </c>
      <c r="Q274" s="541" t="s">
        <v>1737</v>
      </c>
      <c r="R274" s="332"/>
      <c r="S274" s="332"/>
      <c r="T274" s="397"/>
      <c r="U274" s="344" t="s">
        <v>902</v>
      </c>
      <c r="V274" s="335">
        <v>120.28</v>
      </c>
      <c r="W274" s="335">
        <v>132.18</v>
      </c>
      <c r="X274" s="335">
        <v>123.11</v>
      </c>
      <c r="Y274" s="336">
        <v>121.16</v>
      </c>
      <c r="Z274" s="337">
        <v>122.789</v>
      </c>
      <c r="AA274" s="365">
        <v>121.44</v>
      </c>
      <c r="AB274" s="365">
        <v>116.49299999999999</v>
      </c>
      <c r="AC274" s="635">
        <v>121.67659999999999</v>
      </c>
      <c r="AD274" s="365">
        <v>114.4371</v>
      </c>
      <c r="AE274" s="339">
        <v>43</v>
      </c>
      <c r="AF274" s="340">
        <v>200</v>
      </c>
      <c r="AG274" s="334"/>
      <c r="AH274" s="341"/>
      <c r="AI274" s="342" t="s">
        <v>1066</v>
      </c>
      <c r="AJ274" s="343" t="s">
        <v>130</v>
      </c>
      <c r="AK274" s="344" t="s">
        <v>1738</v>
      </c>
      <c r="AL274" s="340" t="s">
        <v>1140</v>
      </c>
      <c r="AM274" s="328"/>
      <c r="AN274" s="328"/>
      <c r="AO274" s="328"/>
      <c r="AP274" s="328"/>
      <c r="AQ274" s="328"/>
      <c r="AR274" s="451"/>
      <c r="AS274" s="372" t="s">
        <v>103</v>
      </c>
      <c r="AT274" s="345"/>
      <c r="AU274" s="345"/>
      <c r="AV274" s="345"/>
      <c r="AW274" s="345"/>
      <c r="AX274" s="345"/>
      <c r="AY274" s="345"/>
      <c r="AZ274" s="345"/>
      <c r="BA274" s="345"/>
      <c r="BB274" s="345"/>
      <c r="BC274" s="345"/>
      <c r="BD274" s="345"/>
      <c r="BE274" s="345"/>
      <c r="BF274" s="345"/>
      <c r="BG274" s="345"/>
      <c r="BH274" s="345"/>
      <c r="BI274" s="345"/>
      <c r="BJ274" s="364">
        <f>COUNTIF(AT274:BI274,"*OP*")</f>
        <v>0</v>
      </c>
      <c r="BK274" s="375" t="s">
        <v>103</v>
      </c>
      <c r="BL274" s="328">
        <f>(COUNTIF(AT274:AV274,"*OK*")*3) + (COUNTIF(AW274:AY274,"*OK*")*2) + COUNTIF(AZ274:BB274,"*OK*")+COUNTIF(BK274:BK274,"SI")*0.5</f>
        <v>0</v>
      </c>
      <c r="BM274" s="328" t="str">
        <f>IF(BL274&lt;0.6,"Demasiado Riesgo",IF(BL274&lt;=5,"Riesgo Medio",IF(BL274&lt;=11,"Riesgo Bajo","Cliente Blindado")))</f>
        <v>Demasiado Riesgo</v>
      </c>
      <c r="BN274" s="328"/>
      <c r="BO274" s="349"/>
      <c r="BP274" s="349">
        <v>0</v>
      </c>
      <c r="BQ274" s="349"/>
      <c r="BR274" s="349"/>
      <c r="BS274" s="349"/>
      <c r="BT274" s="349"/>
      <c r="BU274" s="349"/>
      <c r="BV274" s="349"/>
      <c r="BW274" s="349"/>
      <c r="BX274" s="349"/>
      <c r="BY274" s="349"/>
      <c r="BZ274" s="349"/>
      <c r="CA274" s="349"/>
      <c r="CB274" s="349"/>
      <c r="CC274" s="349"/>
      <c r="CD274" s="349"/>
      <c r="CE274" s="349"/>
      <c r="CF274" s="349"/>
      <c r="CG274" s="349"/>
      <c r="CH274" s="349"/>
      <c r="CI274" s="349"/>
      <c r="CJ274" s="349"/>
      <c r="CK274" s="349"/>
      <c r="CL274" s="349">
        <f>COUNTIF(AT274:BH274,"*OK*")</f>
        <v>0</v>
      </c>
      <c r="CM274" s="349"/>
      <c r="CN274" s="349">
        <f>COUNTIF(AT274:BH274,"*OP*")</f>
        <v>0</v>
      </c>
    </row>
    <row r="275" spans="1:94" ht="15" customHeight="1">
      <c r="A275" s="835"/>
      <c r="B275" s="560" t="s">
        <v>1739</v>
      </c>
      <c r="C275" s="329">
        <f t="shared" si="6"/>
        <v>118.10150000000002</v>
      </c>
      <c r="D275" s="352">
        <f>COUNTIF(AT275:BH275,"*OK*")</f>
        <v>0</v>
      </c>
      <c r="E275" s="397" t="s">
        <v>439</v>
      </c>
      <c r="F275" s="351" t="s">
        <v>1740</v>
      </c>
      <c r="G275" s="351"/>
      <c r="H275" s="650">
        <f>IF(LEN(TRIM($G275&amp;""))=0, $C275, SUMIF($G$3:$G$561, TRIM($G275), $C$3:$C$561))</f>
        <v>118.10150000000002</v>
      </c>
      <c r="I275" s="353" t="s">
        <v>562</v>
      </c>
      <c r="J275" s="351"/>
      <c r="K275" s="349"/>
      <c r="L275" s="349"/>
      <c r="M275" s="553"/>
      <c r="N275" s="332" t="s">
        <v>817</v>
      </c>
      <c r="O275" s="541"/>
      <c r="P275" s="541"/>
      <c r="Q275" s="541"/>
      <c r="R275" s="332"/>
      <c r="S275" s="352"/>
      <c r="T275" s="397"/>
      <c r="U275" s="362" t="s">
        <v>82</v>
      </c>
      <c r="V275" s="355"/>
      <c r="W275" s="355">
        <v>137.05000000000001</v>
      </c>
      <c r="X275" s="355">
        <v>130.61000000000001</v>
      </c>
      <c r="Y275" s="356">
        <v>145.08000000000001</v>
      </c>
      <c r="Z275" s="337">
        <v>136.62860000000001</v>
      </c>
      <c r="AA275" s="338">
        <v>142.84</v>
      </c>
      <c r="AB275" s="338">
        <v>131.08459999999999</v>
      </c>
      <c r="AC275" s="634">
        <v>120.29170000000001</v>
      </c>
      <c r="AD275" s="338">
        <v>118.10150000000002</v>
      </c>
      <c r="AE275" s="357"/>
      <c r="AF275" s="358">
        <v>50</v>
      </c>
      <c r="AG275" s="354"/>
      <c r="AH275" s="359"/>
      <c r="AI275" s="360" t="s">
        <v>83</v>
      </c>
      <c r="AJ275" s="361" t="s">
        <v>396</v>
      </c>
      <c r="AK275" s="362" t="s">
        <v>1741</v>
      </c>
      <c r="AL275" s="358" t="s">
        <v>103</v>
      </c>
      <c r="AM275" s="349"/>
      <c r="AN275" s="349"/>
      <c r="AO275" s="349"/>
      <c r="AP275" s="349"/>
      <c r="AQ275" s="349"/>
      <c r="AR275" s="453"/>
      <c r="AS275" s="371" t="s">
        <v>103</v>
      </c>
      <c r="AT275" s="445"/>
      <c r="AU275" s="445"/>
      <c r="AV275" s="445"/>
      <c r="AW275" s="445"/>
      <c r="AX275" s="445"/>
      <c r="AY275" s="445"/>
      <c r="AZ275" s="445"/>
      <c r="BA275" s="445"/>
      <c r="BB275" s="445"/>
      <c r="BC275" s="445"/>
      <c r="BD275" s="445"/>
      <c r="BE275" s="445"/>
      <c r="BF275" s="445"/>
      <c r="BG275" s="445"/>
      <c r="BH275" s="445"/>
      <c r="BI275" s="445"/>
      <c r="BJ275" s="446">
        <f>COUNTIF(AT275:BI275,"*OP*")</f>
        <v>0</v>
      </c>
      <c r="BK275" s="363" t="s">
        <v>103</v>
      </c>
      <c r="BL275" s="349">
        <f>(COUNTIF(AT275:AV275,"*OK*")*3) + (COUNTIF(AW275:AY275,"*OK*")*2) + COUNTIF(AZ275:BB275,"*OK*")+COUNTIF(BK275:BK275,"SI")*0.5</f>
        <v>0</v>
      </c>
      <c r="BM275" s="349" t="str">
        <f>IF(BL275&lt;0.6,"Demasiado Riesgo",IF(BL275&lt;=5,"Riesgo Medio",IF(BL275&lt;=11,"Riesgo Bajo","Cliente Blindado")))</f>
        <v>Demasiado Riesgo</v>
      </c>
      <c r="BN275" s="349"/>
      <c r="BO275" s="328"/>
      <c r="BP275" s="328">
        <v>0</v>
      </c>
      <c r="BQ275" s="328"/>
      <c r="BR275" s="328"/>
      <c r="BS275" s="328"/>
      <c r="BT275" s="328"/>
      <c r="BU275" s="328"/>
      <c r="BV275" s="328"/>
      <c r="BW275" s="328"/>
      <c r="BX275" s="328"/>
      <c r="BY275" s="328"/>
      <c r="BZ275" s="328"/>
      <c r="CA275" s="328"/>
      <c r="CB275" s="328"/>
      <c r="CC275" s="328"/>
      <c r="CD275" s="328"/>
      <c r="CE275" s="328"/>
      <c r="CF275" s="328"/>
      <c r="CG275" s="328"/>
      <c r="CH275" s="328"/>
      <c r="CI275" s="328"/>
      <c r="CJ275" s="328"/>
      <c r="CK275" s="328"/>
      <c r="CL275" s="328">
        <f>COUNTIF(AT275:BH275,"*OK*")</f>
        <v>0</v>
      </c>
      <c r="CM275" s="328"/>
      <c r="CN275" s="328">
        <f>COUNTIF(AT275:BH275,"*OP*")</f>
        <v>0</v>
      </c>
    </row>
    <row r="276" spans="1:94" ht="15" customHeight="1">
      <c r="A276" s="834">
        <v>20005</v>
      </c>
      <c r="B276" s="560" t="s">
        <v>363</v>
      </c>
      <c r="C276" s="329">
        <f t="shared" si="6"/>
        <v>154.96699999999998</v>
      </c>
      <c r="D276" s="332">
        <f>COUNTIF(AT276:BH276,"*OK*")</f>
        <v>0</v>
      </c>
      <c r="E276" s="331" t="s">
        <v>93</v>
      </c>
      <c r="F276" s="331" t="s">
        <v>1742</v>
      </c>
      <c r="G276" s="331" t="s">
        <v>365</v>
      </c>
      <c r="H276" s="650">
        <f>IF(LEN(TRIM($G276&amp;""))=0, $C276, SUMIF($G$3:$G$561, TRIM($G276), $C$3:$C$561))</f>
        <v>4240.7285999999995</v>
      </c>
      <c r="I276" s="410" t="s">
        <v>76</v>
      </c>
      <c r="J276" s="331"/>
      <c r="K276" s="328" t="s">
        <v>125</v>
      </c>
      <c r="L276" s="328"/>
      <c r="M276" s="341" t="s">
        <v>96</v>
      </c>
      <c r="N276" s="341"/>
      <c r="O276" s="548" t="s">
        <v>367</v>
      </c>
      <c r="P276" s="548" t="s">
        <v>368</v>
      </c>
      <c r="Q276" s="548" t="s">
        <v>369</v>
      </c>
      <c r="R276" s="341" t="s">
        <v>160</v>
      </c>
      <c r="S276" s="341"/>
      <c r="T276" s="331"/>
      <c r="U276" s="344" t="s">
        <v>82</v>
      </c>
      <c r="V276" s="335">
        <v>116.01</v>
      </c>
      <c r="W276" s="335">
        <v>115.9</v>
      </c>
      <c r="X276" s="335">
        <v>114.87</v>
      </c>
      <c r="Y276" s="336">
        <v>118.57</v>
      </c>
      <c r="Z276" s="337">
        <v>122.4747</v>
      </c>
      <c r="AA276" s="338">
        <v>123.42</v>
      </c>
      <c r="AB276" s="338">
        <v>122.1536</v>
      </c>
      <c r="AC276" s="634">
        <v>119.70489999999999</v>
      </c>
      <c r="AD276" s="338">
        <v>154.96699999999998</v>
      </c>
      <c r="AE276" s="339">
        <v>1417</v>
      </c>
      <c r="AF276" s="340">
        <v>200</v>
      </c>
      <c r="AG276" s="334"/>
      <c r="AH276" s="341"/>
      <c r="AI276" s="422" t="s">
        <v>83</v>
      </c>
      <c r="AJ276" s="343" t="s">
        <v>113</v>
      </c>
      <c r="AK276" s="344" t="s">
        <v>1743</v>
      </c>
      <c r="AL276" s="340" t="s">
        <v>103</v>
      </c>
      <c r="AM276" s="328"/>
      <c r="AN276" s="328" t="s">
        <v>104</v>
      </c>
      <c r="AO276" s="328"/>
      <c r="AP276" s="328"/>
      <c r="AQ276" s="328"/>
      <c r="AR276" s="451"/>
      <c r="AS276" s="372"/>
      <c r="AT276" s="345"/>
      <c r="AU276" s="345"/>
      <c r="AV276" s="345"/>
      <c r="AW276" s="345"/>
      <c r="AX276" s="345"/>
      <c r="AY276" s="345"/>
      <c r="AZ276" s="345"/>
      <c r="BA276" s="345"/>
      <c r="BB276" s="345"/>
      <c r="BC276" s="345"/>
      <c r="BD276" s="345"/>
      <c r="BE276" s="345"/>
      <c r="BF276" s="345"/>
      <c r="BG276" s="345"/>
      <c r="BH276" s="345"/>
      <c r="BI276" s="345"/>
      <c r="BJ276" s="364">
        <f>COUNTIF(AT276:BI276,"*OP*")</f>
        <v>0</v>
      </c>
      <c r="BK276" s="375" t="s">
        <v>103</v>
      </c>
      <c r="BL276" s="328">
        <f>(COUNTIF(AT276:AV276,"*OK*")*3) + (COUNTIF(AW276:AY276,"*OK*")*2) + COUNTIF(AZ276:BB276,"*OK*")+COUNTIF(BK276:BK276,"SI")*0.5</f>
        <v>0</v>
      </c>
      <c r="BM276" s="328" t="str">
        <f>IF(BL276&lt;0.6,"Demasiado Riesgo",IF(BL276&lt;=5,"Riesgo Medio",IF(BL276&lt;=11,"Riesgo Bajo","Cliente Blindado")))</f>
        <v>Demasiado Riesgo</v>
      </c>
      <c r="BN276" s="328"/>
      <c r="BO276" s="349"/>
      <c r="BP276" s="349">
        <v>0</v>
      </c>
      <c r="BQ276" s="349"/>
      <c r="BR276" s="349"/>
      <c r="BS276" s="349"/>
      <c r="BT276" s="349"/>
      <c r="BU276" s="349"/>
      <c r="BV276" s="349"/>
      <c r="BW276" s="349"/>
      <c r="BX276" s="349"/>
      <c r="BY276" s="349"/>
      <c r="BZ276" s="349"/>
      <c r="CA276" s="349"/>
      <c r="CB276" s="349"/>
      <c r="CC276" s="349"/>
      <c r="CD276" s="349"/>
      <c r="CE276" s="349"/>
      <c r="CF276" s="349"/>
      <c r="CG276" s="349"/>
      <c r="CH276" s="349"/>
      <c r="CI276" s="349"/>
      <c r="CJ276" s="349"/>
      <c r="CK276" s="349"/>
      <c r="CL276" s="349">
        <f>COUNTIF(AT276:BH276,"*OK*")</f>
        <v>0</v>
      </c>
      <c r="CM276" s="349"/>
      <c r="CN276" s="349">
        <f>COUNTIF(AT276:BH276,"*OP*")</f>
        <v>0</v>
      </c>
    </row>
    <row r="277" spans="1:94" ht="15" customHeight="1">
      <c r="A277" s="835">
        <v>36723</v>
      </c>
      <c r="B277" s="560" t="s">
        <v>1744</v>
      </c>
      <c r="C277" s="329">
        <f t="shared" si="6"/>
        <v>108.44370000000001</v>
      </c>
      <c r="D277" s="352">
        <f>COUNTIF(AT277:BH277,"*OK*")</f>
        <v>0</v>
      </c>
      <c r="E277" s="397" t="s">
        <v>439</v>
      </c>
      <c r="F277" s="472" t="s">
        <v>1745</v>
      </c>
      <c r="G277" s="351"/>
      <c r="H277" s="650">
        <f>IF(LEN(TRIM($G277&amp;""))=0, $C277, SUMIF($G$3:$G$561, TRIM($G277), $C$3:$C$561))</f>
        <v>108.44370000000001</v>
      </c>
      <c r="I277" s="353" t="s">
        <v>562</v>
      </c>
      <c r="J277" s="351"/>
      <c r="K277" s="349"/>
      <c r="L277" s="349" t="str">
        <f>HYPERLINK("https://crm.zoho.com/crm/org685875245/tab/Accounts/3525045000519591730","https://crm.zoho.com/crm/org685875245/tab/Accounts/3525045000519591730")</f>
        <v>https://crm.zoho.com/crm/org685875245/tab/Accounts/3525045000519591730</v>
      </c>
      <c r="M277" s="553"/>
      <c r="N277" s="332" t="s">
        <v>1746</v>
      </c>
      <c r="O277" s="541" t="s">
        <v>1747</v>
      </c>
      <c r="P277" s="541" t="s">
        <v>1748</v>
      </c>
      <c r="Q277" s="541" t="s">
        <v>1749</v>
      </c>
      <c r="R277" s="332"/>
      <c r="S277" s="352"/>
      <c r="T277" s="397"/>
      <c r="U277" s="362" t="s">
        <v>394</v>
      </c>
      <c r="V277" s="355"/>
      <c r="W277" s="355"/>
      <c r="X277" s="355">
        <v>70.41</v>
      </c>
      <c r="Y277" s="356">
        <v>76.39</v>
      </c>
      <c r="Z277" s="337">
        <v>114.9644</v>
      </c>
      <c r="AA277" s="338">
        <v>186.55</v>
      </c>
      <c r="AB277" s="338">
        <v>195.61859999999999</v>
      </c>
      <c r="AC277" s="634">
        <v>119.1181</v>
      </c>
      <c r="AD277" s="338">
        <v>108.44370000000001</v>
      </c>
      <c r="AE277" s="357">
        <v>22</v>
      </c>
      <c r="AF277" s="358">
        <v>200</v>
      </c>
      <c r="AG277" s="354"/>
      <c r="AH277" s="359"/>
      <c r="AI277" s="427" t="s">
        <v>83</v>
      </c>
      <c r="AJ277" s="361" t="s">
        <v>113</v>
      </c>
      <c r="AK277" s="362" t="s">
        <v>1750</v>
      </c>
      <c r="AL277" s="358" t="s">
        <v>396</v>
      </c>
      <c r="AM277" s="349"/>
      <c r="AN277" s="349"/>
      <c r="AO277" s="349"/>
      <c r="AP277" s="349"/>
      <c r="AQ277" s="349"/>
      <c r="AR277" s="453"/>
      <c r="AS277" s="371" t="s">
        <v>103</v>
      </c>
      <c r="AT277" s="345"/>
      <c r="AU277" s="345"/>
      <c r="AV277" s="345"/>
      <c r="AW277" s="345"/>
      <c r="AX277" s="345"/>
      <c r="AY277" s="345"/>
      <c r="AZ277" s="345"/>
      <c r="BA277" s="345"/>
      <c r="BB277" s="345"/>
      <c r="BC277" s="345"/>
      <c r="BD277" s="345"/>
      <c r="BE277" s="345"/>
      <c r="BF277" s="345"/>
      <c r="BG277" s="345"/>
      <c r="BH277" s="345"/>
      <c r="BI277" s="345"/>
      <c r="BJ277" s="364">
        <f>COUNTIF(AT277:BI277,"*OP*")</f>
        <v>0</v>
      </c>
      <c r="BK277" s="363" t="s">
        <v>103</v>
      </c>
      <c r="BL277" s="349">
        <f>(COUNTIF(AT277:AV277,"*OK*")*3) + (COUNTIF(AW277:AY277,"*OK*")*2) + COUNTIF(AZ277:BB277,"*OK*")+COUNTIF(BK277:BK277,"SI")*0.5</f>
        <v>0</v>
      </c>
      <c r="BM277" s="349" t="str">
        <f>IF(BL277&lt;0.6,"Demasiado Riesgo",IF(BL277&lt;=5,"Riesgo Medio",IF(BL277&lt;=11,"Riesgo Bajo","Cliente Blindado")))</f>
        <v>Demasiado Riesgo</v>
      </c>
      <c r="BN277" s="349"/>
      <c r="BO277" s="349"/>
      <c r="BP277" s="349">
        <v>0</v>
      </c>
      <c r="BQ277" s="349"/>
      <c r="BR277" s="349"/>
      <c r="BS277" s="349"/>
      <c r="BT277" s="349"/>
      <c r="BU277" s="349"/>
      <c r="BV277" s="349"/>
      <c r="BW277" s="349"/>
      <c r="BX277" s="349"/>
      <c r="BY277" s="349"/>
      <c r="BZ277" s="349"/>
      <c r="CA277" s="349"/>
      <c r="CB277" s="349"/>
      <c r="CC277" s="349"/>
      <c r="CD277" s="349"/>
      <c r="CE277" s="349"/>
      <c r="CF277" s="349"/>
      <c r="CG277" s="349"/>
      <c r="CH277" s="349"/>
      <c r="CI277" s="349"/>
      <c r="CJ277" s="349"/>
      <c r="CK277" s="349"/>
      <c r="CL277" s="349">
        <f>COUNTIF(AT277:BH277,"*OK*")</f>
        <v>0</v>
      </c>
      <c r="CM277" s="349"/>
      <c r="CN277" s="349">
        <f>COUNTIF(AT277:BH277,"*OP*")</f>
        <v>0</v>
      </c>
      <c r="CO277" s="285"/>
    </row>
    <row r="278" spans="1:94" ht="15" customHeight="1">
      <c r="A278" s="835">
        <v>18819</v>
      </c>
      <c r="B278" s="560" t="s">
        <v>1751</v>
      </c>
      <c r="C278" s="329">
        <f t="shared" si="6"/>
        <v>114.851</v>
      </c>
      <c r="D278" s="352">
        <f>COUNTIF(AT278:BH278,"*OK*")</f>
        <v>0</v>
      </c>
      <c r="E278" s="397" t="s">
        <v>439</v>
      </c>
      <c r="F278" s="351" t="s">
        <v>1752</v>
      </c>
      <c r="G278" s="351"/>
      <c r="H278" s="650">
        <f>IF(LEN(TRIM($G278&amp;""))=0, $C278, SUMIF($G$3:$G$561, TRIM($G278), $C$3:$C$561))</f>
        <v>114.851</v>
      </c>
      <c r="I278" s="351" t="s">
        <v>562</v>
      </c>
      <c r="J278" s="351"/>
      <c r="K278" s="349"/>
      <c r="L278" s="349" t="str">
        <f>HYPERLINK("https://crm.zoho.com/crm/org685875245/tab/Accounts/3525045000154451236","https://crm.zoho.com/crm/org685875245/tab/Accounts/3525045000154451236")</f>
        <v>https://crm.zoho.com/crm/org685875245/tab/Accounts/3525045000154451236</v>
      </c>
      <c r="M278" s="553"/>
      <c r="N278" s="332" t="s">
        <v>817</v>
      </c>
      <c r="O278" s="541" t="s">
        <v>1407</v>
      </c>
      <c r="P278" s="541" t="s">
        <v>1753</v>
      </c>
      <c r="Q278" s="541" t="s">
        <v>1754</v>
      </c>
      <c r="R278" s="332"/>
      <c r="S278" s="352"/>
      <c r="T278" s="397"/>
      <c r="U278" s="362" t="s">
        <v>198</v>
      </c>
      <c r="V278" s="355">
        <v>120.71</v>
      </c>
      <c r="W278" s="355">
        <v>136.68</v>
      </c>
      <c r="X278" s="355">
        <v>114.93</v>
      </c>
      <c r="Y278" s="356">
        <v>122.59</v>
      </c>
      <c r="Z278" s="337">
        <v>124.235</v>
      </c>
      <c r="AA278" s="347">
        <v>122.87</v>
      </c>
      <c r="AB278" s="347">
        <v>127.9063</v>
      </c>
      <c r="AC278" s="638">
        <v>118.0461</v>
      </c>
      <c r="AD278" s="347">
        <v>114.851</v>
      </c>
      <c r="AE278" s="357">
        <v>30</v>
      </c>
      <c r="AF278" s="358">
        <v>100</v>
      </c>
      <c r="AG278" s="354"/>
      <c r="AH278" s="359"/>
      <c r="AI278" s="427" t="s">
        <v>83</v>
      </c>
      <c r="AJ278" s="361" t="s">
        <v>574</v>
      </c>
      <c r="AK278" s="362" t="s">
        <v>1755</v>
      </c>
      <c r="AL278" s="358" t="s">
        <v>224</v>
      </c>
      <c r="AM278" s="349"/>
      <c r="AN278" s="349"/>
      <c r="AO278" s="349"/>
      <c r="AP278" s="349"/>
      <c r="AQ278" s="349"/>
      <c r="AR278" s="453"/>
      <c r="AS278" s="371" t="s">
        <v>103</v>
      </c>
      <c r="AT278" s="345"/>
      <c r="AU278" s="345"/>
      <c r="AV278" s="345"/>
      <c r="AW278" s="345"/>
      <c r="AX278" s="345"/>
      <c r="AY278" s="345"/>
      <c r="AZ278" s="345"/>
      <c r="BA278" s="345"/>
      <c r="BB278" s="345"/>
      <c r="BC278" s="345"/>
      <c r="BD278" s="345"/>
      <c r="BE278" s="345"/>
      <c r="BF278" s="345"/>
      <c r="BG278" s="345"/>
      <c r="BH278" s="345"/>
      <c r="BI278" s="345"/>
      <c r="BJ278" s="364">
        <f>COUNTIF(AT278:BI278,"*OP*")</f>
        <v>0</v>
      </c>
      <c r="BK278" s="363" t="s">
        <v>103</v>
      </c>
      <c r="BL278" s="349">
        <f>(COUNTIF(AT278:AV278,"*OK*")*3) + (COUNTIF(AW278:AY278,"*OK*")*2) + COUNTIF(AZ278:BB278,"*OK*")+COUNTIF(BK278:BK278,"SI")*0.5</f>
        <v>0</v>
      </c>
      <c r="BM278" s="349" t="str">
        <f>IF(BL278&lt;0.6,"Demasiado Riesgo",IF(BL278&lt;=5,"Riesgo Medio",IF(BL278&lt;=11,"Riesgo Bajo","Cliente Blindado")))</f>
        <v>Demasiado Riesgo</v>
      </c>
      <c r="BN278" s="349"/>
      <c r="BO278" s="349"/>
      <c r="BP278" s="349"/>
      <c r="BQ278" s="349"/>
      <c r="BR278" s="349"/>
      <c r="BS278" s="349"/>
      <c r="BT278" s="349"/>
      <c r="BU278" s="349"/>
      <c r="BV278" s="349"/>
      <c r="BW278" s="349"/>
      <c r="BX278" s="349"/>
      <c r="BY278" s="349"/>
      <c r="BZ278" s="349"/>
      <c r="CA278" s="349"/>
      <c r="CB278" s="349"/>
      <c r="CC278" s="349"/>
      <c r="CD278" s="349"/>
      <c r="CE278" s="349"/>
      <c r="CF278" s="349"/>
      <c r="CG278" s="349"/>
      <c r="CH278" s="349"/>
      <c r="CI278" s="349"/>
      <c r="CJ278" s="349"/>
      <c r="CK278" s="349"/>
      <c r="CL278" s="349">
        <f>COUNTIF(AT278:BH278,"*OK*")</f>
        <v>0</v>
      </c>
      <c r="CM278" s="349"/>
      <c r="CN278" s="349">
        <f>COUNTIF(AT278:BH278,"*OP*")</f>
        <v>0</v>
      </c>
    </row>
    <row r="279" spans="1:94" ht="15" customHeight="1">
      <c r="A279" s="836">
        <v>33253</v>
      </c>
      <c r="B279" s="560" t="s">
        <v>979</v>
      </c>
      <c r="C279" s="329">
        <f t="shared" si="6"/>
        <v>112.58280000000001</v>
      </c>
      <c r="D279" s="332">
        <f>COUNTIF(AT279:BH279,"*OK*")</f>
        <v>0</v>
      </c>
      <c r="E279" s="331" t="s">
        <v>73</v>
      </c>
      <c r="F279" s="331" t="s">
        <v>1756</v>
      </c>
      <c r="G279" s="351" t="s">
        <v>981</v>
      </c>
      <c r="H279" s="650">
        <f>IF(LEN(TRIM($G279&amp;""))=0, $C279, SUMIF($G$3:$G$561, TRIM($G279), $C$3:$C$561))</f>
        <v>1278.1458</v>
      </c>
      <c r="I279" s="417" t="s">
        <v>76</v>
      </c>
      <c r="J279" s="331"/>
      <c r="K279" s="560"/>
      <c r="L279" s="560" t="str">
        <f>HYPERLINK("https://crm.zoho.com/crm/org685875245/tab/Accounts/3525045000461676230","https://crm.zoho.com/crm/org685875245/tab/Accounts/3525045000461676230")</f>
        <v>https://crm.zoho.com/crm/org685875245/tab/Accounts/3525045000461676230</v>
      </c>
      <c r="M279" s="391" t="s">
        <v>77</v>
      </c>
      <c r="N279" s="560"/>
      <c r="O279" s="561" t="s">
        <v>982</v>
      </c>
      <c r="P279" s="561" t="s">
        <v>983</v>
      </c>
      <c r="Q279" s="561" t="s">
        <v>984</v>
      </c>
      <c r="R279" s="558" t="s">
        <v>171</v>
      </c>
      <c r="S279" s="332"/>
      <c r="T279" s="331"/>
      <c r="U279" s="334" t="s">
        <v>82</v>
      </c>
      <c r="V279" s="335">
        <v>116.59</v>
      </c>
      <c r="W279" s="335">
        <v>119.09</v>
      </c>
      <c r="X279" s="335">
        <v>117.63</v>
      </c>
      <c r="Y279" s="336">
        <v>125.69</v>
      </c>
      <c r="Z279" s="337">
        <v>125.6521</v>
      </c>
      <c r="AA279" s="347">
        <v>122.56</v>
      </c>
      <c r="AB279" s="347">
        <v>121.8655</v>
      </c>
      <c r="AC279" s="638">
        <v>117.06440000000001</v>
      </c>
      <c r="AD279" s="347">
        <v>112.58280000000001</v>
      </c>
      <c r="AE279" s="339">
        <v>1583</v>
      </c>
      <c r="AF279" s="340">
        <v>1525</v>
      </c>
      <c r="AG279" s="334"/>
      <c r="AH279" s="341"/>
      <c r="AI279" s="342" t="s">
        <v>379</v>
      </c>
      <c r="AJ279" s="343" t="s">
        <v>852</v>
      </c>
      <c r="AK279" s="344" t="s">
        <v>1757</v>
      </c>
      <c r="AL279" s="340" t="s">
        <v>103</v>
      </c>
      <c r="AM279" s="328"/>
      <c r="AN279" s="328"/>
      <c r="AO279" s="328"/>
      <c r="AP279" s="328"/>
      <c r="AQ279" s="328"/>
      <c r="AR279" s="451"/>
      <c r="AS279" s="372" t="s">
        <v>88</v>
      </c>
      <c r="AT279" s="345"/>
      <c r="AU279" s="345"/>
      <c r="AV279" s="345"/>
      <c r="AW279" s="345"/>
      <c r="AX279" s="345"/>
      <c r="AY279" s="345"/>
      <c r="AZ279" s="345"/>
      <c r="BA279" s="345"/>
      <c r="BB279" s="345"/>
      <c r="BC279" s="345"/>
      <c r="BD279" s="345"/>
      <c r="BE279" s="345"/>
      <c r="BF279" s="345"/>
      <c r="BG279" s="345"/>
      <c r="BH279" s="345"/>
      <c r="BI279" s="345"/>
      <c r="BJ279" s="364">
        <f>COUNTIF(AT279:BI279,"*OP*")</f>
        <v>0</v>
      </c>
      <c r="BK279" s="375" t="s">
        <v>103</v>
      </c>
      <c r="BL279" s="328">
        <f>(COUNTIF(AT279:AV279,"*OK*")*3) + (COUNTIF(AW279:AY279,"*OK*")*2) + COUNTIF(AZ279:BB279,"*OK*")+COUNTIF(BK279:BK279,"SI")*0.5</f>
        <v>0</v>
      </c>
      <c r="BM279" s="328" t="str">
        <f>IF(BL279&lt;0.6,"Demasiado Riesgo",IF(BL279&lt;=5,"Riesgo Medio",IF(BL279&lt;=11,"Riesgo Bajo","Cliente Blindado")))</f>
        <v>Demasiado Riesgo</v>
      </c>
      <c r="BN279" s="328"/>
      <c r="BO279" s="349"/>
      <c r="BP279" s="349">
        <v>0</v>
      </c>
      <c r="BQ279" s="349"/>
      <c r="BR279" s="349"/>
      <c r="BS279" s="349"/>
      <c r="BT279" s="349"/>
      <c r="BU279" s="349"/>
      <c r="BV279" s="349"/>
      <c r="BW279" s="349"/>
      <c r="BX279" s="349"/>
      <c r="BY279" s="349"/>
      <c r="BZ279" s="349"/>
      <c r="CA279" s="349"/>
      <c r="CB279" s="349"/>
      <c r="CC279" s="349"/>
      <c r="CD279" s="349"/>
      <c r="CE279" s="349"/>
      <c r="CF279" s="349"/>
      <c r="CG279" s="349"/>
      <c r="CH279" s="349"/>
      <c r="CI279" s="349"/>
      <c r="CJ279" s="349"/>
      <c r="CK279" s="349"/>
      <c r="CL279" s="349">
        <f>COUNTIF(AT279:BH279,"*OK*")</f>
        <v>0</v>
      </c>
      <c r="CM279" s="349"/>
      <c r="CN279" s="349">
        <f>COUNTIF(AT279:BH279,"*OP*")</f>
        <v>0</v>
      </c>
    </row>
    <row r="280" spans="1:94" ht="15" customHeight="1">
      <c r="A280" s="835">
        <v>21657</v>
      </c>
      <c r="B280" s="560" t="s">
        <v>1758</v>
      </c>
      <c r="C280" s="329">
        <f t="shared" si="6"/>
        <v>107.3245</v>
      </c>
      <c r="D280" s="352">
        <f>COUNTIF(AT280:BH280,"*OK*")</f>
        <v>0</v>
      </c>
      <c r="E280" s="331" t="s">
        <v>73</v>
      </c>
      <c r="F280" s="351" t="s">
        <v>1759</v>
      </c>
      <c r="G280" s="351"/>
      <c r="H280" s="650">
        <f>IF(LEN(TRIM($G280&amp;""))=0, $C280, SUMIF($G$3:$G$561, TRIM($G280), $C$3:$C$561))</f>
        <v>107.3245</v>
      </c>
      <c r="I280" s="413" t="s">
        <v>562</v>
      </c>
      <c r="J280" s="351"/>
      <c r="K280" s="558"/>
      <c r="L280" s="558"/>
      <c r="M280" s="553"/>
      <c r="N280" s="558"/>
      <c r="O280" s="559" t="s">
        <v>1760</v>
      </c>
      <c r="P280" s="559" t="s">
        <v>1761</v>
      </c>
      <c r="Q280" s="559" t="s">
        <v>1762</v>
      </c>
      <c r="R280" s="558"/>
      <c r="S280" s="352"/>
      <c r="T280" s="351"/>
      <c r="U280" s="354" t="s">
        <v>82</v>
      </c>
      <c r="V280" s="355">
        <v>142.57</v>
      </c>
      <c r="W280" s="355">
        <v>136.18</v>
      </c>
      <c r="X280" s="355">
        <v>132.76</v>
      </c>
      <c r="Y280" s="356">
        <v>124.71</v>
      </c>
      <c r="Z280" s="337">
        <v>124.8317</v>
      </c>
      <c r="AA280" s="365">
        <v>123.46</v>
      </c>
      <c r="AB280" s="365">
        <v>126.0608</v>
      </c>
      <c r="AC280" s="635">
        <v>115.699</v>
      </c>
      <c r="AD280" s="365">
        <v>107.3245</v>
      </c>
      <c r="AE280" s="357">
        <v>96</v>
      </c>
      <c r="AF280" s="358">
        <v>100</v>
      </c>
      <c r="AG280" s="354"/>
      <c r="AH280" s="359" t="s">
        <v>221</v>
      </c>
      <c r="AI280" s="427" t="s">
        <v>83</v>
      </c>
      <c r="AJ280" s="361" t="s">
        <v>852</v>
      </c>
      <c r="AK280" s="362" t="s">
        <v>1763</v>
      </c>
      <c r="AL280" s="358" t="s">
        <v>1140</v>
      </c>
      <c r="AM280" s="349"/>
      <c r="AN280" s="349"/>
      <c r="AO280" s="349"/>
      <c r="AP280" s="349"/>
      <c r="AQ280" s="349"/>
      <c r="AR280" s="453"/>
      <c r="AS280" s="371" t="s">
        <v>103</v>
      </c>
      <c r="AT280" s="345"/>
      <c r="AU280" s="345"/>
      <c r="AV280" s="345"/>
      <c r="AW280" s="345"/>
      <c r="AX280" s="345"/>
      <c r="AY280" s="345"/>
      <c r="AZ280" s="345"/>
      <c r="BA280" s="345"/>
      <c r="BB280" s="345"/>
      <c r="BC280" s="345"/>
      <c r="BD280" s="345"/>
      <c r="BE280" s="345"/>
      <c r="BF280" s="345"/>
      <c r="BG280" s="345"/>
      <c r="BH280" s="345"/>
      <c r="BI280" s="345"/>
      <c r="BJ280" s="364">
        <f>COUNTIF(AT280:BI280,"*OP*")</f>
        <v>0</v>
      </c>
      <c r="BK280" s="363" t="s">
        <v>103</v>
      </c>
      <c r="BL280" s="349">
        <f>(COUNTIF(AT280:AV280,"*OK*")*3) + (COUNTIF(AW280:AY280,"*OK*")*2) + COUNTIF(AZ280:BB280,"*OK*")+COUNTIF(BK280:BK280,"SI")*0.5</f>
        <v>0</v>
      </c>
      <c r="BM280" s="349" t="str">
        <f>IF(BL280&lt;0.6,"Demasiado Riesgo",IF(BL280&lt;=5,"Riesgo Medio",IF(BL280&lt;=11,"Riesgo Bajo","Cliente Blindado")))</f>
        <v>Demasiado Riesgo</v>
      </c>
      <c r="BN280" s="349"/>
      <c r="BO280" s="328"/>
      <c r="BP280" s="328">
        <v>0</v>
      </c>
      <c r="BQ280" s="328"/>
      <c r="BR280" s="328"/>
      <c r="BS280" s="328"/>
      <c r="BT280" s="328"/>
      <c r="BU280" s="328"/>
      <c r="BV280" s="328"/>
      <c r="BW280" s="328"/>
      <c r="BX280" s="328"/>
      <c r="BY280" s="328"/>
      <c r="BZ280" s="328"/>
      <c r="CA280" s="328"/>
      <c r="CB280" s="328"/>
      <c r="CC280" s="328"/>
      <c r="CD280" s="328"/>
      <c r="CE280" s="328"/>
      <c r="CF280" s="328"/>
      <c r="CG280" s="328"/>
      <c r="CH280" s="328"/>
      <c r="CI280" s="328"/>
      <c r="CJ280" s="328"/>
      <c r="CK280" s="328"/>
      <c r="CL280" s="328">
        <f>COUNTIF(AT280:BH280,"*OK*")</f>
        <v>0</v>
      </c>
      <c r="CM280" s="328"/>
      <c r="CN280" s="328">
        <f>COUNTIF(AT280:BH280,"*OP*")</f>
        <v>0</v>
      </c>
      <c r="CP280" s="285"/>
    </row>
    <row r="281" spans="1:94" ht="15" customHeight="1">
      <c r="A281" s="834">
        <v>28896</v>
      </c>
      <c r="B281" s="560" t="s">
        <v>1764</v>
      </c>
      <c r="C281" s="329">
        <f t="shared" si="6"/>
        <v>105.57729999999999</v>
      </c>
      <c r="D281" s="332">
        <f>COUNTIF(AT281:BH281,"*OK*")</f>
        <v>0</v>
      </c>
      <c r="E281" s="331" t="s">
        <v>439</v>
      </c>
      <c r="F281" s="331" t="s">
        <v>1765</v>
      </c>
      <c r="G281" s="331"/>
      <c r="H281" s="650">
        <f>IF(LEN(TRIM($G281&amp;""))=0, $C281, SUMIF($G$3:$G$561, TRIM($G281), $C$3:$C$561))</f>
        <v>105.57729999999999</v>
      </c>
      <c r="I281" s="410" t="s">
        <v>562</v>
      </c>
      <c r="J281" s="331"/>
      <c r="K281" s="328"/>
      <c r="L281" s="328" t="str">
        <f>HYPERLINK("https://crm.zoho.com/crm/org685875245/tab/Accounts/3525045000399720662","https://crm.zoho.com/crm/org685875245/tab/Accounts/3525045000399720662")</f>
        <v>https://crm.zoho.com/crm/org685875245/tab/Accounts/3525045000399720662</v>
      </c>
      <c r="M281" s="391" t="s">
        <v>77</v>
      </c>
      <c r="N281" s="332"/>
      <c r="O281" s="541" t="s">
        <v>1766</v>
      </c>
      <c r="P281" s="541" t="s">
        <v>1767</v>
      </c>
      <c r="Q281" s="541" t="s">
        <v>1768</v>
      </c>
      <c r="R281" s="332"/>
      <c r="S281" s="332"/>
      <c r="T281" s="331"/>
      <c r="U281" s="334" t="s">
        <v>902</v>
      </c>
      <c r="V281" s="335">
        <v>129.91</v>
      </c>
      <c r="W281" s="335">
        <v>124.38</v>
      </c>
      <c r="X281" s="335">
        <v>118.54</v>
      </c>
      <c r="Y281" s="336">
        <v>109.05</v>
      </c>
      <c r="Z281" s="337">
        <v>110.51949999999999</v>
      </c>
      <c r="AA281" s="365">
        <v>109.31</v>
      </c>
      <c r="AB281" s="365">
        <v>110.2298</v>
      </c>
      <c r="AC281" s="635">
        <v>112.2563</v>
      </c>
      <c r="AD281" s="365">
        <v>105.57729999999999</v>
      </c>
      <c r="AE281" s="339">
        <v>41</v>
      </c>
      <c r="AF281" s="340">
        <v>150</v>
      </c>
      <c r="AG281" s="334"/>
      <c r="AH281" s="341"/>
      <c r="AI281" s="343" t="s">
        <v>100</v>
      </c>
      <c r="AJ281" s="343" t="s">
        <v>852</v>
      </c>
      <c r="AK281" s="344" t="s">
        <v>1769</v>
      </c>
      <c r="AL281" s="340" t="s">
        <v>103</v>
      </c>
      <c r="AM281" s="328"/>
      <c r="AN281" s="328"/>
      <c r="AO281" s="328"/>
      <c r="AP281" s="328"/>
      <c r="AQ281" s="328"/>
      <c r="AR281" s="451"/>
      <c r="AS281" s="372" t="s">
        <v>103</v>
      </c>
      <c r="AT281" s="345"/>
      <c r="AU281" s="345"/>
      <c r="AV281" s="345"/>
      <c r="AW281" s="345"/>
      <c r="AX281" s="345"/>
      <c r="AY281" s="345"/>
      <c r="AZ281" s="345"/>
      <c r="BA281" s="345"/>
      <c r="BB281" s="345"/>
      <c r="BC281" s="345"/>
      <c r="BD281" s="345"/>
      <c r="BE281" s="345"/>
      <c r="BF281" s="345"/>
      <c r="BG281" s="345"/>
      <c r="BH281" s="345"/>
      <c r="BI281" s="345"/>
      <c r="BJ281" s="364">
        <f>COUNTIF(AT281:BI281,"*OP*")</f>
        <v>0</v>
      </c>
      <c r="BK281" s="375" t="s">
        <v>89</v>
      </c>
      <c r="BL281" s="328">
        <f>(COUNTIF(AT281:AV281,"*OK*")*3) + (COUNTIF(AW281:AY281,"*OK*")*2) + COUNTIF(AZ281:BB281,"*OK*")+COUNTIF(BK281:BK281,"SI")*0.5</f>
        <v>0</v>
      </c>
      <c r="BM281" s="328" t="str">
        <f>IF(BL281&lt;0.6,"Demasiado Riesgo",IF(BL281&lt;=5,"Riesgo Medio",IF(BL281&lt;=11,"Riesgo Bajo","Cliente Blindado")))</f>
        <v>Demasiado Riesgo</v>
      </c>
      <c r="BN281" s="328"/>
      <c r="BO281" s="328"/>
      <c r="BP281" s="328">
        <v>0</v>
      </c>
      <c r="BQ281" s="328"/>
      <c r="BR281" s="328"/>
      <c r="BS281" s="328"/>
      <c r="BT281" s="328"/>
      <c r="BU281" s="328"/>
      <c r="BV281" s="328"/>
      <c r="BW281" s="328"/>
      <c r="BX281" s="328"/>
      <c r="BY281" s="328"/>
      <c r="BZ281" s="328"/>
      <c r="CA281" s="328"/>
      <c r="CB281" s="328"/>
      <c r="CC281" s="328"/>
      <c r="CD281" s="328"/>
      <c r="CE281" s="328"/>
      <c r="CF281" s="328"/>
      <c r="CG281" s="328"/>
      <c r="CH281" s="328"/>
      <c r="CI281" s="328"/>
      <c r="CJ281" s="328"/>
      <c r="CK281" s="328"/>
      <c r="CL281" s="328">
        <f>COUNTIF(AT281:BH281,"*OK*")</f>
        <v>0</v>
      </c>
      <c r="CM281" s="328"/>
      <c r="CN281" s="328">
        <f>COUNTIF(AT281:BH281,"*OP*")</f>
        <v>0</v>
      </c>
    </row>
    <row r="282" spans="1:94" ht="15" customHeight="1">
      <c r="A282" s="834">
        <v>35476</v>
      </c>
      <c r="B282" s="560" t="s">
        <v>1770</v>
      </c>
      <c r="C282" s="329">
        <f t="shared" si="6"/>
        <v>104.8565</v>
      </c>
      <c r="D282" s="332">
        <f>COUNTIF(AT282:BH282,"*OK*")</f>
        <v>0</v>
      </c>
      <c r="E282" s="397" t="s">
        <v>439</v>
      </c>
      <c r="F282" s="331" t="s">
        <v>1771</v>
      </c>
      <c r="G282" s="331"/>
      <c r="H282" s="650">
        <f>IF(LEN(TRIM($G282&amp;""))=0, $C282, SUMIF($G$3:$G$561, TRIM($G282), $C$3:$C$561))</f>
        <v>104.8565</v>
      </c>
      <c r="I282" s="333" t="s">
        <v>562</v>
      </c>
      <c r="J282" s="331"/>
      <c r="K282" s="328"/>
      <c r="L282" s="328" t="str">
        <f>HYPERLINK("https://crm.zoho.com/crm/org685875245/tab/Accounts/3525045000550487339","https://crm.zoho.com/crm/org685875245/tab/Accounts/3525045000550487339")</f>
        <v>https://crm.zoho.com/crm/org685875245/tab/Accounts/3525045000550487339</v>
      </c>
      <c r="M282" s="391"/>
      <c r="N282" s="332" t="s">
        <v>817</v>
      </c>
      <c r="O282" s="541" t="s">
        <v>1772</v>
      </c>
      <c r="P282" s="541" t="s">
        <v>1773</v>
      </c>
      <c r="Q282" s="541" t="s">
        <v>1774</v>
      </c>
      <c r="R282" s="332"/>
      <c r="S282" s="332"/>
      <c r="T282" s="397"/>
      <c r="U282" s="344" t="s">
        <v>617</v>
      </c>
      <c r="V282" s="335">
        <v>110.21</v>
      </c>
      <c r="W282" s="335">
        <v>110.11</v>
      </c>
      <c r="X282" s="335">
        <v>107.69</v>
      </c>
      <c r="Y282" s="336">
        <v>111.16</v>
      </c>
      <c r="Z282" s="337">
        <v>112.6536</v>
      </c>
      <c r="AA282" s="367">
        <v>117.13</v>
      </c>
      <c r="AB282" s="367">
        <v>109.4773</v>
      </c>
      <c r="AC282" s="636">
        <v>111.48990000000001</v>
      </c>
      <c r="AD282" s="367">
        <v>104.8565</v>
      </c>
      <c r="AE282" s="339">
        <v>34</v>
      </c>
      <c r="AF282" s="340">
        <v>100</v>
      </c>
      <c r="AG282" s="334"/>
      <c r="AH282" s="341"/>
      <c r="AI282" s="418" t="s">
        <v>83</v>
      </c>
      <c r="AJ282" s="343" t="s">
        <v>130</v>
      </c>
      <c r="AK282" s="344" t="s">
        <v>1775</v>
      </c>
      <c r="AL282" s="340" t="s">
        <v>222</v>
      </c>
      <c r="AM282" s="328"/>
      <c r="AN282" s="328"/>
      <c r="AO282" s="328"/>
      <c r="AP282" s="328"/>
      <c r="AQ282" s="328"/>
      <c r="AR282" s="451"/>
      <c r="AS282" s="372" t="s">
        <v>103</v>
      </c>
      <c r="AT282" s="345"/>
      <c r="AU282" s="345"/>
      <c r="AV282" s="345" t="s">
        <v>179</v>
      </c>
      <c r="AW282" s="345"/>
      <c r="AX282" s="345"/>
      <c r="AY282" s="345"/>
      <c r="AZ282" s="345"/>
      <c r="BA282" s="345"/>
      <c r="BB282" s="345"/>
      <c r="BC282" s="345"/>
      <c r="BD282" s="345"/>
      <c r="BE282" s="345"/>
      <c r="BF282" s="345"/>
      <c r="BG282" s="345"/>
      <c r="BH282" s="345"/>
      <c r="BI282" s="345"/>
      <c r="BJ282" s="364">
        <f>COUNTIF(AT282:BI282,"*OP*")</f>
        <v>1</v>
      </c>
      <c r="BK282" s="375" t="s">
        <v>103</v>
      </c>
      <c r="BL282" s="328">
        <f>(COUNTIF(AT282:AV282,"*OK*")*3) + (COUNTIF(AW282:AY282,"*OK*")*2) + COUNTIF(AZ282:BB282,"*OK*")+COUNTIF(BK282:BK282,"SI")*0.5</f>
        <v>0</v>
      </c>
      <c r="BM282" s="328" t="str">
        <f>IF(BL282&lt;0.6,"Demasiado Riesgo",IF(BL282&lt;=5,"Riesgo Medio",IF(BL282&lt;=11,"Riesgo Bajo","Cliente Blindado")))</f>
        <v>Demasiado Riesgo</v>
      </c>
      <c r="BN282" s="328"/>
      <c r="BO282" s="349"/>
      <c r="BP282" s="349">
        <v>0</v>
      </c>
      <c r="BQ282" s="349"/>
      <c r="BR282" s="349"/>
      <c r="BS282" s="349"/>
      <c r="BT282" s="349"/>
      <c r="BU282" s="349"/>
      <c r="BV282" s="349"/>
      <c r="BW282" s="349"/>
      <c r="BX282" s="349"/>
      <c r="BY282" s="349"/>
      <c r="BZ282" s="349"/>
      <c r="CA282" s="349"/>
      <c r="CB282" s="349"/>
      <c r="CC282" s="349"/>
      <c r="CD282" s="349"/>
      <c r="CE282" s="349"/>
      <c r="CF282" s="349"/>
      <c r="CG282" s="349"/>
      <c r="CH282" s="349"/>
      <c r="CI282" s="349"/>
      <c r="CJ282" s="349"/>
      <c r="CK282" s="349"/>
      <c r="CL282" s="349">
        <f>COUNTIF(AT282:BH282,"*OK*")</f>
        <v>0</v>
      </c>
      <c r="CM282" s="349"/>
      <c r="CN282" s="349">
        <f>COUNTIF(AT282:BH282,"*OP*")</f>
        <v>1</v>
      </c>
    </row>
    <row r="283" spans="1:94" ht="15" customHeight="1">
      <c r="A283" s="835"/>
      <c r="B283" s="560"/>
      <c r="C283" s="329">
        <f t="shared" si="6"/>
        <v>96.854299999999995</v>
      </c>
      <c r="D283" s="352">
        <f>COUNTIF(AX283:BI283,"OK")</f>
        <v>0</v>
      </c>
      <c r="E283" s="349" t="s">
        <v>782</v>
      </c>
      <c r="F283" s="368" t="s">
        <v>1776</v>
      </c>
      <c r="G283" s="368"/>
      <c r="H283" s="650">
        <f>IF(LEN(TRIM($G283&amp;""))=0, $C283, SUMIF($G$3:$G$561, TRIM($G283), $C$3:$C$561))</f>
        <v>96.854299999999995</v>
      </c>
      <c r="I283" s="368"/>
      <c r="J283" s="349"/>
      <c r="K283" s="349"/>
      <c r="L283" s="349" t="str">
        <f>HYPERLINK("https://crm.zoho.com/crm/org685875245/tab/Accounts/3525045000641040256","https://crm.zoho.com/crm/org685875245/tab/Accounts/3525045000641040256")</f>
        <v>https://crm.zoho.com/crm/org685875245/tab/Accounts/3525045000641040256</v>
      </c>
      <c r="M283" s="553"/>
      <c r="N283" s="352"/>
      <c r="O283" s="540"/>
      <c r="P283" s="540"/>
      <c r="Q283" s="540"/>
      <c r="R283" s="352"/>
      <c r="S283" s="352"/>
      <c r="T283" s="349"/>
      <c r="U283" s="362"/>
      <c r="V283" s="387"/>
      <c r="W283" s="381"/>
      <c r="X283" s="381"/>
      <c r="Y283" s="627"/>
      <c r="Z283" s="629"/>
      <c r="AA283" s="662"/>
      <c r="AB283" s="662">
        <v>112.3583</v>
      </c>
      <c r="AC283" s="663">
        <v>110.6097</v>
      </c>
      <c r="AD283" s="662">
        <v>96.854299999999995</v>
      </c>
      <c r="AE283" s="348"/>
      <c r="AF283" s="371" t="s">
        <v>103</v>
      </c>
      <c r="AG283" s="362"/>
      <c r="AH283" s="349"/>
      <c r="AI283" s="370"/>
      <c r="AJ283" s="361"/>
      <c r="AK283" s="362"/>
      <c r="AL283" s="371" t="s">
        <v>103</v>
      </c>
      <c r="AM283" s="349"/>
      <c r="AN283" s="349"/>
      <c r="AO283" s="349"/>
      <c r="AP283" s="349"/>
      <c r="AQ283" s="349"/>
      <c r="AR283" s="453"/>
      <c r="AS283" s="449"/>
      <c r="AT283" s="445"/>
      <c r="AU283" s="445"/>
      <c r="AV283" s="445"/>
      <c r="AW283" s="445"/>
      <c r="AX283" s="445"/>
      <c r="AY283" s="445"/>
      <c r="AZ283" s="445"/>
      <c r="BA283" s="445"/>
      <c r="BB283" s="445"/>
      <c r="BC283" s="445"/>
      <c r="BD283" s="445"/>
      <c r="BE283" s="445"/>
      <c r="BF283" s="445"/>
      <c r="BG283" s="445"/>
      <c r="BH283" s="445"/>
      <c r="BI283" s="445"/>
      <c r="BJ283" s="446">
        <f>COUNTIF(AT283:BI283,"*OP*")</f>
        <v>0</v>
      </c>
      <c r="BK283" s="450"/>
      <c r="BL283" s="349">
        <f>(COUNTIF(AT283:AV283,"*OK*")*3) + (COUNTIF(AW283:AY283,"*OK*")*2) + COUNTIF(AZ283:BB283,"*OK*")+COUNTIF(BK283:BK283,"SI")*0.5</f>
        <v>0</v>
      </c>
      <c r="BM283" s="349" t="str">
        <f>IF(BL283&lt;0.6,"Demasiado Riesgo",IF(BL283&lt;=5,"Riesgo Medio",IF(BL283&lt;=11,"Riesgo Bajo","Cliente Blindado")))</f>
        <v>Demasiado Riesgo</v>
      </c>
      <c r="BN283" s="349"/>
      <c r="BO283" s="349"/>
      <c r="BP283" s="349"/>
      <c r="BQ283" s="349"/>
      <c r="BR283" s="349"/>
      <c r="BS283" s="349"/>
      <c r="BT283" s="349"/>
      <c r="BU283" s="349"/>
      <c r="BV283" s="349"/>
      <c r="BW283" s="349"/>
      <c r="BX283" s="349"/>
      <c r="BY283" s="349"/>
      <c r="BZ283" s="349"/>
      <c r="CA283" s="349"/>
      <c r="CB283" s="349"/>
      <c r="CC283" s="349"/>
      <c r="CD283" s="349"/>
      <c r="CE283" s="349"/>
      <c r="CF283" s="349"/>
      <c r="CG283" s="349"/>
      <c r="CH283" s="349"/>
      <c r="CI283" s="349"/>
      <c r="CJ283" s="349"/>
      <c r="CK283" s="349"/>
      <c r="CL283" s="349">
        <f>COUNTIF(AT283:BH283,"*OK*")</f>
        <v>0</v>
      </c>
    </row>
    <row r="284" spans="1:94" ht="15" customHeight="1">
      <c r="A284" s="835"/>
      <c r="B284" s="560" t="s">
        <v>1777</v>
      </c>
      <c r="C284" s="329">
        <f t="shared" si="6"/>
        <v>103.3659</v>
      </c>
      <c r="D284" s="352">
        <f>COUNTIF(AT284:BH284,"*OK*")</f>
        <v>0</v>
      </c>
      <c r="E284" s="397" t="s">
        <v>439</v>
      </c>
      <c r="F284" s="351" t="s">
        <v>1778</v>
      </c>
      <c r="G284" s="351"/>
      <c r="H284" s="650">
        <f>IF(LEN(TRIM($G284&amp;""))=0, $C284, SUMIF($G$3:$G$561, TRIM($G284), $C$3:$C$561))</f>
        <v>103.3659</v>
      </c>
      <c r="I284" s="351" t="s">
        <v>562</v>
      </c>
      <c r="J284" s="351"/>
      <c r="K284" s="349"/>
      <c r="L284" s="349" t="str">
        <f>HYPERLINK("https://crm.zoho.com/crm/org685875245/tab/Accounts/3525045000025416166","https://crm.zoho.com/crm/org685875245/tab/Accounts/3525045000025416166")</f>
        <v>https://crm.zoho.com/crm/org685875245/tab/Accounts/3525045000025416166</v>
      </c>
      <c r="M284" s="553"/>
      <c r="N284" s="332" t="s">
        <v>817</v>
      </c>
      <c r="O284" s="541" t="s">
        <v>1779</v>
      </c>
      <c r="P284" s="541" t="s">
        <v>1780</v>
      </c>
      <c r="Q284" s="541" t="s">
        <v>1781</v>
      </c>
      <c r="R284" s="332"/>
      <c r="S284" s="352" t="s">
        <v>1782</v>
      </c>
      <c r="T284" s="397"/>
      <c r="U284" s="362" t="s">
        <v>902</v>
      </c>
      <c r="V284" s="355">
        <v>112.66</v>
      </c>
      <c r="W284" s="355">
        <v>108.54</v>
      </c>
      <c r="X284" s="355">
        <v>103.44</v>
      </c>
      <c r="Y284" s="356">
        <v>106.77</v>
      </c>
      <c r="Z284" s="337">
        <v>108.2046</v>
      </c>
      <c r="AA284" s="347">
        <v>107.02</v>
      </c>
      <c r="AB284" s="347">
        <v>107.92100000000001</v>
      </c>
      <c r="AC284" s="638">
        <v>109.905</v>
      </c>
      <c r="AD284" s="347">
        <v>103.3659</v>
      </c>
      <c r="AE284" s="357"/>
      <c r="AF284" s="358">
        <v>200</v>
      </c>
      <c r="AG284" s="354"/>
      <c r="AH284" s="359"/>
      <c r="AI284" s="427" t="s">
        <v>83</v>
      </c>
      <c r="AJ284" s="361" t="s">
        <v>143</v>
      </c>
      <c r="AK284" s="362" t="s">
        <v>1783</v>
      </c>
      <c r="AL284" s="358" t="s">
        <v>103</v>
      </c>
      <c r="AM284" s="349"/>
      <c r="AN284" s="349"/>
      <c r="AO284" s="349"/>
      <c r="AP284" s="349"/>
      <c r="AQ284" s="349"/>
      <c r="AR284" s="453"/>
      <c r="AS284" s="371" t="s">
        <v>103</v>
      </c>
      <c r="AT284" s="345"/>
      <c r="AU284" s="345"/>
      <c r="AV284" s="345"/>
      <c r="AW284" s="345"/>
      <c r="AX284" s="345"/>
      <c r="AY284" s="345"/>
      <c r="AZ284" s="345"/>
      <c r="BA284" s="345"/>
      <c r="BB284" s="345"/>
      <c r="BC284" s="345"/>
      <c r="BD284" s="345"/>
      <c r="BE284" s="345"/>
      <c r="BF284" s="345"/>
      <c r="BG284" s="345"/>
      <c r="BH284" s="345"/>
      <c r="BI284" s="345"/>
      <c r="BJ284" s="364">
        <f>COUNTIF(AT284:BI284,"*OP*")</f>
        <v>0</v>
      </c>
      <c r="BK284" s="363" t="s">
        <v>103</v>
      </c>
      <c r="BL284" s="349">
        <f>(COUNTIF(AT284:AV284,"*OK*")*3) + (COUNTIF(AW284:AY284,"*OK*")*2) + COUNTIF(AZ284:BB284,"*OK*")+COUNTIF(BK284:BK284,"SI")*0.5</f>
        <v>0</v>
      </c>
      <c r="BM284" s="349" t="str">
        <f>IF(BL284&lt;0.6,"Demasiado Riesgo",IF(BL284&lt;=5,"Riesgo Medio",IF(BL284&lt;=11,"Riesgo Bajo","Cliente Blindado")))</f>
        <v>Demasiado Riesgo</v>
      </c>
      <c r="BN284" s="349"/>
      <c r="BO284" s="349"/>
      <c r="BP284" s="349">
        <v>0</v>
      </c>
      <c r="BQ284" s="349"/>
      <c r="BR284" s="349"/>
      <c r="BS284" s="349"/>
      <c r="BT284" s="349"/>
      <c r="BU284" s="349"/>
      <c r="BV284" s="349"/>
      <c r="BW284" s="349"/>
      <c r="BX284" s="349"/>
      <c r="BY284" s="349"/>
      <c r="BZ284" s="349"/>
      <c r="CA284" s="349"/>
      <c r="CB284" s="349"/>
      <c r="CC284" s="349"/>
      <c r="CD284" s="349"/>
      <c r="CE284" s="349"/>
      <c r="CF284" s="349"/>
      <c r="CG284" s="349"/>
      <c r="CH284" s="349"/>
      <c r="CI284" s="349"/>
      <c r="CJ284" s="349"/>
      <c r="CK284" s="349"/>
      <c r="CL284" s="349">
        <f>COUNTIF(AT284:BH284,"*OK*")</f>
        <v>0</v>
      </c>
      <c r="CM284" s="349"/>
      <c r="CN284" s="349">
        <f>COUNTIF(AT284:BH284,"*OP*")</f>
        <v>0</v>
      </c>
    </row>
    <row r="285" spans="1:94" ht="15" customHeight="1">
      <c r="A285" s="835">
        <v>27834</v>
      </c>
      <c r="B285" s="560" t="s">
        <v>1784</v>
      </c>
      <c r="C285" s="329">
        <f t="shared" si="6"/>
        <v>100.13249999999999</v>
      </c>
      <c r="D285" s="352">
        <f>COUNTIF(AT285:BH285,"*OK*")</f>
        <v>0</v>
      </c>
      <c r="E285" s="397" t="s">
        <v>439</v>
      </c>
      <c r="F285" s="351" t="s">
        <v>1785</v>
      </c>
      <c r="G285" s="351"/>
      <c r="H285" s="650">
        <f>IF(LEN(TRIM($G285&amp;""))=0, $C285, SUMIF($G$3:$G$561, TRIM($G285), $C$3:$C$561))</f>
        <v>100.13249999999999</v>
      </c>
      <c r="I285" s="351" t="s">
        <v>562</v>
      </c>
      <c r="J285" s="351"/>
      <c r="K285" s="349"/>
      <c r="L285" s="349" t="str">
        <f>HYPERLINK("https://crm.zoho.com/crm/org685875245/tab/Accounts/3525045000407862390","https://crm.zoho.com/crm/org685875245/tab/Accounts/3525045000407862390")</f>
        <v>https://crm.zoho.com/crm/org685875245/tab/Accounts/3525045000407862390</v>
      </c>
      <c r="M285" s="553"/>
      <c r="N285" s="332" t="s">
        <v>817</v>
      </c>
      <c r="O285" s="541" t="s">
        <v>1076</v>
      </c>
      <c r="P285" s="541" t="s">
        <v>1786</v>
      </c>
      <c r="Q285" s="541" t="s">
        <v>1787</v>
      </c>
      <c r="R285" s="332"/>
      <c r="S285" s="352"/>
      <c r="T285" s="397"/>
      <c r="U285" s="362" t="s">
        <v>585</v>
      </c>
      <c r="V285" s="355">
        <v>93.21</v>
      </c>
      <c r="W285" s="355">
        <v>123.17</v>
      </c>
      <c r="X285" s="355">
        <v>114.52</v>
      </c>
      <c r="Y285" s="356">
        <v>118.2</v>
      </c>
      <c r="Z285" s="337">
        <v>119.7941</v>
      </c>
      <c r="AA285" s="347">
        <v>112.56</v>
      </c>
      <c r="AB285" s="347">
        <v>119.48</v>
      </c>
      <c r="AC285" s="638">
        <v>109.5089</v>
      </c>
      <c r="AD285" s="347">
        <v>100.13249999999999</v>
      </c>
      <c r="AE285" s="357">
        <v>32</v>
      </c>
      <c r="AF285" s="358">
        <v>100</v>
      </c>
      <c r="AG285" s="354"/>
      <c r="AH285" s="359"/>
      <c r="AI285" s="427" t="s">
        <v>83</v>
      </c>
      <c r="AJ285" s="361" t="s">
        <v>199</v>
      </c>
      <c r="AK285" s="362" t="s">
        <v>1788</v>
      </c>
      <c r="AL285" s="358" t="s">
        <v>103</v>
      </c>
      <c r="AM285" s="349"/>
      <c r="AN285" s="349"/>
      <c r="AO285" s="349"/>
      <c r="AP285" s="349"/>
      <c r="AQ285" s="349"/>
      <c r="AR285" s="453"/>
      <c r="AS285" s="371" t="s">
        <v>103</v>
      </c>
      <c r="AT285" s="445"/>
      <c r="AU285" s="445"/>
      <c r="AV285" s="445"/>
      <c r="AW285" s="445"/>
      <c r="AX285" s="445"/>
      <c r="AY285" s="445"/>
      <c r="AZ285" s="445"/>
      <c r="BA285" s="445"/>
      <c r="BB285" s="445"/>
      <c r="BC285" s="445"/>
      <c r="BD285" s="445"/>
      <c r="BE285" s="445"/>
      <c r="BF285" s="445"/>
      <c r="BG285" s="445"/>
      <c r="BH285" s="445"/>
      <c r="BI285" s="445"/>
      <c r="BJ285" s="446">
        <f>COUNTIF(AT285:BI285,"*OP*")</f>
        <v>0</v>
      </c>
      <c r="BK285" s="363" t="s">
        <v>103</v>
      </c>
      <c r="BL285" s="349">
        <f>(COUNTIF(AT285:AV285,"*OK*")*3) + (COUNTIF(AW285:AY285,"*OK*")*2) + COUNTIF(AZ285:BB285,"*OK*")+COUNTIF(BK285:BK285,"SI")*0.5</f>
        <v>0</v>
      </c>
      <c r="BM285" s="349" t="str">
        <f>IF(BL285&lt;0.6,"Demasiado Riesgo",IF(BL285&lt;=5,"Riesgo Medio",IF(BL285&lt;=11,"Riesgo Bajo","Cliente Blindado")))</f>
        <v>Demasiado Riesgo</v>
      </c>
      <c r="BN285" s="349"/>
      <c r="BO285" s="349"/>
      <c r="BP285" s="349">
        <v>0</v>
      </c>
      <c r="BQ285" s="349"/>
      <c r="BR285" s="349"/>
      <c r="BS285" s="349"/>
      <c r="BT285" s="349"/>
      <c r="BU285" s="349"/>
      <c r="BV285" s="349"/>
      <c r="BW285" s="349"/>
      <c r="BX285" s="349"/>
      <c r="BY285" s="349"/>
      <c r="BZ285" s="349"/>
      <c r="CA285" s="349"/>
      <c r="CB285" s="349"/>
      <c r="CC285" s="349"/>
      <c r="CD285" s="349"/>
      <c r="CE285" s="349"/>
      <c r="CF285" s="349"/>
      <c r="CG285" s="349"/>
      <c r="CH285" s="349"/>
      <c r="CI285" s="349"/>
      <c r="CJ285" s="349"/>
      <c r="CK285" s="349"/>
      <c r="CL285" s="349">
        <f>COUNTIF(AT285:BH285,"*OK*")</f>
        <v>0</v>
      </c>
      <c r="CM285" s="349"/>
      <c r="CN285" s="349">
        <f>COUNTIF(AT285:BH285,"*OP*")</f>
        <v>0</v>
      </c>
    </row>
    <row r="286" spans="1:94" ht="15" customHeight="1">
      <c r="A286" s="834">
        <v>18595</v>
      </c>
      <c r="B286" s="560" t="s">
        <v>1789</v>
      </c>
      <c r="C286" s="329">
        <f t="shared" si="6"/>
        <v>101.1446</v>
      </c>
      <c r="D286" s="332">
        <f>COUNTIF(AT286:BH286,"*OK*")</f>
        <v>0</v>
      </c>
      <c r="E286" s="331" t="s">
        <v>93</v>
      </c>
      <c r="F286" s="331" t="s">
        <v>1790</v>
      </c>
      <c r="G286" s="331" t="s">
        <v>1791</v>
      </c>
      <c r="H286" s="650">
        <f>IF(LEN(TRIM($G286&amp;""))=0, $C286, SUMIF($G$3:$G$561, TRIM($G286), $C$3:$C$561))</f>
        <v>101.1446</v>
      </c>
      <c r="I286" s="410" t="s">
        <v>76</v>
      </c>
      <c r="J286" s="331"/>
      <c r="K286" s="328"/>
      <c r="L286" s="328" t="str">
        <f>HYPERLINK("https://crm.zoho.com/crm/org685875245/tab/Accounts/3525045000142979058","https://crm.zoho.com/crm/org685875245/tab/Accounts/3525045000142979058")</f>
        <v>https://crm.zoho.com/crm/org685875245/tab/Accounts/3525045000142979058</v>
      </c>
      <c r="M286" s="341" t="s">
        <v>77</v>
      </c>
      <c r="N286" s="341"/>
      <c r="O286" s="548" t="s">
        <v>1792</v>
      </c>
      <c r="P286" s="548" t="s">
        <v>1793</v>
      </c>
      <c r="Q286" s="548" t="s">
        <v>1794</v>
      </c>
      <c r="R286" s="341"/>
      <c r="S286" s="341"/>
      <c r="T286" s="331"/>
      <c r="U286" s="344" t="s">
        <v>209</v>
      </c>
      <c r="V286" s="335">
        <v>128.37</v>
      </c>
      <c r="W286" s="335">
        <v>120.24</v>
      </c>
      <c r="X286" s="335">
        <v>110.76</v>
      </c>
      <c r="Y286" s="336">
        <v>108.42</v>
      </c>
      <c r="Z286" s="337">
        <v>105.8794</v>
      </c>
      <c r="AA286" s="347">
        <v>104.72</v>
      </c>
      <c r="AB286" s="347">
        <v>105.6018</v>
      </c>
      <c r="AC286" s="638">
        <v>107.5432</v>
      </c>
      <c r="AD286" s="347">
        <v>101.1446</v>
      </c>
      <c r="AE286" s="339">
        <v>343</v>
      </c>
      <c r="AF286" s="340">
        <v>100</v>
      </c>
      <c r="AG286" s="334"/>
      <c r="AH286" s="341"/>
      <c r="AI286" s="422" t="s">
        <v>83</v>
      </c>
      <c r="AJ286" s="343" t="s">
        <v>396</v>
      </c>
      <c r="AK286" s="344" t="s">
        <v>1795</v>
      </c>
      <c r="AL286" s="340" t="s">
        <v>103</v>
      </c>
      <c r="AM286" s="328"/>
      <c r="AN286" s="328" t="s">
        <v>236</v>
      </c>
      <c r="AO286" s="328"/>
      <c r="AP286" s="328"/>
      <c r="AQ286" s="328" t="s">
        <v>1796</v>
      </c>
      <c r="AR286" s="451"/>
      <c r="AS286" s="372"/>
      <c r="AT286" s="345"/>
      <c r="AU286" s="345"/>
      <c r="AV286" s="345" t="s">
        <v>1797</v>
      </c>
      <c r="AW286" s="345"/>
      <c r="AX286" s="345"/>
      <c r="AY286" s="345"/>
      <c r="AZ286" s="345"/>
      <c r="BA286" s="345"/>
      <c r="BB286" s="345"/>
      <c r="BC286" s="345"/>
      <c r="BD286" s="345"/>
      <c r="BE286" s="345"/>
      <c r="BF286" s="345"/>
      <c r="BG286" s="345"/>
      <c r="BH286" s="345"/>
      <c r="BI286" s="345"/>
      <c r="BJ286" s="364">
        <f>COUNTIF(AT286:BI286,"*OP*")</f>
        <v>1</v>
      </c>
      <c r="BK286" s="375" t="s">
        <v>103</v>
      </c>
      <c r="BL286" s="328">
        <f>(COUNTIF(AT286:AV286,"*OK*")*3) + (COUNTIF(AW286:AY286,"*OK*")*2) + COUNTIF(AZ286:BB286,"*OK*")+COUNTIF(BK286:BK286,"SI")*0.5</f>
        <v>0</v>
      </c>
      <c r="BM286" s="328" t="str">
        <f>IF(BL286&lt;0.6,"Demasiado Riesgo",IF(BL286&lt;=5,"Riesgo Medio",IF(BL286&lt;=11,"Riesgo Bajo","Cliente Blindado")))</f>
        <v>Demasiado Riesgo</v>
      </c>
      <c r="BN286" s="328"/>
      <c r="BO286" s="328"/>
      <c r="BP286" s="328">
        <v>0</v>
      </c>
      <c r="BQ286" s="328"/>
      <c r="BR286" s="328"/>
      <c r="BS286" s="328"/>
      <c r="BT286" s="328"/>
      <c r="BU286" s="328"/>
      <c r="BV286" s="328"/>
      <c r="BW286" s="328"/>
      <c r="BX286" s="328"/>
      <c r="BY286" s="328"/>
      <c r="BZ286" s="328"/>
      <c r="CA286" s="328"/>
      <c r="CB286" s="328"/>
      <c r="CC286" s="328"/>
      <c r="CD286" s="328"/>
      <c r="CE286" s="328"/>
      <c r="CF286" s="328"/>
      <c r="CG286" s="328"/>
      <c r="CH286" s="328"/>
      <c r="CI286" s="328"/>
      <c r="CJ286" s="328"/>
      <c r="CK286" s="328"/>
      <c r="CL286" s="328">
        <f>COUNTIF(AT286:BH286,"*OK*")</f>
        <v>0</v>
      </c>
      <c r="CM286" s="328"/>
      <c r="CN286" s="328">
        <f>COUNTIF(AT286:BH286,"*OP*")</f>
        <v>1</v>
      </c>
    </row>
    <row r="287" spans="1:94" ht="15" customHeight="1">
      <c r="A287" s="834"/>
      <c r="B287" s="560"/>
      <c r="C287" s="329">
        <f t="shared" si="6"/>
        <v>0</v>
      </c>
      <c r="D287" s="332">
        <f>COUNTIF(AX287:BI287,"OK")</f>
        <v>0</v>
      </c>
      <c r="E287" s="437" t="s">
        <v>439</v>
      </c>
      <c r="F287" s="593" t="s">
        <v>1798</v>
      </c>
      <c r="G287" s="342"/>
      <c r="H287" s="650">
        <f>IF(LEN(TRIM($G287&amp;""))=0, $C287, SUMIF($G$3:$G$561, TRIM($G287), $C$3:$C$561))</f>
        <v>0</v>
      </c>
      <c r="I287" s="366" t="s">
        <v>103</v>
      </c>
      <c r="J287" s="366" t="s">
        <v>1799</v>
      </c>
      <c r="K287" s="328"/>
      <c r="L287" s="328"/>
      <c r="M287" s="391"/>
      <c r="N287" s="352" t="s">
        <v>817</v>
      </c>
      <c r="O287" s="540" t="s">
        <v>1800</v>
      </c>
      <c r="P287" s="540" t="s">
        <v>1801</v>
      </c>
      <c r="Q287" s="540" t="s">
        <v>1802</v>
      </c>
      <c r="R287" s="352"/>
      <c r="S287" s="471"/>
      <c r="T287" s="397"/>
      <c r="U287" s="344" t="s">
        <v>198</v>
      </c>
      <c r="V287" s="403" t="s">
        <v>103</v>
      </c>
      <c r="W287" s="403"/>
      <c r="X287" s="403" t="s">
        <v>103</v>
      </c>
      <c r="Y287" s="404">
        <v>101.52</v>
      </c>
      <c r="Z287" s="400">
        <v>101.0416</v>
      </c>
      <c r="AA287" s="374" t="s">
        <v>103</v>
      </c>
      <c r="AB287" s="374">
        <v>104.4644</v>
      </c>
      <c r="AC287" s="643">
        <v>106.3849</v>
      </c>
      <c r="AD287" s="374"/>
      <c r="AE287" s="339"/>
      <c r="AF287" s="340" t="s">
        <v>103</v>
      </c>
      <c r="AG287" s="334"/>
      <c r="AH287" s="328"/>
      <c r="AI287" s="342"/>
      <c r="AJ287" s="343"/>
      <c r="AK287" s="344"/>
      <c r="AL287" s="372" t="s">
        <v>103</v>
      </c>
      <c r="AM287" s="328"/>
      <c r="AN287" s="328"/>
      <c r="AO287" s="328"/>
      <c r="AP287" s="328"/>
      <c r="AQ287" s="328"/>
      <c r="AR287" s="451"/>
      <c r="AS287" s="372" t="s">
        <v>103</v>
      </c>
      <c r="AT287" s="345"/>
      <c r="AU287" s="345"/>
      <c r="AV287" s="345"/>
      <c r="AW287" s="345"/>
      <c r="AX287" s="345"/>
      <c r="AY287" s="345"/>
      <c r="AZ287" s="345"/>
      <c r="BA287" s="345"/>
      <c r="BB287" s="345"/>
      <c r="BC287" s="345"/>
      <c r="BD287" s="345"/>
      <c r="BE287" s="345"/>
      <c r="BF287" s="345"/>
      <c r="BG287" s="345"/>
      <c r="BH287" s="345"/>
      <c r="BI287" s="345"/>
      <c r="BJ287" s="364">
        <f>COUNTIF(AT287:BI287,"*OP*")</f>
        <v>0</v>
      </c>
      <c r="BK287" s="375" t="s">
        <v>103</v>
      </c>
      <c r="BL287" s="328">
        <f>(COUNTIF(AT287:AV287,"*OK*")*3) + (COUNTIF(AW287:AY287,"*OK*")*2) + COUNTIF(AZ287:BB287,"*OK*")+COUNTIF(BK287:BK287,"SI")*0.5</f>
        <v>0</v>
      </c>
      <c r="BM287" s="328" t="str">
        <f>IF(BL287&lt;0.6,"Demasiado Riesgo",IF(BL287&lt;=5,"Riesgo Medio",IF(BL287&lt;=11,"Riesgo Bajo","Cliente Blindado")))</f>
        <v>Demasiado Riesgo</v>
      </c>
      <c r="BN287" s="328"/>
      <c r="BO287" s="349"/>
      <c r="BP287" s="349">
        <v>0</v>
      </c>
      <c r="BQ287" s="349"/>
      <c r="BR287" s="349"/>
      <c r="BS287" s="349"/>
      <c r="BT287" s="349"/>
      <c r="BU287" s="349"/>
      <c r="BV287" s="349"/>
      <c r="BW287" s="349"/>
      <c r="BX287" s="349"/>
      <c r="BY287" s="349"/>
      <c r="BZ287" s="349"/>
      <c r="CA287" s="349"/>
      <c r="CB287" s="349"/>
      <c r="CC287" s="349"/>
      <c r="CD287" s="349"/>
      <c r="CE287" s="349"/>
      <c r="CF287" s="349"/>
      <c r="CG287" s="349"/>
      <c r="CH287" s="349"/>
      <c r="CI287" s="349"/>
      <c r="CJ287" s="349"/>
      <c r="CK287" s="349"/>
      <c r="CL287" s="349">
        <f>COUNTIF(AT287:BH287,"*OK*")</f>
        <v>0</v>
      </c>
      <c r="CM287" s="349"/>
      <c r="CN287" s="349">
        <f>COUNTIF(AT287:BH287,"*OP*")</f>
        <v>0</v>
      </c>
    </row>
    <row r="288" spans="1:94" ht="15" customHeight="1">
      <c r="A288" s="835">
        <v>1889</v>
      </c>
      <c r="B288" s="560" t="s">
        <v>1803</v>
      </c>
      <c r="C288" s="329">
        <f t="shared" si="6"/>
        <v>100.03309999999999</v>
      </c>
      <c r="D288" s="352">
        <f>COUNTIF(AT288:BH288,"*OK*")</f>
        <v>0</v>
      </c>
      <c r="E288" s="331" t="s">
        <v>782</v>
      </c>
      <c r="F288" s="351" t="s">
        <v>1804</v>
      </c>
      <c r="G288" s="351"/>
      <c r="H288" s="650">
        <f>IF(LEN(TRIM($G288&amp;""))=0, $C288, SUMIF($G$3:$G$561, TRIM($G288), $C$3:$C$561))</f>
        <v>100.03309999999999</v>
      </c>
      <c r="I288" s="351" t="s">
        <v>562</v>
      </c>
      <c r="J288" s="351"/>
      <c r="K288" s="349"/>
      <c r="L288" s="349" t="str">
        <f>HYPERLINK("https://crm.zoho.com/crm/org685875245/tab/Accounts/3525045000025415284","https://crm.zoho.com/crm/org685875245/tab/Accounts/3525045000025415284")</f>
        <v>https://crm.zoho.com/crm/org685875245/tab/Accounts/3525045000025415284</v>
      </c>
      <c r="M288" s="553"/>
      <c r="N288" s="352"/>
      <c r="O288" s="540" t="s">
        <v>1805</v>
      </c>
      <c r="P288" s="540"/>
      <c r="Q288" s="540" t="s">
        <v>1806</v>
      </c>
      <c r="R288" s="352"/>
      <c r="S288" s="352"/>
      <c r="T288" s="351"/>
      <c r="U288" s="354" t="s">
        <v>394</v>
      </c>
      <c r="V288" s="355">
        <v>106.98</v>
      </c>
      <c r="W288" s="355">
        <v>106.88</v>
      </c>
      <c r="X288" s="355">
        <v>100.1</v>
      </c>
      <c r="Y288" s="356">
        <v>101.51</v>
      </c>
      <c r="Z288" s="337">
        <v>0</v>
      </c>
      <c r="AA288" s="365">
        <v>99.93</v>
      </c>
      <c r="AB288" s="365"/>
      <c r="AC288" s="635">
        <v>106.3614</v>
      </c>
      <c r="AD288" s="365">
        <v>100.03309999999999</v>
      </c>
      <c r="AE288" s="357">
        <v>11</v>
      </c>
      <c r="AF288" s="358">
        <v>100</v>
      </c>
      <c r="AG288" s="354"/>
      <c r="AH288" s="359"/>
      <c r="AI288" s="427" t="s">
        <v>83</v>
      </c>
      <c r="AJ288" s="361" t="s">
        <v>120</v>
      </c>
      <c r="AK288" s="362" t="s">
        <v>1807</v>
      </c>
      <c r="AL288" s="358" t="s">
        <v>103</v>
      </c>
      <c r="AM288" s="349"/>
      <c r="AN288" s="349"/>
      <c r="AO288" s="349"/>
      <c r="AP288" s="349"/>
      <c r="AQ288" s="349"/>
      <c r="AR288" s="453"/>
      <c r="AS288" s="371" t="s">
        <v>103</v>
      </c>
      <c r="AT288" s="345"/>
      <c r="AU288" s="345"/>
      <c r="AV288" s="345"/>
      <c r="AW288" s="345"/>
      <c r="AX288" s="345"/>
      <c r="AY288" s="345"/>
      <c r="AZ288" s="345"/>
      <c r="BA288" s="345"/>
      <c r="BB288" s="345"/>
      <c r="BC288" s="345"/>
      <c r="BD288" s="345"/>
      <c r="BE288" s="345"/>
      <c r="BF288" s="345"/>
      <c r="BG288" s="345"/>
      <c r="BH288" s="345"/>
      <c r="BI288" s="345"/>
      <c r="BJ288" s="364">
        <f>COUNTIF(AT288:BI288,"*OP*")</f>
        <v>0</v>
      </c>
      <c r="BK288" s="363" t="s">
        <v>103</v>
      </c>
      <c r="BL288" s="349">
        <f>(COUNTIF(AT288:AV288,"*OK*")*3) + (COUNTIF(AW288:AY288,"*OK*")*2) + COUNTIF(AZ288:BB288,"*OK*")+COUNTIF(BK288:BK288,"SI")*0.5</f>
        <v>0</v>
      </c>
      <c r="BM288" s="349" t="str">
        <f>IF(BL288&lt;0.6,"Demasiado Riesgo",IF(BL288&lt;=5,"Riesgo Medio",IF(BL288&lt;=11,"Riesgo Bajo","Cliente Blindado")))</f>
        <v>Demasiado Riesgo</v>
      </c>
      <c r="BN288" s="349"/>
      <c r="BO288" s="328"/>
      <c r="BP288" s="328">
        <v>0</v>
      </c>
      <c r="BQ288" s="328"/>
      <c r="BR288" s="328"/>
      <c r="BS288" s="328"/>
      <c r="BT288" s="328"/>
      <c r="BU288" s="328"/>
      <c r="BV288" s="328"/>
      <c r="BW288" s="328"/>
      <c r="BX288" s="328"/>
      <c r="BY288" s="328"/>
      <c r="BZ288" s="328"/>
      <c r="CA288" s="328"/>
      <c r="CB288" s="328"/>
      <c r="CC288" s="328"/>
      <c r="CD288" s="328"/>
      <c r="CE288" s="328"/>
      <c r="CF288" s="328"/>
      <c r="CG288" s="328"/>
      <c r="CH288" s="328"/>
      <c r="CI288" s="328"/>
      <c r="CJ288" s="328"/>
      <c r="CK288" s="328"/>
      <c r="CL288" s="328">
        <f>COUNTIF(AT288:BH288,"*OK*")</f>
        <v>0</v>
      </c>
      <c r="CM288" s="328"/>
      <c r="CN288" s="328">
        <f>COUNTIF(AT288:BH288,"*OP*")</f>
        <v>0</v>
      </c>
      <c r="CO288" s="285"/>
    </row>
    <row r="289" spans="1:92" ht="15" customHeight="1">
      <c r="A289" s="835">
        <v>34359</v>
      </c>
      <c r="B289" s="560" t="s">
        <v>1808</v>
      </c>
      <c r="C289" s="329">
        <f t="shared" si="6"/>
        <v>95.198700000000002</v>
      </c>
      <c r="D289" s="352">
        <f>COUNTIF(AT289:BH289,"*OK*")</f>
        <v>0</v>
      </c>
      <c r="E289" s="397" t="s">
        <v>439</v>
      </c>
      <c r="F289" s="351" t="s">
        <v>1809</v>
      </c>
      <c r="G289" s="351"/>
      <c r="H289" s="650">
        <f>IF(LEN(TRIM($G289&amp;""))=0, $C289, SUMIF($G$3:$G$561, TRIM($G289), $C$3:$C$561))</f>
        <v>95.198700000000002</v>
      </c>
      <c r="I289" s="353" t="s">
        <v>562</v>
      </c>
      <c r="J289" s="351"/>
      <c r="K289" s="349"/>
      <c r="L289" s="349" t="str">
        <f>HYPERLINK("https://crm.zoho.com/crm/org685875245/tab/Accounts/3525045000533201920","https://crm.zoho.com/crm/org685875245/tab/Accounts/3525045000533201920")</f>
        <v>https://crm.zoho.com/crm/org685875245/tab/Accounts/3525045000533201920</v>
      </c>
      <c r="M289" s="553"/>
      <c r="N289" s="332" t="s">
        <v>817</v>
      </c>
      <c r="O289" s="541" t="s">
        <v>1810</v>
      </c>
      <c r="P289" s="541" t="s">
        <v>1811</v>
      </c>
      <c r="Q289" s="541" t="s">
        <v>1812</v>
      </c>
      <c r="R289" s="332"/>
      <c r="S289" s="352"/>
      <c r="T289" s="397"/>
      <c r="U289" s="362" t="s">
        <v>394</v>
      </c>
      <c r="V289" s="355">
        <v>104.41</v>
      </c>
      <c r="W289" s="355">
        <v>108.66</v>
      </c>
      <c r="X289" s="355">
        <v>99.41</v>
      </c>
      <c r="Y289" s="356">
        <v>98.33</v>
      </c>
      <c r="Z289" s="337">
        <v>108.3207</v>
      </c>
      <c r="AA289" s="365">
        <v>94.28</v>
      </c>
      <c r="AB289" s="365">
        <v>103.7153</v>
      </c>
      <c r="AC289" s="635">
        <v>105.6221</v>
      </c>
      <c r="AD289" s="365">
        <v>95.198700000000002</v>
      </c>
      <c r="AE289" s="357">
        <v>23</v>
      </c>
      <c r="AF289" s="358">
        <v>200</v>
      </c>
      <c r="AG289" s="354"/>
      <c r="AH289" s="359"/>
      <c r="AI289" s="360" t="s">
        <v>83</v>
      </c>
      <c r="AJ289" s="361" t="s">
        <v>297</v>
      </c>
      <c r="AK289" s="362" t="s">
        <v>1813</v>
      </c>
      <c r="AL289" s="358" t="s">
        <v>396</v>
      </c>
      <c r="AM289" s="349"/>
      <c r="AN289" s="349"/>
      <c r="AO289" s="349"/>
      <c r="AP289" s="349"/>
      <c r="AQ289" s="349"/>
      <c r="AR289" s="453"/>
      <c r="AS289" s="371" t="s">
        <v>103</v>
      </c>
      <c r="AT289" s="445"/>
      <c r="AU289" s="445"/>
      <c r="AV289" s="445"/>
      <c r="AW289" s="445"/>
      <c r="AX289" s="445"/>
      <c r="AY289" s="445"/>
      <c r="AZ289" s="445"/>
      <c r="BA289" s="445"/>
      <c r="BB289" s="445"/>
      <c r="BC289" s="445"/>
      <c r="BD289" s="445"/>
      <c r="BE289" s="445"/>
      <c r="BF289" s="445"/>
      <c r="BG289" s="445"/>
      <c r="BH289" s="445"/>
      <c r="BI289" s="445"/>
      <c r="BJ289" s="446">
        <f>COUNTIF(AT289:BI289,"*OP*")</f>
        <v>0</v>
      </c>
      <c r="BK289" s="363" t="s">
        <v>103</v>
      </c>
      <c r="BL289" s="349">
        <f>(COUNTIF(AT289:AV289,"*OK*")*3) + (COUNTIF(AW289:AY289,"*OK*")*2) + COUNTIF(AZ289:BB289,"*OK*")+COUNTIF(BK289:BK289,"SI")*0.5</f>
        <v>0</v>
      </c>
      <c r="BM289" s="349" t="str">
        <f>IF(BL289&lt;0.6,"Demasiado Riesgo",IF(BL289&lt;=5,"Riesgo Medio",IF(BL289&lt;=11,"Riesgo Bajo","Cliente Blindado")))</f>
        <v>Demasiado Riesgo</v>
      </c>
      <c r="BN289" s="349"/>
      <c r="BO289" s="328"/>
      <c r="BP289" s="328">
        <v>0</v>
      </c>
      <c r="BQ289" s="328"/>
      <c r="BR289" s="328"/>
      <c r="BS289" s="328"/>
      <c r="BT289" s="328"/>
      <c r="BU289" s="328"/>
      <c r="BV289" s="328"/>
      <c r="BW289" s="328"/>
      <c r="BX289" s="328"/>
      <c r="BY289" s="328"/>
      <c r="BZ289" s="328"/>
      <c r="CA289" s="328"/>
      <c r="CB289" s="328"/>
      <c r="CC289" s="328"/>
      <c r="CD289" s="328"/>
      <c r="CE289" s="328"/>
      <c r="CF289" s="328"/>
      <c r="CG289" s="328"/>
      <c r="CH289" s="328"/>
      <c r="CI289" s="328"/>
      <c r="CJ289" s="328"/>
      <c r="CK289" s="328"/>
      <c r="CL289" s="328">
        <f>COUNTIF(AT289:BH289,"*OK*")</f>
        <v>0</v>
      </c>
      <c r="CM289" s="328"/>
      <c r="CN289" s="328">
        <f>COUNTIF(AT289:BH289,"*OP*")</f>
        <v>0</v>
      </c>
    </row>
    <row r="290" spans="1:92" ht="15" customHeight="1">
      <c r="A290" s="835"/>
      <c r="B290" s="560" t="s">
        <v>1814</v>
      </c>
      <c r="C290" s="329">
        <f t="shared" si="6"/>
        <v>100.05520000000001</v>
      </c>
      <c r="D290" s="352">
        <f>COUNTIF(AX290:BI290,"OK")</f>
        <v>0</v>
      </c>
      <c r="E290" s="500" t="s">
        <v>439</v>
      </c>
      <c r="F290" s="537" t="s">
        <v>1815</v>
      </c>
      <c r="G290" s="536"/>
      <c r="H290" s="650">
        <f>IF(LEN(TRIM($G290&amp;""))=0, $C290, SUMIF($G$3:$G$561, TRIM($G290), $C$3:$C$561))</f>
        <v>100.05520000000001</v>
      </c>
      <c r="I290" s="500" t="s">
        <v>562</v>
      </c>
      <c r="J290" s="500" t="s">
        <v>103</v>
      </c>
      <c r="K290" s="349"/>
      <c r="L290" s="349" t="str">
        <f>HYPERLINK("https://crm.zoho.com/crm/org685875245/tab/Accounts/3525045000636647300","https://crm.zoho.com/crm/org685875245/tab/Accounts/3525045000636647300")</f>
        <v>https://crm.zoho.com/crm/org685875245/tab/Accounts/3525045000636647300</v>
      </c>
      <c r="M290" s="553"/>
      <c r="N290" s="500" t="s">
        <v>103</v>
      </c>
      <c r="O290" s="542" t="s">
        <v>1816</v>
      </c>
      <c r="P290" s="542" t="s">
        <v>1817</v>
      </c>
      <c r="Q290" s="606" t="s">
        <v>1818</v>
      </c>
      <c r="R290" s="500"/>
      <c r="S290" s="500" t="s">
        <v>103</v>
      </c>
      <c r="T290" s="500" t="s">
        <v>88</v>
      </c>
      <c r="U290" s="467" t="s">
        <v>103</v>
      </c>
      <c r="V290" s="500" t="s">
        <v>103</v>
      </c>
      <c r="W290" s="500" t="s">
        <v>103</v>
      </c>
      <c r="X290" s="500" t="s">
        <v>103</v>
      </c>
      <c r="Y290" s="511" t="s">
        <v>103</v>
      </c>
      <c r="Z290" s="517" t="s">
        <v>103</v>
      </c>
      <c r="AA290" s="518">
        <v>118.28</v>
      </c>
      <c r="AB290" s="518">
        <v>104.4644</v>
      </c>
      <c r="AC290" s="639">
        <v>104.0377</v>
      </c>
      <c r="AD290" s="518">
        <v>100.05520000000001</v>
      </c>
      <c r="AE290" s="348"/>
      <c r="AF290" s="371" t="s">
        <v>103</v>
      </c>
      <c r="AG290" s="362"/>
      <c r="AH290" s="349"/>
      <c r="AI290" s="370"/>
      <c r="AJ290" s="361"/>
      <c r="AK290" s="362"/>
      <c r="AL290" s="371" t="s">
        <v>103</v>
      </c>
      <c r="AM290" s="349"/>
      <c r="AN290" s="349"/>
      <c r="AO290" s="349"/>
      <c r="AP290" s="349"/>
      <c r="AQ290" s="349"/>
      <c r="AR290" s="453"/>
      <c r="AS290" s="449"/>
      <c r="AT290" s="345"/>
      <c r="AU290" s="345"/>
      <c r="AV290" s="345"/>
      <c r="AW290" s="345"/>
      <c r="AX290" s="345"/>
      <c r="AY290" s="345"/>
      <c r="AZ290" s="345"/>
      <c r="BA290" s="345"/>
      <c r="BB290" s="345"/>
      <c r="BC290" s="345"/>
      <c r="BD290" s="345"/>
      <c r="BE290" s="345"/>
      <c r="BF290" s="345"/>
      <c r="BG290" s="345"/>
      <c r="BH290" s="345"/>
      <c r="BI290" s="345"/>
      <c r="BJ290" s="364">
        <f>COUNTIF(AT290:BI290,"*OP*")</f>
        <v>0</v>
      </c>
      <c r="BK290" s="450"/>
      <c r="BL290" s="349">
        <f>(COUNTIF(AT290:AV290,"*OK*")*3) + (COUNTIF(AW290:AY290,"*OK*")*2) + COUNTIF(AZ290:BB290,"*OK*")+COUNTIF(BK290:BK290,"SI")*0.5</f>
        <v>0</v>
      </c>
      <c r="BM290" s="349" t="str">
        <f>IF(BL290&lt;0.6,"Demasiado Riesgo",IF(BL290&lt;=5,"Riesgo Medio",IF(BL290&lt;=11,"Riesgo Bajo","Cliente Blindado")))</f>
        <v>Demasiado Riesgo</v>
      </c>
      <c r="BN290" s="349"/>
      <c r="BO290" s="328"/>
      <c r="BP290" s="328">
        <v>0</v>
      </c>
      <c r="BQ290" s="328"/>
      <c r="BR290" s="328"/>
      <c r="BS290" s="328"/>
      <c r="BT290" s="328"/>
      <c r="BU290" s="328"/>
      <c r="BV290" s="328"/>
      <c r="BW290" s="328"/>
      <c r="BX290" s="328"/>
      <c r="BY290" s="328"/>
      <c r="BZ290" s="328"/>
      <c r="CA290" s="328"/>
      <c r="CB290" s="328"/>
      <c r="CC290" s="328"/>
      <c r="CD290" s="328"/>
      <c r="CE290" s="328"/>
      <c r="CF290" s="328"/>
      <c r="CG290" s="328"/>
      <c r="CH290" s="328"/>
      <c r="CI290" s="328"/>
      <c r="CJ290" s="328"/>
      <c r="CK290" s="328"/>
      <c r="CL290" s="328">
        <f>COUNTIF(AT290:BH290,"*OK*")</f>
        <v>0</v>
      </c>
      <c r="CM290" s="328"/>
      <c r="CN290" s="328">
        <f>COUNTIF(AT290:BH290,"*OP*")</f>
        <v>0</v>
      </c>
    </row>
    <row r="291" spans="1:92" ht="15" customHeight="1">
      <c r="A291" s="835">
        <v>6508</v>
      </c>
      <c r="B291" s="560" t="s">
        <v>1819</v>
      </c>
      <c r="C291" s="329">
        <f t="shared" si="6"/>
        <v>97.816800000000001</v>
      </c>
      <c r="D291" s="352">
        <f>COUNTIF(AX291:BI291,"OK")</f>
        <v>0</v>
      </c>
      <c r="E291" s="331" t="s">
        <v>73</v>
      </c>
      <c r="F291" s="368" t="s">
        <v>1820</v>
      </c>
      <c r="G291" s="368" t="s">
        <v>1821</v>
      </c>
      <c r="H291" s="650">
        <f>IF(LEN(TRIM($G291&amp;""))=0, $C291, SUMIF($G$3:$G$561, TRIM($G291), $C$3:$C$561))</f>
        <v>152.755</v>
      </c>
      <c r="I291" s="368" t="s">
        <v>562</v>
      </c>
      <c r="J291" s="349"/>
      <c r="K291" s="558"/>
      <c r="L291" s="558"/>
      <c r="M291" s="553"/>
      <c r="N291" s="560"/>
      <c r="O291" s="561"/>
      <c r="P291" s="561"/>
      <c r="Q291" s="561"/>
      <c r="R291" s="560" t="s">
        <v>160</v>
      </c>
      <c r="S291" s="352"/>
      <c r="T291" s="397"/>
      <c r="U291" s="362" t="s">
        <v>1822</v>
      </c>
      <c r="V291" s="335">
        <v>139</v>
      </c>
      <c r="W291" s="335">
        <v>134</v>
      </c>
      <c r="X291" s="335">
        <v>120</v>
      </c>
      <c r="Y291" s="336">
        <v>101.04</v>
      </c>
      <c r="Z291" s="337">
        <v>102.39579999999999</v>
      </c>
      <c r="AA291" s="374">
        <v>101.27</v>
      </c>
      <c r="AB291" s="374">
        <v>102.12730000000001</v>
      </c>
      <c r="AC291" s="643">
        <v>104.0048</v>
      </c>
      <c r="AD291" s="374">
        <v>97.816800000000001</v>
      </c>
      <c r="AE291" s="357">
        <v>276</v>
      </c>
      <c r="AF291" s="358" t="s">
        <v>103</v>
      </c>
      <c r="AG291" s="354"/>
      <c r="AH291" s="349"/>
      <c r="AI291" s="370"/>
      <c r="AJ291" s="361"/>
      <c r="AK291" s="362"/>
      <c r="AL291" s="371" t="s">
        <v>103</v>
      </c>
      <c r="AM291" s="349"/>
      <c r="AN291" s="349"/>
      <c r="AO291" s="349"/>
      <c r="AP291" s="349"/>
      <c r="AQ291" s="349"/>
      <c r="AR291" s="453"/>
      <c r="AS291" s="371"/>
      <c r="AT291" s="345"/>
      <c r="AU291" s="345"/>
      <c r="AV291" s="345"/>
      <c r="AW291" s="345"/>
      <c r="AX291" s="345"/>
      <c r="AY291" s="345"/>
      <c r="AZ291" s="345"/>
      <c r="BA291" s="345"/>
      <c r="BB291" s="345"/>
      <c r="BC291" s="345"/>
      <c r="BD291" s="345"/>
      <c r="BE291" s="345"/>
      <c r="BF291" s="345"/>
      <c r="BG291" s="345"/>
      <c r="BH291" s="345"/>
      <c r="BI291" s="345"/>
      <c r="BJ291" s="364">
        <f>COUNTIF(AT291:BI291,"*OP*")</f>
        <v>0</v>
      </c>
      <c r="BK291" s="363" t="s">
        <v>103</v>
      </c>
      <c r="BL291" s="349">
        <f>(COUNTIF(AT291:AV291,"*OK*")*3) + (COUNTIF(AW291:AY291,"*OK*")*2) + COUNTIF(AZ291:BB291,"*OK*")+COUNTIF(BK291:BK291,"SI")*0.5</f>
        <v>0</v>
      </c>
      <c r="BM291" s="349" t="str">
        <f>IF(BL291&lt;0.6,"Demasiado Riesgo",IF(BL291&lt;=5,"Riesgo Medio",IF(BL291&lt;=11,"Riesgo Bajo","Cliente Blindado")))</f>
        <v>Demasiado Riesgo</v>
      </c>
      <c r="BN291" s="349"/>
      <c r="BO291" s="349"/>
      <c r="BP291" s="349">
        <v>0</v>
      </c>
      <c r="BQ291" s="349"/>
      <c r="BR291" s="349"/>
      <c r="BS291" s="349"/>
      <c r="BT291" s="349"/>
      <c r="BU291" s="349"/>
      <c r="BV291" s="349"/>
      <c r="BW291" s="349"/>
      <c r="BX291" s="349"/>
      <c r="BY291" s="349"/>
      <c r="BZ291" s="349"/>
      <c r="CA291" s="349"/>
      <c r="CB291" s="349"/>
      <c r="CC291" s="349"/>
      <c r="CD291" s="349"/>
      <c r="CE291" s="349"/>
      <c r="CF291" s="349"/>
      <c r="CG291" s="349"/>
      <c r="CH291" s="349"/>
      <c r="CI291" s="349"/>
      <c r="CJ291" s="349"/>
      <c r="CK291" s="349"/>
      <c r="CL291" s="349">
        <f>COUNTIF(AT291:BH291,"*OK*")</f>
        <v>0</v>
      </c>
      <c r="CM291" s="349"/>
      <c r="CN291" s="349">
        <f>COUNTIF(AT291:BH291,"*OP*")</f>
        <v>0</v>
      </c>
    </row>
    <row r="292" spans="1:92" ht="15" customHeight="1">
      <c r="A292" s="834">
        <v>27835</v>
      </c>
      <c r="B292" s="560" t="s">
        <v>1823</v>
      </c>
      <c r="C292" s="329">
        <f t="shared" si="6"/>
        <v>96.132499999999993</v>
      </c>
      <c r="D292" s="332">
        <f>COUNTIF(AT292:BH292,"*OK*")</f>
        <v>0</v>
      </c>
      <c r="E292" s="397" t="s">
        <v>439</v>
      </c>
      <c r="F292" s="331" t="s">
        <v>1824</v>
      </c>
      <c r="G292" s="331"/>
      <c r="H292" s="650">
        <f>IF(LEN(TRIM($G292&amp;""))=0, $C292, SUMIF($G$3:$G$561, TRIM($G292), $C$3:$C$561))</f>
        <v>96.132499999999993</v>
      </c>
      <c r="I292" s="331" t="s">
        <v>562</v>
      </c>
      <c r="J292" s="331"/>
      <c r="K292" s="328"/>
      <c r="L292" s="328" t="str">
        <f>HYPERLINK("https://crm.zoho.com/crm/org685875245/tab/Accounts/3525045000414155120","https://crm.zoho.com/crm/org685875245/tab/Accounts/3525045000414155120")</f>
        <v>https://crm.zoho.com/crm/org685875245/tab/Accounts/3525045000414155120</v>
      </c>
      <c r="M292" s="391"/>
      <c r="N292" s="332" t="s">
        <v>817</v>
      </c>
      <c r="O292" s="541" t="s">
        <v>1825</v>
      </c>
      <c r="P292" s="541" t="s">
        <v>1826</v>
      </c>
      <c r="Q292" s="541" t="s">
        <v>1827</v>
      </c>
      <c r="R292" s="332"/>
      <c r="S292" s="332"/>
      <c r="T292" s="397"/>
      <c r="U292" s="344" t="s">
        <v>902</v>
      </c>
      <c r="V292" s="335">
        <v>109.46</v>
      </c>
      <c r="W292" s="335">
        <v>109.36</v>
      </c>
      <c r="X292" s="335">
        <v>100.21</v>
      </c>
      <c r="Y292" s="336">
        <v>103.43</v>
      </c>
      <c r="Z292" s="337">
        <v>100.6326</v>
      </c>
      <c r="AA292" s="347">
        <v>99.53</v>
      </c>
      <c r="AB292" s="347">
        <v>96.186700000000002</v>
      </c>
      <c r="AC292" s="638">
        <v>102.214</v>
      </c>
      <c r="AD292" s="347">
        <v>96.132499999999993</v>
      </c>
      <c r="AE292" s="339">
        <v>24</v>
      </c>
      <c r="AF292" s="340">
        <v>100</v>
      </c>
      <c r="AG292" s="334"/>
      <c r="AH292" s="341"/>
      <c r="AI292" s="342" t="s">
        <v>258</v>
      </c>
      <c r="AJ292" s="343" t="s">
        <v>143</v>
      </c>
      <c r="AK292" s="344" t="s">
        <v>1828</v>
      </c>
      <c r="AL292" s="340" t="s">
        <v>103</v>
      </c>
      <c r="AM292" s="328"/>
      <c r="AN292" s="328"/>
      <c r="AO292" s="328"/>
      <c r="AP292" s="328"/>
      <c r="AQ292" s="328"/>
      <c r="AR292" s="451"/>
      <c r="AS292" s="372" t="s">
        <v>103</v>
      </c>
      <c r="AT292" s="345"/>
      <c r="AU292" s="345"/>
      <c r="AV292" s="345"/>
      <c r="AW292" s="345"/>
      <c r="AX292" s="345"/>
      <c r="AY292" s="345"/>
      <c r="AZ292" s="345"/>
      <c r="BA292" s="345"/>
      <c r="BB292" s="345"/>
      <c r="BC292" s="345"/>
      <c r="BD292" s="345"/>
      <c r="BE292" s="345"/>
      <c r="BF292" s="345"/>
      <c r="BG292" s="345"/>
      <c r="BH292" s="345"/>
      <c r="BI292" s="345"/>
      <c r="BJ292" s="364">
        <f>COUNTIF(AT292:BI292,"*OP*")</f>
        <v>0</v>
      </c>
      <c r="BK292" s="375" t="s">
        <v>103</v>
      </c>
      <c r="BL292" s="328">
        <f>(COUNTIF(AT292:AV292,"*OK*")*3) + (COUNTIF(AW292:AY292,"*OK*")*2) + COUNTIF(AZ292:BB292,"*OK*")+COUNTIF(BK292:BK292,"SI")*0.5</f>
        <v>0</v>
      </c>
      <c r="BM292" s="328" t="str">
        <f>IF(BL292&lt;0.6,"Demasiado Riesgo",IF(BL292&lt;=5,"Riesgo Medio",IF(BL292&lt;=11,"Riesgo Bajo","Cliente Blindado")))</f>
        <v>Demasiado Riesgo</v>
      </c>
      <c r="BN292" s="328"/>
      <c r="BO292" s="328"/>
      <c r="BP292" s="328">
        <v>0</v>
      </c>
      <c r="BQ292" s="328"/>
      <c r="BR292" s="328"/>
      <c r="BS292" s="328"/>
      <c r="BT292" s="328"/>
      <c r="BU292" s="328"/>
      <c r="BV292" s="328"/>
      <c r="BW292" s="328"/>
      <c r="BX292" s="328"/>
      <c r="BY292" s="328"/>
      <c r="BZ292" s="328"/>
      <c r="CA292" s="328"/>
      <c r="CB292" s="328"/>
      <c r="CC292" s="328"/>
      <c r="CD292" s="328"/>
      <c r="CE292" s="328"/>
      <c r="CF292" s="328"/>
      <c r="CG292" s="328"/>
      <c r="CH292" s="328"/>
      <c r="CI292" s="328"/>
      <c r="CJ292" s="328"/>
      <c r="CK292" s="328"/>
      <c r="CL292" s="328">
        <f>COUNTIF(AT292:BH292,"*OK*")</f>
        <v>0</v>
      </c>
      <c r="CM292" s="328"/>
      <c r="CN292" s="328">
        <f>COUNTIF(AT292:BH292,"*OP*")</f>
        <v>0</v>
      </c>
    </row>
    <row r="293" spans="1:92" ht="15" customHeight="1">
      <c r="A293" s="835">
        <v>26405</v>
      </c>
      <c r="B293" s="560" t="s">
        <v>1829</v>
      </c>
      <c r="C293" s="329">
        <f t="shared" si="6"/>
        <v>95.349900000000005</v>
      </c>
      <c r="D293" s="352">
        <f>COUNTIF(AT293:BH293,"*OK*")</f>
        <v>0</v>
      </c>
      <c r="E293" s="397" t="s">
        <v>439</v>
      </c>
      <c r="F293" s="351" t="s">
        <v>1830</v>
      </c>
      <c r="G293" s="351"/>
      <c r="H293" s="650">
        <f>IF(LEN(TRIM($G293&amp;""))=0, $C293, SUMIF($G$3:$G$561, TRIM($G293), $C$3:$C$561))</f>
        <v>95.349900000000005</v>
      </c>
      <c r="I293" s="351" t="s">
        <v>562</v>
      </c>
      <c r="J293" s="351"/>
      <c r="K293" s="349"/>
      <c r="L293" s="349" t="str">
        <f>HYPERLINK("https://crm.zoho.com/crm/org685875245/tab/Accounts/3525045000347475292","https://crm.zoho.com/crm/org685875245/tab/Accounts/3525045000347475292")</f>
        <v>https://crm.zoho.com/crm/org685875245/tab/Accounts/3525045000347475292</v>
      </c>
      <c r="M293" s="553"/>
      <c r="N293" s="332" t="s">
        <v>817</v>
      </c>
      <c r="O293" s="541" t="s">
        <v>1831</v>
      </c>
      <c r="P293" s="541"/>
      <c r="Q293" s="541" t="s">
        <v>1832</v>
      </c>
      <c r="R293" s="332"/>
      <c r="S293" s="352"/>
      <c r="T293" s="397"/>
      <c r="U293" s="362" t="s">
        <v>198</v>
      </c>
      <c r="V293" s="355">
        <v>80.66</v>
      </c>
      <c r="W293" s="355">
        <v>97.68</v>
      </c>
      <c r="X293" s="355">
        <v>102.4</v>
      </c>
      <c r="Y293" s="356">
        <v>108.1</v>
      </c>
      <c r="Z293" s="337">
        <v>107.1168</v>
      </c>
      <c r="AA293" s="365">
        <v>105.94</v>
      </c>
      <c r="AB293" s="365">
        <v>106.836</v>
      </c>
      <c r="AC293" s="635">
        <v>101.3819</v>
      </c>
      <c r="AD293" s="365">
        <v>95.349900000000005</v>
      </c>
      <c r="AE293" s="357">
        <v>41</v>
      </c>
      <c r="AF293" s="358">
        <v>300</v>
      </c>
      <c r="AG293" s="354"/>
      <c r="AH293" s="359"/>
      <c r="AI293" s="370" t="s">
        <v>258</v>
      </c>
      <c r="AJ293" s="361" t="s">
        <v>130</v>
      </c>
      <c r="AK293" s="362" t="s">
        <v>1833</v>
      </c>
      <c r="AL293" s="358" t="s">
        <v>103</v>
      </c>
      <c r="AM293" s="349"/>
      <c r="AN293" s="349"/>
      <c r="AO293" s="349"/>
      <c r="AP293" s="349"/>
      <c r="AQ293" s="349"/>
      <c r="AR293" s="453"/>
      <c r="AS293" s="371" t="s">
        <v>103</v>
      </c>
      <c r="AT293" s="345"/>
      <c r="AU293" s="345"/>
      <c r="AV293" s="345"/>
      <c r="AW293" s="345"/>
      <c r="AX293" s="345"/>
      <c r="AY293" s="345"/>
      <c r="AZ293" s="345"/>
      <c r="BA293" s="345"/>
      <c r="BB293" s="345"/>
      <c r="BC293" s="345"/>
      <c r="BD293" s="345"/>
      <c r="BE293" s="345"/>
      <c r="BF293" s="345"/>
      <c r="BG293" s="345"/>
      <c r="BH293" s="345"/>
      <c r="BI293" s="345"/>
      <c r="BJ293" s="364">
        <f>COUNTIF(AT293:BI293,"*OP*")</f>
        <v>0</v>
      </c>
      <c r="BK293" s="363" t="s">
        <v>103</v>
      </c>
      <c r="BL293" s="349">
        <f>(COUNTIF(AT293:AV293,"*OK*")*3) + (COUNTIF(AW293:AY293,"*OK*")*2) + COUNTIF(AZ293:BB293,"*OK*")+COUNTIF(BK293:BK293,"SI")*0.5</f>
        <v>0</v>
      </c>
      <c r="BM293" s="349" t="str">
        <f>IF(BL293&lt;0.6,"Demasiado Riesgo",IF(BL293&lt;=5,"Riesgo Medio",IF(BL293&lt;=11,"Riesgo Bajo","Cliente Blindado")))</f>
        <v>Demasiado Riesgo</v>
      </c>
      <c r="BN293" s="349"/>
      <c r="BO293" s="328"/>
      <c r="BP293" s="328">
        <v>0</v>
      </c>
      <c r="BQ293" s="328"/>
      <c r="BR293" s="328"/>
      <c r="BS293" s="328"/>
      <c r="BT293" s="328"/>
      <c r="BU293" s="328"/>
      <c r="BV293" s="328"/>
      <c r="BW293" s="328"/>
      <c r="BX293" s="328"/>
      <c r="BY293" s="328"/>
      <c r="BZ293" s="328"/>
      <c r="CA293" s="328"/>
      <c r="CB293" s="328"/>
      <c r="CC293" s="328"/>
      <c r="CD293" s="328"/>
      <c r="CE293" s="328"/>
      <c r="CF293" s="328"/>
      <c r="CG293" s="328"/>
      <c r="CH293" s="328"/>
      <c r="CI293" s="328"/>
      <c r="CJ293" s="328"/>
      <c r="CK293" s="328"/>
      <c r="CL293" s="328">
        <f>COUNTIF(AT293:BH293,"*OK*")</f>
        <v>0</v>
      </c>
      <c r="CM293" s="328"/>
      <c r="CN293" s="328">
        <f>COUNTIF(AT293:BH293,"*OP*")</f>
        <v>0</v>
      </c>
    </row>
    <row r="294" spans="1:92" ht="15" customHeight="1">
      <c r="A294" s="836">
        <v>32676</v>
      </c>
      <c r="B294" s="560" t="s">
        <v>1834</v>
      </c>
      <c r="C294" s="329">
        <f t="shared" si="6"/>
        <v>100.5419</v>
      </c>
      <c r="D294" s="332">
        <f>COUNTIF(AT294:BH294,"*OK*")</f>
        <v>0</v>
      </c>
      <c r="E294" s="331" t="s">
        <v>73</v>
      </c>
      <c r="F294" s="331" t="s">
        <v>1835</v>
      </c>
      <c r="G294" s="351" t="s">
        <v>773</v>
      </c>
      <c r="H294" s="650">
        <f>IF(LEN(TRIM($G294&amp;""))=0, $C294, SUMIF($G$3:$G$561, TRIM($G294), $C$3:$C$561))</f>
        <v>709.99</v>
      </c>
      <c r="I294" s="410" t="s">
        <v>76</v>
      </c>
      <c r="J294" s="331"/>
      <c r="K294" s="560"/>
      <c r="L294" s="560" t="str">
        <f>HYPERLINK("https://crm.zoho.com/crm/org685875245/tab/Accounts/3525045000491949002","https://crm.zoho.com/crm/org685875245/tab/Accounts/3525045000491949002")</f>
        <v>https://crm.zoho.com/crm/org685875245/tab/Accounts/3525045000491949002</v>
      </c>
      <c r="M294" s="391" t="s">
        <v>96</v>
      </c>
      <c r="N294" s="560"/>
      <c r="O294" s="688" t="s">
        <v>706</v>
      </c>
      <c r="P294" s="688" t="s">
        <v>774</v>
      </c>
      <c r="Q294" s="688" t="s">
        <v>775</v>
      </c>
      <c r="R294" s="699"/>
      <c r="S294" s="694"/>
      <c r="T294" s="351" t="s">
        <v>88</v>
      </c>
      <c r="U294" s="334" t="s">
        <v>387</v>
      </c>
      <c r="V294" s="335">
        <v>156.43</v>
      </c>
      <c r="W294" s="335">
        <v>150.09</v>
      </c>
      <c r="X294" s="335">
        <v>150.87</v>
      </c>
      <c r="Y294" s="336">
        <v>159.72</v>
      </c>
      <c r="Z294" s="337">
        <v>159.84219999999999</v>
      </c>
      <c r="AA294" s="365">
        <v>140.09</v>
      </c>
      <c r="AB294" s="365">
        <v>98.922499999999999</v>
      </c>
      <c r="AC294" s="635">
        <v>100.7411</v>
      </c>
      <c r="AD294" s="365">
        <v>100.5419</v>
      </c>
      <c r="AE294" s="339">
        <v>289</v>
      </c>
      <c r="AF294" s="340">
        <v>100</v>
      </c>
      <c r="AG294" s="334"/>
      <c r="AH294" s="341"/>
      <c r="AI294" s="422" t="s">
        <v>83</v>
      </c>
      <c r="AJ294" s="343" t="s">
        <v>120</v>
      </c>
      <c r="AK294" s="344" t="s">
        <v>1836</v>
      </c>
      <c r="AL294" s="340" t="s">
        <v>103</v>
      </c>
      <c r="AM294" s="328"/>
      <c r="AN294" s="328"/>
      <c r="AO294" s="328"/>
      <c r="AP294" s="328"/>
      <c r="AQ294" s="328"/>
      <c r="AR294" s="451"/>
      <c r="AS294" s="372" t="s">
        <v>103</v>
      </c>
      <c r="AT294" s="345"/>
      <c r="AU294" s="345"/>
      <c r="AV294" s="345"/>
      <c r="AW294" s="345"/>
      <c r="AX294" s="345"/>
      <c r="AY294" s="345"/>
      <c r="AZ294" s="345"/>
      <c r="BA294" s="345"/>
      <c r="BB294" s="345"/>
      <c r="BC294" s="345"/>
      <c r="BD294" s="345"/>
      <c r="BE294" s="345"/>
      <c r="BF294" s="345"/>
      <c r="BG294" s="345"/>
      <c r="BH294" s="345"/>
      <c r="BI294" s="345"/>
      <c r="BJ294" s="364">
        <f>COUNTIF(AT294:BI294,"*OP*")</f>
        <v>0</v>
      </c>
      <c r="BK294" s="375" t="s">
        <v>103</v>
      </c>
      <c r="BL294" s="328">
        <f>(COUNTIF(AT294:AV294,"*OK*")*3) + (COUNTIF(AW294:AY294,"*OK*")*2) + COUNTIF(AZ294:BB294,"*OK*")+COUNTIF(BK294:BK294,"SI")*0.5</f>
        <v>0</v>
      </c>
      <c r="BM294" s="328" t="str">
        <f>IF(BL294&lt;0.6,"Demasiado Riesgo",IF(BL294&lt;=5,"Riesgo Medio",IF(BL294&lt;=11,"Riesgo Bajo","Cliente Blindado")))</f>
        <v>Demasiado Riesgo</v>
      </c>
      <c r="BN294" s="328"/>
      <c r="BO294" s="349"/>
      <c r="BP294" s="349">
        <v>0</v>
      </c>
      <c r="BQ294" s="349"/>
      <c r="BR294" s="349"/>
      <c r="BS294" s="349"/>
      <c r="BT294" s="349"/>
      <c r="BU294" s="349"/>
      <c r="BV294" s="349"/>
      <c r="BW294" s="349"/>
      <c r="BX294" s="349"/>
      <c r="BY294" s="349"/>
      <c r="BZ294" s="349"/>
      <c r="CA294" s="349"/>
      <c r="CB294" s="349"/>
      <c r="CC294" s="349"/>
      <c r="CD294" s="349"/>
      <c r="CE294" s="349"/>
      <c r="CF294" s="349"/>
      <c r="CG294" s="349"/>
      <c r="CH294" s="349"/>
      <c r="CI294" s="349"/>
      <c r="CJ294" s="349"/>
      <c r="CK294" s="349"/>
      <c r="CL294" s="349">
        <f>COUNTIF(AT294:BH294,"*OK*")</f>
        <v>0</v>
      </c>
      <c r="CM294" s="349"/>
      <c r="CN294" s="349">
        <f>COUNTIF(AT294:BH294,"*OP*")</f>
        <v>0</v>
      </c>
    </row>
    <row r="295" spans="1:92" ht="15" customHeight="1">
      <c r="A295" s="834">
        <v>2418</v>
      </c>
      <c r="B295" s="560" t="s">
        <v>1837</v>
      </c>
      <c r="C295" s="329">
        <f t="shared" si="6"/>
        <v>107.25</v>
      </c>
      <c r="D295" s="332">
        <f>COUNTIF(AT295:BH295,"*OK*")</f>
        <v>0</v>
      </c>
      <c r="E295" s="331" t="s">
        <v>439</v>
      </c>
      <c r="F295" s="331" t="s">
        <v>1838</v>
      </c>
      <c r="G295" s="331"/>
      <c r="H295" s="650">
        <f>IF(LEN(TRIM($G295&amp;""))=0, $C295, SUMIF($G$3:$G$561, TRIM($G295), $C$3:$C$561))</f>
        <v>107.25</v>
      </c>
      <c r="I295" s="410" t="s">
        <v>562</v>
      </c>
      <c r="J295" s="331"/>
      <c r="K295" s="328"/>
      <c r="L295" s="328" t="str">
        <f>HYPERLINK("https://crm.zoho.com/crm/org685875245/tab/Accounts/3525045000025415766","https://crm.zoho.com/crm/org685875245/tab/Accounts/3525045000025415766")</f>
        <v>https://crm.zoho.com/crm/org685875245/tab/Accounts/3525045000025415766</v>
      </c>
      <c r="M295" s="391" t="s">
        <v>96</v>
      </c>
      <c r="N295" s="332" t="s">
        <v>1839</v>
      </c>
      <c r="O295" s="541" t="s">
        <v>706</v>
      </c>
      <c r="P295" s="541" t="s">
        <v>1840</v>
      </c>
      <c r="Q295" s="541" t="s">
        <v>1841</v>
      </c>
      <c r="R295" s="332"/>
      <c r="S295" s="332"/>
      <c r="T295" s="331"/>
      <c r="U295" s="334" t="s">
        <v>585</v>
      </c>
      <c r="V295" s="335">
        <v>97.35</v>
      </c>
      <c r="W295" s="335">
        <v>99</v>
      </c>
      <c r="X295" s="335">
        <v>105.6</v>
      </c>
      <c r="Y295" s="336">
        <v>97.35</v>
      </c>
      <c r="Z295" s="337">
        <v>100.65</v>
      </c>
      <c r="AA295" s="365">
        <v>89.1</v>
      </c>
      <c r="AB295" s="365">
        <v>95.7</v>
      </c>
      <c r="AC295" s="635">
        <v>100.65</v>
      </c>
      <c r="AD295" s="365">
        <v>107.25</v>
      </c>
      <c r="AE295" s="339">
        <v>83</v>
      </c>
      <c r="AF295" s="340">
        <v>500</v>
      </c>
      <c r="AG295" s="334"/>
      <c r="AH295" s="341"/>
      <c r="AI295" s="422" t="s">
        <v>83</v>
      </c>
      <c r="AJ295" s="343" t="s">
        <v>199</v>
      </c>
      <c r="AK295" s="344" t="s">
        <v>1842</v>
      </c>
      <c r="AL295" s="340" t="s">
        <v>103</v>
      </c>
      <c r="AM295" s="328"/>
      <c r="AN295" s="328"/>
      <c r="AO295" s="328"/>
      <c r="AP295" s="328"/>
      <c r="AQ295" s="328"/>
      <c r="AR295" s="451"/>
      <c r="AS295" s="372" t="s">
        <v>88</v>
      </c>
      <c r="AT295" s="345"/>
      <c r="AU295" s="345"/>
      <c r="AV295" s="345"/>
      <c r="AW295" s="345"/>
      <c r="AX295" s="345"/>
      <c r="AY295" s="345"/>
      <c r="AZ295" s="345"/>
      <c r="BA295" s="345"/>
      <c r="BB295" s="345"/>
      <c r="BC295" s="345"/>
      <c r="BD295" s="345"/>
      <c r="BE295" s="345"/>
      <c r="BF295" s="345"/>
      <c r="BG295" s="345"/>
      <c r="BH295" s="345"/>
      <c r="BI295" s="345"/>
      <c r="BJ295" s="364">
        <f>COUNTIF(AT295:BI295,"*OP*")</f>
        <v>0</v>
      </c>
      <c r="BK295" s="375" t="s">
        <v>89</v>
      </c>
      <c r="BL295" s="328">
        <f>(COUNTIF(AT295:AV295,"*OK*")*3) + (COUNTIF(AW295:AY295,"*OK*")*2) + COUNTIF(AZ295:BB295,"*OK*")+COUNTIF(BK295:BK295,"SI")*0.5</f>
        <v>0</v>
      </c>
      <c r="BM295" s="328" t="str">
        <f>IF(BL295&lt;0.6,"Demasiado Riesgo",IF(BL295&lt;=5,"Riesgo Medio",IF(BL295&lt;=11,"Riesgo Bajo","Cliente Blindado")))</f>
        <v>Demasiado Riesgo</v>
      </c>
      <c r="BN295" s="328"/>
      <c r="BO295" s="349"/>
      <c r="BP295" s="349">
        <v>0</v>
      </c>
      <c r="BQ295" s="349"/>
      <c r="BR295" s="349"/>
      <c r="BS295" s="349"/>
      <c r="BT295" s="349"/>
      <c r="BU295" s="349"/>
      <c r="BV295" s="349"/>
      <c r="BW295" s="349"/>
      <c r="BX295" s="349"/>
      <c r="BY295" s="349"/>
      <c r="BZ295" s="349"/>
      <c r="CA295" s="349"/>
      <c r="CB295" s="349"/>
      <c r="CC295" s="349"/>
      <c r="CD295" s="349"/>
      <c r="CE295" s="349"/>
      <c r="CF295" s="349"/>
      <c r="CG295" s="349"/>
      <c r="CH295" s="349"/>
      <c r="CI295" s="349"/>
      <c r="CJ295" s="349"/>
      <c r="CK295" s="349"/>
      <c r="CL295" s="349">
        <f>COUNTIF(AT295:BH295,"*OK*")</f>
        <v>0</v>
      </c>
      <c r="CM295" s="349"/>
      <c r="CN295" s="349">
        <f>COUNTIF(AT295:BH295,"*OP*")</f>
        <v>0</v>
      </c>
    </row>
    <row r="296" spans="1:92" ht="15" customHeight="1">
      <c r="A296" s="834"/>
      <c r="B296" s="560" t="s">
        <v>1843</v>
      </c>
      <c r="C296" s="329">
        <f t="shared" si="6"/>
        <v>97.567899999999995</v>
      </c>
      <c r="D296" s="332">
        <f>COUNTIF(AT296:BH296,"*OK*")</f>
        <v>0</v>
      </c>
      <c r="E296" s="397" t="s">
        <v>439</v>
      </c>
      <c r="F296" s="331" t="s">
        <v>1844</v>
      </c>
      <c r="G296" s="331"/>
      <c r="H296" s="650">
        <f>IF(LEN(TRIM($G296&amp;""))=0, $C296, SUMIF($G$3:$G$561, TRIM($G296), $C$3:$C$561))</f>
        <v>97.567899999999995</v>
      </c>
      <c r="I296" s="331" t="s">
        <v>562</v>
      </c>
      <c r="J296" s="331"/>
      <c r="K296" s="328"/>
      <c r="L296" s="328" t="str">
        <f>HYPERLINK("https://crm.zoho.com/crm/org685875245/tab/Accounts/3525045000472081471","https://crm.zoho.com/crm/org685875245/tab/Accounts/3525045000472081471")</f>
        <v>https://crm.zoho.com/crm/org685875245/tab/Accounts/3525045000472081471</v>
      </c>
      <c r="M296" s="391"/>
      <c r="N296" s="332" t="s">
        <v>817</v>
      </c>
      <c r="O296" s="541" t="s">
        <v>1845</v>
      </c>
      <c r="P296" s="541" t="s">
        <v>1846</v>
      </c>
      <c r="Q296" s="541" t="s">
        <v>1847</v>
      </c>
      <c r="R296" s="332"/>
      <c r="S296" s="332"/>
      <c r="T296" s="397"/>
      <c r="U296" s="344" t="s">
        <v>394</v>
      </c>
      <c r="V296" s="335">
        <v>105.85</v>
      </c>
      <c r="W296" s="335">
        <v>109.06</v>
      </c>
      <c r="X296" s="335">
        <v>100.79</v>
      </c>
      <c r="Y296" s="336">
        <v>107.28</v>
      </c>
      <c r="Z296" s="337">
        <v>125.19799999999999</v>
      </c>
      <c r="AA296" s="347">
        <v>94.5</v>
      </c>
      <c r="AB296" s="347">
        <v>98.581400000000002</v>
      </c>
      <c r="AC296" s="638">
        <v>100.3937</v>
      </c>
      <c r="AD296" s="347">
        <v>97.567899999999995</v>
      </c>
      <c r="AE296" s="339"/>
      <c r="AF296" s="340">
        <v>100</v>
      </c>
      <c r="AG296" s="334"/>
      <c r="AH296" s="341"/>
      <c r="AI296" s="422" t="s">
        <v>83</v>
      </c>
      <c r="AJ296" s="343" t="s">
        <v>396</v>
      </c>
      <c r="AK296" s="344" t="s">
        <v>1848</v>
      </c>
      <c r="AL296" s="340" t="s">
        <v>396</v>
      </c>
      <c r="AM296" s="328"/>
      <c r="AN296" s="328"/>
      <c r="AO296" s="328"/>
      <c r="AP296" s="328"/>
      <c r="AQ296" s="328"/>
      <c r="AR296" s="451"/>
      <c r="AS296" s="372" t="s">
        <v>103</v>
      </c>
      <c r="AT296" s="345"/>
      <c r="AU296" s="345"/>
      <c r="AV296" s="345"/>
      <c r="AW296" s="345"/>
      <c r="AX296" s="345"/>
      <c r="AY296" s="345"/>
      <c r="AZ296" s="345"/>
      <c r="BA296" s="345"/>
      <c r="BB296" s="345"/>
      <c r="BC296" s="345"/>
      <c r="BD296" s="345"/>
      <c r="BE296" s="345"/>
      <c r="BF296" s="345"/>
      <c r="BG296" s="345"/>
      <c r="BH296" s="345"/>
      <c r="BI296" s="345"/>
      <c r="BJ296" s="364">
        <f>COUNTIF(AT296:BI296,"*OP*")</f>
        <v>0</v>
      </c>
      <c r="BK296" s="375" t="s">
        <v>103</v>
      </c>
      <c r="BL296" s="328">
        <f>(COUNTIF(AT296:AV296,"*OK*")*3) + (COUNTIF(AW296:AY296,"*OK*")*2) + COUNTIF(AZ296:BB296,"*OK*")+COUNTIF(BK296:BK296,"SI")*0.5</f>
        <v>0</v>
      </c>
      <c r="BM296" s="328" t="str">
        <f>IF(BL296&lt;0.6,"Demasiado Riesgo",IF(BL296&lt;=5,"Riesgo Medio",IF(BL296&lt;=11,"Riesgo Bajo","Cliente Blindado")))</f>
        <v>Demasiado Riesgo</v>
      </c>
      <c r="BN296" s="328"/>
      <c r="BO296" s="328"/>
      <c r="BP296" s="328">
        <v>0</v>
      </c>
      <c r="BQ296" s="328"/>
      <c r="BR296" s="328"/>
      <c r="BS296" s="328"/>
      <c r="BT296" s="328"/>
      <c r="BU296" s="328"/>
      <c r="BV296" s="328"/>
      <c r="BW296" s="328"/>
      <c r="BX296" s="328"/>
      <c r="BY296" s="328"/>
      <c r="BZ296" s="328"/>
      <c r="CA296" s="328"/>
      <c r="CB296" s="328"/>
      <c r="CC296" s="328"/>
      <c r="CD296" s="328"/>
      <c r="CE296" s="328"/>
      <c r="CF296" s="328"/>
      <c r="CG296" s="328"/>
      <c r="CH296" s="328"/>
      <c r="CI296" s="328"/>
      <c r="CJ296" s="328"/>
      <c r="CK296" s="328"/>
      <c r="CL296" s="328">
        <f>COUNTIF(AT296:BH296,"*OK*")</f>
        <v>0</v>
      </c>
      <c r="CM296" s="328"/>
      <c r="CN296" s="328">
        <f>COUNTIF(AT296:BH296,"*OP*")</f>
        <v>0</v>
      </c>
    </row>
    <row r="297" spans="1:92" ht="15" customHeight="1">
      <c r="A297" s="836">
        <v>5774</v>
      </c>
      <c r="B297" s="560" t="s">
        <v>1849</v>
      </c>
      <c r="C297" s="329">
        <f t="shared" si="6"/>
        <v>93.037499999999994</v>
      </c>
      <c r="D297" s="332">
        <f>COUNTIF(AT297:BH297,"*OK*")</f>
        <v>0</v>
      </c>
      <c r="E297" s="331" t="s">
        <v>782</v>
      </c>
      <c r="F297" s="331" t="s">
        <v>1850</v>
      </c>
      <c r="G297" s="331"/>
      <c r="H297" s="650">
        <f>IF(LEN(TRIM($G297&amp;""))=0, $C297, SUMIF($G$3:$G$561, TRIM($G297), $C$3:$C$561))</f>
        <v>93.037499999999994</v>
      </c>
      <c r="I297" s="423" t="s">
        <v>562</v>
      </c>
      <c r="J297" s="331"/>
      <c r="K297" s="328"/>
      <c r="L297" s="328" t="str">
        <f>HYPERLINK("https://crm.zoho.com/crm/org685875245/tab/Accounts/3525045000397148665","https://crm.zoho.com/crm/org685875245/tab/Accounts/3525045000397148665")</f>
        <v>https://crm.zoho.com/crm/org685875245/tab/Accounts/3525045000397148665</v>
      </c>
      <c r="M297" s="391"/>
      <c r="N297" s="332"/>
      <c r="O297" s="541" t="s">
        <v>818</v>
      </c>
      <c r="P297" s="541" t="s">
        <v>1851</v>
      </c>
      <c r="Q297" s="541" t="s">
        <v>1852</v>
      </c>
      <c r="R297" s="332"/>
      <c r="S297" s="332"/>
      <c r="T297" s="331"/>
      <c r="U297" s="344" t="s">
        <v>585</v>
      </c>
      <c r="V297" s="335">
        <v>78.98</v>
      </c>
      <c r="W297" s="335">
        <v>93.94</v>
      </c>
      <c r="X297" s="335">
        <v>93.1</v>
      </c>
      <c r="Y297" s="336">
        <v>96.1</v>
      </c>
      <c r="Z297" s="337">
        <v>97.392799999999994</v>
      </c>
      <c r="AA297" s="338">
        <v>100.03</v>
      </c>
      <c r="AB297" s="338">
        <v>97.137500000000003</v>
      </c>
      <c r="AC297" s="634">
        <v>98.923199999999994</v>
      </c>
      <c r="AD297" s="338">
        <v>93.037499999999994</v>
      </c>
      <c r="AE297" s="339">
        <v>26</v>
      </c>
      <c r="AF297" s="340">
        <v>26</v>
      </c>
      <c r="AG297" s="334"/>
      <c r="AH297" s="341"/>
      <c r="AI297" s="422" t="s">
        <v>83</v>
      </c>
      <c r="AJ297" s="343" t="s">
        <v>199</v>
      </c>
      <c r="AK297" s="344" t="s">
        <v>1853</v>
      </c>
      <c r="AL297" s="340" t="s">
        <v>103</v>
      </c>
      <c r="AM297" s="328"/>
      <c r="AN297" s="328"/>
      <c r="AO297" s="328"/>
      <c r="AP297" s="328"/>
      <c r="AQ297" s="328"/>
      <c r="AR297" s="451"/>
      <c r="AS297" s="372" t="s">
        <v>103</v>
      </c>
      <c r="AT297" s="445"/>
      <c r="AU297" s="445"/>
      <c r="AV297" s="445"/>
      <c r="AW297" s="445"/>
      <c r="AX297" s="445"/>
      <c r="AY297" s="445"/>
      <c r="AZ297" s="445"/>
      <c r="BA297" s="445"/>
      <c r="BB297" s="445"/>
      <c r="BC297" s="445"/>
      <c r="BD297" s="445"/>
      <c r="BE297" s="445"/>
      <c r="BF297" s="445"/>
      <c r="BG297" s="445"/>
      <c r="BH297" s="445"/>
      <c r="BI297" s="445"/>
      <c r="BJ297" s="446">
        <f>COUNTIF(AT297:BI297,"*OP*")</f>
        <v>0</v>
      </c>
      <c r="BK297" s="375" t="s">
        <v>103</v>
      </c>
      <c r="BL297" s="328">
        <f>(COUNTIF(AT297:AV297,"*OK*")*3) + (COUNTIF(AW297:AY297,"*OK*")*2) + COUNTIF(AZ297:BB297,"*OK*")+COUNTIF(BK297:BK297,"SI")*0.5</f>
        <v>0</v>
      </c>
      <c r="BM297" s="328" t="str">
        <f>IF(BL297&lt;0.6,"Demasiado Riesgo",IF(BL297&lt;=5,"Riesgo Medio",IF(BL297&lt;=11,"Riesgo Bajo","Cliente Blindado")))</f>
        <v>Demasiado Riesgo</v>
      </c>
      <c r="BN297" s="328"/>
      <c r="BO297" s="349"/>
      <c r="BP297" s="349">
        <v>0</v>
      </c>
      <c r="BQ297" s="349"/>
      <c r="BR297" s="349"/>
      <c r="BS297" s="349"/>
      <c r="BT297" s="349"/>
      <c r="BU297" s="349"/>
      <c r="BV297" s="349"/>
      <c r="BW297" s="349"/>
      <c r="BX297" s="349"/>
      <c r="BY297" s="349"/>
      <c r="BZ297" s="349"/>
      <c r="CA297" s="349"/>
      <c r="CB297" s="349"/>
      <c r="CC297" s="349"/>
      <c r="CD297" s="349"/>
      <c r="CE297" s="349"/>
      <c r="CF297" s="349"/>
      <c r="CG297" s="349"/>
      <c r="CH297" s="349"/>
      <c r="CI297" s="349"/>
      <c r="CJ297" s="349"/>
      <c r="CK297" s="349"/>
      <c r="CL297" s="349">
        <f>COUNTIF(AT297:BH297,"*OK*")</f>
        <v>0</v>
      </c>
      <c r="CM297" s="349"/>
      <c r="CN297" s="349">
        <f>COUNTIF(AT297:BH297,"*OP*")</f>
        <v>0</v>
      </c>
    </row>
    <row r="298" spans="1:92" ht="15" customHeight="1">
      <c r="A298" s="834"/>
      <c r="B298" s="560" t="s">
        <v>1854</v>
      </c>
      <c r="C298" s="329">
        <f t="shared" si="6"/>
        <v>85.289199999999994</v>
      </c>
      <c r="D298" s="332">
        <f>COUNTIF(AT298:BH298,"*OK*")</f>
        <v>0</v>
      </c>
      <c r="E298" s="331" t="s">
        <v>782</v>
      </c>
      <c r="F298" s="331" t="s">
        <v>1855</v>
      </c>
      <c r="G298" s="331"/>
      <c r="H298" s="650">
        <f>IF(LEN(TRIM($G298&amp;""))=0, $C298, SUMIF($G$3:$G$561, TRIM($G298), $C$3:$C$561))</f>
        <v>85.289199999999994</v>
      </c>
      <c r="I298" s="331" t="s">
        <v>562</v>
      </c>
      <c r="J298" s="331"/>
      <c r="K298" s="328"/>
      <c r="L298" s="328" t="str">
        <f>HYPERLINK("https://crm.zoho.com/crm/org685875245/tab/Accounts/3525045000249785250","https://crm.zoho.com/crm/org685875245/tab/Accounts/3525045000249785250")</f>
        <v>https://crm.zoho.com/crm/org685875245/tab/Accounts/3525045000249785250</v>
      </c>
      <c r="M298" s="391"/>
      <c r="N298" s="332"/>
      <c r="O298" s="541"/>
      <c r="P298" s="541"/>
      <c r="Q298" s="541"/>
      <c r="R298" s="332"/>
      <c r="S298" s="332"/>
      <c r="T298" s="331"/>
      <c r="U298" s="344" t="s">
        <v>82</v>
      </c>
      <c r="V298" s="335">
        <v>51.72</v>
      </c>
      <c r="W298" s="335">
        <v>41.34</v>
      </c>
      <c r="X298" s="335">
        <v>42.67</v>
      </c>
      <c r="Y298" s="336">
        <v>50.82</v>
      </c>
      <c r="Z298" s="337">
        <v>48.074800000000003</v>
      </c>
      <c r="AA298" s="347">
        <v>44.15</v>
      </c>
      <c r="AB298" s="347">
        <v>71.923100000000005</v>
      </c>
      <c r="AC298" s="638">
        <v>97.660499999999999</v>
      </c>
      <c r="AD298" s="347">
        <v>85.289199999999994</v>
      </c>
      <c r="AE298" s="339"/>
      <c r="AF298" s="340">
        <v>50</v>
      </c>
      <c r="AG298" s="334"/>
      <c r="AH298" s="341"/>
      <c r="AI298" s="422" t="s">
        <v>83</v>
      </c>
      <c r="AJ298" s="343" t="s">
        <v>396</v>
      </c>
      <c r="AK298" s="344" t="s">
        <v>1856</v>
      </c>
      <c r="AL298" s="340" t="s">
        <v>103</v>
      </c>
      <c r="AM298" s="328"/>
      <c r="AN298" s="328"/>
      <c r="AO298" s="328"/>
      <c r="AP298" s="328"/>
      <c r="AQ298" s="328"/>
      <c r="AR298" s="451"/>
      <c r="AS298" s="372" t="s">
        <v>103</v>
      </c>
      <c r="AT298" s="445"/>
      <c r="AU298" s="445"/>
      <c r="AV298" s="445"/>
      <c r="AW298" s="445"/>
      <c r="AX298" s="445"/>
      <c r="AY298" s="445"/>
      <c r="AZ298" s="445"/>
      <c r="BA298" s="445"/>
      <c r="BB298" s="445"/>
      <c r="BC298" s="445"/>
      <c r="BD298" s="445"/>
      <c r="BE298" s="445"/>
      <c r="BF298" s="445"/>
      <c r="BG298" s="445"/>
      <c r="BH298" s="445"/>
      <c r="BI298" s="445"/>
      <c r="BJ298" s="446">
        <f>COUNTIF(AT298:BI298,"*OP*")</f>
        <v>0</v>
      </c>
      <c r="BK298" s="375" t="s">
        <v>103</v>
      </c>
      <c r="BL298" s="328">
        <f>(COUNTIF(AT298:AV298,"*OK*")*3) + (COUNTIF(AW298:AY298,"*OK*")*2) + COUNTIF(AZ298:BB298,"*OK*")+COUNTIF(BK298:BK298,"SI")*0.5</f>
        <v>0</v>
      </c>
      <c r="BM298" s="328" t="str">
        <f>IF(BL298&lt;0.6,"Demasiado Riesgo",IF(BL298&lt;=5,"Riesgo Medio",IF(BL298&lt;=11,"Riesgo Bajo","Cliente Blindado")))</f>
        <v>Demasiado Riesgo</v>
      </c>
      <c r="BN298" s="328"/>
      <c r="BO298" s="328"/>
      <c r="BP298" s="328">
        <v>0</v>
      </c>
      <c r="BQ298" s="328"/>
      <c r="BR298" s="328"/>
      <c r="BS298" s="328"/>
      <c r="BT298" s="328"/>
      <c r="BU298" s="328"/>
      <c r="BV298" s="328"/>
      <c r="BW298" s="328"/>
      <c r="BX298" s="328"/>
      <c r="BY298" s="328"/>
      <c r="BZ298" s="328"/>
      <c r="CA298" s="328"/>
      <c r="CB298" s="328"/>
      <c r="CC298" s="328"/>
      <c r="CD298" s="328"/>
      <c r="CE298" s="328"/>
      <c r="CF298" s="328"/>
      <c r="CG298" s="328"/>
      <c r="CH298" s="328"/>
      <c r="CI298" s="328"/>
      <c r="CJ298" s="328"/>
      <c r="CK298" s="328"/>
      <c r="CL298" s="328">
        <f>COUNTIF(AT298:BH298,"*OK*")</f>
        <v>0</v>
      </c>
      <c r="CM298" s="328"/>
      <c r="CN298" s="328">
        <f>COUNTIF(AT298:BH298,"*OP*")</f>
        <v>0</v>
      </c>
    </row>
    <row r="299" spans="1:92" ht="15" customHeight="1">
      <c r="A299" s="835">
        <v>30111</v>
      </c>
      <c r="B299" s="560" t="s">
        <v>1857</v>
      </c>
      <c r="C299" s="329">
        <f t="shared" si="6"/>
        <v>90.397400000000005</v>
      </c>
      <c r="D299" s="352">
        <f>COUNTIF(AT299:BH299,"*OK*")</f>
        <v>0</v>
      </c>
      <c r="E299" s="331" t="s">
        <v>782</v>
      </c>
      <c r="F299" s="351" t="s">
        <v>1858</v>
      </c>
      <c r="G299" s="351"/>
      <c r="H299" s="650">
        <f>IF(LEN(TRIM($G299&amp;""))=0, $C299, SUMIF($G$3:$G$561, TRIM($G299), $C$3:$C$561))</f>
        <v>90.397400000000005</v>
      </c>
      <c r="I299" s="351" t="s">
        <v>562</v>
      </c>
      <c r="J299" s="351"/>
      <c r="K299" s="349"/>
      <c r="L299" s="349"/>
      <c r="M299" s="553"/>
      <c r="N299" s="352"/>
      <c r="O299" s="540" t="s">
        <v>1204</v>
      </c>
      <c r="P299" s="540" t="s">
        <v>1859</v>
      </c>
      <c r="Q299" s="540" t="s">
        <v>1860</v>
      </c>
      <c r="R299" s="352"/>
      <c r="S299" s="352"/>
      <c r="T299" s="351"/>
      <c r="U299" s="362" t="s">
        <v>82</v>
      </c>
      <c r="V299" s="355">
        <v>95.01</v>
      </c>
      <c r="W299" s="355">
        <v>94.92</v>
      </c>
      <c r="X299" s="355">
        <v>90.46</v>
      </c>
      <c r="Y299" s="356">
        <v>93.37</v>
      </c>
      <c r="Z299" s="337">
        <v>94.629000000000005</v>
      </c>
      <c r="AA299" s="365">
        <v>93.59</v>
      </c>
      <c r="AB299" s="365">
        <v>94.380899999999997</v>
      </c>
      <c r="AC299" s="635">
        <v>96.116</v>
      </c>
      <c r="AD299" s="365">
        <v>90.397400000000005</v>
      </c>
      <c r="AE299" s="357">
        <v>26</v>
      </c>
      <c r="AF299" s="358">
        <v>500</v>
      </c>
      <c r="AG299" s="354"/>
      <c r="AH299" s="359"/>
      <c r="AI299" s="361" t="s">
        <v>258</v>
      </c>
      <c r="AJ299" s="361" t="s">
        <v>130</v>
      </c>
      <c r="AK299" s="362" t="s">
        <v>1861</v>
      </c>
      <c r="AL299" s="358" t="s">
        <v>103</v>
      </c>
      <c r="AM299" s="349"/>
      <c r="AN299" s="349"/>
      <c r="AO299" s="349"/>
      <c r="AP299" s="349"/>
      <c r="AQ299" s="349"/>
      <c r="AR299" s="453"/>
      <c r="AS299" s="371" t="s">
        <v>103</v>
      </c>
      <c r="AT299" s="345"/>
      <c r="AU299" s="345"/>
      <c r="AV299" s="345"/>
      <c r="AW299" s="345"/>
      <c r="AX299" s="345"/>
      <c r="AY299" s="345"/>
      <c r="AZ299" s="345"/>
      <c r="BA299" s="345"/>
      <c r="BB299" s="345"/>
      <c r="BC299" s="345"/>
      <c r="BD299" s="345"/>
      <c r="BE299" s="345"/>
      <c r="BF299" s="345"/>
      <c r="BG299" s="345"/>
      <c r="BH299" s="345"/>
      <c r="BI299" s="345"/>
      <c r="BJ299" s="364">
        <f>COUNTIF(AT299:BI299,"*OP*")</f>
        <v>0</v>
      </c>
      <c r="BK299" s="363" t="s">
        <v>103</v>
      </c>
      <c r="BL299" s="349">
        <f>(COUNTIF(AT299:AV299,"*OK*")*3) + (COUNTIF(AW299:AY299,"*OK*")*2) + COUNTIF(AZ299:BB299,"*OK*")+COUNTIF(BK299:BK299,"SI")*0.5</f>
        <v>0</v>
      </c>
      <c r="BM299" s="349" t="str">
        <f>IF(BL299&lt;0.6,"Demasiado Riesgo",IF(BL299&lt;=5,"Riesgo Medio",IF(BL299&lt;=11,"Riesgo Bajo","Cliente Blindado")))</f>
        <v>Demasiado Riesgo</v>
      </c>
      <c r="BN299" s="349"/>
      <c r="BO299" s="328"/>
      <c r="BP299" s="328">
        <v>0</v>
      </c>
      <c r="BQ299" s="328"/>
      <c r="BR299" s="328"/>
      <c r="BS299" s="328"/>
      <c r="BT299" s="328"/>
      <c r="BU299" s="328"/>
      <c r="BV299" s="328"/>
      <c r="BW299" s="328"/>
      <c r="BX299" s="328"/>
      <c r="BY299" s="328"/>
      <c r="BZ299" s="328"/>
      <c r="CA299" s="328"/>
      <c r="CB299" s="328"/>
      <c r="CC299" s="328"/>
      <c r="CD299" s="328"/>
      <c r="CE299" s="328"/>
      <c r="CF299" s="328"/>
      <c r="CG299" s="328"/>
      <c r="CH299" s="328"/>
      <c r="CI299" s="328"/>
      <c r="CJ299" s="328"/>
      <c r="CK299" s="328"/>
      <c r="CL299" s="328">
        <f>COUNTIF(AT299:BH299,"*OK*")</f>
        <v>0</v>
      </c>
      <c r="CM299" s="328"/>
      <c r="CN299" s="328">
        <f>COUNTIF(AT299:BH299,"*OP*")</f>
        <v>0</v>
      </c>
    </row>
    <row r="300" spans="1:92" ht="15" customHeight="1">
      <c r="A300" s="835">
        <v>25626</v>
      </c>
      <c r="B300" s="560" t="s">
        <v>1862</v>
      </c>
      <c r="C300" s="329">
        <f t="shared" si="6"/>
        <v>85.575100000000006</v>
      </c>
      <c r="D300" s="352">
        <f>COUNTIF(AT300:BH300,"*OK*")</f>
        <v>0</v>
      </c>
      <c r="E300" s="351" t="s">
        <v>439</v>
      </c>
      <c r="F300" s="351" t="s">
        <v>1863</v>
      </c>
      <c r="G300" s="351"/>
      <c r="H300" s="650">
        <f>IF(LEN(TRIM($G300&amp;""))=0, $C300, SUMIF($G$3:$G$561, TRIM($G300), $C$3:$C$561))</f>
        <v>85.575100000000006</v>
      </c>
      <c r="I300" s="413" t="s">
        <v>562</v>
      </c>
      <c r="J300" s="351"/>
      <c r="K300" s="349"/>
      <c r="L300" s="349" t="str">
        <f>HYPERLINK("https://crm.zoho.com/crm/org685875245/tab/Accounts/3525045000335991054","https://crm.zoho.com/crm/org685875245/tab/Accounts/3525045000335991054")</f>
        <v>https://crm.zoho.com/crm/org685875245/tab/Accounts/3525045000335991054</v>
      </c>
      <c r="M300" s="553" t="s">
        <v>96</v>
      </c>
      <c r="N300" s="352"/>
      <c r="O300" s="540" t="s">
        <v>1864</v>
      </c>
      <c r="P300" s="540" t="s">
        <v>1475</v>
      </c>
      <c r="Q300" s="540" t="s">
        <v>1865</v>
      </c>
      <c r="R300" s="352"/>
      <c r="S300" s="352"/>
      <c r="T300" s="351"/>
      <c r="U300" s="354" t="s">
        <v>209</v>
      </c>
      <c r="V300" s="355">
        <v>107.49</v>
      </c>
      <c r="W300" s="355">
        <v>103.01</v>
      </c>
      <c r="X300" s="355">
        <v>104.43</v>
      </c>
      <c r="Y300" s="356">
        <v>109.95</v>
      </c>
      <c r="Z300" s="337">
        <v>126.7243</v>
      </c>
      <c r="AA300" s="347">
        <v>116.69</v>
      </c>
      <c r="AB300" s="347">
        <v>93.704499999999996</v>
      </c>
      <c r="AC300" s="638">
        <v>95.427199999999999</v>
      </c>
      <c r="AD300" s="347">
        <v>85.575100000000006</v>
      </c>
      <c r="AE300" s="357">
        <v>52</v>
      </c>
      <c r="AF300" s="358">
        <v>200</v>
      </c>
      <c r="AG300" s="354"/>
      <c r="AH300" s="359"/>
      <c r="AI300" s="360" t="s">
        <v>83</v>
      </c>
      <c r="AJ300" s="361" t="s">
        <v>101</v>
      </c>
      <c r="AK300" s="362" t="s">
        <v>1866</v>
      </c>
      <c r="AL300" s="358" t="s">
        <v>101</v>
      </c>
      <c r="AM300" s="349"/>
      <c r="AN300" s="349"/>
      <c r="AO300" s="349"/>
      <c r="AP300" s="349"/>
      <c r="AQ300" s="349"/>
      <c r="AR300" s="453"/>
      <c r="AS300" s="371" t="s">
        <v>103</v>
      </c>
      <c r="AT300" s="345"/>
      <c r="AU300" s="345"/>
      <c r="AV300" s="345"/>
      <c r="AW300" s="345"/>
      <c r="AX300" s="345"/>
      <c r="AY300" s="345"/>
      <c r="AZ300" s="345"/>
      <c r="BA300" s="345"/>
      <c r="BB300" s="345"/>
      <c r="BC300" s="345"/>
      <c r="BD300" s="345"/>
      <c r="BE300" s="345"/>
      <c r="BF300" s="345"/>
      <c r="BG300" s="345"/>
      <c r="BH300" s="345"/>
      <c r="BI300" s="345"/>
      <c r="BJ300" s="364">
        <f>COUNTIF(AT300:BI300,"*OP*")</f>
        <v>0</v>
      </c>
      <c r="BK300" s="363" t="s">
        <v>89</v>
      </c>
      <c r="BL300" s="349">
        <f>(COUNTIF(AT300:AV300,"*OK*")*3) + (COUNTIF(AW300:AY300,"*OK*")*2) + COUNTIF(AZ300:BB300,"*OK*")+COUNTIF(BK300:BK300,"SI")*0.5</f>
        <v>0</v>
      </c>
      <c r="BM300" s="349" t="str">
        <f>IF(BL300&lt;0.6,"Demasiado Riesgo",IF(BL300&lt;=5,"Riesgo Medio",IF(BL300&lt;=11,"Riesgo Bajo","Cliente Blindado")))</f>
        <v>Demasiado Riesgo</v>
      </c>
      <c r="BN300" s="349"/>
      <c r="BO300" s="349"/>
      <c r="BP300" s="349">
        <v>0</v>
      </c>
      <c r="BQ300" s="349"/>
      <c r="BR300" s="349"/>
      <c r="BS300" s="349"/>
      <c r="BT300" s="349"/>
      <c r="BU300" s="349"/>
      <c r="BV300" s="349"/>
      <c r="BW300" s="349"/>
      <c r="BX300" s="349"/>
      <c r="BY300" s="349"/>
      <c r="BZ300" s="349"/>
      <c r="CA300" s="349"/>
      <c r="CB300" s="349"/>
      <c r="CC300" s="349"/>
      <c r="CD300" s="349"/>
      <c r="CE300" s="349"/>
      <c r="CF300" s="349"/>
      <c r="CG300" s="349"/>
      <c r="CH300" s="349"/>
      <c r="CI300" s="349"/>
      <c r="CJ300" s="349"/>
      <c r="CK300" s="349"/>
      <c r="CL300" s="349">
        <f>COUNTIF(AT300:BH300,"*OK*")</f>
        <v>0</v>
      </c>
      <c r="CM300" s="349"/>
      <c r="CN300" s="349">
        <f>COUNTIF(AT300:BH300,"*OP*")</f>
        <v>0</v>
      </c>
    </row>
    <row r="301" spans="1:92" ht="15" customHeight="1">
      <c r="A301" s="834">
        <v>24926</v>
      </c>
      <c r="B301" s="560" t="s">
        <v>1867</v>
      </c>
      <c r="C301" s="329">
        <f t="shared" si="6"/>
        <v>88.546400000000006</v>
      </c>
      <c r="D301" s="332">
        <f>COUNTIF(AT301:BH301,"*OK*")</f>
        <v>0</v>
      </c>
      <c r="E301" s="331" t="s">
        <v>782</v>
      </c>
      <c r="F301" s="423" t="s">
        <v>1868</v>
      </c>
      <c r="G301" s="331"/>
      <c r="H301" s="650">
        <f>IF(LEN(TRIM($G301&amp;""))=0, $C301, SUMIF($G$3:$G$561, TRIM($G301), $C$3:$C$561))</f>
        <v>88.546400000000006</v>
      </c>
      <c r="I301" s="331" t="s">
        <v>562</v>
      </c>
      <c r="J301" s="331"/>
      <c r="K301" s="328"/>
      <c r="L301" s="328" t="str">
        <f>HYPERLINK("https://crm.zoho.com/crm/org685875245/tab/Accounts/3525045000321490447","https://crm.zoho.com/crm/org685875245/tab/Accounts/3525045000321490447")</f>
        <v>https://crm.zoho.com/crm/org685875245/tab/Accounts/3525045000321490447</v>
      </c>
      <c r="M301" s="391" t="s">
        <v>787</v>
      </c>
      <c r="N301" s="332"/>
      <c r="O301" s="541" t="s">
        <v>1869</v>
      </c>
      <c r="P301" s="541"/>
      <c r="Q301" s="541" t="s">
        <v>1870</v>
      </c>
      <c r="R301" s="332"/>
      <c r="S301" s="332"/>
      <c r="T301" s="331"/>
      <c r="U301" s="344" t="s">
        <v>902</v>
      </c>
      <c r="V301" s="335">
        <v>87.42</v>
      </c>
      <c r="W301" s="335">
        <v>95.8</v>
      </c>
      <c r="X301" s="335">
        <v>85.92</v>
      </c>
      <c r="Y301" s="336">
        <v>91.46</v>
      </c>
      <c r="Z301" s="337">
        <v>92.691400000000002</v>
      </c>
      <c r="AA301" s="347">
        <v>91.68</v>
      </c>
      <c r="AB301" s="347">
        <v>92.448400000000007</v>
      </c>
      <c r="AC301" s="638">
        <v>94.147999999999996</v>
      </c>
      <c r="AD301" s="347">
        <v>88.546400000000006</v>
      </c>
      <c r="AE301" s="339">
        <v>33</v>
      </c>
      <c r="AF301" s="340">
        <v>100</v>
      </c>
      <c r="AG301" s="334"/>
      <c r="AH301" s="341"/>
      <c r="AI301" s="422" t="s">
        <v>83</v>
      </c>
      <c r="AJ301" s="343" t="s">
        <v>297</v>
      </c>
      <c r="AK301" s="344" t="s">
        <v>1871</v>
      </c>
      <c r="AL301" s="340" t="s">
        <v>103</v>
      </c>
      <c r="AM301" s="328"/>
      <c r="AN301" s="328"/>
      <c r="AO301" s="328"/>
      <c r="AP301" s="328"/>
      <c r="AQ301" s="328"/>
      <c r="AR301" s="451"/>
      <c r="AS301" s="372" t="s">
        <v>103</v>
      </c>
      <c r="AT301" s="345"/>
      <c r="AU301" s="345"/>
      <c r="AV301" s="345"/>
      <c r="AW301" s="345"/>
      <c r="AX301" s="345"/>
      <c r="AY301" s="345"/>
      <c r="AZ301" s="345"/>
      <c r="BA301" s="345"/>
      <c r="BB301" s="345"/>
      <c r="BC301" s="345"/>
      <c r="BD301" s="345"/>
      <c r="BE301" s="345"/>
      <c r="BF301" s="345"/>
      <c r="BG301" s="345"/>
      <c r="BH301" s="345"/>
      <c r="BI301" s="345"/>
      <c r="BJ301" s="364">
        <f>COUNTIF(AT301:BI301,"*OP*")</f>
        <v>0</v>
      </c>
      <c r="BK301" s="375" t="s">
        <v>103</v>
      </c>
      <c r="BL301" s="328">
        <f>(COUNTIF(AT301:AV301,"*OK*")*3) + (COUNTIF(AW301:AY301,"*OK*")*2) + COUNTIF(AZ301:BB301,"*OK*")+COUNTIF(BK301:BK301,"SI")*0.5</f>
        <v>0</v>
      </c>
      <c r="BM301" s="328" t="str">
        <f>IF(BL301&lt;0.6,"Demasiado Riesgo",IF(BL301&lt;=5,"Riesgo Medio",IF(BL301&lt;=11,"Riesgo Bajo","Cliente Blindado")))</f>
        <v>Demasiado Riesgo</v>
      </c>
      <c r="BN301" s="328"/>
      <c r="BO301" s="328"/>
      <c r="BP301" s="328">
        <v>0</v>
      </c>
      <c r="BQ301" s="328"/>
      <c r="BR301" s="328"/>
      <c r="BS301" s="328"/>
      <c r="BT301" s="328"/>
      <c r="BU301" s="328"/>
      <c r="BV301" s="328"/>
      <c r="BW301" s="328"/>
      <c r="BX301" s="328"/>
      <c r="BY301" s="328"/>
      <c r="BZ301" s="328"/>
      <c r="CA301" s="328"/>
      <c r="CB301" s="328"/>
      <c r="CC301" s="328"/>
      <c r="CD301" s="328"/>
      <c r="CE301" s="328"/>
      <c r="CF301" s="328"/>
      <c r="CG301" s="328"/>
      <c r="CH301" s="328"/>
      <c r="CI301" s="328"/>
      <c r="CJ301" s="328"/>
      <c r="CK301" s="328"/>
      <c r="CL301" s="328">
        <f>COUNTIF(AT301:BH301,"*OK*")</f>
        <v>0</v>
      </c>
      <c r="CM301" s="328"/>
      <c r="CN301" s="328">
        <f>COUNTIF(AT301:BH301,"*OP*")</f>
        <v>0</v>
      </c>
    </row>
    <row r="302" spans="1:92" ht="15" customHeight="1">
      <c r="A302" s="835">
        <v>23195</v>
      </c>
      <c r="B302" s="560" t="s">
        <v>1872</v>
      </c>
      <c r="C302" s="329">
        <f t="shared" si="6"/>
        <v>82.289699999999996</v>
      </c>
      <c r="D302" s="352">
        <f>COUNTIF(AT302:BH302,"*OK*")</f>
        <v>0</v>
      </c>
      <c r="E302" s="351" t="s">
        <v>439</v>
      </c>
      <c r="F302" s="351" t="s">
        <v>1873</v>
      </c>
      <c r="G302" s="351"/>
      <c r="H302" s="650">
        <f>IF(LEN(TRIM($G302&amp;""))=0, $C302, SUMIF($G$3:$G$561, TRIM($G302), $C$3:$C$561))</f>
        <v>82.289699999999996</v>
      </c>
      <c r="I302" s="413" t="s">
        <v>562</v>
      </c>
      <c r="J302" s="351"/>
      <c r="K302" s="349"/>
      <c r="L302" s="349" t="str">
        <f>HYPERLINK("https://crm.zoho.com/crm/org685875245/tab/Accounts/3525045000430788585","https://crm.zoho.com/crm/org685875245/tab/Accounts/3525045000430788585")</f>
        <v>https://crm.zoho.com/crm/org685875245/tab/Accounts/3525045000430788585</v>
      </c>
      <c r="M302" s="553" t="s">
        <v>167</v>
      </c>
      <c r="N302" s="352"/>
      <c r="O302" s="540"/>
      <c r="P302" s="540"/>
      <c r="Q302" s="540"/>
      <c r="R302" s="352"/>
      <c r="S302" s="352"/>
      <c r="T302" s="351"/>
      <c r="U302" s="354" t="s">
        <v>82</v>
      </c>
      <c r="V302" s="355">
        <v>82.73</v>
      </c>
      <c r="W302" s="355">
        <v>86.41</v>
      </c>
      <c r="X302" s="355">
        <v>82.35</v>
      </c>
      <c r="Y302" s="356">
        <v>80.069999999999993</v>
      </c>
      <c r="Z302" s="337">
        <v>83.644999999999996</v>
      </c>
      <c r="AA302" s="338">
        <v>83.96</v>
      </c>
      <c r="AB302" s="338">
        <v>84.670900000000003</v>
      </c>
      <c r="AC302" s="634">
        <v>93.835800000000006</v>
      </c>
      <c r="AD302" s="338">
        <v>82.289699999999996</v>
      </c>
      <c r="AE302" s="357">
        <v>67</v>
      </c>
      <c r="AF302" s="358">
        <v>100</v>
      </c>
      <c r="AG302" s="354"/>
      <c r="AH302" s="359"/>
      <c r="AI302" s="427" t="s">
        <v>83</v>
      </c>
      <c r="AJ302" s="361" t="s">
        <v>297</v>
      </c>
      <c r="AK302" s="362" t="s">
        <v>1874</v>
      </c>
      <c r="AL302" s="358" t="s">
        <v>103</v>
      </c>
      <c r="AM302" s="349"/>
      <c r="AN302" s="349"/>
      <c r="AO302" s="349"/>
      <c r="AP302" s="349"/>
      <c r="AQ302" s="349"/>
      <c r="AR302" s="453"/>
      <c r="AS302" s="371" t="s">
        <v>88</v>
      </c>
      <c r="AT302" s="345"/>
      <c r="AU302" s="345"/>
      <c r="AV302" s="345"/>
      <c r="AW302" s="345"/>
      <c r="AX302" s="345"/>
      <c r="AY302" s="345"/>
      <c r="AZ302" s="345"/>
      <c r="BA302" s="345"/>
      <c r="BB302" s="345"/>
      <c r="BC302" s="345"/>
      <c r="BD302" s="345"/>
      <c r="BE302" s="345"/>
      <c r="BF302" s="345"/>
      <c r="BG302" s="345"/>
      <c r="BH302" s="345"/>
      <c r="BI302" s="345"/>
      <c r="BJ302" s="364">
        <f>COUNTIF(AT302:BI302,"*OP*")</f>
        <v>0</v>
      </c>
      <c r="BK302" s="363" t="s">
        <v>89</v>
      </c>
      <c r="BL302" s="349">
        <f>(COUNTIF(AT302:AV302,"*OK*")*3) + (COUNTIF(AW302:AY302,"*OK*")*2) + COUNTIF(AZ302:BB302,"*OK*")+COUNTIF(BK302:BK302,"SI")*0.5</f>
        <v>0</v>
      </c>
      <c r="BM302" s="349" t="str">
        <f>IF(BL302&lt;0.6,"Demasiado Riesgo",IF(BL302&lt;=5,"Riesgo Medio",IF(BL302&lt;=11,"Riesgo Bajo","Cliente Blindado")))</f>
        <v>Demasiado Riesgo</v>
      </c>
      <c r="BN302" s="349"/>
      <c r="BO302" s="328"/>
      <c r="BP302" s="328">
        <v>0</v>
      </c>
      <c r="BQ302" s="328"/>
      <c r="BR302" s="328"/>
      <c r="BS302" s="328"/>
      <c r="BT302" s="328"/>
      <c r="BU302" s="328"/>
      <c r="BV302" s="328"/>
      <c r="BW302" s="328"/>
      <c r="BX302" s="328"/>
      <c r="BY302" s="328"/>
      <c r="BZ302" s="328"/>
      <c r="CA302" s="328"/>
      <c r="CB302" s="328"/>
      <c r="CC302" s="328"/>
      <c r="CD302" s="328"/>
      <c r="CE302" s="328"/>
      <c r="CF302" s="328"/>
      <c r="CG302" s="328"/>
      <c r="CH302" s="328"/>
      <c r="CI302" s="328"/>
      <c r="CJ302" s="328"/>
      <c r="CK302" s="328"/>
      <c r="CL302" s="328">
        <f>COUNTIF(AT302:BH302,"*OK*")</f>
        <v>0</v>
      </c>
      <c r="CM302" s="328"/>
      <c r="CN302" s="328">
        <f>COUNTIF(AT302:BH302,"*OP*")</f>
        <v>0</v>
      </c>
    </row>
    <row r="303" spans="1:92" ht="15" customHeight="1">
      <c r="A303" s="834"/>
      <c r="B303" s="560"/>
      <c r="C303" s="329">
        <f t="shared" si="6"/>
        <v>74.4482</v>
      </c>
      <c r="D303" s="332">
        <f>COUNTIF(AX303:BI303,"OK")</f>
        <v>0</v>
      </c>
      <c r="E303" s="349" t="s">
        <v>782</v>
      </c>
      <c r="F303" s="376" t="s">
        <v>1875</v>
      </c>
      <c r="G303" s="376"/>
      <c r="H303" s="650">
        <f>IF(LEN(TRIM($G303&amp;""))=0, $C303, SUMIF($G$3:$G$561, TRIM($G303), $C$3:$C$561))</f>
        <v>74.4482</v>
      </c>
      <c r="I303" s="376"/>
      <c r="J303" s="328"/>
      <c r="K303" s="328"/>
      <c r="L303" s="328" t="str">
        <f>HYPERLINK("https://crm.zoho.com/crm/org685875245/tab/Accounts/3525045000620978660","https://crm.zoho.com/crm/org685875245/tab/Accounts/3525045000620978660")</f>
        <v>https://crm.zoho.com/crm/org685875245/tab/Accounts/3525045000620978660</v>
      </c>
      <c r="M303" s="391"/>
      <c r="N303" s="332"/>
      <c r="O303" s="541"/>
      <c r="P303" s="541"/>
      <c r="Q303" s="541"/>
      <c r="R303" s="332"/>
      <c r="S303" s="332"/>
      <c r="T303" s="328"/>
      <c r="U303" s="344"/>
      <c r="V303" s="388"/>
      <c r="W303" s="377"/>
      <c r="X303" s="377"/>
      <c r="Y303" s="527"/>
      <c r="Z303" s="515"/>
      <c r="AA303" s="528"/>
      <c r="AB303" s="528">
        <v>63.381599999999999</v>
      </c>
      <c r="AC303" s="633">
        <v>93.768900000000002</v>
      </c>
      <c r="AD303" s="528">
        <v>74.4482</v>
      </c>
      <c r="AE303" s="327"/>
      <c r="AF303" s="372" t="s">
        <v>103</v>
      </c>
      <c r="AG303" s="344"/>
      <c r="AH303" s="328"/>
      <c r="AI303" s="343"/>
      <c r="AJ303" s="343"/>
      <c r="AK303" s="344"/>
      <c r="AL303" s="372" t="s">
        <v>103</v>
      </c>
      <c r="AM303" s="328"/>
      <c r="AN303" s="328"/>
      <c r="AO303" s="328"/>
      <c r="AP303" s="328"/>
      <c r="AQ303" s="328"/>
      <c r="AR303" s="451"/>
      <c r="AS303" s="444"/>
      <c r="AT303" s="445"/>
      <c r="AU303" s="445"/>
      <c r="AV303" s="445"/>
      <c r="AW303" s="445"/>
      <c r="AX303" s="445"/>
      <c r="AY303" s="445"/>
      <c r="AZ303" s="445"/>
      <c r="BA303" s="445"/>
      <c r="BB303" s="445"/>
      <c r="BC303" s="445"/>
      <c r="BD303" s="445"/>
      <c r="BE303" s="445"/>
      <c r="BF303" s="445"/>
      <c r="BG303" s="445"/>
      <c r="BH303" s="445"/>
      <c r="BI303" s="445"/>
      <c r="BJ303" s="446">
        <f>COUNTIF(AT303:BI303,"*OP*")</f>
        <v>0</v>
      </c>
      <c r="BK303" s="447"/>
      <c r="BL303" s="328">
        <f>(COUNTIF(AT303:AV303,"*OK*")*3) + (COUNTIF(AW303:AY303,"*OK*")*2) + COUNTIF(AZ303:BB303,"*OK*")+COUNTIF(BK303:BK303,"SI")*0.5</f>
        <v>0</v>
      </c>
      <c r="BM303" s="328" t="str">
        <f>IF(BL303&lt;0.6,"Demasiado Riesgo",IF(BL303&lt;=5,"Riesgo Medio",IF(BL303&lt;=11,"Riesgo Bajo","Cliente Blindado")))</f>
        <v>Demasiado Riesgo</v>
      </c>
      <c r="BN303" s="328"/>
      <c r="BO303" s="328"/>
      <c r="BP303" s="328"/>
      <c r="BQ303" s="328"/>
      <c r="BR303" s="328"/>
      <c r="BS303" s="328"/>
      <c r="BT303" s="328"/>
      <c r="BU303" s="328"/>
      <c r="BV303" s="328"/>
      <c r="BW303" s="328"/>
      <c r="BX303" s="328"/>
      <c r="BY303" s="328"/>
      <c r="BZ303" s="328"/>
      <c r="CA303" s="328"/>
      <c r="CB303" s="328"/>
      <c r="CC303" s="328"/>
      <c r="CD303" s="328"/>
      <c r="CE303" s="328"/>
      <c r="CF303" s="328"/>
      <c r="CG303" s="328"/>
      <c r="CH303" s="328"/>
      <c r="CI303" s="328"/>
      <c r="CJ303" s="328"/>
      <c r="CK303" s="328"/>
      <c r="CL303" s="328">
        <f>COUNTIF(AT303:BH303,"*OK*")</f>
        <v>0</v>
      </c>
    </row>
    <row r="304" spans="1:92" ht="15" customHeight="1">
      <c r="A304" s="834"/>
      <c r="B304" s="560" t="s">
        <v>1876</v>
      </c>
      <c r="C304" s="329">
        <f t="shared" si="6"/>
        <v>87.662300000000002</v>
      </c>
      <c r="D304" s="332">
        <f>COUNTIF(AT304:BH304,"*OK*")</f>
        <v>0</v>
      </c>
      <c r="E304" s="331" t="s">
        <v>782</v>
      </c>
      <c r="F304" s="331" t="s">
        <v>1877</v>
      </c>
      <c r="G304" s="331"/>
      <c r="H304" s="650">
        <f>IF(LEN(TRIM($G304&amp;""))=0, $C304, SUMIF($G$3:$G$561, TRIM($G304), $C$3:$C$561))</f>
        <v>87.662300000000002</v>
      </c>
      <c r="I304" s="331" t="s">
        <v>562</v>
      </c>
      <c r="J304" s="331"/>
      <c r="K304" s="328"/>
      <c r="L304" s="328" t="str">
        <f>HYPERLINK("https://crm.zoho.com/crm/org685875245/tab/Accounts/3525045000241243012","https://crm.zoho.com/crm/org685875245/tab/Accounts/3525045000241243012")</f>
        <v>https://crm.zoho.com/crm/org685875245/tab/Accounts/3525045000241243012</v>
      </c>
      <c r="M304" s="391"/>
      <c r="N304" s="332"/>
      <c r="O304" s="541" t="s">
        <v>126</v>
      </c>
      <c r="P304" s="541" t="s">
        <v>1878</v>
      </c>
      <c r="Q304" s="541" t="s">
        <v>1879</v>
      </c>
      <c r="R304" s="332"/>
      <c r="S304" s="332"/>
      <c r="T304" s="331"/>
      <c r="U304" s="344" t="s">
        <v>209</v>
      </c>
      <c r="V304" s="335">
        <v>82.26</v>
      </c>
      <c r="W304" s="335">
        <v>92.05</v>
      </c>
      <c r="X304" s="335">
        <v>90.86</v>
      </c>
      <c r="Y304" s="336">
        <v>93.78</v>
      </c>
      <c r="Z304" s="337">
        <v>98.320599999999999</v>
      </c>
      <c r="AA304" s="347">
        <v>97.24</v>
      </c>
      <c r="AB304" s="347">
        <v>94.7941</v>
      </c>
      <c r="AC304" s="638">
        <v>93.207899999999995</v>
      </c>
      <c r="AD304" s="347">
        <v>87.662300000000002</v>
      </c>
      <c r="AE304" s="339"/>
      <c r="AF304" s="340">
        <v>100</v>
      </c>
      <c r="AG304" s="334"/>
      <c r="AH304" s="341"/>
      <c r="AI304" s="342" t="s">
        <v>129</v>
      </c>
      <c r="AJ304" s="343" t="s">
        <v>101</v>
      </c>
      <c r="AK304" s="344" t="s">
        <v>1880</v>
      </c>
      <c r="AL304" s="340" t="s">
        <v>101</v>
      </c>
      <c r="AM304" s="328"/>
      <c r="AN304" s="328"/>
      <c r="AO304" s="328"/>
      <c r="AP304" s="328"/>
      <c r="AQ304" s="328"/>
      <c r="AR304" s="451"/>
      <c r="AS304" s="372" t="s">
        <v>103</v>
      </c>
      <c r="AT304" s="345"/>
      <c r="AU304" s="345"/>
      <c r="AV304" s="345"/>
      <c r="AW304" s="345"/>
      <c r="AX304" s="345"/>
      <c r="AY304" s="345"/>
      <c r="AZ304" s="345"/>
      <c r="BA304" s="345"/>
      <c r="BB304" s="345"/>
      <c r="BC304" s="345"/>
      <c r="BD304" s="345"/>
      <c r="BE304" s="345"/>
      <c r="BF304" s="345"/>
      <c r="BG304" s="345"/>
      <c r="BH304" s="345"/>
      <c r="BI304" s="345"/>
      <c r="BJ304" s="364">
        <f>COUNTIF(AT304:BI304,"*OP*")</f>
        <v>0</v>
      </c>
      <c r="BK304" s="375" t="s">
        <v>103</v>
      </c>
      <c r="BL304" s="328">
        <f>(COUNTIF(AT304:AV304,"*OK*")*3) + (COUNTIF(AW304:AY304,"*OK*")*2) + COUNTIF(AZ304:BB304,"*OK*")+COUNTIF(BK304:BK304,"SI")*0.5</f>
        <v>0</v>
      </c>
      <c r="BM304" s="328" t="str">
        <f>IF(BL304&lt;0.6,"Demasiado Riesgo",IF(BL304&lt;=5,"Riesgo Medio",IF(BL304&lt;=11,"Riesgo Bajo","Cliente Blindado")))</f>
        <v>Demasiado Riesgo</v>
      </c>
      <c r="BN304" s="328"/>
      <c r="BO304" s="328"/>
      <c r="BP304" s="328">
        <v>0</v>
      </c>
      <c r="BQ304" s="328"/>
      <c r="BR304" s="328"/>
      <c r="BS304" s="328"/>
      <c r="BT304" s="328"/>
      <c r="BU304" s="328"/>
      <c r="BV304" s="328"/>
      <c r="BW304" s="328"/>
      <c r="BX304" s="328"/>
      <c r="BY304" s="328"/>
      <c r="BZ304" s="328"/>
      <c r="CA304" s="328"/>
      <c r="CB304" s="328"/>
      <c r="CC304" s="328"/>
      <c r="CD304" s="328"/>
      <c r="CE304" s="328"/>
      <c r="CF304" s="328"/>
      <c r="CG304" s="328"/>
      <c r="CH304" s="328"/>
      <c r="CI304" s="328"/>
      <c r="CJ304" s="328"/>
      <c r="CK304" s="328"/>
      <c r="CL304" s="328">
        <f>COUNTIF(AT304:BH304,"*OK*")</f>
        <v>0</v>
      </c>
      <c r="CM304" s="328"/>
      <c r="CN304" s="328">
        <f>COUNTIF(AT304:BH304,"*OP*")</f>
        <v>0</v>
      </c>
    </row>
    <row r="305" spans="1:93" ht="15" customHeight="1">
      <c r="A305" s="835"/>
      <c r="B305" s="560" t="s">
        <v>1881</v>
      </c>
      <c r="C305" s="329">
        <f t="shared" si="6"/>
        <v>78.724100000000007</v>
      </c>
      <c r="D305" s="352">
        <f>COUNTIF(AT305:BH305,"*OK*")</f>
        <v>0</v>
      </c>
      <c r="E305" s="331" t="s">
        <v>782</v>
      </c>
      <c r="F305" s="351" t="s">
        <v>1882</v>
      </c>
      <c r="G305" s="351"/>
      <c r="H305" s="650">
        <f>IF(LEN(TRIM($G305&amp;""))=0, $C305, SUMIF($G$3:$G$561, TRIM($G305), $C$3:$C$561))</f>
        <v>78.724100000000007</v>
      </c>
      <c r="I305" s="351" t="s">
        <v>562</v>
      </c>
      <c r="J305" s="351"/>
      <c r="K305" s="349"/>
      <c r="L305" s="349" t="str">
        <f>HYPERLINK("https://crm.zoho.com/crm/org685875245/tab/Accounts/3525045000200552055","https://crm.zoho.com/crm/org685875245/tab/Accounts/3525045000200552055")</f>
        <v>https://crm.zoho.com/crm/org685875245/tab/Accounts/3525045000200552055</v>
      </c>
      <c r="M305" s="553"/>
      <c r="N305" s="352"/>
      <c r="O305" s="540" t="s">
        <v>892</v>
      </c>
      <c r="P305" s="540" t="s">
        <v>1883</v>
      </c>
      <c r="Q305" s="540" t="s">
        <v>1884</v>
      </c>
      <c r="R305" s="352"/>
      <c r="S305" s="352"/>
      <c r="T305" s="351"/>
      <c r="U305" s="362" t="s">
        <v>585</v>
      </c>
      <c r="V305" s="355">
        <v>78.98</v>
      </c>
      <c r="W305" s="355">
        <v>86.42</v>
      </c>
      <c r="X305" s="355">
        <v>75.2</v>
      </c>
      <c r="Y305" s="356">
        <v>77.62</v>
      </c>
      <c r="Z305" s="337">
        <v>78.663399999999996</v>
      </c>
      <c r="AA305" s="367">
        <v>81.510000000000005</v>
      </c>
      <c r="AB305" s="367">
        <v>74.721100000000007</v>
      </c>
      <c r="AC305" s="636">
        <v>91.313800000000001</v>
      </c>
      <c r="AD305" s="367">
        <v>78.724100000000007</v>
      </c>
      <c r="AE305" s="357"/>
      <c r="AF305" s="358">
        <v>100</v>
      </c>
      <c r="AG305" s="354"/>
      <c r="AH305" s="359"/>
      <c r="AI305" s="427" t="s">
        <v>83</v>
      </c>
      <c r="AJ305" s="361" t="s">
        <v>199</v>
      </c>
      <c r="AK305" s="362" t="s">
        <v>1885</v>
      </c>
      <c r="AL305" s="358" t="s">
        <v>199</v>
      </c>
      <c r="AM305" s="349"/>
      <c r="AN305" s="349"/>
      <c r="AO305" s="349"/>
      <c r="AP305" s="349"/>
      <c r="AQ305" s="349"/>
      <c r="AR305" s="453"/>
      <c r="AS305" s="371" t="s">
        <v>103</v>
      </c>
      <c r="AT305" s="345"/>
      <c r="AU305" s="345"/>
      <c r="AV305" s="345"/>
      <c r="AW305" s="345"/>
      <c r="AX305" s="345"/>
      <c r="AY305" s="345"/>
      <c r="AZ305" s="345"/>
      <c r="BA305" s="345"/>
      <c r="BB305" s="345"/>
      <c r="BC305" s="345"/>
      <c r="BD305" s="345"/>
      <c r="BE305" s="345"/>
      <c r="BF305" s="345"/>
      <c r="BG305" s="345"/>
      <c r="BH305" s="345"/>
      <c r="BI305" s="345"/>
      <c r="BJ305" s="364">
        <f>COUNTIF(AT305:BI305,"*OP*")</f>
        <v>0</v>
      </c>
      <c r="BK305" s="363" t="s">
        <v>103</v>
      </c>
      <c r="BL305" s="349">
        <f>(COUNTIF(AT305:AV305,"*OK*")*3) + (COUNTIF(AW305:AY305,"*OK*")*2) + COUNTIF(AZ305:BB305,"*OK*")+COUNTIF(BK305:BK305,"SI")*0.5</f>
        <v>0</v>
      </c>
      <c r="BM305" s="349" t="str">
        <f>IF(BL305&lt;0.6,"Demasiado Riesgo",IF(BL305&lt;=5,"Riesgo Medio",IF(BL305&lt;=11,"Riesgo Bajo","Cliente Blindado")))</f>
        <v>Demasiado Riesgo</v>
      </c>
      <c r="BN305" s="349"/>
      <c r="BO305" s="349"/>
      <c r="BP305" s="349">
        <v>0</v>
      </c>
      <c r="BQ305" s="349"/>
      <c r="BR305" s="349"/>
      <c r="BS305" s="349"/>
      <c r="BT305" s="349"/>
      <c r="BU305" s="349"/>
      <c r="BV305" s="349"/>
      <c r="BW305" s="349"/>
      <c r="BX305" s="349"/>
      <c r="BY305" s="349"/>
      <c r="BZ305" s="349"/>
      <c r="CA305" s="349"/>
      <c r="CB305" s="349"/>
      <c r="CC305" s="349"/>
      <c r="CD305" s="349"/>
      <c r="CE305" s="349"/>
      <c r="CF305" s="349"/>
      <c r="CG305" s="349"/>
      <c r="CH305" s="349"/>
      <c r="CI305" s="349"/>
      <c r="CJ305" s="349"/>
      <c r="CK305" s="349"/>
      <c r="CL305" s="349">
        <f>COUNTIF(AT305:BH305,"*OK*")</f>
        <v>0</v>
      </c>
      <c r="CM305" s="349"/>
      <c r="CN305" s="349">
        <f>COUNTIF(AT305:BH305,"*OP*")</f>
        <v>0</v>
      </c>
    </row>
    <row r="306" spans="1:93" ht="15" customHeight="1">
      <c r="A306" s="842"/>
      <c r="B306" s="560" t="s">
        <v>1886</v>
      </c>
      <c r="C306" s="329">
        <f t="shared" si="6"/>
        <v>90.172200000000004</v>
      </c>
      <c r="D306" s="352">
        <f>COUNTIF(AT306:BH306,"*OK*")</f>
        <v>0</v>
      </c>
      <c r="E306" s="351" t="s">
        <v>439</v>
      </c>
      <c r="F306" s="351" t="s">
        <v>1887</v>
      </c>
      <c r="G306" s="331" t="s">
        <v>1888</v>
      </c>
      <c r="H306" s="650">
        <f>IF(LEN(TRIM($G306&amp;""))=0, $C306, SUMIF($G$3:$G$561, TRIM($G306), $C$3:$C$561))</f>
        <v>201.00879999999998</v>
      </c>
      <c r="I306" s="353" t="s">
        <v>562</v>
      </c>
      <c r="J306" s="351"/>
      <c r="K306" s="349"/>
      <c r="L306" s="349" t="str">
        <f>HYPERLINK("https://crm.zoho.com/crm/org685875245/tab/Accounts/3525045000236726293","https://crm.zoho.com/crm/org685875245/tab/Accounts/3525045000236726293")</f>
        <v>https://crm.zoho.com/crm/org685875245/tab/Accounts/3525045000236726293</v>
      </c>
      <c r="M306" s="553" t="s">
        <v>96</v>
      </c>
      <c r="N306" s="352"/>
      <c r="O306" s="540"/>
      <c r="P306" s="540"/>
      <c r="Q306" s="540"/>
      <c r="R306" s="352"/>
      <c r="S306" s="352"/>
      <c r="T306" s="351"/>
      <c r="U306" s="354" t="s">
        <v>82</v>
      </c>
      <c r="V306" s="355">
        <v>96.75</v>
      </c>
      <c r="W306" s="355">
        <v>98.63</v>
      </c>
      <c r="X306" s="355">
        <v>97.76</v>
      </c>
      <c r="Y306" s="356">
        <v>97.02</v>
      </c>
      <c r="Z306" s="337">
        <v>90.460300000000004</v>
      </c>
      <c r="AA306" s="347">
        <v>87.52</v>
      </c>
      <c r="AB306" s="347">
        <v>86.300399999999996</v>
      </c>
      <c r="AC306" s="638">
        <v>89.884299999999996</v>
      </c>
      <c r="AD306" s="347">
        <v>90.172200000000004</v>
      </c>
      <c r="AE306" s="357"/>
      <c r="AF306" s="358">
        <v>150</v>
      </c>
      <c r="AG306" s="354"/>
      <c r="AH306" s="359"/>
      <c r="AI306" s="427" t="s">
        <v>83</v>
      </c>
      <c r="AJ306" s="361" t="s">
        <v>101</v>
      </c>
      <c r="AK306" s="362" t="s">
        <v>1889</v>
      </c>
      <c r="AL306" s="358" t="s">
        <v>103</v>
      </c>
      <c r="AM306" s="349"/>
      <c r="AN306" s="349"/>
      <c r="AO306" s="349"/>
      <c r="AP306" s="349"/>
      <c r="AQ306" s="349"/>
      <c r="AR306" s="453"/>
      <c r="AS306" s="371" t="s">
        <v>103</v>
      </c>
      <c r="AT306" s="345"/>
      <c r="AU306" s="345"/>
      <c r="AV306" s="345"/>
      <c r="AW306" s="345"/>
      <c r="AX306" s="345"/>
      <c r="AY306" s="345"/>
      <c r="AZ306" s="345"/>
      <c r="BA306" s="345"/>
      <c r="BB306" s="345"/>
      <c r="BC306" s="345"/>
      <c r="BD306" s="345"/>
      <c r="BE306" s="345"/>
      <c r="BF306" s="345"/>
      <c r="BG306" s="345"/>
      <c r="BH306" s="345"/>
      <c r="BI306" s="345"/>
      <c r="BJ306" s="364">
        <f>COUNTIF(AT306:BI306,"*OP*")</f>
        <v>0</v>
      </c>
      <c r="BK306" s="363" t="s">
        <v>103</v>
      </c>
      <c r="BL306" s="349">
        <f>(COUNTIF(AT306:AV306,"*OK*")*3) + (COUNTIF(AW306:AY306,"*OK*")*2) + COUNTIF(AZ306:BB306,"*OK*")+COUNTIF(BK306:BK306,"SI")*0.5</f>
        <v>0</v>
      </c>
      <c r="BM306" s="349" t="str">
        <f>IF(BL306&lt;0.6,"Demasiado Riesgo",IF(BL306&lt;=5,"Riesgo Medio",IF(BL306&lt;=11,"Riesgo Bajo","Cliente Blindado")))</f>
        <v>Demasiado Riesgo</v>
      </c>
      <c r="BN306" s="349"/>
      <c r="BO306" s="328"/>
      <c r="BP306" s="328">
        <v>0</v>
      </c>
      <c r="BQ306" s="328"/>
      <c r="BR306" s="328"/>
      <c r="BS306" s="328"/>
      <c r="BT306" s="328"/>
      <c r="BU306" s="328"/>
      <c r="BV306" s="328"/>
      <c r="BW306" s="328"/>
      <c r="BX306" s="328"/>
      <c r="BY306" s="328"/>
      <c r="BZ306" s="328"/>
      <c r="CA306" s="328"/>
      <c r="CB306" s="328"/>
      <c r="CC306" s="328"/>
      <c r="CD306" s="328"/>
      <c r="CE306" s="328"/>
      <c r="CF306" s="328"/>
      <c r="CG306" s="328"/>
      <c r="CH306" s="328"/>
      <c r="CI306" s="328"/>
      <c r="CJ306" s="328"/>
      <c r="CK306" s="328"/>
      <c r="CL306" s="328">
        <f>COUNTIF(AT306:BH306,"*OK*")</f>
        <v>0</v>
      </c>
      <c r="CM306" s="328"/>
      <c r="CN306" s="328">
        <f>COUNTIF(AT306:BH306,"*OP*")</f>
        <v>0</v>
      </c>
    </row>
    <row r="307" spans="1:93" ht="15" customHeight="1">
      <c r="A307" s="835">
        <v>27817</v>
      </c>
      <c r="B307" s="560" t="s">
        <v>1890</v>
      </c>
      <c r="C307" s="329">
        <f t="shared" si="6"/>
        <v>80.46350000000001</v>
      </c>
      <c r="D307" s="352">
        <f>COUNTIF(AT307:BH307,"*OK*")</f>
        <v>0</v>
      </c>
      <c r="E307" s="351" t="s">
        <v>439</v>
      </c>
      <c r="F307" s="351" t="s">
        <v>1891</v>
      </c>
      <c r="G307" s="351" t="s">
        <v>1892</v>
      </c>
      <c r="H307" s="650">
        <f>IF(LEN(TRIM($G307&amp;""))=0, $C307, SUMIF($G$3:$G$561, TRIM($G307), $C$3:$C$561))</f>
        <v>213.07940000000002</v>
      </c>
      <c r="I307" s="413" t="s">
        <v>562</v>
      </c>
      <c r="J307" s="351"/>
      <c r="K307" s="349"/>
      <c r="L307" s="349"/>
      <c r="M307" s="553" t="s">
        <v>96</v>
      </c>
      <c r="N307" s="352"/>
      <c r="O307" s="540"/>
      <c r="P307" s="540"/>
      <c r="Q307" s="540"/>
      <c r="R307" s="352"/>
      <c r="S307" s="352"/>
      <c r="T307" s="351"/>
      <c r="U307" s="354" t="s">
        <v>82</v>
      </c>
      <c r="V307" s="355">
        <v>94.49</v>
      </c>
      <c r="W307" s="355">
        <v>87.8</v>
      </c>
      <c r="X307" s="355">
        <v>83.67</v>
      </c>
      <c r="Y307" s="356">
        <v>86.36</v>
      </c>
      <c r="Z307" s="337">
        <v>87.523200000000003</v>
      </c>
      <c r="AA307" s="338">
        <v>89.82</v>
      </c>
      <c r="AB307" s="338">
        <v>90.578100000000006</v>
      </c>
      <c r="AC307" s="634">
        <v>88.898600000000002</v>
      </c>
      <c r="AD307" s="338">
        <v>80.46350000000001</v>
      </c>
      <c r="AE307" s="357">
        <v>68</v>
      </c>
      <c r="AF307" s="358">
        <v>100</v>
      </c>
      <c r="AG307" s="354"/>
      <c r="AH307" s="359"/>
      <c r="AI307" s="370" t="s">
        <v>258</v>
      </c>
      <c r="AJ307" s="361" t="s">
        <v>396</v>
      </c>
      <c r="AK307" s="362" t="s">
        <v>1893</v>
      </c>
      <c r="AL307" s="358" t="s">
        <v>103</v>
      </c>
      <c r="AM307" s="349"/>
      <c r="AN307" s="349"/>
      <c r="AO307" s="349"/>
      <c r="AP307" s="349"/>
      <c r="AQ307" s="349"/>
      <c r="AR307" s="453"/>
      <c r="AS307" s="371" t="s">
        <v>88</v>
      </c>
      <c r="AT307" s="345"/>
      <c r="AU307" s="345"/>
      <c r="AV307" s="345"/>
      <c r="AW307" s="345"/>
      <c r="AX307" s="345"/>
      <c r="AY307" s="345"/>
      <c r="AZ307" s="345"/>
      <c r="BA307" s="345"/>
      <c r="BB307" s="345"/>
      <c r="BC307" s="345"/>
      <c r="BD307" s="345"/>
      <c r="BE307" s="345"/>
      <c r="BF307" s="345"/>
      <c r="BG307" s="345"/>
      <c r="BH307" s="345"/>
      <c r="BI307" s="345"/>
      <c r="BJ307" s="364">
        <f>COUNTIF(AT307:BI307,"*OP*")</f>
        <v>0</v>
      </c>
      <c r="BK307" s="363" t="s">
        <v>88</v>
      </c>
      <c r="BL307" s="349">
        <f>(COUNTIF(AT307:AV307,"*OK*")*3) + (COUNTIF(AW307:AY307,"*OK*")*2) + COUNTIF(AZ307:BB307,"*OK*")+COUNTIF(BK307:BK307,"SI")*0.5</f>
        <v>0.5</v>
      </c>
      <c r="BM307" s="349" t="str">
        <f>IF(BL307&lt;0.6,"Demasiado Riesgo",IF(BL307&lt;=5,"Riesgo Medio",IF(BL307&lt;=11,"Riesgo Bajo","Cliente Blindado")))</f>
        <v>Demasiado Riesgo</v>
      </c>
      <c r="BN307" s="349"/>
      <c r="BO307" s="349"/>
      <c r="BP307" s="349">
        <v>0</v>
      </c>
      <c r="BQ307" s="349"/>
      <c r="BR307" s="349"/>
      <c r="BS307" s="349"/>
      <c r="BT307" s="349"/>
      <c r="BU307" s="349"/>
      <c r="BV307" s="349"/>
      <c r="BW307" s="349"/>
      <c r="BX307" s="349"/>
      <c r="BY307" s="349"/>
      <c r="BZ307" s="349"/>
      <c r="CA307" s="349"/>
      <c r="CB307" s="349"/>
      <c r="CC307" s="349"/>
      <c r="CD307" s="349"/>
      <c r="CE307" s="349"/>
      <c r="CF307" s="349"/>
      <c r="CG307" s="349"/>
      <c r="CH307" s="349"/>
      <c r="CI307" s="349"/>
      <c r="CJ307" s="349"/>
      <c r="CK307" s="349"/>
      <c r="CL307" s="349">
        <f>COUNTIF(AT307:BH307,"*OK*")</f>
        <v>0</v>
      </c>
      <c r="CM307" s="349"/>
      <c r="CN307" s="349">
        <f>COUNTIF(AT307:BH307,"*OP*")</f>
        <v>0</v>
      </c>
    </row>
    <row r="308" spans="1:93" ht="15" customHeight="1">
      <c r="A308" s="836">
        <v>22030</v>
      </c>
      <c r="B308" s="560" t="s">
        <v>1894</v>
      </c>
      <c r="C308" s="329">
        <f t="shared" si="6"/>
        <v>82.657799999999995</v>
      </c>
      <c r="D308" s="332">
        <f>COUNTIF(AT308:BH308,"*OK*")</f>
        <v>0</v>
      </c>
      <c r="E308" s="331" t="s">
        <v>439</v>
      </c>
      <c r="F308" s="331" t="s">
        <v>1895</v>
      </c>
      <c r="G308" s="331" t="s">
        <v>1888</v>
      </c>
      <c r="H308" s="650">
        <f>IF(LEN(TRIM($G308&amp;""))=0, $C308, SUMIF($G$3:$G$561, TRIM($G308), $C$3:$C$561))</f>
        <v>201.00879999999998</v>
      </c>
      <c r="I308" s="333" t="s">
        <v>562</v>
      </c>
      <c r="J308" s="331"/>
      <c r="K308" s="328"/>
      <c r="L308" s="328" t="str">
        <f>HYPERLINK("https://crm.zoho.com/crm/org685875245/tab/Accounts/3525045000236726293","https://crm.zoho.com/crm/org685875245/tab/Accounts/3525045000236726293")</f>
        <v>https://crm.zoho.com/crm/org685875245/tab/Accounts/3525045000236726293</v>
      </c>
      <c r="M308" s="391" t="s">
        <v>96</v>
      </c>
      <c r="N308" s="332"/>
      <c r="O308" s="541" t="s">
        <v>1896</v>
      </c>
      <c r="P308" s="541" t="s">
        <v>1897</v>
      </c>
      <c r="Q308" s="541" t="s">
        <v>1898</v>
      </c>
      <c r="R308" s="332"/>
      <c r="S308" s="332"/>
      <c r="T308" s="331"/>
      <c r="U308" s="334" t="s">
        <v>82</v>
      </c>
      <c r="V308" s="335">
        <v>86.88</v>
      </c>
      <c r="W308" s="335">
        <v>82.85</v>
      </c>
      <c r="X308" s="335">
        <v>84.6</v>
      </c>
      <c r="Y308" s="336">
        <v>83.44</v>
      </c>
      <c r="Z308" s="337">
        <v>78.661100000000005</v>
      </c>
      <c r="AA308" s="367">
        <v>79.739999999999995</v>
      </c>
      <c r="AB308" s="367">
        <v>86.300399999999996</v>
      </c>
      <c r="AC308" s="636">
        <v>87.886899999999997</v>
      </c>
      <c r="AD308" s="367">
        <v>82.657799999999995</v>
      </c>
      <c r="AE308" s="339">
        <v>102</v>
      </c>
      <c r="AF308" s="340">
        <v>150</v>
      </c>
      <c r="AG308" s="334"/>
      <c r="AH308" s="341"/>
      <c r="AI308" s="343" t="s">
        <v>601</v>
      </c>
      <c r="AJ308" s="343" t="s">
        <v>101</v>
      </c>
      <c r="AK308" s="344" t="s">
        <v>1899</v>
      </c>
      <c r="AL308" s="340" t="s">
        <v>103</v>
      </c>
      <c r="AM308" s="328"/>
      <c r="AN308" s="328"/>
      <c r="AO308" s="328"/>
      <c r="AP308" s="328"/>
      <c r="AQ308" s="328"/>
      <c r="AR308" s="451"/>
      <c r="AS308" s="372" t="s">
        <v>88</v>
      </c>
      <c r="AT308" s="345"/>
      <c r="AU308" s="345"/>
      <c r="AV308" s="345" t="s">
        <v>179</v>
      </c>
      <c r="AW308" s="345"/>
      <c r="AX308" s="345"/>
      <c r="AY308" s="345"/>
      <c r="AZ308" s="345"/>
      <c r="BA308" s="345"/>
      <c r="BB308" s="345"/>
      <c r="BC308" s="345"/>
      <c r="BD308" s="345"/>
      <c r="BE308" s="345"/>
      <c r="BF308" s="345"/>
      <c r="BG308" s="345"/>
      <c r="BH308" s="345"/>
      <c r="BI308" s="345"/>
      <c r="BJ308" s="364">
        <f>COUNTIF(AT308:BI308,"*OP*")</f>
        <v>1</v>
      </c>
      <c r="BK308" s="375" t="s">
        <v>89</v>
      </c>
      <c r="BL308" s="328">
        <f>(COUNTIF(AT308:AV308,"*OK*")*3) + (COUNTIF(AW308:AY308,"*OK*")*2) + COUNTIF(AZ308:BB308,"*OK*")+COUNTIF(BK308:BK308,"SI")*0.5</f>
        <v>0</v>
      </c>
      <c r="BM308" s="328" t="str">
        <f>IF(BL308&lt;0.6,"Demasiado Riesgo",IF(BL308&lt;=5,"Riesgo Medio",IF(BL308&lt;=11,"Riesgo Bajo","Cliente Blindado")))</f>
        <v>Demasiado Riesgo</v>
      </c>
      <c r="BN308" s="328"/>
      <c r="BO308" s="328"/>
      <c r="BP308" s="328">
        <v>0</v>
      </c>
      <c r="BQ308" s="328"/>
      <c r="BR308" s="328"/>
      <c r="BS308" s="328"/>
      <c r="BT308" s="328"/>
      <c r="BU308" s="328"/>
      <c r="BV308" s="328"/>
      <c r="BW308" s="328"/>
      <c r="BX308" s="328"/>
      <c r="BY308" s="328"/>
      <c r="BZ308" s="328"/>
      <c r="CA308" s="328"/>
      <c r="CB308" s="328"/>
      <c r="CC308" s="328"/>
      <c r="CD308" s="328"/>
      <c r="CE308" s="328"/>
      <c r="CF308" s="328"/>
      <c r="CG308" s="328"/>
      <c r="CH308" s="328"/>
      <c r="CI308" s="328"/>
      <c r="CJ308" s="328"/>
      <c r="CK308" s="328"/>
      <c r="CL308" s="328">
        <f>COUNTIF(AT308:BH308,"*OK*")</f>
        <v>0</v>
      </c>
      <c r="CM308" s="328"/>
      <c r="CN308" s="328">
        <f>COUNTIF(AT308:BH308,"*OP*")</f>
        <v>1</v>
      </c>
    </row>
    <row r="309" spans="1:93" ht="15" customHeight="1">
      <c r="A309" s="843">
        <v>38740</v>
      </c>
      <c r="B309" s="560" t="s">
        <v>1900</v>
      </c>
      <c r="C309" s="329">
        <f t="shared" si="6"/>
        <v>119.0949</v>
      </c>
      <c r="D309" s="332">
        <f>COUNTIF(AX309:BI309,"OK")</f>
        <v>0</v>
      </c>
      <c r="E309" s="501" t="s">
        <v>782</v>
      </c>
      <c r="F309" s="536" t="s">
        <v>1901</v>
      </c>
      <c r="G309" s="537"/>
      <c r="H309" s="650">
        <f>IF(LEN(TRIM($G309&amp;""))=0, $C309, SUMIF($G$3:$G$561, TRIM($G309), $C$3:$C$561))</f>
        <v>119.0949</v>
      </c>
      <c r="I309" s="501" t="s">
        <v>562</v>
      </c>
      <c r="J309" s="501" t="s">
        <v>103</v>
      </c>
      <c r="K309" s="328"/>
      <c r="L309" s="328" t="str">
        <f>HYPERLINK("https://crm.zoho.com/crm/org685875245/tab/Accounts/3525045000628609615","https://crm.zoho.com/crm/org685875245/tab/Accounts/3525045000628609615")</f>
        <v>https://crm.zoho.com/crm/org685875245/tab/Accounts/3525045000628609615</v>
      </c>
      <c r="M309" s="391"/>
      <c r="N309" s="501" t="s">
        <v>103</v>
      </c>
      <c r="O309" s="543" t="s">
        <v>1902</v>
      </c>
      <c r="P309" s="543" t="s">
        <v>1903</v>
      </c>
      <c r="Q309" s="543" t="s">
        <v>1904</v>
      </c>
      <c r="R309" s="501"/>
      <c r="S309" s="501" t="s">
        <v>103</v>
      </c>
      <c r="T309" s="501" t="s">
        <v>88</v>
      </c>
      <c r="U309" s="469" t="s">
        <v>103</v>
      </c>
      <c r="V309" s="501" t="s">
        <v>103</v>
      </c>
      <c r="W309" s="501" t="s">
        <v>103</v>
      </c>
      <c r="X309" s="501" t="s">
        <v>103</v>
      </c>
      <c r="Y309" s="470" t="s">
        <v>103</v>
      </c>
      <c r="Z309" s="513" t="s">
        <v>103</v>
      </c>
      <c r="AA309" s="518">
        <v>90.11</v>
      </c>
      <c r="AB309" s="518">
        <v>100.431</v>
      </c>
      <c r="AC309" s="639">
        <v>87.666300000000007</v>
      </c>
      <c r="AD309" s="518">
        <v>119.0949</v>
      </c>
      <c r="AE309" s="327"/>
      <c r="AF309" s="372" t="s">
        <v>103</v>
      </c>
      <c r="AG309" s="344"/>
      <c r="AH309" s="328"/>
      <c r="AI309" s="342"/>
      <c r="AJ309" s="343"/>
      <c r="AK309" s="344"/>
      <c r="AL309" s="372" t="s">
        <v>103</v>
      </c>
      <c r="AM309" s="328"/>
      <c r="AN309" s="328"/>
      <c r="AO309" s="328"/>
      <c r="AP309" s="328"/>
      <c r="AQ309" s="328"/>
      <c r="AR309" s="451"/>
      <c r="AS309" s="444"/>
      <c r="AT309" s="345"/>
      <c r="AU309" s="345"/>
      <c r="AV309" s="345"/>
      <c r="AW309" s="345"/>
      <c r="AX309" s="345"/>
      <c r="AY309" s="345"/>
      <c r="AZ309" s="345"/>
      <c r="BA309" s="345"/>
      <c r="BB309" s="345"/>
      <c r="BC309" s="345"/>
      <c r="BD309" s="345"/>
      <c r="BE309" s="345"/>
      <c r="BF309" s="345"/>
      <c r="BG309" s="345"/>
      <c r="BH309" s="345"/>
      <c r="BI309" s="345"/>
      <c r="BJ309" s="364">
        <f>COUNTIF(AT309:BI309,"*OP*")</f>
        <v>0</v>
      </c>
      <c r="BK309" s="447"/>
      <c r="BL309" s="328">
        <f>(COUNTIF(AT309:AV309,"*OK*")*3) + (COUNTIF(AW309:AY309,"*OK*")*2) + COUNTIF(AZ309:BB309,"*OK*")+COUNTIF(BK309:BK309,"SI")*0.5</f>
        <v>0</v>
      </c>
      <c r="BM309" s="328" t="str">
        <f>IF(BL309&lt;0.6,"Demasiado Riesgo",IF(BL309&lt;=5,"Riesgo Medio",IF(BL309&lt;=11,"Riesgo Bajo","Cliente Blindado")))</f>
        <v>Demasiado Riesgo</v>
      </c>
      <c r="BN309" s="328"/>
      <c r="BO309" s="328"/>
      <c r="BP309" s="328">
        <v>0</v>
      </c>
      <c r="BQ309" s="328"/>
      <c r="BR309" s="328"/>
      <c r="BS309" s="328"/>
      <c r="BT309" s="328"/>
      <c r="BU309" s="328"/>
      <c r="BV309" s="328"/>
      <c r="BW309" s="328"/>
      <c r="BX309" s="328"/>
      <c r="BY309" s="328"/>
      <c r="BZ309" s="328"/>
      <c r="CA309" s="328"/>
      <c r="CB309" s="328"/>
      <c r="CC309" s="328"/>
      <c r="CD309" s="328"/>
      <c r="CE309" s="328"/>
      <c r="CF309" s="328"/>
      <c r="CG309" s="328"/>
      <c r="CH309" s="328"/>
      <c r="CI309" s="328"/>
      <c r="CJ309" s="328"/>
      <c r="CK309" s="328"/>
      <c r="CL309" s="328">
        <f>COUNTIF(AT309:BH309,"*OK*")</f>
        <v>0</v>
      </c>
      <c r="CM309" s="328"/>
      <c r="CN309" s="328">
        <f>COUNTIF(AT309:BH309,"*OP*")</f>
        <v>0</v>
      </c>
    </row>
    <row r="310" spans="1:93" ht="15" customHeight="1">
      <c r="A310" s="835">
        <v>22178</v>
      </c>
      <c r="B310" s="560" t="s">
        <v>1905</v>
      </c>
      <c r="C310" s="329">
        <f t="shared" si="6"/>
        <v>85.289199999999994</v>
      </c>
      <c r="D310" s="352">
        <f>COUNTIF(AT310:BH310,"*OK*")</f>
        <v>0</v>
      </c>
      <c r="E310" s="331" t="s">
        <v>782</v>
      </c>
      <c r="F310" s="351" t="s">
        <v>1906</v>
      </c>
      <c r="G310" s="351"/>
      <c r="H310" s="650">
        <f>IF(LEN(TRIM($G310&amp;""))=0, $C310, SUMIF($G$3:$G$561, TRIM($G310), $C$3:$C$561))</f>
        <v>85.289199999999994</v>
      </c>
      <c r="I310" s="351" t="s">
        <v>562</v>
      </c>
      <c r="J310" s="351"/>
      <c r="K310" s="349"/>
      <c r="L310" s="349" t="str">
        <f>HYPERLINK("https://crm.zoho.com/crm/org685875245/tab/Accounts/3525045000246281400","https://crm.zoho.com/crm/org685875245/tab/Accounts/3525045000246281400")</f>
        <v>https://crm.zoho.com/crm/org685875245/tab/Accounts/3525045000246281400</v>
      </c>
      <c r="M310" s="553"/>
      <c r="N310" s="352"/>
      <c r="O310" s="540" t="s">
        <v>1907</v>
      </c>
      <c r="P310" s="540" t="s">
        <v>1908</v>
      </c>
      <c r="Q310" s="540" t="s">
        <v>1909</v>
      </c>
      <c r="R310" s="352"/>
      <c r="S310" s="352"/>
      <c r="T310" s="351"/>
      <c r="U310" s="362" t="s">
        <v>902</v>
      </c>
      <c r="V310" s="355">
        <v>89.64</v>
      </c>
      <c r="W310" s="355">
        <v>103.34</v>
      </c>
      <c r="X310" s="355">
        <v>82.07</v>
      </c>
      <c r="Y310" s="356">
        <v>88.1</v>
      </c>
      <c r="Z310" s="337">
        <v>85.847800000000007</v>
      </c>
      <c r="AA310" s="365">
        <v>84.91</v>
      </c>
      <c r="AB310" s="365">
        <v>85.622799999999998</v>
      </c>
      <c r="AC310" s="635">
        <v>87.196899999999999</v>
      </c>
      <c r="AD310" s="365">
        <v>85.289199999999994</v>
      </c>
      <c r="AE310" s="357">
        <v>26</v>
      </c>
      <c r="AF310" s="358">
        <v>50</v>
      </c>
      <c r="AG310" s="354"/>
      <c r="AH310" s="359"/>
      <c r="AI310" s="427" t="s">
        <v>83</v>
      </c>
      <c r="AJ310" s="361" t="s">
        <v>143</v>
      </c>
      <c r="AK310" s="362" t="s">
        <v>1910</v>
      </c>
      <c r="AL310" s="358" t="s">
        <v>103</v>
      </c>
      <c r="AM310" s="349"/>
      <c r="AN310" s="349"/>
      <c r="AO310" s="349"/>
      <c r="AP310" s="349"/>
      <c r="AQ310" s="349"/>
      <c r="AR310" s="453"/>
      <c r="AS310" s="371" t="s">
        <v>103</v>
      </c>
      <c r="AT310" s="345"/>
      <c r="AU310" s="345"/>
      <c r="AV310" s="345"/>
      <c r="AW310" s="345"/>
      <c r="AX310" s="345"/>
      <c r="AY310" s="345"/>
      <c r="AZ310" s="345"/>
      <c r="BA310" s="345"/>
      <c r="BB310" s="345"/>
      <c r="BC310" s="345"/>
      <c r="BD310" s="345"/>
      <c r="BE310" s="345"/>
      <c r="BF310" s="345"/>
      <c r="BG310" s="345"/>
      <c r="BH310" s="345"/>
      <c r="BI310" s="345"/>
      <c r="BJ310" s="364">
        <f>COUNTIF(AT310:BI310,"*OP*")</f>
        <v>0</v>
      </c>
      <c r="BK310" s="363" t="s">
        <v>103</v>
      </c>
      <c r="BL310" s="349">
        <f>(COUNTIF(AT310:AV310,"*OK*")*3) + (COUNTIF(AW310:AY310,"*OK*")*2) + COUNTIF(AZ310:BB310,"*OK*")+COUNTIF(BK310:BK310,"SI")*0.5</f>
        <v>0</v>
      </c>
      <c r="BM310" s="349" t="str">
        <f>IF(BL310&lt;0.6,"Demasiado Riesgo",IF(BL310&lt;=5,"Riesgo Medio",IF(BL310&lt;=11,"Riesgo Bajo","Cliente Blindado")))</f>
        <v>Demasiado Riesgo</v>
      </c>
      <c r="BN310" s="349"/>
      <c r="BO310" s="349"/>
      <c r="BP310" s="349">
        <v>0</v>
      </c>
      <c r="BQ310" s="349"/>
      <c r="BR310" s="349"/>
      <c r="BS310" s="349"/>
      <c r="BT310" s="349"/>
      <c r="BU310" s="349"/>
      <c r="BV310" s="349"/>
      <c r="BW310" s="349"/>
      <c r="BX310" s="349"/>
      <c r="BY310" s="349"/>
      <c r="BZ310" s="349"/>
      <c r="CA310" s="349"/>
      <c r="CB310" s="349"/>
      <c r="CC310" s="349"/>
      <c r="CD310" s="349"/>
      <c r="CE310" s="349"/>
      <c r="CF310" s="349"/>
      <c r="CG310" s="349"/>
      <c r="CH310" s="349"/>
      <c r="CI310" s="349"/>
      <c r="CJ310" s="349"/>
      <c r="CK310" s="349"/>
      <c r="CL310" s="349">
        <f>COUNTIF(AT310:BH310,"*OK*")</f>
        <v>0</v>
      </c>
      <c r="CM310" s="349"/>
      <c r="CN310" s="349">
        <f>COUNTIF(AT310:BH310,"*OP*")</f>
        <v>0</v>
      </c>
    </row>
    <row r="311" spans="1:93" ht="15" customHeight="1">
      <c r="A311" s="834">
        <v>31607</v>
      </c>
      <c r="B311" s="560" t="s">
        <v>1911</v>
      </c>
      <c r="C311" s="329">
        <f t="shared" si="6"/>
        <v>81.8322</v>
      </c>
      <c r="D311" s="332">
        <f>COUNTIF(AT311:BH311,"*OK*")</f>
        <v>0</v>
      </c>
      <c r="E311" s="331" t="s">
        <v>782</v>
      </c>
      <c r="F311" s="331" t="s">
        <v>1912</v>
      </c>
      <c r="G311" s="331"/>
      <c r="H311" s="650">
        <f>IF(LEN(TRIM($G311&amp;""))=0, $C311, SUMIF($G$3:$G$561, TRIM($G311), $C$3:$C$561))</f>
        <v>81.8322</v>
      </c>
      <c r="I311" s="331" t="s">
        <v>562</v>
      </c>
      <c r="J311" s="331"/>
      <c r="K311" s="328"/>
      <c r="L311" s="328"/>
      <c r="M311" s="391"/>
      <c r="N311" s="332"/>
      <c r="O311" s="541" t="s">
        <v>1610</v>
      </c>
      <c r="P311" s="541" t="s">
        <v>1913</v>
      </c>
      <c r="Q311" s="541" t="s">
        <v>1914</v>
      </c>
      <c r="R311" s="332"/>
      <c r="S311" s="332"/>
      <c r="T311" s="331"/>
      <c r="U311" s="344" t="s">
        <v>285</v>
      </c>
      <c r="V311" s="335">
        <v>86.01</v>
      </c>
      <c r="W311" s="335">
        <v>85.93</v>
      </c>
      <c r="X311" s="335">
        <v>81.89</v>
      </c>
      <c r="Y311" s="336">
        <v>84.53</v>
      </c>
      <c r="Z311" s="337">
        <v>85.662999999999997</v>
      </c>
      <c r="AA311" s="347">
        <v>84.72</v>
      </c>
      <c r="AB311" s="347">
        <v>85.438400000000001</v>
      </c>
      <c r="AC311" s="638">
        <v>87.009100000000004</v>
      </c>
      <c r="AD311" s="347">
        <v>81.8322</v>
      </c>
      <c r="AE311" s="339">
        <v>22</v>
      </c>
      <c r="AF311" s="340">
        <v>100</v>
      </c>
      <c r="AG311" s="334"/>
      <c r="AH311" s="341"/>
      <c r="AI311" s="342" t="s">
        <v>1915</v>
      </c>
      <c r="AJ311" s="343" t="s">
        <v>297</v>
      </c>
      <c r="AK311" s="344" t="s">
        <v>1916</v>
      </c>
      <c r="AL311" s="340" t="s">
        <v>103</v>
      </c>
      <c r="AM311" s="328"/>
      <c r="AN311" s="328"/>
      <c r="AO311" s="328"/>
      <c r="AP311" s="328"/>
      <c r="AQ311" s="328"/>
      <c r="AR311" s="451"/>
      <c r="AS311" s="372" t="s">
        <v>103</v>
      </c>
      <c r="AT311" s="345"/>
      <c r="AU311" s="345"/>
      <c r="AV311" s="594"/>
      <c r="AW311" s="345"/>
      <c r="AX311" s="345"/>
      <c r="AY311" s="345"/>
      <c r="AZ311" s="345"/>
      <c r="BA311" s="345"/>
      <c r="BB311" s="345"/>
      <c r="BC311" s="345"/>
      <c r="BD311" s="345"/>
      <c r="BE311" s="345"/>
      <c r="BF311" s="345"/>
      <c r="BG311" s="345"/>
      <c r="BH311" s="345"/>
      <c r="BI311" s="345"/>
      <c r="BJ311" s="364">
        <f>COUNTIF(AT311:BI311,"*OP*")</f>
        <v>0</v>
      </c>
      <c r="BK311" s="375" t="s">
        <v>103</v>
      </c>
      <c r="BL311" s="328">
        <f>(COUNTIF(AT311:AV311,"*OK*")*3) + (COUNTIF(AW311:AY311,"*OK*")*2) + COUNTIF(AZ311:BB311,"*OK*")+COUNTIF(BK311:BK311,"SI")*0.5</f>
        <v>0</v>
      </c>
      <c r="BM311" s="328" t="str">
        <f>IF(BL311&lt;0.6,"Demasiado Riesgo",IF(BL311&lt;=5,"Riesgo Medio",IF(BL311&lt;=11,"Riesgo Bajo","Cliente Blindado")))</f>
        <v>Demasiado Riesgo</v>
      </c>
      <c r="BN311" s="328"/>
      <c r="BO311" s="328"/>
      <c r="BP311" s="328"/>
      <c r="BQ311" s="328"/>
      <c r="BR311" s="328"/>
      <c r="BS311" s="328"/>
      <c r="BT311" s="328"/>
      <c r="BU311" s="328"/>
      <c r="BV311" s="328"/>
      <c r="BW311" s="328"/>
      <c r="BX311" s="328"/>
      <c r="BY311" s="328"/>
      <c r="BZ311" s="328"/>
      <c r="CA311" s="328"/>
      <c r="CB311" s="328"/>
      <c r="CC311" s="328"/>
      <c r="CD311" s="328"/>
      <c r="CE311" s="328"/>
      <c r="CF311" s="328"/>
      <c r="CG311" s="328"/>
      <c r="CH311" s="328"/>
      <c r="CI311" s="328"/>
      <c r="CJ311" s="328"/>
      <c r="CK311" s="328"/>
      <c r="CL311" s="328">
        <f>COUNTIF(AT311:BH311,"*OK*")</f>
        <v>0</v>
      </c>
      <c r="CO311" s="285"/>
    </row>
    <row r="312" spans="1:93" ht="15" customHeight="1">
      <c r="A312" s="835">
        <v>32160</v>
      </c>
      <c r="B312" s="560" t="s">
        <v>1917</v>
      </c>
      <c r="C312" s="329">
        <f t="shared" si="6"/>
        <v>81.831100000000006</v>
      </c>
      <c r="D312" s="352">
        <f>COUNTIF(AT312:BH312,"*OK*")</f>
        <v>0</v>
      </c>
      <c r="E312" s="331" t="s">
        <v>782</v>
      </c>
      <c r="F312" s="351" t="s">
        <v>1918</v>
      </c>
      <c r="G312" s="351"/>
      <c r="H312" s="650">
        <f>IF(LEN(TRIM($G312&amp;""))=0, $C312, SUMIF($G$3:$G$561, TRIM($G312), $C$3:$C$561))</f>
        <v>81.831100000000006</v>
      </c>
      <c r="I312" s="351" t="s">
        <v>562</v>
      </c>
      <c r="J312" s="351"/>
      <c r="K312" s="349"/>
      <c r="L312" s="349" t="str">
        <f>HYPERLINK("https://crm.zoho.com/crm/org685875245/tab/Accounts/3525045000493783261","https://crm.zoho.com/crm/org685875245/tab/Accounts/3525045000493783261")</f>
        <v>https://crm.zoho.com/crm/org685875245/tab/Accounts/3525045000493783261</v>
      </c>
      <c r="M312" s="553"/>
      <c r="N312" s="352"/>
      <c r="O312" s="540" t="s">
        <v>1919</v>
      </c>
      <c r="P312" s="540" t="s">
        <v>1920</v>
      </c>
      <c r="Q312" s="540" t="s">
        <v>1921</v>
      </c>
      <c r="R312" s="352"/>
      <c r="S312" s="352"/>
      <c r="T312" s="351"/>
      <c r="U312" s="362" t="s">
        <v>285</v>
      </c>
      <c r="V312" s="355">
        <v>82.7</v>
      </c>
      <c r="W312" s="355">
        <v>82.62</v>
      </c>
      <c r="X312" s="355">
        <v>78.739999999999995</v>
      </c>
      <c r="Y312" s="356">
        <v>84.52</v>
      </c>
      <c r="Z312" s="337">
        <v>85.661799999999999</v>
      </c>
      <c r="AA312" s="365">
        <v>84.72</v>
      </c>
      <c r="AB312" s="365">
        <v>88.723299999999995</v>
      </c>
      <c r="AC312" s="635">
        <v>87.007900000000006</v>
      </c>
      <c r="AD312" s="365">
        <v>81.831100000000006</v>
      </c>
      <c r="AE312" s="357">
        <v>26</v>
      </c>
      <c r="AF312" s="358">
        <v>100</v>
      </c>
      <c r="AG312" s="354"/>
      <c r="AH312" s="359"/>
      <c r="AI312" s="360" t="s">
        <v>83</v>
      </c>
      <c r="AJ312" s="361" t="s">
        <v>297</v>
      </c>
      <c r="AK312" s="362" t="s">
        <v>1922</v>
      </c>
      <c r="AL312" s="358" t="s">
        <v>829</v>
      </c>
      <c r="AM312" s="349"/>
      <c r="AN312" s="349"/>
      <c r="AO312" s="349"/>
      <c r="AP312" s="349"/>
      <c r="AQ312" s="349"/>
      <c r="AR312" s="453"/>
      <c r="AS312" s="371" t="s">
        <v>103</v>
      </c>
      <c r="AT312" s="345"/>
      <c r="AU312" s="345"/>
      <c r="AV312" s="345"/>
      <c r="AW312" s="345"/>
      <c r="AX312" s="345"/>
      <c r="AY312" s="345"/>
      <c r="AZ312" s="345"/>
      <c r="BA312" s="345"/>
      <c r="BB312" s="345"/>
      <c r="BC312" s="345"/>
      <c r="BD312" s="345"/>
      <c r="BE312" s="345"/>
      <c r="BF312" s="345"/>
      <c r="BG312" s="345"/>
      <c r="BH312" s="345"/>
      <c r="BI312" s="345"/>
      <c r="BJ312" s="364">
        <f>COUNTIF(AT312:BI312,"*OP*")</f>
        <v>0</v>
      </c>
      <c r="BK312" s="363" t="s">
        <v>103</v>
      </c>
      <c r="BL312" s="349">
        <f>(COUNTIF(AT312:AV312,"*OK*")*3) + (COUNTIF(AW312:AY312,"*OK*")*2) + COUNTIF(AZ312:BB312,"*OK*")+COUNTIF(BK312:BK312,"SI")*0.5</f>
        <v>0</v>
      </c>
      <c r="BM312" s="349" t="str">
        <f>IF(BL312&lt;0.6,"Demasiado Riesgo",IF(BL312&lt;=5,"Riesgo Medio",IF(BL312&lt;=11,"Riesgo Bajo","Cliente Blindado")))</f>
        <v>Demasiado Riesgo</v>
      </c>
      <c r="BN312" s="349"/>
      <c r="BO312" s="349"/>
      <c r="BP312" s="349">
        <v>0</v>
      </c>
      <c r="BQ312" s="349"/>
      <c r="BR312" s="349"/>
      <c r="BS312" s="349"/>
      <c r="BT312" s="349"/>
      <c r="BU312" s="349"/>
      <c r="BV312" s="349"/>
      <c r="BW312" s="349"/>
      <c r="BX312" s="349"/>
      <c r="BY312" s="349"/>
      <c r="BZ312" s="349"/>
      <c r="CA312" s="349"/>
      <c r="CB312" s="349"/>
      <c r="CC312" s="349"/>
      <c r="CD312" s="349"/>
      <c r="CE312" s="349"/>
      <c r="CF312" s="349"/>
      <c r="CG312" s="349"/>
      <c r="CH312" s="349"/>
      <c r="CI312" s="349"/>
      <c r="CJ312" s="349"/>
      <c r="CK312" s="349"/>
      <c r="CL312" s="349">
        <f>COUNTIF(AT312:BH312,"*OK*")</f>
        <v>0</v>
      </c>
      <c r="CM312" s="349"/>
      <c r="CN312" s="349">
        <f>COUNTIF(AT312:BH312,"*OP*")</f>
        <v>0</v>
      </c>
    </row>
    <row r="313" spans="1:93" ht="15" customHeight="1">
      <c r="A313" s="835">
        <v>27462</v>
      </c>
      <c r="B313" s="560" t="s">
        <v>1923</v>
      </c>
      <c r="C313" s="329">
        <f t="shared" si="6"/>
        <v>85.837700000000012</v>
      </c>
      <c r="D313" s="352">
        <f>COUNTIF(AT313:BH313,"*OK*")</f>
        <v>0</v>
      </c>
      <c r="E313" s="331" t="s">
        <v>782</v>
      </c>
      <c r="F313" s="351" t="s">
        <v>1924</v>
      </c>
      <c r="G313" s="351"/>
      <c r="H313" s="650">
        <f>IF(LEN(TRIM($G313&amp;""))=0, $C313, SUMIF($G$3:$G$561, TRIM($G313), $C$3:$C$561))</f>
        <v>85.837700000000012</v>
      </c>
      <c r="I313" s="351" t="s">
        <v>562</v>
      </c>
      <c r="J313" s="351"/>
      <c r="K313" s="349"/>
      <c r="L313" s="349"/>
      <c r="M313" s="553"/>
      <c r="N313" s="352"/>
      <c r="O313" s="540" t="s">
        <v>1925</v>
      </c>
      <c r="P313" s="540" t="s">
        <v>1926</v>
      </c>
      <c r="Q313" s="540" t="s">
        <v>1927</v>
      </c>
      <c r="R313" s="352"/>
      <c r="S313" s="352"/>
      <c r="T313" s="351"/>
      <c r="U313" s="362" t="s">
        <v>82</v>
      </c>
      <c r="V313" s="355">
        <v>58.64</v>
      </c>
      <c r="W313" s="355">
        <v>63.09</v>
      </c>
      <c r="X313" s="355">
        <v>64.42</v>
      </c>
      <c r="Y313" s="356">
        <v>66.5</v>
      </c>
      <c r="Z313" s="337">
        <v>53.9131</v>
      </c>
      <c r="AA313" s="367">
        <v>57.77</v>
      </c>
      <c r="AB313" s="367">
        <v>103.06359999999999</v>
      </c>
      <c r="AC313" s="636">
        <v>86.704499999999996</v>
      </c>
      <c r="AD313" s="367">
        <v>85.837700000000012</v>
      </c>
      <c r="AE313" s="357">
        <v>24</v>
      </c>
      <c r="AF313" s="358">
        <v>100</v>
      </c>
      <c r="AG313" s="354"/>
      <c r="AH313" s="359"/>
      <c r="AI313" s="427" t="s">
        <v>83</v>
      </c>
      <c r="AJ313" s="361" t="s">
        <v>199</v>
      </c>
      <c r="AK313" s="362" t="s">
        <v>1928</v>
      </c>
      <c r="AL313" s="358" t="s">
        <v>103</v>
      </c>
      <c r="AM313" s="349"/>
      <c r="AN313" s="349"/>
      <c r="AO313" s="349"/>
      <c r="AP313" s="349"/>
      <c r="AQ313" s="349"/>
      <c r="AR313" s="453"/>
      <c r="AS313" s="371" t="s">
        <v>103</v>
      </c>
      <c r="AT313" s="445"/>
      <c r="AU313" s="445"/>
      <c r="AV313" s="445"/>
      <c r="AW313" s="445"/>
      <c r="AX313" s="445"/>
      <c r="AY313" s="445"/>
      <c r="AZ313" s="445"/>
      <c r="BA313" s="445"/>
      <c r="BB313" s="445"/>
      <c r="BC313" s="445"/>
      <c r="BD313" s="445"/>
      <c r="BE313" s="445"/>
      <c r="BF313" s="445"/>
      <c r="BG313" s="445"/>
      <c r="BH313" s="445"/>
      <c r="BI313" s="445"/>
      <c r="BJ313" s="446">
        <f>COUNTIF(AT313:BI313,"*OP*")</f>
        <v>0</v>
      </c>
      <c r="BK313" s="363" t="s">
        <v>103</v>
      </c>
      <c r="BL313" s="349">
        <f>(COUNTIF(AT313:AV313,"*OK*")*3) + (COUNTIF(AW313:AY313,"*OK*")*2) + COUNTIF(AZ313:BB313,"*OK*")+COUNTIF(BK313:BK313,"SI")*0.5</f>
        <v>0</v>
      </c>
      <c r="BM313" s="349" t="str">
        <f>IF(BL313&lt;0.6,"Demasiado Riesgo",IF(BL313&lt;=5,"Riesgo Medio",IF(BL313&lt;=11,"Riesgo Bajo","Cliente Blindado")))</f>
        <v>Demasiado Riesgo</v>
      </c>
      <c r="BN313" s="349"/>
      <c r="BO313" s="349"/>
      <c r="BP313" s="349">
        <v>0</v>
      </c>
      <c r="BQ313" s="349"/>
      <c r="BR313" s="349"/>
      <c r="BS313" s="349"/>
      <c r="BT313" s="349"/>
      <c r="BU313" s="349"/>
      <c r="BV313" s="349"/>
      <c r="BW313" s="349"/>
      <c r="BX313" s="349"/>
      <c r="BY313" s="349"/>
      <c r="BZ313" s="349"/>
      <c r="CA313" s="349"/>
      <c r="CB313" s="349"/>
      <c r="CC313" s="349"/>
      <c r="CD313" s="349"/>
      <c r="CE313" s="349"/>
      <c r="CF313" s="349"/>
      <c r="CG313" s="349"/>
      <c r="CH313" s="349"/>
      <c r="CI313" s="349"/>
      <c r="CJ313" s="349"/>
      <c r="CK313" s="349"/>
      <c r="CL313" s="349">
        <f>COUNTIF(AT313:BH313,"*OK*")</f>
        <v>0</v>
      </c>
      <c r="CM313" s="349"/>
      <c r="CN313" s="349">
        <f>COUNTIF(AT313:BH313,"*OP*")</f>
        <v>0</v>
      </c>
    </row>
    <row r="314" spans="1:93" ht="15" customHeight="1">
      <c r="A314" s="834">
        <v>25424</v>
      </c>
      <c r="B314" s="560" t="s">
        <v>1929</v>
      </c>
      <c r="C314" s="329">
        <f t="shared" si="6"/>
        <v>81.100999999999999</v>
      </c>
      <c r="D314" s="332">
        <f>COUNTIF(AT314:BH314,"*OK*")</f>
        <v>0</v>
      </c>
      <c r="E314" s="331" t="s">
        <v>782</v>
      </c>
      <c r="F314" s="331" t="s">
        <v>1930</v>
      </c>
      <c r="G314" s="331"/>
      <c r="H314" s="650">
        <f>IF(LEN(TRIM($G314&amp;""))=0, $C314, SUMIF($G$3:$G$561, TRIM($G314), $C$3:$C$561))</f>
        <v>81.100999999999999</v>
      </c>
      <c r="I314" s="331" t="s">
        <v>562</v>
      </c>
      <c r="J314" s="331"/>
      <c r="K314" s="328"/>
      <c r="L314" s="328"/>
      <c r="M314" s="391"/>
      <c r="N314" s="332"/>
      <c r="O314" s="541" t="s">
        <v>1545</v>
      </c>
      <c r="P314" s="541" t="s">
        <v>1931</v>
      </c>
      <c r="Q314" s="541" t="s">
        <v>1932</v>
      </c>
      <c r="R314" s="332"/>
      <c r="S314" s="332"/>
      <c r="T314" s="331"/>
      <c r="U314" s="344" t="s">
        <v>82</v>
      </c>
      <c r="V314" s="335">
        <v>85.24</v>
      </c>
      <c r="W314" s="335">
        <v>85.16</v>
      </c>
      <c r="X314" s="335">
        <v>81.16</v>
      </c>
      <c r="Y314" s="336">
        <v>83.77</v>
      </c>
      <c r="Z314" s="337">
        <v>73.022599999999997</v>
      </c>
      <c r="AA314" s="347">
        <v>83.97</v>
      </c>
      <c r="AB314" s="347">
        <v>84.674899999999994</v>
      </c>
      <c r="AC314" s="638">
        <v>86.2316</v>
      </c>
      <c r="AD314" s="347">
        <v>81.100999999999999</v>
      </c>
      <c r="AE314" s="339">
        <v>26</v>
      </c>
      <c r="AF314" s="340">
        <v>100</v>
      </c>
      <c r="AG314" s="334"/>
      <c r="AH314" s="341"/>
      <c r="AI314" s="422" t="s">
        <v>83</v>
      </c>
      <c r="AJ314" s="343" t="s">
        <v>130</v>
      </c>
      <c r="AK314" s="344" t="s">
        <v>1933</v>
      </c>
      <c r="AL314" s="340" t="s">
        <v>103</v>
      </c>
      <c r="AM314" s="328"/>
      <c r="AN314" s="328"/>
      <c r="AO314" s="328"/>
      <c r="AP314" s="328"/>
      <c r="AQ314" s="328"/>
      <c r="AR314" s="451"/>
      <c r="AS314" s="372" t="s">
        <v>103</v>
      </c>
      <c r="AT314" s="345"/>
      <c r="AU314" s="345"/>
      <c r="AV314" s="345"/>
      <c r="AW314" s="345"/>
      <c r="AX314" s="345"/>
      <c r="AY314" s="345"/>
      <c r="AZ314" s="345"/>
      <c r="BA314" s="345"/>
      <c r="BB314" s="345"/>
      <c r="BC314" s="345"/>
      <c r="BD314" s="345"/>
      <c r="BE314" s="345"/>
      <c r="BF314" s="345"/>
      <c r="BG314" s="345"/>
      <c r="BH314" s="345"/>
      <c r="BI314" s="345"/>
      <c r="BJ314" s="364">
        <f>COUNTIF(AT314:BI314,"*OP*")</f>
        <v>0</v>
      </c>
      <c r="BK314" s="375" t="s">
        <v>103</v>
      </c>
      <c r="BL314" s="328">
        <f>(COUNTIF(AT314:AV314,"*OK*")*3) + (COUNTIF(AW314:AY314,"*OK*")*2) + COUNTIF(AZ314:BB314,"*OK*")+COUNTIF(BK314:BK314,"SI")*0.5</f>
        <v>0</v>
      </c>
      <c r="BM314" s="328" t="str">
        <f>IF(BL314&lt;0.6,"Demasiado Riesgo",IF(BL314&lt;=5,"Riesgo Medio",IF(BL314&lt;=11,"Riesgo Bajo","Cliente Blindado")))</f>
        <v>Demasiado Riesgo</v>
      </c>
      <c r="BN314" s="328"/>
      <c r="BO314" s="328"/>
      <c r="BP314" s="328">
        <v>0</v>
      </c>
      <c r="BQ314" s="328"/>
      <c r="BR314" s="328"/>
      <c r="BS314" s="328"/>
      <c r="BT314" s="328"/>
      <c r="BU314" s="328"/>
      <c r="BV314" s="328"/>
      <c r="BW314" s="328"/>
      <c r="BX314" s="328"/>
      <c r="BY314" s="328"/>
      <c r="BZ314" s="328"/>
      <c r="CA314" s="328"/>
      <c r="CB314" s="328"/>
      <c r="CC314" s="328"/>
      <c r="CD314" s="328"/>
      <c r="CE314" s="328"/>
      <c r="CF314" s="328"/>
      <c r="CG314" s="328"/>
      <c r="CH314" s="328"/>
      <c r="CI314" s="328"/>
      <c r="CJ314" s="328"/>
      <c r="CK314" s="328"/>
      <c r="CL314" s="328">
        <f>COUNTIF(AT314:BH314,"*OK*")</f>
        <v>0</v>
      </c>
      <c r="CM314" s="328"/>
      <c r="CN314" s="328">
        <f>COUNTIF(AT314:BH314,"*OP*")</f>
        <v>0</v>
      </c>
    </row>
    <row r="315" spans="1:93" ht="15" customHeight="1">
      <c r="A315" s="835">
        <v>33095</v>
      </c>
      <c r="B315" s="560" t="s">
        <v>1934</v>
      </c>
      <c r="C315" s="329">
        <f t="shared" si="6"/>
        <v>107.8366</v>
      </c>
      <c r="D315" s="352">
        <f>COUNTIF(AT315:BH315,"*OK*")</f>
        <v>0</v>
      </c>
      <c r="E315" s="331" t="s">
        <v>782</v>
      </c>
      <c r="F315" s="351" t="s">
        <v>1935</v>
      </c>
      <c r="G315" s="351"/>
      <c r="H315" s="650">
        <f>IF(LEN(TRIM($G315&amp;""))=0, $C315, SUMIF($G$3:$G$561, TRIM($G315), $C$3:$C$561))</f>
        <v>107.8366</v>
      </c>
      <c r="I315" s="351" t="s">
        <v>562</v>
      </c>
      <c r="J315" s="351"/>
      <c r="K315" s="349"/>
      <c r="L315" s="349"/>
      <c r="M315" s="553"/>
      <c r="N315" s="352"/>
      <c r="O315" s="540" t="s">
        <v>138</v>
      </c>
      <c r="P315" s="540" t="s">
        <v>1936</v>
      </c>
      <c r="Q315" s="540" t="s">
        <v>1937</v>
      </c>
      <c r="R315" s="352"/>
      <c r="S315" s="352"/>
      <c r="T315" s="351"/>
      <c r="U315" s="362" t="s">
        <v>902</v>
      </c>
      <c r="V315" s="355">
        <v>84.83</v>
      </c>
      <c r="W315" s="355">
        <v>84.75</v>
      </c>
      <c r="X315" s="355">
        <v>80.77</v>
      </c>
      <c r="Y315" s="356">
        <v>83.37</v>
      </c>
      <c r="Z315" s="337">
        <v>84.490200000000002</v>
      </c>
      <c r="AA315" s="365">
        <v>83.56</v>
      </c>
      <c r="AB315" s="365">
        <v>84.268699999999995</v>
      </c>
      <c r="AC315" s="635">
        <v>85.817899999999995</v>
      </c>
      <c r="AD315" s="365">
        <v>107.8366</v>
      </c>
      <c r="AE315" s="357">
        <v>29</v>
      </c>
      <c r="AF315" s="358">
        <v>200</v>
      </c>
      <c r="AG315" s="354"/>
      <c r="AH315" s="359"/>
      <c r="AI315" s="427" t="s">
        <v>83</v>
      </c>
      <c r="AJ315" s="361" t="s">
        <v>143</v>
      </c>
      <c r="AK315" s="362" t="s">
        <v>1938</v>
      </c>
      <c r="AL315" s="358" t="s">
        <v>1140</v>
      </c>
      <c r="AM315" s="349"/>
      <c r="AN315" s="349"/>
      <c r="AO315" s="349"/>
      <c r="AP315" s="349"/>
      <c r="AQ315" s="349"/>
      <c r="AR315" s="453"/>
      <c r="AS315" s="371" t="s">
        <v>103</v>
      </c>
      <c r="AT315" s="345"/>
      <c r="AU315" s="345"/>
      <c r="AV315" s="345"/>
      <c r="AW315" s="345"/>
      <c r="AX315" s="345"/>
      <c r="AY315" s="345"/>
      <c r="AZ315" s="345"/>
      <c r="BA315" s="345"/>
      <c r="BB315" s="345"/>
      <c r="BC315" s="345"/>
      <c r="BD315" s="345"/>
      <c r="BE315" s="345"/>
      <c r="BF315" s="345"/>
      <c r="BG315" s="345"/>
      <c r="BH315" s="345"/>
      <c r="BI315" s="345"/>
      <c r="BJ315" s="364">
        <f>COUNTIF(AT315:BI315,"*OP*")</f>
        <v>0</v>
      </c>
      <c r="BK315" s="363" t="s">
        <v>103</v>
      </c>
      <c r="BL315" s="349">
        <f>(COUNTIF(AT315:AV315,"*OK*")*3) + (COUNTIF(AW315:AY315,"*OK*")*2) + COUNTIF(AZ315:BB315,"*OK*")+COUNTIF(BK315:BK315,"SI")*0.5</f>
        <v>0</v>
      </c>
      <c r="BM315" s="349" t="str">
        <f>IF(BL315&lt;0.6,"Demasiado Riesgo",IF(BL315&lt;=5,"Riesgo Medio",IF(BL315&lt;=11,"Riesgo Bajo","Cliente Blindado")))</f>
        <v>Demasiado Riesgo</v>
      </c>
      <c r="BN315" s="349"/>
      <c r="BO315" s="349"/>
      <c r="BP315" s="349">
        <v>0</v>
      </c>
      <c r="BQ315" s="349"/>
      <c r="BR315" s="349"/>
      <c r="BS315" s="349"/>
      <c r="BT315" s="349"/>
      <c r="BU315" s="349"/>
      <c r="BV315" s="349"/>
      <c r="BW315" s="349"/>
      <c r="BX315" s="349"/>
      <c r="BY315" s="349"/>
      <c r="BZ315" s="349"/>
      <c r="CA315" s="349"/>
      <c r="CB315" s="349"/>
      <c r="CC315" s="349"/>
      <c r="CD315" s="349"/>
      <c r="CE315" s="349"/>
      <c r="CF315" s="349"/>
      <c r="CG315" s="349"/>
      <c r="CH315" s="349"/>
      <c r="CI315" s="349"/>
      <c r="CJ315" s="349"/>
      <c r="CK315" s="349"/>
      <c r="CL315" s="349">
        <f>COUNTIF(AT315:BH315,"*OK*")</f>
        <v>0</v>
      </c>
      <c r="CM315" s="349"/>
      <c r="CN315" s="349">
        <f>COUNTIF(AT315:BH315,"*OP*")</f>
        <v>0</v>
      </c>
    </row>
    <row r="316" spans="1:93" ht="15" customHeight="1">
      <c r="A316" s="834">
        <v>22345</v>
      </c>
      <c r="B316" s="560" t="s">
        <v>1939</v>
      </c>
      <c r="C316" s="329">
        <f t="shared" si="6"/>
        <v>89.448099999999997</v>
      </c>
      <c r="D316" s="332">
        <f>COUNTIF(AT316:BH316,"*OK*")</f>
        <v>0</v>
      </c>
      <c r="E316" s="331" t="s">
        <v>782</v>
      </c>
      <c r="F316" s="331" t="s">
        <v>1940</v>
      </c>
      <c r="G316" s="331"/>
      <c r="H316" s="650">
        <f>IF(LEN(TRIM($G316&amp;""))=0, $C316, SUMIF($G$3:$G$561, TRIM($G316), $C$3:$C$561))</f>
        <v>89.448099999999997</v>
      </c>
      <c r="I316" s="331" t="s">
        <v>562</v>
      </c>
      <c r="J316" s="331"/>
      <c r="K316" s="328"/>
      <c r="L316" s="328" t="str">
        <f>HYPERLINK("https://crm.zoho.com/crm/org685875245/tab/Accounts/3525045000242899026","https://crm.zoho.com/crm/org685875245/tab/Accounts/3525045000242899026")</f>
        <v>https://crm.zoho.com/crm/org685875245/tab/Accounts/3525045000242899026</v>
      </c>
      <c r="M316" s="391"/>
      <c r="N316" s="332"/>
      <c r="O316" s="541" t="s">
        <v>1941</v>
      </c>
      <c r="P316" s="541" t="s">
        <v>1942</v>
      </c>
      <c r="Q316" s="541" t="s">
        <v>1943</v>
      </c>
      <c r="R316" s="332"/>
      <c r="S316" s="332"/>
      <c r="T316" s="331"/>
      <c r="U316" s="344" t="s">
        <v>82</v>
      </c>
      <c r="V316" s="335">
        <v>98.71</v>
      </c>
      <c r="W316" s="335">
        <v>98.62</v>
      </c>
      <c r="X316" s="335">
        <v>89.51</v>
      </c>
      <c r="Y316" s="336">
        <v>92.39</v>
      </c>
      <c r="Z316" s="337">
        <v>93.635400000000004</v>
      </c>
      <c r="AA316" s="347">
        <v>92.61</v>
      </c>
      <c r="AB316" s="347">
        <v>88.720399999999998</v>
      </c>
      <c r="AC316" s="638">
        <v>85.596100000000007</v>
      </c>
      <c r="AD316" s="347">
        <v>89.448099999999997</v>
      </c>
      <c r="AE316" s="339">
        <v>18</v>
      </c>
      <c r="AF316" s="340">
        <v>100</v>
      </c>
      <c r="AG316" s="334"/>
      <c r="AH316" s="341"/>
      <c r="AI316" s="422" t="s">
        <v>83</v>
      </c>
      <c r="AJ316" s="343" t="s">
        <v>143</v>
      </c>
      <c r="AK316" s="344" t="s">
        <v>1944</v>
      </c>
      <c r="AL316" s="340" t="s">
        <v>103</v>
      </c>
      <c r="AM316" s="328"/>
      <c r="AN316" s="328"/>
      <c r="AO316" s="328"/>
      <c r="AP316" s="328"/>
      <c r="AQ316" s="328"/>
      <c r="AR316" s="451"/>
      <c r="AS316" s="372" t="s">
        <v>103</v>
      </c>
      <c r="AT316" s="345"/>
      <c r="AU316" s="345"/>
      <c r="AV316" s="345"/>
      <c r="AW316" s="345"/>
      <c r="AX316" s="345"/>
      <c r="AY316" s="345"/>
      <c r="AZ316" s="345"/>
      <c r="BA316" s="345"/>
      <c r="BB316" s="345"/>
      <c r="BC316" s="345"/>
      <c r="BD316" s="345"/>
      <c r="BE316" s="345"/>
      <c r="BF316" s="345"/>
      <c r="BG316" s="345"/>
      <c r="BH316" s="345"/>
      <c r="BI316" s="345"/>
      <c r="BJ316" s="364">
        <f>COUNTIF(AT316:BI316,"*OP*")</f>
        <v>0</v>
      </c>
      <c r="BK316" s="375" t="s">
        <v>103</v>
      </c>
      <c r="BL316" s="328">
        <f>(COUNTIF(AT316:AV316,"*OK*")*3) + (COUNTIF(AW316:AY316,"*OK*")*2) + COUNTIF(AZ316:BB316,"*OK*")+COUNTIF(BK316:BK316,"SI")*0.5</f>
        <v>0</v>
      </c>
      <c r="BM316" s="328" t="str">
        <f>IF(BL316&lt;0.6,"Demasiado Riesgo",IF(BL316&lt;=5,"Riesgo Medio",IF(BL316&lt;=11,"Riesgo Bajo","Cliente Blindado")))</f>
        <v>Demasiado Riesgo</v>
      </c>
      <c r="BN316" s="328"/>
      <c r="BO316" s="349"/>
      <c r="BP316" s="349">
        <v>0</v>
      </c>
      <c r="BQ316" s="349"/>
      <c r="BR316" s="349"/>
      <c r="BS316" s="349"/>
      <c r="BT316" s="349"/>
      <c r="BU316" s="349"/>
      <c r="BV316" s="349"/>
      <c r="BW316" s="349"/>
      <c r="BX316" s="349"/>
      <c r="BY316" s="349"/>
      <c r="BZ316" s="349"/>
      <c r="CA316" s="349"/>
      <c r="CB316" s="349"/>
      <c r="CC316" s="349"/>
      <c r="CD316" s="349"/>
      <c r="CE316" s="349"/>
      <c r="CF316" s="349"/>
      <c r="CG316" s="349"/>
      <c r="CH316" s="349"/>
      <c r="CI316" s="349"/>
      <c r="CJ316" s="349"/>
      <c r="CK316" s="349"/>
      <c r="CL316" s="349">
        <f>COUNTIF(AT316:BH316,"*OK*")</f>
        <v>0</v>
      </c>
      <c r="CM316" s="349"/>
      <c r="CN316" s="349">
        <f>COUNTIF(AT316:BH316,"*OP*")</f>
        <v>0</v>
      </c>
    </row>
    <row r="317" spans="1:93" ht="15" customHeight="1">
      <c r="A317" s="834"/>
      <c r="B317" s="560" t="s">
        <v>1945</v>
      </c>
      <c r="C317" s="329">
        <f t="shared" si="6"/>
        <v>69.5364</v>
      </c>
      <c r="D317" s="332">
        <f>COUNTIF(AX317:BI317,"OK")</f>
        <v>0</v>
      </c>
      <c r="E317" s="331" t="s">
        <v>782</v>
      </c>
      <c r="F317" s="376" t="s">
        <v>1946</v>
      </c>
      <c r="G317" s="376"/>
      <c r="H317" s="650">
        <f>IF(LEN(TRIM($G317&amp;""))=0, $C317, SUMIF($G$3:$G$561, TRIM($G317), $C$3:$C$561))</f>
        <v>69.5364</v>
      </c>
      <c r="I317" s="376" t="s">
        <v>562</v>
      </c>
      <c r="J317" s="328"/>
      <c r="K317" s="328"/>
      <c r="L317" s="328" t="str">
        <f>HYPERLINK("https://crm.zoho.com/crm/org685875245/tab/Accounts/3525045000566681116","https://crm.zoho.com/crm/org685875245/tab/Accounts/3525045000566681116")</f>
        <v>https://crm.zoho.com/crm/org685875245/tab/Accounts/3525045000566681116</v>
      </c>
      <c r="M317" s="391"/>
      <c r="N317" s="332"/>
      <c r="O317" s="541" t="s">
        <v>1947</v>
      </c>
      <c r="P317" s="541" t="s">
        <v>1948</v>
      </c>
      <c r="Q317" s="541" t="s">
        <v>1949</v>
      </c>
      <c r="R317" s="332"/>
      <c r="S317" s="332"/>
      <c r="T317" s="349"/>
      <c r="U317" s="344"/>
      <c r="V317" s="335"/>
      <c r="W317" s="335"/>
      <c r="X317" s="335"/>
      <c r="Y317" s="336"/>
      <c r="Z317" s="337">
        <v>93.011499999999998</v>
      </c>
      <c r="AA317" s="374">
        <v>71.989999999999995</v>
      </c>
      <c r="AB317" s="374">
        <v>72.600700000000003</v>
      </c>
      <c r="AC317" s="643">
        <v>84.497600000000006</v>
      </c>
      <c r="AD317" s="374">
        <v>69.5364</v>
      </c>
      <c r="AE317" s="339"/>
      <c r="AF317" s="340" t="s">
        <v>103</v>
      </c>
      <c r="AG317" s="334"/>
      <c r="AH317" s="328"/>
      <c r="AI317" s="342"/>
      <c r="AJ317" s="343"/>
      <c r="AK317" s="344"/>
      <c r="AL317" s="372" t="s">
        <v>103</v>
      </c>
      <c r="AM317" s="328"/>
      <c r="AN317" s="328"/>
      <c r="AO317" s="328"/>
      <c r="AP317" s="328"/>
      <c r="AQ317" s="328"/>
      <c r="AR317" s="451"/>
      <c r="AS317" s="444"/>
      <c r="AT317" s="345"/>
      <c r="AU317" s="345"/>
      <c r="AV317" s="345"/>
      <c r="AW317" s="345"/>
      <c r="AX317" s="345"/>
      <c r="AY317" s="345"/>
      <c r="AZ317" s="345"/>
      <c r="BA317" s="345"/>
      <c r="BB317" s="345"/>
      <c r="BC317" s="345"/>
      <c r="BD317" s="345"/>
      <c r="BE317" s="345"/>
      <c r="BF317" s="345"/>
      <c r="BG317" s="345"/>
      <c r="BH317" s="345"/>
      <c r="BI317" s="345"/>
      <c r="BJ317" s="364">
        <f>COUNTIF(AT317:BI317,"*OP*")</f>
        <v>0</v>
      </c>
      <c r="BK317" s="447"/>
      <c r="BL317" s="328">
        <f>(COUNTIF(AT317:AV317,"*OK*")*3) + (COUNTIF(AW317:AY317,"*OK*")*2) + COUNTIF(AZ317:BB317,"*OK*")+COUNTIF(BK317:BK317,"SI")*0.5</f>
        <v>0</v>
      </c>
      <c r="BM317" s="328" t="str">
        <f>IF(BL317&lt;0.6,"Demasiado Riesgo",IF(BL317&lt;=5,"Riesgo Medio",IF(BL317&lt;=11,"Riesgo Bajo","Cliente Blindado")))</f>
        <v>Demasiado Riesgo</v>
      </c>
      <c r="BN317" s="328"/>
      <c r="BO317" s="328"/>
      <c r="BP317" s="328">
        <v>0</v>
      </c>
      <c r="BQ317" s="328"/>
      <c r="BR317" s="328"/>
      <c r="BS317" s="328"/>
      <c r="BT317" s="328"/>
      <c r="BU317" s="328"/>
      <c r="BV317" s="328"/>
      <c r="BW317" s="328"/>
      <c r="BX317" s="328"/>
      <c r="BY317" s="328"/>
      <c r="BZ317" s="328"/>
      <c r="CA317" s="328"/>
      <c r="CB317" s="328"/>
      <c r="CC317" s="328"/>
      <c r="CD317" s="328"/>
      <c r="CE317" s="328"/>
      <c r="CF317" s="328"/>
      <c r="CG317" s="328"/>
      <c r="CH317" s="328"/>
      <c r="CI317" s="328"/>
      <c r="CJ317" s="328"/>
      <c r="CK317" s="328"/>
      <c r="CL317" s="328">
        <f>COUNTIF(AT317:BH317,"*OK*")</f>
        <v>0</v>
      </c>
      <c r="CM317" s="328"/>
      <c r="CN317" s="328">
        <f>COUNTIF(AT317:BH317,"*OP*")</f>
        <v>0</v>
      </c>
    </row>
    <row r="318" spans="1:93" ht="15" customHeight="1">
      <c r="A318" s="834">
        <v>18820</v>
      </c>
      <c r="B318" s="560" t="s">
        <v>1950</v>
      </c>
      <c r="C318" s="329">
        <f t="shared" si="6"/>
        <v>86.092699999999994</v>
      </c>
      <c r="D318" s="332">
        <f>COUNTIF(AT318:BH318,"*OK*")</f>
        <v>0</v>
      </c>
      <c r="E318" s="331" t="s">
        <v>782</v>
      </c>
      <c r="F318" s="331" t="s">
        <v>1951</v>
      </c>
      <c r="G318" s="331"/>
      <c r="H318" s="650">
        <f>IF(LEN(TRIM($G318&amp;""))=0, $C318, SUMIF($G$3:$G$561, TRIM($G318), $C$3:$C$561))</f>
        <v>86.092699999999994</v>
      </c>
      <c r="I318" s="333" t="s">
        <v>562</v>
      </c>
      <c r="J318" s="331"/>
      <c r="K318" s="328"/>
      <c r="L318" s="328"/>
      <c r="M318" s="391"/>
      <c r="N318" s="332"/>
      <c r="O318" s="541" t="s">
        <v>1952</v>
      </c>
      <c r="P318" s="541" t="s">
        <v>1953</v>
      </c>
      <c r="Q318" s="541" t="s">
        <v>1954</v>
      </c>
      <c r="R318" s="332"/>
      <c r="S318" s="332"/>
      <c r="T318" s="331"/>
      <c r="U318" s="344" t="s">
        <v>82</v>
      </c>
      <c r="V318" s="335"/>
      <c r="W318" s="335"/>
      <c r="X318" s="335">
        <v>71.790000000000006</v>
      </c>
      <c r="Y318" s="336">
        <v>81.52</v>
      </c>
      <c r="Z318" s="337">
        <v>82.6126</v>
      </c>
      <c r="AA318" s="347">
        <v>81.709999999999994</v>
      </c>
      <c r="AB318" s="347">
        <v>82.396100000000004</v>
      </c>
      <c r="AC318" s="638">
        <v>83.910799999999995</v>
      </c>
      <c r="AD318" s="347">
        <v>86.092699999999994</v>
      </c>
      <c r="AE318" s="339">
        <v>22</v>
      </c>
      <c r="AF318" s="340">
        <v>100</v>
      </c>
      <c r="AG318" s="334"/>
      <c r="AH318" s="341"/>
      <c r="AI318" s="422" t="s">
        <v>83</v>
      </c>
      <c r="AJ318" s="343" t="s">
        <v>396</v>
      </c>
      <c r="AK318" s="344" t="s">
        <v>1955</v>
      </c>
      <c r="AL318" s="340" t="s">
        <v>103</v>
      </c>
      <c r="AM318" s="328"/>
      <c r="AN318" s="328"/>
      <c r="AO318" s="328"/>
      <c r="AP318" s="328"/>
      <c r="AQ318" s="328"/>
      <c r="AR318" s="451"/>
      <c r="AS318" s="372" t="s">
        <v>103</v>
      </c>
      <c r="AT318" s="345"/>
      <c r="AU318" s="345"/>
      <c r="AV318" s="345"/>
      <c r="AW318" s="345"/>
      <c r="AX318" s="345"/>
      <c r="AY318" s="345"/>
      <c r="AZ318" s="345"/>
      <c r="BA318" s="345"/>
      <c r="BB318" s="345"/>
      <c r="BC318" s="345"/>
      <c r="BD318" s="345"/>
      <c r="BE318" s="345"/>
      <c r="BF318" s="345"/>
      <c r="BG318" s="345"/>
      <c r="BH318" s="345"/>
      <c r="BI318" s="345"/>
      <c r="BJ318" s="364">
        <f>COUNTIF(AT318:BI318,"*OP*")</f>
        <v>0</v>
      </c>
      <c r="BK318" s="375" t="s">
        <v>103</v>
      </c>
      <c r="BL318" s="328">
        <f>(COUNTIF(AT318:AV318,"*OK*")*3) + (COUNTIF(AW318:AY318,"*OK*")*2) + COUNTIF(AZ318:BB318,"*OK*")+COUNTIF(BK318:BK318,"SI")*0.5</f>
        <v>0</v>
      </c>
      <c r="BM318" s="328" t="str">
        <f>IF(BL318&lt;0.6,"Demasiado Riesgo",IF(BL318&lt;=5,"Riesgo Medio",IF(BL318&lt;=11,"Riesgo Bajo","Cliente Blindado")))</f>
        <v>Demasiado Riesgo</v>
      </c>
      <c r="BN318" s="328"/>
      <c r="BO318" s="328"/>
      <c r="BP318" s="328">
        <v>0</v>
      </c>
      <c r="BQ318" s="328"/>
      <c r="BR318" s="328"/>
      <c r="BS318" s="328"/>
      <c r="BT318" s="328"/>
      <c r="BU318" s="328"/>
      <c r="BV318" s="328"/>
      <c r="BW318" s="328"/>
      <c r="BX318" s="328"/>
      <c r="BY318" s="328"/>
      <c r="BZ318" s="328"/>
      <c r="CA318" s="328"/>
      <c r="CB318" s="328"/>
      <c r="CC318" s="328"/>
      <c r="CD318" s="328"/>
      <c r="CE318" s="328"/>
      <c r="CF318" s="328"/>
      <c r="CG318" s="328"/>
      <c r="CH318" s="328"/>
      <c r="CI318" s="328"/>
      <c r="CJ318" s="328"/>
      <c r="CK318" s="328"/>
      <c r="CL318" s="328">
        <f>COUNTIF(AT318:BH318,"*OK*")</f>
        <v>0</v>
      </c>
      <c r="CM318" s="328"/>
      <c r="CN318" s="328">
        <f>COUNTIF(AT318:BH318,"*OP*")</f>
        <v>0</v>
      </c>
    </row>
    <row r="319" spans="1:93" ht="15" customHeight="1">
      <c r="A319" s="834">
        <v>36024</v>
      </c>
      <c r="B319" s="560" t="s">
        <v>1956</v>
      </c>
      <c r="C319" s="329">
        <f t="shared" si="6"/>
        <v>99.337699999999998</v>
      </c>
      <c r="D319" s="332">
        <f>COUNTIF(AT319:BH319,"*OK*")</f>
        <v>0</v>
      </c>
      <c r="E319" s="331" t="s">
        <v>782</v>
      </c>
      <c r="F319" s="331" t="s">
        <v>1957</v>
      </c>
      <c r="G319" s="331"/>
      <c r="H319" s="650">
        <f>IF(LEN(TRIM($G319&amp;""))=0, $C319, SUMIF($G$3:$G$561, TRIM($G319), $C$3:$C$561))</f>
        <v>99.337699999999998</v>
      </c>
      <c r="I319" s="333" t="s">
        <v>562</v>
      </c>
      <c r="J319" s="331"/>
      <c r="K319" s="328"/>
      <c r="L319" s="328"/>
      <c r="M319" s="391"/>
      <c r="N319" s="332"/>
      <c r="O319" s="541" t="s">
        <v>1295</v>
      </c>
      <c r="P319" s="541" t="s">
        <v>1958</v>
      </c>
      <c r="Q319" s="541" t="s">
        <v>1959</v>
      </c>
      <c r="R319" s="332"/>
      <c r="S319" s="332"/>
      <c r="T319" s="331"/>
      <c r="U319" s="344" t="s">
        <v>82</v>
      </c>
      <c r="V319" s="335"/>
      <c r="W319" s="335">
        <v>73.89</v>
      </c>
      <c r="X319" s="335">
        <v>74.56</v>
      </c>
      <c r="Y319" s="336">
        <v>76.959999999999994</v>
      </c>
      <c r="Z319" s="337">
        <v>82.323800000000006</v>
      </c>
      <c r="AA319" s="338">
        <v>89.99</v>
      </c>
      <c r="AB319" s="338">
        <v>95.072400000000002</v>
      </c>
      <c r="AC319" s="634">
        <v>83.617400000000004</v>
      </c>
      <c r="AD319" s="338">
        <v>99.337699999999998</v>
      </c>
      <c r="AE319" s="339">
        <v>19</v>
      </c>
      <c r="AF319" s="340">
        <v>50</v>
      </c>
      <c r="AG319" s="334"/>
      <c r="AH319" s="341"/>
      <c r="AI319" s="422" t="s">
        <v>83</v>
      </c>
      <c r="AJ319" s="343" t="s">
        <v>396</v>
      </c>
      <c r="AK319" s="344" t="s">
        <v>1960</v>
      </c>
      <c r="AL319" s="340" t="s">
        <v>103</v>
      </c>
      <c r="AM319" s="328"/>
      <c r="AN319" s="328"/>
      <c r="AO319" s="328"/>
      <c r="AP319" s="328"/>
      <c r="AQ319" s="328"/>
      <c r="AR319" s="451"/>
      <c r="AS319" s="372" t="s">
        <v>103</v>
      </c>
      <c r="AT319" s="345"/>
      <c r="AU319" s="345"/>
      <c r="AV319" s="345"/>
      <c r="AW319" s="345"/>
      <c r="AX319" s="345"/>
      <c r="AY319" s="345"/>
      <c r="AZ319" s="345"/>
      <c r="BA319" s="345"/>
      <c r="BB319" s="345"/>
      <c r="BC319" s="345"/>
      <c r="BD319" s="345"/>
      <c r="BE319" s="345"/>
      <c r="BF319" s="345"/>
      <c r="BG319" s="345"/>
      <c r="BH319" s="345"/>
      <c r="BI319" s="345"/>
      <c r="BJ319" s="364">
        <f>COUNTIF(AT319:BI319,"*OP*")</f>
        <v>0</v>
      </c>
      <c r="BK319" s="375" t="s">
        <v>103</v>
      </c>
      <c r="BL319" s="328">
        <f>(COUNTIF(AT319:AV319,"*OK*")*3) + (COUNTIF(AW319:AY319,"*OK*")*2) + COUNTIF(AZ319:BB319,"*OK*")+COUNTIF(BK319:BK319,"SI")*0.5</f>
        <v>0</v>
      </c>
      <c r="BM319" s="328" t="str">
        <f>IF(BL319&lt;0.6,"Demasiado Riesgo",IF(BL319&lt;=5,"Riesgo Medio",IF(BL319&lt;=11,"Riesgo Bajo","Cliente Blindado")))</f>
        <v>Demasiado Riesgo</v>
      </c>
      <c r="BN319" s="328"/>
      <c r="BO319" s="349"/>
      <c r="BP319" s="349">
        <v>0</v>
      </c>
      <c r="BQ319" s="349"/>
      <c r="BR319" s="349"/>
      <c r="BS319" s="349"/>
      <c r="BT319" s="349"/>
      <c r="BU319" s="349"/>
      <c r="BV319" s="349"/>
      <c r="BW319" s="349"/>
      <c r="BX319" s="349"/>
      <c r="BY319" s="349"/>
      <c r="BZ319" s="349"/>
      <c r="CA319" s="349"/>
      <c r="CB319" s="349"/>
      <c r="CC319" s="349"/>
      <c r="CD319" s="349"/>
      <c r="CE319" s="349"/>
      <c r="CF319" s="349"/>
      <c r="CG319" s="349"/>
      <c r="CH319" s="349"/>
      <c r="CI319" s="349"/>
      <c r="CJ319" s="349"/>
      <c r="CK319" s="349"/>
      <c r="CL319" s="349">
        <f>COUNTIF(AT319:BH319,"*OK*")</f>
        <v>0</v>
      </c>
      <c r="CM319" s="349"/>
      <c r="CN319" s="349">
        <f>COUNTIF(AT319:BH319,"*OP*")</f>
        <v>0</v>
      </c>
    </row>
    <row r="320" spans="1:93" ht="15" customHeight="1">
      <c r="A320" s="835"/>
      <c r="B320" s="560"/>
      <c r="C320" s="329">
        <f t="shared" si="6"/>
        <v>78.642399999999995</v>
      </c>
      <c r="D320" s="352">
        <f>COUNTIF(AX320:BI320,"OK")</f>
        <v>0</v>
      </c>
      <c r="E320" s="349" t="s">
        <v>782</v>
      </c>
      <c r="F320" s="368" t="s">
        <v>1961</v>
      </c>
      <c r="G320" s="368"/>
      <c r="H320" s="650">
        <f>IF(LEN(TRIM($G320&amp;""))=0, $C320, SUMIF($G$3:$G$561, TRIM($G320), $C$3:$C$561))</f>
        <v>78.642399999999995</v>
      </c>
      <c r="I320" s="368"/>
      <c r="J320" s="349"/>
      <c r="K320" s="349"/>
      <c r="L320" s="349" t="str">
        <f>HYPERLINK("https://crm.zoho.com/crm/org685875245/tab/Accounts/3525045000631372239","https://crm.zoho.com/crm/org685875245/tab/Accounts/3525045000631372239")</f>
        <v>https://crm.zoho.com/crm/org685875245/tab/Accounts/3525045000631372239</v>
      </c>
      <c r="M320" s="553"/>
      <c r="N320" s="352"/>
      <c r="O320" s="540"/>
      <c r="P320" s="540"/>
      <c r="Q320" s="540"/>
      <c r="R320" s="352"/>
      <c r="S320" s="352"/>
      <c r="T320" s="349"/>
      <c r="U320" s="362"/>
      <c r="V320" s="387"/>
      <c r="W320" s="381"/>
      <c r="X320" s="381"/>
      <c r="Y320" s="627"/>
      <c r="Z320" s="629"/>
      <c r="AA320" s="662"/>
      <c r="AB320" s="662">
        <v>82.108000000000004</v>
      </c>
      <c r="AC320" s="663">
        <v>83.617400000000004</v>
      </c>
      <c r="AD320" s="662">
        <v>78.642399999999995</v>
      </c>
      <c r="AE320" s="348"/>
      <c r="AF320" s="371" t="s">
        <v>103</v>
      </c>
      <c r="AG320" s="362"/>
      <c r="AH320" s="349"/>
      <c r="AI320" s="370"/>
      <c r="AJ320" s="361"/>
      <c r="AK320" s="362"/>
      <c r="AL320" s="371" t="s">
        <v>103</v>
      </c>
      <c r="AM320" s="349"/>
      <c r="AN320" s="349"/>
      <c r="AO320" s="349"/>
      <c r="AP320" s="349"/>
      <c r="AQ320" s="349"/>
      <c r="AR320" s="453"/>
      <c r="AS320" s="449"/>
      <c r="AT320" s="445"/>
      <c r="AU320" s="445"/>
      <c r="AV320" s="445"/>
      <c r="AW320" s="445"/>
      <c r="AX320" s="445"/>
      <c r="AY320" s="445"/>
      <c r="AZ320" s="445"/>
      <c r="BA320" s="445"/>
      <c r="BB320" s="445"/>
      <c r="BC320" s="445"/>
      <c r="BD320" s="445"/>
      <c r="BE320" s="445"/>
      <c r="BF320" s="445"/>
      <c r="BG320" s="445"/>
      <c r="BH320" s="445"/>
      <c r="BI320" s="445"/>
      <c r="BJ320" s="446">
        <f>COUNTIF(AT320:BI320,"*OP*")</f>
        <v>0</v>
      </c>
      <c r="BK320" s="450"/>
      <c r="BL320" s="349">
        <f>(COUNTIF(AT320:AV320,"*OK*")*3) + (COUNTIF(AW320:AY320,"*OK*")*2) + COUNTIF(AZ320:BB320,"*OK*")+COUNTIF(BK320:BK320,"SI")*0.5</f>
        <v>0</v>
      </c>
      <c r="BM320" s="349" t="str">
        <f>IF(BL320&lt;0.6,"Demasiado Riesgo",IF(BL320&lt;=5,"Riesgo Medio",IF(BL320&lt;=11,"Riesgo Bajo","Cliente Blindado")))</f>
        <v>Demasiado Riesgo</v>
      </c>
      <c r="BN320" s="349"/>
      <c r="BO320" s="328"/>
      <c r="BP320" s="328"/>
      <c r="BQ320" s="328"/>
      <c r="BR320" s="328"/>
      <c r="BS320" s="328"/>
      <c r="BT320" s="328"/>
      <c r="BU320" s="328"/>
      <c r="BV320" s="328"/>
      <c r="BW320" s="328"/>
      <c r="BX320" s="328"/>
      <c r="BY320" s="328"/>
      <c r="BZ320" s="328"/>
      <c r="CA320" s="328"/>
      <c r="CB320" s="328"/>
      <c r="CC320" s="328"/>
      <c r="CD320" s="328"/>
      <c r="CE320" s="328"/>
      <c r="CF320" s="328"/>
      <c r="CG320" s="328"/>
      <c r="CH320" s="328"/>
      <c r="CI320" s="328"/>
      <c r="CJ320" s="328"/>
      <c r="CK320" s="328"/>
      <c r="CL320" s="328">
        <f>COUNTIF(AT320:BH320,"*OK*")</f>
        <v>0</v>
      </c>
    </row>
    <row r="321" spans="1:94" ht="15" customHeight="1">
      <c r="A321" s="834"/>
      <c r="B321" s="560" t="s">
        <v>1962</v>
      </c>
      <c r="C321" s="329">
        <f t="shared" si="6"/>
        <v>76.158900000000003</v>
      </c>
      <c r="D321" s="332">
        <f>COUNTIF(AX321:BI321,"OK")</f>
        <v>0</v>
      </c>
      <c r="E321" s="331" t="s">
        <v>782</v>
      </c>
      <c r="F321" s="376" t="s">
        <v>1963</v>
      </c>
      <c r="G321" s="376"/>
      <c r="H321" s="650">
        <f>IF(LEN(TRIM($G321&amp;""))=0, $C321, SUMIF($G$3:$G$561, TRIM($G321), $C$3:$C$561))</f>
        <v>76.158900000000003</v>
      </c>
      <c r="I321" s="376" t="s">
        <v>562</v>
      </c>
      <c r="J321" s="328"/>
      <c r="K321" s="328"/>
      <c r="L321" s="328" t="str">
        <f>HYPERLINK("https://crm.zoho.com/crm/org685875245/tab/Accounts/3525045000606936298","https://crm.zoho.com/crm/org685875245/tab/Accounts/3525045000606936298")</f>
        <v>https://crm.zoho.com/crm/org685875245/tab/Accounts/3525045000606936298</v>
      </c>
      <c r="M321" s="391"/>
      <c r="N321" s="332"/>
      <c r="O321" s="541" t="s">
        <v>1029</v>
      </c>
      <c r="P321" s="541" t="s">
        <v>1964</v>
      </c>
      <c r="Q321" s="541" t="s">
        <v>1965</v>
      </c>
      <c r="R321" s="332"/>
      <c r="S321" s="332"/>
      <c r="T321" s="328"/>
      <c r="U321" s="344"/>
      <c r="V321" s="335"/>
      <c r="W321" s="335"/>
      <c r="X321" s="335"/>
      <c r="Y321" s="336">
        <v>78.67</v>
      </c>
      <c r="Z321" s="337">
        <v>79.724100000000007</v>
      </c>
      <c r="AA321" s="374">
        <v>78.849999999999994</v>
      </c>
      <c r="AB321" s="374">
        <v>79.515100000000004</v>
      </c>
      <c r="AC321" s="643">
        <v>80.976900000000001</v>
      </c>
      <c r="AD321" s="374">
        <v>76.158900000000003</v>
      </c>
      <c r="AE321" s="339"/>
      <c r="AF321" s="340" t="s">
        <v>103</v>
      </c>
      <c r="AG321" s="334"/>
      <c r="AH321" s="328"/>
      <c r="AI321" s="342"/>
      <c r="AJ321" s="343"/>
      <c r="AK321" s="344"/>
      <c r="AL321" s="372" t="s">
        <v>103</v>
      </c>
      <c r="AM321" s="328"/>
      <c r="AN321" s="328"/>
      <c r="AO321" s="328"/>
      <c r="AP321" s="328"/>
      <c r="AQ321" s="328"/>
      <c r="AR321" s="451"/>
      <c r="AS321" s="372"/>
      <c r="AT321" s="345"/>
      <c r="AU321" s="345"/>
      <c r="AV321" s="345"/>
      <c r="AW321" s="345"/>
      <c r="AX321" s="345"/>
      <c r="AY321" s="345"/>
      <c r="AZ321" s="345"/>
      <c r="BA321" s="345"/>
      <c r="BB321" s="345"/>
      <c r="BC321" s="345"/>
      <c r="BD321" s="345"/>
      <c r="BE321" s="345"/>
      <c r="BF321" s="345"/>
      <c r="BG321" s="345"/>
      <c r="BH321" s="345"/>
      <c r="BI321" s="345"/>
      <c r="BJ321" s="364">
        <f>COUNTIF(AT321:BI321,"*OP*")</f>
        <v>0</v>
      </c>
      <c r="BK321" s="375" t="s">
        <v>103</v>
      </c>
      <c r="BL321" s="328">
        <f>(COUNTIF(AT321:AV321,"*OK*")*3) + (COUNTIF(AW321:AY321,"*OK*")*2) + COUNTIF(AZ321:BB321,"*OK*")+COUNTIF(BK321:BK321,"SI")*0.5</f>
        <v>0</v>
      </c>
      <c r="BM321" s="328" t="str">
        <f>IF(BL321&lt;0.6,"Demasiado Riesgo",IF(BL321&lt;=5,"Riesgo Medio",IF(BL321&lt;=11,"Riesgo Bajo","Cliente Blindado")))</f>
        <v>Demasiado Riesgo</v>
      </c>
      <c r="BN321" s="328"/>
      <c r="BO321" s="328"/>
      <c r="BP321" s="328">
        <v>0</v>
      </c>
      <c r="BQ321" s="328"/>
      <c r="BR321" s="328"/>
      <c r="BS321" s="328"/>
      <c r="BT321" s="328"/>
      <c r="BU321" s="328"/>
      <c r="BV321" s="328"/>
      <c r="BW321" s="328"/>
      <c r="BX321" s="328"/>
      <c r="BY321" s="328"/>
      <c r="BZ321" s="328"/>
      <c r="CA321" s="328"/>
      <c r="CB321" s="328"/>
      <c r="CC321" s="328"/>
      <c r="CD321" s="328"/>
      <c r="CE321" s="328"/>
      <c r="CF321" s="328"/>
      <c r="CG321" s="328"/>
      <c r="CH321" s="328"/>
      <c r="CI321" s="328"/>
      <c r="CJ321" s="328"/>
      <c r="CK321" s="328"/>
      <c r="CL321" s="328">
        <f>COUNTIF(AT321:BH321,"*OK*")</f>
        <v>0</v>
      </c>
      <c r="CM321" s="328"/>
      <c r="CN321" s="328">
        <f>COUNTIF(AT321:BH321,"*OP*")</f>
        <v>0</v>
      </c>
    </row>
    <row r="322" spans="1:94" ht="15" customHeight="1">
      <c r="A322" s="834">
        <v>33785</v>
      </c>
      <c r="B322" s="560" t="s">
        <v>1966</v>
      </c>
      <c r="C322" s="329">
        <f t="shared" si="6"/>
        <v>86.092699999999994</v>
      </c>
      <c r="D322" s="332">
        <f>COUNTIF(AX322:BI322,"OK")</f>
        <v>0</v>
      </c>
      <c r="E322" s="328" t="s">
        <v>782</v>
      </c>
      <c r="F322" s="376" t="s">
        <v>1967</v>
      </c>
      <c r="G322" s="376"/>
      <c r="H322" s="650">
        <f>IF(LEN(TRIM($G322&amp;""))=0, $C322, SUMIF($G$3:$G$561, TRIM($G322), $C$3:$C$561))</f>
        <v>86.092699999999994</v>
      </c>
      <c r="I322" s="376" t="s">
        <v>562</v>
      </c>
      <c r="J322" s="328"/>
      <c r="K322" s="328"/>
      <c r="L322" s="328" t="str">
        <f>HYPERLINK("https://crm.zoho.com/crm/org685875245/tab/Accounts/3525045000516683281","https://crm.zoho.com/crm/org685875245/tab/Accounts/3525045000516683281")</f>
        <v>https://crm.zoho.com/crm/org685875245/tab/Accounts/3525045000516683281</v>
      </c>
      <c r="M322" s="391"/>
      <c r="N322" s="332" t="s">
        <v>1968</v>
      </c>
      <c r="O322" s="541" t="s">
        <v>1969</v>
      </c>
      <c r="P322" s="541" t="s">
        <v>1970</v>
      </c>
      <c r="Q322" s="541" t="s">
        <v>1971</v>
      </c>
      <c r="R322" s="332"/>
      <c r="S322" s="332"/>
      <c r="T322" s="328"/>
      <c r="U322" s="344"/>
      <c r="V322" s="388">
        <v>79</v>
      </c>
      <c r="W322" s="377">
        <v>79</v>
      </c>
      <c r="X322" s="377">
        <v>75</v>
      </c>
      <c r="Y322" s="527">
        <v>78</v>
      </c>
      <c r="Z322" s="515">
        <v>70</v>
      </c>
      <c r="AA322" s="528">
        <v>78</v>
      </c>
      <c r="AB322" s="528">
        <v>78.650800000000004</v>
      </c>
      <c r="AC322" s="633">
        <v>80.096699999999998</v>
      </c>
      <c r="AD322" s="528">
        <v>86.092699999999994</v>
      </c>
      <c r="AE322" s="327">
        <v>21</v>
      </c>
      <c r="AF322" s="372" t="s">
        <v>103</v>
      </c>
      <c r="AG322" s="344"/>
      <c r="AH322" s="328"/>
      <c r="AI322" s="342"/>
      <c r="AJ322" s="343"/>
      <c r="AK322" s="344"/>
      <c r="AL322" s="372" t="s">
        <v>103</v>
      </c>
      <c r="AM322" s="328"/>
      <c r="AN322" s="328"/>
      <c r="AO322" s="328"/>
      <c r="AP322" s="328"/>
      <c r="AQ322" s="328"/>
      <c r="AR322" s="451"/>
      <c r="AS322" s="444"/>
      <c r="AT322" s="345"/>
      <c r="AU322" s="345"/>
      <c r="AV322" s="345"/>
      <c r="AW322" s="345"/>
      <c r="AX322" s="345"/>
      <c r="AY322" s="345"/>
      <c r="AZ322" s="345"/>
      <c r="BA322" s="345"/>
      <c r="BB322" s="345"/>
      <c r="BC322" s="345"/>
      <c r="BD322" s="345"/>
      <c r="BE322" s="345"/>
      <c r="BF322" s="345"/>
      <c r="BG322" s="345"/>
      <c r="BH322" s="345"/>
      <c r="BI322" s="345"/>
      <c r="BJ322" s="364">
        <f>COUNTIF(AT322:BI322,"*OP*")</f>
        <v>0</v>
      </c>
      <c r="BK322" s="447"/>
      <c r="BL322" s="328">
        <f>(COUNTIF(AT322:AV322,"*OK*")*3) + (COUNTIF(AW322:AY322,"*OK*")*2) + COUNTIF(AZ322:BB322,"*OK*")+COUNTIF(BK322:BK322,"SI")*0.5</f>
        <v>0</v>
      </c>
      <c r="BM322" s="328" t="str">
        <f>IF(BL322&lt;0.6,"Demasiado Riesgo",IF(BL322&lt;=5,"Riesgo Medio",IF(BL322&lt;=11,"Riesgo Bajo","Cliente Blindado")))</f>
        <v>Demasiado Riesgo</v>
      </c>
      <c r="BN322" s="328"/>
      <c r="BO322" s="349"/>
      <c r="BP322" s="349">
        <v>0</v>
      </c>
      <c r="BQ322" s="349"/>
      <c r="BR322" s="349"/>
      <c r="BS322" s="349"/>
      <c r="BT322" s="349"/>
      <c r="BU322" s="349"/>
      <c r="BV322" s="349"/>
      <c r="BW322" s="349"/>
      <c r="BX322" s="349"/>
      <c r="BY322" s="349"/>
      <c r="BZ322" s="349"/>
      <c r="CA322" s="349"/>
      <c r="CB322" s="349"/>
      <c r="CC322" s="349"/>
      <c r="CD322" s="349"/>
      <c r="CE322" s="349"/>
      <c r="CF322" s="349"/>
      <c r="CG322" s="349"/>
      <c r="CH322" s="349"/>
      <c r="CI322" s="349"/>
      <c r="CJ322" s="349"/>
      <c r="CK322" s="349"/>
      <c r="CL322" s="349">
        <f>COUNTIF(AT322:BH322,"*OK*")</f>
        <v>0</v>
      </c>
      <c r="CM322" s="349"/>
      <c r="CN322" s="349">
        <f>COUNTIF(AT322:BH322,"*OP*")</f>
        <v>0</v>
      </c>
    </row>
    <row r="323" spans="1:94" ht="15" customHeight="1">
      <c r="A323" s="835">
        <v>26538</v>
      </c>
      <c r="B323" s="560" t="s">
        <v>1972</v>
      </c>
      <c r="C323" s="329">
        <f t="shared" si="6"/>
        <v>75.134100000000004</v>
      </c>
      <c r="D323" s="352">
        <f>COUNTIF(AT323:BH323,"*OK*")</f>
        <v>0</v>
      </c>
      <c r="E323" s="331" t="s">
        <v>782</v>
      </c>
      <c r="F323" s="351" t="s">
        <v>1973</v>
      </c>
      <c r="G323" s="351"/>
      <c r="H323" s="650">
        <f>IF(LEN(TRIM($G323&amp;""))=0, $C323, SUMIF($G$3:$G$561, TRIM($G323), $C$3:$C$561))</f>
        <v>75.134100000000004</v>
      </c>
      <c r="I323" s="351" t="s">
        <v>562</v>
      </c>
      <c r="J323" s="351"/>
      <c r="K323" s="349"/>
      <c r="L323" s="349"/>
      <c r="M323" s="553"/>
      <c r="N323" s="352"/>
      <c r="O323" s="540" t="s">
        <v>1974</v>
      </c>
      <c r="P323" s="540" t="s">
        <v>1975</v>
      </c>
      <c r="Q323" s="540" t="s">
        <v>1976</v>
      </c>
      <c r="R323" s="352"/>
      <c r="S323" s="352"/>
      <c r="T323" s="351"/>
      <c r="U323" s="362" t="s">
        <v>394</v>
      </c>
      <c r="V323" s="355">
        <v>75.209999999999994</v>
      </c>
      <c r="W323" s="355">
        <v>75.14</v>
      </c>
      <c r="X323" s="355">
        <v>71.61</v>
      </c>
      <c r="Y323" s="356">
        <v>73.91</v>
      </c>
      <c r="Z323" s="337">
        <v>74.906000000000006</v>
      </c>
      <c r="AA323" s="365">
        <v>74.08</v>
      </c>
      <c r="AB323" s="365">
        <v>74.709599999999995</v>
      </c>
      <c r="AC323" s="635">
        <v>79.887200000000007</v>
      </c>
      <c r="AD323" s="365">
        <v>75.134100000000004</v>
      </c>
      <c r="AE323" s="357">
        <v>19</v>
      </c>
      <c r="AF323" s="358">
        <v>200</v>
      </c>
      <c r="AG323" s="354"/>
      <c r="AH323" s="359"/>
      <c r="AI323" s="370" t="s">
        <v>258</v>
      </c>
      <c r="AJ323" s="361" t="s">
        <v>120</v>
      </c>
      <c r="AK323" s="362" t="s">
        <v>1977</v>
      </c>
      <c r="AL323" s="358" t="s">
        <v>103</v>
      </c>
      <c r="AM323" s="349"/>
      <c r="AN323" s="349"/>
      <c r="AO323" s="349"/>
      <c r="AP323" s="349"/>
      <c r="AQ323" s="349"/>
      <c r="AR323" s="453"/>
      <c r="AS323" s="371" t="s">
        <v>103</v>
      </c>
      <c r="AT323" s="345"/>
      <c r="AU323" s="345"/>
      <c r="AV323" s="345"/>
      <c r="AW323" s="345"/>
      <c r="AX323" s="345"/>
      <c r="AY323" s="345"/>
      <c r="AZ323" s="345"/>
      <c r="BA323" s="345"/>
      <c r="BB323" s="345"/>
      <c r="BC323" s="345"/>
      <c r="BD323" s="345"/>
      <c r="BE323" s="345"/>
      <c r="BF323" s="345"/>
      <c r="BG323" s="345"/>
      <c r="BH323" s="345"/>
      <c r="BI323" s="345"/>
      <c r="BJ323" s="364">
        <f>COUNTIF(AT323:BI323,"*OP*")</f>
        <v>0</v>
      </c>
      <c r="BK323" s="363" t="s">
        <v>103</v>
      </c>
      <c r="BL323" s="349">
        <f>(COUNTIF(AT323:AV323,"*OK*")*3) + (COUNTIF(AW323:AY323,"*OK*")*2) + COUNTIF(AZ323:BB323,"*OK*")+COUNTIF(BK323:BK323,"SI")*0.5</f>
        <v>0</v>
      </c>
      <c r="BM323" s="349" t="str">
        <f>IF(BL323&lt;0.6,"Demasiado Riesgo",IF(BL323&lt;=5,"Riesgo Medio",IF(BL323&lt;=11,"Riesgo Bajo","Cliente Blindado")))</f>
        <v>Demasiado Riesgo</v>
      </c>
      <c r="BN323" s="349"/>
      <c r="BO323" s="328"/>
      <c r="BP323" s="328">
        <v>0</v>
      </c>
      <c r="BQ323" s="328"/>
      <c r="BR323" s="328"/>
      <c r="BS323" s="328"/>
      <c r="BT323" s="328"/>
      <c r="BU323" s="328"/>
      <c r="BV323" s="328"/>
      <c r="BW323" s="328"/>
      <c r="BX323" s="328"/>
      <c r="BY323" s="328"/>
      <c r="BZ323" s="328"/>
      <c r="CA323" s="328"/>
      <c r="CB323" s="328"/>
      <c r="CC323" s="328"/>
      <c r="CD323" s="328"/>
      <c r="CE323" s="328"/>
      <c r="CF323" s="328"/>
      <c r="CG323" s="328"/>
      <c r="CH323" s="328"/>
      <c r="CI323" s="328"/>
      <c r="CJ323" s="328"/>
      <c r="CK323" s="328"/>
      <c r="CL323" s="328">
        <f>COUNTIF(AT323:BH323,"*OK*")</f>
        <v>0</v>
      </c>
      <c r="CM323" s="328"/>
      <c r="CN323" s="328">
        <f>COUNTIF(AT323:BH323,"*OP*")</f>
        <v>0</v>
      </c>
    </row>
    <row r="324" spans="1:94" ht="15" customHeight="1">
      <c r="A324" s="836">
        <v>25699</v>
      </c>
      <c r="B324" s="560" t="s">
        <v>1268</v>
      </c>
      <c r="C324" s="329">
        <f t="shared" ref="C324:C387" si="7">AD324</f>
        <v>71.979600000000005</v>
      </c>
      <c r="D324" s="332">
        <f>COUNTIF(AT324:BH324,"*OK*")</f>
        <v>0</v>
      </c>
      <c r="E324" s="331" t="s">
        <v>73</v>
      </c>
      <c r="F324" s="331" t="s">
        <v>1978</v>
      </c>
      <c r="G324" s="351" t="s">
        <v>1270</v>
      </c>
      <c r="H324" s="650">
        <f>IF(LEN(TRIM($G324&amp;""))=0, $C324, SUMIF($G$3:$G$561, TRIM($G324), $C$3:$C$561))</f>
        <v>389.298</v>
      </c>
      <c r="I324" s="417" t="s">
        <v>76</v>
      </c>
      <c r="J324" s="331"/>
      <c r="K324" s="560"/>
      <c r="L324" s="560" t="str">
        <f>HYPERLINK("https://crm.zoho.com/crm/org685875245/tab/Accounts/3525045000305828624","https://crm.zoho.com/crm/org685875245/tab/Accounts/3525045000305828624")</f>
        <v>https://crm.zoho.com/crm/org685875245/tab/Accounts/3525045000305828624</v>
      </c>
      <c r="M324" s="391" t="s">
        <v>167</v>
      </c>
      <c r="N324" s="560"/>
      <c r="O324" s="561" t="s">
        <v>1271</v>
      </c>
      <c r="P324" s="561" t="s">
        <v>1272</v>
      </c>
      <c r="Q324" s="561" t="s">
        <v>1273</v>
      </c>
      <c r="R324" s="560"/>
      <c r="S324" s="332"/>
      <c r="T324" s="331"/>
      <c r="U324" s="334" t="s">
        <v>82</v>
      </c>
      <c r="V324" s="335">
        <v>58.6</v>
      </c>
      <c r="W324" s="335">
        <v>56.42</v>
      </c>
      <c r="X324" s="335">
        <v>65.94</v>
      </c>
      <c r="Y324" s="336">
        <v>72.25</v>
      </c>
      <c r="Z324" s="337">
        <v>73.226600000000005</v>
      </c>
      <c r="AA324" s="338">
        <v>74.52</v>
      </c>
      <c r="AB324" s="338">
        <v>75.151499999999999</v>
      </c>
      <c r="AC324" s="634">
        <v>79.766900000000007</v>
      </c>
      <c r="AD324" s="338">
        <v>71.979600000000005</v>
      </c>
      <c r="AE324" s="339">
        <v>444</v>
      </c>
      <c r="AF324" s="340">
        <v>100</v>
      </c>
      <c r="AG324" s="334"/>
      <c r="AH324" s="341"/>
      <c r="AI324" s="418" t="s">
        <v>83</v>
      </c>
      <c r="AJ324" s="343" t="s">
        <v>396</v>
      </c>
      <c r="AK324" s="344" t="s">
        <v>1979</v>
      </c>
      <c r="AL324" s="340" t="s">
        <v>103</v>
      </c>
      <c r="AM324" s="328"/>
      <c r="AN324" s="328"/>
      <c r="AO324" s="328"/>
      <c r="AP324" s="328"/>
      <c r="AQ324" s="328"/>
      <c r="AR324" s="451"/>
      <c r="AS324" s="372" t="s">
        <v>103</v>
      </c>
      <c r="AT324" s="345"/>
      <c r="AU324" s="345"/>
      <c r="AV324" s="345"/>
      <c r="AW324" s="345"/>
      <c r="AX324" s="345"/>
      <c r="AY324" s="345"/>
      <c r="AZ324" s="345"/>
      <c r="BA324" s="345"/>
      <c r="BB324" s="345"/>
      <c r="BC324" s="345"/>
      <c r="BD324" s="345"/>
      <c r="BE324" s="345"/>
      <c r="BF324" s="345"/>
      <c r="BG324" s="345"/>
      <c r="BH324" s="345"/>
      <c r="BI324" s="345"/>
      <c r="BJ324" s="364">
        <f>COUNTIF(AT324:BI324,"*OP*")</f>
        <v>0</v>
      </c>
      <c r="BK324" s="375" t="s">
        <v>103</v>
      </c>
      <c r="BL324" s="328">
        <f>(COUNTIF(AT324:AV324,"*OK*")*3) + (COUNTIF(AW324:AY324,"*OK*")*2) + COUNTIF(AZ324:BB324,"*OK*")+COUNTIF(BK324:BK324,"SI")*0.5</f>
        <v>0</v>
      </c>
      <c r="BM324" s="328" t="str">
        <f>IF(BL324&lt;0.6,"Demasiado Riesgo",IF(BL324&lt;=5,"Riesgo Medio",IF(BL324&lt;=11,"Riesgo Bajo","Cliente Blindado")))</f>
        <v>Demasiado Riesgo</v>
      </c>
      <c r="BN324" s="328"/>
      <c r="BO324" s="328"/>
      <c r="BP324" s="328">
        <v>0</v>
      </c>
      <c r="BQ324" s="328"/>
      <c r="BR324" s="328"/>
      <c r="BS324" s="328"/>
      <c r="BT324" s="328"/>
      <c r="BU324" s="328"/>
      <c r="BV324" s="328"/>
      <c r="BW324" s="328"/>
      <c r="BX324" s="328"/>
      <c r="BY324" s="328"/>
      <c r="BZ324" s="328"/>
      <c r="CA324" s="328"/>
      <c r="CB324" s="328"/>
      <c r="CC324" s="328"/>
      <c r="CD324" s="328"/>
      <c r="CE324" s="328"/>
      <c r="CF324" s="328"/>
      <c r="CG324" s="328"/>
      <c r="CH324" s="328"/>
      <c r="CI324" s="328"/>
      <c r="CJ324" s="328"/>
      <c r="CK324" s="328"/>
      <c r="CL324" s="328">
        <f>COUNTIF(AT324:BH324,"*OK*")</f>
        <v>0</v>
      </c>
      <c r="CM324" s="328"/>
      <c r="CN324" s="328">
        <f>COUNTIF(AT324:BH324,"*OP*")</f>
        <v>0</v>
      </c>
    </row>
    <row r="325" spans="1:94" ht="15" customHeight="1">
      <c r="A325" s="835">
        <v>22223</v>
      </c>
      <c r="B325" s="560" t="s">
        <v>1980</v>
      </c>
      <c r="C325" s="329">
        <f t="shared" si="7"/>
        <v>87.120399999999989</v>
      </c>
      <c r="D325" s="352">
        <f>COUNTIF(AT325:BH325,"*OK*")</f>
        <v>1</v>
      </c>
      <c r="E325" s="331" t="s">
        <v>782</v>
      </c>
      <c r="F325" s="351" t="s">
        <v>1981</v>
      </c>
      <c r="G325" s="351"/>
      <c r="H325" s="650">
        <f>IF(LEN(TRIM($G325&amp;""))=0, $C325, SUMIF($G$3:$G$561, TRIM($G325), $C$3:$C$561))</f>
        <v>87.120399999999989</v>
      </c>
      <c r="I325" s="351" t="s">
        <v>562</v>
      </c>
      <c r="J325" s="351"/>
      <c r="K325" s="349"/>
      <c r="L325" s="349" t="str">
        <f>HYPERLINK("https://crm.zoho.com/crm/org685875245/tab/Accounts/3525045000248436114","https://crm.zoho.com/crm/org685875245/tab/Accounts/3525045000248436114")</f>
        <v>https://crm.zoho.com/crm/org685875245/tab/Accounts/3525045000248436114</v>
      </c>
      <c r="M325" s="553"/>
      <c r="N325" s="352"/>
      <c r="O325" s="540" t="s">
        <v>1982</v>
      </c>
      <c r="P325" s="540" t="s">
        <v>1983</v>
      </c>
      <c r="Q325" s="540" t="s">
        <v>1984</v>
      </c>
      <c r="R325" s="352"/>
      <c r="S325" s="352"/>
      <c r="T325" s="351"/>
      <c r="U325" s="362" t="s">
        <v>209</v>
      </c>
      <c r="V325" s="355">
        <v>56.57</v>
      </c>
      <c r="W325" s="355">
        <v>56.52</v>
      </c>
      <c r="X325" s="355">
        <v>53.87</v>
      </c>
      <c r="Y325" s="356">
        <v>62.69</v>
      </c>
      <c r="Z325" s="337">
        <v>74.317300000000003</v>
      </c>
      <c r="AA325" s="365">
        <v>73.5</v>
      </c>
      <c r="AB325" s="365">
        <v>74.122399999999999</v>
      </c>
      <c r="AC325" s="635">
        <v>79.135499999999993</v>
      </c>
      <c r="AD325" s="365">
        <v>87.120399999999989</v>
      </c>
      <c r="AE325" s="357">
        <v>21</v>
      </c>
      <c r="AF325" s="358">
        <v>100</v>
      </c>
      <c r="AG325" s="354"/>
      <c r="AH325" s="359"/>
      <c r="AI325" s="427" t="s">
        <v>83</v>
      </c>
      <c r="AJ325" s="361" t="s">
        <v>101</v>
      </c>
      <c r="AK325" s="362" t="s">
        <v>1985</v>
      </c>
      <c r="AL325" s="358" t="s">
        <v>101</v>
      </c>
      <c r="AM325" s="349"/>
      <c r="AN325" s="349"/>
      <c r="AO325" s="349"/>
      <c r="AP325" s="349"/>
      <c r="AQ325" s="349"/>
      <c r="AR325" s="453"/>
      <c r="AS325" s="371" t="s">
        <v>103</v>
      </c>
      <c r="AT325" s="345"/>
      <c r="AU325" s="345"/>
      <c r="AV325" s="421" t="s">
        <v>1986</v>
      </c>
      <c r="AW325" s="345"/>
      <c r="AX325" s="345"/>
      <c r="AY325" s="345"/>
      <c r="AZ325" s="345"/>
      <c r="BA325" s="345"/>
      <c r="BB325" s="345"/>
      <c r="BC325" s="345"/>
      <c r="BD325" s="345"/>
      <c r="BE325" s="345"/>
      <c r="BF325" s="345"/>
      <c r="BG325" s="345"/>
      <c r="BH325" s="345"/>
      <c r="BI325" s="345"/>
      <c r="BJ325" s="364">
        <f>COUNTIF(AT325:BI325,"*OP*")</f>
        <v>0</v>
      </c>
      <c r="BK325" s="363" t="s">
        <v>103</v>
      </c>
      <c r="BL325" s="349">
        <f>(COUNTIF(AT325:AV325,"*OK*")*3) + (COUNTIF(AW325:AY325,"*OK*")*2) + COUNTIF(AZ325:BB325,"*OK*")+COUNTIF(BK325:BK325,"SI")*0.5</f>
        <v>3</v>
      </c>
      <c r="BM325" s="349" t="str">
        <f>IF(BL325&lt;0.6,"Demasiado Riesgo",IF(BL325&lt;=5,"Riesgo Medio",IF(BL325&lt;=11,"Riesgo Bajo","Cliente Blindado")))</f>
        <v>Riesgo Medio</v>
      </c>
      <c r="BN325" s="349"/>
      <c r="BO325" s="328"/>
      <c r="BP325" s="328"/>
      <c r="BQ325" s="328"/>
      <c r="BR325" s="328"/>
      <c r="BS325" s="328"/>
      <c r="BT325" s="328"/>
      <c r="BU325" s="328"/>
      <c r="BV325" s="328"/>
      <c r="BW325" s="328"/>
      <c r="BX325" s="328"/>
      <c r="BY325" s="328"/>
      <c r="BZ325" s="328"/>
      <c r="CA325" s="328"/>
      <c r="CB325" s="328"/>
      <c r="CC325" s="328"/>
      <c r="CD325" s="328"/>
      <c r="CE325" s="328"/>
      <c r="CF325" s="328"/>
      <c r="CG325" s="328"/>
      <c r="CH325" s="328"/>
      <c r="CI325" s="328"/>
      <c r="CJ325" s="328"/>
      <c r="CK325" s="328"/>
      <c r="CL325" s="328">
        <f>COUNTIF(AT325:BH325,"*OK*")</f>
        <v>1</v>
      </c>
    </row>
    <row r="326" spans="1:94" ht="15" customHeight="1">
      <c r="A326" s="834">
        <v>31677</v>
      </c>
      <c r="B326" s="560" t="s">
        <v>1987</v>
      </c>
      <c r="C326" s="329">
        <f t="shared" si="7"/>
        <v>77.2517</v>
      </c>
      <c r="D326" s="332">
        <f>COUNTIF(AT326:BH326,"*OK*")</f>
        <v>0</v>
      </c>
      <c r="E326" s="331" t="s">
        <v>782</v>
      </c>
      <c r="F326" s="331" t="s">
        <v>1988</v>
      </c>
      <c r="G326" s="331"/>
      <c r="H326" s="650">
        <f>IF(LEN(TRIM($G326&amp;""))=0, $C326, SUMIF($G$3:$G$561, TRIM($G326), $C$3:$C$561))</f>
        <v>77.2517</v>
      </c>
      <c r="I326" s="331" t="s">
        <v>562</v>
      </c>
      <c r="J326" s="331"/>
      <c r="K326" s="328"/>
      <c r="L326" s="328"/>
      <c r="M326" s="391"/>
      <c r="N326" s="332"/>
      <c r="O326" s="541" t="s">
        <v>1989</v>
      </c>
      <c r="P326" s="541" t="s">
        <v>1990</v>
      </c>
      <c r="Q326" s="541" t="s">
        <v>1991</v>
      </c>
      <c r="R326" s="332"/>
      <c r="S326" s="332"/>
      <c r="T326" s="331"/>
      <c r="U326" s="344" t="s">
        <v>82</v>
      </c>
      <c r="V326" s="335">
        <v>73.08</v>
      </c>
      <c r="W326" s="335">
        <v>75.709999999999994</v>
      </c>
      <c r="X326" s="335">
        <v>72.150000000000006</v>
      </c>
      <c r="Y326" s="336">
        <v>74.47</v>
      </c>
      <c r="Z326" s="337">
        <v>75.476799999999997</v>
      </c>
      <c r="AA326" s="338">
        <v>79.98</v>
      </c>
      <c r="AB326" s="338">
        <v>75.278899999999993</v>
      </c>
      <c r="AC326" s="634">
        <v>76.662800000000004</v>
      </c>
      <c r="AD326" s="338">
        <v>77.2517</v>
      </c>
      <c r="AE326" s="339">
        <v>14</v>
      </c>
      <c r="AF326" s="340">
        <v>100</v>
      </c>
      <c r="AG326" s="334"/>
      <c r="AH326" s="341"/>
      <c r="AI326" s="422" t="s">
        <v>83</v>
      </c>
      <c r="AJ326" s="343" t="s">
        <v>234</v>
      </c>
      <c r="AK326" s="344" t="s">
        <v>1992</v>
      </c>
      <c r="AL326" s="340" t="s">
        <v>103</v>
      </c>
      <c r="AM326" s="328"/>
      <c r="AN326" s="328"/>
      <c r="AO326" s="328"/>
      <c r="AP326" s="328"/>
      <c r="AQ326" s="328"/>
      <c r="AR326" s="451"/>
      <c r="AS326" s="372" t="s">
        <v>103</v>
      </c>
      <c r="AT326" s="445"/>
      <c r="AU326" s="445"/>
      <c r="AV326" s="445"/>
      <c r="AW326" s="445"/>
      <c r="AX326" s="445"/>
      <c r="AY326" s="445"/>
      <c r="AZ326" s="445"/>
      <c r="BA326" s="445"/>
      <c r="BB326" s="445"/>
      <c r="BC326" s="445"/>
      <c r="BD326" s="445"/>
      <c r="BE326" s="445"/>
      <c r="BF326" s="445"/>
      <c r="BG326" s="445"/>
      <c r="BH326" s="445"/>
      <c r="BI326" s="445"/>
      <c r="BJ326" s="446">
        <f>COUNTIF(AT326:BI326,"*OP*")</f>
        <v>0</v>
      </c>
      <c r="BK326" s="375" t="s">
        <v>103</v>
      </c>
      <c r="BL326" s="328">
        <f>(COUNTIF(AT326:AV326,"*OK*")*3) + (COUNTIF(AW326:AY326,"*OK*")*2) + COUNTIF(AZ326:BB326,"*OK*")+COUNTIF(BK326:BK326,"SI")*0.5</f>
        <v>0</v>
      </c>
      <c r="BM326" s="328" t="str">
        <f>IF(BL326&lt;0.6,"Demasiado Riesgo",IF(BL326&lt;=5,"Riesgo Medio",IF(BL326&lt;=11,"Riesgo Bajo","Cliente Blindado")))</f>
        <v>Demasiado Riesgo</v>
      </c>
      <c r="BN326" s="328"/>
      <c r="BO326" s="328"/>
      <c r="BP326" s="328">
        <v>0</v>
      </c>
      <c r="BQ326" s="328"/>
      <c r="BR326" s="328"/>
      <c r="BS326" s="328"/>
      <c r="BT326" s="328"/>
      <c r="BU326" s="328"/>
      <c r="BV326" s="328"/>
      <c r="BW326" s="328"/>
      <c r="BX326" s="328"/>
      <c r="BY326" s="328"/>
      <c r="BZ326" s="328"/>
      <c r="CA326" s="328"/>
      <c r="CB326" s="328"/>
      <c r="CC326" s="328"/>
      <c r="CD326" s="328"/>
      <c r="CE326" s="328"/>
      <c r="CF326" s="328"/>
      <c r="CG326" s="328"/>
      <c r="CH326" s="328"/>
      <c r="CI326" s="328"/>
      <c r="CJ326" s="328"/>
      <c r="CK326" s="328"/>
      <c r="CL326" s="328">
        <f>COUNTIF(AT326:BH326,"*OK*")</f>
        <v>0</v>
      </c>
      <c r="CM326" s="328"/>
      <c r="CN326" s="328">
        <f>COUNTIF(AT326:BH326,"*OP*")</f>
        <v>0</v>
      </c>
      <c r="CO326" s="285"/>
    </row>
    <row r="327" spans="1:94" ht="15" customHeight="1">
      <c r="A327" s="834"/>
      <c r="B327" s="560" t="s">
        <v>1993</v>
      </c>
      <c r="C327" s="329">
        <f t="shared" si="7"/>
        <v>71.417199999999994</v>
      </c>
      <c r="D327" s="332">
        <f>COUNTIF(AT327:BH327,"*OK*")</f>
        <v>0</v>
      </c>
      <c r="E327" s="331" t="s">
        <v>782</v>
      </c>
      <c r="F327" s="331" t="s">
        <v>1994</v>
      </c>
      <c r="G327" s="331"/>
      <c r="H327" s="650">
        <f>IF(LEN(TRIM($G327&amp;""))=0, $C327, SUMIF($G$3:$G$561, TRIM($G327), $C$3:$C$561))</f>
        <v>71.417199999999994</v>
      </c>
      <c r="I327" s="333" t="s">
        <v>562</v>
      </c>
      <c r="J327" s="331"/>
      <c r="K327" s="328"/>
      <c r="L327" s="328"/>
      <c r="M327" s="391"/>
      <c r="N327" s="332"/>
      <c r="O327" s="541"/>
      <c r="P327" s="541"/>
      <c r="Q327" s="541"/>
      <c r="R327" s="332"/>
      <c r="S327" s="332"/>
      <c r="T327" s="331"/>
      <c r="U327" s="334" t="s">
        <v>82</v>
      </c>
      <c r="V327" s="335">
        <v>68.81</v>
      </c>
      <c r="W327" s="335">
        <v>68.739999999999995</v>
      </c>
      <c r="X327" s="335">
        <v>67</v>
      </c>
      <c r="Y327" s="336">
        <v>69.16</v>
      </c>
      <c r="Z327" s="337">
        <v>73.2029</v>
      </c>
      <c r="AA327" s="347">
        <v>69.319999999999993</v>
      </c>
      <c r="AB327" s="347">
        <v>73.010999999999996</v>
      </c>
      <c r="AC327" s="638">
        <v>74.353200000000001</v>
      </c>
      <c r="AD327" s="347">
        <v>71.417199999999994</v>
      </c>
      <c r="AE327" s="339"/>
      <c r="AF327" s="340">
        <v>100</v>
      </c>
      <c r="AG327" s="334"/>
      <c r="AH327" s="341"/>
      <c r="AI327" s="418" t="s">
        <v>83</v>
      </c>
      <c r="AJ327" s="343" t="s">
        <v>297</v>
      </c>
      <c r="AK327" s="344" t="s">
        <v>1995</v>
      </c>
      <c r="AL327" s="340" t="s">
        <v>103</v>
      </c>
      <c r="AM327" s="328"/>
      <c r="AN327" s="328"/>
      <c r="AO327" s="328"/>
      <c r="AP327" s="328"/>
      <c r="AQ327" s="328"/>
      <c r="AR327" s="451"/>
      <c r="AS327" s="372" t="s">
        <v>103</v>
      </c>
      <c r="AT327" s="345"/>
      <c r="AU327" s="345"/>
      <c r="AV327" s="345"/>
      <c r="AW327" s="345"/>
      <c r="AX327" s="345"/>
      <c r="AY327" s="345"/>
      <c r="AZ327" s="345"/>
      <c r="BA327" s="345"/>
      <c r="BB327" s="345"/>
      <c r="BC327" s="345"/>
      <c r="BD327" s="345"/>
      <c r="BE327" s="345"/>
      <c r="BF327" s="345"/>
      <c r="BG327" s="345"/>
      <c r="BH327" s="345"/>
      <c r="BI327" s="345"/>
      <c r="BJ327" s="364">
        <f>COUNTIF(AT327:BI327,"*OP*")</f>
        <v>0</v>
      </c>
      <c r="BK327" s="375" t="s">
        <v>103</v>
      </c>
      <c r="BL327" s="328">
        <f>(COUNTIF(AT327:AV327,"*OK*")*3) + (COUNTIF(AW327:AY327,"*OK*")*2) + COUNTIF(AZ327:BB327,"*OK*")+COUNTIF(BK327:BK327,"SI")*0.5</f>
        <v>0</v>
      </c>
      <c r="BM327" s="328" t="str">
        <f>IF(BL327&lt;0.6,"Demasiado Riesgo",IF(BL327&lt;=5,"Riesgo Medio",IF(BL327&lt;=11,"Riesgo Bajo","Cliente Blindado")))</f>
        <v>Demasiado Riesgo</v>
      </c>
      <c r="BN327" s="328"/>
      <c r="BO327" s="328"/>
      <c r="BP327" s="328">
        <v>0</v>
      </c>
      <c r="BQ327" s="328"/>
      <c r="BR327" s="328"/>
      <c r="BS327" s="328"/>
      <c r="BT327" s="328"/>
      <c r="BU327" s="328"/>
      <c r="BV327" s="328"/>
      <c r="BW327" s="328"/>
      <c r="BX327" s="328"/>
      <c r="BY327" s="328"/>
      <c r="BZ327" s="328"/>
      <c r="CA327" s="328"/>
      <c r="CB327" s="328"/>
      <c r="CC327" s="328"/>
      <c r="CD327" s="328"/>
      <c r="CE327" s="328"/>
      <c r="CF327" s="328"/>
      <c r="CG327" s="328"/>
      <c r="CH327" s="328"/>
      <c r="CI327" s="328"/>
      <c r="CJ327" s="328"/>
      <c r="CK327" s="328"/>
      <c r="CL327" s="328">
        <f>COUNTIF(AT327:BH327,"*OK*")</f>
        <v>0</v>
      </c>
      <c r="CM327" s="328"/>
      <c r="CN327" s="328">
        <f>COUNTIF(AT327:BH327,"*OP*")</f>
        <v>0</v>
      </c>
    </row>
    <row r="328" spans="1:94" ht="15" customHeight="1">
      <c r="A328" s="837">
        <v>32676</v>
      </c>
      <c r="B328" s="560" t="s">
        <v>1996</v>
      </c>
      <c r="C328" s="329">
        <f t="shared" si="7"/>
        <v>69.837699999999998</v>
      </c>
      <c r="D328" s="352">
        <f>COUNTIF(AT328:BH328,"*OK*")</f>
        <v>0</v>
      </c>
      <c r="E328" s="331" t="s">
        <v>73</v>
      </c>
      <c r="F328" s="350" t="s">
        <v>1997</v>
      </c>
      <c r="G328" s="351" t="s">
        <v>773</v>
      </c>
      <c r="H328" s="650">
        <f>IF(LEN(TRIM($G328&amp;""))=0, $C328, SUMIF($G$3:$G$561, TRIM($G328), $C$3:$C$561))</f>
        <v>709.99</v>
      </c>
      <c r="I328" s="413" t="s">
        <v>76</v>
      </c>
      <c r="J328" s="351"/>
      <c r="K328" s="558"/>
      <c r="L328" s="558" t="str">
        <f>HYPERLINK("https://crm.zoho.com/crm/org685875245/tab/Accounts/3525045000491949057","https://crm.zoho.com/crm/org685875245/tab/Accounts/3525045000491949057")</f>
        <v>https://crm.zoho.com/crm/org685875245/tab/Accounts/3525045000491949057</v>
      </c>
      <c r="M328" s="553" t="s">
        <v>96</v>
      </c>
      <c r="N328" s="558"/>
      <c r="O328" s="559" t="s">
        <v>706</v>
      </c>
      <c r="P328" s="559" t="s">
        <v>774</v>
      </c>
      <c r="Q328" s="559" t="s">
        <v>775</v>
      </c>
      <c r="R328" s="558"/>
      <c r="S328" s="352"/>
      <c r="T328" s="351" t="s">
        <v>88</v>
      </c>
      <c r="U328" s="354" t="s">
        <v>387</v>
      </c>
      <c r="V328" s="355">
        <v>101.82</v>
      </c>
      <c r="W328" s="355">
        <v>77.069999999999993</v>
      </c>
      <c r="X328" s="355">
        <v>67.95</v>
      </c>
      <c r="Y328" s="356">
        <v>72.14</v>
      </c>
      <c r="Z328" s="337">
        <v>71.084999999999994</v>
      </c>
      <c r="AA328" s="365">
        <v>70.31</v>
      </c>
      <c r="AB328" s="365">
        <v>72.915300000000002</v>
      </c>
      <c r="AC328" s="635">
        <v>74.255799999999994</v>
      </c>
      <c r="AD328" s="365">
        <v>69.837699999999998</v>
      </c>
      <c r="AE328" s="357">
        <v>289</v>
      </c>
      <c r="AF328" s="358">
        <v>100</v>
      </c>
      <c r="AG328" s="354"/>
      <c r="AH328" s="359"/>
      <c r="AI328" s="427" t="s">
        <v>83</v>
      </c>
      <c r="AJ328" s="361" t="s">
        <v>150</v>
      </c>
      <c r="AK328" s="362" t="s">
        <v>1998</v>
      </c>
      <c r="AL328" s="358" t="s">
        <v>86</v>
      </c>
      <c r="AM328" s="349"/>
      <c r="AN328" s="349"/>
      <c r="AO328" s="349"/>
      <c r="AP328" s="349"/>
      <c r="AQ328" s="349"/>
      <c r="AR328" s="453"/>
      <c r="AS328" s="371" t="s">
        <v>103</v>
      </c>
      <c r="AT328" s="345"/>
      <c r="AU328" s="345"/>
      <c r="AV328" s="345"/>
      <c r="AW328" s="345"/>
      <c r="AX328" s="345"/>
      <c r="AY328" s="345"/>
      <c r="AZ328" s="345"/>
      <c r="BA328" s="345"/>
      <c r="BB328" s="345"/>
      <c r="BC328" s="345"/>
      <c r="BD328" s="345"/>
      <c r="BE328" s="345"/>
      <c r="BF328" s="345"/>
      <c r="BG328" s="345"/>
      <c r="BH328" s="345"/>
      <c r="BI328" s="345"/>
      <c r="BJ328" s="364">
        <f>COUNTIF(AT328:BI328,"*OP*")</f>
        <v>0</v>
      </c>
      <c r="BK328" s="363" t="s">
        <v>103</v>
      </c>
      <c r="BL328" s="349">
        <f>(COUNTIF(AT328:AV328,"*OK*")*3) + (COUNTIF(AW328:AY328,"*OK*")*2) + COUNTIF(AZ328:BB328,"*OK*")+COUNTIF(BK328:BK328,"SI")*0.5</f>
        <v>0</v>
      </c>
      <c r="BM328" s="349" t="str">
        <f>IF(BL328&lt;0.6,"Demasiado Riesgo",IF(BL328&lt;=5,"Riesgo Medio",IF(BL328&lt;=11,"Riesgo Bajo","Cliente Blindado")))</f>
        <v>Demasiado Riesgo</v>
      </c>
      <c r="BN328" s="349"/>
      <c r="BO328" s="349"/>
      <c r="BP328" s="349">
        <v>0</v>
      </c>
      <c r="BQ328" s="349"/>
      <c r="BR328" s="349"/>
      <c r="BS328" s="349"/>
      <c r="BT328" s="349"/>
      <c r="BU328" s="349"/>
      <c r="BV328" s="349"/>
      <c r="BW328" s="349"/>
      <c r="BX328" s="349"/>
      <c r="BY328" s="349"/>
      <c r="BZ328" s="349"/>
      <c r="CA328" s="349"/>
      <c r="CB328" s="349"/>
      <c r="CC328" s="349"/>
      <c r="CD328" s="349"/>
      <c r="CE328" s="349"/>
      <c r="CF328" s="349"/>
      <c r="CG328" s="349"/>
      <c r="CH328" s="349"/>
      <c r="CI328" s="349"/>
      <c r="CJ328" s="349"/>
      <c r="CK328" s="349"/>
      <c r="CL328" s="349">
        <f>COUNTIF(AT328:BH328,"*OK*")</f>
        <v>0</v>
      </c>
      <c r="CM328" s="349"/>
      <c r="CN328" s="349">
        <f>COUNTIF(AT328:BH328,"*OP*")</f>
        <v>0</v>
      </c>
    </row>
    <row r="329" spans="1:94" ht="15" customHeight="1">
      <c r="A329" s="835">
        <v>36212</v>
      </c>
      <c r="B329" s="560" t="s">
        <v>1999</v>
      </c>
      <c r="C329" s="329">
        <f t="shared" si="7"/>
        <v>75.882999999999996</v>
      </c>
      <c r="D329" s="352">
        <f>COUNTIF(AT329:BH329,"*OK*")</f>
        <v>0</v>
      </c>
      <c r="E329" s="331" t="s">
        <v>782</v>
      </c>
      <c r="F329" s="351" t="s">
        <v>2000</v>
      </c>
      <c r="G329" s="351"/>
      <c r="H329" s="650">
        <f>IF(LEN(TRIM($G329&amp;""))=0, $C329, SUMIF($G$3:$G$561, TRIM($G329), $C$3:$C$561))</f>
        <v>75.882999999999996</v>
      </c>
      <c r="I329" s="353" t="s">
        <v>562</v>
      </c>
      <c r="J329" s="351"/>
      <c r="K329" s="349"/>
      <c r="L329" s="349" t="str">
        <f>HYPERLINK("https://crm.zoho.com/crm/org685875245/tab/Accounts/3525045000276291358","https://crm.zoho.com/crm/org685875245/tab/Accounts/3525045000276291358")</f>
        <v>https://crm.zoho.com/crm/org685875245/tab/Accounts/3525045000276291358</v>
      </c>
      <c r="M329" s="553"/>
      <c r="N329" s="352"/>
      <c r="O329" s="540" t="s">
        <v>2001</v>
      </c>
      <c r="P329" s="540" t="s">
        <v>2002</v>
      </c>
      <c r="Q329" s="540" t="s">
        <v>2003</v>
      </c>
      <c r="R329" s="352"/>
      <c r="S329" s="352"/>
      <c r="T329" s="351"/>
      <c r="U329" s="362" t="s">
        <v>198</v>
      </c>
      <c r="V329" s="355"/>
      <c r="W329" s="355">
        <v>79.680000000000007</v>
      </c>
      <c r="X329" s="355">
        <v>69.86</v>
      </c>
      <c r="Y329" s="356">
        <v>84.65</v>
      </c>
      <c r="Z329" s="337">
        <v>101.6771</v>
      </c>
      <c r="AA329" s="365">
        <v>72.28</v>
      </c>
      <c r="AB329" s="365">
        <v>91.903300000000002</v>
      </c>
      <c r="AC329" s="635">
        <v>74.228800000000007</v>
      </c>
      <c r="AD329" s="365">
        <v>75.882999999999996</v>
      </c>
      <c r="AE329" s="357">
        <v>27</v>
      </c>
      <c r="AF329" s="358">
        <v>50</v>
      </c>
      <c r="AG329" s="354"/>
      <c r="AH329" s="359"/>
      <c r="AI329" s="427" t="s">
        <v>83</v>
      </c>
      <c r="AJ329" s="361" t="s">
        <v>574</v>
      </c>
      <c r="AK329" s="362" t="s">
        <v>2004</v>
      </c>
      <c r="AL329" s="358" t="s">
        <v>103</v>
      </c>
      <c r="AM329" s="349"/>
      <c r="AN329" s="349"/>
      <c r="AO329" s="349"/>
      <c r="AP329" s="349"/>
      <c r="AQ329" s="349"/>
      <c r="AR329" s="453"/>
      <c r="AS329" s="371" t="s">
        <v>103</v>
      </c>
      <c r="AT329" s="345"/>
      <c r="AU329" s="345"/>
      <c r="AV329" s="345"/>
      <c r="AW329" s="345"/>
      <c r="AX329" s="345"/>
      <c r="AY329" s="345"/>
      <c r="AZ329" s="345"/>
      <c r="BA329" s="345"/>
      <c r="BB329" s="345"/>
      <c r="BC329" s="345"/>
      <c r="BD329" s="345"/>
      <c r="BE329" s="345"/>
      <c r="BF329" s="345"/>
      <c r="BG329" s="345"/>
      <c r="BH329" s="345"/>
      <c r="BI329" s="345"/>
      <c r="BJ329" s="364">
        <f>COUNTIF(AT329:BI329,"*OP*")</f>
        <v>0</v>
      </c>
      <c r="BK329" s="363" t="s">
        <v>103</v>
      </c>
      <c r="BL329" s="349">
        <f>(COUNTIF(AT329:AV329,"*OK*")*3) + (COUNTIF(AW329:AY329,"*OK*")*2) + COUNTIF(AZ329:BB329,"*OK*")+COUNTIF(BK329:BK329,"SI")*0.5</f>
        <v>0</v>
      </c>
      <c r="BM329" s="349" t="str">
        <f>IF(BL329&lt;0.6,"Demasiado Riesgo",IF(BL329&lt;=5,"Riesgo Medio",IF(BL329&lt;=11,"Riesgo Bajo","Cliente Blindado")))</f>
        <v>Demasiado Riesgo</v>
      </c>
      <c r="BN329" s="349"/>
      <c r="BO329" s="349"/>
      <c r="BP329" s="349">
        <v>0</v>
      </c>
      <c r="BQ329" s="349"/>
      <c r="BR329" s="349"/>
      <c r="BS329" s="349"/>
      <c r="BT329" s="349"/>
      <c r="BU329" s="349"/>
      <c r="BV329" s="349"/>
      <c r="BW329" s="349"/>
      <c r="BX329" s="349"/>
      <c r="BY329" s="349"/>
      <c r="BZ329" s="349"/>
      <c r="CA329" s="349"/>
      <c r="CB329" s="349"/>
      <c r="CC329" s="349"/>
      <c r="CD329" s="349"/>
      <c r="CE329" s="349"/>
      <c r="CF329" s="349"/>
      <c r="CG329" s="349"/>
      <c r="CH329" s="349"/>
      <c r="CI329" s="349"/>
      <c r="CJ329" s="349"/>
      <c r="CK329" s="349"/>
      <c r="CL329" s="349">
        <f>COUNTIF(AT329:BH329,"*OK*")</f>
        <v>0</v>
      </c>
      <c r="CM329" s="349"/>
      <c r="CN329" s="349">
        <f>COUNTIF(AT329:BH329,"*OP*")</f>
        <v>0</v>
      </c>
    </row>
    <row r="330" spans="1:94" ht="15" customHeight="1">
      <c r="A330" s="835">
        <v>27911</v>
      </c>
      <c r="B330" s="560" t="s">
        <v>2005</v>
      </c>
      <c r="C330" s="329">
        <f t="shared" si="7"/>
        <v>85.015500000000003</v>
      </c>
      <c r="D330" s="352">
        <f>COUNTIF(AT330:BH330,"*OK*")</f>
        <v>0</v>
      </c>
      <c r="E330" s="331" t="s">
        <v>782</v>
      </c>
      <c r="F330" s="351" t="s">
        <v>2006</v>
      </c>
      <c r="G330" s="351"/>
      <c r="H330" s="650">
        <f>IF(LEN(TRIM($G330&amp;""))=0, $C330, SUMIF($G$3:$G$561, TRIM($G330), $C$3:$C$561))</f>
        <v>85.015500000000003</v>
      </c>
      <c r="I330" s="351" t="s">
        <v>562</v>
      </c>
      <c r="J330" s="351"/>
      <c r="K330" s="349"/>
      <c r="L330" s="349" t="str">
        <f>HYPERLINK("https://crm.zoho.com/crm/org685875245/tab/Accounts/3525045000397673553","https://crm.zoho.com/crm/org685875245/tab/Accounts/3525045000397673553")</f>
        <v>https://crm.zoho.com/crm/org685875245/tab/Accounts/3525045000397673553</v>
      </c>
      <c r="M330" s="553"/>
      <c r="N330" s="352"/>
      <c r="O330" s="540" t="s">
        <v>2007</v>
      </c>
      <c r="P330" s="540" t="s">
        <v>2008</v>
      </c>
      <c r="Q330" s="540" t="s">
        <v>2009</v>
      </c>
      <c r="R330" s="352"/>
      <c r="S330" s="352"/>
      <c r="T330" s="351"/>
      <c r="U330" s="362" t="s">
        <v>960</v>
      </c>
      <c r="V330" s="355">
        <v>57.13</v>
      </c>
      <c r="W330" s="355">
        <v>60.08</v>
      </c>
      <c r="X330" s="355">
        <v>57.26</v>
      </c>
      <c r="Y330" s="356">
        <v>56.15</v>
      </c>
      <c r="Z330" s="337">
        <v>68.881600000000006</v>
      </c>
      <c r="AA330" s="365">
        <v>68.13</v>
      </c>
      <c r="AB330" s="365">
        <v>65.713999999999999</v>
      </c>
      <c r="AC330" s="635">
        <v>73.005899999999997</v>
      </c>
      <c r="AD330" s="365">
        <v>85.015500000000003</v>
      </c>
      <c r="AE330" s="357">
        <v>22</v>
      </c>
      <c r="AF330" s="358">
        <v>50</v>
      </c>
      <c r="AG330" s="354"/>
      <c r="AH330" s="359"/>
      <c r="AI330" s="427" t="s">
        <v>83</v>
      </c>
      <c r="AJ330" s="361" t="s">
        <v>396</v>
      </c>
      <c r="AK330" s="362" t="s">
        <v>2010</v>
      </c>
      <c r="AL330" s="358" t="s">
        <v>345</v>
      </c>
      <c r="AM330" s="349"/>
      <c r="AN330" s="349"/>
      <c r="AO330" s="349"/>
      <c r="AP330" s="349"/>
      <c r="AQ330" s="349"/>
      <c r="AR330" s="453"/>
      <c r="AS330" s="371" t="s">
        <v>103</v>
      </c>
      <c r="AT330" s="345"/>
      <c r="AU330" s="345"/>
      <c r="AV330" s="345"/>
      <c r="AW330" s="345"/>
      <c r="AX330" s="345"/>
      <c r="AY330" s="345"/>
      <c r="AZ330" s="345"/>
      <c r="BA330" s="345"/>
      <c r="BB330" s="345"/>
      <c r="BC330" s="345"/>
      <c r="BD330" s="345"/>
      <c r="BE330" s="345"/>
      <c r="BF330" s="345"/>
      <c r="BG330" s="345"/>
      <c r="BH330" s="345"/>
      <c r="BI330" s="345"/>
      <c r="BJ330" s="364">
        <f>COUNTIF(AT330:BI330,"*OP*")</f>
        <v>0</v>
      </c>
      <c r="BK330" s="363" t="s">
        <v>103</v>
      </c>
      <c r="BL330" s="349">
        <f>(COUNTIF(AT330:AV330,"*OK*")*3) + (COUNTIF(AW330:AY330,"*OK*")*2) + COUNTIF(AZ330:BB330,"*OK*")+COUNTIF(BK330:BK330,"SI")*0.5</f>
        <v>0</v>
      </c>
      <c r="BM330" s="349" t="str">
        <f>IF(BL330&lt;0.6,"Demasiado Riesgo",IF(BL330&lt;=5,"Riesgo Medio",IF(BL330&lt;=11,"Riesgo Bajo","Cliente Blindado")))</f>
        <v>Demasiado Riesgo</v>
      </c>
      <c r="BN330" s="349"/>
      <c r="BO330" s="349"/>
      <c r="BP330" s="349">
        <v>0</v>
      </c>
      <c r="BQ330" s="349"/>
      <c r="BR330" s="349"/>
      <c r="BS330" s="349"/>
      <c r="BT330" s="349"/>
      <c r="BU330" s="349"/>
      <c r="BV330" s="349"/>
      <c r="BW330" s="349"/>
      <c r="BX330" s="349"/>
      <c r="BY330" s="349"/>
      <c r="BZ330" s="349"/>
      <c r="CA330" s="349"/>
      <c r="CB330" s="349"/>
      <c r="CC330" s="349"/>
      <c r="CD330" s="349"/>
      <c r="CE330" s="349"/>
      <c r="CF330" s="349"/>
      <c r="CG330" s="349"/>
      <c r="CH330" s="349"/>
      <c r="CI330" s="349"/>
      <c r="CJ330" s="349"/>
      <c r="CK330" s="349"/>
      <c r="CL330" s="349">
        <f>COUNTIF(AT330:BH330,"*OK*")</f>
        <v>0</v>
      </c>
      <c r="CM330" s="349"/>
      <c r="CN330" s="349">
        <f>COUNTIF(AT330:BH330,"*OP*")</f>
        <v>0</v>
      </c>
    </row>
    <row r="331" spans="1:94" ht="15" customHeight="1">
      <c r="A331" s="835"/>
      <c r="B331" s="560" t="s">
        <v>2011</v>
      </c>
      <c r="C331" s="329">
        <f t="shared" si="7"/>
        <v>67.080600000000004</v>
      </c>
      <c r="D331" s="352">
        <f>COUNTIF(AT331:BH331,"*OK*")</f>
        <v>0</v>
      </c>
      <c r="E331" s="331" t="s">
        <v>782</v>
      </c>
      <c r="F331" s="351" t="s">
        <v>2012</v>
      </c>
      <c r="G331" s="351"/>
      <c r="H331" s="650">
        <f>IF(LEN(TRIM($G331&amp;""))=0, $C331, SUMIF($G$3:$G$561, TRIM($G331), $C$3:$C$561))</f>
        <v>67.080600000000004</v>
      </c>
      <c r="I331" s="351" t="s">
        <v>562</v>
      </c>
      <c r="J331" s="351"/>
      <c r="K331" s="349"/>
      <c r="L331" s="349" t="str">
        <f>HYPERLINK("https://crm.zoho.com/crm/org685875245/tab/Accounts/3525045000314147026","https://crm.zoho.com/crm/org685875245/tab/Accounts/3525045000314147026")</f>
        <v>https://crm.zoho.com/crm/org685875245/tab/Accounts/3525045000314147026</v>
      </c>
      <c r="M331" s="553"/>
      <c r="N331" s="352"/>
      <c r="O331" s="540" t="s">
        <v>2013</v>
      </c>
      <c r="P331" s="540" t="s">
        <v>2014</v>
      </c>
      <c r="Q331" s="540" t="s">
        <v>2015</v>
      </c>
      <c r="R331" s="352"/>
      <c r="S331" s="352"/>
      <c r="T331" s="351"/>
      <c r="U331" s="362" t="s">
        <v>82</v>
      </c>
      <c r="V331" s="355">
        <v>93.06</v>
      </c>
      <c r="W331" s="355">
        <v>90.16</v>
      </c>
      <c r="X331" s="355">
        <v>88.61</v>
      </c>
      <c r="Y331" s="356">
        <v>91.46</v>
      </c>
      <c r="Z331" s="337">
        <v>87.073700000000002</v>
      </c>
      <c r="AA331" s="365">
        <v>66.67</v>
      </c>
      <c r="AB331" s="365">
        <v>67.235200000000006</v>
      </c>
      <c r="AC331" s="635">
        <v>71.324200000000005</v>
      </c>
      <c r="AD331" s="365">
        <v>67.080600000000004</v>
      </c>
      <c r="AE331" s="357"/>
      <c r="AF331" s="358">
        <v>300</v>
      </c>
      <c r="AG331" s="354"/>
      <c r="AH331" s="359"/>
      <c r="AI331" s="370" t="s">
        <v>258</v>
      </c>
      <c r="AJ331" s="361" t="s">
        <v>130</v>
      </c>
      <c r="AK331" s="362" t="s">
        <v>2016</v>
      </c>
      <c r="AL331" s="358" t="s">
        <v>103</v>
      </c>
      <c r="AM331" s="349"/>
      <c r="AN331" s="349"/>
      <c r="AO331" s="349"/>
      <c r="AP331" s="349"/>
      <c r="AQ331" s="349"/>
      <c r="AR331" s="453"/>
      <c r="AS331" s="371" t="s">
        <v>103</v>
      </c>
      <c r="AT331" s="345"/>
      <c r="AU331" s="345"/>
      <c r="AV331" s="345"/>
      <c r="AW331" s="345"/>
      <c r="AX331" s="345"/>
      <c r="AY331" s="345"/>
      <c r="AZ331" s="345"/>
      <c r="BA331" s="345"/>
      <c r="BB331" s="345"/>
      <c r="BC331" s="345"/>
      <c r="BD331" s="345"/>
      <c r="BE331" s="345"/>
      <c r="BF331" s="345"/>
      <c r="BG331" s="345"/>
      <c r="BH331" s="345"/>
      <c r="BI331" s="345"/>
      <c r="BJ331" s="364">
        <f>COUNTIF(AT331:BI331,"*OP*")</f>
        <v>0</v>
      </c>
      <c r="BK331" s="363" t="s">
        <v>103</v>
      </c>
      <c r="BL331" s="349">
        <f>(COUNTIF(AT331:AV331,"*OK*")*3) + (COUNTIF(AW331:AY331,"*OK*")*2) + COUNTIF(AZ331:BB331,"*OK*")+COUNTIF(BK331:BK331,"SI")*0.5</f>
        <v>0</v>
      </c>
      <c r="BM331" s="349" t="str">
        <f>IF(BL331&lt;0.6,"Demasiado Riesgo",IF(BL331&lt;=5,"Riesgo Medio",IF(BL331&lt;=11,"Riesgo Bajo","Cliente Blindado")))</f>
        <v>Demasiado Riesgo</v>
      </c>
      <c r="BN331" s="349"/>
      <c r="BO331" s="349"/>
      <c r="BP331" s="349">
        <v>0</v>
      </c>
      <c r="BQ331" s="349"/>
      <c r="BR331" s="349"/>
      <c r="BS331" s="349"/>
      <c r="BT331" s="349"/>
      <c r="BU331" s="349"/>
      <c r="BV331" s="349"/>
      <c r="BW331" s="349"/>
      <c r="BX331" s="349"/>
      <c r="BY331" s="349"/>
      <c r="BZ331" s="349"/>
      <c r="CA331" s="349"/>
      <c r="CB331" s="349"/>
      <c r="CC331" s="349"/>
      <c r="CD331" s="349"/>
      <c r="CE331" s="349"/>
      <c r="CF331" s="349"/>
      <c r="CG331" s="349"/>
      <c r="CH331" s="349"/>
      <c r="CI331" s="349"/>
      <c r="CJ331" s="349"/>
      <c r="CK331" s="349"/>
      <c r="CL331" s="349">
        <f>COUNTIF(AT331:BH331,"*OK*")</f>
        <v>0</v>
      </c>
      <c r="CM331" s="349"/>
      <c r="CN331" s="349">
        <f>COUNTIF(AT331:BH331,"*OP*")</f>
        <v>0</v>
      </c>
      <c r="CO331" s="425"/>
    </row>
    <row r="332" spans="1:94" ht="15" customHeight="1">
      <c r="A332" s="835"/>
      <c r="B332" s="560" t="s">
        <v>2017</v>
      </c>
      <c r="C332" s="329">
        <f t="shared" si="7"/>
        <v>73.6755</v>
      </c>
      <c r="D332" s="352">
        <f>COUNTIF(AT332:BH332,"*OK*")</f>
        <v>0</v>
      </c>
      <c r="E332" s="331" t="s">
        <v>782</v>
      </c>
      <c r="F332" s="351" t="s">
        <v>2018</v>
      </c>
      <c r="G332" s="351"/>
      <c r="H332" s="650">
        <f>IF(LEN(TRIM($G332&amp;""))=0, $C332, SUMIF($G$3:$G$561, TRIM($G332), $C$3:$C$561))</f>
        <v>73.6755</v>
      </c>
      <c r="I332" s="351" t="s">
        <v>562</v>
      </c>
      <c r="J332" s="351"/>
      <c r="K332" s="349"/>
      <c r="L332" s="349" t="str">
        <f>HYPERLINK("https://crm.zoho.com/crm/org685875245/tab/Accounts/3525045000495404771","https://crm.zoho.com/crm/org685875245/tab/Accounts/3525045000495404771")</f>
        <v>https://crm.zoho.com/crm/org685875245/tab/Accounts/3525045000495404771</v>
      </c>
      <c r="M332" s="553"/>
      <c r="N332" s="352"/>
      <c r="O332" s="540" t="s">
        <v>2019</v>
      </c>
      <c r="P332" s="540" t="s">
        <v>2020</v>
      </c>
      <c r="Q332" s="540" t="s">
        <v>2021</v>
      </c>
      <c r="R332" s="352"/>
      <c r="S332" s="352"/>
      <c r="T332" s="351"/>
      <c r="U332" s="354" t="s">
        <v>902</v>
      </c>
      <c r="V332" s="355">
        <v>53.94</v>
      </c>
      <c r="W332" s="355">
        <v>82.58</v>
      </c>
      <c r="X332" s="355">
        <v>63.79</v>
      </c>
      <c r="Y332" s="356" t="s">
        <v>103</v>
      </c>
      <c r="Z332" s="337">
        <v>0</v>
      </c>
      <c r="AA332" s="365" t="s">
        <v>103</v>
      </c>
      <c r="AB332" s="365">
        <v>82.108000000000004</v>
      </c>
      <c r="AC332" s="635">
        <v>70.414699999999996</v>
      </c>
      <c r="AD332" s="365">
        <v>73.6755</v>
      </c>
      <c r="AE332" s="357"/>
      <c r="AF332" s="358">
        <v>100</v>
      </c>
      <c r="AG332" s="354"/>
      <c r="AH332" s="359"/>
      <c r="AI332" s="427" t="s">
        <v>83</v>
      </c>
      <c r="AJ332" s="361" t="s">
        <v>396</v>
      </c>
      <c r="AK332" s="362" t="s">
        <v>2022</v>
      </c>
      <c r="AL332" s="358" t="s">
        <v>1140</v>
      </c>
      <c r="AM332" s="349"/>
      <c r="AN332" s="349"/>
      <c r="AO332" s="349"/>
      <c r="AP332" s="349"/>
      <c r="AQ332" s="349"/>
      <c r="AR332" s="453"/>
      <c r="AS332" s="371" t="s">
        <v>103</v>
      </c>
      <c r="AT332" s="345"/>
      <c r="AU332" s="345"/>
      <c r="AV332" s="345"/>
      <c r="AW332" s="345"/>
      <c r="AX332" s="345"/>
      <c r="AY332" s="345"/>
      <c r="AZ332" s="345"/>
      <c r="BA332" s="345"/>
      <c r="BB332" s="345"/>
      <c r="BC332" s="345"/>
      <c r="BD332" s="345"/>
      <c r="BE332" s="345"/>
      <c r="BF332" s="345"/>
      <c r="BG332" s="345"/>
      <c r="BH332" s="345"/>
      <c r="BI332" s="345"/>
      <c r="BJ332" s="364">
        <f>COUNTIF(AT332:BI332,"*OP*")</f>
        <v>0</v>
      </c>
      <c r="BK332" s="363" t="s">
        <v>103</v>
      </c>
      <c r="BL332" s="349">
        <f>(COUNTIF(AT332:AV332,"*OK*")*3) + (COUNTIF(AW332:AY332,"*OK*")*2) + COUNTIF(AZ332:BB332,"*OK*")+COUNTIF(BK332:BK332,"SI")*0.5</f>
        <v>0</v>
      </c>
      <c r="BM332" s="349" t="str">
        <f>IF(BL332&lt;0.6,"Demasiado Riesgo",IF(BL332&lt;=5,"Riesgo Medio",IF(BL332&lt;=11,"Riesgo Bajo","Cliente Blindado")))</f>
        <v>Demasiado Riesgo</v>
      </c>
      <c r="BN332" s="349"/>
      <c r="BO332" s="349"/>
      <c r="BP332" s="349"/>
      <c r="BQ332" s="349"/>
      <c r="BR332" s="349"/>
      <c r="BS332" s="349"/>
      <c r="BT332" s="349"/>
      <c r="BU332" s="349"/>
      <c r="BV332" s="349"/>
      <c r="BW332" s="349"/>
      <c r="BX332" s="349"/>
      <c r="BY332" s="349"/>
      <c r="BZ332" s="349"/>
      <c r="CA332" s="349"/>
      <c r="CB332" s="349"/>
      <c r="CC332" s="349"/>
      <c r="CD332" s="349"/>
      <c r="CE332" s="349"/>
      <c r="CF332" s="349"/>
      <c r="CG332" s="349"/>
      <c r="CH332" s="349"/>
      <c r="CI332" s="349"/>
      <c r="CJ332" s="349"/>
      <c r="CK332" s="349"/>
      <c r="CL332" s="349">
        <f>COUNTIF(AT332:BH332,"*OK*")</f>
        <v>0</v>
      </c>
      <c r="CM332" s="349"/>
      <c r="CN332" s="349">
        <f>COUNTIF(AT332:BH332,"*OP*")</f>
        <v>0</v>
      </c>
      <c r="CO332" s="448"/>
    </row>
    <row r="333" spans="1:94" ht="15" customHeight="1">
      <c r="A333" s="835">
        <v>36210</v>
      </c>
      <c r="B333" s="560" t="s">
        <v>2023</v>
      </c>
      <c r="C333" s="329">
        <f t="shared" si="7"/>
        <v>66.225200000000001</v>
      </c>
      <c r="D333" s="352">
        <f>COUNTIF(AT333:BH333,"*OK*")</f>
        <v>0</v>
      </c>
      <c r="E333" s="331" t="s">
        <v>782</v>
      </c>
      <c r="F333" s="351" t="s">
        <v>2024</v>
      </c>
      <c r="G333" s="351"/>
      <c r="H333" s="650">
        <f>IF(LEN(TRIM($G333&amp;""))=0, $C333, SUMIF($G$3:$G$561, TRIM($G333), $C$3:$C$561))</f>
        <v>66.225200000000001</v>
      </c>
      <c r="I333" s="353" t="s">
        <v>562</v>
      </c>
      <c r="J333" s="351"/>
      <c r="K333" s="349"/>
      <c r="L333" s="349" t="str">
        <f>HYPERLINK("https://crm.zoho.com/crm/org685875245/tab/Accounts/3525045000584582097","https://crm.zoho.com/crm/org685875245/tab/Accounts/3525045000584582097")</f>
        <v>https://crm.zoho.com/crm/org685875245/tab/Accounts/3525045000584582097</v>
      </c>
      <c r="M333" s="553"/>
      <c r="N333" s="352"/>
      <c r="O333" s="540" t="s">
        <v>2025</v>
      </c>
      <c r="P333" s="540" t="s">
        <v>2026</v>
      </c>
      <c r="Q333" s="540" t="s">
        <v>2027</v>
      </c>
      <c r="R333" s="352"/>
      <c r="S333" s="352"/>
      <c r="T333" s="351"/>
      <c r="U333" s="362" t="s">
        <v>394</v>
      </c>
      <c r="V333" s="355"/>
      <c r="W333" s="355">
        <v>69.540000000000006</v>
      </c>
      <c r="X333" s="355">
        <v>66.27</v>
      </c>
      <c r="Y333" s="356">
        <v>68.400000000000006</v>
      </c>
      <c r="Z333" s="337">
        <v>69.325299999999999</v>
      </c>
      <c r="AA333" s="365">
        <v>68.569999999999993</v>
      </c>
      <c r="AB333" s="365">
        <v>69.143500000000003</v>
      </c>
      <c r="AC333" s="635">
        <v>70.414699999999996</v>
      </c>
      <c r="AD333" s="365">
        <v>66.225200000000001</v>
      </c>
      <c r="AE333" s="357">
        <v>15</v>
      </c>
      <c r="AF333" s="358">
        <v>100</v>
      </c>
      <c r="AG333" s="354"/>
      <c r="AH333" s="359"/>
      <c r="AI333" s="370" t="s">
        <v>112</v>
      </c>
      <c r="AJ333" s="361" t="s">
        <v>130</v>
      </c>
      <c r="AK333" s="362" t="s">
        <v>2028</v>
      </c>
      <c r="AL333" s="358" t="s">
        <v>396</v>
      </c>
      <c r="AM333" s="349"/>
      <c r="AN333" s="349"/>
      <c r="AO333" s="349"/>
      <c r="AP333" s="349"/>
      <c r="AQ333" s="349"/>
      <c r="AR333" s="453"/>
      <c r="AS333" s="371" t="s">
        <v>103</v>
      </c>
      <c r="AT333" s="345"/>
      <c r="AU333" s="345"/>
      <c r="AV333" s="345"/>
      <c r="AW333" s="345"/>
      <c r="AX333" s="345"/>
      <c r="AY333" s="345"/>
      <c r="AZ333" s="345"/>
      <c r="BA333" s="345"/>
      <c r="BB333" s="345"/>
      <c r="BC333" s="345"/>
      <c r="BD333" s="345"/>
      <c r="BE333" s="345"/>
      <c r="BF333" s="345"/>
      <c r="BG333" s="345"/>
      <c r="BH333" s="345"/>
      <c r="BI333" s="345"/>
      <c r="BJ333" s="364">
        <f>COUNTIF(AT333:BI333,"*OP*")</f>
        <v>0</v>
      </c>
      <c r="BK333" s="363" t="s">
        <v>103</v>
      </c>
      <c r="BL333" s="349">
        <f>(COUNTIF(AT333:AV333,"*OK*")*3) + (COUNTIF(AW333:AY333,"*OK*")*2) + COUNTIF(AZ333:BB333,"*OK*")+COUNTIF(BK333:BK333,"SI")*0.5</f>
        <v>0</v>
      </c>
      <c r="BM333" s="349" t="str">
        <f>IF(BL333&lt;0.6,"Demasiado Riesgo",IF(BL333&lt;=5,"Riesgo Medio",IF(BL333&lt;=11,"Riesgo Bajo","Cliente Blindado")))</f>
        <v>Demasiado Riesgo</v>
      </c>
      <c r="BN333" s="349"/>
      <c r="BO333" s="349"/>
      <c r="BP333" s="349">
        <v>0</v>
      </c>
      <c r="BQ333" s="349"/>
      <c r="BR333" s="349"/>
      <c r="BS333" s="349"/>
      <c r="BT333" s="349"/>
      <c r="BU333" s="349"/>
      <c r="BV333" s="349"/>
      <c r="BW333" s="349"/>
      <c r="BX333" s="349"/>
      <c r="BY333" s="349"/>
      <c r="BZ333" s="349"/>
      <c r="CA333" s="349"/>
      <c r="CB333" s="349"/>
      <c r="CC333" s="349"/>
      <c r="CD333" s="349"/>
      <c r="CE333" s="349"/>
      <c r="CF333" s="349"/>
      <c r="CG333" s="349"/>
      <c r="CH333" s="349"/>
      <c r="CI333" s="349"/>
      <c r="CJ333" s="349"/>
      <c r="CK333" s="349"/>
      <c r="CL333" s="349">
        <f>COUNTIF(AT333:BH333,"*OK*")</f>
        <v>0</v>
      </c>
      <c r="CM333" s="349"/>
      <c r="CN333" s="349">
        <f>COUNTIF(AT333:BH333,"*OP*")</f>
        <v>0</v>
      </c>
    </row>
    <row r="334" spans="1:94" ht="15" customHeight="1">
      <c r="A334" s="834"/>
      <c r="B334" s="560"/>
      <c r="C334" s="329">
        <f t="shared" si="7"/>
        <v>0</v>
      </c>
      <c r="D334" s="332">
        <f>COUNTIF(AX334:BI334,"OK")</f>
        <v>0</v>
      </c>
      <c r="E334" s="865" t="s">
        <v>782</v>
      </c>
      <c r="F334" s="376" t="s">
        <v>2029</v>
      </c>
      <c r="G334" s="376"/>
      <c r="H334" s="650">
        <f>IF(LEN(TRIM($G334&amp;""))=0, $C334, SUMIF($G$3:$G$561, TRIM($G334), $C$3:$C$561))</f>
        <v>0</v>
      </c>
      <c r="I334" s="376"/>
      <c r="J334" s="328"/>
      <c r="K334" s="328"/>
      <c r="L334" s="328"/>
      <c r="M334" s="391"/>
      <c r="N334" s="332"/>
      <c r="O334" s="541"/>
      <c r="P334" s="541"/>
      <c r="Q334" s="541"/>
      <c r="R334" s="332"/>
      <c r="S334" s="332"/>
      <c r="T334" s="328"/>
      <c r="U334" s="344"/>
      <c r="V334" s="388"/>
      <c r="W334" s="377"/>
      <c r="X334" s="377"/>
      <c r="Y334" s="527"/>
      <c r="Z334" s="515"/>
      <c r="AA334" s="528"/>
      <c r="AB334" s="528">
        <v>71.448300000000003</v>
      </c>
      <c r="AC334" s="633">
        <v>70.414699999999996</v>
      </c>
      <c r="AD334" s="528"/>
      <c r="AE334" s="327"/>
      <c r="AF334" s="372" t="s">
        <v>103</v>
      </c>
      <c r="AG334" s="344"/>
      <c r="AH334" s="328"/>
      <c r="AI334" s="342"/>
      <c r="AJ334" s="343"/>
      <c r="AK334" s="344"/>
      <c r="AL334" s="372" t="s">
        <v>103</v>
      </c>
      <c r="AM334" s="328"/>
      <c r="AN334" s="328"/>
      <c r="AO334" s="328"/>
      <c r="AP334" s="328"/>
      <c r="AQ334" s="328"/>
      <c r="AR334" s="451"/>
      <c r="AS334" s="444"/>
      <c r="AT334" s="445"/>
      <c r="AU334" s="445"/>
      <c r="AV334" s="445"/>
      <c r="AW334" s="445"/>
      <c r="AX334" s="445"/>
      <c r="AY334" s="445"/>
      <c r="AZ334" s="445"/>
      <c r="BA334" s="445"/>
      <c r="BB334" s="445"/>
      <c r="BC334" s="445"/>
      <c r="BD334" s="445"/>
      <c r="BE334" s="445"/>
      <c r="BF334" s="445"/>
      <c r="BG334" s="445"/>
      <c r="BH334" s="445"/>
      <c r="BI334" s="445"/>
      <c r="BJ334" s="446">
        <f>COUNTIF(AT334:BI334,"*OP*")</f>
        <v>0</v>
      </c>
      <c r="BK334" s="447"/>
      <c r="BL334" s="328">
        <f>(COUNTIF(AT334:AV334,"*OK*")*3) + (COUNTIF(AW334:AY334,"*OK*")*2) + COUNTIF(AZ334:BB334,"*OK*")+COUNTIF(BK334:BK334,"SI")*0.5</f>
        <v>0</v>
      </c>
      <c r="BM334" s="328" t="str">
        <f>IF(BL334&lt;0.6,"Demasiado Riesgo",IF(BL334&lt;=5,"Riesgo Medio",IF(BL334&lt;=11,"Riesgo Bajo","Cliente Blindado")))</f>
        <v>Demasiado Riesgo</v>
      </c>
      <c r="BN334" s="328"/>
      <c r="BO334" s="349"/>
      <c r="BP334" s="349"/>
      <c r="BQ334" s="349"/>
      <c r="BR334" s="349"/>
      <c r="BS334" s="349"/>
      <c r="BT334" s="349"/>
      <c r="BU334" s="349"/>
      <c r="BV334" s="349"/>
      <c r="BW334" s="349"/>
      <c r="BX334" s="349"/>
      <c r="BY334" s="349"/>
      <c r="BZ334" s="349"/>
      <c r="CA334" s="349"/>
      <c r="CB334" s="349"/>
      <c r="CC334" s="349"/>
      <c r="CD334" s="349"/>
      <c r="CE334" s="349"/>
      <c r="CF334" s="349"/>
      <c r="CG334" s="349"/>
      <c r="CH334" s="349"/>
      <c r="CI334" s="349"/>
      <c r="CJ334" s="349"/>
      <c r="CK334" s="349"/>
      <c r="CL334" s="349">
        <f>COUNTIF(AT334:BH334,"*OK*")</f>
        <v>0</v>
      </c>
    </row>
    <row r="335" spans="1:94" ht="15" customHeight="1">
      <c r="A335" s="834"/>
      <c r="B335" s="560" t="s">
        <v>2030</v>
      </c>
      <c r="C335" s="329">
        <f t="shared" si="7"/>
        <v>66.059600000000003</v>
      </c>
      <c r="D335" s="332">
        <f>COUNTIF(AX335:BI335,"OK")</f>
        <v>0</v>
      </c>
      <c r="E335" s="501" t="s">
        <v>782</v>
      </c>
      <c r="F335" s="536" t="s">
        <v>2031</v>
      </c>
      <c r="G335" s="537"/>
      <c r="H335" s="650">
        <f>IF(LEN(TRIM($G335&amp;""))=0, $C335, SUMIF($G$3:$G$561, TRIM($G335), $C$3:$C$561))</f>
        <v>66.059600000000003</v>
      </c>
      <c r="I335" s="501" t="s">
        <v>562</v>
      </c>
      <c r="J335" s="501" t="s">
        <v>103</v>
      </c>
      <c r="K335" s="328"/>
      <c r="L335" s="328" t="str">
        <f>HYPERLINK("https://crm.zoho.com/crm/org685875245/tab/Accounts/3525045000636164502","https://crm.zoho.com/crm/org685875245/tab/Accounts/3525045000636164502")</f>
        <v>https://crm.zoho.com/crm/org685875245/tab/Accounts/3525045000636164502</v>
      </c>
      <c r="M335" s="391"/>
      <c r="N335" s="501" t="s">
        <v>103</v>
      </c>
      <c r="O335" s="543" t="s">
        <v>2032</v>
      </c>
      <c r="P335" s="543" t="s">
        <v>2033</v>
      </c>
      <c r="Q335" s="543" t="s">
        <v>2034</v>
      </c>
      <c r="R335" s="501"/>
      <c r="S335" s="501" t="s">
        <v>103</v>
      </c>
      <c r="T335" s="501" t="s">
        <v>88</v>
      </c>
      <c r="U335" s="469" t="s">
        <v>103</v>
      </c>
      <c r="V335" s="501" t="s">
        <v>103</v>
      </c>
      <c r="W335" s="501" t="s">
        <v>103</v>
      </c>
      <c r="X335" s="501" t="s">
        <v>103</v>
      </c>
      <c r="Y335" s="470" t="s">
        <v>103</v>
      </c>
      <c r="Z335" s="513" t="s">
        <v>103</v>
      </c>
      <c r="AA335" s="518">
        <v>63.83</v>
      </c>
      <c r="AB335" s="518">
        <v>68.970699999999994</v>
      </c>
      <c r="AC335" s="639">
        <v>70.238600000000005</v>
      </c>
      <c r="AD335" s="518">
        <v>66.059600000000003</v>
      </c>
      <c r="AE335" s="327"/>
      <c r="AF335" s="372" t="s">
        <v>103</v>
      </c>
      <c r="AG335" s="344"/>
      <c r="AH335" s="328"/>
      <c r="AI335" s="342"/>
      <c r="AJ335" s="343"/>
      <c r="AK335" s="344"/>
      <c r="AL335" s="372" t="s">
        <v>103</v>
      </c>
      <c r="AM335" s="328"/>
      <c r="AN335" s="328"/>
      <c r="AO335" s="328"/>
      <c r="AP335" s="328"/>
      <c r="AQ335" s="328"/>
      <c r="AR335" s="451"/>
      <c r="AS335" s="444"/>
      <c r="AT335" s="345"/>
      <c r="AU335" s="345"/>
      <c r="AV335" s="345"/>
      <c r="AW335" s="345"/>
      <c r="AX335" s="345"/>
      <c r="AY335" s="345"/>
      <c r="AZ335" s="345"/>
      <c r="BA335" s="345"/>
      <c r="BB335" s="345"/>
      <c r="BC335" s="345"/>
      <c r="BD335" s="345"/>
      <c r="BE335" s="345"/>
      <c r="BF335" s="345"/>
      <c r="BG335" s="345"/>
      <c r="BH335" s="345"/>
      <c r="BI335" s="345"/>
      <c r="BJ335" s="364">
        <f>COUNTIF(AT335:BI335,"*OP*")</f>
        <v>0</v>
      </c>
      <c r="BK335" s="447"/>
      <c r="BL335" s="328">
        <f>(COUNTIF(AT335:AV335,"*OK*")*3) + (COUNTIF(AW335:AY335,"*OK*")*2) + COUNTIF(AZ335:BB335,"*OK*")+COUNTIF(BK335:BK335,"SI")*0.5</f>
        <v>0</v>
      </c>
      <c r="BM335" s="328" t="str">
        <f>IF(BL335&lt;0.6,"Demasiado Riesgo",IF(BL335&lt;=5,"Riesgo Medio",IF(BL335&lt;=11,"Riesgo Bajo","Cliente Blindado")))</f>
        <v>Demasiado Riesgo</v>
      </c>
      <c r="BN335" s="328"/>
      <c r="BO335" s="349"/>
      <c r="BP335" s="349"/>
      <c r="BQ335" s="349"/>
      <c r="BR335" s="349"/>
      <c r="BS335" s="349"/>
      <c r="BT335" s="349"/>
      <c r="BU335" s="349"/>
      <c r="BV335" s="349"/>
      <c r="BW335" s="349"/>
      <c r="BX335" s="349"/>
      <c r="BY335" s="349"/>
      <c r="BZ335" s="349"/>
      <c r="CA335" s="349"/>
      <c r="CB335" s="349"/>
      <c r="CC335" s="349"/>
      <c r="CD335" s="349"/>
      <c r="CE335" s="349"/>
      <c r="CF335" s="349"/>
      <c r="CG335" s="349"/>
      <c r="CH335" s="349"/>
      <c r="CI335" s="349"/>
      <c r="CJ335" s="349"/>
      <c r="CK335" s="349"/>
      <c r="CL335" s="349">
        <f>COUNTIF(AT335:BH335,"*OK*")</f>
        <v>0</v>
      </c>
      <c r="CP335" s="285"/>
    </row>
    <row r="336" spans="1:94" ht="15" customHeight="1">
      <c r="A336" s="834">
        <v>26933</v>
      </c>
      <c r="B336" s="560" t="s">
        <v>2035</v>
      </c>
      <c r="C336" s="329">
        <f t="shared" si="7"/>
        <v>68.6755</v>
      </c>
      <c r="D336" s="332">
        <f>COUNTIF(AT336:BH336,"*OK*")</f>
        <v>0</v>
      </c>
      <c r="E336" s="331" t="s">
        <v>782</v>
      </c>
      <c r="F336" s="331" t="s">
        <v>2036</v>
      </c>
      <c r="G336" s="331"/>
      <c r="H336" s="650">
        <f>IF(LEN(TRIM($G336&amp;""))=0, $C336, SUMIF($G$3:$G$561, TRIM($G336), $C$3:$C$561))</f>
        <v>68.6755</v>
      </c>
      <c r="I336" s="331" t="s">
        <v>562</v>
      </c>
      <c r="J336" s="331"/>
      <c r="K336" s="328"/>
      <c r="L336" s="328" t="str">
        <f>HYPERLINK("https://crm.zoho.com/crm/org685875245/tab/Accounts/3525045000384508333","https://crm.zoho.com/crm/org685875245/tab/Accounts/3525045000384508333")</f>
        <v>https://crm.zoho.com/crm/org685875245/tab/Accounts/3525045000384508333</v>
      </c>
      <c r="M336" s="391"/>
      <c r="N336" s="332"/>
      <c r="O336" s="541"/>
      <c r="P336" s="541"/>
      <c r="Q336" s="541"/>
      <c r="R336" s="332"/>
      <c r="S336" s="332"/>
      <c r="T336" s="331"/>
      <c r="U336" s="344" t="s">
        <v>198</v>
      </c>
      <c r="V336" s="335">
        <v>54.14</v>
      </c>
      <c r="W336" s="335">
        <v>54.09</v>
      </c>
      <c r="X336" s="335">
        <v>53.26</v>
      </c>
      <c r="Y336" s="336">
        <v>54.98</v>
      </c>
      <c r="Z336" s="337">
        <v>55.715000000000003</v>
      </c>
      <c r="AA336" s="347">
        <v>55.1</v>
      </c>
      <c r="AB336" s="347">
        <v>57.361499999999999</v>
      </c>
      <c r="AC336" s="638">
        <v>69.369</v>
      </c>
      <c r="AD336" s="347">
        <v>68.6755</v>
      </c>
      <c r="AE336" s="339">
        <v>39</v>
      </c>
      <c r="AF336" s="340">
        <v>150</v>
      </c>
      <c r="AG336" s="334"/>
      <c r="AH336" s="341"/>
      <c r="AI336" s="342" t="s">
        <v>112</v>
      </c>
      <c r="AJ336" s="343" t="s">
        <v>130</v>
      </c>
      <c r="AK336" s="344" t="s">
        <v>2037</v>
      </c>
      <c r="AL336" s="340" t="s">
        <v>224</v>
      </c>
      <c r="AM336" s="328"/>
      <c r="AN336" s="328"/>
      <c r="AO336" s="328"/>
      <c r="AP336" s="328"/>
      <c r="AQ336" s="328"/>
      <c r="AR336" s="451"/>
      <c r="AS336" s="372" t="s">
        <v>103</v>
      </c>
      <c r="AT336" s="345"/>
      <c r="AU336" s="345"/>
      <c r="AV336" s="345"/>
      <c r="AW336" s="345"/>
      <c r="AX336" s="345"/>
      <c r="AY336" s="345"/>
      <c r="AZ336" s="345"/>
      <c r="BA336" s="345"/>
      <c r="BB336" s="345"/>
      <c r="BC336" s="345"/>
      <c r="BD336" s="345"/>
      <c r="BE336" s="345"/>
      <c r="BF336" s="345"/>
      <c r="BG336" s="345"/>
      <c r="BH336" s="345"/>
      <c r="BI336" s="345"/>
      <c r="BJ336" s="364">
        <f>COUNTIF(AT336:BI336,"*OP*")</f>
        <v>0</v>
      </c>
      <c r="BK336" s="375" t="s">
        <v>103</v>
      </c>
      <c r="BL336" s="328">
        <f>(COUNTIF(AT336:AV336,"*OK*")*3) + (COUNTIF(AW336:AY336,"*OK*")*2) + COUNTIF(AZ336:BB336,"*OK*")+COUNTIF(BK336:BK336,"SI")*0.5</f>
        <v>0</v>
      </c>
      <c r="BM336" s="328" t="str">
        <f>IF(BL336&lt;0.6,"Demasiado Riesgo",IF(BL336&lt;=5,"Riesgo Medio",IF(BL336&lt;=11,"Riesgo Bajo","Cliente Blindado")))</f>
        <v>Demasiado Riesgo</v>
      </c>
      <c r="BN336" s="328"/>
      <c r="BO336" s="328"/>
      <c r="BP336" s="328">
        <v>0</v>
      </c>
      <c r="BQ336" s="328"/>
      <c r="BR336" s="328"/>
      <c r="BS336" s="328"/>
      <c r="BT336" s="328"/>
      <c r="BU336" s="328"/>
      <c r="BV336" s="328"/>
      <c r="BW336" s="328"/>
      <c r="BX336" s="328"/>
      <c r="BY336" s="328"/>
      <c r="BZ336" s="328"/>
      <c r="CA336" s="328"/>
      <c r="CB336" s="328"/>
      <c r="CC336" s="328"/>
      <c r="CD336" s="328"/>
      <c r="CE336" s="328"/>
      <c r="CF336" s="328"/>
      <c r="CG336" s="328"/>
      <c r="CH336" s="328"/>
      <c r="CI336" s="328"/>
      <c r="CJ336" s="328"/>
      <c r="CK336" s="328"/>
      <c r="CL336" s="328">
        <f>COUNTIF(AT336:BH336,"*OK*")</f>
        <v>0</v>
      </c>
      <c r="CM336" s="328"/>
      <c r="CN336" s="328">
        <f>COUNTIF(AT336:BH336,"*OP*")</f>
        <v>0</v>
      </c>
    </row>
    <row r="337" spans="1:94" ht="15" customHeight="1">
      <c r="A337" s="834">
        <v>30729</v>
      </c>
      <c r="B337" s="560" t="s">
        <v>2038</v>
      </c>
      <c r="C337" s="329">
        <f t="shared" si="7"/>
        <v>54.931600000000003</v>
      </c>
      <c r="D337" s="332">
        <f>COUNTIF(AT337:BH337,"*OK*")</f>
        <v>0</v>
      </c>
      <c r="E337" s="331" t="s">
        <v>782</v>
      </c>
      <c r="F337" s="331" t="s">
        <v>2039</v>
      </c>
      <c r="G337" s="331"/>
      <c r="H337" s="650">
        <f>IF(LEN(TRIM($G337&amp;""))=0, $C337, SUMIF($G$3:$G$561, TRIM($G337), $C$3:$C$561))</f>
        <v>54.931600000000003</v>
      </c>
      <c r="I337" s="331" t="s">
        <v>562</v>
      </c>
      <c r="J337" s="331"/>
      <c r="K337" s="328"/>
      <c r="L337" s="328" t="str">
        <f>HYPERLINK("https://crm.zoho.com/crm/org685875245/tab/Accounts/3525045000468073092","https://crm.zoho.com/crm/org685875245/tab/Accounts/3525045000468073092")</f>
        <v>https://crm.zoho.com/crm/org685875245/tab/Accounts/3525045000468073092</v>
      </c>
      <c r="M337" s="391"/>
      <c r="N337" s="332"/>
      <c r="O337" s="541" t="s">
        <v>2040</v>
      </c>
      <c r="P337" s="541" t="s">
        <v>2041</v>
      </c>
      <c r="Q337" s="541" t="s">
        <v>2042</v>
      </c>
      <c r="R337" s="332"/>
      <c r="S337" s="332"/>
      <c r="T337" s="331"/>
      <c r="U337" s="344" t="s">
        <v>585</v>
      </c>
      <c r="V337" s="335">
        <v>72.17</v>
      </c>
      <c r="W337" s="335">
        <v>68.5</v>
      </c>
      <c r="X337" s="335">
        <v>58.41</v>
      </c>
      <c r="Y337" s="336">
        <v>67.38</v>
      </c>
      <c r="Z337" s="337">
        <v>68.284800000000004</v>
      </c>
      <c r="AA337" s="347">
        <v>67.540000000000006</v>
      </c>
      <c r="AB337" s="347">
        <v>68.105800000000002</v>
      </c>
      <c r="AC337" s="638">
        <v>69.357900000000001</v>
      </c>
      <c r="AD337" s="347">
        <v>54.931600000000003</v>
      </c>
      <c r="AE337" s="339">
        <v>19</v>
      </c>
      <c r="AF337" s="340">
        <v>200</v>
      </c>
      <c r="AG337" s="334"/>
      <c r="AH337" s="341"/>
      <c r="AI337" s="422" t="s">
        <v>83</v>
      </c>
      <c r="AJ337" s="343" t="s">
        <v>199</v>
      </c>
      <c r="AK337" s="344" t="s">
        <v>2043</v>
      </c>
      <c r="AL337" s="340" t="s">
        <v>199</v>
      </c>
      <c r="AM337" s="328"/>
      <c r="AN337" s="328"/>
      <c r="AO337" s="328"/>
      <c r="AP337" s="328"/>
      <c r="AQ337" s="328"/>
      <c r="AR337" s="451"/>
      <c r="AS337" s="372" t="s">
        <v>103</v>
      </c>
      <c r="AT337" s="345"/>
      <c r="AU337" s="345"/>
      <c r="AV337" s="345"/>
      <c r="AW337" s="345"/>
      <c r="AX337" s="345"/>
      <c r="AY337" s="345"/>
      <c r="AZ337" s="345"/>
      <c r="BA337" s="345"/>
      <c r="BB337" s="345"/>
      <c r="BC337" s="345"/>
      <c r="BD337" s="345"/>
      <c r="BE337" s="345"/>
      <c r="BF337" s="345"/>
      <c r="BG337" s="345"/>
      <c r="BH337" s="345"/>
      <c r="BI337" s="345"/>
      <c r="BJ337" s="364">
        <f>COUNTIF(AT337:BI337,"*OP*")</f>
        <v>0</v>
      </c>
      <c r="BK337" s="375" t="s">
        <v>103</v>
      </c>
      <c r="BL337" s="328">
        <f>(COUNTIF(AT337:AV337,"*OK*")*3) + (COUNTIF(AW337:AY337,"*OK*")*2) + COUNTIF(AZ337:BB337,"*OK*")+COUNTIF(BK337:BK337,"SI")*0.5</f>
        <v>0</v>
      </c>
      <c r="BM337" s="328" t="str">
        <f>IF(BL337&lt;0.6,"Demasiado Riesgo",IF(BL337&lt;=5,"Riesgo Medio",IF(BL337&lt;=11,"Riesgo Bajo","Cliente Blindado")))</f>
        <v>Demasiado Riesgo</v>
      </c>
      <c r="BN337" s="328"/>
      <c r="BO337" s="349"/>
      <c r="BP337" s="349">
        <v>0</v>
      </c>
      <c r="BQ337" s="349"/>
      <c r="BR337" s="349"/>
      <c r="BS337" s="349"/>
      <c r="BT337" s="349"/>
      <c r="BU337" s="349"/>
      <c r="BV337" s="349"/>
      <c r="BW337" s="349"/>
      <c r="BX337" s="349"/>
      <c r="BY337" s="349"/>
      <c r="BZ337" s="349"/>
      <c r="CA337" s="349"/>
      <c r="CB337" s="349"/>
      <c r="CC337" s="349"/>
      <c r="CD337" s="349"/>
      <c r="CE337" s="349"/>
      <c r="CF337" s="349"/>
      <c r="CG337" s="349"/>
      <c r="CH337" s="349"/>
      <c r="CI337" s="349"/>
      <c r="CJ337" s="349"/>
      <c r="CK337" s="349"/>
      <c r="CL337" s="349">
        <f>COUNTIF(AT337:BH337,"*OK*")</f>
        <v>0</v>
      </c>
      <c r="CM337" s="349"/>
      <c r="CN337" s="349">
        <f>COUNTIF(AT337:BH337,"*OP*")</f>
        <v>0</v>
      </c>
    </row>
    <row r="338" spans="1:94" ht="15" customHeight="1">
      <c r="A338" s="834">
        <v>35881</v>
      </c>
      <c r="B338" s="560" t="s">
        <v>2044</v>
      </c>
      <c r="C338" s="329">
        <f t="shared" si="7"/>
        <v>60.706400000000002</v>
      </c>
      <c r="D338" s="332">
        <f>COUNTIF(AT338:BH338,"*OK*")</f>
        <v>0</v>
      </c>
      <c r="E338" s="331" t="s">
        <v>782</v>
      </c>
      <c r="F338" s="331" t="s">
        <v>2045</v>
      </c>
      <c r="G338" s="331"/>
      <c r="H338" s="650">
        <f>IF(LEN(TRIM($G338&amp;""))=0, $C338, SUMIF($G$3:$G$561, TRIM($G338), $C$3:$C$561))</f>
        <v>60.706400000000002</v>
      </c>
      <c r="I338" s="333" t="s">
        <v>562</v>
      </c>
      <c r="J338" s="331"/>
      <c r="K338" s="328"/>
      <c r="L338" s="328"/>
      <c r="M338" s="391"/>
      <c r="N338" s="332"/>
      <c r="O338" s="541" t="s">
        <v>2046</v>
      </c>
      <c r="P338" s="541" t="s">
        <v>2047</v>
      </c>
      <c r="Q338" s="541" t="s">
        <v>2048</v>
      </c>
      <c r="R338" s="332"/>
      <c r="S338" s="332"/>
      <c r="T338" s="331"/>
      <c r="U338" s="344" t="s">
        <v>902</v>
      </c>
      <c r="V338" s="335"/>
      <c r="W338" s="335">
        <v>66.930000000000007</v>
      </c>
      <c r="X338" s="335">
        <v>66.819999999999993</v>
      </c>
      <c r="Y338" s="336">
        <v>72.11</v>
      </c>
      <c r="Z338" s="337">
        <v>69.903000000000006</v>
      </c>
      <c r="AA338" s="347">
        <v>69.14</v>
      </c>
      <c r="AB338" s="347">
        <v>66.550700000000006</v>
      </c>
      <c r="AC338" s="638">
        <v>67.774100000000004</v>
      </c>
      <c r="AD338" s="347">
        <v>60.706400000000002</v>
      </c>
      <c r="AE338" s="339">
        <v>22</v>
      </c>
      <c r="AF338" s="340">
        <v>50</v>
      </c>
      <c r="AG338" s="334"/>
      <c r="AH338" s="341"/>
      <c r="AI338" s="422" t="s">
        <v>83</v>
      </c>
      <c r="AJ338" s="343" t="s">
        <v>143</v>
      </c>
      <c r="AK338" s="344" t="s">
        <v>2049</v>
      </c>
      <c r="AL338" s="340" t="s">
        <v>1140</v>
      </c>
      <c r="AM338" s="328"/>
      <c r="AN338" s="328"/>
      <c r="AO338" s="328"/>
      <c r="AP338" s="328"/>
      <c r="AQ338" s="328"/>
      <c r="AR338" s="451"/>
      <c r="AS338" s="372" t="s">
        <v>103</v>
      </c>
      <c r="AT338" s="345"/>
      <c r="AU338" s="345"/>
      <c r="AV338" s="345"/>
      <c r="AW338" s="345"/>
      <c r="AX338" s="345"/>
      <c r="AY338" s="345"/>
      <c r="AZ338" s="345"/>
      <c r="BA338" s="345"/>
      <c r="BB338" s="345"/>
      <c r="BC338" s="345"/>
      <c r="BD338" s="345"/>
      <c r="BE338" s="345"/>
      <c r="BF338" s="345"/>
      <c r="BG338" s="345"/>
      <c r="BH338" s="345"/>
      <c r="BI338" s="345"/>
      <c r="BJ338" s="364">
        <f>COUNTIF(AT338:BI338,"*OP*")</f>
        <v>0</v>
      </c>
      <c r="BK338" s="375" t="s">
        <v>103</v>
      </c>
      <c r="BL338" s="328">
        <f>(COUNTIF(AT338:AV338,"*OK*")*3) + (COUNTIF(AW338:AY338,"*OK*")*2) + COUNTIF(AZ338:BB338,"*OK*")+COUNTIF(BK338:BK338,"SI")*0.5</f>
        <v>0</v>
      </c>
      <c r="BM338" s="328" t="str">
        <f>IF(BL338&lt;0.6,"Demasiado Riesgo",IF(BL338&lt;=5,"Riesgo Medio",IF(BL338&lt;=11,"Riesgo Bajo","Cliente Blindado")))</f>
        <v>Demasiado Riesgo</v>
      </c>
      <c r="BN338" s="328"/>
      <c r="BO338" s="349"/>
      <c r="BP338" s="349">
        <v>0</v>
      </c>
      <c r="BQ338" s="349"/>
      <c r="BR338" s="349"/>
      <c r="BS338" s="349"/>
      <c r="BT338" s="349"/>
      <c r="BU338" s="349"/>
      <c r="BV338" s="349"/>
      <c r="BW338" s="349"/>
      <c r="BX338" s="349"/>
      <c r="BY338" s="349"/>
      <c r="BZ338" s="349"/>
      <c r="CA338" s="349"/>
      <c r="CB338" s="349"/>
      <c r="CC338" s="349"/>
      <c r="CD338" s="349"/>
      <c r="CE338" s="349"/>
      <c r="CF338" s="349"/>
      <c r="CG338" s="349"/>
      <c r="CH338" s="349"/>
      <c r="CI338" s="349"/>
      <c r="CJ338" s="349"/>
      <c r="CK338" s="349"/>
      <c r="CL338" s="349">
        <f>COUNTIF(AT338:BH338,"*OK*")</f>
        <v>0</v>
      </c>
      <c r="CM338" s="349"/>
      <c r="CN338" s="349">
        <f>COUNTIF(AT338:BH338,"*OP*")</f>
        <v>0</v>
      </c>
    </row>
    <row r="339" spans="1:94" ht="15" customHeight="1">
      <c r="A339" s="834">
        <v>24294</v>
      </c>
      <c r="B339" s="560" t="s">
        <v>2050</v>
      </c>
      <c r="C339" s="329">
        <f t="shared" si="7"/>
        <v>62.913899999999998</v>
      </c>
      <c r="D339" s="332">
        <f>COUNTIF(AT339:BH339,"*OK*")</f>
        <v>0</v>
      </c>
      <c r="E339" s="331" t="s">
        <v>782</v>
      </c>
      <c r="F339" s="330" t="s">
        <v>2051</v>
      </c>
      <c r="G339" s="331"/>
      <c r="H339" s="650">
        <f>IF(LEN(TRIM($G339&amp;""))=0, $C339, SUMIF($G$3:$G$561, TRIM($G339), $C$3:$C$561))</f>
        <v>62.913899999999998</v>
      </c>
      <c r="I339" s="410" t="s">
        <v>562</v>
      </c>
      <c r="J339" s="331"/>
      <c r="K339" s="328"/>
      <c r="L339" s="328" t="str">
        <f>HYPERLINK("https://crm.zoho.com/crm/org685875245/tab/Accounts/3525045000307252290","https://crm.zoho.com/crm/org685875245/tab/Accounts/3525045000307252290")</f>
        <v>https://crm.zoho.com/crm/org685875245/tab/Accounts/3525045000307252290</v>
      </c>
      <c r="M339" s="391" t="s">
        <v>96</v>
      </c>
      <c r="N339" s="332"/>
      <c r="O339" s="541" t="s">
        <v>2052</v>
      </c>
      <c r="P339" s="541" t="s">
        <v>2053</v>
      </c>
      <c r="Q339" s="541" t="s">
        <v>2054</v>
      </c>
      <c r="R339" s="332"/>
      <c r="S339" s="332"/>
      <c r="T339" s="331"/>
      <c r="U339" s="334" t="s">
        <v>198</v>
      </c>
      <c r="V339" s="335">
        <v>66.12</v>
      </c>
      <c r="W339" s="335">
        <v>66.06</v>
      </c>
      <c r="X339" s="335">
        <v>62.96</v>
      </c>
      <c r="Y339" s="336">
        <v>64.98</v>
      </c>
      <c r="Z339" s="337">
        <v>65.858999999999995</v>
      </c>
      <c r="AA339" s="365">
        <v>65.14</v>
      </c>
      <c r="AB339" s="365">
        <v>65.686400000000006</v>
      </c>
      <c r="AC339" s="635">
        <v>66.893900000000002</v>
      </c>
      <c r="AD339" s="365">
        <v>62.913899999999998</v>
      </c>
      <c r="AE339" s="339">
        <v>118</v>
      </c>
      <c r="AF339" s="340">
        <v>500</v>
      </c>
      <c r="AG339" s="334"/>
      <c r="AH339" s="341"/>
      <c r="AI339" s="342" t="s">
        <v>1459</v>
      </c>
      <c r="AJ339" s="343" t="s">
        <v>130</v>
      </c>
      <c r="AK339" s="344" t="s">
        <v>2055</v>
      </c>
      <c r="AL339" s="340" t="s">
        <v>103</v>
      </c>
      <c r="AM339" s="328"/>
      <c r="AN339" s="328"/>
      <c r="AO339" s="328"/>
      <c r="AP339" s="328"/>
      <c r="AQ339" s="328"/>
      <c r="AR339" s="451"/>
      <c r="AS339" s="372" t="s">
        <v>89</v>
      </c>
      <c r="AT339" s="345"/>
      <c r="AU339" s="345"/>
      <c r="AV339" s="345"/>
      <c r="AW339" s="345"/>
      <c r="AX339" s="345"/>
      <c r="AY339" s="345"/>
      <c r="AZ339" s="345"/>
      <c r="BA339" s="345"/>
      <c r="BB339" s="345"/>
      <c r="BC339" s="345"/>
      <c r="BD339" s="345"/>
      <c r="BE339" s="345"/>
      <c r="BF339" s="345"/>
      <c r="BG339" s="345"/>
      <c r="BH339" s="345"/>
      <c r="BI339" s="345"/>
      <c r="BJ339" s="364">
        <f>COUNTIF(AT339:BI339,"*OP*")</f>
        <v>0</v>
      </c>
      <c r="BK339" s="375" t="s">
        <v>89</v>
      </c>
      <c r="BL339" s="328">
        <f>(COUNTIF(AT339:AV339,"*OK*")*3) + (COUNTIF(AW339:AY339,"*OK*")*2) + COUNTIF(AZ339:BB339,"*OK*")+COUNTIF(BK339:BK339,"SI")*0.5</f>
        <v>0</v>
      </c>
      <c r="BM339" s="328" t="str">
        <f>IF(BL339&lt;0.6,"Demasiado Riesgo",IF(BL339&lt;=5,"Riesgo Medio",IF(BL339&lt;=11,"Riesgo Bajo","Cliente Blindado")))</f>
        <v>Demasiado Riesgo</v>
      </c>
      <c r="BN339" s="328"/>
      <c r="BO339" s="349"/>
      <c r="BP339" s="349"/>
      <c r="BQ339" s="349"/>
      <c r="BR339" s="349"/>
      <c r="BS339" s="349"/>
      <c r="BT339" s="349"/>
      <c r="BU339" s="349"/>
      <c r="BV339" s="349"/>
      <c r="BW339" s="349"/>
      <c r="BX339" s="349"/>
      <c r="BY339" s="349"/>
      <c r="BZ339" s="349"/>
      <c r="CA339" s="349"/>
      <c r="CB339" s="349"/>
      <c r="CC339" s="349"/>
      <c r="CD339" s="349"/>
      <c r="CE339" s="349"/>
      <c r="CF339" s="349"/>
      <c r="CG339" s="349"/>
      <c r="CH339" s="349"/>
      <c r="CI339" s="349"/>
      <c r="CJ339" s="349"/>
      <c r="CK339" s="349"/>
      <c r="CL339" s="349">
        <f>COUNTIF(AT339:BH339,"*OK*")</f>
        <v>0</v>
      </c>
    </row>
    <row r="340" spans="1:94" ht="15" customHeight="1">
      <c r="A340" s="834">
        <v>22944</v>
      </c>
      <c r="B340" s="560" t="s">
        <v>2056</v>
      </c>
      <c r="C340" s="329">
        <f t="shared" si="7"/>
        <v>47.682099999999998</v>
      </c>
      <c r="D340" s="332">
        <f>COUNTIF(AT340:BH340,"*OK*")</f>
        <v>0</v>
      </c>
      <c r="E340" s="331" t="s">
        <v>439</v>
      </c>
      <c r="F340" s="438" t="s">
        <v>2057</v>
      </c>
      <c r="G340" s="331"/>
      <c r="H340" s="650">
        <f>IF(LEN(TRIM($G340&amp;""))=0, $C340, SUMIF($G$3:$G$561, TRIM($G340), $C$3:$C$561))</f>
        <v>47.682099999999998</v>
      </c>
      <c r="I340" s="410" t="s">
        <v>562</v>
      </c>
      <c r="J340" s="331"/>
      <c r="K340" s="328"/>
      <c r="L340" s="328" t="str">
        <f>HYPERLINK("https://crm.zoho.com/crm/org685875245/tab/Accounts/3525045000255069448","https://crm.zoho.com/crm/org685875245/tab/Accounts/3525045000255069448")</f>
        <v>https://crm.zoho.com/crm/org685875245/tab/Accounts/3525045000255069448</v>
      </c>
      <c r="M340" s="391" t="s">
        <v>803</v>
      </c>
      <c r="N340" s="332" t="s">
        <v>2058</v>
      </c>
      <c r="O340" s="541" t="s">
        <v>2059</v>
      </c>
      <c r="P340" s="541" t="s">
        <v>2060</v>
      </c>
      <c r="Q340" s="541" t="s">
        <v>2061</v>
      </c>
      <c r="R340" s="332"/>
      <c r="S340" s="332"/>
      <c r="T340" s="331"/>
      <c r="U340" s="334" t="s">
        <v>82</v>
      </c>
      <c r="V340" s="335">
        <v>235.16</v>
      </c>
      <c r="W340" s="335">
        <v>210.46</v>
      </c>
      <c r="X340" s="335">
        <v>200.57</v>
      </c>
      <c r="Y340" s="336">
        <v>192.86</v>
      </c>
      <c r="Z340" s="337">
        <v>209.80719999999999</v>
      </c>
      <c r="AA340" s="365">
        <v>123.42</v>
      </c>
      <c r="AB340" s="365">
        <v>66.377799999999993</v>
      </c>
      <c r="AC340" s="635">
        <v>66.541899999999998</v>
      </c>
      <c r="AD340" s="365">
        <v>47.682099999999998</v>
      </c>
      <c r="AE340" s="339">
        <v>133</v>
      </c>
      <c r="AF340" s="340">
        <v>100</v>
      </c>
      <c r="AG340" s="334"/>
      <c r="AH340" s="341"/>
      <c r="AI340" s="422" t="s">
        <v>83</v>
      </c>
      <c r="AJ340" s="343" t="s">
        <v>143</v>
      </c>
      <c r="AK340" s="344" t="s">
        <v>2062</v>
      </c>
      <c r="AL340" s="340" t="s">
        <v>103</v>
      </c>
      <c r="AM340" s="328"/>
      <c r="AN340" s="328"/>
      <c r="AO340" s="328"/>
      <c r="AP340" s="328"/>
      <c r="AQ340" s="328"/>
      <c r="AR340" s="451"/>
      <c r="AS340" s="372" t="s">
        <v>88</v>
      </c>
      <c r="AT340" s="345"/>
      <c r="AU340" s="345"/>
      <c r="AV340" s="345"/>
      <c r="AW340" s="345"/>
      <c r="AX340" s="345"/>
      <c r="AY340" s="345"/>
      <c r="AZ340" s="345"/>
      <c r="BA340" s="345"/>
      <c r="BB340" s="345"/>
      <c r="BC340" s="345"/>
      <c r="BD340" s="345"/>
      <c r="BE340" s="345"/>
      <c r="BF340" s="345"/>
      <c r="BG340" s="345"/>
      <c r="BH340" s="345"/>
      <c r="BI340" s="345"/>
      <c r="BJ340" s="364">
        <f>COUNTIF(AT340:BI340,"*OP*")</f>
        <v>0</v>
      </c>
      <c r="BK340" s="375" t="s">
        <v>89</v>
      </c>
      <c r="BL340" s="328">
        <f>(COUNTIF(AT340:AV340,"*OK*")*3) + (COUNTIF(AW340:AY340,"*OK*")*2) + COUNTIF(AZ340:BB340,"*OK*")+COUNTIF(BK340:BK340,"SI")*0.5</f>
        <v>0</v>
      </c>
      <c r="BM340" s="328" t="str">
        <f>IF(BL340&lt;0.6,"Demasiado Riesgo",IF(BL340&lt;=5,"Riesgo Medio",IF(BL340&lt;=11,"Riesgo Bajo","Cliente Blindado")))</f>
        <v>Demasiado Riesgo</v>
      </c>
      <c r="BN340" s="328"/>
      <c r="BO340" s="328"/>
      <c r="BP340" s="328">
        <v>0</v>
      </c>
      <c r="BQ340" s="328"/>
      <c r="BR340" s="328"/>
      <c r="BS340" s="328"/>
      <c r="BT340" s="328"/>
      <c r="BU340" s="328"/>
      <c r="BV340" s="328"/>
      <c r="BW340" s="328"/>
      <c r="BX340" s="328"/>
      <c r="BY340" s="328"/>
      <c r="BZ340" s="328"/>
      <c r="CA340" s="328"/>
      <c r="CB340" s="328"/>
      <c r="CC340" s="328"/>
      <c r="CD340" s="328"/>
      <c r="CE340" s="328"/>
      <c r="CF340" s="328"/>
      <c r="CG340" s="328"/>
      <c r="CH340" s="328"/>
      <c r="CI340" s="328"/>
      <c r="CJ340" s="328"/>
      <c r="CK340" s="328"/>
      <c r="CL340" s="328">
        <f>COUNTIF(AT340:BH340,"*OK*")</f>
        <v>0</v>
      </c>
      <c r="CM340" s="328"/>
      <c r="CN340" s="328">
        <f>COUNTIF(AT340:BH340,"*OP*")</f>
        <v>0</v>
      </c>
      <c r="CP340" s="425"/>
    </row>
    <row r="341" spans="1:94" ht="15" customHeight="1">
      <c r="A341" s="835">
        <v>36242</v>
      </c>
      <c r="B341" s="560" t="s">
        <v>2063</v>
      </c>
      <c r="C341" s="329">
        <f t="shared" si="7"/>
        <v>62.362099999999998</v>
      </c>
      <c r="D341" s="352">
        <f>COUNTIF(AT341:BH341,"*OK*")</f>
        <v>0</v>
      </c>
      <c r="E341" s="331" t="s">
        <v>782</v>
      </c>
      <c r="F341" s="351" t="s">
        <v>2064</v>
      </c>
      <c r="G341" s="351"/>
      <c r="H341" s="650">
        <f>IF(LEN(TRIM($G341&amp;""))=0, $C341, SUMIF($G$3:$G$561, TRIM($G341), $C$3:$C$561))</f>
        <v>62.362099999999998</v>
      </c>
      <c r="I341" s="353" t="s">
        <v>562</v>
      </c>
      <c r="J341" s="351"/>
      <c r="K341" s="349"/>
      <c r="L341" s="349"/>
      <c r="M341" s="553"/>
      <c r="N341" s="352"/>
      <c r="O341" s="540" t="s">
        <v>2065</v>
      </c>
      <c r="P341" s="540" t="s">
        <v>2066</v>
      </c>
      <c r="Q341" s="540" t="s">
        <v>2067</v>
      </c>
      <c r="R341" s="352"/>
      <c r="S341" s="352"/>
      <c r="T341" s="351"/>
      <c r="U341" s="362" t="s">
        <v>82</v>
      </c>
      <c r="V341" s="355"/>
      <c r="W341" s="355">
        <v>57.95</v>
      </c>
      <c r="X341" s="355">
        <v>55.23</v>
      </c>
      <c r="Y341" s="356">
        <v>64.41</v>
      </c>
      <c r="Z341" s="337">
        <v>65.281300000000002</v>
      </c>
      <c r="AA341" s="365">
        <v>57.14</v>
      </c>
      <c r="AB341" s="365">
        <v>57.619700000000002</v>
      </c>
      <c r="AC341" s="635">
        <v>66.307100000000005</v>
      </c>
      <c r="AD341" s="365">
        <v>62.362099999999998</v>
      </c>
      <c r="AE341" s="357">
        <v>6</v>
      </c>
      <c r="AF341" s="358">
        <v>100</v>
      </c>
      <c r="AG341" s="354"/>
      <c r="AH341" s="359"/>
      <c r="AI341" s="370" t="s">
        <v>100</v>
      </c>
      <c r="AJ341" s="361" t="s">
        <v>130</v>
      </c>
      <c r="AK341" s="362" t="s">
        <v>2068</v>
      </c>
      <c r="AL341" s="358" t="s">
        <v>103</v>
      </c>
      <c r="AM341" s="349"/>
      <c r="AN341" s="349"/>
      <c r="AO341" s="349"/>
      <c r="AP341" s="349"/>
      <c r="AQ341" s="349"/>
      <c r="AR341" s="453"/>
      <c r="AS341" s="371" t="s">
        <v>103</v>
      </c>
      <c r="AT341" s="345"/>
      <c r="AU341" s="345"/>
      <c r="AV341" s="345"/>
      <c r="AW341" s="345"/>
      <c r="AX341" s="345"/>
      <c r="AY341" s="345"/>
      <c r="AZ341" s="345"/>
      <c r="BA341" s="345"/>
      <c r="BB341" s="345"/>
      <c r="BC341" s="345"/>
      <c r="BD341" s="345"/>
      <c r="BE341" s="345"/>
      <c r="BF341" s="345"/>
      <c r="BG341" s="345"/>
      <c r="BH341" s="345"/>
      <c r="BI341" s="345"/>
      <c r="BJ341" s="364">
        <f>COUNTIF(AT341:BI341,"*OP*")</f>
        <v>0</v>
      </c>
      <c r="BK341" s="363" t="s">
        <v>103</v>
      </c>
      <c r="BL341" s="349">
        <f>(COUNTIF(AT341:AV341,"*OK*")*3) + (COUNTIF(AW341:AY341,"*OK*")*2) + COUNTIF(AZ341:BB341,"*OK*")+COUNTIF(BK341:BK341,"SI")*0.5</f>
        <v>0</v>
      </c>
      <c r="BM341" s="349" t="str">
        <f>IF(BL341&lt;0.6,"Demasiado Riesgo",IF(BL341&lt;=5,"Riesgo Medio",IF(BL341&lt;=11,"Riesgo Bajo","Cliente Blindado")))</f>
        <v>Demasiado Riesgo</v>
      </c>
      <c r="BN341" s="349"/>
      <c r="BO341" s="328"/>
      <c r="BP341" s="328">
        <v>0</v>
      </c>
      <c r="BQ341" s="328"/>
      <c r="BR341" s="328"/>
      <c r="BS341" s="328"/>
      <c r="BT341" s="328"/>
      <c r="BU341" s="328"/>
      <c r="BV341" s="328"/>
      <c r="BW341" s="328"/>
      <c r="BX341" s="328"/>
      <c r="BY341" s="328"/>
      <c r="BZ341" s="328"/>
      <c r="CA341" s="328"/>
      <c r="CB341" s="328"/>
      <c r="CC341" s="328"/>
      <c r="CD341" s="328"/>
      <c r="CE341" s="328"/>
      <c r="CF341" s="328"/>
      <c r="CG341" s="328"/>
      <c r="CH341" s="328"/>
      <c r="CI341" s="328"/>
      <c r="CJ341" s="328"/>
      <c r="CK341" s="328"/>
      <c r="CL341" s="328">
        <f>COUNTIF(AT341:BH341,"*OK*")</f>
        <v>0</v>
      </c>
      <c r="CM341" s="328"/>
      <c r="CN341" s="328">
        <f>COUNTIF(AT341:BH341,"*OP*")</f>
        <v>0</v>
      </c>
    </row>
    <row r="342" spans="1:94" ht="15" customHeight="1">
      <c r="A342" s="834">
        <v>18457</v>
      </c>
      <c r="B342" s="560" t="s">
        <v>2069</v>
      </c>
      <c r="C342" s="329">
        <f t="shared" si="7"/>
        <v>56.567300000000003</v>
      </c>
      <c r="D342" s="332">
        <f>COUNTIF(AT342:BH342,"*OK*")</f>
        <v>0</v>
      </c>
      <c r="E342" s="397" t="s">
        <v>439</v>
      </c>
      <c r="F342" s="331" t="s">
        <v>2070</v>
      </c>
      <c r="G342" s="331"/>
      <c r="H342" s="650">
        <f>IF(LEN(TRIM($G342&amp;""))=0, $C342, SUMIF($G$3:$G$561, TRIM($G342), $C$3:$C$561))</f>
        <v>56.567300000000003</v>
      </c>
      <c r="I342" s="331" t="s">
        <v>562</v>
      </c>
      <c r="J342" s="331"/>
      <c r="K342" s="328"/>
      <c r="L342" s="328" t="str">
        <f>HYPERLINK("https://crm.zoho.com/crm/org685875245/tab/Accounts/3525045000140121007","https://crm.zoho.com/crm/org685875245/tab/Accounts/3525045000140121007")</f>
        <v>https://crm.zoho.com/crm/org685875245/tab/Accounts/3525045000140121007</v>
      </c>
      <c r="M342" s="391"/>
      <c r="N342" s="332" t="s">
        <v>817</v>
      </c>
      <c r="O342" s="541" t="s">
        <v>1166</v>
      </c>
      <c r="P342" s="541" t="s">
        <v>2071</v>
      </c>
      <c r="Q342" s="541" t="s">
        <v>2072</v>
      </c>
      <c r="R342" s="332"/>
      <c r="S342" s="332"/>
      <c r="T342" s="397"/>
      <c r="U342" s="344" t="s">
        <v>285</v>
      </c>
      <c r="V342" s="335">
        <v>178.36</v>
      </c>
      <c r="W342" s="335">
        <v>175.82</v>
      </c>
      <c r="X342" s="335">
        <v>169.82</v>
      </c>
      <c r="Y342" s="336">
        <v>156.59</v>
      </c>
      <c r="Z342" s="337">
        <v>180.0147</v>
      </c>
      <c r="AA342" s="365">
        <v>178.04</v>
      </c>
      <c r="AB342" s="365">
        <v>155.9187</v>
      </c>
      <c r="AC342" s="635">
        <v>64.957499999999996</v>
      </c>
      <c r="AD342" s="365">
        <v>56.567300000000003</v>
      </c>
      <c r="AE342" s="339">
        <v>21</v>
      </c>
      <c r="AF342" s="340">
        <v>150</v>
      </c>
      <c r="AG342" s="334"/>
      <c r="AH342" s="341"/>
      <c r="AI342" s="422" t="s">
        <v>83</v>
      </c>
      <c r="AJ342" s="343" t="s">
        <v>130</v>
      </c>
      <c r="AK342" s="344" t="s">
        <v>2073</v>
      </c>
      <c r="AL342" s="340" t="s">
        <v>829</v>
      </c>
      <c r="AM342" s="328"/>
      <c r="AN342" s="328"/>
      <c r="AO342" s="328"/>
      <c r="AP342" s="328"/>
      <c r="AQ342" s="328"/>
      <c r="AR342" s="451"/>
      <c r="AS342" s="372" t="s">
        <v>88</v>
      </c>
      <c r="AT342" s="345"/>
      <c r="AU342" s="345"/>
      <c r="AV342" s="345"/>
      <c r="AW342" s="345"/>
      <c r="AX342" s="345"/>
      <c r="AY342" s="345"/>
      <c r="AZ342" s="345"/>
      <c r="BA342" s="345"/>
      <c r="BB342" s="345"/>
      <c r="BC342" s="345"/>
      <c r="BD342" s="345"/>
      <c r="BE342" s="345"/>
      <c r="BF342" s="345"/>
      <c r="BG342" s="345"/>
      <c r="BH342" s="345"/>
      <c r="BI342" s="345"/>
      <c r="BJ342" s="364">
        <f>COUNTIF(AT342:BI342,"*OP*")</f>
        <v>0</v>
      </c>
      <c r="BK342" s="375" t="s">
        <v>89</v>
      </c>
      <c r="BL342" s="328">
        <f>(COUNTIF(AT342:AV342,"*OK*")*3) + (COUNTIF(AW342:AY342,"*OK*")*2) + COUNTIF(AZ342:BB342,"*OK*")+COUNTIF(BK342:BK342,"SI")*0.5</f>
        <v>0</v>
      </c>
      <c r="BM342" s="328" t="str">
        <f>IF(BL342&lt;0.6,"Demasiado Riesgo",IF(BL342&lt;=5,"Riesgo Medio",IF(BL342&lt;=11,"Riesgo Bajo","Cliente Blindado")))</f>
        <v>Demasiado Riesgo</v>
      </c>
      <c r="BN342" s="328"/>
      <c r="BO342" s="328"/>
      <c r="BP342" s="328">
        <v>0</v>
      </c>
      <c r="BQ342" s="328"/>
      <c r="BR342" s="328"/>
      <c r="BS342" s="328"/>
      <c r="BT342" s="328"/>
      <c r="BU342" s="328"/>
      <c r="BV342" s="328"/>
      <c r="BW342" s="328"/>
      <c r="BX342" s="328"/>
      <c r="BY342" s="328"/>
      <c r="BZ342" s="328"/>
      <c r="CA342" s="328"/>
      <c r="CB342" s="328"/>
      <c r="CC342" s="328"/>
      <c r="CD342" s="328"/>
      <c r="CE342" s="328"/>
      <c r="CF342" s="328"/>
      <c r="CG342" s="328"/>
      <c r="CH342" s="328"/>
      <c r="CI342" s="328"/>
      <c r="CJ342" s="328"/>
      <c r="CK342" s="328"/>
      <c r="CL342" s="328">
        <f>COUNTIF(AT342:BH342,"*OK*")</f>
        <v>0</v>
      </c>
      <c r="CM342" s="328"/>
      <c r="CN342" s="328">
        <f>COUNTIF(AT342:BH342,"*OP*")</f>
        <v>0</v>
      </c>
    </row>
    <row r="343" spans="1:94" ht="15" customHeight="1">
      <c r="A343" s="835"/>
      <c r="B343" s="560" t="s">
        <v>2074</v>
      </c>
      <c r="C343" s="329">
        <f t="shared" si="7"/>
        <v>60.430500000000002</v>
      </c>
      <c r="D343" s="352">
        <f>COUNTIF(AX343:BI343,"OK")</f>
        <v>0</v>
      </c>
      <c r="E343" s="500" t="s">
        <v>782</v>
      </c>
      <c r="F343" s="537" t="s">
        <v>2075</v>
      </c>
      <c r="G343" s="536"/>
      <c r="H343" s="650">
        <f>IF(LEN(TRIM($G343&amp;""))=0, $C343, SUMIF($G$3:$G$561, TRIM($G343), $C$3:$C$561))</f>
        <v>60.430500000000002</v>
      </c>
      <c r="I343" s="500" t="s">
        <v>562</v>
      </c>
      <c r="J343" s="500" t="s">
        <v>103</v>
      </c>
      <c r="K343" s="349"/>
      <c r="L343" s="349"/>
      <c r="M343" s="553"/>
      <c r="N343" s="500" t="s">
        <v>103</v>
      </c>
      <c r="O343" s="542" t="s">
        <v>2076</v>
      </c>
      <c r="P343" s="542" t="s">
        <v>2077</v>
      </c>
      <c r="Q343" s="542" t="s">
        <v>2078</v>
      </c>
      <c r="R343" s="500"/>
      <c r="S343" s="500" t="s">
        <v>103</v>
      </c>
      <c r="T343" s="500" t="s">
        <v>88</v>
      </c>
      <c r="U343" s="467" t="s">
        <v>103</v>
      </c>
      <c r="V343" s="500" t="s">
        <v>103</v>
      </c>
      <c r="W343" s="500" t="s">
        <v>103</v>
      </c>
      <c r="X343" s="500" t="s">
        <v>103</v>
      </c>
      <c r="Y343" s="511" t="s">
        <v>103</v>
      </c>
      <c r="Z343" s="517" t="s">
        <v>103</v>
      </c>
      <c r="AA343" s="518">
        <v>71.709999999999994</v>
      </c>
      <c r="AB343" s="518">
        <v>104.1763</v>
      </c>
      <c r="AC343" s="639">
        <v>64.253399999999999</v>
      </c>
      <c r="AD343" s="518">
        <v>60.430500000000002</v>
      </c>
      <c r="AE343" s="357"/>
      <c r="AF343" s="358" t="s">
        <v>103</v>
      </c>
      <c r="AG343" s="354"/>
      <c r="AH343" s="349"/>
      <c r="AI343" s="370"/>
      <c r="AJ343" s="361"/>
      <c r="AK343" s="362"/>
      <c r="AL343" s="371" t="s">
        <v>103</v>
      </c>
      <c r="AM343" s="349"/>
      <c r="AN343" s="349"/>
      <c r="AO343" s="349"/>
      <c r="AP343" s="349"/>
      <c r="AQ343" s="349"/>
      <c r="AR343" s="453"/>
      <c r="AS343" s="449"/>
      <c r="AT343" s="345" t="s">
        <v>173</v>
      </c>
      <c r="AU343" s="345"/>
      <c r="AV343" s="345"/>
      <c r="AW343" s="345"/>
      <c r="AX343" s="345"/>
      <c r="AY343" s="345"/>
      <c r="AZ343" s="345"/>
      <c r="BA343" s="345"/>
      <c r="BB343" s="345"/>
      <c r="BC343" s="345"/>
      <c r="BD343" s="345"/>
      <c r="BE343" s="345"/>
      <c r="BF343" s="345"/>
      <c r="BG343" s="345"/>
      <c r="BH343" s="345"/>
      <c r="BI343" s="345"/>
      <c r="BJ343" s="364">
        <f>COUNTIF(AT343:BI343,"*OP*")</f>
        <v>1</v>
      </c>
      <c r="BK343" s="450"/>
      <c r="BL343" s="349">
        <f>(COUNTIF(AT343:AV343,"*OK*")*3) + (COUNTIF(AW343:AY343,"*OK*")*2) + COUNTIF(AZ343:BB343,"*OK*")+COUNTIF(BK343:BK343,"SI")*0.5</f>
        <v>0</v>
      </c>
      <c r="BM343" s="349" t="str">
        <f>IF(BL343&lt;0.6,"Demasiado Riesgo",IF(BL343&lt;=5,"Riesgo Medio",IF(BL343&lt;=11,"Riesgo Bajo","Cliente Blindado")))</f>
        <v>Demasiado Riesgo</v>
      </c>
      <c r="BN343" s="349"/>
      <c r="BO343" s="349"/>
      <c r="BP343" s="349">
        <v>0</v>
      </c>
      <c r="BQ343" s="349"/>
      <c r="BR343" s="349"/>
      <c r="BS343" s="349"/>
      <c r="BT343" s="349"/>
      <c r="BU343" s="349"/>
      <c r="BV343" s="349"/>
      <c r="BW343" s="349"/>
      <c r="BX343" s="349"/>
      <c r="BY343" s="349"/>
      <c r="BZ343" s="349"/>
      <c r="CA343" s="349"/>
      <c r="CB343" s="349"/>
      <c r="CC343" s="349"/>
      <c r="CD343" s="349"/>
      <c r="CE343" s="349"/>
      <c r="CF343" s="349"/>
      <c r="CG343" s="349"/>
      <c r="CH343" s="349"/>
      <c r="CI343" s="349"/>
      <c r="CJ343" s="349"/>
      <c r="CK343" s="349"/>
      <c r="CL343" s="349">
        <f>COUNTIF(AT343:BH343,"*OK*")</f>
        <v>0</v>
      </c>
      <c r="CM343" s="349"/>
      <c r="CN343" s="349">
        <f>COUNTIF(AT343:BH343,"*OP*")</f>
        <v>1</v>
      </c>
    </row>
    <row r="344" spans="1:94" ht="15" customHeight="1">
      <c r="A344" s="834"/>
      <c r="B344" s="560" t="s">
        <v>2079</v>
      </c>
      <c r="C344" s="329">
        <f t="shared" si="7"/>
        <v>60.079500000000003</v>
      </c>
      <c r="D344" s="332">
        <f>COUNTIF(AT344:BH344,"*OK*")</f>
        <v>1</v>
      </c>
      <c r="E344" s="331" t="s">
        <v>782</v>
      </c>
      <c r="F344" s="331" t="s">
        <v>2080</v>
      </c>
      <c r="G344" s="331"/>
      <c r="H344" s="650">
        <f>IF(LEN(TRIM($G344&amp;""))=0, $C344, SUMIF($G$3:$G$561, TRIM($G344), $C$3:$C$561))</f>
        <v>60.079500000000003</v>
      </c>
      <c r="I344" s="331" t="s">
        <v>562</v>
      </c>
      <c r="J344" s="331"/>
      <c r="K344" s="328"/>
      <c r="L344" s="328"/>
      <c r="M344" s="391" t="s">
        <v>787</v>
      </c>
      <c r="N344" s="332"/>
      <c r="O344" s="541"/>
      <c r="P344" s="541"/>
      <c r="Q344" s="541"/>
      <c r="R344" s="332"/>
      <c r="S344" s="332"/>
      <c r="T344" s="331"/>
      <c r="U344" s="344" t="s">
        <v>82</v>
      </c>
      <c r="V344" s="335">
        <v>60.14</v>
      </c>
      <c r="W344" s="335">
        <v>63.09</v>
      </c>
      <c r="X344" s="335">
        <v>60.12</v>
      </c>
      <c r="Y344" s="336">
        <v>62.06</v>
      </c>
      <c r="Z344" s="337">
        <v>62.8919</v>
      </c>
      <c r="AA344" s="347">
        <v>62.2</v>
      </c>
      <c r="AB344" s="347">
        <v>62.726999999999997</v>
      </c>
      <c r="AC344" s="638">
        <v>63.880200000000002</v>
      </c>
      <c r="AD344" s="347">
        <v>60.079500000000003</v>
      </c>
      <c r="AE344" s="339"/>
      <c r="AF344" s="340">
        <v>50</v>
      </c>
      <c r="AG344" s="334"/>
      <c r="AH344" s="341"/>
      <c r="AI344" s="418" t="s">
        <v>83</v>
      </c>
      <c r="AJ344" s="343" t="s">
        <v>396</v>
      </c>
      <c r="AK344" s="344" t="s">
        <v>2081</v>
      </c>
      <c r="AL344" s="340" t="s">
        <v>103</v>
      </c>
      <c r="AM344" s="328"/>
      <c r="AN344" s="328"/>
      <c r="AO344" s="328"/>
      <c r="AP344" s="328"/>
      <c r="AQ344" s="328"/>
      <c r="AR344" s="451"/>
      <c r="AS344" s="372" t="s">
        <v>103</v>
      </c>
      <c r="AT344" s="345"/>
      <c r="AU344" s="345"/>
      <c r="AV344" s="421" t="s">
        <v>2082</v>
      </c>
      <c r="AW344" s="345"/>
      <c r="AX344" s="345"/>
      <c r="AY344" s="345"/>
      <c r="AZ344" s="345"/>
      <c r="BA344" s="345"/>
      <c r="BB344" s="345"/>
      <c r="BC344" s="345"/>
      <c r="BD344" s="345"/>
      <c r="BE344" s="345"/>
      <c r="BF344" s="345"/>
      <c r="BG344" s="345"/>
      <c r="BH344" s="345"/>
      <c r="BI344" s="345"/>
      <c r="BJ344" s="364">
        <f>COUNTIF(AT344:BI344,"*OP*")</f>
        <v>0</v>
      </c>
      <c r="BK344" s="375" t="s">
        <v>103</v>
      </c>
      <c r="BL344" s="328">
        <f>(COUNTIF(AT344:AV344,"*OK*")*3) + (COUNTIF(AW344:AY344,"*OK*")*2) + COUNTIF(AZ344:BB344,"*OK*")+COUNTIF(BK344:BK344,"SI")*0.5</f>
        <v>3</v>
      </c>
      <c r="BM344" s="328" t="str">
        <f>IF(BL344&lt;0.6,"Demasiado Riesgo",IF(BL344&lt;=5,"Riesgo Medio",IF(BL344&lt;=11,"Riesgo Bajo","Cliente Blindado")))</f>
        <v>Riesgo Medio</v>
      </c>
      <c r="BN344" s="328"/>
      <c r="BO344" s="349"/>
      <c r="BP344" s="349"/>
      <c r="BQ344" s="349"/>
      <c r="BR344" s="349"/>
      <c r="BS344" s="349"/>
      <c r="BT344" s="349"/>
      <c r="BU344" s="349"/>
      <c r="BV344" s="349"/>
      <c r="BW344" s="349"/>
      <c r="BX344" s="349"/>
      <c r="BY344" s="349"/>
      <c r="BZ344" s="349"/>
      <c r="CA344" s="349"/>
      <c r="CB344" s="349"/>
      <c r="CC344" s="349"/>
      <c r="CD344" s="349"/>
      <c r="CE344" s="349"/>
      <c r="CF344" s="349"/>
      <c r="CG344" s="349"/>
      <c r="CH344" s="349"/>
      <c r="CI344" s="349"/>
      <c r="CJ344" s="349"/>
      <c r="CK344" s="349"/>
      <c r="CL344" s="349">
        <f>COUNTIF(AT344:BH344,"*OK*")</f>
        <v>1</v>
      </c>
    </row>
    <row r="345" spans="1:94" ht="15" customHeight="1">
      <c r="A345" s="834">
        <v>34850</v>
      </c>
      <c r="B345" s="560" t="s">
        <v>2083</v>
      </c>
      <c r="C345" s="329">
        <f t="shared" si="7"/>
        <v>58.774900000000002</v>
      </c>
      <c r="D345" s="332">
        <f>COUNTIF(AT345:BH345,"*OK*")</f>
        <v>0</v>
      </c>
      <c r="E345" s="331" t="s">
        <v>782</v>
      </c>
      <c r="F345" s="331" t="s">
        <v>2084</v>
      </c>
      <c r="G345" s="331"/>
      <c r="H345" s="650">
        <f>IF(LEN(TRIM($G345&amp;""))=0, $C345, SUMIF($G$3:$G$561, TRIM($G345), $C$3:$C$561))</f>
        <v>58.774900000000002</v>
      </c>
      <c r="I345" s="333" t="s">
        <v>562</v>
      </c>
      <c r="J345" s="331"/>
      <c r="K345" s="328"/>
      <c r="L345" s="328" t="str">
        <f>HYPERLINK("https://crm.zoho.com/crm/org685875245/tab/Accounts/3525045000518381480","https://crm.zoho.com/crm/org685875245/tab/Accounts/3525045000518381480")</f>
        <v>https://crm.zoho.com/crm/org685875245/tab/Accounts/3525045000518381480</v>
      </c>
      <c r="M345" s="391"/>
      <c r="N345" s="332"/>
      <c r="O345" s="541" t="s">
        <v>2085</v>
      </c>
      <c r="P345" s="541" t="s">
        <v>2086</v>
      </c>
      <c r="Q345" s="541" t="s">
        <v>2087</v>
      </c>
      <c r="R345" s="332"/>
      <c r="S345" s="332"/>
      <c r="T345" s="331"/>
      <c r="U345" s="344" t="s">
        <v>902</v>
      </c>
      <c r="V345" s="335">
        <v>65.540000000000006</v>
      </c>
      <c r="W345" s="335">
        <v>65.48</v>
      </c>
      <c r="X345" s="335">
        <v>62.41</v>
      </c>
      <c r="Y345" s="336">
        <v>60.71</v>
      </c>
      <c r="Z345" s="337">
        <v>61.526200000000003</v>
      </c>
      <c r="AA345" s="347">
        <v>60.85</v>
      </c>
      <c r="AB345" s="347">
        <v>61.364899999999999</v>
      </c>
      <c r="AC345" s="638">
        <v>62.493000000000002</v>
      </c>
      <c r="AD345" s="347">
        <v>58.774900000000002</v>
      </c>
      <c r="AE345" s="339">
        <v>12</v>
      </c>
      <c r="AF345" s="340">
        <v>50</v>
      </c>
      <c r="AG345" s="334"/>
      <c r="AH345" s="341"/>
      <c r="AI345" s="422" t="s">
        <v>83</v>
      </c>
      <c r="AJ345" s="343" t="s">
        <v>143</v>
      </c>
      <c r="AK345" s="344" t="s">
        <v>2088</v>
      </c>
      <c r="AL345" s="340" t="s">
        <v>1140</v>
      </c>
      <c r="AM345" s="328"/>
      <c r="AN345" s="328"/>
      <c r="AO345" s="328"/>
      <c r="AP345" s="328"/>
      <c r="AQ345" s="328"/>
      <c r="AR345" s="451"/>
      <c r="AS345" s="372" t="s">
        <v>103</v>
      </c>
      <c r="AT345" s="345"/>
      <c r="AU345" s="345"/>
      <c r="AV345" s="345"/>
      <c r="AW345" s="345"/>
      <c r="AX345" s="345"/>
      <c r="AY345" s="345"/>
      <c r="AZ345" s="345"/>
      <c r="BA345" s="345"/>
      <c r="BB345" s="345"/>
      <c r="BC345" s="345"/>
      <c r="BD345" s="345"/>
      <c r="BE345" s="345"/>
      <c r="BF345" s="345"/>
      <c r="BG345" s="345"/>
      <c r="BH345" s="345"/>
      <c r="BI345" s="345"/>
      <c r="BJ345" s="364">
        <f>COUNTIF(AT345:BI345,"*OP*")</f>
        <v>0</v>
      </c>
      <c r="BK345" s="375" t="s">
        <v>103</v>
      </c>
      <c r="BL345" s="328">
        <f>(COUNTIF(AT345:AV345,"*OK*")*3) + (COUNTIF(AW345:AY345,"*OK*")*2) + COUNTIF(AZ345:BB345,"*OK*")+COUNTIF(BK345:BK345,"SI")*0.5</f>
        <v>0</v>
      </c>
      <c r="BM345" s="328" t="str">
        <f>IF(BL345&lt;0.6,"Demasiado Riesgo",IF(BL345&lt;=5,"Riesgo Medio",IF(BL345&lt;=11,"Riesgo Bajo","Cliente Blindado")))</f>
        <v>Demasiado Riesgo</v>
      </c>
      <c r="BN345" s="328"/>
      <c r="BO345" s="349"/>
      <c r="BP345" s="349">
        <v>0</v>
      </c>
      <c r="BQ345" s="349"/>
      <c r="BR345" s="349"/>
      <c r="BS345" s="349"/>
      <c r="BT345" s="349"/>
      <c r="BU345" s="349"/>
      <c r="BV345" s="349"/>
      <c r="BW345" s="349"/>
      <c r="BX345" s="349"/>
      <c r="BY345" s="349"/>
      <c r="BZ345" s="349"/>
      <c r="CA345" s="349"/>
      <c r="CB345" s="349"/>
      <c r="CC345" s="349"/>
      <c r="CD345" s="349"/>
      <c r="CE345" s="349"/>
      <c r="CF345" s="349"/>
      <c r="CG345" s="349"/>
      <c r="CH345" s="349"/>
      <c r="CI345" s="349"/>
      <c r="CJ345" s="349"/>
      <c r="CK345" s="349"/>
      <c r="CL345" s="349">
        <f>COUNTIF(AT345:BH345,"*OK*")</f>
        <v>0</v>
      </c>
      <c r="CM345" s="349"/>
      <c r="CN345" s="349">
        <f>COUNTIF(AT345:BH345,"*OP*")</f>
        <v>0</v>
      </c>
    </row>
    <row r="346" spans="1:94" ht="15" customHeight="1">
      <c r="A346" s="835">
        <v>21971</v>
      </c>
      <c r="B346" s="560" t="s">
        <v>2089</v>
      </c>
      <c r="C346" s="329">
        <f t="shared" si="7"/>
        <v>58.595999999999997</v>
      </c>
      <c r="D346" s="352">
        <f>COUNTIF(AT346:BH346,"*OK*")</f>
        <v>0</v>
      </c>
      <c r="E346" s="331" t="s">
        <v>782</v>
      </c>
      <c r="F346" s="351" t="s">
        <v>2090</v>
      </c>
      <c r="G346" s="351"/>
      <c r="H346" s="650">
        <f>IF(LEN(TRIM($G346&amp;""))=0, $C346, SUMIF($G$3:$G$561, TRIM($G346), $C$3:$C$561))</f>
        <v>58.595999999999997</v>
      </c>
      <c r="I346" s="351" t="s">
        <v>562</v>
      </c>
      <c r="J346" s="351"/>
      <c r="K346" s="349"/>
      <c r="L346" s="349"/>
      <c r="M346" s="553"/>
      <c r="N346" s="352"/>
      <c r="O346" s="540" t="s">
        <v>138</v>
      </c>
      <c r="P346" s="540" t="s">
        <v>2091</v>
      </c>
      <c r="Q346" s="540" t="s">
        <v>2092</v>
      </c>
      <c r="R346" s="352"/>
      <c r="S346" s="352"/>
      <c r="T346" s="351"/>
      <c r="U346" s="362" t="s">
        <v>82</v>
      </c>
      <c r="V346" s="355">
        <v>53.89</v>
      </c>
      <c r="W346" s="355">
        <v>56.4</v>
      </c>
      <c r="X346" s="355">
        <v>53.75</v>
      </c>
      <c r="Y346" s="356">
        <v>55.48</v>
      </c>
      <c r="Z346" s="337">
        <v>56.227400000000003</v>
      </c>
      <c r="AA346" s="367">
        <v>58.14</v>
      </c>
      <c r="AB346" s="367">
        <v>58.629100000000001</v>
      </c>
      <c r="AC346" s="636">
        <v>62.302900000000001</v>
      </c>
      <c r="AD346" s="367">
        <v>58.595999999999997</v>
      </c>
      <c r="AE346" s="357">
        <v>22</v>
      </c>
      <c r="AF346" s="358">
        <v>100</v>
      </c>
      <c r="AG346" s="354"/>
      <c r="AH346" s="359"/>
      <c r="AI346" s="427" t="s">
        <v>83</v>
      </c>
      <c r="AJ346" s="361" t="s">
        <v>113</v>
      </c>
      <c r="AK346" s="362" t="s">
        <v>2093</v>
      </c>
      <c r="AL346" s="358" t="s">
        <v>103</v>
      </c>
      <c r="AM346" s="349"/>
      <c r="AN346" s="349"/>
      <c r="AO346" s="349"/>
      <c r="AP346" s="349"/>
      <c r="AQ346" s="349"/>
      <c r="AR346" s="453"/>
      <c r="AS346" s="371" t="s">
        <v>103</v>
      </c>
      <c r="AT346" s="345"/>
      <c r="AU346" s="345"/>
      <c r="AV346" s="345"/>
      <c r="AW346" s="345"/>
      <c r="AX346" s="345"/>
      <c r="AY346" s="345"/>
      <c r="AZ346" s="345"/>
      <c r="BA346" s="345"/>
      <c r="BB346" s="345"/>
      <c r="BC346" s="345"/>
      <c r="BD346" s="345"/>
      <c r="BE346" s="345"/>
      <c r="BF346" s="345"/>
      <c r="BG346" s="345"/>
      <c r="BH346" s="345"/>
      <c r="BI346" s="345"/>
      <c r="BJ346" s="364">
        <f>COUNTIF(AT346:BI346,"*OP*")</f>
        <v>0</v>
      </c>
      <c r="BK346" s="363" t="s">
        <v>103</v>
      </c>
      <c r="BL346" s="349">
        <f>(COUNTIF(AT346:AV346,"*OK*")*3) + (COUNTIF(AW346:AY346,"*OK*")*2) + COUNTIF(AZ346:BB346,"*OK*")+COUNTIF(BK346:BK346,"SI")*0.5</f>
        <v>0</v>
      </c>
      <c r="BM346" s="349" t="str">
        <f>IF(BL346&lt;0.6,"Demasiado Riesgo",IF(BL346&lt;=5,"Riesgo Medio",IF(BL346&lt;=11,"Riesgo Bajo","Cliente Blindado")))</f>
        <v>Demasiado Riesgo</v>
      </c>
      <c r="BN346" s="349"/>
      <c r="BO346" s="349"/>
      <c r="BP346" s="349">
        <v>0</v>
      </c>
      <c r="BQ346" s="349"/>
      <c r="BR346" s="349"/>
      <c r="BS346" s="349"/>
      <c r="BT346" s="349"/>
      <c r="BU346" s="349"/>
      <c r="BV346" s="349"/>
      <c r="BW346" s="349"/>
      <c r="BX346" s="349"/>
      <c r="BY346" s="349"/>
      <c r="BZ346" s="349"/>
      <c r="CA346" s="349"/>
      <c r="CB346" s="349"/>
      <c r="CC346" s="349"/>
      <c r="CD346" s="349"/>
      <c r="CE346" s="349"/>
      <c r="CF346" s="349"/>
      <c r="CG346" s="349"/>
      <c r="CH346" s="349"/>
      <c r="CI346" s="349"/>
      <c r="CJ346" s="349"/>
      <c r="CK346" s="349"/>
      <c r="CL346" s="349">
        <f>COUNTIF(AT346:BH346,"*OK*")</f>
        <v>0</v>
      </c>
      <c r="CM346" s="349"/>
      <c r="CN346" s="349">
        <f>COUNTIF(AT346:BH346,"*OP*")</f>
        <v>0</v>
      </c>
    </row>
    <row r="347" spans="1:94" ht="15" customHeight="1">
      <c r="A347" s="834">
        <v>23171</v>
      </c>
      <c r="B347" s="560" t="s">
        <v>2094</v>
      </c>
      <c r="C347" s="329">
        <f t="shared" si="7"/>
        <v>57.9636</v>
      </c>
      <c r="D347" s="332">
        <f>COUNTIF(AT347:BH347,"*OK*")</f>
        <v>0</v>
      </c>
      <c r="E347" s="331" t="s">
        <v>782</v>
      </c>
      <c r="F347" s="331" t="s">
        <v>2095</v>
      </c>
      <c r="G347" s="331"/>
      <c r="H347" s="650">
        <f>IF(LEN(TRIM($G347&amp;""))=0, $C347, SUMIF($G$3:$G$561, TRIM($G347), $C$3:$C$561))</f>
        <v>57.9636</v>
      </c>
      <c r="I347" s="331" t="s">
        <v>562</v>
      </c>
      <c r="J347" s="331"/>
      <c r="K347" s="328"/>
      <c r="L347" s="328" t="str">
        <f>HYPERLINK("https://crm.zoho.com/crm/org685875245/tab/Accounts/3525045000261339399","https://crm.zoho.com/crm/org685875245/tab/Accounts/3525045000261339399")</f>
        <v>https://crm.zoho.com/crm/org685875245/tab/Accounts/3525045000261339399</v>
      </c>
      <c r="M347" s="391"/>
      <c r="N347" s="332"/>
      <c r="O347" s="541" t="s">
        <v>2096</v>
      </c>
      <c r="P347" s="541" t="s">
        <v>2097</v>
      </c>
      <c r="Q347" s="541" t="s">
        <v>2098</v>
      </c>
      <c r="R347" s="332"/>
      <c r="S347" s="332"/>
      <c r="T347" s="331"/>
      <c r="U347" s="344" t="s">
        <v>617</v>
      </c>
      <c r="V347" s="335">
        <v>64.98</v>
      </c>
      <c r="W347" s="335">
        <v>64.92</v>
      </c>
      <c r="X347" s="335">
        <v>61.87</v>
      </c>
      <c r="Y347" s="336">
        <v>63.86</v>
      </c>
      <c r="Z347" s="337">
        <v>64.722099999999998</v>
      </c>
      <c r="AA347" s="347">
        <v>64.010000000000005</v>
      </c>
      <c r="AB347" s="347">
        <v>64.552400000000006</v>
      </c>
      <c r="AC347" s="638">
        <v>61.630499999999998</v>
      </c>
      <c r="AD347" s="347">
        <v>57.9636</v>
      </c>
      <c r="AE347" s="339">
        <v>15</v>
      </c>
      <c r="AF347" s="340">
        <v>200</v>
      </c>
      <c r="AG347" s="334"/>
      <c r="AH347" s="341"/>
      <c r="AI347" s="422" t="s">
        <v>83</v>
      </c>
      <c r="AJ347" s="343" t="s">
        <v>130</v>
      </c>
      <c r="AK347" s="344" t="s">
        <v>2099</v>
      </c>
      <c r="AL347" s="340" t="s">
        <v>222</v>
      </c>
      <c r="AM347" s="328"/>
      <c r="AN347" s="328"/>
      <c r="AO347" s="328"/>
      <c r="AP347" s="328"/>
      <c r="AQ347" s="328"/>
      <c r="AR347" s="451"/>
      <c r="AS347" s="372" t="s">
        <v>103</v>
      </c>
      <c r="AT347" s="345"/>
      <c r="AU347" s="345"/>
      <c r="AV347" s="345"/>
      <c r="AW347" s="345"/>
      <c r="AX347" s="345"/>
      <c r="AY347" s="345"/>
      <c r="AZ347" s="421"/>
      <c r="BA347" s="345"/>
      <c r="BB347" s="345"/>
      <c r="BC347" s="345"/>
      <c r="BD347" s="345"/>
      <c r="BE347" s="345"/>
      <c r="BF347" s="345"/>
      <c r="BG347" s="345"/>
      <c r="BH347" s="345"/>
      <c r="BI347" s="345"/>
      <c r="BJ347" s="364">
        <f>COUNTIF(AT347:BI347,"*OP*")</f>
        <v>0</v>
      </c>
      <c r="BK347" s="375" t="s">
        <v>103</v>
      </c>
      <c r="BL347" s="328">
        <f>(COUNTIF(AT347:AV347,"*OK*")*3) + (COUNTIF(AW347:AY347,"*OK*")*2) + COUNTIF(AZ347:BB347,"*OK*")+COUNTIF(BK347:BK347,"SI")*0.5</f>
        <v>0</v>
      </c>
      <c r="BM347" s="328" t="str">
        <f>IF(BL347&lt;0.6,"Demasiado Riesgo",IF(BL347&lt;=5,"Riesgo Medio",IF(BL347&lt;=11,"Riesgo Bajo","Cliente Blindado")))</f>
        <v>Demasiado Riesgo</v>
      </c>
      <c r="BN347" s="328"/>
      <c r="BO347" s="328"/>
      <c r="BP347" s="328">
        <v>0</v>
      </c>
      <c r="BQ347" s="328"/>
      <c r="BR347" s="328"/>
      <c r="BS347" s="328"/>
      <c r="BT347" s="328"/>
      <c r="BU347" s="328"/>
      <c r="BV347" s="328"/>
      <c r="BW347" s="328"/>
      <c r="BX347" s="328"/>
      <c r="BY347" s="328"/>
      <c r="BZ347" s="328"/>
      <c r="CA347" s="328"/>
      <c r="CB347" s="328"/>
      <c r="CC347" s="328"/>
      <c r="CD347" s="328"/>
      <c r="CE347" s="328"/>
      <c r="CF347" s="328"/>
      <c r="CG347" s="328"/>
      <c r="CH347" s="328"/>
      <c r="CI347" s="328"/>
      <c r="CJ347" s="328"/>
      <c r="CK347" s="328"/>
      <c r="CL347" s="328">
        <f>COUNTIF(AT347:BH347,"*OK*")</f>
        <v>0</v>
      </c>
      <c r="CM347" s="328"/>
      <c r="CN347" s="328">
        <f>COUNTIF(AT347:BH347,"*OP*")</f>
        <v>0</v>
      </c>
    </row>
    <row r="348" spans="1:94" ht="15" customHeight="1">
      <c r="A348" s="835">
        <v>34818</v>
      </c>
      <c r="B348" s="560" t="s">
        <v>2100</v>
      </c>
      <c r="C348" s="329">
        <f t="shared" si="7"/>
        <v>57.947000000000003</v>
      </c>
      <c r="D348" s="352">
        <f>COUNTIF(AT348:BH348,"*OK*")</f>
        <v>0</v>
      </c>
      <c r="E348" s="331" t="s">
        <v>782</v>
      </c>
      <c r="F348" s="351" t="s">
        <v>2101</v>
      </c>
      <c r="G348" s="351"/>
      <c r="H348" s="650">
        <f>IF(LEN(TRIM($G348&amp;""))=0, $C348, SUMIF($G$3:$G$561, TRIM($G348), $C$3:$C$561))</f>
        <v>57.947000000000003</v>
      </c>
      <c r="I348" s="353" t="s">
        <v>562</v>
      </c>
      <c r="J348" s="351"/>
      <c r="K348" s="349"/>
      <c r="L348" s="349"/>
      <c r="M348" s="553"/>
      <c r="N348" s="352"/>
      <c r="O348" s="540" t="s">
        <v>2102</v>
      </c>
      <c r="P348" s="540" t="s">
        <v>2103</v>
      </c>
      <c r="Q348" s="540" t="s">
        <v>2104</v>
      </c>
      <c r="R348" s="352"/>
      <c r="S348" s="352"/>
      <c r="T348" s="351"/>
      <c r="U348" s="362" t="s">
        <v>82</v>
      </c>
      <c r="V348" s="355">
        <v>60.9</v>
      </c>
      <c r="W348" s="355">
        <v>60.85</v>
      </c>
      <c r="X348" s="355">
        <v>57.99</v>
      </c>
      <c r="Y348" s="356">
        <v>59.85</v>
      </c>
      <c r="Z348" s="337">
        <v>60.659599999999998</v>
      </c>
      <c r="AA348" s="365">
        <v>59.99</v>
      </c>
      <c r="AB348" s="365">
        <v>60.500599999999999</v>
      </c>
      <c r="AC348" s="635">
        <v>61.612900000000003</v>
      </c>
      <c r="AD348" s="365">
        <v>57.947000000000003</v>
      </c>
      <c r="AE348" s="357">
        <v>7</v>
      </c>
      <c r="AF348" s="358">
        <v>50</v>
      </c>
      <c r="AG348" s="354"/>
      <c r="AH348" s="359"/>
      <c r="AI348" s="360" t="s">
        <v>83</v>
      </c>
      <c r="AJ348" s="361" t="s">
        <v>396</v>
      </c>
      <c r="AK348" s="362" t="s">
        <v>2105</v>
      </c>
      <c r="AL348" s="358" t="s">
        <v>103</v>
      </c>
      <c r="AM348" s="349"/>
      <c r="AN348" s="349"/>
      <c r="AO348" s="349"/>
      <c r="AP348" s="349"/>
      <c r="AQ348" s="349"/>
      <c r="AR348" s="453"/>
      <c r="AS348" s="371" t="s">
        <v>103</v>
      </c>
      <c r="AT348" s="345"/>
      <c r="AU348" s="345"/>
      <c r="AV348" s="345"/>
      <c r="AW348" s="345"/>
      <c r="AX348" s="345"/>
      <c r="AY348" s="345"/>
      <c r="AZ348" s="345"/>
      <c r="BA348" s="345"/>
      <c r="BB348" s="345"/>
      <c r="BC348" s="345"/>
      <c r="BD348" s="345"/>
      <c r="BE348" s="345"/>
      <c r="BF348" s="345"/>
      <c r="BG348" s="345"/>
      <c r="BH348" s="345"/>
      <c r="BI348" s="345"/>
      <c r="BJ348" s="364">
        <f>COUNTIF(AT348:BI348,"*OP*")</f>
        <v>0</v>
      </c>
      <c r="BK348" s="363" t="s">
        <v>103</v>
      </c>
      <c r="BL348" s="349">
        <f>(COUNTIF(AT348:AV348,"*OK*")*3) + (COUNTIF(AW348:AY348,"*OK*")*2) + COUNTIF(AZ348:BB348,"*OK*")+COUNTIF(BK348:BK348,"SI")*0.5</f>
        <v>0</v>
      </c>
      <c r="BM348" s="349" t="str">
        <f>IF(BL348&lt;0.6,"Demasiado Riesgo",IF(BL348&lt;=5,"Riesgo Medio",IF(BL348&lt;=11,"Riesgo Bajo","Cliente Blindado")))</f>
        <v>Demasiado Riesgo</v>
      </c>
      <c r="BN348" s="349"/>
      <c r="BO348" s="349"/>
      <c r="BP348" s="349"/>
      <c r="BQ348" s="349"/>
      <c r="BR348" s="349"/>
      <c r="BS348" s="349"/>
      <c r="BT348" s="349"/>
      <c r="BU348" s="349"/>
      <c r="BV348" s="349"/>
      <c r="BW348" s="349"/>
      <c r="BX348" s="349"/>
      <c r="BY348" s="349"/>
      <c r="BZ348" s="349"/>
      <c r="CA348" s="349"/>
      <c r="CB348" s="349"/>
      <c r="CC348" s="349"/>
      <c r="CD348" s="349"/>
      <c r="CE348" s="349"/>
      <c r="CF348" s="349"/>
      <c r="CG348" s="349"/>
      <c r="CH348" s="349"/>
      <c r="CI348" s="349"/>
      <c r="CJ348" s="349"/>
      <c r="CK348" s="349"/>
      <c r="CL348" s="349">
        <f>COUNTIF(AT348:BH348,"*OK*")</f>
        <v>0</v>
      </c>
      <c r="CM348" s="349"/>
      <c r="CN348" s="349"/>
    </row>
    <row r="349" spans="1:94" ht="15" customHeight="1">
      <c r="A349" s="835">
        <v>38629</v>
      </c>
      <c r="B349" s="560" t="s">
        <v>2106</v>
      </c>
      <c r="C349" s="329">
        <f t="shared" si="7"/>
        <v>0</v>
      </c>
      <c r="D349" s="391">
        <f>COUNTIF(AX349:BI349,"OK")</f>
        <v>0</v>
      </c>
      <c r="E349" s="331" t="s">
        <v>73</v>
      </c>
      <c r="F349" s="392" t="s">
        <v>2107</v>
      </c>
      <c r="G349" s="392"/>
      <c r="H349" s="650">
        <f>IF(LEN(TRIM($G349&amp;""))=0, $C349, SUMIF($G$3:$G$561, TRIM($G349), $C$3:$C$561))</f>
        <v>0</v>
      </c>
      <c r="I349" s="392" t="s">
        <v>76</v>
      </c>
      <c r="J349" s="390" t="s">
        <v>870</v>
      </c>
      <c r="K349" s="577"/>
      <c r="L349" s="577"/>
      <c r="M349" s="391" t="s">
        <v>787</v>
      </c>
      <c r="N349" s="577"/>
      <c r="O349" s="578" t="s">
        <v>184</v>
      </c>
      <c r="P349" s="578" t="s">
        <v>2108</v>
      </c>
      <c r="Q349" s="691" t="s">
        <v>2109</v>
      </c>
      <c r="R349" s="696"/>
      <c r="S349" s="391"/>
      <c r="T349" s="390" t="s">
        <v>88</v>
      </c>
      <c r="U349" s="393"/>
      <c r="V349" s="652"/>
      <c r="W349" s="652"/>
      <c r="X349" s="652"/>
      <c r="Y349" s="654"/>
      <c r="Z349" s="515"/>
      <c r="AA349" s="518">
        <v>34</v>
      </c>
      <c r="AB349" s="518">
        <v>10.371499999999999</v>
      </c>
      <c r="AC349" s="639">
        <v>61.0261</v>
      </c>
      <c r="AD349" s="518"/>
      <c r="AE349" s="339"/>
      <c r="AF349" s="340" t="s">
        <v>103</v>
      </c>
      <c r="AG349" s="334"/>
      <c r="AH349" s="390"/>
      <c r="AI349" s="395"/>
      <c r="AJ349" s="395"/>
      <c r="AK349" s="393"/>
      <c r="AL349" s="396" t="s">
        <v>103</v>
      </c>
      <c r="AM349" s="390"/>
      <c r="AN349" s="390"/>
      <c r="AO349" s="390"/>
      <c r="AP349" s="390"/>
      <c r="AQ349" s="390"/>
      <c r="AR349" s="648"/>
      <c r="AS349" s="736"/>
      <c r="AT349" s="345"/>
      <c r="AU349" s="345"/>
      <c r="AV349" s="421" t="s">
        <v>381</v>
      </c>
      <c r="AW349" s="345"/>
      <c r="AX349" s="345"/>
      <c r="AY349" s="345"/>
      <c r="AZ349" s="345"/>
      <c r="BA349" s="345"/>
      <c r="BB349" s="345"/>
      <c r="BC349" s="345"/>
      <c r="BD349" s="345"/>
      <c r="BE349" s="345"/>
      <c r="BF349" s="345"/>
      <c r="BG349" s="345"/>
      <c r="BH349" s="345"/>
      <c r="BI349" s="345"/>
      <c r="BJ349" s="364">
        <f>COUNTIF(AT349:BI349,"*OP*")</f>
        <v>0</v>
      </c>
      <c r="BK349" s="739"/>
      <c r="BL349" s="390">
        <f>(COUNTIF(AT349:AV349,"*OK*")*3) + (COUNTIF(AW349:AY349,"*OK*")*2) + COUNTIF(AZ349:BB349,"*OK*")+COUNTIF(BK349:BK349,"SI")*0.5</f>
        <v>3</v>
      </c>
      <c r="BM349" s="390" t="str">
        <f>IF(BL349&lt;0.6,"Demasiado Riesgo",IF(BL349&lt;=5,"Riesgo Medio",IF(BL349&lt;=11,"Riesgo Bajo","Cliente Blindado")))</f>
        <v>Riesgo Medio</v>
      </c>
      <c r="BN349" s="390"/>
      <c r="BO349" s="349"/>
      <c r="BP349" s="349">
        <v>0</v>
      </c>
      <c r="BQ349" s="349"/>
      <c r="BR349" s="349"/>
      <c r="BS349" s="349"/>
      <c r="BT349" s="349"/>
      <c r="BU349" s="349"/>
      <c r="BV349" s="349"/>
      <c r="BW349" s="349"/>
      <c r="BX349" s="349"/>
      <c r="BY349" s="349"/>
      <c r="BZ349" s="349"/>
      <c r="CA349" s="349"/>
      <c r="CB349" s="349"/>
      <c r="CC349" s="349"/>
      <c r="CD349" s="349"/>
      <c r="CE349" s="349"/>
      <c r="CF349" s="349"/>
      <c r="CG349" s="349"/>
      <c r="CH349" s="349"/>
      <c r="CI349" s="349"/>
      <c r="CJ349" s="349"/>
      <c r="CK349" s="349"/>
      <c r="CL349" s="349">
        <f>COUNTIF(AT349:BH349,"*OK*")</f>
        <v>1</v>
      </c>
      <c r="CM349" s="349"/>
      <c r="CN349" s="349">
        <f>COUNTIF(AT349:BH349,"*OP*")</f>
        <v>0</v>
      </c>
    </row>
    <row r="350" spans="1:94" ht="15" customHeight="1">
      <c r="A350" s="835"/>
      <c r="B350" s="560" t="s">
        <v>2110</v>
      </c>
      <c r="C350" s="329">
        <f t="shared" si="7"/>
        <v>57.395200000000003</v>
      </c>
      <c r="D350" s="352">
        <f>COUNTIF(AT350:BH350,"*OK*")</f>
        <v>1</v>
      </c>
      <c r="E350" s="331" t="s">
        <v>782</v>
      </c>
      <c r="F350" s="351" t="s">
        <v>2111</v>
      </c>
      <c r="G350" s="351"/>
      <c r="H350" s="650">
        <f>IF(LEN(TRIM($G350&amp;""))=0, $C350, SUMIF($G$3:$G$561, TRIM($G350), $C$3:$C$561))</f>
        <v>57.395200000000003</v>
      </c>
      <c r="I350" s="353" t="s">
        <v>562</v>
      </c>
      <c r="J350" s="351"/>
      <c r="K350" s="349"/>
      <c r="L350" s="349"/>
      <c r="M350" s="553"/>
      <c r="N350" s="352"/>
      <c r="O350" s="540"/>
      <c r="P350" s="540"/>
      <c r="Q350" s="540"/>
      <c r="R350" s="352"/>
      <c r="S350" s="352"/>
      <c r="T350" s="351"/>
      <c r="U350" s="362" t="s">
        <v>82</v>
      </c>
      <c r="V350" s="355">
        <v>88.17</v>
      </c>
      <c r="W350" s="355">
        <v>83.45</v>
      </c>
      <c r="X350" s="355">
        <v>75.11</v>
      </c>
      <c r="Y350" s="356">
        <v>72.97</v>
      </c>
      <c r="Z350" s="337">
        <v>73.947000000000003</v>
      </c>
      <c r="AA350" s="367">
        <v>89.13</v>
      </c>
      <c r="AB350" s="367">
        <v>73.753200000000007</v>
      </c>
      <c r="AC350" s="636">
        <v>61.026000000000003</v>
      </c>
      <c r="AD350" s="367">
        <v>57.395200000000003</v>
      </c>
      <c r="AE350" s="357"/>
      <c r="AF350" s="358">
        <v>50</v>
      </c>
      <c r="AG350" s="354"/>
      <c r="AH350" s="359"/>
      <c r="AI350" s="360" t="s">
        <v>83</v>
      </c>
      <c r="AJ350" s="361" t="s">
        <v>574</v>
      </c>
      <c r="AK350" s="362" t="s">
        <v>2112</v>
      </c>
      <c r="AL350" s="358" t="s">
        <v>103</v>
      </c>
      <c r="AM350" s="349"/>
      <c r="AN350" s="349"/>
      <c r="AO350" s="349"/>
      <c r="AP350" s="349"/>
      <c r="AQ350" s="349"/>
      <c r="AR350" s="453"/>
      <c r="AS350" s="371" t="s">
        <v>103</v>
      </c>
      <c r="AT350" s="345"/>
      <c r="AU350" s="345"/>
      <c r="AV350" s="345"/>
      <c r="AW350" s="345"/>
      <c r="AX350" s="345"/>
      <c r="AY350" s="345"/>
      <c r="AZ350" s="345"/>
      <c r="BA350" s="345"/>
      <c r="BB350" s="345"/>
      <c r="BC350" s="345"/>
      <c r="BD350" s="345" t="s">
        <v>2113</v>
      </c>
      <c r="BE350" s="345"/>
      <c r="BF350" s="345"/>
      <c r="BG350" s="345"/>
      <c r="BH350" s="345"/>
      <c r="BI350" s="345"/>
      <c r="BJ350" s="364">
        <f>COUNTIF(AT350:BI350,"*OP*")</f>
        <v>0</v>
      </c>
      <c r="BK350" s="363" t="s">
        <v>103</v>
      </c>
      <c r="BL350" s="349">
        <f>(COUNTIF(AT350:AV350,"*OK*")*3) + (COUNTIF(AW350:AY350,"*OK*")*2) + COUNTIF(AZ350:BB350,"*OK*")+COUNTIF(BK350:BK350,"SI")*0.5</f>
        <v>0</v>
      </c>
      <c r="BM350" s="349" t="str">
        <f>IF(BL350&lt;0.6,"Demasiado Riesgo",IF(BL350&lt;=5,"Riesgo Medio",IF(BL350&lt;=11,"Riesgo Bajo","Cliente Blindado")))</f>
        <v>Demasiado Riesgo</v>
      </c>
      <c r="BN350" s="349"/>
      <c r="BO350" s="328"/>
      <c r="BP350" s="328">
        <v>0</v>
      </c>
      <c r="BQ350" s="328"/>
      <c r="BR350" s="328"/>
      <c r="BS350" s="328"/>
      <c r="BT350" s="328"/>
      <c r="BU350" s="328"/>
      <c r="BV350" s="328"/>
      <c r="BW350" s="328"/>
      <c r="BX350" s="328"/>
      <c r="BY350" s="328"/>
      <c r="BZ350" s="328"/>
      <c r="CA350" s="328"/>
      <c r="CB350" s="328"/>
      <c r="CC350" s="328"/>
      <c r="CD350" s="328"/>
      <c r="CE350" s="328"/>
      <c r="CF350" s="328"/>
      <c r="CG350" s="328"/>
      <c r="CH350" s="328"/>
      <c r="CI350" s="328"/>
      <c r="CJ350" s="328"/>
      <c r="CK350" s="328"/>
      <c r="CL350" s="328">
        <f>COUNTIF(AT350:BH350,"*OK*")</f>
        <v>1</v>
      </c>
      <c r="CM350" s="328"/>
      <c r="CN350" s="328">
        <f>COUNTIF(AT350:BH350,"*OP*")</f>
        <v>0</v>
      </c>
      <c r="CP350" s="448"/>
    </row>
    <row r="351" spans="1:94" ht="15" customHeight="1">
      <c r="A351" s="834">
        <v>24229</v>
      </c>
      <c r="B351" s="560" t="s">
        <v>2114</v>
      </c>
      <c r="C351" s="329">
        <f t="shared" si="7"/>
        <v>64.390699999999995</v>
      </c>
      <c r="D351" s="352">
        <f>COUNTIF(AT351:BH351,"*OK*")</f>
        <v>0</v>
      </c>
      <c r="E351" s="351" t="s">
        <v>439</v>
      </c>
      <c r="F351" s="351" t="s">
        <v>2115</v>
      </c>
      <c r="G351" s="416" t="s">
        <v>2116</v>
      </c>
      <c r="H351" s="650">
        <f>IF(LEN(TRIM($G351&amp;""))=0, $C351, SUMIF($G$3:$G$561, TRIM($G351), $C$3:$C$561))</f>
        <v>126.99279999999999</v>
      </c>
      <c r="I351" s="413" t="s">
        <v>562</v>
      </c>
      <c r="J351" s="437"/>
      <c r="K351" s="349"/>
      <c r="L351" s="349" t="str">
        <f>HYPERLINK("https://crm.zoho.com/crm/org685875245/tab/Accounts/3525045000293367099","https://crm.zoho.com/crm/org685875245/tab/Accounts/3525045000293367099")</f>
        <v>https://crm.zoho.com/crm/org685875245/tab/Accounts/3525045000293367099</v>
      </c>
      <c r="M351" s="553" t="s">
        <v>77</v>
      </c>
      <c r="N351" s="352"/>
      <c r="O351" s="540" t="s">
        <v>2117</v>
      </c>
      <c r="P351" s="540"/>
      <c r="Q351" s="540" t="s">
        <v>2118</v>
      </c>
      <c r="R351" s="352"/>
      <c r="S351" s="352"/>
      <c r="T351" s="351"/>
      <c r="U351" s="354" t="s">
        <v>82</v>
      </c>
      <c r="V351" s="355">
        <v>60.16</v>
      </c>
      <c r="W351" s="355">
        <v>56.35</v>
      </c>
      <c r="X351" s="355">
        <v>50.12</v>
      </c>
      <c r="Y351" s="356">
        <v>49.88</v>
      </c>
      <c r="Z351" s="337">
        <v>50.553699999999999</v>
      </c>
      <c r="AA351" s="338">
        <v>53.7</v>
      </c>
      <c r="AB351" s="338">
        <v>63.493400000000001</v>
      </c>
      <c r="AC351" s="634">
        <v>60.857100000000003</v>
      </c>
      <c r="AD351" s="338">
        <v>64.390699999999995</v>
      </c>
      <c r="AE351" s="357">
        <v>85</v>
      </c>
      <c r="AF351" s="358">
        <v>50</v>
      </c>
      <c r="AG351" s="354"/>
      <c r="AH351" s="359"/>
      <c r="AI351" s="360" t="s">
        <v>83</v>
      </c>
      <c r="AJ351" s="361" t="s">
        <v>396</v>
      </c>
      <c r="AK351" s="362" t="s">
        <v>2119</v>
      </c>
      <c r="AL351" s="358" t="s">
        <v>103</v>
      </c>
      <c r="AM351" s="349"/>
      <c r="AN351" s="349"/>
      <c r="AO351" s="349"/>
      <c r="AP351" s="349"/>
      <c r="AQ351" s="349"/>
      <c r="AR351" s="453"/>
      <c r="AS351" s="371" t="s">
        <v>88</v>
      </c>
      <c r="AT351" s="445"/>
      <c r="AU351" s="445"/>
      <c r="AV351" s="445"/>
      <c r="AW351" s="445"/>
      <c r="AX351" s="445"/>
      <c r="AY351" s="445"/>
      <c r="AZ351" s="445"/>
      <c r="BA351" s="445"/>
      <c r="BB351" s="445"/>
      <c r="BC351" s="445"/>
      <c r="BD351" s="445"/>
      <c r="BE351" s="445"/>
      <c r="BF351" s="445"/>
      <c r="BG351" s="445"/>
      <c r="BH351" s="445"/>
      <c r="BI351" s="445"/>
      <c r="BJ351" s="446">
        <f>COUNTIF(AT351:BI351,"*OP*")</f>
        <v>0</v>
      </c>
      <c r="BK351" s="363" t="s">
        <v>89</v>
      </c>
      <c r="BL351" s="349">
        <f>(COUNTIF(AT351:AV351,"*OK*")*3) + (COUNTIF(AW351:AY351,"*OK*")*2) + COUNTIF(AZ351:BB351,"*OK*")+COUNTIF(BK351:BK351,"SI")*0.5</f>
        <v>0</v>
      </c>
      <c r="BM351" s="349" t="str">
        <f>IF(BL351&lt;0.6,"Demasiado Riesgo",IF(BL351&lt;=5,"Riesgo Medio",IF(BL351&lt;=11,"Riesgo Bajo","Cliente Blindado")))</f>
        <v>Demasiado Riesgo</v>
      </c>
      <c r="BN351" s="349"/>
      <c r="BO351" s="349"/>
      <c r="BP351" s="349">
        <v>0</v>
      </c>
      <c r="BQ351" s="349"/>
      <c r="BR351" s="349"/>
      <c r="BS351" s="349"/>
      <c r="BT351" s="349"/>
      <c r="BU351" s="349"/>
      <c r="BV351" s="349"/>
      <c r="BW351" s="349"/>
      <c r="BX351" s="349"/>
      <c r="BY351" s="349"/>
      <c r="BZ351" s="349"/>
      <c r="CA351" s="349"/>
      <c r="CB351" s="349"/>
      <c r="CC351" s="349"/>
      <c r="CD351" s="349"/>
      <c r="CE351" s="349"/>
      <c r="CF351" s="349"/>
      <c r="CG351" s="349"/>
      <c r="CH351" s="349"/>
      <c r="CI351" s="349"/>
      <c r="CJ351" s="349"/>
      <c r="CK351" s="349"/>
      <c r="CL351" s="349">
        <f>COUNTIF(AT351:BH351,"*OK*")</f>
        <v>0</v>
      </c>
      <c r="CM351" s="349"/>
      <c r="CN351" s="349">
        <f>COUNTIF(AT351:BH351,"*OP*")</f>
        <v>0</v>
      </c>
    </row>
    <row r="352" spans="1:94" ht="15" customHeight="1">
      <c r="A352" s="837">
        <v>25478</v>
      </c>
      <c r="B352" s="560" t="s">
        <v>2120</v>
      </c>
      <c r="C352" s="329">
        <f t="shared" si="7"/>
        <v>49.833300000000001</v>
      </c>
      <c r="D352" s="352">
        <f>COUNTIF(AT352:BH352,"*OK*")</f>
        <v>0</v>
      </c>
      <c r="E352" s="331" t="s">
        <v>73</v>
      </c>
      <c r="F352" s="350" t="s">
        <v>2121</v>
      </c>
      <c r="G352" s="351"/>
      <c r="H352" s="650">
        <f>IF(LEN(TRIM($G352&amp;""))=0, $C352, SUMIF($G$3:$G$561, TRIM($G352), $C$3:$C$561))</f>
        <v>49.833300000000001</v>
      </c>
      <c r="I352" s="420" t="s">
        <v>562</v>
      </c>
      <c r="J352" s="351"/>
      <c r="K352" s="558"/>
      <c r="L352" s="558" t="str">
        <f>HYPERLINK("https://crm.zoho.com/crm/org685875245/tab/Accounts/3525045000326709486","https://crm.zoho.com/crm/org685875245/tab/Accounts/3525045000326709486")</f>
        <v>https://crm.zoho.com/crm/org685875245/tab/Accounts/3525045000326709486</v>
      </c>
      <c r="M352" s="553" t="s">
        <v>96</v>
      </c>
      <c r="N352" s="558" t="s">
        <v>2122</v>
      </c>
      <c r="O352" s="559" t="s">
        <v>2123</v>
      </c>
      <c r="P352" s="559" t="s">
        <v>2124</v>
      </c>
      <c r="Q352" s="559" t="s">
        <v>2125</v>
      </c>
      <c r="R352" s="558"/>
      <c r="S352" s="352"/>
      <c r="T352" s="351"/>
      <c r="U352" s="354" t="s">
        <v>82</v>
      </c>
      <c r="V352" s="355">
        <v>40.369999999999997</v>
      </c>
      <c r="W352" s="355">
        <v>40.33</v>
      </c>
      <c r="X352" s="355">
        <v>38.44</v>
      </c>
      <c r="Y352" s="356">
        <v>39.67</v>
      </c>
      <c r="Z352" s="337">
        <v>54.4343</v>
      </c>
      <c r="AA352" s="365">
        <v>51.59</v>
      </c>
      <c r="AB352" s="365">
        <v>49.767200000000003</v>
      </c>
      <c r="AC352" s="635">
        <v>59.897100000000002</v>
      </c>
      <c r="AD352" s="365">
        <v>49.833300000000001</v>
      </c>
      <c r="AE352" s="357">
        <v>26</v>
      </c>
      <c r="AF352" s="358">
        <v>100</v>
      </c>
      <c r="AG352" s="354"/>
      <c r="AH352" s="359"/>
      <c r="AI352" s="360" t="s">
        <v>83</v>
      </c>
      <c r="AJ352" s="361" t="s">
        <v>150</v>
      </c>
      <c r="AK352" s="362" t="s">
        <v>2126</v>
      </c>
      <c r="AL352" s="358" t="s">
        <v>2127</v>
      </c>
      <c r="AM352" s="349"/>
      <c r="AN352" s="349"/>
      <c r="AO352" s="349"/>
      <c r="AP352" s="349"/>
      <c r="AQ352" s="349"/>
      <c r="AR352" s="453"/>
      <c r="AS352" s="371" t="s">
        <v>103</v>
      </c>
      <c r="AT352" s="345"/>
      <c r="AU352" s="345"/>
      <c r="AV352" s="345"/>
      <c r="AW352" s="345"/>
      <c r="AX352" s="345"/>
      <c r="AY352" s="345"/>
      <c r="AZ352" s="345"/>
      <c r="BA352" s="345"/>
      <c r="BB352" s="345"/>
      <c r="BC352" s="345"/>
      <c r="BD352" s="345"/>
      <c r="BE352" s="345"/>
      <c r="BF352" s="345"/>
      <c r="BG352" s="345"/>
      <c r="BH352" s="345"/>
      <c r="BI352" s="345"/>
      <c r="BJ352" s="364">
        <f>COUNTIF(AT352:BI352,"*OP*")</f>
        <v>0</v>
      </c>
      <c r="BK352" s="363" t="s">
        <v>103</v>
      </c>
      <c r="BL352" s="349">
        <f>(COUNTIF(AT352:AV352,"*OK*")*3) + (COUNTIF(AW352:AY352,"*OK*")*2) + COUNTIF(AZ352:BB352,"*OK*")+COUNTIF(BK352:BK352,"SI")*0.5</f>
        <v>0</v>
      </c>
      <c r="BM352" s="349" t="str">
        <f>IF(BL352&lt;0.6,"Demasiado Riesgo",IF(BL352&lt;=5,"Riesgo Medio",IF(BL352&lt;=11,"Riesgo Bajo","Cliente Blindado")))</f>
        <v>Demasiado Riesgo</v>
      </c>
      <c r="BN352" s="349"/>
      <c r="BO352" s="328"/>
      <c r="BP352" s="328">
        <v>0</v>
      </c>
      <c r="BQ352" s="328"/>
      <c r="BR352" s="328"/>
      <c r="BS352" s="328"/>
      <c r="BT352" s="328"/>
      <c r="BU352" s="328"/>
      <c r="BV352" s="328"/>
      <c r="BW352" s="328"/>
      <c r="BX352" s="328"/>
      <c r="BY352" s="328"/>
      <c r="BZ352" s="328"/>
      <c r="CA352" s="328"/>
      <c r="CB352" s="328"/>
      <c r="CC352" s="328"/>
      <c r="CD352" s="328"/>
      <c r="CE352" s="328"/>
      <c r="CF352" s="328"/>
      <c r="CG352" s="328"/>
      <c r="CH352" s="328"/>
      <c r="CI352" s="328"/>
      <c r="CJ352" s="328"/>
      <c r="CK352" s="328"/>
      <c r="CL352" s="328">
        <f>COUNTIF(AT352:BH352,"*OK*")</f>
        <v>0</v>
      </c>
      <c r="CM352" s="328"/>
      <c r="CN352" s="328">
        <f>COUNTIF(AT352:BH352,"*OP*")</f>
        <v>0</v>
      </c>
    </row>
    <row r="353" spans="1:94" ht="15" customHeight="1">
      <c r="A353" s="834"/>
      <c r="B353" s="560"/>
      <c r="C353" s="329">
        <f t="shared" si="7"/>
        <v>82.781499999999994</v>
      </c>
      <c r="D353" s="332">
        <f>COUNTIF(AX353:BI353,"OK")</f>
        <v>0</v>
      </c>
      <c r="E353" s="349" t="s">
        <v>782</v>
      </c>
      <c r="F353" s="376" t="s">
        <v>2128</v>
      </c>
      <c r="G353" s="376"/>
      <c r="H353" s="650">
        <f>IF(LEN(TRIM($G353&amp;""))=0, $C353, SUMIF($G$3:$G$561, TRIM($G353), $C$3:$C$561))</f>
        <v>82.781499999999994</v>
      </c>
      <c r="I353" s="376"/>
      <c r="J353" s="328"/>
      <c r="K353" s="328"/>
      <c r="L353" s="328" t="str">
        <f>HYPERLINK("https://crm.zoho.com/crm/org685875245/tab/Accounts/3525045000639884293","https://crm.zoho.com/crm/org685875245/tab/Accounts/3525045000639884293")</f>
        <v>https://crm.zoho.com/crm/org685875245/tab/Accounts/3525045000639884293</v>
      </c>
      <c r="M353" s="391"/>
      <c r="N353" s="332"/>
      <c r="O353" s="541"/>
      <c r="P353" s="541"/>
      <c r="Q353" s="541"/>
      <c r="R353" s="332"/>
      <c r="S353" s="332"/>
      <c r="T353" s="328"/>
      <c r="U353" s="344"/>
      <c r="V353" s="388"/>
      <c r="W353" s="377"/>
      <c r="X353" s="377"/>
      <c r="Y353" s="527"/>
      <c r="Z353" s="515"/>
      <c r="AA353" s="528"/>
      <c r="AB353" s="528">
        <v>57.619599999999998</v>
      </c>
      <c r="AC353" s="633">
        <v>59.089700000000001</v>
      </c>
      <c r="AD353" s="528">
        <v>82.781499999999994</v>
      </c>
      <c r="AE353" s="327"/>
      <c r="AF353" s="372" t="s">
        <v>103</v>
      </c>
      <c r="AG353" s="344"/>
      <c r="AH353" s="328"/>
      <c r="AI353" s="343"/>
      <c r="AJ353" s="343"/>
      <c r="AK353" s="344"/>
      <c r="AL353" s="372" t="s">
        <v>103</v>
      </c>
      <c r="AM353" s="328"/>
      <c r="AN353" s="328"/>
      <c r="AO353" s="328"/>
      <c r="AP353" s="328"/>
      <c r="AQ353" s="328"/>
      <c r="AR353" s="451"/>
      <c r="AS353" s="444"/>
      <c r="AT353" s="445"/>
      <c r="AU353" s="445"/>
      <c r="AV353" s="445"/>
      <c r="AW353" s="445"/>
      <c r="AX353" s="445"/>
      <c r="AY353" s="445"/>
      <c r="AZ353" s="445"/>
      <c r="BA353" s="445"/>
      <c r="BB353" s="445"/>
      <c r="BC353" s="445"/>
      <c r="BD353" s="445"/>
      <c r="BE353" s="445"/>
      <c r="BF353" s="445"/>
      <c r="BG353" s="445"/>
      <c r="BH353" s="445"/>
      <c r="BI353" s="445"/>
      <c r="BJ353" s="446">
        <f>COUNTIF(AT353:BI353,"*OP*")</f>
        <v>0</v>
      </c>
      <c r="BK353" s="447"/>
      <c r="BL353" s="328">
        <f>(COUNTIF(AT353:AV353,"*OK*")*3) + (COUNTIF(AW353:AY353,"*OK*")*2) + COUNTIF(AZ353:BB353,"*OK*")+COUNTIF(BK353:BK353,"SI")*0.5</f>
        <v>0</v>
      </c>
      <c r="BM353" s="328" t="str">
        <f>IF(BL353&lt;0.6,"Demasiado Riesgo",IF(BL353&lt;=5,"Riesgo Medio",IF(BL353&lt;=11,"Riesgo Bajo","Cliente Blindado")))</f>
        <v>Demasiado Riesgo</v>
      </c>
      <c r="BN353" s="328"/>
      <c r="BO353" s="328"/>
      <c r="BP353" s="328"/>
      <c r="BQ353" s="328"/>
      <c r="BR353" s="328"/>
      <c r="BS353" s="328"/>
      <c r="BT353" s="328"/>
      <c r="BU353" s="328"/>
      <c r="BV353" s="328"/>
      <c r="BW353" s="328"/>
      <c r="BX353" s="328"/>
      <c r="BY353" s="328"/>
      <c r="BZ353" s="328"/>
      <c r="CA353" s="328"/>
      <c r="CB353" s="328"/>
      <c r="CC353" s="328"/>
      <c r="CD353" s="328"/>
      <c r="CE353" s="328"/>
      <c r="CF353" s="328"/>
      <c r="CG353" s="328"/>
      <c r="CH353" s="328"/>
      <c r="CI353" s="328"/>
      <c r="CJ353" s="328"/>
      <c r="CK353" s="328"/>
      <c r="CL353" s="328">
        <f>COUNTIF(AT353:BH353,"*OK*")</f>
        <v>0</v>
      </c>
    </row>
    <row r="354" spans="1:94" ht="15" customHeight="1">
      <c r="A354" s="834">
        <v>23119</v>
      </c>
      <c r="B354" s="560" t="s">
        <v>2129</v>
      </c>
      <c r="C354" s="329">
        <f t="shared" si="7"/>
        <v>55.187600000000003</v>
      </c>
      <c r="D354" s="332">
        <f>COUNTIF(AT354:BH354,"*OK*")</f>
        <v>0</v>
      </c>
      <c r="E354" s="331" t="s">
        <v>782</v>
      </c>
      <c r="F354" s="331" t="s">
        <v>2130</v>
      </c>
      <c r="G354" s="331"/>
      <c r="H354" s="650">
        <f>IF(LEN(TRIM($G354&amp;""))=0, $C354, SUMIF($G$3:$G$561, TRIM($G354), $C$3:$C$561))</f>
        <v>55.187600000000003</v>
      </c>
      <c r="I354" s="331" t="s">
        <v>562</v>
      </c>
      <c r="J354" s="331"/>
      <c r="K354" s="328"/>
      <c r="L354" s="328" t="str">
        <f>HYPERLINK("https://crm.zoho.com/crm/org685875245/tab/Accounts/3525045000250739118","https://crm.zoho.com/crm/org685875245/tab/Accounts/3525045000250739118")</f>
        <v>https://crm.zoho.com/crm/org685875245/tab/Accounts/3525045000250739118</v>
      </c>
      <c r="M354" s="391"/>
      <c r="N354" s="332"/>
      <c r="O354" s="541" t="s">
        <v>2131</v>
      </c>
      <c r="P354" s="541" t="s">
        <v>2132</v>
      </c>
      <c r="Q354" s="541" t="s">
        <v>2133</v>
      </c>
      <c r="R354" s="332"/>
      <c r="S354" s="332"/>
      <c r="T354" s="331"/>
      <c r="U354" s="344" t="s">
        <v>902</v>
      </c>
      <c r="V354" s="335">
        <v>58</v>
      </c>
      <c r="W354" s="335">
        <v>57.95</v>
      </c>
      <c r="X354" s="335">
        <v>55.23</v>
      </c>
      <c r="Y354" s="336">
        <v>57</v>
      </c>
      <c r="Z354" s="337">
        <v>57.771099999999997</v>
      </c>
      <c r="AA354" s="347">
        <v>57.14</v>
      </c>
      <c r="AB354" s="347">
        <v>57.619599999999998</v>
      </c>
      <c r="AC354" s="638">
        <v>58.678899999999999</v>
      </c>
      <c r="AD354" s="347">
        <v>55.187600000000003</v>
      </c>
      <c r="AE354" s="339">
        <v>22</v>
      </c>
      <c r="AF354" s="340">
        <v>50</v>
      </c>
      <c r="AG354" s="334"/>
      <c r="AH354" s="341"/>
      <c r="AI354" s="418" t="s">
        <v>83</v>
      </c>
      <c r="AJ354" s="343" t="s">
        <v>143</v>
      </c>
      <c r="AK354" s="344" t="s">
        <v>2134</v>
      </c>
      <c r="AL354" s="340" t="s">
        <v>1140</v>
      </c>
      <c r="AM354" s="328"/>
      <c r="AN354" s="328"/>
      <c r="AO354" s="328"/>
      <c r="AP354" s="328"/>
      <c r="AQ354" s="328"/>
      <c r="AR354" s="451"/>
      <c r="AS354" s="344" t="s">
        <v>103</v>
      </c>
      <c r="AT354" s="345"/>
      <c r="AU354" s="345"/>
      <c r="AV354" s="345"/>
      <c r="AW354" s="345"/>
      <c r="AX354" s="345"/>
      <c r="AY354" s="345"/>
      <c r="AZ354" s="345"/>
      <c r="BA354" s="345"/>
      <c r="BB354" s="345"/>
      <c r="BC354" s="345"/>
      <c r="BD354" s="345"/>
      <c r="BE354" s="345"/>
      <c r="BF354" s="345"/>
      <c r="BG354" s="345"/>
      <c r="BH354" s="345"/>
      <c r="BI354" s="345"/>
      <c r="BJ354" s="364">
        <f>COUNTIF(AT354:BI354,"*OP*")</f>
        <v>0</v>
      </c>
      <c r="BK354" s="344" t="s">
        <v>103</v>
      </c>
      <c r="BL354" s="328">
        <f>(COUNTIF(AT354:AV354,"*OK*")*3) + (COUNTIF(AW354:AY354,"*OK*")*2) + COUNTIF(AZ354:BB354,"*OK*")+COUNTIF(BK354:BK354,"SI")*0.5</f>
        <v>0</v>
      </c>
      <c r="BM354" s="328" t="str">
        <f>IF(BL354&lt;0.6,"Demasiado Riesgo",IF(BL354&lt;=5,"Riesgo Medio",IF(BL354&lt;=11,"Riesgo Bajo","Cliente Blindado")))</f>
        <v>Demasiado Riesgo</v>
      </c>
      <c r="BN354" s="328"/>
      <c r="BO354" s="328"/>
      <c r="BP354" s="328">
        <v>0</v>
      </c>
      <c r="BQ354" s="328"/>
      <c r="BR354" s="328"/>
      <c r="BS354" s="328"/>
      <c r="BT354" s="328"/>
      <c r="BU354" s="328"/>
      <c r="BV354" s="328"/>
      <c r="BW354" s="328"/>
      <c r="BX354" s="328"/>
      <c r="BY354" s="328"/>
      <c r="BZ354" s="328"/>
      <c r="CA354" s="328"/>
      <c r="CB354" s="328"/>
      <c r="CC354" s="328"/>
      <c r="CD354" s="328"/>
      <c r="CE354" s="328"/>
      <c r="CF354" s="328"/>
      <c r="CG354" s="328"/>
      <c r="CH354" s="328"/>
      <c r="CI354" s="328"/>
      <c r="CJ354" s="328"/>
      <c r="CK354" s="328"/>
      <c r="CL354" s="328">
        <f>COUNTIF(AT354:BH354,"*OK*")</f>
        <v>0</v>
      </c>
      <c r="CM354" s="328"/>
      <c r="CN354" s="328">
        <f>COUNTIF(AT354:BH354,"*OP*")</f>
        <v>0</v>
      </c>
    </row>
    <row r="355" spans="1:94" ht="15" customHeight="1">
      <c r="A355" s="835"/>
      <c r="B355" s="560"/>
      <c r="C355" s="329">
        <f t="shared" si="7"/>
        <v>114.6247</v>
      </c>
      <c r="D355" s="352">
        <f>COUNTIF(AX355:BI355,"OK")</f>
        <v>0</v>
      </c>
      <c r="E355" s="349" t="s">
        <v>782</v>
      </c>
      <c r="F355" s="368" t="s">
        <v>2135</v>
      </c>
      <c r="G355" s="368"/>
      <c r="H355" s="650">
        <f>IF(LEN(TRIM($G355&amp;""))=0, $C355, SUMIF($G$3:$G$561, TRIM($G355), $C$3:$C$561))</f>
        <v>114.6247</v>
      </c>
      <c r="I355" s="368"/>
      <c r="J355" s="349"/>
      <c r="K355" s="349"/>
      <c r="L355" s="349" t="str">
        <f>HYPERLINK("https://crm.zoho.com/crm/org685875245/tab/Accounts/3525045000618029667","https://crm.zoho.com/crm/org685875245/tab/Accounts/3525045000618029667")</f>
        <v>https://crm.zoho.com/crm/org685875245/tab/Accounts/3525045000618029667</v>
      </c>
      <c r="M355" s="553"/>
      <c r="N355" s="352"/>
      <c r="O355" s="540"/>
      <c r="P355" s="540"/>
      <c r="Q355" s="540"/>
      <c r="R355" s="352"/>
      <c r="S355" s="352"/>
      <c r="T355" s="349"/>
      <c r="U355" s="362"/>
      <c r="V355" s="387"/>
      <c r="W355" s="381"/>
      <c r="X355" s="381"/>
      <c r="Y355" s="627"/>
      <c r="Z355" s="629"/>
      <c r="AA355" s="662"/>
      <c r="AB355" s="662">
        <v>57.619599999999998</v>
      </c>
      <c r="AC355" s="663">
        <v>58.678899999999999</v>
      </c>
      <c r="AD355" s="662">
        <v>114.6247</v>
      </c>
      <c r="AE355" s="348"/>
      <c r="AF355" s="371" t="s">
        <v>103</v>
      </c>
      <c r="AG355" s="362"/>
      <c r="AH355" s="349"/>
      <c r="AI355" s="361"/>
      <c r="AJ355" s="361"/>
      <c r="AK355" s="362"/>
      <c r="AL355" s="371" t="s">
        <v>103</v>
      </c>
      <c r="AM355" s="349"/>
      <c r="AN355" s="349"/>
      <c r="AO355" s="349"/>
      <c r="AP355" s="349"/>
      <c r="AQ355" s="349"/>
      <c r="AR355" s="453"/>
      <c r="AS355" s="453"/>
      <c r="AT355" s="445"/>
      <c r="AU355" s="445"/>
      <c r="AV355" s="445"/>
      <c r="AW355" s="445"/>
      <c r="AX355" s="445"/>
      <c r="AY355" s="738"/>
      <c r="AZ355" s="445"/>
      <c r="BA355" s="445"/>
      <c r="BB355" s="445"/>
      <c r="BC355" s="445"/>
      <c r="BD355" s="445"/>
      <c r="BE355" s="445"/>
      <c r="BF355" s="445"/>
      <c r="BG355" s="445"/>
      <c r="BH355" s="445"/>
      <c r="BI355" s="445"/>
      <c r="BJ355" s="290">
        <f>COUNTIF(AT355:BI355,"*OP*")</f>
        <v>0</v>
      </c>
      <c r="BK355" s="453"/>
      <c r="BL355" s="349">
        <f>(COUNTIF(AT355:AV355,"*OK*")*3) + (COUNTIF(AW355:AY355,"*OK*")*2) + COUNTIF(AZ355:BB355,"*OK*")+COUNTIF(BK355:BK355,"SI")*0.5</f>
        <v>0</v>
      </c>
      <c r="BM355" s="349" t="str">
        <f>IF(BL355&lt;0.6,"Demasiado Riesgo",IF(BL355&lt;=5,"Riesgo Medio",IF(BL355&lt;=11,"Riesgo Bajo","Cliente Blindado")))</f>
        <v>Demasiado Riesgo</v>
      </c>
      <c r="BN355" s="349"/>
      <c r="BO355" s="349"/>
      <c r="BP355" s="349"/>
      <c r="BQ355" s="349"/>
      <c r="BR355" s="349"/>
      <c r="BS355" s="349"/>
      <c r="BT355" s="349"/>
      <c r="BU355" s="349"/>
      <c r="BV355" s="349"/>
      <c r="BW355" s="349"/>
      <c r="BX355" s="349"/>
      <c r="BY355" s="349"/>
      <c r="BZ355" s="349"/>
      <c r="CA355" s="349"/>
      <c r="CB355" s="349"/>
      <c r="CC355" s="349"/>
      <c r="CD355" s="349"/>
      <c r="CE355" s="349"/>
      <c r="CF355" s="349"/>
      <c r="CG355" s="349"/>
      <c r="CH355" s="349"/>
      <c r="CI355" s="349"/>
      <c r="CJ355" s="349"/>
      <c r="CK355" s="349"/>
      <c r="CL355" s="349">
        <f>COUNTIF(AT355:BH355,"*OK*")</f>
        <v>0</v>
      </c>
      <c r="CO355" s="425"/>
    </row>
    <row r="356" spans="1:94" ht="15" customHeight="1">
      <c r="A356" s="835">
        <v>36100</v>
      </c>
      <c r="B356" s="560" t="s">
        <v>2136</v>
      </c>
      <c r="C356" s="329">
        <f t="shared" si="7"/>
        <v>55.187600000000003</v>
      </c>
      <c r="D356" s="352">
        <f>COUNTIF(AT356:BH356,"*OK*")</f>
        <v>0</v>
      </c>
      <c r="E356" s="331" t="s">
        <v>782</v>
      </c>
      <c r="F356" s="351" t="s">
        <v>2137</v>
      </c>
      <c r="G356" s="351"/>
      <c r="H356" s="650">
        <f>IF(LEN(TRIM($G356&amp;""))=0, $C356, SUMIF($G$3:$G$561, TRIM($G356), $C$3:$C$561))</f>
        <v>55.187600000000003</v>
      </c>
      <c r="I356" s="353" t="s">
        <v>562</v>
      </c>
      <c r="J356" s="351"/>
      <c r="K356" s="349"/>
      <c r="L356" s="349" t="str">
        <f>HYPERLINK("https://crm.zoho.com/crm/org685875245/tab/Accounts/3525045000584897633","https://crm.zoho.com/crm/org685875245/tab/Accounts/3525045000584897633")</f>
        <v>https://crm.zoho.com/crm/org685875245/tab/Accounts/3525045000584897633</v>
      </c>
      <c r="M356" s="553"/>
      <c r="N356" s="352"/>
      <c r="O356" s="540" t="s">
        <v>2138</v>
      </c>
      <c r="P356" s="540" t="s">
        <v>2139</v>
      </c>
      <c r="Q356" s="540" t="s">
        <v>2140</v>
      </c>
      <c r="R356" s="352"/>
      <c r="S356" s="352"/>
      <c r="T356" s="351"/>
      <c r="U356" s="362" t="s">
        <v>585</v>
      </c>
      <c r="V356" s="355"/>
      <c r="W356" s="355">
        <v>57.95</v>
      </c>
      <c r="X356" s="355">
        <v>55.23</v>
      </c>
      <c r="Y356" s="356">
        <v>57</v>
      </c>
      <c r="Z356" s="337">
        <v>57.771099999999997</v>
      </c>
      <c r="AA356" s="365">
        <v>57.14</v>
      </c>
      <c r="AB356" s="365">
        <v>57.619599999999998</v>
      </c>
      <c r="AC356" s="635">
        <v>58.678899999999999</v>
      </c>
      <c r="AD356" s="365">
        <v>55.187600000000003</v>
      </c>
      <c r="AE356" s="357">
        <v>4</v>
      </c>
      <c r="AF356" s="358">
        <v>50</v>
      </c>
      <c r="AG356" s="354"/>
      <c r="AH356" s="359"/>
      <c r="AI356" s="360" t="s">
        <v>83</v>
      </c>
      <c r="AJ356" s="361" t="s">
        <v>199</v>
      </c>
      <c r="AK356" s="362" t="s">
        <v>2141</v>
      </c>
      <c r="AL356" s="358" t="s">
        <v>103</v>
      </c>
      <c r="AM356" s="349"/>
      <c r="AN356" s="349"/>
      <c r="AO356" s="349"/>
      <c r="AP356" s="349"/>
      <c r="AQ356" s="349"/>
      <c r="AR356" s="453"/>
      <c r="AS356" s="362" t="s">
        <v>103</v>
      </c>
      <c r="AT356" s="345"/>
      <c r="AU356" s="345"/>
      <c r="AV356" s="345"/>
      <c r="AW356" s="345"/>
      <c r="AX356" s="345"/>
      <c r="AY356" s="345"/>
      <c r="AZ356" s="345"/>
      <c r="BA356" s="594"/>
      <c r="BB356" s="345"/>
      <c r="BC356" s="345"/>
      <c r="BD356" s="345"/>
      <c r="BE356" s="345"/>
      <c r="BF356" s="345"/>
      <c r="BG356" s="345"/>
      <c r="BH356" s="345"/>
      <c r="BI356" s="345"/>
      <c r="BJ356" s="346">
        <f>COUNTIF(AT356:BI356,"*OP*")</f>
        <v>0</v>
      </c>
      <c r="BK356" s="362" t="s">
        <v>103</v>
      </c>
      <c r="BL356" s="349">
        <f>(COUNTIF(AT356:AV356,"*OK*")*3) + (COUNTIF(AW356:AY356,"*OK*")*2) + COUNTIF(AZ356:BB356,"*OK*")+COUNTIF(BK356:BK356,"SI")*0.5</f>
        <v>0</v>
      </c>
      <c r="BM356" s="349" t="str">
        <f>IF(BL356&lt;0.6,"Demasiado Riesgo",IF(BL356&lt;=5,"Riesgo Medio",IF(BL356&lt;=11,"Riesgo Bajo","Cliente Blindado")))</f>
        <v>Demasiado Riesgo</v>
      </c>
      <c r="BN356" s="349"/>
      <c r="BO356" s="349"/>
      <c r="BP356" s="349">
        <v>0</v>
      </c>
      <c r="BQ356" s="349"/>
      <c r="BR356" s="349"/>
      <c r="BS356" s="349"/>
      <c r="BT356" s="349"/>
      <c r="BU356" s="349"/>
      <c r="BV356" s="349"/>
      <c r="BW356" s="349"/>
      <c r="BX356" s="349"/>
      <c r="BY356" s="349"/>
      <c r="BZ356" s="349"/>
      <c r="CA356" s="349"/>
      <c r="CB356" s="349"/>
      <c r="CC356" s="349"/>
      <c r="CD356" s="349"/>
      <c r="CE356" s="349"/>
      <c r="CF356" s="349"/>
      <c r="CG356" s="349"/>
      <c r="CH356" s="349"/>
      <c r="CI356" s="349"/>
      <c r="CJ356" s="349"/>
      <c r="CK356" s="349"/>
      <c r="CL356" s="349">
        <f>COUNTIF(AT356:BH356,"*OK*")</f>
        <v>0</v>
      </c>
      <c r="CM356" s="349"/>
      <c r="CN356" s="349">
        <f>COUNTIF(AT356:BH356,"*OP*")</f>
        <v>0</v>
      </c>
    </row>
    <row r="357" spans="1:94" ht="15" customHeight="1">
      <c r="A357" s="835">
        <v>22145</v>
      </c>
      <c r="B357" s="560" t="s">
        <v>2142</v>
      </c>
      <c r="C357" s="329">
        <f t="shared" si="7"/>
        <v>55.049700000000001</v>
      </c>
      <c r="D357" s="352">
        <f>COUNTIF(AT357:BH357,"*OK*")</f>
        <v>0</v>
      </c>
      <c r="E357" s="331" t="s">
        <v>782</v>
      </c>
      <c r="F357" s="351" t="s">
        <v>2143</v>
      </c>
      <c r="G357" s="351"/>
      <c r="H357" s="650">
        <f>IF(LEN(TRIM($G357&amp;""))=0, $C357, SUMIF($G$3:$G$561, TRIM($G357), $C$3:$C$561))</f>
        <v>55.049700000000001</v>
      </c>
      <c r="I357" s="351" t="s">
        <v>562</v>
      </c>
      <c r="J357" s="351"/>
      <c r="K357" s="349"/>
      <c r="L357" s="349"/>
      <c r="M357" s="553"/>
      <c r="N357" s="352"/>
      <c r="O357" s="540" t="s">
        <v>78</v>
      </c>
      <c r="P357" s="540"/>
      <c r="Q357" s="540" t="s">
        <v>2144</v>
      </c>
      <c r="R357" s="352"/>
      <c r="S357" s="352"/>
      <c r="T357" s="351"/>
      <c r="U357" s="362" t="s">
        <v>82</v>
      </c>
      <c r="V357" s="355">
        <v>57.86</v>
      </c>
      <c r="W357" s="355">
        <v>57.81</v>
      </c>
      <c r="X357" s="355">
        <v>55.09</v>
      </c>
      <c r="Y357" s="356">
        <v>56.86</v>
      </c>
      <c r="Z357" s="337">
        <v>57.626600000000003</v>
      </c>
      <c r="AA357" s="365">
        <v>56.99</v>
      </c>
      <c r="AB357" s="365">
        <v>57.4756</v>
      </c>
      <c r="AC357" s="635">
        <v>58.532200000000003</v>
      </c>
      <c r="AD357" s="365">
        <v>55.049700000000001</v>
      </c>
      <c r="AE357" s="357">
        <v>36</v>
      </c>
      <c r="AF357" s="358">
        <v>200</v>
      </c>
      <c r="AG357" s="354"/>
      <c r="AH357" s="359"/>
      <c r="AI357" s="361" t="s">
        <v>507</v>
      </c>
      <c r="AJ357" s="361" t="s">
        <v>130</v>
      </c>
      <c r="AK357" s="362" t="s">
        <v>2145</v>
      </c>
      <c r="AL357" s="358" t="s">
        <v>103</v>
      </c>
      <c r="AM357" s="349"/>
      <c r="AN357" s="349"/>
      <c r="AO357" s="349"/>
      <c r="AP357" s="349"/>
      <c r="AQ357" s="349"/>
      <c r="AR357" s="453"/>
      <c r="AS357" s="363" t="s">
        <v>103</v>
      </c>
      <c r="AT357" s="445"/>
      <c r="AU357" s="445"/>
      <c r="AV357" s="738"/>
      <c r="AW357" s="445"/>
      <c r="AX357" s="445"/>
      <c r="AY357" s="445"/>
      <c r="AZ357" s="445"/>
      <c r="BA357" s="445"/>
      <c r="BB357" s="445"/>
      <c r="BC357" s="445"/>
      <c r="BD357" s="445"/>
      <c r="BE357" s="445"/>
      <c r="BF357" s="445"/>
      <c r="BG357" s="445"/>
      <c r="BH357" s="445"/>
      <c r="BI357" s="445"/>
      <c r="BJ357" s="290">
        <f>COUNTIF(AT357:BI357,"*OP*")</f>
        <v>0</v>
      </c>
      <c r="BK357" s="363" t="s">
        <v>103</v>
      </c>
      <c r="BL357" s="349">
        <f>(COUNTIF(AT357:AV357,"*OK*")*3) + (COUNTIF(AW357:AY357,"*OK*")*2) + COUNTIF(AZ357:BB357,"*OK*")+COUNTIF(BK357:BK357,"SI")*0.5</f>
        <v>0</v>
      </c>
      <c r="BM357" s="349" t="str">
        <f>IF(BL357&lt;0.6,"Demasiado Riesgo",IF(BL357&lt;=5,"Riesgo Medio",IF(BL357&lt;=11,"Riesgo Bajo","Cliente Blindado")))</f>
        <v>Demasiado Riesgo</v>
      </c>
      <c r="BN357" s="349"/>
      <c r="BO357" s="349"/>
      <c r="BP357" s="349">
        <v>0</v>
      </c>
      <c r="BQ357" s="349"/>
      <c r="BR357" s="349"/>
      <c r="BS357" s="349"/>
      <c r="BT357" s="349"/>
      <c r="BU357" s="349"/>
      <c r="BV357" s="349"/>
      <c r="BW357" s="349"/>
      <c r="BX357" s="349"/>
      <c r="BY357" s="349"/>
      <c r="BZ357" s="349"/>
      <c r="CA357" s="349"/>
      <c r="CB357" s="349"/>
      <c r="CC357" s="349"/>
      <c r="CD357" s="349"/>
      <c r="CE357" s="349"/>
      <c r="CF357" s="349"/>
      <c r="CG357" s="349"/>
      <c r="CH357" s="349"/>
      <c r="CI357" s="349"/>
      <c r="CJ357" s="349"/>
      <c r="CK357" s="349"/>
      <c r="CL357" s="349">
        <f>COUNTIF(AT357:BH357,"*OK*")</f>
        <v>0</v>
      </c>
      <c r="CM357" s="349"/>
      <c r="CN357" s="349">
        <f>COUNTIF(AT357:BH357,"*OP*")</f>
        <v>0</v>
      </c>
    </row>
    <row r="358" spans="1:94" ht="15" customHeight="1">
      <c r="A358" s="835">
        <v>6508</v>
      </c>
      <c r="B358" s="560" t="s">
        <v>2146</v>
      </c>
      <c r="C358" s="329">
        <f t="shared" si="7"/>
        <v>54.938200000000002</v>
      </c>
      <c r="D358" s="352">
        <f>COUNTIF(AT358:BH358,"*OK*")</f>
        <v>0</v>
      </c>
      <c r="E358" s="331" t="s">
        <v>73</v>
      </c>
      <c r="F358" s="351" t="s">
        <v>2147</v>
      </c>
      <c r="G358" s="368" t="s">
        <v>1821</v>
      </c>
      <c r="H358" s="650">
        <f>IF(LEN(TRIM($G358&amp;""))=0, $C358, SUMIF($G$3:$G$561, TRIM($G358), $C$3:$C$561))</f>
        <v>152.755</v>
      </c>
      <c r="I358" s="353" t="s">
        <v>562</v>
      </c>
      <c r="J358" s="351"/>
      <c r="K358" s="558"/>
      <c r="L358" s="558"/>
      <c r="M358" s="553"/>
      <c r="N358" s="558"/>
      <c r="O358" s="559"/>
      <c r="P358" s="559"/>
      <c r="Q358" s="559"/>
      <c r="R358" s="558"/>
      <c r="S358" s="352"/>
      <c r="T358" s="351"/>
      <c r="U358" s="354" t="s">
        <v>82</v>
      </c>
      <c r="V358" s="355">
        <v>46.48</v>
      </c>
      <c r="W358" s="355">
        <v>44.67</v>
      </c>
      <c r="X358" s="355">
        <v>39.89</v>
      </c>
      <c r="Y358" s="356">
        <v>56.75</v>
      </c>
      <c r="Z358" s="337">
        <v>57.51</v>
      </c>
      <c r="AA358" s="365">
        <v>56.88</v>
      </c>
      <c r="AB358" s="365">
        <v>57.359200000000001</v>
      </c>
      <c r="AC358" s="635">
        <v>58.413699999999999</v>
      </c>
      <c r="AD358" s="365">
        <v>54.938200000000002</v>
      </c>
      <c r="AE358" s="357">
        <v>276</v>
      </c>
      <c r="AF358" s="358">
        <v>100</v>
      </c>
      <c r="AG358" s="354"/>
      <c r="AH358" s="359"/>
      <c r="AI358" s="360" t="s">
        <v>83</v>
      </c>
      <c r="AJ358" s="361" t="s">
        <v>150</v>
      </c>
      <c r="AK358" s="362" t="s">
        <v>2148</v>
      </c>
      <c r="AL358" s="358" t="s">
        <v>103</v>
      </c>
      <c r="AM358" s="349"/>
      <c r="AN358" s="349"/>
      <c r="AO358" s="349"/>
      <c r="AP358" s="349"/>
      <c r="AQ358" s="349"/>
      <c r="AR358" s="453"/>
      <c r="AS358" s="371" t="s">
        <v>103</v>
      </c>
      <c r="AT358" s="345"/>
      <c r="AU358" s="345"/>
      <c r="AV358" s="345"/>
      <c r="AW358" s="345"/>
      <c r="AX358" s="345"/>
      <c r="AY358" s="345"/>
      <c r="AZ358" s="345"/>
      <c r="BA358" s="345"/>
      <c r="BB358" s="345"/>
      <c r="BC358" s="345"/>
      <c r="BD358" s="345"/>
      <c r="BE358" s="345"/>
      <c r="BF358" s="345"/>
      <c r="BG358" s="345"/>
      <c r="BH358" s="345"/>
      <c r="BI358" s="345"/>
      <c r="BJ358" s="364">
        <f>COUNTIF(AT358:BI358,"*OP*")</f>
        <v>0</v>
      </c>
      <c r="BK358" s="363" t="s">
        <v>103</v>
      </c>
      <c r="BL358" s="349">
        <f>(COUNTIF(AT358:AV358,"*OK*")*3) + (COUNTIF(AW358:AY358,"*OK*")*2) + COUNTIF(AZ358:BB358,"*OK*")+COUNTIF(BK358:BK358,"SI")*0.5</f>
        <v>0</v>
      </c>
      <c r="BM358" s="349" t="str">
        <f>IF(BL358&lt;0.6,"Demasiado Riesgo",IF(BL358&lt;=5,"Riesgo Medio",IF(BL358&lt;=11,"Riesgo Bajo","Cliente Blindado")))</f>
        <v>Demasiado Riesgo</v>
      </c>
      <c r="BN358" s="349"/>
      <c r="BO358" s="349"/>
      <c r="BP358" s="349">
        <v>0</v>
      </c>
      <c r="BQ358" s="349"/>
      <c r="BR358" s="349"/>
      <c r="BS358" s="349"/>
      <c r="BT358" s="349"/>
      <c r="BU358" s="349"/>
      <c r="BV358" s="349"/>
      <c r="BW358" s="349"/>
      <c r="BX358" s="349"/>
      <c r="BY358" s="349"/>
      <c r="BZ358" s="349"/>
      <c r="CA358" s="349"/>
      <c r="CB358" s="349"/>
      <c r="CC358" s="349"/>
      <c r="CD358" s="349"/>
      <c r="CE358" s="349"/>
      <c r="CF358" s="349"/>
      <c r="CG358" s="349"/>
      <c r="CH358" s="349"/>
      <c r="CI358" s="349"/>
      <c r="CJ358" s="349"/>
      <c r="CK358" s="349"/>
      <c r="CL358" s="349">
        <f>COUNTIF(AT358:BH358,"*OK*")</f>
        <v>0</v>
      </c>
      <c r="CM358" s="349"/>
      <c r="CN358" s="349">
        <f>COUNTIF(AT358:BH358,"*OP*")</f>
        <v>0</v>
      </c>
    </row>
    <row r="359" spans="1:94" ht="15" customHeight="1">
      <c r="A359" s="834">
        <v>26580</v>
      </c>
      <c r="B359" s="560" t="s">
        <v>2149</v>
      </c>
      <c r="C359" s="329">
        <f t="shared" si="7"/>
        <v>171.66120000000001</v>
      </c>
      <c r="D359" s="332">
        <f>COUNTIF(AT359:BH359,"*OK*")</f>
        <v>0</v>
      </c>
      <c r="E359" s="331" t="s">
        <v>782</v>
      </c>
      <c r="F359" s="331" t="s">
        <v>2150</v>
      </c>
      <c r="G359" s="331"/>
      <c r="H359" s="650">
        <f>IF(LEN(TRIM($G359&amp;""))=0, $C359, SUMIF($G$3:$G$561, TRIM($G359), $C$3:$C$561))</f>
        <v>171.66120000000001</v>
      </c>
      <c r="I359" s="331" t="s">
        <v>562</v>
      </c>
      <c r="J359" s="331"/>
      <c r="K359" s="328"/>
      <c r="L359" s="328" t="str">
        <f>HYPERLINK("https://crm.zoho.com/crm/org685875245/tab/Accounts/3525045000335018351","https://crm.zoho.com/crm/org685875245/tab/Accounts/3525045000335018351")</f>
        <v>https://crm.zoho.com/crm/org685875245/tab/Accounts/3525045000335018351</v>
      </c>
      <c r="M359" s="391"/>
      <c r="N359" s="332"/>
      <c r="O359" s="541"/>
      <c r="P359" s="541"/>
      <c r="Q359" s="541"/>
      <c r="R359" s="332"/>
      <c r="S359" s="332"/>
      <c r="T359" s="331"/>
      <c r="U359" s="344" t="s">
        <v>960</v>
      </c>
      <c r="V359" s="335">
        <v>50.52</v>
      </c>
      <c r="W359" s="335">
        <v>50.47</v>
      </c>
      <c r="X359" s="335">
        <v>48.1</v>
      </c>
      <c r="Y359" s="336">
        <v>46.1</v>
      </c>
      <c r="Z359" s="337">
        <v>46.721200000000003</v>
      </c>
      <c r="AA359" s="338">
        <v>49.76</v>
      </c>
      <c r="AB359" s="338">
        <v>150.5497</v>
      </c>
      <c r="AC359" s="634">
        <v>58.406599999999997</v>
      </c>
      <c r="AD359" s="338">
        <v>171.66120000000001</v>
      </c>
      <c r="AE359" s="339">
        <v>14</v>
      </c>
      <c r="AF359" s="340">
        <v>100</v>
      </c>
      <c r="AG359" s="334"/>
      <c r="AH359" s="341"/>
      <c r="AI359" s="418" t="s">
        <v>83</v>
      </c>
      <c r="AJ359" s="343" t="s">
        <v>574</v>
      </c>
      <c r="AK359" s="344" t="s">
        <v>2151</v>
      </c>
      <c r="AL359" s="340" t="s">
        <v>103</v>
      </c>
      <c r="AM359" s="328"/>
      <c r="AN359" s="328"/>
      <c r="AO359" s="328"/>
      <c r="AP359" s="328"/>
      <c r="AQ359" s="328"/>
      <c r="AR359" s="451"/>
      <c r="AS359" s="372" t="s">
        <v>103</v>
      </c>
      <c r="AT359" s="445"/>
      <c r="AU359" s="445"/>
      <c r="AV359" s="445"/>
      <c r="AW359" s="445"/>
      <c r="AX359" s="445"/>
      <c r="AY359" s="445"/>
      <c r="AZ359" s="445"/>
      <c r="BA359" s="445"/>
      <c r="BB359" s="445"/>
      <c r="BC359" s="445"/>
      <c r="BD359" s="445"/>
      <c r="BE359" s="445"/>
      <c r="BF359" s="445"/>
      <c r="BG359" s="445"/>
      <c r="BH359" s="445"/>
      <c r="BI359" s="445"/>
      <c r="BJ359" s="446">
        <f>COUNTIF(AT359:BI359,"*OP*")</f>
        <v>0</v>
      </c>
      <c r="BK359" s="375" t="s">
        <v>103</v>
      </c>
      <c r="BL359" s="328">
        <f>(COUNTIF(AT359:AV359,"*OK*")*3) + (COUNTIF(AW359:AY359,"*OK*")*2) + COUNTIF(AZ359:BB359,"*OK*")+COUNTIF(BK359:BK359,"SI")*0.5</f>
        <v>0</v>
      </c>
      <c r="BM359" s="328" t="str">
        <f>IF(BL359&lt;0.6,"Demasiado Riesgo",IF(BL359&lt;=5,"Riesgo Medio",IF(BL359&lt;=11,"Riesgo Bajo","Cliente Blindado")))</f>
        <v>Demasiado Riesgo</v>
      </c>
      <c r="BN359" s="328"/>
      <c r="BO359" s="328"/>
      <c r="BP359" s="328">
        <v>0</v>
      </c>
      <c r="BQ359" s="328"/>
      <c r="BR359" s="328"/>
      <c r="BS359" s="328"/>
      <c r="BT359" s="328"/>
      <c r="BU359" s="328"/>
      <c r="BV359" s="328"/>
      <c r="BW359" s="328"/>
      <c r="BX359" s="328"/>
      <c r="BY359" s="328"/>
      <c r="BZ359" s="328"/>
      <c r="CA359" s="328"/>
      <c r="CB359" s="328"/>
      <c r="CC359" s="328"/>
      <c r="CD359" s="328"/>
      <c r="CE359" s="328"/>
      <c r="CF359" s="328"/>
      <c r="CG359" s="328"/>
      <c r="CH359" s="328"/>
      <c r="CI359" s="328"/>
      <c r="CJ359" s="328"/>
      <c r="CK359" s="328"/>
      <c r="CL359" s="328">
        <f>COUNTIF(AT359:BH359,"*OK*")</f>
        <v>0</v>
      </c>
      <c r="CM359" s="328"/>
      <c r="CN359" s="328">
        <f>COUNTIF(AT359:BH359,"*OP*")</f>
        <v>0</v>
      </c>
    </row>
    <row r="360" spans="1:94" ht="15" customHeight="1">
      <c r="A360" s="834">
        <v>27998</v>
      </c>
      <c r="B360" s="560" t="s">
        <v>2152</v>
      </c>
      <c r="C360" s="329">
        <f t="shared" si="7"/>
        <v>48.065100000000001</v>
      </c>
      <c r="D360" s="332">
        <f>COUNTIF(AT360:BH360,"*OK*")</f>
        <v>0</v>
      </c>
      <c r="E360" s="331" t="s">
        <v>782</v>
      </c>
      <c r="F360" s="331" t="s">
        <v>2153</v>
      </c>
      <c r="G360" s="331"/>
      <c r="H360" s="650">
        <f>IF(LEN(TRIM($G360&amp;""))=0, $C360, SUMIF($G$3:$G$561, TRIM($G360), $C$3:$C$561))</f>
        <v>48.065100000000001</v>
      </c>
      <c r="I360" s="331" t="s">
        <v>562</v>
      </c>
      <c r="J360" s="331"/>
      <c r="K360" s="328"/>
      <c r="L360" s="328" t="str">
        <f>HYPERLINK("https://crm.zoho.com/crm/org685875245/tab/Accounts/3525045000401412201","https://crm.zoho.com/crm/org685875245/tab/Accounts/3525045000401412201")</f>
        <v>https://crm.zoho.com/crm/org685875245/tab/Accounts/3525045000401412201</v>
      </c>
      <c r="M360" s="391"/>
      <c r="N360" s="332"/>
      <c r="O360" s="541" t="s">
        <v>706</v>
      </c>
      <c r="P360" s="541" t="s">
        <v>2154</v>
      </c>
      <c r="Q360" s="541" t="s">
        <v>2155</v>
      </c>
      <c r="R360" s="332"/>
      <c r="S360" s="332"/>
      <c r="T360" s="331"/>
      <c r="U360" s="344" t="s">
        <v>394</v>
      </c>
      <c r="V360" s="335">
        <v>57.73</v>
      </c>
      <c r="W360" s="335">
        <v>57.68</v>
      </c>
      <c r="X360" s="335">
        <v>54.97</v>
      </c>
      <c r="Y360" s="336">
        <v>56.74</v>
      </c>
      <c r="Z360" s="337">
        <v>57.503</v>
      </c>
      <c r="AA360" s="347">
        <v>56.87</v>
      </c>
      <c r="AB360" s="347">
        <v>57.3523</v>
      </c>
      <c r="AC360" s="638">
        <v>58.406599999999997</v>
      </c>
      <c r="AD360" s="347">
        <v>48.065100000000001</v>
      </c>
      <c r="AE360" s="339">
        <v>14</v>
      </c>
      <c r="AF360" s="340">
        <v>50</v>
      </c>
      <c r="AG360" s="334"/>
      <c r="AH360" s="341"/>
      <c r="AI360" s="418" t="s">
        <v>83</v>
      </c>
      <c r="AJ360" s="343" t="s">
        <v>574</v>
      </c>
      <c r="AK360" s="344" t="s">
        <v>2156</v>
      </c>
      <c r="AL360" s="340" t="s">
        <v>396</v>
      </c>
      <c r="AM360" s="328"/>
      <c r="AN360" s="328"/>
      <c r="AO360" s="328"/>
      <c r="AP360" s="328"/>
      <c r="AQ360" s="328"/>
      <c r="AR360" s="451"/>
      <c r="AS360" s="344" t="s">
        <v>103</v>
      </c>
      <c r="AT360" s="345"/>
      <c r="AU360" s="345"/>
      <c r="AV360" s="345"/>
      <c r="AW360" s="345"/>
      <c r="AX360" s="345"/>
      <c r="AY360" s="345"/>
      <c r="AZ360" s="345"/>
      <c r="BA360" s="345"/>
      <c r="BB360" s="345"/>
      <c r="BC360" s="345"/>
      <c r="BD360" s="345"/>
      <c r="BE360" s="345"/>
      <c r="BF360" s="345"/>
      <c r="BG360" s="345"/>
      <c r="BH360" s="345"/>
      <c r="BI360" s="345"/>
      <c r="BJ360" s="364">
        <f>COUNTIF(AT360:BI360,"*OP*")</f>
        <v>0</v>
      </c>
      <c r="BK360" s="344" t="s">
        <v>103</v>
      </c>
      <c r="BL360" s="328">
        <f>(COUNTIF(AT360:AV360,"*OK*")*3) + (COUNTIF(AW360:AY360,"*OK*")*2) + COUNTIF(AZ360:BB360,"*OK*")+COUNTIF(BK360:BK360,"SI")*0.5</f>
        <v>0</v>
      </c>
      <c r="BM360" s="328" t="str">
        <f>IF(BL360&lt;0.6,"Demasiado Riesgo",IF(BL360&lt;=5,"Riesgo Medio",IF(BL360&lt;=11,"Riesgo Bajo","Cliente Blindado")))</f>
        <v>Demasiado Riesgo</v>
      </c>
      <c r="BN360" s="328"/>
      <c r="BO360" s="349"/>
      <c r="BP360" s="349">
        <v>0</v>
      </c>
      <c r="BQ360" s="349"/>
      <c r="BR360" s="349"/>
      <c r="BS360" s="349"/>
      <c r="BT360" s="349"/>
      <c r="BU360" s="349"/>
      <c r="BV360" s="349"/>
      <c r="BW360" s="349"/>
      <c r="BX360" s="349"/>
      <c r="BY360" s="349"/>
      <c r="BZ360" s="349"/>
      <c r="CA360" s="349"/>
      <c r="CB360" s="349"/>
      <c r="CC360" s="349"/>
      <c r="CD360" s="349"/>
      <c r="CE360" s="349"/>
      <c r="CF360" s="349"/>
      <c r="CG360" s="349"/>
      <c r="CH360" s="349"/>
      <c r="CI360" s="349"/>
      <c r="CJ360" s="349"/>
      <c r="CK360" s="349"/>
      <c r="CL360" s="349">
        <f>COUNTIF(AT360:BH360,"*OK*")</f>
        <v>0</v>
      </c>
      <c r="CM360" s="349"/>
      <c r="CN360" s="349">
        <f>COUNTIF(AT360:BH360,"*OP*")</f>
        <v>0</v>
      </c>
    </row>
    <row r="361" spans="1:94" ht="15" customHeight="1">
      <c r="A361" s="834">
        <v>28852</v>
      </c>
      <c r="B361" s="560" t="s">
        <v>2157</v>
      </c>
      <c r="C361" s="329">
        <f t="shared" si="7"/>
        <v>54.83</v>
      </c>
      <c r="D361" s="332">
        <f>COUNTIF(AT361:BH361,"*OK*")</f>
        <v>0</v>
      </c>
      <c r="E361" s="331" t="s">
        <v>782</v>
      </c>
      <c r="F361" s="331" t="s">
        <v>2158</v>
      </c>
      <c r="G361" s="331"/>
      <c r="H361" s="650">
        <f>IF(LEN(TRIM($G361&amp;""))=0, $C361, SUMIF($G$3:$G$561, TRIM($G361), $C$3:$C$561))</f>
        <v>54.83</v>
      </c>
      <c r="I361" s="331" t="s">
        <v>562</v>
      </c>
      <c r="J361" s="331"/>
      <c r="K361" s="328"/>
      <c r="L361" s="328" t="str">
        <f>HYPERLINK("https://crm.zoho.com/crm/org685875245/tab/Accounts/3525045000434973052","https://crm.zoho.com/crm/org685875245/tab/Accounts/3525045000434973052")</f>
        <v>https://crm.zoho.com/crm/org685875245/tab/Accounts/3525045000434973052</v>
      </c>
      <c r="M361" s="391"/>
      <c r="N361" s="332"/>
      <c r="O361" s="541" t="s">
        <v>455</v>
      </c>
      <c r="P361" s="541" t="s">
        <v>2159</v>
      </c>
      <c r="Q361" s="541" t="s">
        <v>2160</v>
      </c>
      <c r="R361" s="332"/>
      <c r="S361" s="332"/>
      <c r="T361" s="331"/>
      <c r="U361" s="344" t="s">
        <v>82</v>
      </c>
      <c r="V361" s="335">
        <v>49.25</v>
      </c>
      <c r="W361" s="335">
        <v>57.58</v>
      </c>
      <c r="X361" s="335">
        <v>41.06</v>
      </c>
      <c r="Y361" s="336">
        <v>56.63</v>
      </c>
      <c r="Z361" s="337">
        <v>57.396700000000003</v>
      </c>
      <c r="AA361" s="347">
        <v>56.77</v>
      </c>
      <c r="AB361" s="347">
        <v>57.246200000000002</v>
      </c>
      <c r="AC361" s="638">
        <v>58.298699999999997</v>
      </c>
      <c r="AD361" s="347">
        <v>54.83</v>
      </c>
      <c r="AE361" s="339">
        <v>11</v>
      </c>
      <c r="AF361" s="340">
        <v>50</v>
      </c>
      <c r="AG361" s="334"/>
      <c r="AH361" s="341"/>
      <c r="AI361" s="418" t="s">
        <v>83</v>
      </c>
      <c r="AJ361" s="343" t="s">
        <v>345</v>
      </c>
      <c r="AK361" s="344" t="s">
        <v>2161</v>
      </c>
      <c r="AL361" s="340" t="s">
        <v>103</v>
      </c>
      <c r="AM361" s="328"/>
      <c r="AN361" s="328"/>
      <c r="AO361" s="328"/>
      <c r="AP361" s="328"/>
      <c r="AQ361" s="328"/>
      <c r="AR361" s="451"/>
      <c r="AS361" s="375" t="s">
        <v>103</v>
      </c>
      <c r="AT361" s="345"/>
      <c r="AU361" s="345"/>
      <c r="AV361" s="345"/>
      <c r="AW361" s="345"/>
      <c r="AX361" s="345"/>
      <c r="AY361" s="345"/>
      <c r="AZ361" s="594"/>
      <c r="BA361" s="345"/>
      <c r="BB361" s="345"/>
      <c r="BC361" s="345"/>
      <c r="BD361" s="345"/>
      <c r="BE361" s="345"/>
      <c r="BF361" s="345"/>
      <c r="BG361" s="345"/>
      <c r="BH361" s="345"/>
      <c r="BI361" s="345"/>
      <c r="BJ361" s="346">
        <f>COUNTIF(AT361:BI361,"*OP*")</f>
        <v>0</v>
      </c>
      <c r="BK361" s="375" t="s">
        <v>103</v>
      </c>
      <c r="BL361" s="328">
        <f>(COUNTIF(AT361:AV361,"*OK*")*3) + (COUNTIF(AW361:AY361,"*OK*")*2) + COUNTIF(AZ361:BB361,"*OK*")+COUNTIF(BK361:BK361,"SI")*0.5</f>
        <v>0</v>
      </c>
      <c r="BM361" s="328" t="str">
        <f>IF(BL361&lt;0.6,"Demasiado Riesgo",IF(BL361&lt;=5,"Riesgo Medio",IF(BL361&lt;=11,"Riesgo Bajo","Cliente Blindado")))</f>
        <v>Demasiado Riesgo</v>
      </c>
      <c r="BN361" s="328"/>
      <c r="BO361" s="328"/>
      <c r="BP361" s="328">
        <v>0</v>
      </c>
      <c r="BQ361" s="328"/>
      <c r="BR361" s="328"/>
      <c r="BS361" s="328"/>
      <c r="BT361" s="328"/>
      <c r="BU361" s="328"/>
      <c r="BV361" s="328"/>
      <c r="BW361" s="328"/>
      <c r="BX361" s="328"/>
      <c r="BY361" s="328"/>
      <c r="BZ361" s="328"/>
      <c r="CA361" s="328"/>
      <c r="CB361" s="328"/>
      <c r="CC361" s="328"/>
      <c r="CD361" s="328"/>
      <c r="CE361" s="328"/>
      <c r="CF361" s="328"/>
      <c r="CG361" s="328"/>
      <c r="CH361" s="328"/>
      <c r="CI361" s="328"/>
      <c r="CJ361" s="328"/>
      <c r="CK361" s="328"/>
      <c r="CL361" s="328">
        <f>COUNTIF(AT361:BH361,"*OK*")</f>
        <v>0</v>
      </c>
      <c r="CM361" s="328"/>
      <c r="CN361" s="328">
        <f>COUNTIF(AT361:BH361,"*OP*")</f>
        <v>0</v>
      </c>
    </row>
    <row r="362" spans="1:94" ht="15" customHeight="1">
      <c r="A362" s="836">
        <v>25699</v>
      </c>
      <c r="B362" s="560" t="s">
        <v>1268</v>
      </c>
      <c r="C362" s="329">
        <f t="shared" si="7"/>
        <v>49.676000000000002</v>
      </c>
      <c r="D362" s="332">
        <f>COUNTIF(AT362:BH362,"*OK*")</f>
        <v>0</v>
      </c>
      <c r="E362" s="331" t="s">
        <v>73</v>
      </c>
      <c r="F362" s="331" t="s">
        <v>2162</v>
      </c>
      <c r="G362" s="351" t="s">
        <v>1270</v>
      </c>
      <c r="H362" s="650">
        <f>IF(LEN(TRIM($G362&amp;""))=0, $C362, SUMIF($G$3:$G$561, TRIM($G362), $C$3:$C$561))</f>
        <v>389.298</v>
      </c>
      <c r="I362" s="417" t="s">
        <v>76</v>
      </c>
      <c r="J362" s="331"/>
      <c r="K362" s="560"/>
      <c r="L362" s="560" t="str">
        <f>HYPERLINK("https://crm.zoho.com/crm/org685875245/tab/Accounts/3525045000305828624","https://crm.zoho.com/crm/org685875245/tab/Accounts/3525045000305828624")</f>
        <v>https://crm.zoho.com/crm/org685875245/tab/Accounts/3525045000305828624</v>
      </c>
      <c r="M362" s="391" t="s">
        <v>96</v>
      </c>
      <c r="N362" s="560"/>
      <c r="O362" s="561" t="s">
        <v>1271</v>
      </c>
      <c r="P362" s="561" t="s">
        <v>1272</v>
      </c>
      <c r="Q362" s="688" t="s">
        <v>1273</v>
      </c>
      <c r="R362" s="699"/>
      <c r="S362" s="332"/>
      <c r="T362" s="331"/>
      <c r="U362" s="334" t="s">
        <v>82</v>
      </c>
      <c r="V362" s="335">
        <v>70.33</v>
      </c>
      <c r="W362" s="335">
        <v>56.42</v>
      </c>
      <c r="X362" s="335">
        <v>54.78</v>
      </c>
      <c r="Y362" s="336">
        <v>56.55</v>
      </c>
      <c r="Z362" s="337">
        <v>57.3078</v>
      </c>
      <c r="AA362" s="347">
        <v>52.48</v>
      </c>
      <c r="AB362" s="347">
        <v>55.040599999999998</v>
      </c>
      <c r="AC362" s="638">
        <v>58.208300000000001</v>
      </c>
      <c r="AD362" s="347">
        <v>49.676000000000002</v>
      </c>
      <c r="AE362" s="339">
        <v>444</v>
      </c>
      <c r="AF362" s="340">
        <v>50</v>
      </c>
      <c r="AG362" s="334"/>
      <c r="AH362" s="341"/>
      <c r="AI362" s="343" t="s">
        <v>2163</v>
      </c>
      <c r="AJ362" s="343" t="s">
        <v>297</v>
      </c>
      <c r="AK362" s="344" t="s">
        <v>2164</v>
      </c>
      <c r="AL362" s="340" t="s">
        <v>103</v>
      </c>
      <c r="AM362" s="328"/>
      <c r="AN362" s="328"/>
      <c r="AO362" s="328"/>
      <c r="AP362" s="328"/>
      <c r="AQ362" s="328"/>
      <c r="AR362" s="451"/>
      <c r="AS362" s="372" t="s">
        <v>103</v>
      </c>
      <c r="AT362" s="345"/>
      <c r="AU362" s="345"/>
      <c r="AV362" s="345"/>
      <c r="AW362" s="345"/>
      <c r="AX362" s="345"/>
      <c r="AY362" s="345"/>
      <c r="AZ362" s="345"/>
      <c r="BA362" s="345"/>
      <c r="BB362" s="345"/>
      <c r="BC362" s="345"/>
      <c r="BD362" s="345"/>
      <c r="BE362" s="345"/>
      <c r="BF362" s="345"/>
      <c r="BG362" s="345"/>
      <c r="BH362" s="345"/>
      <c r="BI362" s="345"/>
      <c r="BJ362" s="364">
        <f>COUNTIF(AT362:BI362,"*OP*")</f>
        <v>0</v>
      </c>
      <c r="BK362" s="375" t="s">
        <v>103</v>
      </c>
      <c r="BL362" s="328">
        <f>(COUNTIF(AT362:AV362,"*OK*")*3) + (COUNTIF(AW362:AY362,"*OK*")*2) + COUNTIF(AZ362:BB362,"*OK*")+COUNTIF(BK362:BK362,"SI")*0.5</f>
        <v>0</v>
      </c>
      <c r="BM362" s="328" t="str">
        <f>IF(BL362&lt;0.6,"Demasiado Riesgo",IF(BL362&lt;=5,"Riesgo Medio",IF(BL362&lt;=11,"Riesgo Bajo","Cliente Blindado")))</f>
        <v>Demasiado Riesgo</v>
      </c>
      <c r="BN362" s="328"/>
      <c r="BO362" s="349"/>
      <c r="BP362" s="349">
        <v>0</v>
      </c>
      <c r="BQ362" s="349"/>
      <c r="BR362" s="349"/>
      <c r="BS362" s="349"/>
      <c r="BT362" s="349"/>
      <c r="BU362" s="349"/>
      <c r="BV362" s="349"/>
      <c r="BW362" s="349"/>
      <c r="BX362" s="349"/>
      <c r="BY362" s="349"/>
      <c r="BZ362" s="349"/>
      <c r="CA362" s="349"/>
      <c r="CB362" s="349"/>
      <c r="CC362" s="349"/>
      <c r="CD362" s="349"/>
      <c r="CE362" s="349"/>
      <c r="CF362" s="349"/>
      <c r="CG362" s="349"/>
      <c r="CH362" s="349"/>
      <c r="CI362" s="349"/>
      <c r="CJ362" s="349"/>
      <c r="CK362" s="349"/>
      <c r="CL362" s="349">
        <f>COUNTIF(AT362:BH362,"*OK*")</f>
        <v>0</v>
      </c>
      <c r="CM362" s="349"/>
      <c r="CN362" s="349">
        <f>COUNTIF(AT362:BH362,"*OP*")</f>
        <v>0</v>
      </c>
    </row>
    <row r="363" spans="1:94" ht="15" customHeight="1">
      <c r="A363" s="837">
        <v>25247</v>
      </c>
      <c r="B363" s="560" t="s">
        <v>2165</v>
      </c>
      <c r="C363" s="329">
        <f t="shared" si="7"/>
        <v>52.474600000000002</v>
      </c>
      <c r="D363" s="352">
        <f>COUNTIF(AT363:BH363,"*OK*")</f>
        <v>0</v>
      </c>
      <c r="E363" s="351" t="s">
        <v>439</v>
      </c>
      <c r="F363" s="351" t="s">
        <v>2166</v>
      </c>
      <c r="G363" s="351"/>
      <c r="H363" s="650">
        <f>IF(LEN(TRIM($G363&amp;""))=0, $C363, SUMIF($G$3:$G$561, TRIM($G363), $C$3:$C$561))</f>
        <v>52.474600000000002</v>
      </c>
      <c r="I363" s="353" t="s">
        <v>562</v>
      </c>
      <c r="J363" s="351"/>
      <c r="K363" s="349"/>
      <c r="L363" s="349" t="str">
        <f>HYPERLINK("https://crm.zoho.com/crm/org685875245/tab/Accounts/3525045000331332070","https://crm.zoho.com/crm/org685875245/tab/Accounts/3525045000331332070")</f>
        <v>https://crm.zoho.com/crm/org685875245/tab/Accounts/3525045000331332070</v>
      </c>
      <c r="M363" s="553" t="s">
        <v>167</v>
      </c>
      <c r="N363" s="352"/>
      <c r="O363" s="540" t="s">
        <v>2167</v>
      </c>
      <c r="P363" s="540" t="s">
        <v>2168</v>
      </c>
      <c r="Q363" s="540" t="s">
        <v>2169</v>
      </c>
      <c r="R363" s="352"/>
      <c r="S363" s="352"/>
      <c r="T363" s="351"/>
      <c r="U363" s="354" t="s">
        <v>285</v>
      </c>
      <c r="V363" s="355">
        <v>57.66</v>
      </c>
      <c r="W363" s="355">
        <v>57.61</v>
      </c>
      <c r="X363" s="355">
        <v>54.9</v>
      </c>
      <c r="Y363" s="356">
        <v>56.67</v>
      </c>
      <c r="Z363" s="337">
        <v>57.427900000000001</v>
      </c>
      <c r="AA363" s="347">
        <v>56.8</v>
      </c>
      <c r="AB363" s="347">
        <v>57.2774</v>
      </c>
      <c r="AC363" s="638">
        <v>57.0623</v>
      </c>
      <c r="AD363" s="347">
        <v>52.474600000000002</v>
      </c>
      <c r="AE363" s="357">
        <v>53</v>
      </c>
      <c r="AF363" s="358">
        <v>100</v>
      </c>
      <c r="AG363" s="354"/>
      <c r="AH363" s="359"/>
      <c r="AI363" s="360" t="s">
        <v>83</v>
      </c>
      <c r="AJ363" s="361" t="s">
        <v>297</v>
      </c>
      <c r="AK363" s="362" t="s">
        <v>2170</v>
      </c>
      <c r="AL363" s="358" t="s">
        <v>829</v>
      </c>
      <c r="AM363" s="349"/>
      <c r="AN363" s="349"/>
      <c r="AO363" s="349"/>
      <c r="AP363" s="349"/>
      <c r="AQ363" s="349"/>
      <c r="AR363" s="453"/>
      <c r="AS363" s="371" t="s">
        <v>103</v>
      </c>
      <c r="AT363" s="345"/>
      <c r="AU363" s="345"/>
      <c r="AV363" s="345" t="s">
        <v>89</v>
      </c>
      <c r="AW363" s="345"/>
      <c r="AX363" s="345"/>
      <c r="AY363" s="345"/>
      <c r="AZ363" s="345"/>
      <c r="BA363" s="345"/>
      <c r="BB363" s="345"/>
      <c r="BC363" s="345"/>
      <c r="BD363" s="345"/>
      <c r="BE363" s="345"/>
      <c r="BF363" s="345"/>
      <c r="BG363" s="345"/>
      <c r="BH363" s="345"/>
      <c r="BI363" s="345" t="s">
        <v>179</v>
      </c>
      <c r="BJ363" s="364">
        <f>COUNTIF(AT363:BI363,"*OP*")</f>
        <v>1</v>
      </c>
      <c r="BK363" s="363" t="s">
        <v>89</v>
      </c>
      <c r="BL363" s="349">
        <f>(COUNTIF(AT363:AV363,"*OK*")*3) + (COUNTIF(AW363:AY363,"*OK*")*2) + COUNTIF(AZ363:BB363,"*OK*")+COUNTIF(BK363:BK363,"SI")*0.5</f>
        <v>0</v>
      </c>
      <c r="BM363" s="349" t="str">
        <f>IF(BL363&lt;0.6,"Demasiado Riesgo",IF(BL363&lt;=5,"Riesgo Medio",IF(BL363&lt;=11,"Riesgo Bajo","Cliente Blindado")))</f>
        <v>Demasiado Riesgo</v>
      </c>
      <c r="BN363" s="349"/>
      <c r="BO363" s="328"/>
      <c r="BP363" s="328">
        <v>0</v>
      </c>
      <c r="BQ363" s="328"/>
      <c r="BR363" s="328"/>
      <c r="BS363" s="328"/>
      <c r="BT363" s="328"/>
      <c r="BU363" s="328"/>
      <c r="BV363" s="328"/>
      <c r="BW363" s="328"/>
      <c r="BX363" s="328"/>
      <c r="BY363" s="328"/>
      <c r="BZ363" s="328"/>
      <c r="CA363" s="328"/>
      <c r="CB363" s="328"/>
      <c r="CC363" s="328"/>
      <c r="CD363" s="328"/>
      <c r="CE363" s="328"/>
      <c r="CF363" s="328"/>
      <c r="CG363" s="328"/>
      <c r="CH363" s="328"/>
      <c r="CI363" s="328"/>
      <c r="CJ363" s="328"/>
      <c r="CK363" s="328"/>
      <c r="CL363" s="328">
        <f>COUNTIF(AT363:BH363,"*OK*")</f>
        <v>0</v>
      </c>
      <c r="CM363" s="328"/>
      <c r="CN363" s="328">
        <f>COUNTIF(AT363:BH363,"*OP*")</f>
        <v>0</v>
      </c>
    </row>
    <row r="364" spans="1:94" ht="15" customHeight="1">
      <c r="A364" s="834">
        <v>25441</v>
      </c>
      <c r="B364" s="560" t="s">
        <v>2171</v>
      </c>
      <c r="C364" s="329">
        <f t="shared" si="7"/>
        <v>60</v>
      </c>
      <c r="D364" s="332">
        <f>COUNTIF(AT364:BH364,"*OK*")</f>
        <v>0</v>
      </c>
      <c r="E364" s="331" t="s">
        <v>439</v>
      </c>
      <c r="F364" s="331" t="s">
        <v>2172</v>
      </c>
      <c r="G364" s="331"/>
      <c r="H364" s="650">
        <f>IF(LEN(TRIM($G364&amp;""))=0, $C364, SUMIF($G$3:$G$561, TRIM($G364), $C$3:$C$561))</f>
        <v>60</v>
      </c>
      <c r="I364" s="410" t="s">
        <v>562</v>
      </c>
      <c r="J364" s="331"/>
      <c r="K364" s="328"/>
      <c r="L364" s="328" t="str">
        <f>HYPERLINK("https://crm.zoho.com/crm/org685875245/tab/Accounts/3525045000502797012","https://crm.zoho.com/crm/org685875245/tab/Accounts/3525045000502797012")</f>
        <v>https://crm.zoho.com/crm/org685875245/tab/Accounts/3525045000502797012</v>
      </c>
      <c r="M364" s="391" t="s">
        <v>77</v>
      </c>
      <c r="N364" s="332"/>
      <c r="O364" s="541" t="s">
        <v>2173</v>
      </c>
      <c r="P364" s="541" t="s">
        <v>2174</v>
      </c>
      <c r="Q364" s="541" t="s">
        <v>2175</v>
      </c>
      <c r="R364" s="332"/>
      <c r="S364" s="332"/>
      <c r="T364" s="331"/>
      <c r="U364" s="334" t="s">
        <v>1355</v>
      </c>
      <c r="V364" s="335">
        <v>102</v>
      </c>
      <c r="W364" s="335">
        <v>102</v>
      </c>
      <c r="X364" s="335">
        <v>102</v>
      </c>
      <c r="Y364" s="336">
        <v>96</v>
      </c>
      <c r="Z364" s="337">
        <v>75</v>
      </c>
      <c r="AA364" s="365">
        <v>72</v>
      </c>
      <c r="AB364" s="365">
        <v>60</v>
      </c>
      <c r="AC364" s="635">
        <v>57</v>
      </c>
      <c r="AD364" s="365">
        <v>60</v>
      </c>
      <c r="AE364" s="339">
        <v>19</v>
      </c>
      <c r="AF364" s="340">
        <v>29</v>
      </c>
      <c r="AG364" s="334"/>
      <c r="AH364" s="341"/>
      <c r="AI364" s="418" t="s">
        <v>83</v>
      </c>
      <c r="AJ364" s="343" t="s">
        <v>113</v>
      </c>
      <c r="AK364" s="344" t="s">
        <v>2176</v>
      </c>
      <c r="AL364" s="340" t="s">
        <v>103</v>
      </c>
      <c r="AM364" s="328"/>
      <c r="AN364" s="328"/>
      <c r="AO364" s="328"/>
      <c r="AP364" s="328"/>
      <c r="AQ364" s="328"/>
      <c r="AR364" s="451"/>
      <c r="AS364" s="344" t="s">
        <v>88</v>
      </c>
      <c r="AT364" s="345"/>
      <c r="AU364" s="345"/>
      <c r="AV364" s="345"/>
      <c r="AW364" s="345" t="s">
        <v>89</v>
      </c>
      <c r="AX364" s="345"/>
      <c r="AY364" s="345"/>
      <c r="AZ364" s="345"/>
      <c r="BA364" s="345"/>
      <c r="BB364" s="345"/>
      <c r="BC364" s="345"/>
      <c r="BD364" s="345"/>
      <c r="BE364" s="345"/>
      <c r="BF364" s="345"/>
      <c r="BG364" s="345"/>
      <c r="BH364" s="345"/>
      <c r="BI364" s="345"/>
      <c r="BJ364" s="364">
        <f>COUNTIF(AT364:BI364,"*OP*")</f>
        <v>0</v>
      </c>
      <c r="BK364" s="344" t="s">
        <v>89</v>
      </c>
      <c r="BL364" s="328">
        <f>(COUNTIF(AT364:AV364,"*OK*")*3) + (COUNTIF(AW364:AY364,"*OK*")*2) + COUNTIF(AZ364:BB364,"*OK*")+COUNTIF(BK364:BK364,"SI")*0.5</f>
        <v>0</v>
      </c>
      <c r="BM364" s="328" t="str">
        <f>IF(BL364&lt;0.6,"Demasiado Riesgo",IF(BL364&lt;=5,"Riesgo Medio",IF(BL364&lt;=11,"Riesgo Bajo","Cliente Blindado")))</f>
        <v>Demasiado Riesgo</v>
      </c>
      <c r="BN364" s="328"/>
      <c r="BO364" s="328"/>
      <c r="BP364" s="328">
        <v>0</v>
      </c>
      <c r="BQ364" s="328"/>
      <c r="BR364" s="328"/>
      <c r="BS364" s="328"/>
      <c r="BT364" s="328"/>
      <c r="BU364" s="328"/>
      <c r="BV364" s="328"/>
      <c r="BW364" s="328"/>
      <c r="BX364" s="328"/>
      <c r="BY364" s="328"/>
      <c r="BZ364" s="328"/>
      <c r="CA364" s="328"/>
      <c r="CB364" s="328"/>
      <c r="CC364" s="328"/>
      <c r="CD364" s="328"/>
      <c r="CE364" s="328"/>
      <c r="CF364" s="328"/>
      <c r="CG364" s="328"/>
      <c r="CH364" s="328"/>
      <c r="CI364" s="328"/>
      <c r="CJ364" s="328"/>
      <c r="CK364" s="328"/>
      <c r="CL364" s="328">
        <f>COUNTIF(AT364:BH364,"*OK*")</f>
        <v>0</v>
      </c>
      <c r="CM364" s="328"/>
      <c r="CN364" s="328">
        <f>COUNTIF(AT364:BH364,"*OP*")</f>
        <v>0</v>
      </c>
    </row>
    <row r="365" spans="1:94" ht="15" customHeight="1">
      <c r="A365" s="834">
        <v>6984</v>
      </c>
      <c r="B365" s="560" t="s">
        <v>2177</v>
      </c>
      <c r="C365" s="329">
        <f t="shared" si="7"/>
        <v>53.263199999999998</v>
      </c>
      <c r="D365" s="332">
        <f>COUNTIF(AT365:BH365,"*OK*")</f>
        <v>1</v>
      </c>
      <c r="E365" s="331" t="s">
        <v>782</v>
      </c>
      <c r="F365" s="331" t="s">
        <v>2178</v>
      </c>
      <c r="G365" s="331"/>
      <c r="H365" s="650">
        <f>IF(LEN(TRIM($G365&amp;""))=0, $C365, SUMIF($G$3:$G$561, TRIM($G365), $C$3:$C$561))</f>
        <v>53.263199999999998</v>
      </c>
      <c r="I365" s="331" t="s">
        <v>562</v>
      </c>
      <c r="J365" s="331"/>
      <c r="K365" s="328"/>
      <c r="L365" s="328" t="str">
        <f>HYPERLINK("https://crm.zoho.com/crm/org685875245/tab/Accounts/3525045000102408317","https://crm.zoho.com/crm/org685875245/tab/Accounts/3525045000102408317")</f>
        <v>https://crm.zoho.com/crm/org685875245/tab/Accounts/3525045000102408317</v>
      </c>
      <c r="M365" s="391"/>
      <c r="N365" s="332"/>
      <c r="O365" s="541" t="s">
        <v>28</v>
      </c>
      <c r="P365" s="541"/>
      <c r="Q365" s="541" t="s">
        <v>2179</v>
      </c>
      <c r="R365" s="332"/>
      <c r="S365" s="332"/>
      <c r="T365" s="331"/>
      <c r="U365" s="344" t="s">
        <v>394</v>
      </c>
      <c r="V365" s="335">
        <v>55.98</v>
      </c>
      <c r="W365" s="335">
        <v>55.93</v>
      </c>
      <c r="X365" s="335">
        <v>53.3</v>
      </c>
      <c r="Y365" s="336">
        <v>55.02</v>
      </c>
      <c r="Z365" s="337">
        <v>55.756599999999999</v>
      </c>
      <c r="AA365" s="347">
        <v>55.15</v>
      </c>
      <c r="AB365" s="347">
        <v>55.610399999999998</v>
      </c>
      <c r="AC365" s="638">
        <v>56.632800000000003</v>
      </c>
      <c r="AD365" s="347">
        <v>53.263199999999998</v>
      </c>
      <c r="AE365" s="339">
        <v>13</v>
      </c>
      <c r="AF365" s="340">
        <v>15</v>
      </c>
      <c r="AG365" s="334"/>
      <c r="AH365" s="341"/>
      <c r="AI365" s="418" t="s">
        <v>83</v>
      </c>
      <c r="AJ365" s="343" t="s">
        <v>852</v>
      </c>
      <c r="AK365" s="344" t="s">
        <v>2180</v>
      </c>
      <c r="AL365" s="340" t="s">
        <v>103</v>
      </c>
      <c r="AM365" s="328"/>
      <c r="AN365" s="328"/>
      <c r="AO365" s="328"/>
      <c r="AP365" s="328"/>
      <c r="AQ365" s="328"/>
      <c r="AR365" s="451"/>
      <c r="AS365" s="344" t="s">
        <v>103</v>
      </c>
      <c r="AT365" s="345"/>
      <c r="AU365" s="345"/>
      <c r="AV365" s="421" t="s">
        <v>189</v>
      </c>
      <c r="AW365" s="345"/>
      <c r="AX365" s="345"/>
      <c r="AY365" s="345"/>
      <c r="AZ365" s="345"/>
      <c r="BA365" s="594"/>
      <c r="BB365" s="345"/>
      <c r="BC365" s="345"/>
      <c r="BD365" s="345"/>
      <c r="BE365" s="345"/>
      <c r="BF365" s="345"/>
      <c r="BG365" s="345"/>
      <c r="BH365" s="345"/>
      <c r="BI365" s="345"/>
      <c r="BJ365" s="346">
        <f>COUNTIF(AT365:BI365,"*OP*")</f>
        <v>0</v>
      </c>
      <c r="BK365" s="344" t="s">
        <v>103</v>
      </c>
      <c r="BL365" s="328">
        <f>(COUNTIF(AT365:AV365,"*OK*")*3) + (COUNTIF(AW365:AY365,"*OK*")*2) + COUNTIF(AZ365:BB365,"*OK*")+COUNTIF(BK365:BK365,"SI")*0.5</f>
        <v>3</v>
      </c>
      <c r="BM365" s="328" t="str">
        <f>IF(BL365&lt;0.6,"Demasiado Riesgo",IF(BL365&lt;=5,"Riesgo Medio",IF(BL365&lt;=11,"Riesgo Bajo","Cliente Blindado")))</f>
        <v>Riesgo Medio</v>
      </c>
      <c r="BN365" s="328"/>
      <c r="BO365" s="349"/>
      <c r="BP365" s="349"/>
      <c r="BQ365" s="349"/>
      <c r="BR365" s="349"/>
      <c r="BS365" s="349"/>
      <c r="BT365" s="349"/>
      <c r="BU365" s="349"/>
      <c r="BV365" s="349"/>
      <c r="BW365" s="349"/>
      <c r="BX365" s="349"/>
      <c r="BY365" s="349"/>
      <c r="BZ365" s="349"/>
      <c r="CA365" s="349"/>
      <c r="CB365" s="349"/>
      <c r="CC365" s="349"/>
      <c r="CD365" s="349"/>
      <c r="CE365" s="349"/>
      <c r="CF365" s="349"/>
      <c r="CG365" s="349"/>
      <c r="CH365" s="349"/>
      <c r="CI365" s="349"/>
      <c r="CJ365" s="349"/>
      <c r="CK365" s="349"/>
      <c r="CL365" s="349">
        <f>COUNTIF(AT365:BH365,"*OK*")</f>
        <v>1</v>
      </c>
    </row>
    <row r="366" spans="1:94" ht="15" customHeight="1">
      <c r="A366" s="835"/>
      <c r="B366" s="560" t="s">
        <v>2181</v>
      </c>
      <c r="C366" s="329">
        <f t="shared" si="7"/>
        <v>53.263199999999998</v>
      </c>
      <c r="D366" s="352">
        <f>COUNTIF(AT366:BH366,"*OK*")</f>
        <v>0</v>
      </c>
      <c r="E366" s="331" t="s">
        <v>782</v>
      </c>
      <c r="F366" s="351" t="s">
        <v>2182</v>
      </c>
      <c r="G366" s="351"/>
      <c r="H366" s="650">
        <f>IF(LEN(TRIM($G366&amp;""))=0, $C366, SUMIF($G$3:$G$561, TRIM($G366), $C$3:$C$561))</f>
        <v>53.263199999999998</v>
      </c>
      <c r="I366" s="351" t="s">
        <v>562</v>
      </c>
      <c r="J366" s="351"/>
      <c r="K366" s="349"/>
      <c r="L366" s="349" t="str">
        <f>HYPERLINK("https://crm.zoho.com/crm/org685875245/tab/Accounts/3525045000426317156","https://crm.zoho.com/crm/org685875245/tab/Accounts/3525045000426317156")</f>
        <v>https://crm.zoho.com/crm/org685875245/tab/Accounts/3525045000426317156</v>
      </c>
      <c r="M366" s="553"/>
      <c r="N366" s="352"/>
      <c r="O366" s="540"/>
      <c r="P366" s="540"/>
      <c r="Q366" s="540"/>
      <c r="R366" s="352"/>
      <c r="S366" s="352"/>
      <c r="T366" s="351"/>
      <c r="U366" s="362" t="s">
        <v>198</v>
      </c>
      <c r="V366" s="355">
        <v>55.98</v>
      </c>
      <c r="W366" s="355">
        <v>55.93</v>
      </c>
      <c r="X366" s="355">
        <v>53.3</v>
      </c>
      <c r="Y366" s="356">
        <v>55.02</v>
      </c>
      <c r="Z366" s="337">
        <v>55.756599999999999</v>
      </c>
      <c r="AA366" s="365">
        <v>55.15</v>
      </c>
      <c r="AB366" s="365">
        <v>55.610399999999998</v>
      </c>
      <c r="AC366" s="635">
        <v>56.632800000000003</v>
      </c>
      <c r="AD366" s="365">
        <v>53.263199999999998</v>
      </c>
      <c r="AE366" s="357"/>
      <c r="AF366" s="358">
        <v>100</v>
      </c>
      <c r="AG366" s="354"/>
      <c r="AH366" s="359"/>
      <c r="AI366" s="360" t="s">
        <v>83</v>
      </c>
      <c r="AJ366" s="361" t="s">
        <v>130</v>
      </c>
      <c r="AK366" s="362" t="s">
        <v>2183</v>
      </c>
      <c r="AL366" s="358" t="s">
        <v>103</v>
      </c>
      <c r="AM366" s="349"/>
      <c r="AN366" s="349"/>
      <c r="AO366" s="349"/>
      <c r="AP366" s="349"/>
      <c r="AQ366" s="349"/>
      <c r="AR366" s="453"/>
      <c r="AS366" s="363" t="s">
        <v>103</v>
      </c>
      <c r="AT366" s="345"/>
      <c r="AU366" s="345"/>
      <c r="AV366" s="594"/>
      <c r="AW366" s="345"/>
      <c r="AX366" s="345"/>
      <c r="AY366" s="345"/>
      <c r="AZ366" s="345"/>
      <c r="BA366" s="345"/>
      <c r="BB366" s="345"/>
      <c r="BC366" s="345"/>
      <c r="BD366" s="345"/>
      <c r="BE366" s="345"/>
      <c r="BF366" s="345"/>
      <c r="BG366" s="345"/>
      <c r="BH366" s="345"/>
      <c r="BI366" s="345"/>
      <c r="BJ366" s="346">
        <f>COUNTIF(AT366:BI366,"*OP*")</f>
        <v>0</v>
      </c>
      <c r="BK366" s="363" t="s">
        <v>103</v>
      </c>
      <c r="BL366" s="349">
        <f>(COUNTIF(AT366:AV366,"*OK*")*3) + (COUNTIF(AW366:AY366,"*OK*")*2) + COUNTIF(AZ366:BB366,"*OK*")+COUNTIF(BK366:BK366,"SI")*0.5</f>
        <v>0</v>
      </c>
      <c r="BM366" s="349" t="str">
        <f>IF(BL366&lt;0.6,"Demasiado Riesgo",IF(BL366&lt;=5,"Riesgo Medio",IF(BL366&lt;=11,"Riesgo Bajo","Cliente Blindado")))</f>
        <v>Demasiado Riesgo</v>
      </c>
      <c r="BN366" s="349"/>
      <c r="BO366" s="349"/>
      <c r="BP366" s="349"/>
      <c r="BQ366" s="349"/>
      <c r="BR366" s="349"/>
      <c r="BS366" s="349"/>
      <c r="BT366" s="349"/>
      <c r="BU366" s="349"/>
      <c r="BV366" s="349"/>
      <c r="BW366" s="349"/>
      <c r="BX366" s="349"/>
      <c r="BY366" s="349"/>
      <c r="BZ366" s="349"/>
      <c r="CA366" s="349"/>
      <c r="CB366" s="349"/>
      <c r="CC366" s="349"/>
      <c r="CD366" s="349"/>
      <c r="CE366" s="349"/>
      <c r="CF366" s="349"/>
      <c r="CG366" s="349"/>
      <c r="CH366" s="349"/>
      <c r="CI366" s="349"/>
      <c r="CJ366" s="349"/>
      <c r="CK366" s="349"/>
      <c r="CL366" s="349">
        <f>COUNTIF(AT366:BH366,"*OK*")</f>
        <v>0</v>
      </c>
      <c r="CP366" s="285"/>
    </row>
    <row r="367" spans="1:94" ht="15" customHeight="1">
      <c r="A367" s="835"/>
      <c r="B367" s="560" t="s">
        <v>2184</v>
      </c>
      <c r="C367" s="329">
        <f t="shared" si="7"/>
        <v>44.039699999999996</v>
      </c>
      <c r="D367" s="352">
        <f>COUNTIF(AT367:BH367,"*OK*")</f>
        <v>0</v>
      </c>
      <c r="E367" s="331" t="s">
        <v>782</v>
      </c>
      <c r="F367" s="351" t="s">
        <v>2185</v>
      </c>
      <c r="G367" s="351"/>
      <c r="H367" s="650">
        <f>IF(LEN(TRIM($G367&amp;""))=0, $C367, SUMIF($G$3:$G$561, TRIM($G367), $C$3:$C$561))</f>
        <v>44.039699999999996</v>
      </c>
      <c r="I367" s="353" t="s">
        <v>562</v>
      </c>
      <c r="J367" s="351"/>
      <c r="K367" s="349"/>
      <c r="L367" s="349"/>
      <c r="M367" s="553"/>
      <c r="N367" s="352"/>
      <c r="O367" s="540"/>
      <c r="P367" s="540"/>
      <c r="Q367" s="540"/>
      <c r="R367" s="352"/>
      <c r="S367" s="352"/>
      <c r="T367" s="351"/>
      <c r="U367" s="362" t="s">
        <v>82</v>
      </c>
      <c r="V367" s="355">
        <v>52.9</v>
      </c>
      <c r="W367" s="355">
        <v>57.26</v>
      </c>
      <c r="X367" s="355">
        <v>46.17</v>
      </c>
      <c r="Y367" s="356">
        <v>49.82</v>
      </c>
      <c r="Z367" s="337">
        <v>48.296599999999998</v>
      </c>
      <c r="AA367" s="365">
        <v>47.77</v>
      </c>
      <c r="AB367" s="365">
        <v>48.17</v>
      </c>
      <c r="AC367" s="635">
        <v>55.744999999999997</v>
      </c>
      <c r="AD367" s="365">
        <v>44.039699999999996</v>
      </c>
      <c r="AE367" s="357"/>
      <c r="AF367" s="358">
        <v>50</v>
      </c>
      <c r="AG367" s="354"/>
      <c r="AH367" s="359"/>
      <c r="AI367" s="360" t="s">
        <v>83</v>
      </c>
      <c r="AJ367" s="361" t="s">
        <v>396</v>
      </c>
      <c r="AK367" s="362" t="s">
        <v>2186</v>
      </c>
      <c r="AL367" s="358" t="s">
        <v>103</v>
      </c>
      <c r="AM367" s="349"/>
      <c r="AN367" s="349"/>
      <c r="AO367" s="349"/>
      <c r="AP367" s="349"/>
      <c r="AQ367" s="349"/>
      <c r="AR367" s="453"/>
      <c r="AS367" s="371" t="s">
        <v>103</v>
      </c>
      <c r="AT367" s="345"/>
      <c r="AU367" s="345"/>
      <c r="AV367" s="345"/>
      <c r="AW367" s="345"/>
      <c r="AX367" s="345"/>
      <c r="AY367" s="345"/>
      <c r="AZ367" s="345"/>
      <c r="BA367" s="345"/>
      <c r="BB367" s="345"/>
      <c r="BC367" s="345"/>
      <c r="BD367" s="345"/>
      <c r="BE367" s="345"/>
      <c r="BF367" s="345"/>
      <c r="BG367" s="345"/>
      <c r="BH367" s="345"/>
      <c r="BI367" s="345"/>
      <c r="BJ367" s="364">
        <f>COUNTIF(AT367:BI367,"*OP*")</f>
        <v>0</v>
      </c>
      <c r="BK367" s="363" t="s">
        <v>103</v>
      </c>
      <c r="BL367" s="349">
        <f>(COUNTIF(AT367:AV367,"*OK*")*3) + (COUNTIF(AW367:AY367,"*OK*")*2) + COUNTIF(AZ367:BB367,"*OK*")+COUNTIF(BK367:BK367,"SI")*0.5</f>
        <v>0</v>
      </c>
      <c r="BM367" s="349" t="str">
        <f>IF(BL367&lt;0.6,"Demasiado Riesgo",IF(BL367&lt;=5,"Riesgo Medio",IF(BL367&lt;=11,"Riesgo Bajo","Cliente Blindado")))</f>
        <v>Demasiado Riesgo</v>
      </c>
      <c r="BN367" s="349"/>
      <c r="BO367" s="349"/>
      <c r="BP367" s="349">
        <v>0</v>
      </c>
      <c r="BQ367" s="349"/>
      <c r="BR367" s="349"/>
      <c r="BS367" s="349"/>
      <c r="BT367" s="349"/>
      <c r="BU367" s="349"/>
      <c r="BV367" s="349"/>
      <c r="BW367" s="349"/>
      <c r="BX367" s="349"/>
      <c r="BY367" s="349"/>
      <c r="BZ367" s="349"/>
      <c r="CA367" s="349"/>
      <c r="CB367" s="349"/>
      <c r="CC367" s="349"/>
      <c r="CD367" s="349"/>
      <c r="CE367" s="349"/>
      <c r="CF367" s="349"/>
      <c r="CG367" s="349"/>
      <c r="CH367" s="349"/>
      <c r="CI367" s="349"/>
      <c r="CJ367" s="349"/>
      <c r="CK367" s="349"/>
      <c r="CL367" s="349">
        <f>COUNTIF(AT367:BH367,"*OK*")</f>
        <v>0</v>
      </c>
      <c r="CM367" s="349"/>
      <c r="CN367" s="349">
        <f>COUNTIF(AT367:BH367,"*OP*")</f>
        <v>0</v>
      </c>
      <c r="CP367" s="425"/>
    </row>
    <row r="368" spans="1:94" ht="15" customHeight="1">
      <c r="A368" s="837"/>
      <c r="B368" s="560" t="s">
        <v>979</v>
      </c>
      <c r="C368" s="329">
        <f t="shared" si="7"/>
        <v>49.668900000000001</v>
      </c>
      <c r="D368" s="352">
        <f>COUNTIF(AT368:BH368,"*OK*")</f>
        <v>0</v>
      </c>
      <c r="E368" s="331" t="s">
        <v>782</v>
      </c>
      <c r="F368" s="351" t="s">
        <v>2187</v>
      </c>
      <c r="G368" s="351"/>
      <c r="H368" s="650">
        <f>IF(LEN(TRIM($G368&amp;""))=0, $C368, SUMIF($G$3:$G$561, TRIM($G368), $C$3:$C$561))</f>
        <v>49.668900000000001</v>
      </c>
      <c r="I368" s="420" t="s">
        <v>562</v>
      </c>
      <c r="J368" s="351"/>
      <c r="K368" s="349"/>
      <c r="L368" s="349" t="str">
        <f>HYPERLINK("https://crm.zoho.com/crm/org685875245/tab/Accounts/3525045000461676230","https://crm.zoho.com/crm/org685875245/tab/Accounts/3525045000461676230")</f>
        <v>https://crm.zoho.com/crm/org685875245/tab/Accounts/3525045000461676230</v>
      </c>
      <c r="M368" s="553"/>
      <c r="N368" s="352"/>
      <c r="O368" s="540"/>
      <c r="P368" s="540"/>
      <c r="Q368" s="540"/>
      <c r="R368" s="352"/>
      <c r="S368" s="352"/>
      <c r="T368" s="351"/>
      <c r="U368" s="362" t="s">
        <v>82</v>
      </c>
      <c r="V368" s="355">
        <v>40.020000000000003</v>
      </c>
      <c r="W368" s="355">
        <v>40.86</v>
      </c>
      <c r="X368" s="355">
        <v>39.76</v>
      </c>
      <c r="Y368" s="356">
        <v>51.3</v>
      </c>
      <c r="Z368" s="337">
        <v>52.860500000000002</v>
      </c>
      <c r="AA368" s="367">
        <v>54</v>
      </c>
      <c r="AB368" s="367">
        <v>55.314799999999998</v>
      </c>
      <c r="AC368" s="636">
        <v>55.451599999999999</v>
      </c>
      <c r="AD368" s="367">
        <v>49.668900000000001</v>
      </c>
      <c r="AE368" s="357"/>
      <c r="AF368" s="358">
        <v>1525</v>
      </c>
      <c r="AG368" s="354"/>
      <c r="AH368" s="359"/>
      <c r="AI368" s="361" t="s">
        <v>379</v>
      </c>
      <c r="AJ368" s="361" t="s">
        <v>852</v>
      </c>
      <c r="AK368" s="362" t="s">
        <v>2188</v>
      </c>
      <c r="AL368" s="358" t="s">
        <v>103</v>
      </c>
      <c r="AM368" s="349"/>
      <c r="AN368" s="349"/>
      <c r="AO368" s="349"/>
      <c r="AP368" s="349"/>
      <c r="AQ368" s="349"/>
      <c r="AR368" s="453"/>
      <c r="AS368" s="371" t="s">
        <v>103</v>
      </c>
      <c r="AT368" s="345"/>
      <c r="AU368" s="345"/>
      <c r="AV368" s="345"/>
      <c r="AW368" s="345"/>
      <c r="AX368" s="345"/>
      <c r="AY368" s="345"/>
      <c r="AZ368" s="345"/>
      <c r="BA368" s="345"/>
      <c r="BB368" s="345"/>
      <c r="BC368" s="345"/>
      <c r="BD368" s="345"/>
      <c r="BE368" s="345"/>
      <c r="BF368" s="345"/>
      <c r="BG368" s="345"/>
      <c r="BH368" s="345"/>
      <c r="BI368" s="345"/>
      <c r="BJ368" s="364">
        <f>COUNTIF(AT368:BI368,"*OP*")</f>
        <v>0</v>
      </c>
      <c r="BK368" s="363" t="s">
        <v>103</v>
      </c>
      <c r="BL368" s="349">
        <f>(COUNTIF(AT368:AV368,"*OK*")*3) + (COUNTIF(AW368:AY368,"*OK*")*2) + COUNTIF(AZ368:BB368,"*OK*")+COUNTIF(BK368:BK368,"SI")*0.5</f>
        <v>0</v>
      </c>
      <c r="BM368" s="349" t="str">
        <f>IF(BL368&lt;0.6,"Demasiado Riesgo",IF(BL368&lt;=5,"Riesgo Medio",IF(BL368&lt;=11,"Riesgo Bajo","Cliente Blindado")))</f>
        <v>Demasiado Riesgo</v>
      </c>
      <c r="BN368" s="349"/>
      <c r="BO368" s="349"/>
      <c r="BP368" s="349">
        <v>0</v>
      </c>
      <c r="BQ368" s="349"/>
      <c r="BR368" s="349"/>
      <c r="BS368" s="349"/>
      <c r="BT368" s="349"/>
      <c r="BU368" s="349"/>
      <c r="BV368" s="349"/>
      <c r="BW368" s="349"/>
      <c r="BX368" s="349"/>
      <c r="BY368" s="349"/>
      <c r="BZ368" s="349"/>
      <c r="CA368" s="349"/>
      <c r="CB368" s="349"/>
      <c r="CC368" s="349"/>
      <c r="CD368" s="349"/>
      <c r="CE368" s="349"/>
      <c r="CF368" s="349"/>
      <c r="CG368" s="349"/>
      <c r="CH368" s="349"/>
      <c r="CI368" s="349"/>
      <c r="CJ368" s="349"/>
      <c r="CK368" s="349"/>
      <c r="CL368" s="349">
        <f>COUNTIF(AT368:BH368,"*OK*")</f>
        <v>0</v>
      </c>
      <c r="CM368" s="349"/>
      <c r="CN368" s="349">
        <f>COUNTIF(AT368:BH368,"*OP*")</f>
        <v>0</v>
      </c>
    </row>
    <row r="369" spans="1:94" ht="15" customHeight="1">
      <c r="A369" s="835">
        <v>26564</v>
      </c>
      <c r="B369" s="560" t="s">
        <v>2189</v>
      </c>
      <c r="C369" s="329">
        <f t="shared" si="7"/>
        <v>51.881900000000002</v>
      </c>
      <c r="D369" s="352">
        <f>COUNTIF(AT369:BH369,"*OK*")</f>
        <v>0</v>
      </c>
      <c r="E369" s="331" t="s">
        <v>782</v>
      </c>
      <c r="F369" s="351" t="s">
        <v>2190</v>
      </c>
      <c r="G369" s="351"/>
      <c r="H369" s="650">
        <f>IF(LEN(TRIM($G369&amp;""))=0, $C369, SUMIF($G$3:$G$561, TRIM($G369), $C$3:$C$561))</f>
        <v>51.881900000000002</v>
      </c>
      <c r="I369" s="351" t="s">
        <v>562</v>
      </c>
      <c r="J369" s="351"/>
      <c r="K369" s="349"/>
      <c r="L369" s="349" t="str">
        <f>HYPERLINK("https://crm.zoho.com/crm/org685875245/tab/Accounts/3525045000342230027","https://crm.zoho.com/crm/org685875245/tab/Accounts/3525045000342230027")</f>
        <v>https://crm.zoho.com/crm/org685875245/tab/Accounts/3525045000342230027</v>
      </c>
      <c r="M369" s="553"/>
      <c r="N369" s="352"/>
      <c r="O369" s="540" t="s">
        <v>2191</v>
      </c>
      <c r="P369" s="540" t="s">
        <v>2192</v>
      </c>
      <c r="Q369" s="540" t="s">
        <v>2193</v>
      </c>
      <c r="R369" s="352"/>
      <c r="S369" s="352"/>
      <c r="T369" s="351"/>
      <c r="U369" s="362" t="s">
        <v>902</v>
      </c>
      <c r="V369" s="355">
        <v>54.53</v>
      </c>
      <c r="W369" s="355">
        <v>54.48</v>
      </c>
      <c r="X369" s="355">
        <v>51.92</v>
      </c>
      <c r="Y369" s="356">
        <v>53.59</v>
      </c>
      <c r="Z369" s="337">
        <v>54.310600000000001</v>
      </c>
      <c r="AA369" s="365">
        <v>53.72</v>
      </c>
      <c r="AB369" s="365">
        <v>54.168199999999999</v>
      </c>
      <c r="AC369" s="635">
        <v>55.164099999999998</v>
      </c>
      <c r="AD369" s="365">
        <v>51.881900000000002</v>
      </c>
      <c r="AE369" s="357">
        <v>12</v>
      </c>
      <c r="AF369" s="358">
        <v>100</v>
      </c>
      <c r="AG369" s="354"/>
      <c r="AH369" s="359"/>
      <c r="AI369" s="361" t="s">
        <v>112</v>
      </c>
      <c r="AJ369" s="361" t="s">
        <v>143</v>
      </c>
      <c r="AK369" s="362" t="s">
        <v>2194</v>
      </c>
      <c r="AL369" s="358" t="s">
        <v>1140</v>
      </c>
      <c r="AM369" s="349"/>
      <c r="AN369" s="349"/>
      <c r="AO369" s="349"/>
      <c r="AP369" s="349"/>
      <c r="AQ369" s="349"/>
      <c r="AR369" s="453"/>
      <c r="AS369" s="362" t="s">
        <v>103</v>
      </c>
      <c r="AT369" s="345"/>
      <c r="AU369" s="345"/>
      <c r="AV369" s="345"/>
      <c r="AW369" s="345"/>
      <c r="AX369" s="345"/>
      <c r="AY369" s="345"/>
      <c r="AZ369" s="345"/>
      <c r="BA369" s="345"/>
      <c r="BB369" s="345"/>
      <c r="BC369" s="345"/>
      <c r="BD369" s="345"/>
      <c r="BE369" s="345"/>
      <c r="BF369" s="345"/>
      <c r="BG369" s="345"/>
      <c r="BH369" s="345"/>
      <c r="BI369" s="345"/>
      <c r="BJ369" s="364">
        <f>COUNTIF(AT369:BI369,"*OP*")</f>
        <v>0</v>
      </c>
      <c r="BK369" s="362" t="s">
        <v>103</v>
      </c>
      <c r="BL369" s="349">
        <f>(COUNTIF(AT369:AV369,"*OK*")*3) + (COUNTIF(AW369:AY369,"*OK*")*2) + COUNTIF(AZ369:BB369,"*OK*")+COUNTIF(BK369:BK369,"SI")*0.5</f>
        <v>0</v>
      </c>
      <c r="BM369" s="349" t="str">
        <f>IF(BL369&lt;0.6,"Demasiado Riesgo",IF(BL369&lt;=5,"Riesgo Medio",IF(BL369&lt;=11,"Riesgo Bajo","Cliente Blindado")))</f>
        <v>Demasiado Riesgo</v>
      </c>
      <c r="BN369" s="349"/>
      <c r="BO369" s="349"/>
      <c r="BP369" s="349">
        <v>0</v>
      </c>
      <c r="BQ369" s="349"/>
      <c r="BR369" s="349"/>
      <c r="BS369" s="349"/>
      <c r="BT369" s="349"/>
      <c r="BU369" s="349"/>
      <c r="BV369" s="349"/>
      <c r="BW369" s="349"/>
      <c r="BX369" s="349"/>
      <c r="BY369" s="349"/>
      <c r="BZ369" s="349"/>
      <c r="CA369" s="349"/>
      <c r="CB369" s="349"/>
      <c r="CC369" s="349"/>
      <c r="CD369" s="349"/>
      <c r="CE369" s="349"/>
      <c r="CF369" s="349"/>
      <c r="CG369" s="349"/>
      <c r="CH369" s="349"/>
      <c r="CI369" s="349"/>
      <c r="CJ369" s="349"/>
      <c r="CK369" s="349"/>
      <c r="CL369" s="349">
        <f>COUNTIF(AT369:BH369,"*OK*")</f>
        <v>0</v>
      </c>
      <c r="CM369" s="349"/>
      <c r="CN369" s="349">
        <f>COUNTIF(AT369:BH369,"*OP*")</f>
        <v>0</v>
      </c>
    </row>
    <row r="370" spans="1:94" ht="15" customHeight="1">
      <c r="A370" s="835">
        <v>31210</v>
      </c>
      <c r="B370" s="560" t="s">
        <v>2195</v>
      </c>
      <c r="C370" s="329">
        <f t="shared" si="7"/>
        <v>54.931600000000003</v>
      </c>
      <c r="D370" s="352">
        <f>COUNTIF(AT370:BH370,"*OK*")</f>
        <v>0</v>
      </c>
      <c r="E370" s="331" t="s">
        <v>782</v>
      </c>
      <c r="F370" s="351" t="s">
        <v>2196</v>
      </c>
      <c r="G370" s="351"/>
      <c r="H370" s="650">
        <f>IF(LEN(TRIM($G370&amp;""))=0, $C370, SUMIF($G$3:$G$561, TRIM($G370), $C$3:$C$561))</f>
        <v>54.931600000000003</v>
      </c>
      <c r="I370" s="351" t="s">
        <v>562</v>
      </c>
      <c r="J370" s="351"/>
      <c r="K370" s="349"/>
      <c r="L370" s="349" t="str">
        <f>HYPERLINK("https://crm.zoho.com/crm/org685875245/tab/Accounts/3525045000240002125","https://crm.zoho.com/crm/org685875245/tab/Accounts/3525045000240002125")</f>
        <v>https://crm.zoho.com/crm/org685875245/tab/Accounts/3525045000240002125</v>
      </c>
      <c r="M370" s="553"/>
      <c r="N370" s="352"/>
      <c r="O370" s="540" t="s">
        <v>352</v>
      </c>
      <c r="P370" s="540" t="s">
        <v>2197</v>
      </c>
      <c r="Q370" s="540" t="s">
        <v>2198</v>
      </c>
      <c r="R370" s="352"/>
      <c r="S370" s="352"/>
      <c r="T370" s="351"/>
      <c r="U370" s="362" t="s">
        <v>394</v>
      </c>
      <c r="V370" s="355">
        <v>57.73</v>
      </c>
      <c r="W370" s="355">
        <v>57.68</v>
      </c>
      <c r="X370" s="355">
        <v>51.53</v>
      </c>
      <c r="Y370" s="356">
        <v>56.74</v>
      </c>
      <c r="Z370" s="337">
        <v>53.909100000000002</v>
      </c>
      <c r="AA370" s="365">
        <v>53.32</v>
      </c>
      <c r="AB370" s="365">
        <v>53.767699999999998</v>
      </c>
      <c r="AC370" s="635">
        <v>54.7562</v>
      </c>
      <c r="AD370" s="365">
        <v>54.931600000000003</v>
      </c>
      <c r="AE370" s="357">
        <v>14</v>
      </c>
      <c r="AF370" s="358">
        <v>50</v>
      </c>
      <c r="AG370" s="354"/>
      <c r="AH370" s="359"/>
      <c r="AI370" s="360" t="s">
        <v>83</v>
      </c>
      <c r="AJ370" s="361" t="s">
        <v>130</v>
      </c>
      <c r="AK370" s="362" t="s">
        <v>2199</v>
      </c>
      <c r="AL370" s="358" t="s">
        <v>103</v>
      </c>
      <c r="AM370" s="349"/>
      <c r="AN370" s="349"/>
      <c r="AO370" s="349"/>
      <c r="AP370" s="349"/>
      <c r="AQ370" s="349"/>
      <c r="AR370" s="453"/>
      <c r="AS370" s="363" t="s">
        <v>103</v>
      </c>
      <c r="AT370" s="345"/>
      <c r="AU370" s="345"/>
      <c r="AV370" s="594"/>
      <c r="AW370" s="345"/>
      <c r="AX370" s="345"/>
      <c r="AY370" s="345"/>
      <c r="AZ370" s="594"/>
      <c r="BA370" s="594"/>
      <c r="BB370" s="345"/>
      <c r="BC370" s="345"/>
      <c r="BD370" s="345"/>
      <c r="BE370" s="345"/>
      <c r="BF370" s="345"/>
      <c r="BG370" s="345"/>
      <c r="BH370" s="345"/>
      <c r="BI370" s="345"/>
      <c r="BJ370" s="346">
        <f>COUNTIF(AT370:BI370,"*OP*")</f>
        <v>0</v>
      </c>
      <c r="BK370" s="363" t="s">
        <v>103</v>
      </c>
      <c r="BL370" s="349">
        <f>(COUNTIF(AT370:AV370,"*OK*")*3) + (COUNTIF(AW370:AY370,"*OK*")*2) + COUNTIF(AZ370:BB370,"*OK*")+COUNTIF(BK370:BK370,"SI")*0.5</f>
        <v>0</v>
      </c>
      <c r="BM370" s="349" t="str">
        <f>IF(BL370&lt;0.6,"Demasiado Riesgo",IF(BL370&lt;=5,"Riesgo Medio",IF(BL370&lt;=11,"Riesgo Bajo","Cliente Blindado")))</f>
        <v>Demasiado Riesgo</v>
      </c>
      <c r="BN370" s="349"/>
      <c r="BO370" s="328"/>
      <c r="BP370" s="328">
        <v>0</v>
      </c>
      <c r="BQ370" s="328"/>
      <c r="BR370" s="328"/>
      <c r="BS370" s="328"/>
      <c r="BT370" s="328"/>
      <c r="BU370" s="328"/>
      <c r="BV370" s="328"/>
      <c r="BW370" s="328"/>
      <c r="BX370" s="328"/>
      <c r="BY370" s="328"/>
      <c r="BZ370" s="328"/>
      <c r="CA370" s="328"/>
      <c r="CB370" s="328"/>
      <c r="CC370" s="328"/>
      <c r="CD370" s="328"/>
      <c r="CE370" s="328"/>
      <c r="CF370" s="328"/>
      <c r="CG370" s="328"/>
      <c r="CH370" s="328"/>
      <c r="CI370" s="328"/>
      <c r="CJ370" s="328"/>
      <c r="CK370" s="328"/>
      <c r="CL370" s="328">
        <f>COUNTIF(AT370:BH370,"*OK*")</f>
        <v>0</v>
      </c>
      <c r="CM370" s="328"/>
      <c r="CN370" s="328">
        <f>COUNTIF(AT370:BH370,"*OP*")</f>
        <v>0</v>
      </c>
    </row>
    <row r="371" spans="1:94" ht="15" customHeight="1">
      <c r="A371" s="834">
        <v>28061</v>
      </c>
      <c r="B371" s="560" t="s">
        <v>2200</v>
      </c>
      <c r="C371" s="329">
        <f t="shared" si="7"/>
        <v>54.357599999999998</v>
      </c>
      <c r="D371" s="332">
        <f>COUNTIF(AT371:BH371,"*OK*")</f>
        <v>0</v>
      </c>
      <c r="E371" s="331" t="s">
        <v>782</v>
      </c>
      <c r="F371" s="331" t="s">
        <v>2201</v>
      </c>
      <c r="G371" s="331"/>
      <c r="H371" s="650">
        <f>IF(LEN(TRIM($G371&amp;""))=0, $C371, SUMIF($G$3:$G$561, TRIM($G371), $C$3:$C$561))</f>
        <v>54.357599999999998</v>
      </c>
      <c r="I371" s="331" t="s">
        <v>562</v>
      </c>
      <c r="J371" s="331"/>
      <c r="K371" s="328"/>
      <c r="L371" s="328" t="str">
        <f>HYPERLINK("https://crm.zoho.com/crm/org685875245/tab/Accounts/3525045000008382279","https://crm.zoho.com/crm/org685875245/tab/Accounts/3525045000008382279")</f>
        <v>https://crm.zoho.com/crm/org685875245/tab/Accounts/3525045000008382279</v>
      </c>
      <c r="M371" s="391"/>
      <c r="N371" s="332"/>
      <c r="O371" s="541" t="s">
        <v>2202</v>
      </c>
      <c r="P371" s="541" t="s">
        <v>2203</v>
      </c>
      <c r="Q371" s="541" t="s">
        <v>2204</v>
      </c>
      <c r="R371" s="332"/>
      <c r="S371" s="332"/>
      <c r="T371" s="331"/>
      <c r="U371" s="344" t="s">
        <v>209</v>
      </c>
      <c r="V371" s="335">
        <v>51.12</v>
      </c>
      <c r="W371" s="335">
        <v>51.07</v>
      </c>
      <c r="X371" s="335">
        <v>42.94</v>
      </c>
      <c r="Y371" s="336">
        <v>50.24</v>
      </c>
      <c r="Z371" s="337">
        <v>50.912500000000001</v>
      </c>
      <c r="AA371" s="338">
        <v>53.32</v>
      </c>
      <c r="AB371" s="338">
        <v>50.779000000000003</v>
      </c>
      <c r="AC371" s="634">
        <v>54.7545</v>
      </c>
      <c r="AD371" s="338">
        <v>54.357599999999998</v>
      </c>
      <c r="AE371" s="339">
        <v>19</v>
      </c>
      <c r="AF371" s="340">
        <v>100</v>
      </c>
      <c r="AG371" s="334"/>
      <c r="AH371" s="341"/>
      <c r="AI371" s="418" t="s">
        <v>83</v>
      </c>
      <c r="AJ371" s="343" t="s">
        <v>101</v>
      </c>
      <c r="AK371" s="344" t="s">
        <v>2205</v>
      </c>
      <c r="AL371" s="340" t="s">
        <v>101</v>
      </c>
      <c r="AM371" s="328"/>
      <c r="AN371" s="328"/>
      <c r="AO371" s="328"/>
      <c r="AP371" s="328"/>
      <c r="AQ371" s="328"/>
      <c r="AR371" s="451"/>
      <c r="AS371" s="372" t="s">
        <v>103</v>
      </c>
      <c r="AT371" s="445"/>
      <c r="AU371" s="445"/>
      <c r="AV371" s="445"/>
      <c r="AW371" s="445"/>
      <c r="AX371" s="445"/>
      <c r="AY371" s="445"/>
      <c r="AZ371" s="445"/>
      <c r="BA371" s="445"/>
      <c r="BB371" s="445"/>
      <c r="BC371" s="445"/>
      <c r="BD371" s="445"/>
      <c r="BE371" s="445"/>
      <c r="BF371" s="445"/>
      <c r="BG371" s="445"/>
      <c r="BH371" s="445"/>
      <c r="BI371" s="445"/>
      <c r="BJ371" s="446">
        <f>COUNTIF(AT371:BI371,"*OP*")</f>
        <v>0</v>
      </c>
      <c r="BK371" s="375" t="s">
        <v>103</v>
      </c>
      <c r="BL371" s="328">
        <f>(COUNTIF(AT371:AV371,"*OK*")*3) + (COUNTIF(AW371:AY371,"*OK*")*2) + COUNTIF(AZ371:BB371,"*OK*")+COUNTIF(BK371:BK371,"SI")*0.5</f>
        <v>0</v>
      </c>
      <c r="BM371" s="328" t="str">
        <f>IF(BL371&lt;0.6,"Demasiado Riesgo",IF(BL371&lt;=5,"Riesgo Medio",IF(BL371&lt;=11,"Riesgo Bajo","Cliente Blindado")))</f>
        <v>Demasiado Riesgo</v>
      </c>
      <c r="BN371" s="328"/>
      <c r="BO371" s="349"/>
      <c r="BP371" s="349">
        <v>0</v>
      </c>
      <c r="BQ371" s="349"/>
      <c r="BR371" s="349"/>
      <c r="BS371" s="349"/>
      <c r="BT371" s="349"/>
      <c r="BU371" s="349"/>
      <c r="BV371" s="349"/>
      <c r="BW371" s="349"/>
      <c r="BX371" s="349"/>
      <c r="BY371" s="349"/>
      <c r="BZ371" s="349"/>
      <c r="CA371" s="349"/>
      <c r="CB371" s="349"/>
      <c r="CC371" s="349"/>
      <c r="CD371" s="349"/>
      <c r="CE371" s="349"/>
      <c r="CF371" s="349"/>
      <c r="CG371" s="349"/>
      <c r="CH371" s="349"/>
      <c r="CI371" s="349"/>
      <c r="CJ371" s="349"/>
      <c r="CK371" s="349"/>
      <c r="CL371" s="349">
        <f>COUNTIF(AT371:BH371,"*OK*")</f>
        <v>0</v>
      </c>
      <c r="CM371" s="349"/>
      <c r="CN371" s="349">
        <f>COUNTIF(AT371:BH371,"*OP*")</f>
        <v>0</v>
      </c>
    </row>
    <row r="372" spans="1:94" ht="15" customHeight="1">
      <c r="A372" s="834">
        <v>25534</v>
      </c>
      <c r="B372" s="560" t="s">
        <v>2206</v>
      </c>
      <c r="C372" s="329">
        <f t="shared" si="7"/>
        <v>45.614800000000002</v>
      </c>
      <c r="D372" s="332">
        <f>COUNTIF(AT372:BH372,"*OK*")</f>
        <v>0</v>
      </c>
      <c r="E372" s="331" t="s">
        <v>782</v>
      </c>
      <c r="F372" s="331" t="s">
        <v>2207</v>
      </c>
      <c r="G372" s="331"/>
      <c r="H372" s="650">
        <f>IF(LEN(TRIM($G372&amp;""))=0, $C372, SUMIF($G$3:$G$561, TRIM($G372), $C$3:$C$561))</f>
        <v>45.614800000000002</v>
      </c>
      <c r="I372" s="331" t="s">
        <v>562</v>
      </c>
      <c r="J372" s="331"/>
      <c r="K372" s="328"/>
      <c r="L372" s="328" t="str">
        <f>HYPERLINK("https://crm.zoho.com/crm/org685875245/tab/Accounts/3525045000337470013","https://crm.zoho.com/crm/org685875245/tab/Accounts/3525045000337470013")</f>
        <v>https://crm.zoho.com/crm/org685875245/tab/Accounts/3525045000337470013</v>
      </c>
      <c r="M372" s="391"/>
      <c r="N372" s="332"/>
      <c r="O372" s="541" t="s">
        <v>2208</v>
      </c>
      <c r="P372" s="541" t="s">
        <v>2209</v>
      </c>
      <c r="Q372" s="541" t="s">
        <v>2210</v>
      </c>
      <c r="R372" s="332"/>
      <c r="S372" s="332"/>
      <c r="T372" s="331"/>
      <c r="U372" s="344" t="s">
        <v>82</v>
      </c>
      <c r="V372" s="335">
        <v>42.3</v>
      </c>
      <c r="W372" s="335">
        <v>42.26</v>
      </c>
      <c r="X372" s="335">
        <v>40.28</v>
      </c>
      <c r="Y372" s="336">
        <v>44.34</v>
      </c>
      <c r="Z372" s="337">
        <v>44.941299999999998</v>
      </c>
      <c r="AA372" s="338">
        <v>47.23</v>
      </c>
      <c r="AB372" s="338">
        <v>47.624899999999997</v>
      </c>
      <c r="AC372" s="634">
        <v>54.206400000000002</v>
      </c>
      <c r="AD372" s="338">
        <v>45.614800000000002</v>
      </c>
      <c r="AE372" s="339">
        <v>17</v>
      </c>
      <c r="AF372" s="340">
        <v>50</v>
      </c>
      <c r="AG372" s="334"/>
      <c r="AH372" s="341"/>
      <c r="AI372" s="418" t="s">
        <v>83</v>
      </c>
      <c r="AJ372" s="343" t="s">
        <v>130</v>
      </c>
      <c r="AK372" s="344" t="s">
        <v>2211</v>
      </c>
      <c r="AL372" s="340" t="s">
        <v>103</v>
      </c>
      <c r="AM372" s="328"/>
      <c r="AN372" s="328"/>
      <c r="AO372" s="328"/>
      <c r="AP372" s="328"/>
      <c r="AQ372" s="328"/>
      <c r="AR372" s="451"/>
      <c r="AS372" s="344" t="s">
        <v>103</v>
      </c>
      <c r="AT372" s="345"/>
      <c r="AU372" s="345"/>
      <c r="AV372" s="345"/>
      <c r="AW372" s="345"/>
      <c r="AX372" s="345"/>
      <c r="AY372" s="345"/>
      <c r="AZ372" s="345"/>
      <c r="BA372" s="345"/>
      <c r="BB372" s="345"/>
      <c r="BC372" s="345"/>
      <c r="BD372" s="345"/>
      <c r="BE372" s="345"/>
      <c r="BF372" s="345"/>
      <c r="BG372" s="345"/>
      <c r="BH372" s="345"/>
      <c r="BI372" s="345"/>
      <c r="BJ372" s="364">
        <f>COUNTIF(AT372:BI372,"*OP*")</f>
        <v>0</v>
      </c>
      <c r="BK372" s="344" t="s">
        <v>103</v>
      </c>
      <c r="BL372" s="328">
        <f>(COUNTIF(AT372:AV372,"*OK*")*3) + (COUNTIF(AW372:AY372,"*OK*")*2) + COUNTIF(AZ372:BB372,"*OK*")+COUNTIF(BK372:BK372,"SI")*0.5</f>
        <v>0</v>
      </c>
      <c r="BM372" s="328" t="str">
        <f>IF(BL372&lt;0.6,"Demasiado Riesgo",IF(BL372&lt;=5,"Riesgo Medio",IF(BL372&lt;=11,"Riesgo Bajo","Cliente Blindado")))</f>
        <v>Demasiado Riesgo</v>
      </c>
      <c r="BN372" s="328"/>
      <c r="BO372" s="328"/>
      <c r="BP372" s="328">
        <v>0</v>
      </c>
      <c r="BQ372" s="328"/>
      <c r="BR372" s="328"/>
      <c r="BS372" s="328"/>
      <c r="BT372" s="328"/>
      <c r="BU372" s="328"/>
      <c r="BV372" s="328"/>
      <c r="BW372" s="328"/>
      <c r="BX372" s="328"/>
      <c r="BY372" s="328"/>
      <c r="BZ372" s="328"/>
      <c r="CA372" s="328"/>
      <c r="CB372" s="328"/>
      <c r="CC372" s="328"/>
      <c r="CD372" s="328"/>
      <c r="CE372" s="328"/>
      <c r="CF372" s="328"/>
      <c r="CG372" s="328"/>
      <c r="CH372" s="328"/>
      <c r="CI372" s="328"/>
      <c r="CJ372" s="328"/>
      <c r="CK372" s="328"/>
      <c r="CL372" s="328">
        <f>COUNTIF(AT372:BH372,"*OK*")</f>
        <v>0</v>
      </c>
      <c r="CM372" s="328"/>
      <c r="CN372" s="328">
        <f>COUNTIF(AT372:BH372,"*OP*")</f>
        <v>0</v>
      </c>
    </row>
    <row r="373" spans="1:94" ht="15" customHeight="1">
      <c r="A373" s="834"/>
      <c r="B373" s="560" t="s">
        <v>2212</v>
      </c>
      <c r="C373" s="329">
        <f t="shared" si="7"/>
        <v>50.2483</v>
      </c>
      <c r="D373" s="332">
        <f>COUNTIF(AT373:BH373,"*OK*")</f>
        <v>0</v>
      </c>
      <c r="E373" s="331" t="s">
        <v>782</v>
      </c>
      <c r="F373" s="331" t="s">
        <v>2213</v>
      </c>
      <c r="G373" s="331"/>
      <c r="H373" s="650">
        <f>IF(LEN(TRIM($G373&amp;""))=0, $C373, SUMIF($G$3:$G$561, TRIM($G373), $C$3:$C$561))</f>
        <v>50.2483</v>
      </c>
      <c r="I373" s="331" t="s">
        <v>562</v>
      </c>
      <c r="J373" s="331"/>
      <c r="K373" s="328"/>
      <c r="L373" s="328"/>
      <c r="M373" s="391"/>
      <c r="N373" s="332"/>
      <c r="O373" s="541"/>
      <c r="P373" s="541"/>
      <c r="Q373" s="541"/>
      <c r="R373" s="332"/>
      <c r="S373" s="332"/>
      <c r="T373" s="331"/>
      <c r="U373" s="344" t="s">
        <v>82</v>
      </c>
      <c r="V373" s="335">
        <v>52.81</v>
      </c>
      <c r="W373" s="335">
        <v>52.76</v>
      </c>
      <c r="X373" s="335">
        <v>50.28</v>
      </c>
      <c r="Y373" s="336">
        <v>51.9</v>
      </c>
      <c r="Z373" s="337">
        <v>52.6006</v>
      </c>
      <c r="AA373" s="347">
        <v>52.02</v>
      </c>
      <c r="AB373" s="347">
        <v>52.462699999999998</v>
      </c>
      <c r="AC373" s="638">
        <v>53.427100000000003</v>
      </c>
      <c r="AD373" s="347">
        <v>50.2483</v>
      </c>
      <c r="AE373" s="339"/>
      <c r="AF373" s="340">
        <v>50</v>
      </c>
      <c r="AG373" s="334"/>
      <c r="AH373" s="341"/>
      <c r="AI373" s="418" t="s">
        <v>83</v>
      </c>
      <c r="AJ373" s="343" t="s">
        <v>396</v>
      </c>
      <c r="AK373" s="344" t="s">
        <v>2214</v>
      </c>
      <c r="AL373" s="340" t="s">
        <v>103</v>
      </c>
      <c r="AM373" s="328"/>
      <c r="AN373" s="328"/>
      <c r="AO373" s="328"/>
      <c r="AP373" s="328"/>
      <c r="AQ373" s="328"/>
      <c r="AR373" s="451"/>
      <c r="AS373" s="344" t="s">
        <v>103</v>
      </c>
      <c r="AT373" s="345"/>
      <c r="AU373" s="345"/>
      <c r="AV373" s="345"/>
      <c r="AW373" s="345"/>
      <c r="AX373" s="345"/>
      <c r="AY373" s="345"/>
      <c r="AZ373" s="594"/>
      <c r="BA373" s="345"/>
      <c r="BB373" s="345"/>
      <c r="BC373" s="345"/>
      <c r="BD373" s="345"/>
      <c r="BE373" s="345"/>
      <c r="BF373" s="345"/>
      <c r="BG373" s="345"/>
      <c r="BH373" s="345"/>
      <c r="BI373" s="345"/>
      <c r="BJ373" s="346">
        <f>COUNTIF(AT373:BI373,"*OP*")</f>
        <v>0</v>
      </c>
      <c r="BK373" s="344" t="s">
        <v>103</v>
      </c>
      <c r="BL373" s="328">
        <f>(COUNTIF(AT373:AV373,"*OK*")*3) + (COUNTIF(AW373:AY373,"*OK*")*2) + COUNTIF(AZ373:BB373,"*OK*")+COUNTIF(BK373:BK373,"SI")*0.5</f>
        <v>0</v>
      </c>
      <c r="BM373" s="328" t="str">
        <f>IF(BL373&lt;0.6,"Demasiado Riesgo",IF(BL373&lt;=5,"Riesgo Medio",IF(BL373&lt;=11,"Riesgo Bajo","Cliente Blindado")))</f>
        <v>Demasiado Riesgo</v>
      </c>
      <c r="BN373" s="328"/>
      <c r="BO373" s="328"/>
      <c r="BP373" s="328">
        <v>0</v>
      </c>
      <c r="BQ373" s="328"/>
      <c r="BR373" s="328"/>
      <c r="BS373" s="328"/>
      <c r="BT373" s="328"/>
      <c r="BU373" s="328"/>
      <c r="BV373" s="328"/>
      <c r="BW373" s="328"/>
      <c r="BX373" s="328"/>
      <c r="BY373" s="328"/>
      <c r="BZ373" s="328"/>
      <c r="CA373" s="328"/>
      <c r="CB373" s="328"/>
      <c r="CC373" s="328"/>
      <c r="CD373" s="328"/>
      <c r="CE373" s="328"/>
      <c r="CF373" s="328"/>
      <c r="CG373" s="328"/>
      <c r="CH373" s="328"/>
      <c r="CI373" s="328"/>
      <c r="CJ373" s="328"/>
      <c r="CK373" s="328"/>
      <c r="CL373" s="328">
        <f>COUNTIF(AT373:BH373,"*OK*")</f>
        <v>0</v>
      </c>
      <c r="CM373" s="328"/>
      <c r="CN373" s="328">
        <f>COUNTIF(AT373:BH373,"*OP*")</f>
        <v>0</v>
      </c>
    </row>
    <row r="374" spans="1:94" ht="15" customHeight="1">
      <c r="A374" s="835">
        <v>18900</v>
      </c>
      <c r="B374" s="560" t="s">
        <v>2215</v>
      </c>
      <c r="C374" s="329">
        <f t="shared" si="7"/>
        <v>50.2483</v>
      </c>
      <c r="D374" s="352">
        <f>COUNTIF(AT374:BH374,"*OK*")</f>
        <v>0</v>
      </c>
      <c r="E374" s="331" t="s">
        <v>782</v>
      </c>
      <c r="F374" s="351" t="s">
        <v>2216</v>
      </c>
      <c r="G374" s="351"/>
      <c r="H374" s="650">
        <f>IF(LEN(TRIM($G374&amp;""))=0, $C374, SUMIF($G$3:$G$561, TRIM($G374), $C$3:$C$561))</f>
        <v>50.2483</v>
      </c>
      <c r="I374" s="351" t="s">
        <v>562</v>
      </c>
      <c r="J374" s="351"/>
      <c r="K374" s="349"/>
      <c r="L374" s="349" t="str">
        <f>HYPERLINK("https://crm.zoho.com/crm/org685875245/tab/Accounts/3525045000149856167","https://crm.zoho.com/crm/org685875245/tab/Accounts/3525045000149856167")</f>
        <v>https://crm.zoho.com/crm/org685875245/tab/Accounts/3525045000149856167</v>
      </c>
      <c r="M374" s="553"/>
      <c r="N374" s="352"/>
      <c r="O374" s="540" t="s">
        <v>1158</v>
      </c>
      <c r="P374" s="540"/>
      <c r="Q374" s="540" t="s">
        <v>2217</v>
      </c>
      <c r="R374" s="352"/>
      <c r="S374" s="352"/>
      <c r="T374" s="351"/>
      <c r="U374" s="362" t="s">
        <v>198</v>
      </c>
      <c r="V374" s="355">
        <v>52.81</v>
      </c>
      <c r="W374" s="355">
        <v>52.76</v>
      </c>
      <c r="X374" s="355">
        <v>50.28</v>
      </c>
      <c r="Y374" s="356">
        <v>51.9</v>
      </c>
      <c r="Z374" s="337">
        <v>52.6006</v>
      </c>
      <c r="AA374" s="365">
        <v>52.02</v>
      </c>
      <c r="AB374" s="365">
        <v>52.462699999999998</v>
      </c>
      <c r="AC374" s="635">
        <v>53.427100000000003</v>
      </c>
      <c r="AD374" s="365">
        <v>50.2483</v>
      </c>
      <c r="AE374" s="357">
        <v>16</v>
      </c>
      <c r="AF374" s="358">
        <v>100</v>
      </c>
      <c r="AG374" s="354"/>
      <c r="AH374" s="359"/>
      <c r="AI374" s="360" t="s">
        <v>83</v>
      </c>
      <c r="AJ374" s="361" t="s">
        <v>130</v>
      </c>
      <c r="AK374" s="362" t="s">
        <v>2218</v>
      </c>
      <c r="AL374" s="358" t="s">
        <v>224</v>
      </c>
      <c r="AM374" s="349"/>
      <c r="AN374" s="349"/>
      <c r="AO374" s="349"/>
      <c r="AP374" s="349"/>
      <c r="AQ374" s="349"/>
      <c r="AR374" s="453"/>
      <c r="AS374" s="362" t="s">
        <v>103</v>
      </c>
      <c r="AT374" s="345"/>
      <c r="AU374" s="345"/>
      <c r="AV374" s="345"/>
      <c r="AW374" s="345"/>
      <c r="AX374" s="345"/>
      <c r="AY374" s="345"/>
      <c r="AZ374" s="594"/>
      <c r="BA374" s="345"/>
      <c r="BB374" s="345"/>
      <c r="BC374" s="345"/>
      <c r="BD374" s="345"/>
      <c r="BE374" s="345"/>
      <c r="BF374" s="345"/>
      <c r="BG374" s="345"/>
      <c r="BH374" s="345"/>
      <c r="BI374" s="345"/>
      <c r="BJ374" s="346">
        <f>COUNTIF(AT374:BI374,"*OP*")</f>
        <v>0</v>
      </c>
      <c r="BK374" s="362" t="s">
        <v>103</v>
      </c>
      <c r="BL374" s="349">
        <f>(COUNTIF(AT374:AV374,"*OK*")*3) + (COUNTIF(AW374:AY374,"*OK*")*2) + COUNTIF(AZ374:BB374,"*OK*")+COUNTIF(BK374:BK374,"SI")*0.5</f>
        <v>0</v>
      </c>
      <c r="BM374" s="349" t="str">
        <f>IF(BL374&lt;0.6,"Demasiado Riesgo",IF(BL374&lt;=5,"Riesgo Medio",IF(BL374&lt;=11,"Riesgo Bajo","Cliente Blindado")))</f>
        <v>Demasiado Riesgo</v>
      </c>
      <c r="BN374" s="349"/>
      <c r="BO374" s="328"/>
      <c r="BP374" s="328">
        <v>0</v>
      </c>
      <c r="BQ374" s="328"/>
      <c r="BR374" s="328"/>
      <c r="BS374" s="328"/>
      <c r="BT374" s="328"/>
      <c r="BU374" s="328"/>
      <c r="BV374" s="328"/>
      <c r="BW374" s="328"/>
      <c r="BX374" s="328"/>
      <c r="BY374" s="328"/>
      <c r="BZ374" s="328"/>
      <c r="CA374" s="328"/>
      <c r="CB374" s="328"/>
      <c r="CC374" s="328"/>
      <c r="CD374" s="328"/>
      <c r="CE374" s="328"/>
      <c r="CF374" s="328"/>
      <c r="CG374" s="328"/>
      <c r="CH374" s="328"/>
      <c r="CI374" s="328"/>
      <c r="CJ374" s="328"/>
      <c r="CK374" s="328"/>
      <c r="CL374" s="328">
        <f>COUNTIF(AT374:BH374,"*OK*")</f>
        <v>0</v>
      </c>
      <c r="CM374" s="328"/>
      <c r="CN374" s="328">
        <f>COUNTIF(AT374:BH374,"*OP*")</f>
        <v>0</v>
      </c>
      <c r="CO374" s="425"/>
    </row>
    <row r="375" spans="1:94" ht="15" customHeight="1">
      <c r="A375" s="834">
        <v>19960</v>
      </c>
      <c r="B375" s="560" t="s">
        <v>2219</v>
      </c>
      <c r="C375" s="329">
        <f t="shared" si="7"/>
        <v>50.2483</v>
      </c>
      <c r="D375" s="332">
        <f>COUNTIF(AT375:BH375,"*OK*")</f>
        <v>0</v>
      </c>
      <c r="E375" s="331" t="s">
        <v>782</v>
      </c>
      <c r="F375" s="331" t="s">
        <v>2220</v>
      </c>
      <c r="G375" s="331"/>
      <c r="H375" s="650">
        <f>IF(LEN(TRIM($G375&amp;""))=0, $C375, SUMIF($G$3:$G$561, TRIM($G375), $C$3:$C$561))</f>
        <v>50.2483</v>
      </c>
      <c r="I375" s="331" t="s">
        <v>562</v>
      </c>
      <c r="J375" s="331"/>
      <c r="K375" s="328"/>
      <c r="L375" s="328" t="str">
        <f>HYPERLINK("https://crm.zoho.com/crm/org685875245/tab/Accounts/3525045000186115053","https://crm.zoho.com/crm/org685875245/tab/Accounts/3525045000186115053")</f>
        <v>https://crm.zoho.com/crm/org685875245/tab/Accounts/3525045000186115053</v>
      </c>
      <c r="M375" s="391"/>
      <c r="N375" s="332"/>
      <c r="O375" s="541" t="s">
        <v>2221</v>
      </c>
      <c r="P375" s="541" t="s">
        <v>2222</v>
      </c>
      <c r="Q375" s="651" t="s">
        <v>2223</v>
      </c>
      <c r="R375" s="694"/>
      <c r="S375" s="332"/>
      <c r="T375" s="331"/>
      <c r="U375" s="344" t="s">
        <v>198</v>
      </c>
      <c r="V375" s="335">
        <v>52.81</v>
      </c>
      <c r="W375" s="335">
        <v>52.76</v>
      </c>
      <c r="X375" s="335">
        <v>50.28</v>
      </c>
      <c r="Y375" s="336">
        <v>51.9</v>
      </c>
      <c r="Z375" s="337">
        <v>52.6006</v>
      </c>
      <c r="AA375" s="347">
        <v>52.02</v>
      </c>
      <c r="AB375" s="347">
        <v>52.462699999999998</v>
      </c>
      <c r="AC375" s="638">
        <v>53.427100000000003</v>
      </c>
      <c r="AD375" s="347">
        <v>50.2483</v>
      </c>
      <c r="AE375" s="339">
        <v>12</v>
      </c>
      <c r="AF375" s="340">
        <v>100</v>
      </c>
      <c r="AG375" s="334"/>
      <c r="AH375" s="341"/>
      <c r="AI375" s="418" t="s">
        <v>83</v>
      </c>
      <c r="AJ375" s="343" t="s">
        <v>130</v>
      </c>
      <c r="AK375" s="344" t="s">
        <v>2224</v>
      </c>
      <c r="AL375" s="340" t="s">
        <v>224</v>
      </c>
      <c r="AM375" s="328"/>
      <c r="AN375" s="328"/>
      <c r="AO375" s="328"/>
      <c r="AP375" s="328"/>
      <c r="AQ375" s="328"/>
      <c r="AR375" s="451"/>
      <c r="AS375" s="375" t="s">
        <v>103</v>
      </c>
      <c r="AT375" s="345"/>
      <c r="AU375" s="345"/>
      <c r="AV375" s="594"/>
      <c r="AW375" s="345"/>
      <c r="AX375" s="594"/>
      <c r="AY375" s="345"/>
      <c r="AZ375" s="345"/>
      <c r="BA375" s="594"/>
      <c r="BB375" s="345"/>
      <c r="BC375" s="345"/>
      <c r="BD375" s="345"/>
      <c r="BE375" s="345"/>
      <c r="BF375" s="345"/>
      <c r="BG375" s="345"/>
      <c r="BH375" s="345"/>
      <c r="BI375" s="345"/>
      <c r="BJ375" s="346">
        <f>COUNTIF(AT375:BI375,"*OP*")</f>
        <v>0</v>
      </c>
      <c r="BK375" s="375" t="s">
        <v>103</v>
      </c>
      <c r="BL375" s="328">
        <f>(COUNTIF(AT375:AV375,"*OK*")*3) + (COUNTIF(AW375:AY375,"*OK*")*2) + COUNTIF(AZ375:BB375,"*OK*")+COUNTIF(BK375:BK375,"SI")*0.5</f>
        <v>0</v>
      </c>
      <c r="BM375" s="328" t="str">
        <f>IF(BL375&lt;0.6,"Demasiado Riesgo",IF(BL375&lt;=5,"Riesgo Medio",IF(BL375&lt;=11,"Riesgo Bajo","Cliente Blindado")))</f>
        <v>Demasiado Riesgo</v>
      </c>
      <c r="BN375" s="328"/>
      <c r="BO375" s="328"/>
      <c r="BP375" s="328">
        <v>0</v>
      </c>
      <c r="BQ375" s="328"/>
      <c r="BR375" s="328"/>
      <c r="BS375" s="328"/>
      <c r="BT375" s="328"/>
      <c r="BU375" s="328"/>
      <c r="BV375" s="328"/>
      <c r="BW375" s="328"/>
      <c r="BX375" s="328"/>
      <c r="BY375" s="328"/>
      <c r="BZ375" s="328"/>
      <c r="CA375" s="328"/>
      <c r="CB375" s="328"/>
      <c r="CC375" s="328"/>
      <c r="CD375" s="328"/>
      <c r="CE375" s="328"/>
      <c r="CF375" s="328"/>
      <c r="CG375" s="328"/>
      <c r="CH375" s="328"/>
      <c r="CI375" s="328"/>
      <c r="CJ375" s="328"/>
      <c r="CK375" s="328"/>
      <c r="CL375" s="328">
        <f>COUNTIF(AT375:BH375,"*OK*")</f>
        <v>0</v>
      </c>
      <c r="CM375" s="328"/>
      <c r="CN375" s="328">
        <f>COUNTIF(AT375:BH375,"*OP*")</f>
        <v>0</v>
      </c>
      <c r="CO375" s="285"/>
    </row>
    <row r="376" spans="1:94" ht="15" customHeight="1">
      <c r="A376" s="834">
        <v>25507</v>
      </c>
      <c r="B376" s="560" t="s">
        <v>2225</v>
      </c>
      <c r="C376" s="329">
        <f t="shared" si="7"/>
        <v>50.244</v>
      </c>
      <c r="D376" s="332">
        <f>COUNTIF(AT376:BH376,"*OK*")</f>
        <v>0</v>
      </c>
      <c r="E376" s="331" t="s">
        <v>782</v>
      </c>
      <c r="F376" s="330" t="s">
        <v>2226</v>
      </c>
      <c r="G376" s="331"/>
      <c r="H376" s="650">
        <f>IF(LEN(TRIM($G376&amp;""))=0, $C376, SUMIF($G$3:$G$561, TRIM($G376), $C$3:$C$561))</f>
        <v>50.244</v>
      </c>
      <c r="I376" s="331" t="s">
        <v>562</v>
      </c>
      <c r="J376" s="331"/>
      <c r="K376" s="328"/>
      <c r="L376" s="328" t="str">
        <f>HYPERLINK("https://crm.zoho.com/crm/org685875245/tab/Accounts/3525045000315267510","https://crm.zoho.com/crm/org685875245/tab/Accounts/3525045000315267510")</f>
        <v>https://crm.zoho.com/crm/org685875245/tab/Accounts/3525045000315267510</v>
      </c>
      <c r="M376" s="391"/>
      <c r="N376" s="332"/>
      <c r="O376" s="541" t="s">
        <v>2227</v>
      </c>
      <c r="P376" s="541" t="s">
        <v>2228</v>
      </c>
      <c r="Q376" s="541" t="s">
        <v>2229</v>
      </c>
      <c r="R376" s="332"/>
      <c r="S376" s="332"/>
      <c r="T376" s="331"/>
      <c r="U376" s="344" t="s">
        <v>585</v>
      </c>
      <c r="V376" s="335">
        <v>50.77</v>
      </c>
      <c r="W376" s="335">
        <v>50.72</v>
      </c>
      <c r="X376" s="335">
        <v>48.34</v>
      </c>
      <c r="Y376" s="336">
        <v>57.29</v>
      </c>
      <c r="Z376" s="337">
        <v>56.919499999999999</v>
      </c>
      <c r="AA376" s="347">
        <v>56.3</v>
      </c>
      <c r="AB376" s="347">
        <v>52.458100000000002</v>
      </c>
      <c r="AC376" s="638">
        <v>53.422499999999999</v>
      </c>
      <c r="AD376" s="347">
        <v>50.244</v>
      </c>
      <c r="AE376" s="339">
        <v>10</v>
      </c>
      <c r="AF376" s="340">
        <v>100</v>
      </c>
      <c r="AG376" s="334"/>
      <c r="AH376" s="341"/>
      <c r="AI376" s="418" t="s">
        <v>83</v>
      </c>
      <c r="AJ376" s="343" t="s">
        <v>199</v>
      </c>
      <c r="AK376" s="344" t="s">
        <v>2230</v>
      </c>
      <c r="AL376" s="340" t="s">
        <v>199</v>
      </c>
      <c r="AM376" s="328"/>
      <c r="AN376" s="328"/>
      <c r="AO376" s="328"/>
      <c r="AP376" s="328"/>
      <c r="AQ376" s="328"/>
      <c r="AR376" s="451"/>
      <c r="AS376" s="372" t="s">
        <v>103</v>
      </c>
      <c r="AT376" s="345"/>
      <c r="AU376" s="345"/>
      <c r="AV376" s="345"/>
      <c r="AW376" s="345"/>
      <c r="AX376" s="345"/>
      <c r="AY376" s="345"/>
      <c r="AZ376" s="345"/>
      <c r="BA376" s="345"/>
      <c r="BB376" s="345"/>
      <c r="BC376" s="345"/>
      <c r="BD376" s="345"/>
      <c r="BE376" s="345"/>
      <c r="BF376" s="345"/>
      <c r="BG376" s="345"/>
      <c r="BH376" s="345"/>
      <c r="BI376" s="345"/>
      <c r="BJ376" s="364">
        <f>COUNTIF(AT376:BI376,"*OP*")</f>
        <v>0</v>
      </c>
      <c r="BK376" s="375" t="s">
        <v>103</v>
      </c>
      <c r="BL376" s="328">
        <f>(COUNTIF(AT376:AV376,"*OK*")*3) + (COUNTIF(AW376:AY376,"*OK*")*2) + COUNTIF(AZ376:BB376,"*OK*")+COUNTIF(BK376:BK376,"SI")*0.5</f>
        <v>0</v>
      </c>
      <c r="BM376" s="328" t="str">
        <f>IF(BL376&lt;0.6,"Demasiado Riesgo",IF(BL376&lt;=5,"Riesgo Medio",IF(BL376&lt;=11,"Riesgo Bajo","Cliente Blindado")))</f>
        <v>Demasiado Riesgo</v>
      </c>
      <c r="BN376" s="328"/>
      <c r="BO376" s="328"/>
      <c r="BP376" s="328">
        <v>0</v>
      </c>
      <c r="BQ376" s="328"/>
      <c r="BR376" s="328"/>
      <c r="BS376" s="328"/>
      <c r="BT376" s="328"/>
      <c r="BU376" s="328"/>
      <c r="BV376" s="328"/>
      <c r="BW376" s="328"/>
      <c r="BX376" s="328"/>
      <c r="BY376" s="328"/>
      <c r="BZ376" s="328"/>
      <c r="CA376" s="328"/>
      <c r="CB376" s="328"/>
      <c r="CC376" s="328"/>
      <c r="CD376" s="328"/>
      <c r="CE376" s="328"/>
      <c r="CF376" s="328"/>
      <c r="CG376" s="328"/>
      <c r="CH376" s="328"/>
      <c r="CI376" s="328"/>
      <c r="CJ376" s="328"/>
      <c r="CK376" s="328"/>
      <c r="CL376" s="328">
        <f>COUNTIF(AT376:BH376,"*OK*")</f>
        <v>0</v>
      </c>
      <c r="CM376" s="328"/>
      <c r="CN376" s="328">
        <f>COUNTIF(AT376:BH376,"*OP*")</f>
        <v>0</v>
      </c>
    </row>
    <row r="377" spans="1:94" ht="15" customHeight="1">
      <c r="A377" s="834">
        <v>34247</v>
      </c>
      <c r="B377" s="560" t="s">
        <v>2231</v>
      </c>
      <c r="C377" s="329">
        <f t="shared" si="7"/>
        <v>49.668900000000001</v>
      </c>
      <c r="D377" s="332">
        <f>COUNTIF(AT377:BH377,"*OK*")</f>
        <v>1</v>
      </c>
      <c r="E377" s="331" t="s">
        <v>782</v>
      </c>
      <c r="F377" s="331" t="s">
        <v>2232</v>
      </c>
      <c r="G377" s="331"/>
      <c r="H377" s="650">
        <f>IF(LEN(TRIM($G377&amp;""))=0, $C377, SUMIF($G$3:$G$561, TRIM($G377), $C$3:$C$561))</f>
        <v>49.668900000000001</v>
      </c>
      <c r="I377" s="331" t="s">
        <v>562</v>
      </c>
      <c r="J377" s="331"/>
      <c r="K377" s="328"/>
      <c r="L377" s="328"/>
      <c r="M377" s="391"/>
      <c r="N377" s="332"/>
      <c r="O377" s="541" t="s">
        <v>982</v>
      </c>
      <c r="P377" s="541" t="s">
        <v>2233</v>
      </c>
      <c r="Q377" s="541" t="s">
        <v>2234</v>
      </c>
      <c r="R377" s="332"/>
      <c r="S377" s="332"/>
      <c r="T377" s="331"/>
      <c r="U377" s="344" t="s">
        <v>394</v>
      </c>
      <c r="V377" s="335">
        <v>52.2</v>
      </c>
      <c r="W377" s="335">
        <v>52.16</v>
      </c>
      <c r="X377" s="335">
        <v>49.7</v>
      </c>
      <c r="Y377" s="336">
        <v>51.3</v>
      </c>
      <c r="Z377" s="337">
        <v>51.994</v>
      </c>
      <c r="AA377" s="347">
        <v>51.42</v>
      </c>
      <c r="AB377" s="347">
        <v>51.857700000000001</v>
      </c>
      <c r="AC377" s="638">
        <v>52.811</v>
      </c>
      <c r="AD377" s="347">
        <v>49.668900000000001</v>
      </c>
      <c r="AE377" s="339">
        <v>9</v>
      </c>
      <c r="AF377" s="340">
        <v>50</v>
      </c>
      <c r="AG377" s="334"/>
      <c r="AH377" s="341"/>
      <c r="AI377" s="342" t="s">
        <v>1915</v>
      </c>
      <c r="AJ377" s="343" t="s">
        <v>101</v>
      </c>
      <c r="AK377" s="344" t="s">
        <v>2235</v>
      </c>
      <c r="AL377" s="340" t="s">
        <v>103</v>
      </c>
      <c r="AM377" s="328"/>
      <c r="AN377" s="328"/>
      <c r="AO377" s="328"/>
      <c r="AP377" s="328"/>
      <c r="AQ377" s="328"/>
      <c r="AR377" s="451"/>
      <c r="AS377" s="344" t="s">
        <v>103</v>
      </c>
      <c r="AT377" s="345"/>
      <c r="AU377" s="345"/>
      <c r="AV377" s="345"/>
      <c r="AW377" s="345"/>
      <c r="AX377" s="345"/>
      <c r="AY377" s="345"/>
      <c r="AZ377" s="345"/>
      <c r="BA377" s="345"/>
      <c r="BB377" s="345"/>
      <c r="BC377" s="345"/>
      <c r="BD377" s="345" t="s">
        <v>764</v>
      </c>
      <c r="BE377" s="345"/>
      <c r="BF377" s="345"/>
      <c r="BG377" s="345"/>
      <c r="BH377" s="345"/>
      <c r="BI377" s="345"/>
      <c r="BJ377" s="364">
        <f>COUNTIF(AT377:BI377,"*OP*")</f>
        <v>0</v>
      </c>
      <c r="BK377" s="344" t="s">
        <v>103</v>
      </c>
      <c r="BL377" s="328">
        <f>(COUNTIF(AT377:AV377,"*OK*")*3) + (COUNTIF(AW377:AY377,"*OK*")*2) + COUNTIF(AZ377:BB377,"*OK*")+COUNTIF(BK377:BK377,"SI")*0.5</f>
        <v>0</v>
      </c>
      <c r="BM377" s="328" t="str">
        <f>IF(BL377&lt;0.6,"Demasiado Riesgo",IF(BL377&lt;=5,"Riesgo Medio",IF(BL377&lt;=11,"Riesgo Bajo","Cliente Blindado")))</f>
        <v>Demasiado Riesgo</v>
      </c>
      <c r="BN377" s="328"/>
      <c r="BO377" s="349"/>
      <c r="BP377" s="349">
        <v>0</v>
      </c>
      <c r="BQ377" s="349"/>
      <c r="BR377" s="349"/>
      <c r="BS377" s="349"/>
      <c r="BT377" s="349"/>
      <c r="BU377" s="349"/>
      <c r="BV377" s="349"/>
      <c r="BW377" s="349"/>
      <c r="BX377" s="349"/>
      <c r="BY377" s="349"/>
      <c r="BZ377" s="349"/>
      <c r="CA377" s="349"/>
      <c r="CB377" s="349"/>
      <c r="CC377" s="349"/>
      <c r="CD377" s="349"/>
      <c r="CE377" s="349"/>
      <c r="CF377" s="349"/>
      <c r="CG377" s="349"/>
      <c r="CH377" s="349"/>
      <c r="CI377" s="349"/>
      <c r="CJ377" s="349"/>
      <c r="CK377" s="349"/>
      <c r="CL377" s="349">
        <f>COUNTIF(AT377:BH377,"*OK*")</f>
        <v>1</v>
      </c>
      <c r="CM377" s="349"/>
      <c r="CN377" s="349">
        <f>COUNTIF(AT377:BH377,"*OP*")</f>
        <v>0</v>
      </c>
    </row>
    <row r="378" spans="1:94" ht="15" customHeight="1">
      <c r="A378" s="835">
        <v>27460</v>
      </c>
      <c r="B378" s="560" t="s">
        <v>2236</v>
      </c>
      <c r="C378" s="329">
        <f t="shared" si="7"/>
        <v>48.984499999999997</v>
      </c>
      <c r="D378" s="352">
        <f>COUNTIF(AT378:BH378,"*OK*")</f>
        <v>0</v>
      </c>
      <c r="E378" s="331" t="s">
        <v>782</v>
      </c>
      <c r="F378" s="351" t="s">
        <v>2237</v>
      </c>
      <c r="G378" s="351"/>
      <c r="H378" s="650">
        <f>IF(LEN(TRIM($G378&amp;""))=0, $C378, SUMIF($G$3:$G$561, TRIM($G378), $C$3:$C$561))</f>
        <v>48.984499999999997</v>
      </c>
      <c r="I378" s="351" t="s">
        <v>562</v>
      </c>
      <c r="J378" s="351"/>
      <c r="K378" s="349"/>
      <c r="L378" s="349"/>
      <c r="M378" s="553"/>
      <c r="N378" s="352"/>
      <c r="O378" s="540" t="s">
        <v>2238</v>
      </c>
      <c r="P378" s="540" t="s">
        <v>2239</v>
      </c>
      <c r="Q378" s="540" t="s">
        <v>2240</v>
      </c>
      <c r="R378" s="352"/>
      <c r="S378" s="352"/>
      <c r="T378" s="351"/>
      <c r="U378" s="362" t="s">
        <v>394</v>
      </c>
      <c r="V378" s="355">
        <v>45.05</v>
      </c>
      <c r="W378" s="355">
        <v>45.01</v>
      </c>
      <c r="X378" s="355">
        <v>42.89</v>
      </c>
      <c r="Y378" s="356">
        <v>44.27</v>
      </c>
      <c r="Z378" s="337">
        <v>51.2776</v>
      </c>
      <c r="AA378" s="365">
        <v>50.72</v>
      </c>
      <c r="AB378" s="365">
        <v>51.1432</v>
      </c>
      <c r="AC378" s="635">
        <v>52.083399999999997</v>
      </c>
      <c r="AD378" s="365">
        <v>48.984499999999997</v>
      </c>
      <c r="AE378" s="357">
        <v>8</v>
      </c>
      <c r="AF378" s="358">
        <v>100</v>
      </c>
      <c r="AG378" s="354"/>
      <c r="AH378" s="359"/>
      <c r="AI378" s="360" t="s">
        <v>83</v>
      </c>
      <c r="AJ378" s="361" t="s">
        <v>199</v>
      </c>
      <c r="AK378" s="362" t="s">
        <v>2241</v>
      </c>
      <c r="AL378" s="358" t="s">
        <v>103</v>
      </c>
      <c r="AM378" s="349"/>
      <c r="AN378" s="349"/>
      <c r="AO378" s="349"/>
      <c r="AP378" s="349"/>
      <c r="AQ378" s="349"/>
      <c r="AR378" s="453"/>
      <c r="AS378" s="362" t="s">
        <v>103</v>
      </c>
      <c r="AT378" s="345"/>
      <c r="AU378" s="345"/>
      <c r="AV378" s="594"/>
      <c r="AW378" s="345"/>
      <c r="AX378" s="594"/>
      <c r="AY378" s="345"/>
      <c r="AZ378" s="345"/>
      <c r="BA378" s="345"/>
      <c r="BB378" s="345"/>
      <c r="BC378" s="345"/>
      <c r="BD378" s="345"/>
      <c r="BE378" s="345"/>
      <c r="BF378" s="345"/>
      <c r="BG378" s="345"/>
      <c r="BH378" s="345"/>
      <c r="BI378" s="345"/>
      <c r="BJ378" s="346">
        <f>COUNTIF(AT378:BI378,"*OP*")</f>
        <v>0</v>
      </c>
      <c r="BK378" s="362" t="s">
        <v>103</v>
      </c>
      <c r="BL378" s="349">
        <f>(COUNTIF(AT378:AV378,"*OK*")*3) + (COUNTIF(AW378:AY378,"*OK*")*2) + COUNTIF(AZ378:BB378,"*OK*")+COUNTIF(BK378:BK378,"SI")*0.5</f>
        <v>0</v>
      </c>
      <c r="BM378" s="349" t="str">
        <f>IF(BL378&lt;0.6,"Demasiado Riesgo",IF(BL378&lt;=5,"Riesgo Medio",IF(BL378&lt;=11,"Riesgo Bajo","Cliente Blindado")))</f>
        <v>Demasiado Riesgo</v>
      </c>
      <c r="BN378" s="349"/>
      <c r="BO378" s="349"/>
      <c r="BP378" s="349">
        <v>0</v>
      </c>
      <c r="BQ378" s="349"/>
      <c r="BR378" s="349"/>
      <c r="BS378" s="349"/>
      <c r="BT378" s="349"/>
      <c r="BU378" s="349"/>
      <c r="BV378" s="349"/>
      <c r="BW378" s="349"/>
      <c r="BX378" s="349"/>
      <c r="BY378" s="349"/>
      <c r="BZ378" s="349"/>
      <c r="CA378" s="349"/>
      <c r="CB378" s="349"/>
      <c r="CC378" s="349"/>
      <c r="CD378" s="349"/>
      <c r="CE378" s="349"/>
      <c r="CF378" s="349"/>
      <c r="CG378" s="349"/>
      <c r="CH378" s="349"/>
      <c r="CI378" s="349"/>
      <c r="CJ378" s="349"/>
      <c r="CK378" s="349"/>
      <c r="CL378" s="349">
        <f>COUNTIF(AT378:BH378,"*OK*")</f>
        <v>0</v>
      </c>
      <c r="CM378" s="349"/>
      <c r="CN378" s="349">
        <f>COUNTIF(AT378:BH378,"*OP*")</f>
        <v>0</v>
      </c>
      <c r="CP378" s="425"/>
    </row>
    <row r="379" spans="1:94" ht="15" customHeight="1">
      <c r="A379" s="834"/>
      <c r="B379" s="560" t="s">
        <v>2242</v>
      </c>
      <c r="C379" s="329">
        <f t="shared" si="7"/>
        <v>48.642400000000002</v>
      </c>
      <c r="D379" s="332">
        <f>COUNTIF(AX379:BI379,"OK")</f>
        <v>0</v>
      </c>
      <c r="E379" s="501" t="s">
        <v>782</v>
      </c>
      <c r="F379" s="536" t="s">
        <v>2243</v>
      </c>
      <c r="G379" s="537"/>
      <c r="H379" s="650">
        <f>IF(LEN(TRIM($G379&amp;""))=0, $C379, SUMIF($G$3:$G$561, TRIM($G379), $C$3:$C$561))</f>
        <v>48.642400000000002</v>
      </c>
      <c r="I379" s="501" t="s">
        <v>562</v>
      </c>
      <c r="J379" s="501" t="s">
        <v>103</v>
      </c>
      <c r="K379" s="328"/>
      <c r="L379" s="328"/>
      <c r="M379" s="391"/>
      <c r="N379" s="501" t="s">
        <v>103</v>
      </c>
      <c r="O379" s="543"/>
      <c r="P379" s="543"/>
      <c r="Q379" s="543"/>
      <c r="R379" s="501"/>
      <c r="S379" s="501" t="s">
        <v>103</v>
      </c>
      <c r="T379" s="501" t="s">
        <v>88</v>
      </c>
      <c r="U379" s="469" t="s">
        <v>103</v>
      </c>
      <c r="V379" s="501" t="s">
        <v>103</v>
      </c>
      <c r="W379" s="501" t="s">
        <v>103</v>
      </c>
      <c r="X379" s="501" t="s">
        <v>103</v>
      </c>
      <c r="Y379" s="470" t="s">
        <v>103</v>
      </c>
      <c r="Z379" s="513" t="s">
        <v>103</v>
      </c>
      <c r="AA379" s="518">
        <v>50.36</v>
      </c>
      <c r="AB379" s="518">
        <v>50.785899999999998</v>
      </c>
      <c r="AC379" s="639">
        <v>51.7196</v>
      </c>
      <c r="AD379" s="518">
        <v>48.642400000000002</v>
      </c>
      <c r="AE379" s="327"/>
      <c r="AF379" s="372" t="s">
        <v>103</v>
      </c>
      <c r="AG379" s="344"/>
      <c r="AH379" s="328"/>
      <c r="AI379" s="343"/>
      <c r="AJ379" s="343"/>
      <c r="AK379" s="344"/>
      <c r="AL379" s="372" t="s">
        <v>103</v>
      </c>
      <c r="AM379" s="328"/>
      <c r="AN379" s="328"/>
      <c r="AO379" s="328"/>
      <c r="AP379" s="328"/>
      <c r="AQ379" s="328"/>
      <c r="AR379" s="451"/>
      <c r="AS379" s="451"/>
      <c r="AT379" s="345"/>
      <c r="AU379" s="345"/>
      <c r="AV379" s="345"/>
      <c r="AW379" s="345"/>
      <c r="AX379" s="345"/>
      <c r="AY379" s="345"/>
      <c r="AZ379" s="345"/>
      <c r="BA379" s="594"/>
      <c r="BB379" s="345"/>
      <c r="BC379" s="345"/>
      <c r="BD379" s="345"/>
      <c r="BE379" s="345"/>
      <c r="BF379" s="345"/>
      <c r="BG379" s="345"/>
      <c r="BH379" s="345"/>
      <c r="BI379" s="345"/>
      <c r="BJ379" s="346">
        <f>COUNTIF(AT379:BI379,"*OP*")</f>
        <v>0</v>
      </c>
      <c r="BK379" s="451"/>
      <c r="BL379" s="328">
        <f>(COUNTIF(AT379:AV379,"*OK*")*3) + (COUNTIF(AW379:AY379,"*OK*")*2) + COUNTIF(AZ379:BB379,"*OK*")+COUNTIF(BK379:BK379,"SI")*0.5</f>
        <v>0</v>
      </c>
      <c r="BM379" s="328" t="str">
        <f>IF(BL379&lt;0.6,"Demasiado Riesgo",IF(BL379&lt;=5,"Riesgo Medio",IF(BL379&lt;=11,"Riesgo Bajo","Cliente Blindado")))</f>
        <v>Demasiado Riesgo</v>
      </c>
      <c r="BN379" s="328"/>
      <c r="BO379" s="328"/>
      <c r="BP379" s="328">
        <v>0</v>
      </c>
      <c r="BQ379" s="328"/>
      <c r="BR379" s="328"/>
      <c r="BS379" s="328"/>
      <c r="BT379" s="328"/>
      <c r="BU379" s="328"/>
      <c r="BV379" s="328"/>
      <c r="BW379" s="328"/>
      <c r="BX379" s="328"/>
      <c r="BY379" s="328"/>
      <c r="BZ379" s="328"/>
      <c r="CA379" s="328"/>
      <c r="CB379" s="328"/>
      <c r="CC379" s="328"/>
      <c r="CD379" s="328"/>
      <c r="CE379" s="328"/>
      <c r="CF379" s="328"/>
      <c r="CG379" s="328"/>
      <c r="CH379" s="328"/>
      <c r="CI379" s="328"/>
      <c r="CJ379" s="328"/>
      <c r="CK379" s="328"/>
      <c r="CL379" s="328">
        <f>COUNTIF(AT379:BH379,"*OK*")</f>
        <v>0</v>
      </c>
      <c r="CM379" s="328"/>
      <c r="CN379" s="328">
        <f>COUNTIF(AT379:BH379,"*OP*")</f>
        <v>0</v>
      </c>
    </row>
    <row r="380" spans="1:94" ht="15" customHeight="1">
      <c r="A380" s="834">
        <v>22079</v>
      </c>
      <c r="B380" s="560" t="s">
        <v>2244</v>
      </c>
      <c r="C380" s="329">
        <f t="shared" si="7"/>
        <v>48.2119</v>
      </c>
      <c r="D380" s="332">
        <f>COUNTIF(AT380:BH380,"*OK*")</f>
        <v>0</v>
      </c>
      <c r="E380" s="331" t="s">
        <v>782</v>
      </c>
      <c r="F380" s="331" t="s">
        <v>2245</v>
      </c>
      <c r="G380" s="331"/>
      <c r="H380" s="650">
        <f>IF(LEN(TRIM($G380&amp;""))=0, $C380, SUMIF($G$3:$G$561, TRIM($G380), $C$3:$C$561))</f>
        <v>48.2119</v>
      </c>
      <c r="I380" s="331" t="s">
        <v>562</v>
      </c>
      <c r="J380" s="331"/>
      <c r="K380" s="328"/>
      <c r="L380" s="328"/>
      <c r="M380" s="391"/>
      <c r="N380" s="332"/>
      <c r="O380" s="541" t="s">
        <v>519</v>
      </c>
      <c r="P380" s="541" t="s">
        <v>2246</v>
      </c>
      <c r="Q380" s="541" t="s">
        <v>2247</v>
      </c>
      <c r="R380" s="332"/>
      <c r="S380" s="332"/>
      <c r="T380" s="331"/>
      <c r="U380" s="344" t="s">
        <v>82</v>
      </c>
      <c r="V380" s="335">
        <v>43.43</v>
      </c>
      <c r="W380" s="335">
        <v>43.39</v>
      </c>
      <c r="X380" s="335">
        <v>44.8</v>
      </c>
      <c r="Y380" s="336">
        <v>46.24</v>
      </c>
      <c r="Z380" s="337">
        <v>54.073700000000002</v>
      </c>
      <c r="AA380" s="347">
        <v>53.48</v>
      </c>
      <c r="AB380" s="347">
        <v>53.932000000000002</v>
      </c>
      <c r="AC380" s="638">
        <v>51.261899999999997</v>
      </c>
      <c r="AD380" s="347">
        <v>48.2119</v>
      </c>
      <c r="AE380" s="339">
        <v>14</v>
      </c>
      <c r="AF380" s="340">
        <v>50</v>
      </c>
      <c r="AG380" s="334"/>
      <c r="AH380" s="341"/>
      <c r="AI380" s="418" t="s">
        <v>83</v>
      </c>
      <c r="AJ380" s="343" t="s">
        <v>396</v>
      </c>
      <c r="AK380" s="344" t="s">
        <v>2105</v>
      </c>
      <c r="AL380" s="340" t="s">
        <v>103</v>
      </c>
      <c r="AM380" s="328"/>
      <c r="AN380" s="328"/>
      <c r="AO380" s="328"/>
      <c r="AP380" s="328"/>
      <c r="AQ380" s="328"/>
      <c r="AR380" s="451"/>
      <c r="AS380" s="375" t="s">
        <v>103</v>
      </c>
      <c r="AT380" s="345"/>
      <c r="AU380" s="345"/>
      <c r="AV380" s="345"/>
      <c r="AW380" s="345"/>
      <c r="AX380" s="345"/>
      <c r="AY380" s="345"/>
      <c r="AZ380" s="594"/>
      <c r="BA380" s="345"/>
      <c r="BB380" s="345"/>
      <c r="BC380" s="345"/>
      <c r="BD380" s="345"/>
      <c r="BE380" s="345"/>
      <c r="BF380" s="345"/>
      <c r="BG380" s="345"/>
      <c r="BH380" s="345"/>
      <c r="BI380" s="345"/>
      <c r="BJ380" s="346">
        <f>COUNTIF(AT380:BI380,"*OP*")</f>
        <v>0</v>
      </c>
      <c r="BK380" s="375" t="s">
        <v>103</v>
      </c>
      <c r="BL380" s="328">
        <f>(COUNTIF(AT380:AV380,"*OK*")*3) + (COUNTIF(AW380:AY380,"*OK*")*2) + COUNTIF(AZ380:BB380,"*OK*")+COUNTIF(BK380:BK380,"SI")*0.5</f>
        <v>0</v>
      </c>
      <c r="BM380" s="328" t="str">
        <f>IF(BL380&lt;0.6,"Demasiado Riesgo",IF(BL380&lt;=5,"Riesgo Medio",IF(BL380&lt;=11,"Riesgo Bajo","Cliente Blindado")))</f>
        <v>Demasiado Riesgo</v>
      </c>
      <c r="BN380" s="328"/>
      <c r="BO380" s="328"/>
      <c r="BP380" s="328"/>
      <c r="BQ380" s="328"/>
      <c r="BR380" s="328"/>
      <c r="BS380" s="328"/>
      <c r="BT380" s="328"/>
      <c r="BU380" s="328"/>
      <c r="BV380" s="328"/>
      <c r="BW380" s="328"/>
      <c r="BX380" s="328"/>
      <c r="BY380" s="328"/>
      <c r="BZ380" s="328"/>
      <c r="CA380" s="328"/>
      <c r="CB380" s="328"/>
      <c r="CC380" s="328"/>
      <c r="CD380" s="328"/>
      <c r="CE380" s="328"/>
      <c r="CF380" s="328"/>
      <c r="CG380" s="328"/>
      <c r="CH380" s="328"/>
      <c r="CI380" s="328"/>
      <c r="CJ380" s="328"/>
      <c r="CK380" s="328"/>
      <c r="CL380" s="328">
        <f>COUNTIF(AT380:BH380,"*OK*")</f>
        <v>0</v>
      </c>
    </row>
    <row r="381" spans="1:94" ht="15" customHeight="1">
      <c r="A381" s="835">
        <v>35965</v>
      </c>
      <c r="B381" s="560" t="s">
        <v>2248</v>
      </c>
      <c r="C381" s="329">
        <f t="shared" si="7"/>
        <v>47.682099999999998</v>
      </c>
      <c r="D381" s="352">
        <f>COUNTIF(AT381:BH381,"*OK*")</f>
        <v>0</v>
      </c>
      <c r="E381" s="331" t="s">
        <v>782</v>
      </c>
      <c r="F381" s="351" t="s">
        <v>2249</v>
      </c>
      <c r="G381" s="351"/>
      <c r="H381" s="650">
        <f>IF(LEN(TRIM($G381&amp;""))=0, $C381, SUMIF($G$3:$G$561, TRIM($G381), $C$3:$C$561))</f>
        <v>47.682099999999998</v>
      </c>
      <c r="I381" s="353" t="s">
        <v>562</v>
      </c>
      <c r="J381" s="351"/>
      <c r="K381" s="349"/>
      <c r="L381" s="349" t="str">
        <f>HYPERLINK("https://crm.zoho.com/crm/org685875245/tab/Accounts/3525045000571370193","https://crm.zoho.com/crm/org685875245/tab/Accounts/3525045000571370193")</f>
        <v>https://crm.zoho.com/crm/org685875245/tab/Accounts/3525045000571370193</v>
      </c>
      <c r="M381" s="553"/>
      <c r="N381" s="352"/>
      <c r="O381" s="540" t="s">
        <v>2250</v>
      </c>
      <c r="P381" s="540" t="s">
        <v>2251</v>
      </c>
      <c r="Q381" s="540" t="s">
        <v>2252</v>
      </c>
      <c r="R381" s="352"/>
      <c r="S381" s="352"/>
      <c r="T381" s="351"/>
      <c r="U381" s="362" t="s">
        <v>394</v>
      </c>
      <c r="V381" s="355"/>
      <c r="W381" s="355">
        <v>54.24</v>
      </c>
      <c r="X381" s="355">
        <v>51.69</v>
      </c>
      <c r="Y381" s="356">
        <v>49.25</v>
      </c>
      <c r="Z381" s="337">
        <v>49.914200000000001</v>
      </c>
      <c r="AA381" s="365">
        <v>49.37</v>
      </c>
      <c r="AB381" s="365"/>
      <c r="AC381" s="635">
        <v>50.698599999999999</v>
      </c>
      <c r="AD381" s="365">
        <v>47.682099999999998</v>
      </c>
      <c r="AE381" s="357">
        <v>12</v>
      </c>
      <c r="AF381" s="358">
        <v>100</v>
      </c>
      <c r="AG381" s="354"/>
      <c r="AH381" s="359"/>
      <c r="AI381" s="360" t="s">
        <v>83</v>
      </c>
      <c r="AJ381" s="361" t="s">
        <v>396</v>
      </c>
      <c r="AK381" s="362" t="s">
        <v>2253</v>
      </c>
      <c r="AL381" s="358" t="s">
        <v>396</v>
      </c>
      <c r="AM381" s="349"/>
      <c r="AN381" s="349"/>
      <c r="AO381" s="349"/>
      <c r="AP381" s="349"/>
      <c r="AQ381" s="349"/>
      <c r="AR381" s="453"/>
      <c r="AS381" s="362" t="s">
        <v>103</v>
      </c>
      <c r="AT381" s="345"/>
      <c r="AU381" s="345"/>
      <c r="AV381" s="345"/>
      <c r="AW381" s="594"/>
      <c r="AX381" s="345"/>
      <c r="AY381" s="345"/>
      <c r="AZ381" s="345"/>
      <c r="BA381" s="345"/>
      <c r="BB381" s="345"/>
      <c r="BC381" s="345"/>
      <c r="BD381" s="345"/>
      <c r="BE381" s="345"/>
      <c r="BF381" s="345"/>
      <c r="BG381" s="345"/>
      <c r="BH381" s="345"/>
      <c r="BI381" s="345"/>
      <c r="BJ381" s="364">
        <f>COUNTIF(AT381:BI381,"*OP*")</f>
        <v>0</v>
      </c>
      <c r="BK381" s="362" t="s">
        <v>103</v>
      </c>
      <c r="BL381" s="349">
        <f>(COUNTIF(AT381:AV381,"*OK*")*3) + (COUNTIF(AW381:AY381,"*OK*")*2) + COUNTIF(AZ381:BB381,"*OK*")+COUNTIF(BK381:BK381,"SI")*0.5</f>
        <v>0</v>
      </c>
      <c r="BM381" s="349" t="str">
        <f>IF(BL381&lt;0.6,"Demasiado Riesgo",IF(BL381&lt;=5,"Riesgo Medio",IF(BL381&lt;=11,"Riesgo Bajo","Cliente Blindado")))</f>
        <v>Demasiado Riesgo</v>
      </c>
      <c r="BN381" s="349"/>
      <c r="BO381" s="349"/>
      <c r="BP381" s="349">
        <v>0</v>
      </c>
      <c r="BQ381" s="349"/>
      <c r="BR381" s="349"/>
      <c r="BS381" s="349"/>
      <c r="BT381" s="349"/>
      <c r="BU381" s="349"/>
      <c r="BV381" s="349"/>
      <c r="BW381" s="349"/>
      <c r="BX381" s="349"/>
      <c r="BY381" s="349"/>
      <c r="BZ381" s="349"/>
      <c r="CA381" s="349"/>
      <c r="CB381" s="349"/>
      <c r="CC381" s="349"/>
      <c r="CD381" s="349"/>
      <c r="CE381" s="349"/>
      <c r="CF381" s="349"/>
      <c r="CG381" s="349"/>
      <c r="CH381" s="349"/>
      <c r="CI381" s="349"/>
      <c r="CJ381" s="349"/>
      <c r="CK381" s="349"/>
      <c r="CL381" s="349">
        <f>COUNTIF(AT381:BH381,"*OK*")</f>
        <v>0</v>
      </c>
      <c r="CM381" s="349"/>
      <c r="CN381" s="349">
        <f>COUNTIF(AT381:BH381,"*OP*")</f>
        <v>0</v>
      </c>
    </row>
    <row r="382" spans="1:94" ht="15" customHeight="1">
      <c r="A382" s="834">
        <v>22060</v>
      </c>
      <c r="B382" s="560" t="s">
        <v>2254</v>
      </c>
      <c r="C382" s="329">
        <f t="shared" si="7"/>
        <v>46.961399999999998</v>
      </c>
      <c r="D382" s="332">
        <f>COUNTIF(AT382:BH382,"*OK*")</f>
        <v>0</v>
      </c>
      <c r="E382" s="331" t="s">
        <v>782</v>
      </c>
      <c r="F382" s="331" t="s">
        <v>2255</v>
      </c>
      <c r="G382" s="331"/>
      <c r="H382" s="650">
        <f>IF(LEN(TRIM($G382&amp;""))=0, $C382, SUMIF($G$3:$G$561, TRIM($G382), $C$3:$C$561))</f>
        <v>46.961399999999998</v>
      </c>
      <c r="I382" s="331" t="s">
        <v>562</v>
      </c>
      <c r="J382" s="331"/>
      <c r="K382" s="328"/>
      <c r="L382" s="328"/>
      <c r="M382" s="391"/>
      <c r="N382" s="332"/>
      <c r="O382" s="541" t="s">
        <v>1512</v>
      </c>
      <c r="P382" s="541"/>
      <c r="Q382" s="541" t="s">
        <v>2256</v>
      </c>
      <c r="R382" s="332"/>
      <c r="S382" s="332"/>
      <c r="T382" s="331"/>
      <c r="U382" s="344" t="s">
        <v>82</v>
      </c>
      <c r="V382" s="335">
        <v>49.36</v>
      </c>
      <c r="W382" s="335">
        <v>49.31</v>
      </c>
      <c r="X382" s="335">
        <v>46.99</v>
      </c>
      <c r="Y382" s="336">
        <v>48.51</v>
      </c>
      <c r="Z382" s="337">
        <v>49.159700000000001</v>
      </c>
      <c r="AA382" s="347">
        <v>48.62</v>
      </c>
      <c r="AB382" s="347">
        <v>49.030799999999999</v>
      </c>
      <c r="AC382" s="638">
        <v>49.932200000000002</v>
      </c>
      <c r="AD382" s="347">
        <v>46.961399999999998</v>
      </c>
      <c r="AE382" s="339">
        <v>10</v>
      </c>
      <c r="AF382" s="340">
        <v>50</v>
      </c>
      <c r="AG382" s="334"/>
      <c r="AH382" s="341"/>
      <c r="AI382" s="418" t="s">
        <v>83</v>
      </c>
      <c r="AJ382" s="343" t="s">
        <v>396</v>
      </c>
      <c r="AK382" s="344" t="s">
        <v>2105</v>
      </c>
      <c r="AL382" s="340" t="s">
        <v>103</v>
      </c>
      <c r="AM382" s="328"/>
      <c r="AN382" s="328"/>
      <c r="AO382" s="328"/>
      <c r="AP382" s="328"/>
      <c r="AQ382" s="328"/>
      <c r="AR382" s="451"/>
      <c r="AS382" s="344" t="s">
        <v>103</v>
      </c>
      <c r="AT382" s="345"/>
      <c r="AU382" s="345"/>
      <c r="AV382" s="345"/>
      <c r="AW382" s="345"/>
      <c r="AX382" s="594"/>
      <c r="AY382" s="345"/>
      <c r="AZ382" s="345"/>
      <c r="BA382" s="345"/>
      <c r="BB382" s="345"/>
      <c r="BC382" s="345"/>
      <c r="BD382" s="345"/>
      <c r="BE382" s="345"/>
      <c r="BF382" s="345"/>
      <c r="BG382" s="345"/>
      <c r="BH382" s="345"/>
      <c r="BI382" s="345"/>
      <c r="BJ382" s="346">
        <f>COUNTIF(AT382:BI382,"*OP*")</f>
        <v>0</v>
      </c>
      <c r="BK382" s="344" t="s">
        <v>103</v>
      </c>
      <c r="BL382" s="328">
        <f>(COUNTIF(AT382:AV382,"*OK*")*3) + (COUNTIF(AW382:AY382,"*OK*")*2) + COUNTIF(AZ382:BB382,"*OK*")+COUNTIF(BK382:BK382,"SI")*0.5</f>
        <v>0</v>
      </c>
      <c r="BM382" s="328" t="str">
        <f>IF(BL382&lt;0.6,"Demasiado Riesgo",IF(BL382&lt;=5,"Riesgo Medio",IF(BL382&lt;=11,"Riesgo Bajo","Cliente Blindado")))</f>
        <v>Demasiado Riesgo</v>
      </c>
      <c r="BN382" s="328"/>
      <c r="BO382" s="328"/>
      <c r="BP382" s="328">
        <v>0</v>
      </c>
      <c r="BQ382" s="328"/>
      <c r="BR382" s="328"/>
      <c r="BS382" s="328"/>
      <c r="BT382" s="328"/>
      <c r="BU382" s="328"/>
      <c r="BV382" s="328"/>
      <c r="BW382" s="328"/>
      <c r="BX382" s="328"/>
      <c r="BY382" s="328"/>
      <c r="BZ382" s="328"/>
      <c r="CA382" s="328"/>
      <c r="CB382" s="328"/>
      <c r="CC382" s="328"/>
      <c r="CD382" s="328"/>
      <c r="CE382" s="328"/>
      <c r="CF382" s="328"/>
      <c r="CG382" s="328"/>
      <c r="CH382" s="328"/>
      <c r="CI382" s="328"/>
      <c r="CJ382" s="328"/>
      <c r="CK382" s="328"/>
      <c r="CL382" s="328">
        <f>COUNTIF(AT382:BH382,"*OK*")</f>
        <v>0</v>
      </c>
      <c r="CM382" s="328"/>
      <c r="CN382" s="328">
        <f>COUNTIF(AT382:BH382,"*OP*")</f>
        <v>0</v>
      </c>
    </row>
    <row r="383" spans="1:94" ht="15" customHeight="1">
      <c r="A383" s="835"/>
      <c r="B383" s="560" t="s">
        <v>2257</v>
      </c>
      <c r="C383" s="329">
        <f t="shared" si="7"/>
        <v>50.220799999999997</v>
      </c>
      <c r="D383" s="352">
        <f>COUNTIF(AX383:BI383,"OK")</f>
        <v>0</v>
      </c>
      <c r="E383" s="500" t="s">
        <v>782</v>
      </c>
      <c r="F383" s="537" t="s">
        <v>2258</v>
      </c>
      <c r="G383" s="536"/>
      <c r="H383" s="650">
        <f>IF(LEN(TRIM($G383&amp;""))=0, $C383, SUMIF($G$3:$G$561, TRIM($G383), $C$3:$C$561))</f>
        <v>50.220799999999997</v>
      </c>
      <c r="I383" s="500" t="s">
        <v>562</v>
      </c>
      <c r="J383" s="500" t="s">
        <v>103</v>
      </c>
      <c r="K383" s="349"/>
      <c r="L383" s="349" t="str">
        <f>HYPERLINK("https://crm.zoho.com/crm/org685875245/tab/Accounts/3525045000626460093","https://crm.zoho.com/crm/org685875245/tab/Accounts/3525045000626460093")</f>
        <v>https://crm.zoho.com/crm/org685875245/tab/Accounts/3525045000626460093</v>
      </c>
      <c r="M383" s="553"/>
      <c r="N383" s="500" t="s">
        <v>103</v>
      </c>
      <c r="O383" s="542" t="s">
        <v>2259</v>
      </c>
      <c r="P383" s="542" t="s">
        <v>2260</v>
      </c>
      <c r="Q383" s="542" t="s">
        <v>2261</v>
      </c>
      <c r="R383" s="500"/>
      <c r="S383" s="500" t="s">
        <v>103</v>
      </c>
      <c r="T383" s="500" t="s">
        <v>88</v>
      </c>
      <c r="U383" s="467" t="s">
        <v>103</v>
      </c>
      <c r="V383" s="500" t="s">
        <v>103</v>
      </c>
      <c r="W383" s="500" t="s">
        <v>103</v>
      </c>
      <c r="X383" s="500" t="s">
        <v>103</v>
      </c>
      <c r="Y383" s="511" t="s">
        <v>103</v>
      </c>
      <c r="Z383" s="517" t="s">
        <v>103</v>
      </c>
      <c r="AA383" s="518">
        <v>55.71</v>
      </c>
      <c r="AB383" s="518">
        <v>44.943300000000001</v>
      </c>
      <c r="AC383" s="639">
        <v>49.5837</v>
      </c>
      <c r="AD383" s="518">
        <v>50.220799999999997</v>
      </c>
      <c r="AE383" s="348"/>
      <c r="AF383" s="371" t="s">
        <v>103</v>
      </c>
      <c r="AG383" s="362"/>
      <c r="AH383" s="349"/>
      <c r="AI383" s="361"/>
      <c r="AJ383" s="361"/>
      <c r="AK383" s="362"/>
      <c r="AL383" s="371" t="s">
        <v>103</v>
      </c>
      <c r="AM383" s="349"/>
      <c r="AN383" s="349"/>
      <c r="AO383" s="349"/>
      <c r="AP383" s="349"/>
      <c r="AQ383" s="349"/>
      <c r="AR383" s="453"/>
      <c r="AS383" s="450"/>
      <c r="AT383" s="345"/>
      <c r="AU383" s="345"/>
      <c r="AV383" s="345"/>
      <c r="AW383" s="345"/>
      <c r="AX383" s="345"/>
      <c r="AY383" s="594"/>
      <c r="AZ383" s="345"/>
      <c r="BA383" s="345"/>
      <c r="BB383" s="345"/>
      <c r="BC383" s="345"/>
      <c r="BD383" s="345"/>
      <c r="BE383" s="345"/>
      <c r="BF383" s="345"/>
      <c r="BG383" s="345"/>
      <c r="BH383" s="345"/>
      <c r="BI383" s="345"/>
      <c r="BJ383" s="346">
        <f>COUNTIF(AT383:BI383,"*OP*")</f>
        <v>0</v>
      </c>
      <c r="BK383" s="450"/>
      <c r="BL383" s="349">
        <f>(COUNTIF(AT383:AV383,"*OK*")*3) + (COUNTIF(AW383:AY383,"*OK*")*2) + COUNTIF(AZ383:BB383,"*OK*")+COUNTIF(BK383:BK383,"SI")*0.5</f>
        <v>0</v>
      </c>
      <c r="BM383" s="349" t="str">
        <f>IF(BL383&lt;0.6,"Demasiado Riesgo",IF(BL383&lt;=5,"Riesgo Medio",IF(BL383&lt;=11,"Riesgo Bajo","Cliente Blindado")))</f>
        <v>Demasiado Riesgo</v>
      </c>
      <c r="BN383" s="349"/>
      <c r="BO383" s="328"/>
      <c r="BP383" s="328"/>
      <c r="BQ383" s="328"/>
      <c r="BR383" s="328"/>
      <c r="BS383" s="328"/>
      <c r="BT383" s="328"/>
      <c r="BU383" s="328"/>
      <c r="BV383" s="328"/>
      <c r="BW383" s="328"/>
      <c r="BX383" s="328"/>
      <c r="BY383" s="328"/>
      <c r="BZ383" s="328"/>
      <c r="CA383" s="328"/>
      <c r="CB383" s="328"/>
      <c r="CC383" s="328"/>
      <c r="CD383" s="328"/>
      <c r="CE383" s="328"/>
      <c r="CF383" s="328"/>
      <c r="CG383" s="328"/>
      <c r="CH383" s="328"/>
      <c r="CI383" s="328"/>
      <c r="CJ383" s="328"/>
      <c r="CK383" s="328"/>
      <c r="CL383" s="328">
        <f>COUNTIF(AT383:BH383,"*OK*")</f>
        <v>0</v>
      </c>
      <c r="CM383" s="328"/>
      <c r="CN383" s="328"/>
    </row>
    <row r="384" spans="1:94" ht="15" customHeight="1">
      <c r="A384" s="834">
        <v>24731</v>
      </c>
      <c r="B384" s="560" t="s">
        <v>2262</v>
      </c>
      <c r="C384" s="329">
        <f t="shared" si="7"/>
        <v>42.931600000000003</v>
      </c>
      <c r="D384" s="332">
        <f>COUNTIF(AT384:BH384,"*OK*")</f>
        <v>0</v>
      </c>
      <c r="E384" s="331" t="s">
        <v>782</v>
      </c>
      <c r="F384" s="331" t="s">
        <v>2263</v>
      </c>
      <c r="G384" s="331"/>
      <c r="H384" s="650">
        <f>IF(LEN(TRIM($G384&amp;""))=0, $C384, SUMIF($G$3:$G$561, TRIM($G384), $C$3:$C$561))</f>
        <v>42.931600000000003</v>
      </c>
      <c r="I384" s="331" t="s">
        <v>562</v>
      </c>
      <c r="J384" s="331"/>
      <c r="K384" s="328"/>
      <c r="L384" s="328" t="str">
        <f>HYPERLINK("https://crm.zoho.com/crm/org685875245/tab/Accounts/3525045000317344001","https://crm.zoho.com/crm/org685875245/tab/Accounts/3525045000317344001")</f>
        <v>https://crm.zoho.com/crm/org685875245/tab/Accounts/3525045000317344001</v>
      </c>
      <c r="M384" s="391"/>
      <c r="N384" s="332"/>
      <c r="O384" s="541" t="s">
        <v>2264</v>
      </c>
      <c r="P384" s="541"/>
      <c r="Q384" s="541" t="s">
        <v>2265</v>
      </c>
      <c r="R384" s="332"/>
      <c r="S384" s="332"/>
      <c r="T384" s="331"/>
      <c r="U384" s="344" t="s">
        <v>585</v>
      </c>
      <c r="V384" s="335">
        <v>45.12</v>
      </c>
      <c r="W384" s="335">
        <v>42.26</v>
      </c>
      <c r="X384" s="335">
        <v>40.28</v>
      </c>
      <c r="Y384" s="336">
        <v>41.57</v>
      </c>
      <c r="Z384" s="337">
        <v>47.750100000000003</v>
      </c>
      <c r="AA384" s="347">
        <v>47.23</v>
      </c>
      <c r="AB384" s="347">
        <v>44.823500000000003</v>
      </c>
      <c r="AC384" s="638">
        <v>48.500500000000002</v>
      </c>
      <c r="AD384" s="347">
        <v>42.931600000000003</v>
      </c>
      <c r="AE384" s="339">
        <v>16</v>
      </c>
      <c r="AF384" s="340">
        <v>50</v>
      </c>
      <c r="AG384" s="334"/>
      <c r="AH384" s="341"/>
      <c r="AI384" s="418" t="s">
        <v>83</v>
      </c>
      <c r="AJ384" s="343" t="s">
        <v>199</v>
      </c>
      <c r="AK384" s="344" t="s">
        <v>2266</v>
      </c>
      <c r="AL384" s="340" t="s">
        <v>103</v>
      </c>
      <c r="AM384" s="328"/>
      <c r="AN384" s="328"/>
      <c r="AO384" s="328"/>
      <c r="AP384" s="328"/>
      <c r="AQ384" s="328"/>
      <c r="AR384" s="451"/>
      <c r="AS384" s="372" t="s">
        <v>103</v>
      </c>
      <c r="AT384" s="445"/>
      <c r="AU384" s="445"/>
      <c r="AV384" s="445"/>
      <c r="AW384" s="445"/>
      <c r="AX384" s="445"/>
      <c r="AY384" s="445"/>
      <c r="AZ384" s="445"/>
      <c r="BA384" s="445"/>
      <c r="BB384" s="445"/>
      <c r="BC384" s="445"/>
      <c r="BD384" s="445"/>
      <c r="BE384" s="445"/>
      <c r="BF384" s="445"/>
      <c r="BG384" s="445"/>
      <c r="BH384" s="445"/>
      <c r="BI384" s="445"/>
      <c r="BJ384" s="446">
        <f>COUNTIF(AT384:BI384,"*OP*")</f>
        <v>0</v>
      </c>
      <c r="BK384" s="375" t="s">
        <v>103</v>
      </c>
      <c r="BL384" s="328">
        <f>(COUNTIF(AT384:AV384,"*OK*")*3) + (COUNTIF(AW384:AY384,"*OK*")*2) + COUNTIF(AZ384:BB384,"*OK*")+COUNTIF(BK384:BK384,"SI")*0.5</f>
        <v>0</v>
      </c>
      <c r="BM384" s="328" t="str">
        <f>IF(BL384&lt;0.6,"Demasiado Riesgo",IF(BL384&lt;=5,"Riesgo Medio",IF(BL384&lt;=11,"Riesgo Bajo","Cliente Blindado")))</f>
        <v>Demasiado Riesgo</v>
      </c>
      <c r="BN384" s="328"/>
      <c r="BO384" s="328"/>
      <c r="BP384" s="328">
        <v>0</v>
      </c>
      <c r="BQ384" s="328"/>
      <c r="BR384" s="328"/>
      <c r="BS384" s="328"/>
      <c r="BT384" s="328"/>
      <c r="BU384" s="328"/>
      <c r="BV384" s="328"/>
      <c r="BW384" s="328"/>
      <c r="BX384" s="328"/>
      <c r="BY384" s="328"/>
      <c r="BZ384" s="328"/>
      <c r="CA384" s="328"/>
      <c r="CB384" s="328"/>
      <c r="CC384" s="328"/>
      <c r="CD384" s="328"/>
      <c r="CE384" s="328"/>
      <c r="CF384" s="328"/>
      <c r="CG384" s="328"/>
      <c r="CH384" s="328"/>
      <c r="CI384" s="328"/>
      <c r="CJ384" s="328"/>
      <c r="CK384" s="328"/>
      <c r="CL384" s="328">
        <f>COUNTIF(AT384:BH384,"*OK*")</f>
        <v>0</v>
      </c>
      <c r="CM384" s="328"/>
      <c r="CN384" s="328">
        <f>COUNTIF(AT384:BH384,"*OP*")</f>
        <v>0</v>
      </c>
    </row>
    <row r="385" spans="1:93" ht="15" customHeight="1">
      <c r="A385" s="835">
        <v>24347</v>
      </c>
      <c r="B385" s="560" t="s">
        <v>2267</v>
      </c>
      <c r="C385" s="329">
        <f t="shared" si="7"/>
        <v>44.725200000000001</v>
      </c>
      <c r="D385" s="352">
        <f>COUNTIF(AT385:BH385,"*OK*")</f>
        <v>0</v>
      </c>
      <c r="E385" s="331" t="s">
        <v>782</v>
      </c>
      <c r="F385" s="351" t="s">
        <v>2268</v>
      </c>
      <c r="G385" s="351"/>
      <c r="H385" s="650">
        <f>IF(LEN(TRIM($G385&amp;""))=0, $C385, SUMIF($G$3:$G$561, TRIM($G385), $C$3:$C$561))</f>
        <v>44.725200000000001</v>
      </c>
      <c r="I385" s="351" t="s">
        <v>562</v>
      </c>
      <c r="J385" s="351"/>
      <c r="K385" s="349"/>
      <c r="L385" s="349" t="str">
        <f>HYPERLINK("https://crm.zoho.com/crm/org685875245/tab/Accounts/3525045000299575053","https://crm.zoho.com/crm/org685875245/tab/Accounts/3525045000299575053")</f>
        <v>https://crm.zoho.com/crm/org685875245/tab/Accounts/3525045000299575053</v>
      </c>
      <c r="M385" s="553"/>
      <c r="N385" s="352"/>
      <c r="O385" s="540" t="s">
        <v>2269</v>
      </c>
      <c r="P385" s="540" t="s">
        <v>2270</v>
      </c>
      <c r="Q385" s="540" t="s">
        <v>2271</v>
      </c>
      <c r="R385" s="352"/>
      <c r="S385" s="352"/>
      <c r="T385" s="351"/>
      <c r="U385" s="362" t="s">
        <v>394</v>
      </c>
      <c r="V385" s="355">
        <v>47.01</v>
      </c>
      <c r="W385" s="355">
        <v>46.96</v>
      </c>
      <c r="X385" s="355">
        <v>44.76</v>
      </c>
      <c r="Y385" s="356">
        <v>46.2</v>
      </c>
      <c r="Z385" s="337">
        <v>46.818800000000003</v>
      </c>
      <c r="AA385" s="365">
        <v>46.31</v>
      </c>
      <c r="AB385" s="365">
        <v>46.696100000000001</v>
      </c>
      <c r="AC385" s="635">
        <v>47.554600000000001</v>
      </c>
      <c r="AD385" s="365">
        <v>44.725200000000001</v>
      </c>
      <c r="AE385" s="357">
        <v>7</v>
      </c>
      <c r="AF385" s="358">
        <v>50</v>
      </c>
      <c r="AG385" s="354"/>
      <c r="AH385" s="359"/>
      <c r="AI385" s="360" t="s">
        <v>83</v>
      </c>
      <c r="AJ385" s="361" t="s">
        <v>574</v>
      </c>
      <c r="AK385" s="362" t="s">
        <v>2272</v>
      </c>
      <c r="AL385" s="358" t="s">
        <v>103</v>
      </c>
      <c r="AM385" s="349"/>
      <c r="AN385" s="349"/>
      <c r="AO385" s="349"/>
      <c r="AP385" s="349"/>
      <c r="AQ385" s="349"/>
      <c r="AR385" s="453"/>
      <c r="AS385" s="371" t="s">
        <v>103</v>
      </c>
      <c r="AT385" s="345"/>
      <c r="AU385" s="345"/>
      <c r="AV385" s="345"/>
      <c r="AW385" s="345"/>
      <c r="AX385" s="345"/>
      <c r="AY385" s="345"/>
      <c r="AZ385" s="345"/>
      <c r="BA385" s="345"/>
      <c r="BB385" s="345"/>
      <c r="BC385" s="345"/>
      <c r="BD385" s="345"/>
      <c r="BE385" s="345"/>
      <c r="BF385" s="345"/>
      <c r="BG385" s="345"/>
      <c r="BH385" s="345"/>
      <c r="BI385" s="345"/>
      <c r="BJ385" s="364">
        <f>COUNTIF(AT385:BI385,"*OP*")</f>
        <v>0</v>
      </c>
      <c r="BK385" s="363" t="s">
        <v>103</v>
      </c>
      <c r="BL385" s="349">
        <f>(COUNTIF(AT385:AV385,"*OK*")*3) + (COUNTIF(AW385:AY385,"*OK*")*2) + COUNTIF(AZ385:BB385,"*OK*")+COUNTIF(BK385:BK385,"SI")*0.5</f>
        <v>0</v>
      </c>
      <c r="BM385" s="349" t="str">
        <f>IF(BL385&lt;0.6,"Demasiado Riesgo",IF(BL385&lt;=5,"Riesgo Medio",IF(BL385&lt;=11,"Riesgo Bajo","Cliente Blindado")))</f>
        <v>Demasiado Riesgo</v>
      </c>
      <c r="BN385" s="349"/>
      <c r="BO385" s="349"/>
      <c r="BP385" s="349">
        <v>0</v>
      </c>
      <c r="BQ385" s="349"/>
      <c r="BR385" s="349"/>
      <c r="BS385" s="349"/>
      <c r="BT385" s="349"/>
      <c r="BU385" s="349"/>
      <c r="BV385" s="349"/>
      <c r="BW385" s="349"/>
      <c r="BX385" s="349"/>
      <c r="BY385" s="349"/>
      <c r="BZ385" s="349"/>
      <c r="CA385" s="349"/>
      <c r="CB385" s="349"/>
      <c r="CC385" s="349"/>
      <c r="CD385" s="349"/>
      <c r="CE385" s="349"/>
      <c r="CF385" s="349"/>
      <c r="CG385" s="349"/>
      <c r="CH385" s="349"/>
      <c r="CI385" s="349"/>
      <c r="CJ385" s="349"/>
      <c r="CK385" s="349"/>
      <c r="CL385" s="349">
        <f>COUNTIF(AT385:BH385,"*OK*")</f>
        <v>0</v>
      </c>
      <c r="CM385" s="349"/>
      <c r="CN385" s="349">
        <f>COUNTIF(AT385:BH385,"*OP*")</f>
        <v>0</v>
      </c>
    </row>
    <row r="386" spans="1:93" ht="15" customHeight="1">
      <c r="A386" s="834">
        <v>21885</v>
      </c>
      <c r="B386" s="560" t="s">
        <v>2273</v>
      </c>
      <c r="C386" s="329">
        <f t="shared" si="7"/>
        <v>44.725200000000001</v>
      </c>
      <c r="D386" s="332">
        <f>COUNTIF(AT386:BH386,"*OK*")</f>
        <v>0</v>
      </c>
      <c r="E386" s="331" t="s">
        <v>782</v>
      </c>
      <c r="F386" s="331" t="s">
        <v>2274</v>
      </c>
      <c r="G386" s="331"/>
      <c r="H386" s="650">
        <f>IF(LEN(TRIM($G386&amp;""))=0, $C386, SUMIF($G$3:$G$561, TRIM($G386), $C$3:$C$561))</f>
        <v>44.725200000000001</v>
      </c>
      <c r="I386" s="331" t="s">
        <v>562</v>
      </c>
      <c r="J386" s="331"/>
      <c r="K386" s="328"/>
      <c r="L386" s="328"/>
      <c r="M386" s="391"/>
      <c r="N386" s="332"/>
      <c r="O386" s="541" t="s">
        <v>2275</v>
      </c>
      <c r="P386" s="541"/>
      <c r="Q386" s="541" t="s">
        <v>2276</v>
      </c>
      <c r="R386" s="332"/>
      <c r="S386" s="332"/>
      <c r="T386" s="331"/>
      <c r="U386" s="344" t="s">
        <v>82</v>
      </c>
      <c r="V386" s="335">
        <v>47.01</v>
      </c>
      <c r="W386" s="335">
        <v>46.96</v>
      </c>
      <c r="X386" s="335">
        <v>44.76</v>
      </c>
      <c r="Y386" s="336">
        <v>46.2</v>
      </c>
      <c r="Z386" s="337">
        <v>46.818800000000003</v>
      </c>
      <c r="AA386" s="347">
        <v>46.31</v>
      </c>
      <c r="AB386" s="347">
        <v>46.696100000000001</v>
      </c>
      <c r="AC386" s="638">
        <v>47.554600000000001</v>
      </c>
      <c r="AD386" s="347">
        <v>44.725200000000001</v>
      </c>
      <c r="AE386" s="339">
        <v>10</v>
      </c>
      <c r="AF386" s="340">
        <v>50</v>
      </c>
      <c r="AG386" s="334"/>
      <c r="AH386" s="341"/>
      <c r="AI386" s="418" t="s">
        <v>83</v>
      </c>
      <c r="AJ386" s="343" t="s">
        <v>396</v>
      </c>
      <c r="AK386" s="344" t="s">
        <v>2277</v>
      </c>
      <c r="AL386" s="340" t="s">
        <v>103</v>
      </c>
      <c r="AM386" s="328"/>
      <c r="AN386" s="328"/>
      <c r="AO386" s="328"/>
      <c r="AP386" s="328"/>
      <c r="AQ386" s="328"/>
      <c r="AR386" s="451"/>
      <c r="AS386" s="344" t="s">
        <v>103</v>
      </c>
      <c r="AT386" s="345"/>
      <c r="AU386" s="345"/>
      <c r="AV386" s="345"/>
      <c r="AW386" s="345"/>
      <c r="AX386" s="345"/>
      <c r="AY386" s="345"/>
      <c r="AZ386" s="345"/>
      <c r="BA386" s="345"/>
      <c r="BB386" s="345"/>
      <c r="BC386" s="345"/>
      <c r="BD386" s="345"/>
      <c r="BE386" s="345"/>
      <c r="BF386" s="345"/>
      <c r="BG386" s="345"/>
      <c r="BH386" s="345"/>
      <c r="BI386" s="345"/>
      <c r="BJ386" s="364">
        <f>COUNTIF(AT386:BI386,"*OP*")</f>
        <v>0</v>
      </c>
      <c r="BK386" s="344" t="s">
        <v>103</v>
      </c>
      <c r="BL386" s="328">
        <f>(COUNTIF(AT386:AV386,"*OK*")*3) + (COUNTIF(AW386:AY386,"*OK*")*2) + COUNTIF(AZ386:BB386,"*OK*")+COUNTIF(BK386:BK386,"SI")*0.5</f>
        <v>0</v>
      </c>
      <c r="BM386" s="328" t="str">
        <f>IF(BL386&lt;0.6,"Demasiado Riesgo",IF(BL386&lt;=5,"Riesgo Medio",IF(BL386&lt;=11,"Riesgo Bajo","Cliente Blindado")))</f>
        <v>Demasiado Riesgo</v>
      </c>
      <c r="BN386" s="328"/>
      <c r="BO386" s="349"/>
      <c r="BP386" s="349">
        <v>0</v>
      </c>
      <c r="BQ386" s="349"/>
      <c r="BR386" s="349"/>
      <c r="BS386" s="349"/>
      <c r="BT386" s="349"/>
      <c r="BU386" s="349"/>
      <c r="BV386" s="349"/>
      <c r="BW386" s="349"/>
      <c r="BX386" s="349"/>
      <c r="BY386" s="349"/>
      <c r="BZ386" s="349"/>
      <c r="CA386" s="349"/>
      <c r="CB386" s="349"/>
      <c r="CC386" s="349"/>
      <c r="CD386" s="349"/>
      <c r="CE386" s="349"/>
      <c r="CF386" s="349"/>
      <c r="CG386" s="349"/>
      <c r="CH386" s="349"/>
      <c r="CI386" s="349"/>
      <c r="CJ386" s="349"/>
      <c r="CK386" s="349"/>
      <c r="CL386" s="349">
        <f>COUNTIF(AT386:BH386,"*OK*")</f>
        <v>0</v>
      </c>
      <c r="CM386" s="349"/>
      <c r="CN386" s="349">
        <f>COUNTIF(AT386:BH386,"*OP*")</f>
        <v>0</v>
      </c>
    </row>
    <row r="387" spans="1:93" ht="15" customHeight="1">
      <c r="A387" s="835">
        <v>23844</v>
      </c>
      <c r="B387" s="560" t="s">
        <v>2278</v>
      </c>
      <c r="C387" s="329">
        <f t="shared" si="7"/>
        <v>44.725200000000001</v>
      </c>
      <c r="D387" s="352">
        <f>COUNTIF(AT387:BH387,"*OK*")</f>
        <v>0</v>
      </c>
      <c r="E387" s="331" t="s">
        <v>782</v>
      </c>
      <c r="F387" s="351" t="s">
        <v>2279</v>
      </c>
      <c r="G387" s="351"/>
      <c r="H387" s="650">
        <f>IF(LEN(TRIM($G387&amp;""))=0, $C387, SUMIF($G$3:$G$561, TRIM($G387), $C$3:$C$561))</f>
        <v>44.725200000000001</v>
      </c>
      <c r="I387" s="351" t="s">
        <v>562</v>
      </c>
      <c r="J387" s="351"/>
      <c r="K387" s="349"/>
      <c r="L387" s="349" t="str">
        <f>HYPERLINK("https://crm.zoho.com/crm/org685875245/tab/Accounts/3525045000286507171","https://crm.zoho.com/crm/org685875245/tab/Accounts/3525045000286507171")</f>
        <v>https://crm.zoho.com/crm/org685875245/tab/Accounts/3525045000286507171</v>
      </c>
      <c r="M387" s="553"/>
      <c r="N387" s="352"/>
      <c r="O387" s="540" t="s">
        <v>2280</v>
      </c>
      <c r="P387" s="540" t="s">
        <v>2281</v>
      </c>
      <c r="Q387" s="540" t="s">
        <v>2282</v>
      </c>
      <c r="R387" s="352"/>
      <c r="S387" s="352"/>
      <c r="T387" s="351"/>
      <c r="U387" s="362" t="s">
        <v>82</v>
      </c>
      <c r="V387" s="355">
        <v>47.01</v>
      </c>
      <c r="W387" s="355">
        <v>46.96</v>
      </c>
      <c r="X387" s="355">
        <v>44.76</v>
      </c>
      <c r="Y387" s="356">
        <v>46.2</v>
      </c>
      <c r="Z387" s="337">
        <v>46.818800000000003</v>
      </c>
      <c r="AA387" s="365">
        <v>46.31</v>
      </c>
      <c r="AB387" s="365">
        <v>46.696100000000001</v>
      </c>
      <c r="AC387" s="635">
        <v>47.554600000000001</v>
      </c>
      <c r="AD387" s="365">
        <v>44.725200000000001</v>
      </c>
      <c r="AE387" s="357">
        <v>16</v>
      </c>
      <c r="AF387" s="358">
        <v>100</v>
      </c>
      <c r="AG387" s="354"/>
      <c r="AH387" s="359"/>
      <c r="AI387" s="361" t="s">
        <v>1066</v>
      </c>
      <c r="AJ387" s="361" t="s">
        <v>130</v>
      </c>
      <c r="AK387" s="362" t="s">
        <v>2283</v>
      </c>
      <c r="AL387" s="358" t="s">
        <v>103</v>
      </c>
      <c r="AM387" s="349"/>
      <c r="AN387" s="349"/>
      <c r="AO387" s="349"/>
      <c r="AP387" s="349"/>
      <c r="AQ387" s="349"/>
      <c r="AR387" s="453"/>
      <c r="AS387" s="363" t="s">
        <v>103</v>
      </c>
      <c r="AT387" s="345"/>
      <c r="AU387" s="345"/>
      <c r="AV387" s="594"/>
      <c r="AW387" s="345"/>
      <c r="AX387" s="345"/>
      <c r="AY387" s="345"/>
      <c r="AZ387" s="594"/>
      <c r="BA387" s="594"/>
      <c r="BB387" s="345"/>
      <c r="BC387" s="345"/>
      <c r="BD387" s="345"/>
      <c r="BE387" s="345"/>
      <c r="BF387" s="345"/>
      <c r="BG387" s="345"/>
      <c r="BH387" s="345"/>
      <c r="BI387" s="345"/>
      <c r="BJ387" s="346">
        <f>COUNTIF(AT387:BI387,"*OP*")</f>
        <v>0</v>
      </c>
      <c r="BK387" s="363" t="s">
        <v>103</v>
      </c>
      <c r="BL387" s="349">
        <f>(COUNTIF(AT387:AV387,"*OK*")*3) + (COUNTIF(AW387:AY387,"*OK*")*2) + COUNTIF(AZ387:BB387,"*OK*")+COUNTIF(BK387:BK387,"SI")*0.5</f>
        <v>0</v>
      </c>
      <c r="BM387" s="349" t="str">
        <f>IF(BL387&lt;0.6,"Demasiado Riesgo",IF(BL387&lt;=5,"Riesgo Medio",IF(BL387&lt;=11,"Riesgo Bajo","Cliente Blindado")))</f>
        <v>Demasiado Riesgo</v>
      </c>
      <c r="BN387" s="349"/>
      <c r="BO387" s="328"/>
      <c r="BP387" s="328">
        <v>0</v>
      </c>
      <c r="BQ387" s="328"/>
      <c r="BR387" s="328"/>
      <c r="BS387" s="328"/>
      <c r="BT387" s="328"/>
      <c r="BU387" s="328"/>
      <c r="BV387" s="328"/>
      <c r="BW387" s="328"/>
      <c r="BX387" s="328"/>
      <c r="BY387" s="328"/>
      <c r="BZ387" s="328"/>
      <c r="CA387" s="328"/>
      <c r="CB387" s="328"/>
      <c r="CC387" s="328"/>
      <c r="CD387" s="328"/>
      <c r="CE387" s="328"/>
      <c r="CF387" s="328"/>
      <c r="CG387" s="328"/>
      <c r="CH387" s="328"/>
      <c r="CI387" s="328"/>
      <c r="CJ387" s="328"/>
      <c r="CK387" s="328"/>
      <c r="CL387" s="328">
        <f>COUNTIF(AT387:BH387,"*OK*")</f>
        <v>0</v>
      </c>
      <c r="CM387" s="328"/>
      <c r="CN387" s="328">
        <f>COUNTIF(AT387:BH387,"*OP*")</f>
        <v>0</v>
      </c>
    </row>
    <row r="388" spans="1:93" ht="15" customHeight="1">
      <c r="A388" s="835">
        <v>33286</v>
      </c>
      <c r="B388" s="560" t="s">
        <v>2284</v>
      </c>
      <c r="C388" s="329">
        <f t="shared" ref="C388:C451" si="8">AD388</f>
        <v>44.631900000000002</v>
      </c>
      <c r="D388" s="352">
        <f>COUNTIF(AT388:BH388,"*OK*")</f>
        <v>0</v>
      </c>
      <c r="E388" s="331" t="s">
        <v>782</v>
      </c>
      <c r="F388" s="351" t="s">
        <v>2285</v>
      </c>
      <c r="G388" s="351"/>
      <c r="H388" s="650">
        <f>IF(LEN(TRIM($G388&amp;""))=0, $C388, SUMIF($G$3:$G$561, TRIM($G388), $C$3:$C$561))</f>
        <v>44.631900000000002</v>
      </c>
      <c r="I388" s="351" t="s">
        <v>562</v>
      </c>
      <c r="J388" s="351"/>
      <c r="K388" s="349"/>
      <c r="L388" s="349" t="str">
        <f>HYPERLINK("https://crm.zoho.com/crm/org685875245/tab/Accounts/3525045000495419503","https://crm.zoho.com/crm/org685875245/tab/Accounts/3525045000495419503")</f>
        <v>https://crm.zoho.com/crm/org685875245/tab/Accounts/3525045000495419503</v>
      </c>
      <c r="M388" s="553"/>
      <c r="N388" s="352"/>
      <c r="O388" s="540" t="s">
        <v>1029</v>
      </c>
      <c r="P388" s="540" t="s">
        <v>2286</v>
      </c>
      <c r="Q388" s="540" t="s">
        <v>2287</v>
      </c>
      <c r="R388" s="352"/>
      <c r="S388" s="352"/>
      <c r="T388" s="351"/>
      <c r="U388" s="362" t="s">
        <v>82</v>
      </c>
      <c r="V388" s="355">
        <v>43.3</v>
      </c>
      <c r="W388" s="355">
        <v>46.87</v>
      </c>
      <c r="X388" s="355">
        <v>44.66</v>
      </c>
      <c r="Y388" s="356">
        <v>46.1</v>
      </c>
      <c r="Z388" s="337">
        <v>46.721200000000003</v>
      </c>
      <c r="AA388" s="365">
        <v>46.21</v>
      </c>
      <c r="AB388" s="365">
        <v>46.598700000000001</v>
      </c>
      <c r="AC388" s="635">
        <v>47.455399999999997</v>
      </c>
      <c r="AD388" s="365">
        <v>44.631900000000002</v>
      </c>
      <c r="AE388" s="357">
        <v>13</v>
      </c>
      <c r="AF388" s="358">
        <v>50</v>
      </c>
      <c r="AG388" s="354"/>
      <c r="AH388" s="359"/>
      <c r="AI388" s="370" t="s">
        <v>100</v>
      </c>
      <c r="AJ388" s="361" t="s">
        <v>130</v>
      </c>
      <c r="AK388" s="362" t="s">
        <v>2288</v>
      </c>
      <c r="AL388" s="358" t="s">
        <v>103</v>
      </c>
      <c r="AM388" s="349"/>
      <c r="AN388" s="349"/>
      <c r="AO388" s="349"/>
      <c r="AP388" s="349"/>
      <c r="AQ388" s="349"/>
      <c r="AR388" s="453"/>
      <c r="AS388" s="371" t="s">
        <v>103</v>
      </c>
      <c r="AT388" s="345"/>
      <c r="AU388" s="345"/>
      <c r="AV388" s="345"/>
      <c r="AW388" s="345"/>
      <c r="AX388" s="345"/>
      <c r="AY388" s="345"/>
      <c r="AZ388" s="345"/>
      <c r="BA388" s="345"/>
      <c r="BB388" s="345"/>
      <c r="BC388" s="345"/>
      <c r="BD388" s="345"/>
      <c r="BE388" s="345"/>
      <c r="BF388" s="345"/>
      <c r="BG388" s="345"/>
      <c r="BH388" s="345"/>
      <c r="BI388" s="345"/>
      <c r="BJ388" s="364">
        <f>COUNTIF(AT388:BI388,"*OP*")</f>
        <v>0</v>
      </c>
      <c r="BK388" s="363" t="s">
        <v>103</v>
      </c>
      <c r="BL388" s="349">
        <f>(COUNTIF(AT388:AV388,"*OK*")*3) + (COUNTIF(AW388:AY388,"*OK*")*2) + COUNTIF(AZ388:BB388,"*OK*")+COUNTIF(BK388:BK388,"SI")*0.5</f>
        <v>0</v>
      </c>
      <c r="BM388" s="349" t="str">
        <f>IF(BL388&lt;0.6,"Demasiado Riesgo",IF(BL388&lt;=5,"Riesgo Medio",IF(BL388&lt;=11,"Riesgo Bajo","Cliente Blindado")))</f>
        <v>Demasiado Riesgo</v>
      </c>
      <c r="BN388" s="349"/>
      <c r="BO388" s="349"/>
      <c r="BP388" s="349">
        <v>0</v>
      </c>
      <c r="BQ388" s="349"/>
      <c r="BR388" s="349"/>
      <c r="BS388" s="349"/>
      <c r="BT388" s="349"/>
      <c r="BU388" s="349"/>
      <c r="BV388" s="349"/>
      <c r="BW388" s="349"/>
      <c r="BX388" s="349"/>
      <c r="BY388" s="349"/>
      <c r="BZ388" s="349"/>
      <c r="CA388" s="349"/>
      <c r="CB388" s="349"/>
      <c r="CC388" s="349"/>
      <c r="CD388" s="349"/>
      <c r="CE388" s="349"/>
      <c r="CF388" s="349"/>
      <c r="CG388" s="349"/>
      <c r="CH388" s="349"/>
      <c r="CI388" s="349"/>
      <c r="CJ388" s="349"/>
      <c r="CK388" s="349"/>
      <c r="CL388" s="349">
        <f>COUNTIF(AT388:BH388,"*OK*")</f>
        <v>0</v>
      </c>
      <c r="CM388" s="349"/>
      <c r="CN388" s="349">
        <f>COUNTIF(AT388:BH388,"*OP*")</f>
        <v>0</v>
      </c>
    </row>
    <row r="389" spans="1:93" ht="15" customHeight="1">
      <c r="A389" s="835"/>
      <c r="B389" s="560" t="s">
        <v>2289</v>
      </c>
      <c r="C389" s="329">
        <f t="shared" si="8"/>
        <v>44.329500000000003</v>
      </c>
      <c r="D389" s="352">
        <f>COUNTIF(AT389:BH389,"*OK*")</f>
        <v>0</v>
      </c>
      <c r="E389" s="331" t="s">
        <v>73</v>
      </c>
      <c r="F389" s="496" t="s">
        <v>2290</v>
      </c>
      <c r="G389" s="351" t="s">
        <v>2291</v>
      </c>
      <c r="H389" s="650">
        <f>IF(LEN(TRIM($G389&amp;""))=0, $C389, SUMIF($G$3:$G$561, TRIM($G389), $C$3:$C$561))</f>
        <v>44.329500000000003</v>
      </c>
      <c r="I389" s="353" t="s">
        <v>562</v>
      </c>
      <c r="J389" s="351"/>
      <c r="K389" s="349"/>
      <c r="L389" s="349" t="str">
        <f>HYPERLINK("https://crm.zoho.com/crm/org685875245/tab/Accounts/3525045000338559490","https://crm.zoho.com/crm/org685875245/tab/Accounts/3525045000338559490")</f>
        <v>https://crm.zoho.com/crm/org685875245/tab/Accounts/3525045000338559490</v>
      </c>
      <c r="M389" s="553"/>
      <c r="N389" s="332" t="s">
        <v>817</v>
      </c>
      <c r="O389" s="541" t="s">
        <v>2292</v>
      </c>
      <c r="P389" s="541" t="s">
        <v>2293</v>
      </c>
      <c r="Q389" s="541" t="s">
        <v>2294</v>
      </c>
      <c r="R389" s="332"/>
      <c r="S389" s="352" t="s">
        <v>860</v>
      </c>
      <c r="T389" s="397"/>
      <c r="U389" s="354" t="s">
        <v>198</v>
      </c>
      <c r="V389" s="355">
        <v>359.42</v>
      </c>
      <c r="W389" s="355">
        <v>359.09</v>
      </c>
      <c r="X389" s="355">
        <v>342.21</v>
      </c>
      <c r="Y389" s="356">
        <v>353.23</v>
      </c>
      <c r="Z389" s="337">
        <v>357.9785</v>
      </c>
      <c r="AA389" s="365">
        <v>354.05</v>
      </c>
      <c r="AB389" s="365">
        <v>357.04</v>
      </c>
      <c r="AC389" s="635">
        <v>47.133800000000001</v>
      </c>
      <c r="AD389" s="365">
        <v>44.329500000000003</v>
      </c>
      <c r="AE389" s="357"/>
      <c r="AF389" s="358">
        <v>200</v>
      </c>
      <c r="AG389" s="354"/>
      <c r="AH389" s="359"/>
      <c r="AI389" s="361" t="s">
        <v>83</v>
      </c>
      <c r="AJ389" s="361" t="s">
        <v>143</v>
      </c>
      <c r="AK389" s="362" t="s">
        <v>2295</v>
      </c>
      <c r="AL389" s="358" t="s">
        <v>103</v>
      </c>
      <c r="AM389" s="349"/>
      <c r="AN389" s="349"/>
      <c r="AO389" s="349"/>
      <c r="AP389" s="349"/>
      <c r="AQ389" s="349"/>
      <c r="AR389" s="453"/>
      <c r="AS389" s="371" t="s">
        <v>103</v>
      </c>
      <c r="AT389" s="445"/>
      <c r="AU389" s="445"/>
      <c r="AV389" s="445"/>
      <c r="AW389" s="445"/>
      <c r="AX389" s="445"/>
      <c r="AY389" s="445"/>
      <c r="AZ389" s="445"/>
      <c r="BA389" s="445"/>
      <c r="BB389" s="445"/>
      <c r="BC389" s="445"/>
      <c r="BD389" s="445"/>
      <c r="BE389" s="445"/>
      <c r="BF389" s="445"/>
      <c r="BG389" s="445"/>
      <c r="BH389" s="445"/>
      <c r="BI389" s="445"/>
      <c r="BJ389" s="446">
        <f>COUNTIF(AT389:BI389,"*OP*")</f>
        <v>0</v>
      </c>
      <c r="BK389" s="363" t="s">
        <v>103</v>
      </c>
      <c r="BL389" s="349">
        <f>(COUNTIF(AT389:AV389,"*OK*")*3) + (COUNTIF(AW389:AY389,"*OK*")*2) + COUNTIF(AZ389:BB389,"*OK*")+COUNTIF(BK389:BK389,"SI")*0.5</f>
        <v>0</v>
      </c>
      <c r="BM389" s="349" t="str">
        <f>IF(BL389&lt;0.6,"Demasiado Riesgo",IF(BL389&lt;=5,"Riesgo Medio",IF(BL389&lt;=11,"Riesgo Bajo","Cliente Blindado")))</f>
        <v>Demasiado Riesgo</v>
      </c>
      <c r="BN389" s="349"/>
      <c r="BO389" s="328"/>
      <c r="BP389" s="328"/>
      <c r="BQ389" s="328"/>
      <c r="BR389" s="328"/>
      <c r="BS389" s="328"/>
      <c r="BT389" s="328"/>
      <c r="BU389" s="328"/>
      <c r="BV389" s="328"/>
      <c r="BW389" s="328"/>
      <c r="BX389" s="328"/>
      <c r="BY389" s="328"/>
      <c r="BZ389" s="328"/>
      <c r="CA389" s="328"/>
      <c r="CB389" s="328"/>
      <c r="CC389" s="328"/>
      <c r="CD389" s="328"/>
      <c r="CE389" s="328"/>
      <c r="CF389" s="328"/>
      <c r="CG389" s="328"/>
      <c r="CH389" s="328"/>
      <c r="CI389" s="328"/>
      <c r="CJ389" s="328"/>
      <c r="CK389" s="328"/>
      <c r="CL389" s="328">
        <f>COUNTIF(AT389:BH389,"*OK*")</f>
        <v>0</v>
      </c>
      <c r="CM389" s="328"/>
      <c r="CN389" s="328">
        <f>COUNTIF(AT389:BH389,"*OP*")</f>
        <v>0</v>
      </c>
    </row>
    <row r="390" spans="1:93" ht="15" customHeight="1">
      <c r="A390" s="834">
        <v>35630</v>
      </c>
      <c r="B390" s="560" t="s">
        <v>2296</v>
      </c>
      <c r="C390" s="329">
        <f t="shared" si="8"/>
        <v>44.150100000000002</v>
      </c>
      <c r="D390" s="332">
        <f>COUNTIF(AT390:BH390,"*OK*")</f>
        <v>0</v>
      </c>
      <c r="E390" s="331" t="s">
        <v>782</v>
      </c>
      <c r="F390" s="331" t="s">
        <v>2297</v>
      </c>
      <c r="G390" s="331"/>
      <c r="H390" s="650">
        <f>IF(LEN(TRIM($G390&amp;""))=0, $C390, SUMIF($G$3:$G$561, TRIM($G390), $C$3:$C$561))</f>
        <v>44.150100000000002</v>
      </c>
      <c r="I390" s="333" t="s">
        <v>562</v>
      </c>
      <c r="J390" s="331"/>
      <c r="K390" s="328"/>
      <c r="L390" s="328" t="str">
        <f>HYPERLINK("https://crm.zoho.com/crm/org685875245/tab/Accounts/3525045000558472543","https://crm.zoho.com/crm/org685875245/tab/Accounts/3525045000558472543")</f>
        <v>https://crm.zoho.com/crm/org685875245/tab/Accounts/3525045000558472543</v>
      </c>
      <c r="M390" s="391"/>
      <c r="N390" s="332"/>
      <c r="O390" s="541" t="s">
        <v>2298</v>
      </c>
      <c r="P390" s="541" t="s">
        <v>2299</v>
      </c>
      <c r="Q390" s="541" t="s">
        <v>2300</v>
      </c>
      <c r="R390" s="332"/>
      <c r="S390" s="332"/>
      <c r="T390" s="331"/>
      <c r="U390" s="344" t="s">
        <v>394</v>
      </c>
      <c r="V390" s="335">
        <v>46.4</v>
      </c>
      <c r="W390" s="335">
        <v>46.36</v>
      </c>
      <c r="X390" s="335">
        <v>44.18</v>
      </c>
      <c r="Y390" s="336">
        <v>45.6</v>
      </c>
      <c r="Z390" s="337">
        <v>46.216900000000003</v>
      </c>
      <c r="AA390" s="347">
        <v>45.71</v>
      </c>
      <c r="AB390" s="347">
        <v>46.095700000000001</v>
      </c>
      <c r="AC390" s="638">
        <v>46.943100000000001</v>
      </c>
      <c r="AD390" s="347">
        <v>44.150100000000002</v>
      </c>
      <c r="AE390" s="339">
        <v>11</v>
      </c>
      <c r="AF390" s="340">
        <v>50</v>
      </c>
      <c r="AG390" s="334"/>
      <c r="AH390" s="341"/>
      <c r="AI390" s="418" t="s">
        <v>83</v>
      </c>
      <c r="AJ390" s="343" t="s">
        <v>396</v>
      </c>
      <c r="AK390" s="344" t="s">
        <v>2301</v>
      </c>
      <c r="AL390" s="340" t="s">
        <v>396</v>
      </c>
      <c r="AM390" s="328"/>
      <c r="AN390" s="328"/>
      <c r="AO390" s="328"/>
      <c r="AP390" s="328"/>
      <c r="AQ390" s="328"/>
      <c r="AR390" s="451"/>
      <c r="AS390" s="372" t="s">
        <v>103</v>
      </c>
      <c r="AT390" s="345"/>
      <c r="AU390" s="345"/>
      <c r="AV390" s="345"/>
      <c r="AW390" s="345"/>
      <c r="AX390" s="345"/>
      <c r="AY390" s="345"/>
      <c r="AZ390" s="345"/>
      <c r="BA390" s="345"/>
      <c r="BB390" s="345"/>
      <c r="BC390" s="345"/>
      <c r="BD390" s="345"/>
      <c r="BE390" s="345"/>
      <c r="BF390" s="345"/>
      <c r="BG390" s="345"/>
      <c r="BH390" s="345"/>
      <c r="BI390" s="345"/>
      <c r="BJ390" s="364">
        <f>COUNTIF(AT390:BI390,"*OP*")</f>
        <v>0</v>
      </c>
      <c r="BK390" s="375" t="s">
        <v>103</v>
      </c>
      <c r="BL390" s="328">
        <f>(COUNTIF(AT390:AV390,"*OK*")*3) + (COUNTIF(AW390:AY390,"*OK*")*2) + COUNTIF(AZ390:BB390,"*OK*")+COUNTIF(BK390:BK390,"SI")*0.5</f>
        <v>0</v>
      </c>
      <c r="BM390" s="328" t="str">
        <f>IF(BL390&lt;0.6,"Demasiado Riesgo",IF(BL390&lt;=5,"Riesgo Medio",IF(BL390&lt;=11,"Riesgo Bajo","Cliente Blindado")))</f>
        <v>Demasiado Riesgo</v>
      </c>
      <c r="BN390" s="328"/>
      <c r="BO390" s="328"/>
      <c r="BP390" s="328"/>
      <c r="BQ390" s="328"/>
      <c r="BR390" s="328"/>
      <c r="BS390" s="328"/>
      <c r="BT390" s="328"/>
      <c r="BU390" s="328"/>
      <c r="BV390" s="328"/>
      <c r="BW390" s="328"/>
      <c r="BX390" s="328"/>
      <c r="BY390" s="328"/>
      <c r="BZ390" s="328"/>
      <c r="CA390" s="328"/>
      <c r="CB390" s="328"/>
      <c r="CC390" s="328"/>
      <c r="CD390" s="328"/>
      <c r="CE390" s="328"/>
      <c r="CF390" s="328"/>
      <c r="CG390" s="328"/>
      <c r="CH390" s="328"/>
      <c r="CI390" s="328"/>
      <c r="CJ390" s="328"/>
      <c r="CK390" s="328"/>
      <c r="CL390" s="328">
        <f>COUNTIF(AT390:BH390,"*OK*")</f>
        <v>0</v>
      </c>
      <c r="CM390" s="328"/>
      <c r="CN390" s="328">
        <f>COUNTIF(AT390:BH390,"*OP*")</f>
        <v>0</v>
      </c>
    </row>
    <row r="391" spans="1:93" ht="15" customHeight="1">
      <c r="A391" s="835">
        <v>27817</v>
      </c>
      <c r="B391" s="560" t="s">
        <v>2302</v>
      </c>
      <c r="C391" s="329">
        <f t="shared" si="8"/>
        <v>43.377499999999998</v>
      </c>
      <c r="D391" s="332">
        <f>COUNTIF(AT391:BH391,"*OK*")</f>
        <v>0</v>
      </c>
      <c r="E391" s="331" t="s">
        <v>439</v>
      </c>
      <c r="F391" s="331" t="s">
        <v>2303</v>
      </c>
      <c r="G391" s="351" t="s">
        <v>1892</v>
      </c>
      <c r="H391" s="650">
        <f>IF(LEN(TRIM($G391&amp;""))=0, $C391, SUMIF($G$3:$G$561, TRIM($G391), $C$3:$C$561))</f>
        <v>213.07940000000002</v>
      </c>
      <c r="I391" s="410" t="s">
        <v>562</v>
      </c>
      <c r="J391" s="331"/>
      <c r="K391" s="328"/>
      <c r="L391" s="328"/>
      <c r="M391" s="391" t="s">
        <v>96</v>
      </c>
      <c r="N391" s="332"/>
      <c r="O391" s="541"/>
      <c r="P391" s="541"/>
      <c r="Q391" s="541"/>
      <c r="R391" s="332"/>
      <c r="S391" s="332"/>
      <c r="T391" s="331"/>
      <c r="U391" s="334" t="s">
        <v>82</v>
      </c>
      <c r="V391" s="335">
        <v>48.9</v>
      </c>
      <c r="W391" s="335">
        <v>45.55</v>
      </c>
      <c r="X391" s="335">
        <v>46.56</v>
      </c>
      <c r="Y391" s="336">
        <v>51.3</v>
      </c>
      <c r="Z391" s="337">
        <v>45.408099999999997</v>
      </c>
      <c r="AA391" s="367">
        <v>54.68</v>
      </c>
      <c r="AB391" s="367">
        <v>48.573300000000003</v>
      </c>
      <c r="AC391" s="636">
        <v>46.121600000000001</v>
      </c>
      <c r="AD391" s="367">
        <v>43.377499999999998</v>
      </c>
      <c r="AE391" s="339">
        <v>68</v>
      </c>
      <c r="AF391" s="340">
        <v>50</v>
      </c>
      <c r="AG391" s="334"/>
      <c r="AH391" s="341"/>
      <c r="AI391" s="343" t="s">
        <v>813</v>
      </c>
      <c r="AJ391" s="343" t="s">
        <v>396</v>
      </c>
      <c r="AK391" s="344" t="s">
        <v>2304</v>
      </c>
      <c r="AL391" s="340" t="s">
        <v>103</v>
      </c>
      <c r="AM391" s="328"/>
      <c r="AN391" s="328"/>
      <c r="AO391" s="328"/>
      <c r="AP391" s="328"/>
      <c r="AQ391" s="328"/>
      <c r="AR391" s="451"/>
      <c r="AS391" s="372" t="s">
        <v>103</v>
      </c>
      <c r="AT391" s="345"/>
      <c r="AU391" s="345"/>
      <c r="AV391" s="345"/>
      <c r="AW391" s="345"/>
      <c r="AX391" s="345"/>
      <c r="AY391" s="345"/>
      <c r="AZ391" s="345"/>
      <c r="BA391" s="345"/>
      <c r="BB391" s="345"/>
      <c r="BC391" s="345"/>
      <c r="BD391" s="345"/>
      <c r="BE391" s="345"/>
      <c r="BF391" s="345"/>
      <c r="BG391" s="345"/>
      <c r="BH391" s="345"/>
      <c r="BI391" s="345"/>
      <c r="BJ391" s="364">
        <f>COUNTIF(AT391:BI391,"*OP*")</f>
        <v>0</v>
      </c>
      <c r="BK391" s="375" t="s">
        <v>103</v>
      </c>
      <c r="BL391" s="328">
        <f>(COUNTIF(AT391:AV391,"*OK*")*3) + (COUNTIF(AW391:AY391,"*OK*")*2) + COUNTIF(AZ391:BB391,"*OK*")+COUNTIF(BK391:BK391,"SI")*0.5</f>
        <v>0</v>
      </c>
      <c r="BM391" s="328" t="str">
        <f>IF(BL391&lt;0.6,"Demasiado Riesgo",IF(BL391&lt;=5,"Riesgo Medio",IF(BL391&lt;=11,"Riesgo Bajo","Cliente Blindado")))</f>
        <v>Demasiado Riesgo</v>
      </c>
      <c r="BN391" s="328"/>
      <c r="BO391" s="328"/>
      <c r="BP391" s="328">
        <v>0</v>
      </c>
      <c r="BQ391" s="328"/>
      <c r="BR391" s="328"/>
      <c r="BS391" s="328"/>
      <c r="BT391" s="328"/>
      <c r="BU391" s="328"/>
      <c r="BV391" s="328"/>
      <c r="BW391" s="328"/>
      <c r="BX391" s="328"/>
      <c r="BY391" s="328"/>
      <c r="BZ391" s="328"/>
      <c r="CA391" s="328"/>
      <c r="CB391" s="328"/>
      <c r="CC391" s="328"/>
      <c r="CD391" s="328"/>
      <c r="CE391" s="328"/>
      <c r="CF391" s="328"/>
      <c r="CG391" s="328"/>
      <c r="CH391" s="328"/>
      <c r="CI391" s="328"/>
      <c r="CJ391" s="328"/>
      <c r="CK391" s="328"/>
      <c r="CL391" s="328">
        <f>COUNTIF(AT391:BH391,"*OK*")</f>
        <v>0</v>
      </c>
      <c r="CM391" s="328"/>
      <c r="CN391" s="328">
        <f>COUNTIF(AT391:BH391,"*OP*")</f>
        <v>0</v>
      </c>
    </row>
    <row r="392" spans="1:93" ht="15" customHeight="1">
      <c r="A392" s="835">
        <v>23927</v>
      </c>
      <c r="B392" s="560" t="s">
        <v>2305</v>
      </c>
      <c r="C392" s="329">
        <f t="shared" si="8"/>
        <v>42.991199999999999</v>
      </c>
      <c r="D392" s="352">
        <f>COUNTIF(AT392:BH392,"*OK*")</f>
        <v>0</v>
      </c>
      <c r="E392" s="351" t="s">
        <v>93</v>
      </c>
      <c r="F392" s="351" t="s">
        <v>2306</v>
      </c>
      <c r="G392" s="331" t="s">
        <v>320</v>
      </c>
      <c r="H392" s="650">
        <f>IF(LEN(TRIM($G392&amp;""))=0, $C392, SUMIF($G$3:$G$561, TRIM($G392), $C$3:$C$561))</f>
        <v>2111.8101999999999</v>
      </c>
      <c r="I392" s="413" t="s">
        <v>76</v>
      </c>
      <c r="J392" s="351"/>
      <c r="K392" s="349"/>
      <c r="L392" s="349"/>
      <c r="M392" s="359" t="s">
        <v>96</v>
      </c>
      <c r="N392" s="359"/>
      <c r="O392" s="545" t="s">
        <v>322</v>
      </c>
      <c r="P392" s="545" t="s">
        <v>323</v>
      </c>
      <c r="Q392" s="545" t="s">
        <v>324</v>
      </c>
      <c r="R392" s="359"/>
      <c r="S392" s="359"/>
      <c r="T392" s="351"/>
      <c r="U392" s="362" t="s">
        <v>82</v>
      </c>
      <c r="V392" s="355">
        <v>668.21</v>
      </c>
      <c r="W392" s="355">
        <v>667.59</v>
      </c>
      <c r="X392" s="355">
        <v>636.21</v>
      </c>
      <c r="Y392" s="356">
        <v>656.69</v>
      </c>
      <c r="Z392" s="337">
        <v>0</v>
      </c>
      <c r="AA392" s="365">
        <v>44.51</v>
      </c>
      <c r="AB392" s="365">
        <v>44.8857</v>
      </c>
      <c r="AC392" s="635">
        <v>45.710900000000002</v>
      </c>
      <c r="AD392" s="365">
        <v>42.991199999999999</v>
      </c>
      <c r="AE392" s="357">
        <v>51</v>
      </c>
      <c r="AF392" s="358">
        <v>150</v>
      </c>
      <c r="AG392" s="354"/>
      <c r="AH392" s="359"/>
      <c r="AI392" s="361" t="s">
        <v>83</v>
      </c>
      <c r="AJ392" s="361" t="s">
        <v>199</v>
      </c>
      <c r="AK392" s="362" t="s">
        <v>2307</v>
      </c>
      <c r="AL392" s="358" t="s">
        <v>103</v>
      </c>
      <c r="AM392" s="349"/>
      <c r="AN392" s="349" t="s">
        <v>152</v>
      </c>
      <c r="AO392" s="349"/>
      <c r="AP392" s="349"/>
      <c r="AQ392" s="349"/>
      <c r="AR392" s="453"/>
      <c r="AS392" s="371" t="s">
        <v>103</v>
      </c>
      <c r="AT392" s="345"/>
      <c r="AU392" s="345"/>
      <c r="AV392" s="345"/>
      <c r="AW392" s="345"/>
      <c r="AX392" s="345"/>
      <c r="AY392" s="345"/>
      <c r="AZ392" s="345"/>
      <c r="BA392" s="345"/>
      <c r="BB392" s="345"/>
      <c r="BC392" s="345"/>
      <c r="BD392" s="345"/>
      <c r="BE392" s="345"/>
      <c r="BF392" s="345"/>
      <c r="BG392" s="345"/>
      <c r="BH392" s="345"/>
      <c r="BI392" s="345"/>
      <c r="BJ392" s="364">
        <f>COUNTIF(AT392:BI392,"*OP*")</f>
        <v>0</v>
      </c>
      <c r="BK392" s="363" t="s">
        <v>103</v>
      </c>
      <c r="BL392" s="349">
        <f>(COUNTIF(AT392:AV392,"*OK*")*3) + (COUNTIF(AW392:AY392,"*OK*")*2) + COUNTIF(AZ392:BB392,"*OK*")+COUNTIF(BK392:BK392,"SI")*0.5</f>
        <v>0</v>
      </c>
      <c r="BM392" s="349" t="str">
        <f>IF(BL392&lt;0.6,"Demasiado Riesgo",IF(BL392&lt;=5,"Riesgo Medio",IF(BL392&lt;=11,"Riesgo Bajo","Cliente Blindado")))</f>
        <v>Demasiado Riesgo</v>
      </c>
      <c r="BN392" s="349"/>
      <c r="BO392" s="349"/>
      <c r="BP392" s="349">
        <v>0</v>
      </c>
      <c r="BQ392" s="349"/>
      <c r="BR392" s="349"/>
      <c r="BS392" s="349"/>
      <c r="BT392" s="349"/>
      <c r="BU392" s="349"/>
      <c r="BV392" s="349"/>
      <c r="BW392" s="349"/>
      <c r="BX392" s="349"/>
      <c r="BY392" s="349"/>
      <c r="BZ392" s="349"/>
      <c r="CA392" s="349"/>
      <c r="CB392" s="349"/>
      <c r="CC392" s="349"/>
      <c r="CD392" s="349"/>
      <c r="CE392" s="349"/>
      <c r="CF392" s="349"/>
      <c r="CG392" s="349"/>
      <c r="CH392" s="349"/>
      <c r="CI392" s="349"/>
      <c r="CJ392" s="349"/>
      <c r="CK392" s="349"/>
      <c r="CL392" s="349">
        <f>COUNTIF(AT392:BH392,"*OK*")</f>
        <v>0</v>
      </c>
      <c r="CM392" s="349"/>
      <c r="CN392" s="349">
        <f>COUNTIF(AT392:BH392,"*OP*")</f>
        <v>0</v>
      </c>
    </row>
    <row r="393" spans="1:93" ht="15" customHeight="1">
      <c r="A393" s="835">
        <v>32597</v>
      </c>
      <c r="B393" s="560" t="s">
        <v>2308</v>
      </c>
      <c r="C393" s="329">
        <f t="shared" si="8"/>
        <v>0</v>
      </c>
      <c r="D393" s="352">
        <f>COUNTIF(AT393:BH393,"*OK*")</f>
        <v>0</v>
      </c>
      <c r="E393" s="331" t="s">
        <v>782</v>
      </c>
      <c r="F393" s="351" t="s">
        <v>2309</v>
      </c>
      <c r="G393" s="351"/>
      <c r="H393" s="650">
        <f>IF(LEN(TRIM($G393&amp;""))=0, $C393, SUMIF($G$3:$G$561, TRIM($G393), $C$3:$C$561))</f>
        <v>0</v>
      </c>
      <c r="I393" s="351" t="s">
        <v>562</v>
      </c>
      <c r="J393" s="351"/>
      <c r="K393" s="349"/>
      <c r="L393" s="349"/>
      <c r="M393" s="553" t="s">
        <v>787</v>
      </c>
      <c r="N393" s="352"/>
      <c r="O393" s="540" t="s">
        <v>2310</v>
      </c>
      <c r="P393" s="540" t="s">
        <v>2311</v>
      </c>
      <c r="Q393" s="540" t="s">
        <v>2312</v>
      </c>
      <c r="R393" s="352"/>
      <c r="S393" s="352"/>
      <c r="T393" s="351"/>
      <c r="U393" s="362" t="s">
        <v>82</v>
      </c>
      <c r="V393" s="355">
        <v>125.1</v>
      </c>
      <c r="W393" s="355">
        <v>100.95</v>
      </c>
      <c r="X393" s="355">
        <v>91.62</v>
      </c>
      <c r="Y393" s="356">
        <v>94.57</v>
      </c>
      <c r="Z393" s="337">
        <v>76.6738</v>
      </c>
      <c r="AA393" s="365">
        <v>42.66</v>
      </c>
      <c r="AB393" s="365">
        <v>43.015900000000002</v>
      </c>
      <c r="AC393" s="635">
        <v>43.806699999999999</v>
      </c>
      <c r="AD393" s="365"/>
      <c r="AE393" s="357"/>
      <c r="AF393" s="358">
        <v>50</v>
      </c>
      <c r="AG393" s="354"/>
      <c r="AH393" s="359"/>
      <c r="AI393" s="427" t="s">
        <v>83</v>
      </c>
      <c r="AJ393" s="361" t="s">
        <v>396</v>
      </c>
      <c r="AK393" s="362" t="s">
        <v>2313</v>
      </c>
      <c r="AL393" s="358" t="s">
        <v>103</v>
      </c>
      <c r="AM393" s="349"/>
      <c r="AN393" s="349"/>
      <c r="AO393" s="349"/>
      <c r="AP393" s="349"/>
      <c r="AQ393" s="349"/>
      <c r="AR393" s="453"/>
      <c r="AS393" s="371" t="s">
        <v>103</v>
      </c>
      <c r="AT393" s="345"/>
      <c r="AU393" s="345"/>
      <c r="AV393" s="345"/>
      <c r="AW393" s="345"/>
      <c r="AX393" s="345"/>
      <c r="AY393" s="345"/>
      <c r="AZ393" s="345"/>
      <c r="BA393" s="345"/>
      <c r="BB393" s="345"/>
      <c r="BC393" s="345"/>
      <c r="BD393" s="345"/>
      <c r="BE393" s="345"/>
      <c r="BF393" s="345"/>
      <c r="BG393" s="345"/>
      <c r="BH393" s="345"/>
      <c r="BI393" s="345"/>
      <c r="BJ393" s="364">
        <f>COUNTIF(AT393:BI393,"*OP*")</f>
        <v>0</v>
      </c>
      <c r="BK393" s="363" t="s">
        <v>103</v>
      </c>
      <c r="BL393" s="349">
        <f>(COUNTIF(AT393:AV393,"*OK*")*3) + (COUNTIF(AW393:AY393,"*OK*")*2) + COUNTIF(AZ393:BB393,"*OK*")+COUNTIF(BK393:BK393,"SI")*0.5</f>
        <v>0</v>
      </c>
      <c r="BM393" s="349" t="str">
        <f>IF(BL393&lt;0.6,"Demasiado Riesgo",IF(BL393&lt;=5,"Riesgo Medio",IF(BL393&lt;=11,"Riesgo Bajo","Cliente Blindado")))</f>
        <v>Demasiado Riesgo</v>
      </c>
      <c r="BN393" s="349"/>
      <c r="BO393" s="328"/>
      <c r="BP393" s="328"/>
      <c r="BQ393" s="328"/>
      <c r="BR393" s="328"/>
      <c r="BS393" s="328"/>
      <c r="BT393" s="328"/>
      <c r="BU393" s="328"/>
      <c r="BV393" s="328"/>
      <c r="BW393" s="328"/>
      <c r="BX393" s="328"/>
      <c r="BY393" s="328"/>
      <c r="BZ393" s="328"/>
      <c r="CA393" s="328"/>
      <c r="CB393" s="328"/>
      <c r="CC393" s="328"/>
      <c r="CD393" s="328"/>
      <c r="CE393" s="328"/>
      <c r="CF393" s="328"/>
      <c r="CG393" s="328"/>
      <c r="CH393" s="328"/>
      <c r="CI393" s="328"/>
      <c r="CJ393" s="328"/>
      <c r="CK393" s="328"/>
      <c r="CL393" s="328">
        <f>COUNTIF(AT393:BH393,"*OK*")</f>
        <v>0</v>
      </c>
    </row>
    <row r="394" spans="1:93" ht="15" customHeight="1">
      <c r="A394" s="835">
        <v>34153</v>
      </c>
      <c r="B394" s="560" t="s">
        <v>2314</v>
      </c>
      <c r="C394" s="329">
        <f t="shared" si="8"/>
        <v>51.503300000000003</v>
      </c>
      <c r="D394" s="352">
        <f>COUNTIF(AT394:BH394,"*OK*")</f>
        <v>0</v>
      </c>
      <c r="E394" s="331" t="s">
        <v>782</v>
      </c>
      <c r="F394" s="351" t="s">
        <v>2315</v>
      </c>
      <c r="G394" s="351"/>
      <c r="H394" s="650">
        <f>IF(LEN(TRIM($G394&amp;""))=0, $C394, SUMIF($G$3:$G$561, TRIM($G394), $C$3:$C$561))</f>
        <v>51.503300000000003</v>
      </c>
      <c r="I394" s="351" t="s">
        <v>562</v>
      </c>
      <c r="J394" s="351"/>
      <c r="K394" s="349"/>
      <c r="L394" s="349"/>
      <c r="M394" s="553"/>
      <c r="N394" s="352"/>
      <c r="O394" s="540" t="s">
        <v>352</v>
      </c>
      <c r="P394" s="540" t="s">
        <v>2316</v>
      </c>
      <c r="Q394" s="540" t="s">
        <v>2317</v>
      </c>
      <c r="R394" s="352"/>
      <c r="S394" s="352"/>
      <c r="T394" s="351"/>
      <c r="U394" s="362" t="s">
        <v>394</v>
      </c>
      <c r="V394" s="355">
        <v>40.6</v>
      </c>
      <c r="W394" s="355">
        <v>40.56</v>
      </c>
      <c r="X394" s="355">
        <v>38.65</v>
      </c>
      <c r="Y394" s="356">
        <v>39.9</v>
      </c>
      <c r="Z394" s="337">
        <v>35.942900000000002</v>
      </c>
      <c r="AA394" s="367">
        <v>48.88</v>
      </c>
      <c r="AB394" s="367">
        <v>35.848599999999998</v>
      </c>
      <c r="AC394" s="636">
        <v>41.071100000000001</v>
      </c>
      <c r="AD394" s="367">
        <v>51.503300000000003</v>
      </c>
      <c r="AE394" s="357">
        <v>12</v>
      </c>
      <c r="AF394" s="358">
        <v>50</v>
      </c>
      <c r="AG394" s="354"/>
      <c r="AH394" s="359"/>
      <c r="AI394" s="427" t="s">
        <v>83</v>
      </c>
      <c r="AJ394" s="361" t="s">
        <v>130</v>
      </c>
      <c r="AK394" s="362" t="s">
        <v>2318</v>
      </c>
      <c r="AL394" s="358" t="s">
        <v>103</v>
      </c>
      <c r="AM394" s="349"/>
      <c r="AN394" s="349"/>
      <c r="AO394" s="349"/>
      <c r="AP394" s="349"/>
      <c r="AQ394" s="349"/>
      <c r="AR394" s="453"/>
      <c r="AS394" s="371" t="s">
        <v>103</v>
      </c>
      <c r="AT394" s="345"/>
      <c r="AU394" s="345"/>
      <c r="AV394" s="345"/>
      <c r="AW394" s="345"/>
      <c r="AX394" s="345"/>
      <c r="AY394" s="345"/>
      <c r="AZ394" s="345"/>
      <c r="BA394" s="345"/>
      <c r="BB394" s="345"/>
      <c r="BC394" s="345"/>
      <c r="BD394" s="345"/>
      <c r="BE394" s="345"/>
      <c r="BF394" s="345"/>
      <c r="BG394" s="345"/>
      <c r="BH394" s="345"/>
      <c r="BI394" s="345"/>
      <c r="BJ394" s="364">
        <f>COUNTIF(AT394:BI394,"*OP*")</f>
        <v>0</v>
      </c>
      <c r="BK394" s="363" t="s">
        <v>103</v>
      </c>
      <c r="BL394" s="349">
        <f>(COUNTIF(AT394:AV394,"*OK*")*3) + (COUNTIF(AW394:AY394,"*OK*")*2) + COUNTIF(AZ394:BB394,"*OK*")+COUNTIF(BK394:BK394,"SI")*0.5</f>
        <v>0</v>
      </c>
      <c r="BM394" s="349" t="str">
        <f>IF(BL394&lt;0.6,"Demasiado Riesgo",IF(BL394&lt;=5,"Riesgo Medio",IF(BL394&lt;=11,"Riesgo Bajo","Cliente Blindado")))</f>
        <v>Demasiado Riesgo</v>
      </c>
      <c r="BN394" s="349"/>
      <c r="BO394" s="328"/>
      <c r="BP394" s="328">
        <v>0</v>
      </c>
      <c r="BQ394" s="328"/>
      <c r="BR394" s="328"/>
      <c r="BS394" s="328"/>
      <c r="BT394" s="328"/>
      <c r="BU394" s="328"/>
      <c r="BV394" s="328"/>
      <c r="BW394" s="328"/>
      <c r="BX394" s="328"/>
      <c r="BY394" s="328"/>
      <c r="BZ394" s="328"/>
      <c r="CA394" s="328"/>
      <c r="CB394" s="328"/>
      <c r="CC394" s="328"/>
      <c r="CD394" s="328"/>
      <c r="CE394" s="328"/>
      <c r="CF394" s="328"/>
      <c r="CG394" s="328"/>
      <c r="CH394" s="328"/>
      <c r="CI394" s="328"/>
      <c r="CJ394" s="328"/>
      <c r="CK394" s="328"/>
      <c r="CL394" s="328">
        <f>COUNTIF(AT394:BH394,"*OK*")</f>
        <v>0</v>
      </c>
      <c r="CM394" s="328"/>
      <c r="CN394" s="328">
        <f>COUNTIF(AT394:BH394,"*OP*")</f>
        <v>0</v>
      </c>
    </row>
    <row r="395" spans="1:93" ht="15" customHeight="1">
      <c r="A395" s="835">
        <v>26688</v>
      </c>
      <c r="B395" s="560" t="s">
        <v>1061</v>
      </c>
      <c r="C395" s="329">
        <f t="shared" si="8"/>
        <v>38.625799999999998</v>
      </c>
      <c r="D395" s="352">
        <f>COUNTIF(AT395:BH395,"*OK*")</f>
        <v>0</v>
      </c>
      <c r="E395" s="331" t="s">
        <v>73</v>
      </c>
      <c r="F395" s="351" t="s">
        <v>2319</v>
      </c>
      <c r="G395" s="331" t="s">
        <v>1063</v>
      </c>
      <c r="H395" s="650">
        <f>IF(LEN(TRIM($G395&amp;""))=0, $C395, SUMIF($G$3:$G$561, TRIM($G395), $C$3:$C$561))</f>
        <v>507.28589999999997</v>
      </c>
      <c r="I395" s="413" t="s">
        <v>562</v>
      </c>
      <c r="J395" s="351"/>
      <c r="K395" s="558"/>
      <c r="L395" s="558"/>
      <c r="M395" s="553" t="s">
        <v>77</v>
      </c>
      <c r="N395" s="558"/>
      <c r="O395" s="559"/>
      <c r="P395" s="559"/>
      <c r="Q395" s="559"/>
      <c r="R395" s="558"/>
      <c r="S395" s="352"/>
      <c r="T395" s="351"/>
      <c r="U395" s="354" t="s">
        <v>82</v>
      </c>
      <c r="V395" s="355">
        <v>35.18</v>
      </c>
      <c r="W395" s="355">
        <v>43.26</v>
      </c>
      <c r="X395" s="355">
        <v>36.08</v>
      </c>
      <c r="Y395" s="356">
        <v>37.24</v>
      </c>
      <c r="Z395" s="337">
        <v>40.433999999999997</v>
      </c>
      <c r="AA395" s="365">
        <v>39.99</v>
      </c>
      <c r="AB395" s="365">
        <v>43.016500000000001</v>
      </c>
      <c r="AC395" s="635">
        <v>41.069400000000002</v>
      </c>
      <c r="AD395" s="365">
        <v>38.625799999999998</v>
      </c>
      <c r="AE395" s="357">
        <v>181</v>
      </c>
      <c r="AF395" s="358">
        <v>100</v>
      </c>
      <c r="AG395" s="354"/>
      <c r="AH395" s="359"/>
      <c r="AI395" s="360" t="s">
        <v>83</v>
      </c>
      <c r="AJ395" s="361" t="s">
        <v>234</v>
      </c>
      <c r="AK395" s="362" t="s">
        <v>2320</v>
      </c>
      <c r="AL395" s="358" t="s">
        <v>103</v>
      </c>
      <c r="AM395" s="349"/>
      <c r="AN395" s="349"/>
      <c r="AO395" s="349"/>
      <c r="AP395" s="349"/>
      <c r="AQ395" s="349"/>
      <c r="AR395" s="453"/>
      <c r="AS395" s="371" t="s">
        <v>103</v>
      </c>
      <c r="AT395" s="345"/>
      <c r="AU395" s="345"/>
      <c r="AV395" s="345"/>
      <c r="AW395" s="345"/>
      <c r="AX395" s="345"/>
      <c r="AY395" s="345"/>
      <c r="AZ395" s="345"/>
      <c r="BA395" s="345"/>
      <c r="BB395" s="345"/>
      <c r="BC395" s="345"/>
      <c r="BD395" s="345"/>
      <c r="BE395" s="345"/>
      <c r="BF395" s="345"/>
      <c r="BG395" s="345"/>
      <c r="BH395" s="345"/>
      <c r="BI395" s="345"/>
      <c r="BJ395" s="364">
        <f>COUNTIF(AT395:BI395,"*OP*")</f>
        <v>0</v>
      </c>
      <c r="BK395" s="363" t="s">
        <v>103</v>
      </c>
      <c r="BL395" s="349">
        <f>(COUNTIF(AT395:AV395,"*OK*")*3) + (COUNTIF(AW395:AY395,"*OK*")*2) + COUNTIF(AZ395:BB395,"*OK*")+COUNTIF(BK395:BK395,"SI")*0.5</f>
        <v>0</v>
      </c>
      <c r="BM395" s="349" t="str">
        <f>IF(BL395&lt;0.6,"Demasiado Riesgo",IF(BL395&lt;=5,"Riesgo Medio",IF(BL395&lt;=11,"Riesgo Bajo","Cliente Blindado")))</f>
        <v>Demasiado Riesgo</v>
      </c>
      <c r="BN395" s="349"/>
      <c r="BO395" s="349"/>
      <c r="BP395" s="349">
        <v>0</v>
      </c>
      <c r="BQ395" s="349"/>
      <c r="BR395" s="349"/>
      <c r="BS395" s="349"/>
      <c r="BT395" s="349"/>
      <c r="BU395" s="349"/>
      <c r="BV395" s="349"/>
      <c r="BW395" s="349"/>
      <c r="BX395" s="349"/>
      <c r="BY395" s="349"/>
      <c r="BZ395" s="349"/>
      <c r="CA395" s="349"/>
      <c r="CB395" s="349"/>
      <c r="CC395" s="349"/>
      <c r="CD395" s="349"/>
      <c r="CE395" s="349"/>
      <c r="CF395" s="349"/>
      <c r="CG395" s="349"/>
      <c r="CH395" s="349"/>
      <c r="CI395" s="349"/>
      <c r="CJ395" s="349"/>
      <c r="CK395" s="349"/>
      <c r="CL395" s="349">
        <f>COUNTIF(AT395:BH395,"*OK*")</f>
        <v>0</v>
      </c>
      <c r="CM395" s="349"/>
      <c r="CN395" s="349">
        <f>COUNTIF(AT395:BH395,"*OP*")</f>
        <v>0</v>
      </c>
      <c r="CO395" s="285"/>
    </row>
    <row r="396" spans="1:93" ht="15" customHeight="1">
      <c r="A396" s="834">
        <v>24229</v>
      </c>
      <c r="B396" s="560" t="s">
        <v>2114</v>
      </c>
      <c r="C396" s="329">
        <f t="shared" si="8"/>
        <v>33.984000000000002</v>
      </c>
      <c r="D396" s="332">
        <f>COUNTIF(AT396:BH396,"*OK*")</f>
        <v>0</v>
      </c>
      <c r="E396" s="331" t="s">
        <v>439</v>
      </c>
      <c r="F396" s="331" t="s">
        <v>2321</v>
      </c>
      <c r="G396" s="416" t="s">
        <v>2116</v>
      </c>
      <c r="H396" s="650">
        <f>IF(LEN(TRIM($G396&amp;""))=0, $C396, SUMIF($G$3:$G$561, TRIM($G396), $C$3:$C$561))</f>
        <v>126.99279999999999</v>
      </c>
      <c r="I396" s="410" t="s">
        <v>562</v>
      </c>
      <c r="J396" s="436"/>
      <c r="K396" s="328"/>
      <c r="L396" s="328" t="str">
        <f>HYPERLINK("https://crm.zoho.com/crm/org685875245/tab/Accounts/3525045000293367099","https://crm.zoho.com/crm/org685875245/tab/Accounts/3525045000293367099")</f>
        <v>https://crm.zoho.com/crm/org685875245/tab/Accounts/3525045000293367099</v>
      </c>
      <c r="M396" s="391" t="s">
        <v>77</v>
      </c>
      <c r="N396" s="332"/>
      <c r="O396" s="541" t="s">
        <v>2117</v>
      </c>
      <c r="P396" s="541"/>
      <c r="Q396" s="541" t="s">
        <v>2118</v>
      </c>
      <c r="R396" s="332"/>
      <c r="S396" s="332"/>
      <c r="T396" s="331"/>
      <c r="U396" s="334" t="s">
        <v>82</v>
      </c>
      <c r="V396" s="335">
        <v>33.840000000000003</v>
      </c>
      <c r="W396" s="335">
        <v>39.44</v>
      </c>
      <c r="X396" s="335">
        <v>35.799999999999997</v>
      </c>
      <c r="Y396" s="336">
        <v>36.950000000000003</v>
      </c>
      <c r="Z396" s="337">
        <v>35.5749</v>
      </c>
      <c r="AA396" s="365">
        <v>33.33</v>
      </c>
      <c r="AB396" s="365">
        <v>41.0839</v>
      </c>
      <c r="AC396" s="635">
        <v>39.937399999999997</v>
      </c>
      <c r="AD396" s="365">
        <v>33.984000000000002</v>
      </c>
      <c r="AE396" s="339">
        <v>85</v>
      </c>
      <c r="AF396" s="340">
        <v>50</v>
      </c>
      <c r="AG396" s="334"/>
      <c r="AH396" s="341"/>
      <c r="AI396" s="422" t="s">
        <v>83</v>
      </c>
      <c r="AJ396" s="343" t="s">
        <v>396</v>
      </c>
      <c r="AK396" s="344" t="s">
        <v>2322</v>
      </c>
      <c r="AL396" s="340" t="s">
        <v>103</v>
      </c>
      <c r="AM396" s="328"/>
      <c r="AN396" s="328"/>
      <c r="AO396" s="328"/>
      <c r="AP396" s="328"/>
      <c r="AQ396" s="328"/>
      <c r="AR396" s="451"/>
      <c r="AS396" s="372" t="s">
        <v>88</v>
      </c>
      <c r="AT396" s="345"/>
      <c r="AU396" s="345"/>
      <c r="AV396" s="345" t="s">
        <v>179</v>
      </c>
      <c r="AW396" s="345" t="s">
        <v>179</v>
      </c>
      <c r="AX396" s="345"/>
      <c r="AY396" s="345"/>
      <c r="AZ396" s="345"/>
      <c r="BA396" s="345"/>
      <c r="BB396" s="345"/>
      <c r="BC396" s="345"/>
      <c r="BD396" s="345"/>
      <c r="BE396" s="345"/>
      <c r="BF396" s="345"/>
      <c r="BG396" s="345"/>
      <c r="BH396" s="345"/>
      <c r="BI396" s="345"/>
      <c r="BJ396" s="364">
        <f>COUNTIF(AT396:BI396,"*OP*")</f>
        <v>2</v>
      </c>
      <c r="BK396" s="375" t="s">
        <v>89</v>
      </c>
      <c r="BL396" s="328">
        <f>(COUNTIF(AT396:AV396,"*OK*")*3) + (COUNTIF(AW396:AY396,"*OK*")*2) + COUNTIF(AZ396:BB396,"*OK*")+COUNTIF(BK396:BK396,"SI")*0.5</f>
        <v>0</v>
      </c>
      <c r="BM396" s="328" t="str">
        <f>IF(BL396&lt;0.6,"Demasiado Riesgo",IF(BL396&lt;=5,"Riesgo Medio",IF(BL396&lt;=11,"Riesgo Bajo","Cliente Blindado")))</f>
        <v>Demasiado Riesgo</v>
      </c>
      <c r="BN396" s="328"/>
      <c r="BO396" s="349"/>
      <c r="BP396" s="349">
        <v>0</v>
      </c>
      <c r="BQ396" s="349"/>
      <c r="BR396" s="349"/>
      <c r="BS396" s="349"/>
      <c r="BT396" s="349"/>
      <c r="BU396" s="349"/>
      <c r="BV396" s="349"/>
      <c r="BW396" s="349"/>
      <c r="BX396" s="349"/>
      <c r="BY396" s="349"/>
      <c r="BZ396" s="349"/>
      <c r="CA396" s="349"/>
      <c r="CB396" s="349"/>
      <c r="CC396" s="349"/>
      <c r="CD396" s="349"/>
      <c r="CE396" s="349"/>
      <c r="CF396" s="349"/>
      <c r="CG396" s="349"/>
      <c r="CH396" s="349"/>
      <c r="CI396" s="349"/>
      <c r="CJ396" s="349"/>
      <c r="CK396" s="349"/>
      <c r="CL396" s="349">
        <f>COUNTIF(AT396:BH396,"*OK*")</f>
        <v>0</v>
      </c>
      <c r="CM396" s="349"/>
      <c r="CN396" s="349">
        <f>COUNTIF(AT396:BH396,"*OP*")</f>
        <v>2</v>
      </c>
    </row>
    <row r="397" spans="1:93" ht="15" customHeight="1">
      <c r="A397" s="834">
        <v>35584</v>
      </c>
      <c r="B397" s="560" t="s">
        <v>2323</v>
      </c>
      <c r="C397" s="329">
        <f t="shared" si="8"/>
        <v>16.5563</v>
      </c>
      <c r="D397" s="332">
        <f>COUNTIF(AT397:BH397,"*OK*")</f>
        <v>0</v>
      </c>
      <c r="E397" s="331" t="s">
        <v>782</v>
      </c>
      <c r="F397" s="331" t="s">
        <v>2324</v>
      </c>
      <c r="G397" s="331"/>
      <c r="H397" s="650">
        <f>IF(LEN(TRIM($G397&amp;""))=0, $C397, SUMIF($G$3:$G$561, TRIM($G397), $C$3:$C$561))</f>
        <v>16.5563</v>
      </c>
      <c r="I397" s="333" t="s">
        <v>562</v>
      </c>
      <c r="J397" s="331"/>
      <c r="K397" s="328"/>
      <c r="L397" s="328"/>
      <c r="M397" s="391"/>
      <c r="N397" s="332"/>
      <c r="O397" s="541" t="s">
        <v>2325</v>
      </c>
      <c r="P397" s="541" t="s">
        <v>2326</v>
      </c>
      <c r="Q397" s="541" t="s">
        <v>2327</v>
      </c>
      <c r="R397" s="332"/>
      <c r="S397" s="332"/>
      <c r="T397" s="331"/>
      <c r="U397" s="344" t="s">
        <v>82</v>
      </c>
      <c r="V397" s="335">
        <v>17.399999999999999</v>
      </c>
      <c r="W397" s="335">
        <v>17.39</v>
      </c>
      <c r="X397" s="335">
        <v>16.57</v>
      </c>
      <c r="Y397" s="336">
        <v>17.100000000000001</v>
      </c>
      <c r="Z397" s="337">
        <v>17.331299999999999</v>
      </c>
      <c r="AA397" s="338">
        <v>30</v>
      </c>
      <c r="AB397" s="338">
        <v>43.214700000000001</v>
      </c>
      <c r="AC397" s="634">
        <v>39.6083</v>
      </c>
      <c r="AD397" s="338">
        <v>16.5563</v>
      </c>
      <c r="AE397" s="339">
        <v>4</v>
      </c>
      <c r="AF397" s="340">
        <v>50</v>
      </c>
      <c r="AG397" s="334"/>
      <c r="AH397" s="341"/>
      <c r="AI397" s="422" t="s">
        <v>83</v>
      </c>
      <c r="AJ397" s="343" t="s">
        <v>101</v>
      </c>
      <c r="AK397" s="344" t="s">
        <v>2328</v>
      </c>
      <c r="AL397" s="340" t="s">
        <v>103</v>
      </c>
      <c r="AM397" s="328"/>
      <c r="AN397" s="328"/>
      <c r="AO397" s="328"/>
      <c r="AP397" s="328"/>
      <c r="AQ397" s="328"/>
      <c r="AR397" s="451"/>
      <c r="AS397" s="372" t="s">
        <v>103</v>
      </c>
      <c r="AT397" s="345"/>
      <c r="AU397" s="345"/>
      <c r="AV397" s="345"/>
      <c r="AW397" s="345"/>
      <c r="AX397" s="345"/>
      <c r="AY397" s="345"/>
      <c r="AZ397" s="345"/>
      <c r="BA397" s="345"/>
      <c r="BB397" s="345"/>
      <c r="BC397" s="345"/>
      <c r="BD397" s="345"/>
      <c r="BE397" s="345"/>
      <c r="BF397" s="345"/>
      <c r="BG397" s="345"/>
      <c r="BH397" s="345"/>
      <c r="BI397" s="345"/>
      <c r="BJ397" s="364">
        <f>COUNTIF(AT397:BI397,"*OP*")</f>
        <v>0</v>
      </c>
      <c r="BK397" s="375" t="s">
        <v>103</v>
      </c>
      <c r="BL397" s="328">
        <f>(COUNTIF(AT397:AV397,"*OK*")*3) + (COUNTIF(AW397:AY397,"*OK*")*2) + COUNTIF(AZ397:BB397,"*OK*")+COUNTIF(BK397:BK397,"SI")*0.5</f>
        <v>0</v>
      </c>
      <c r="BM397" s="328" t="str">
        <f>IF(BL397&lt;0.6,"Demasiado Riesgo",IF(BL397&lt;=5,"Riesgo Medio",IF(BL397&lt;=11,"Riesgo Bajo","Cliente Blindado")))</f>
        <v>Demasiado Riesgo</v>
      </c>
      <c r="BN397" s="328"/>
      <c r="BO397" s="349"/>
      <c r="BP397" s="349">
        <v>0</v>
      </c>
      <c r="BQ397" s="349"/>
      <c r="BR397" s="349"/>
      <c r="BS397" s="349"/>
      <c r="BT397" s="349"/>
      <c r="BU397" s="349"/>
      <c r="BV397" s="349"/>
      <c r="BW397" s="349"/>
      <c r="BX397" s="349"/>
      <c r="BY397" s="349"/>
      <c r="BZ397" s="349"/>
      <c r="CA397" s="349"/>
      <c r="CB397" s="349"/>
      <c r="CC397" s="349"/>
      <c r="CD397" s="349"/>
      <c r="CE397" s="349"/>
      <c r="CF397" s="349"/>
      <c r="CG397" s="349"/>
      <c r="CH397" s="349"/>
      <c r="CI397" s="349"/>
      <c r="CJ397" s="349"/>
      <c r="CK397" s="349"/>
      <c r="CL397" s="349">
        <f>COUNTIF(AT397:BH397,"*OK*")</f>
        <v>0</v>
      </c>
      <c r="CM397" s="349"/>
      <c r="CN397" s="349">
        <f>COUNTIF(AT397:BH397,"*OP*")</f>
        <v>0</v>
      </c>
    </row>
    <row r="398" spans="1:93" ht="15" customHeight="1">
      <c r="A398" s="835">
        <v>36028</v>
      </c>
      <c r="B398" s="560" t="s">
        <v>2329</v>
      </c>
      <c r="C398" s="329">
        <f t="shared" si="8"/>
        <v>35.872</v>
      </c>
      <c r="D398" s="352">
        <f>COUNTIF(AT398:BH398,"*OK*")</f>
        <v>0</v>
      </c>
      <c r="E398" s="331" t="s">
        <v>782</v>
      </c>
      <c r="F398" s="351" t="s">
        <v>2330</v>
      </c>
      <c r="G398" s="351"/>
      <c r="H398" s="650">
        <f>IF(LEN(TRIM($G398&amp;""))=0, $C398, SUMIF($G$3:$G$561, TRIM($G398), $C$3:$C$561))</f>
        <v>35.872</v>
      </c>
      <c r="I398" s="353" t="s">
        <v>562</v>
      </c>
      <c r="J398" s="351"/>
      <c r="K398" s="349"/>
      <c r="L398" s="349"/>
      <c r="M398" s="553"/>
      <c r="N398" s="352"/>
      <c r="O398" s="540" t="s">
        <v>2331</v>
      </c>
      <c r="P398" s="540" t="s">
        <v>2332</v>
      </c>
      <c r="Q398" s="540" t="s">
        <v>2333</v>
      </c>
      <c r="R398" s="352"/>
      <c r="S398" s="352"/>
      <c r="T398" s="351"/>
      <c r="U398" s="362" t="s">
        <v>82</v>
      </c>
      <c r="V398" s="355"/>
      <c r="W398" s="355">
        <v>85.48</v>
      </c>
      <c r="X398" s="355">
        <v>44.18</v>
      </c>
      <c r="Y398" s="356">
        <v>37.049999999999997</v>
      </c>
      <c r="Z398" s="337">
        <v>37.551200000000001</v>
      </c>
      <c r="AA398" s="365">
        <v>37.14</v>
      </c>
      <c r="AB398" s="365">
        <v>37.452800000000003</v>
      </c>
      <c r="AC398" s="635">
        <v>38.141300000000001</v>
      </c>
      <c r="AD398" s="365">
        <v>35.872</v>
      </c>
      <c r="AE398" s="357">
        <v>6</v>
      </c>
      <c r="AF398" s="358">
        <v>50</v>
      </c>
      <c r="AG398" s="354"/>
      <c r="AH398" s="359"/>
      <c r="AI398" s="427" t="s">
        <v>83</v>
      </c>
      <c r="AJ398" s="361" t="s">
        <v>396</v>
      </c>
      <c r="AK398" s="362" t="s">
        <v>2105</v>
      </c>
      <c r="AL398" s="358" t="s">
        <v>103</v>
      </c>
      <c r="AM398" s="349"/>
      <c r="AN398" s="349"/>
      <c r="AO398" s="349"/>
      <c r="AP398" s="349"/>
      <c r="AQ398" s="349"/>
      <c r="AR398" s="453"/>
      <c r="AS398" s="362" t="s">
        <v>103</v>
      </c>
      <c r="AT398" s="345"/>
      <c r="AU398" s="345"/>
      <c r="AV398" s="345"/>
      <c r="AW398" s="345"/>
      <c r="AX398" s="345"/>
      <c r="AY398" s="345"/>
      <c r="AZ398" s="345"/>
      <c r="BA398" s="345"/>
      <c r="BB398" s="345"/>
      <c r="BC398" s="345"/>
      <c r="BD398" s="345"/>
      <c r="BE398" s="345"/>
      <c r="BF398" s="345"/>
      <c r="BG398" s="345"/>
      <c r="BH398" s="345"/>
      <c r="BI398" s="345"/>
      <c r="BJ398" s="364">
        <f>COUNTIF(AT398:BI398,"*OP*")</f>
        <v>0</v>
      </c>
      <c r="BK398" s="362" t="s">
        <v>103</v>
      </c>
      <c r="BL398" s="349">
        <f>(COUNTIF(AT398:AV398,"*OK*")*3) + (COUNTIF(AW398:AY398,"*OK*")*2) + COUNTIF(AZ398:BB398,"*OK*")+COUNTIF(BK398:BK398,"SI")*0.5</f>
        <v>0</v>
      </c>
      <c r="BM398" s="349" t="str">
        <f>IF(BL398&lt;0.6,"Demasiado Riesgo",IF(BL398&lt;=5,"Riesgo Medio",IF(BL398&lt;=11,"Riesgo Bajo","Cliente Blindado")))</f>
        <v>Demasiado Riesgo</v>
      </c>
      <c r="BN398" s="349"/>
      <c r="BO398" s="349"/>
      <c r="BP398" s="349">
        <v>0</v>
      </c>
      <c r="BQ398" s="349"/>
      <c r="BR398" s="349"/>
      <c r="BS398" s="349"/>
      <c r="BT398" s="349"/>
      <c r="BU398" s="349"/>
      <c r="BV398" s="349"/>
      <c r="BW398" s="349"/>
      <c r="BX398" s="349"/>
      <c r="BY398" s="349"/>
      <c r="BZ398" s="349"/>
      <c r="CA398" s="349"/>
      <c r="CB398" s="349"/>
      <c r="CC398" s="349"/>
      <c r="CD398" s="349"/>
      <c r="CE398" s="349"/>
      <c r="CF398" s="349"/>
      <c r="CG398" s="349"/>
      <c r="CH398" s="349"/>
      <c r="CI398" s="349"/>
      <c r="CJ398" s="349"/>
      <c r="CK398" s="349"/>
      <c r="CL398" s="349">
        <f>COUNTIF(AT398:BH398,"*OK*")</f>
        <v>0</v>
      </c>
      <c r="CM398" s="349"/>
      <c r="CN398" s="349">
        <f>COUNTIF(AT398:BH398,"*OP*")</f>
        <v>0</v>
      </c>
    </row>
    <row r="399" spans="1:93" ht="15" customHeight="1">
      <c r="A399" s="835">
        <v>24506</v>
      </c>
      <c r="B399" s="560" t="s">
        <v>2334</v>
      </c>
      <c r="C399" s="329">
        <f t="shared" si="8"/>
        <v>33.395099999999999</v>
      </c>
      <c r="D399" s="352">
        <f>COUNTIF(AT399:BH399,"*OK*")</f>
        <v>0</v>
      </c>
      <c r="E399" s="331" t="s">
        <v>73</v>
      </c>
      <c r="F399" s="351" t="s">
        <v>2335</v>
      </c>
      <c r="G399" s="351" t="s">
        <v>1680</v>
      </c>
      <c r="H399" s="650">
        <f>IF(LEN(TRIM($G399&amp;""))=0, $C399, SUMIF($G$3:$G$561, TRIM($G399), $C$3:$C$561))</f>
        <v>237.94050000000001</v>
      </c>
      <c r="I399" s="413" t="s">
        <v>562</v>
      </c>
      <c r="J399" s="351"/>
      <c r="K399" s="558"/>
      <c r="L399" s="558" t="str">
        <f>HYPERLINK("https://crm.zoho.com/crm/org685875245/tab/Accounts/3525045000409831140","https://crm.zoho.com/crm/org685875245/tab/Accounts/3525045000409831140")</f>
        <v>https://crm.zoho.com/crm/org685875245/tab/Accounts/3525045000409831140</v>
      </c>
      <c r="M399" s="553" t="s">
        <v>96</v>
      </c>
      <c r="N399" s="558"/>
      <c r="O399" s="559"/>
      <c r="P399" s="559"/>
      <c r="Q399" s="559"/>
      <c r="R399" s="558"/>
      <c r="S399" s="352"/>
      <c r="T399" s="351"/>
      <c r="U399" s="354" t="s">
        <v>198</v>
      </c>
      <c r="V399" s="355">
        <v>15.36</v>
      </c>
      <c r="W399" s="355">
        <v>17.53</v>
      </c>
      <c r="X399" s="355">
        <v>12.53</v>
      </c>
      <c r="Y399" s="356">
        <v>12.94</v>
      </c>
      <c r="Z399" s="337">
        <v>63.362200000000001</v>
      </c>
      <c r="AA399" s="365">
        <v>43.22</v>
      </c>
      <c r="AB399" s="365">
        <v>43.583500000000001</v>
      </c>
      <c r="AC399" s="635">
        <v>37.726999999999997</v>
      </c>
      <c r="AD399" s="365">
        <v>33.395099999999999</v>
      </c>
      <c r="AE399" s="357">
        <v>111</v>
      </c>
      <c r="AF399" s="358">
        <v>100</v>
      </c>
      <c r="AG399" s="354"/>
      <c r="AH399" s="359"/>
      <c r="AI399" s="427" t="s">
        <v>83</v>
      </c>
      <c r="AJ399" s="361" t="s">
        <v>297</v>
      </c>
      <c r="AK399" s="362" t="s">
        <v>2336</v>
      </c>
      <c r="AL399" s="358" t="s">
        <v>103</v>
      </c>
      <c r="AM399" s="349"/>
      <c r="AN399" s="349"/>
      <c r="AO399" s="349"/>
      <c r="AP399" s="349"/>
      <c r="AQ399" s="349"/>
      <c r="AR399" s="453"/>
      <c r="AS399" s="363" t="s">
        <v>103</v>
      </c>
      <c r="AT399" s="364"/>
      <c r="AU399" s="364"/>
      <c r="AV399" s="346"/>
      <c r="AW399" s="364"/>
      <c r="AX399" s="346"/>
      <c r="AY399" s="364"/>
      <c r="AZ399" s="364"/>
      <c r="BA399" s="364"/>
      <c r="BB399" s="364"/>
      <c r="BC399" s="364"/>
      <c r="BD399" s="364"/>
      <c r="BE399" s="364"/>
      <c r="BF399" s="364"/>
      <c r="BG399" s="364"/>
      <c r="BH399" s="364"/>
      <c r="BI399" s="364"/>
      <c r="BJ399" s="346">
        <f>COUNTIF(AT399:BI399,"*OP*")</f>
        <v>0</v>
      </c>
      <c r="BK399" s="363" t="s">
        <v>103</v>
      </c>
      <c r="BL399" s="349">
        <f>(COUNTIF(AT399:AV399,"*OK*")*3) + (COUNTIF(AW399:AY399,"*OK*")*2) + COUNTIF(AZ399:BB399,"*OK*")+COUNTIF(BK399:BK399,"SI")*0.5</f>
        <v>0</v>
      </c>
      <c r="BM399" s="349" t="str">
        <f>IF(BL399&lt;0.6,"Demasiado Riesgo",IF(BL399&lt;=5,"Riesgo Medio",IF(BL399&lt;=11,"Riesgo Bajo","Cliente Blindado")))</f>
        <v>Demasiado Riesgo</v>
      </c>
      <c r="BN399" s="349"/>
      <c r="BO399" s="349"/>
      <c r="BP399" s="349">
        <v>0</v>
      </c>
      <c r="BQ399" s="349"/>
      <c r="BR399" s="349"/>
      <c r="BS399" s="349"/>
      <c r="BT399" s="349"/>
      <c r="BU399" s="349"/>
      <c r="BV399" s="349"/>
      <c r="BW399" s="349"/>
      <c r="BX399" s="349"/>
      <c r="BY399" s="349"/>
      <c r="BZ399" s="349"/>
      <c r="CA399" s="349"/>
      <c r="CB399" s="349"/>
      <c r="CC399" s="349"/>
      <c r="CD399" s="349"/>
      <c r="CE399" s="349"/>
      <c r="CF399" s="349"/>
      <c r="CG399" s="349"/>
      <c r="CH399" s="349"/>
      <c r="CI399" s="349"/>
      <c r="CJ399" s="349"/>
      <c r="CK399" s="349"/>
      <c r="CL399" s="349">
        <f>COUNTIF(AT399:BH399,"*OK*")</f>
        <v>0</v>
      </c>
      <c r="CM399" s="349"/>
      <c r="CN399" s="349">
        <f>COUNTIF(AT399:BH399,"*OP*")</f>
        <v>0</v>
      </c>
    </row>
    <row r="400" spans="1:93" ht="15" customHeight="1">
      <c r="A400" s="834">
        <v>33694</v>
      </c>
      <c r="B400" s="560" t="s">
        <v>2337</v>
      </c>
      <c r="C400" s="329">
        <f t="shared" si="8"/>
        <v>35.027000000000001</v>
      </c>
      <c r="D400" s="332">
        <f>COUNTIF(AT400:BH400,"*OK*")</f>
        <v>0</v>
      </c>
      <c r="E400" s="331" t="s">
        <v>782</v>
      </c>
      <c r="F400" s="331" t="s">
        <v>2338</v>
      </c>
      <c r="G400" s="331"/>
      <c r="H400" s="650">
        <f>IF(LEN(TRIM($G400&amp;""))=0, $C400, SUMIF($G$3:$G$561, TRIM($G400), $C$3:$C$561))</f>
        <v>35.027000000000001</v>
      </c>
      <c r="I400" s="331" t="s">
        <v>562</v>
      </c>
      <c r="J400" s="331"/>
      <c r="K400" s="328"/>
      <c r="L400" s="328"/>
      <c r="M400" s="391"/>
      <c r="N400" s="332"/>
      <c r="O400" s="541" t="s">
        <v>2339</v>
      </c>
      <c r="P400" s="541" t="s">
        <v>2340</v>
      </c>
      <c r="Q400" s="541" t="s">
        <v>2341</v>
      </c>
      <c r="R400" s="332"/>
      <c r="S400" s="332"/>
      <c r="T400" s="331"/>
      <c r="U400" s="344" t="s">
        <v>82</v>
      </c>
      <c r="V400" s="335">
        <v>31.56</v>
      </c>
      <c r="W400" s="335">
        <v>36.78</v>
      </c>
      <c r="X400" s="335">
        <v>30.04</v>
      </c>
      <c r="Y400" s="336">
        <v>36.18</v>
      </c>
      <c r="Z400" s="337">
        <v>36.666699999999999</v>
      </c>
      <c r="AA400" s="347">
        <v>36.26</v>
      </c>
      <c r="AB400" s="347">
        <v>36.570599999999999</v>
      </c>
      <c r="AC400" s="638">
        <v>37.242899999999999</v>
      </c>
      <c r="AD400" s="347">
        <v>35.027000000000001</v>
      </c>
      <c r="AE400" s="339">
        <v>7</v>
      </c>
      <c r="AF400" s="340">
        <v>50</v>
      </c>
      <c r="AG400" s="334"/>
      <c r="AH400" s="341"/>
      <c r="AI400" s="418" t="s">
        <v>83</v>
      </c>
      <c r="AJ400" s="343" t="s">
        <v>396</v>
      </c>
      <c r="AK400" s="344" t="s">
        <v>2322</v>
      </c>
      <c r="AL400" s="340" t="s">
        <v>103</v>
      </c>
      <c r="AM400" s="328"/>
      <c r="AN400" s="328"/>
      <c r="AO400" s="328"/>
      <c r="AP400" s="328"/>
      <c r="AQ400" s="328"/>
      <c r="AR400" s="451"/>
      <c r="AS400" s="372" t="s">
        <v>103</v>
      </c>
      <c r="AT400" s="345"/>
      <c r="AU400" s="345"/>
      <c r="AV400" s="345"/>
      <c r="AW400" s="345"/>
      <c r="AX400" s="345"/>
      <c r="AY400" s="345"/>
      <c r="AZ400" s="345"/>
      <c r="BA400" s="345"/>
      <c r="BB400" s="345"/>
      <c r="BC400" s="345"/>
      <c r="BD400" s="345"/>
      <c r="BE400" s="345"/>
      <c r="BF400" s="345"/>
      <c r="BG400" s="345"/>
      <c r="BH400" s="345"/>
      <c r="BI400" s="345"/>
      <c r="BJ400" s="364">
        <f>COUNTIF(AT400:BI400,"*OP*")</f>
        <v>0</v>
      </c>
      <c r="BK400" s="375" t="s">
        <v>103</v>
      </c>
      <c r="BL400" s="328">
        <f>(COUNTIF(AT400:AV400,"*OK*")*3) + (COUNTIF(AW400:AY400,"*OK*")*2) + COUNTIF(AZ400:BB400,"*OK*")+COUNTIF(BK400:BK400,"SI")*0.5</f>
        <v>0</v>
      </c>
      <c r="BM400" s="328" t="str">
        <f>IF(BL400&lt;0.6,"Demasiado Riesgo",IF(BL400&lt;=5,"Riesgo Medio",IF(BL400&lt;=11,"Riesgo Bajo","Cliente Blindado")))</f>
        <v>Demasiado Riesgo</v>
      </c>
      <c r="BN400" s="328"/>
      <c r="BO400" s="349"/>
      <c r="BP400" s="349">
        <v>0</v>
      </c>
      <c r="BQ400" s="349"/>
      <c r="BR400" s="349"/>
      <c r="BS400" s="349"/>
      <c r="BT400" s="349"/>
      <c r="BU400" s="349"/>
      <c r="BV400" s="349"/>
      <c r="BW400" s="349"/>
      <c r="BX400" s="349"/>
      <c r="BY400" s="349"/>
      <c r="BZ400" s="349"/>
      <c r="CA400" s="349"/>
      <c r="CB400" s="349"/>
      <c r="CC400" s="349"/>
      <c r="CD400" s="349"/>
      <c r="CE400" s="349"/>
      <c r="CF400" s="349"/>
      <c r="CG400" s="349"/>
      <c r="CH400" s="349"/>
      <c r="CI400" s="349"/>
      <c r="CJ400" s="349"/>
      <c r="CK400" s="349"/>
      <c r="CL400" s="349">
        <f>COUNTIF(AT400:BH400,"*OK*")</f>
        <v>0</v>
      </c>
      <c r="CM400" s="349"/>
      <c r="CN400" s="349">
        <f>COUNTIF(AT400:BH400,"*OP*")</f>
        <v>0</v>
      </c>
    </row>
    <row r="401" spans="1:94" ht="15" customHeight="1">
      <c r="A401" s="835"/>
      <c r="B401" s="560" t="s">
        <v>2342</v>
      </c>
      <c r="C401" s="329">
        <f t="shared" si="8"/>
        <v>0</v>
      </c>
      <c r="D401" s="352">
        <f>COUNTIF(AT401:BH401,"*OK*")</f>
        <v>0</v>
      </c>
      <c r="E401" s="331" t="s">
        <v>782</v>
      </c>
      <c r="F401" s="351" t="s">
        <v>2343</v>
      </c>
      <c r="G401" s="351"/>
      <c r="H401" s="650">
        <f>IF(LEN(TRIM($G401&amp;""))=0, $C401, SUMIF($G$3:$G$561, TRIM($G401), $C$3:$C$561))</f>
        <v>0</v>
      </c>
      <c r="I401" s="353" t="s">
        <v>562</v>
      </c>
      <c r="J401" s="351"/>
      <c r="K401" s="349"/>
      <c r="L401" s="349"/>
      <c r="M401" s="553"/>
      <c r="N401" s="352"/>
      <c r="O401" s="540" t="s">
        <v>1029</v>
      </c>
      <c r="P401" s="540" t="s">
        <v>2344</v>
      </c>
      <c r="Q401" s="540" t="s">
        <v>2345</v>
      </c>
      <c r="R401" s="352"/>
      <c r="S401" s="352"/>
      <c r="T401" s="351"/>
      <c r="U401" s="362" t="s">
        <v>82</v>
      </c>
      <c r="V401" s="355">
        <v>85.24</v>
      </c>
      <c r="W401" s="355"/>
      <c r="X401" s="355">
        <v>34.79</v>
      </c>
      <c r="Y401" s="356">
        <v>35.909999999999997</v>
      </c>
      <c r="Z401" s="337">
        <v>33.796100000000003</v>
      </c>
      <c r="AA401" s="365">
        <v>33.43</v>
      </c>
      <c r="AB401" s="365">
        <v>36.300400000000003</v>
      </c>
      <c r="AC401" s="635">
        <v>36.967700000000001</v>
      </c>
      <c r="AD401" s="365">
        <v>0</v>
      </c>
      <c r="AE401" s="357"/>
      <c r="AF401" s="358">
        <v>50</v>
      </c>
      <c r="AG401" s="354"/>
      <c r="AH401" s="359"/>
      <c r="AI401" s="427" t="s">
        <v>83</v>
      </c>
      <c r="AJ401" s="361" t="s">
        <v>143</v>
      </c>
      <c r="AK401" s="362" t="s">
        <v>2346</v>
      </c>
      <c r="AL401" s="358" t="s">
        <v>103</v>
      </c>
      <c r="AM401" s="349"/>
      <c r="AN401" s="349"/>
      <c r="AO401" s="349"/>
      <c r="AP401" s="349"/>
      <c r="AQ401" s="349"/>
      <c r="AR401" s="453"/>
      <c r="AS401" s="371" t="s">
        <v>103</v>
      </c>
      <c r="AT401" s="345"/>
      <c r="AU401" s="345"/>
      <c r="AV401" s="345"/>
      <c r="AW401" s="345"/>
      <c r="AX401" s="345"/>
      <c r="AY401" s="345"/>
      <c r="AZ401" s="345"/>
      <c r="BA401" s="345"/>
      <c r="BB401" s="345"/>
      <c r="BC401" s="345"/>
      <c r="BD401" s="345"/>
      <c r="BE401" s="345"/>
      <c r="BF401" s="345"/>
      <c r="BG401" s="345"/>
      <c r="BH401" s="345"/>
      <c r="BI401" s="345"/>
      <c r="BJ401" s="364">
        <f>COUNTIF(AT401:BI401,"*OP*")</f>
        <v>0</v>
      </c>
      <c r="BK401" s="363" t="s">
        <v>103</v>
      </c>
      <c r="BL401" s="349">
        <f>(COUNTIF(AT401:AV401,"*OK*")*3) + (COUNTIF(AW401:AY401,"*OK*")*2) + COUNTIF(AZ401:BB401,"*OK*")+COUNTIF(BK401:BK401,"SI")*0.5</f>
        <v>0</v>
      </c>
      <c r="BM401" s="349" t="str">
        <f>IF(BL401&lt;0.6,"Demasiado Riesgo",IF(BL401&lt;=5,"Riesgo Medio",IF(BL401&lt;=11,"Riesgo Bajo","Cliente Blindado")))</f>
        <v>Demasiado Riesgo</v>
      </c>
      <c r="BN401" s="349"/>
      <c r="BO401" s="328"/>
      <c r="BP401" s="328">
        <v>0</v>
      </c>
      <c r="BQ401" s="328"/>
      <c r="BR401" s="328"/>
      <c r="BS401" s="328"/>
      <c r="BT401" s="328"/>
      <c r="BU401" s="328"/>
      <c r="BV401" s="328"/>
      <c r="BW401" s="328"/>
      <c r="BX401" s="328"/>
      <c r="BY401" s="328"/>
      <c r="BZ401" s="328"/>
      <c r="CA401" s="328"/>
      <c r="CB401" s="328"/>
      <c r="CC401" s="328"/>
      <c r="CD401" s="328"/>
      <c r="CE401" s="328"/>
      <c r="CF401" s="328"/>
      <c r="CG401" s="328"/>
      <c r="CH401" s="328"/>
      <c r="CI401" s="328"/>
      <c r="CJ401" s="328"/>
      <c r="CK401" s="328"/>
      <c r="CL401" s="328">
        <f>COUNTIF(AT401:BH401,"*OK*")</f>
        <v>0</v>
      </c>
      <c r="CM401" s="328"/>
      <c r="CN401" s="328">
        <f>COUNTIF(AT401:BH401,"*OP*")</f>
        <v>0</v>
      </c>
      <c r="CP401" s="285"/>
    </row>
    <row r="402" spans="1:94" ht="15" customHeight="1">
      <c r="A402" s="835">
        <v>27817</v>
      </c>
      <c r="B402" s="560" t="s">
        <v>2347</v>
      </c>
      <c r="C402" s="329">
        <f t="shared" si="8"/>
        <v>30.794699999999999</v>
      </c>
      <c r="D402" s="352">
        <f>COUNTIF(AT402:BH402,"*OK*")</f>
        <v>0</v>
      </c>
      <c r="E402" s="351" t="s">
        <v>439</v>
      </c>
      <c r="F402" s="351" t="s">
        <v>2348</v>
      </c>
      <c r="G402" s="351" t="s">
        <v>1892</v>
      </c>
      <c r="H402" s="650">
        <f>IF(LEN(TRIM($G402&amp;""))=0, $C402, SUMIF($G$3:$G$561, TRIM($G402), $C$3:$C$561))</f>
        <v>213.07940000000002</v>
      </c>
      <c r="I402" s="413" t="s">
        <v>562</v>
      </c>
      <c r="J402" s="351"/>
      <c r="K402" s="349"/>
      <c r="L402" s="349"/>
      <c r="M402" s="553" t="s">
        <v>96</v>
      </c>
      <c r="N402" s="352"/>
      <c r="O402" s="540"/>
      <c r="P402" s="540"/>
      <c r="Q402" s="540"/>
      <c r="R402" s="352"/>
      <c r="S402" s="352"/>
      <c r="T402" s="351"/>
      <c r="U402" s="354" t="s">
        <v>82</v>
      </c>
      <c r="V402" s="355">
        <v>32.369999999999997</v>
      </c>
      <c r="W402" s="355">
        <v>29.03</v>
      </c>
      <c r="X402" s="355">
        <v>27.67</v>
      </c>
      <c r="Y402" s="356">
        <v>31.81</v>
      </c>
      <c r="Z402" s="337">
        <v>32.2363</v>
      </c>
      <c r="AA402" s="338">
        <v>35.14</v>
      </c>
      <c r="AB402" s="338">
        <v>35.436100000000003</v>
      </c>
      <c r="AC402" s="634">
        <v>36.087499999999999</v>
      </c>
      <c r="AD402" s="338">
        <v>30.794699999999999</v>
      </c>
      <c r="AE402" s="357">
        <v>68</v>
      </c>
      <c r="AF402" s="358">
        <v>50</v>
      </c>
      <c r="AG402" s="354"/>
      <c r="AH402" s="359"/>
      <c r="AI402" s="427" t="s">
        <v>83</v>
      </c>
      <c r="AJ402" s="361" t="s">
        <v>143</v>
      </c>
      <c r="AK402" s="362" t="s">
        <v>2349</v>
      </c>
      <c r="AL402" s="358" t="s">
        <v>103</v>
      </c>
      <c r="AM402" s="349"/>
      <c r="AN402" s="349"/>
      <c r="AO402" s="349"/>
      <c r="AP402" s="349"/>
      <c r="AQ402" s="349"/>
      <c r="AR402" s="453"/>
      <c r="AS402" s="371" t="s">
        <v>103</v>
      </c>
      <c r="AT402" s="345"/>
      <c r="AU402" s="345"/>
      <c r="AV402" s="345"/>
      <c r="AW402" s="345"/>
      <c r="AX402" s="345"/>
      <c r="AY402" s="345"/>
      <c r="AZ402" s="345"/>
      <c r="BA402" s="345"/>
      <c r="BB402" s="345"/>
      <c r="BC402" s="345"/>
      <c r="BD402" s="345"/>
      <c r="BE402" s="345"/>
      <c r="BF402" s="345"/>
      <c r="BG402" s="345"/>
      <c r="BH402" s="345"/>
      <c r="BI402" s="345"/>
      <c r="BJ402" s="364">
        <f>COUNTIF(AT402:BI402,"*OP*")</f>
        <v>0</v>
      </c>
      <c r="BK402" s="363" t="s">
        <v>103</v>
      </c>
      <c r="BL402" s="349">
        <f>(COUNTIF(AT402:AV402,"*OK*")*3) + (COUNTIF(AW402:AY402,"*OK*")*2) + COUNTIF(AZ402:BB402,"*OK*")+COUNTIF(BK402:BK402,"SI")*0.5</f>
        <v>0</v>
      </c>
      <c r="BM402" s="349" t="str">
        <f>IF(BL402&lt;0.6,"Demasiado Riesgo",IF(BL402&lt;=5,"Riesgo Medio",IF(BL402&lt;=11,"Riesgo Bajo","Cliente Blindado")))</f>
        <v>Demasiado Riesgo</v>
      </c>
      <c r="BN402" s="349"/>
      <c r="BO402" s="349"/>
      <c r="BP402" s="349">
        <v>0</v>
      </c>
      <c r="BQ402" s="349"/>
      <c r="BR402" s="349"/>
      <c r="BS402" s="349"/>
      <c r="BT402" s="349"/>
      <c r="BU402" s="349"/>
      <c r="BV402" s="349"/>
      <c r="BW402" s="349"/>
      <c r="BX402" s="349"/>
      <c r="BY402" s="349"/>
      <c r="BZ402" s="349"/>
      <c r="CA402" s="349"/>
      <c r="CB402" s="349"/>
      <c r="CC402" s="349"/>
      <c r="CD402" s="349"/>
      <c r="CE402" s="349"/>
      <c r="CF402" s="349"/>
      <c r="CG402" s="349"/>
      <c r="CH402" s="349"/>
      <c r="CI402" s="349"/>
      <c r="CJ402" s="349"/>
      <c r="CK402" s="349"/>
      <c r="CL402" s="349">
        <f>COUNTIF(AT402:BH402,"*OK*")</f>
        <v>0</v>
      </c>
      <c r="CM402" s="349"/>
      <c r="CN402" s="349">
        <f>COUNTIF(AT402:BH402,"*OP*")</f>
        <v>0</v>
      </c>
    </row>
    <row r="403" spans="1:94" ht="15" customHeight="1">
      <c r="A403" s="835"/>
      <c r="B403" s="560" t="s">
        <v>2350</v>
      </c>
      <c r="C403" s="329">
        <f t="shared" si="8"/>
        <v>31.3079</v>
      </c>
      <c r="D403" s="352">
        <f>COUNTIF(AX403:BI403,"OK")</f>
        <v>0</v>
      </c>
      <c r="E403" s="331" t="s">
        <v>782</v>
      </c>
      <c r="F403" s="368" t="s">
        <v>2351</v>
      </c>
      <c r="G403" s="368"/>
      <c r="H403" s="650">
        <f>IF(LEN(TRIM($G403&amp;""))=0, $C403, SUMIF($G$3:$G$561, TRIM($G403), $C$3:$C$561))</f>
        <v>31.3079</v>
      </c>
      <c r="I403" s="368" t="s">
        <v>562</v>
      </c>
      <c r="J403" s="349"/>
      <c r="K403" s="349"/>
      <c r="L403" s="349"/>
      <c r="M403" s="553"/>
      <c r="N403" s="352"/>
      <c r="O403" s="540"/>
      <c r="P403" s="540"/>
      <c r="Q403" s="540"/>
      <c r="R403" s="352"/>
      <c r="S403" s="352"/>
      <c r="T403" s="349"/>
      <c r="U403" s="362"/>
      <c r="V403" s="335"/>
      <c r="W403" s="335"/>
      <c r="X403" s="335"/>
      <c r="Y403" s="336"/>
      <c r="Z403" s="337">
        <v>45.882899999999999</v>
      </c>
      <c r="AA403" s="374">
        <v>38.9</v>
      </c>
      <c r="AB403" s="374">
        <v>37.045999999999999</v>
      </c>
      <c r="AC403" s="643">
        <v>35.507800000000003</v>
      </c>
      <c r="AD403" s="374">
        <v>31.3079</v>
      </c>
      <c r="AE403" s="357"/>
      <c r="AF403" s="358" t="s">
        <v>103</v>
      </c>
      <c r="AG403" s="354"/>
      <c r="AH403" s="349"/>
      <c r="AI403" s="370"/>
      <c r="AJ403" s="361"/>
      <c r="AK403" s="362"/>
      <c r="AL403" s="371" t="s">
        <v>103</v>
      </c>
      <c r="AM403" s="349"/>
      <c r="AN403" s="349"/>
      <c r="AO403" s="349"/>
      <c r="AP403" s="349"/>
      <c r="AQ403" s="349"/>
      <c r="AR403" s="453"/>
      <c r="AS403" s="371"/>
      <c r="AT403" s="345"/>
      <c r="AU403" s="345"/>
      <c r="AV403" s="345"/>
      <c r="AW403" s="345"/>
      <c r="AX403" s="345"/>
      <c r="AY403" s="345"/>
      <c r="AZ403" s="345"/>
      <c r="BA403" s="345"/>
      <c r="BB403" s="345"/>
      <c r="BC403" s="345"/>
      <c r="BD403" s="345"/>
      <c r="BE403" s="345"/>
      <c r="BF403" s="345"/>
      <c r="BG403" s="345"/>
      <c r="BH403" s="345"/>
      <c r="BI403" s="345"/>
      <c r="BJ403" s="364">
        <f>COUNTIF(AT403:BI403,"*OP*")</f>
        <v>0</v>
      </c>
      <c r="BK403" s="363" t="s">
        <v>103</v>
      </c>
      <c r="BL403" s="349">
        <f>(COUNTIF(AT403:AV403,"*OK*")*3) + (COUNTIF(AW403:AY403,"*OK*")*2) + COUNTIF(AZ403:BB403,"*OK*")+COUNTIF(BK403:BK403,"SI")*0.5</f>
        <v>0</v>
      </c>
      <c r="BM403" s="349" t="str">
        <f>IF(BL403&lt;0.6,"Demasiado Riesgo",IF(BL403&lt;=5,"Riesgo Medio",IF(BL403&lt;=11,"Riesgo Bajo","Cliente Blindado")))</f>
        <v>Demasiado Riesgo</v>
      </c>
      <c r="BN403" s="349"/>
      <c r="BO403" s="328"/>
      <c r="BP403" s="328">
        <v>0</v>
      </c>
      <c r="BQ403" s="328"/>
      <c r="BR403" s="328"/>
      <c r="BS403" s="328"/>
      <c r="BT403" s="328"/>
      <c r="BU403" s="328"/>
      <c r="BV403" s="328"/>
      <c r="BW403" s="328"/>
      <c r="BX403" s="328"/>
      <c r="BY403" s="328"/>
      <c r="BZ403" s="328"/>
      <c r="CA403" s="328"/>
      <c r="CB403" s="328"/>
      <c r="CC403" s="328"/>
      <c r="CD403" s="328"/>
      <c r="CE403" s="328"/>
      <c r="CF403" s="328"/>
      <c r="CG403" s="328"/>
      <c r="CH403" s="328"/>
      <c r="CI403" s="328"/>
      <c r="CJ403" s="328"/>
      <c r="CK403" s="328"/>
      <c r="CL403" s="328">
        <f>COUNTIF(AT403:BH403,"*OK*")</f>
        <v>0</v>
      </c>
      <c r="CM403" s="328"/>
      <c r="CN403" s="328">
        <f>COUNTIF(AT403:BH403,"*OP*")</f>
        <v>0</v>
      </c>
      <c r="CP403" s="425"/>
    </row>
    <row r="404" spans="1:94" ht="15" customHeight="1">
      <c r="A404" s="834">
        <v>24229</v>
      </c>
      <c r="B404" s="560" t="s">
        <v>2114</v>
      </c>
      <c r="C404" s="329">
        <f t="shared" si="8"/>
        <v>28.618099999999998</v>
      </c>
      <c r="D404" s="332">
        <f>COUNTIF(AT404:BH404,"*OK*")</f>
        <v>0</v>
      </c>
      <c r="E404" s="331" t="s">
        <v>439</v>
      </c>
      <c r="F404" s="331" t="s">
        <v>2352</v>
      </c>
      <c r="G404" s="416" t="s">
        <v>2116</v>
      </c>
      <c r="H404" s="650">
        <f>IF(LEN(TRIM($G404&amp;""))=0, $C404, SUMIF($G$3:$G$561, TRIM($G404), $C$3:$C$561))</f>
        <v>126.99279999999999</v>
      </c>
      <c r="I404" s="410" t="s">
        <v>562</v>
      </c>
      <c r="J404" s="436"/>
      <c r="K404" s="328"/>
      <c r="L404" s="328" t="str">
        <f>HYPERLINK("https://crm.zoho.com/crm/org685875245/tab/Accounts/3525045000293367099","https://crm.zoho.com/crm/org685875245/tab/Accounts/3525045000293367099")</f>
        <v>https://crm.zoho.com/crm/org685875245/tab/Accounts/3525045000293367099</v>
      </c>
      <c r="M404" s="391" t="s">
        <v>77</v>
      </c>
      <c r="N404" s="332"/>
      <c r="O404" s="541" t="s">
        <v>2117</v>
      </c>
      <c r="P404" s="541"/>
      <c r="Q404" s="541" t="s">
        <v>2118</v>
      </c>
      <c r="R404" s="332"/>
      <c r="S404" s="332"/>
      <c r="T404" s="331"/>
      <c r="U404" s="334" t="s">
        <v>82</v>
      </c>
      <c r="V404" s="335">
        <v>20.68</v>
      </c>
      <c r="W404" s="335">
        <v>16.899999999999999</v>
      </c>
      <c r="X404" s="335">
        <v>19.690000000000001</v>
      </c>
      <c r="Y404" s="336">
        <v>20.32</v>
      </c>
      <c r="Z404" s="337">
        <v>22.468299999999999</v>
      </c>
      <c r="AA404" s="365">
        <v>22.22</v>
      </c>
      <c r="AB404" s="365">
        <v>29.879200000000001</v>
      </c>
      <c r="AC404" s="635">
        <v>34.232100000000003</v>
      </c>
      <c r="AD404" s="365">
        <v>28.618099999999998</v>
      </c>
      <c r="AE404" s="339">
        <v>85</v>
      </c>
      <c r="AF404" s="340">
        <v>50</v>
      </c>
      <c r="AG404" s="334"/>
      <c r="AH404" s="341"/>
      <c r="AI404" s="418" t="s">
        <v>83</v>
      </c>
      <c r="AJ404" s="343" t="s">
        <v>396</v>
      </c>
      <c r="AK404" s="344" t="s">
        <v>1856</v>
      </c>
      <c r="AL404" s="340" t="s">
        <v>103</v>
      </c>
      <c r="AM404" s="328"/>
      <c r="AN404" s="328"/>
      <c r="AO404" s="328"/>
      <c r="AP404" s="328"/>
      <c r="AQ404" s="328"/>
      <c r="AR404" s="451"/>
      <c r="AS404" s="372" t="s">
        <v>88</v>
      </c>
      <c r="AT404" s="345"/>
      <c r="AU404" s="345"/>
      <c r="AV404" s="345" t="s">
        <v>179</v>
      </c>
      <c r="AW404" s="345" t="s">
        <v>179</v>
      </c>
      <c r="AX404" s="345"/>
      <c r="AY404" s="345"/>
      <c r="AZ404" s="345"/>
      <c r="BA404" s="345"/>
      <c r="BB404" s="345"/>
      <c r="BC404" s="345"/>
      <c r="BD404" s="594"/>
      <c r="BE404" s="345"/>
      <c r="BF404" s="345"/>
      <c r="BG404" s="345"/>
      <c r="BH404" s="345"/>
      <c r="BI404" s="345"/>
      <c r="BJ404" s="364">
        <f>COUNTIF(AT404:BI404,"*OP*")</f>
        <v>2</v>
      </c>
      <c r="BK404" s="375" t="s">
        <v>89</v>
      </c>
      <c r="BL404" s="328">
        <f>(COUNTIF(AT404:AV404,"*OK*")*3) + (COUNTIF(AW404:AY404,"*OK*")*2) + COUNTIF(AZ404:BB404,"*OK*")+COUNTIF(BK404:BK404,"SI")*0.5</f>
        <v>0</v>
      </c>
      <c r="BM404" s="328" t="str">
        <f>IF(BL404&lt;0.6,"Demasiado Riesgo",IF(BL404&lt;=5,"Riesgo Medio",IF(BL404&lt;=11,"Riesgo Bajo","Cliente Blindado")))</f>
        <v>Demasiado Riesgo</v>
      </c>
      <c r="BN404" s="328"/>
      <c r="BO404" s="328"/>
      <c r="BP404" s="328">
        <v>0</v>
      </c>
      <c r="BQ404" s="328"/>
      <c r="BR404" s="328"/>
      <c r="BS404" s="328"/>
      <c r="BT404" s="328"/>
      <c r="BU404" s="328"/>
      <c r="BV404" s="328"/>
      <c r="BW404" s="328"/>
      <c r="BX404" s="328"/>
      <c r="BY404" s="328"/>
      <c r="BZ404" s="328"/>
      <c r="CA404" s="328"/>
      <c r="CB404" s="328"/>
      <c r="CC404" s="328"/>
      <c r="CD404" s="328"/>
      <c r="CE404" s="328"/>
      <c r="CF404" s="328"/>
      <c r="CG404" s="328"/>
      <c r="CH404" s="328"/>
      <c r="CI404" s="328"/>
      <c r="CJ404" s="328"/>
      <c r="CK404" s="328"/>
      <c r="CL404" s="328">
        <f>COUNTIF(AT404:BH404,"*OK*")</f>
        <v>0</v>
      </c>
      <c r="CM404" s="328"/>
      <c r="CN404" s="328">
        <f>COUNTIF(AT404:BH404,"*OP*")</f>
        <v>2</v>
      </c>
    </row>
    <row r="405" spans="1:94" ht="15" customHeight="1">
      <c r="A405" s="835">
        <v>31343</v>
      </c>
      <c r="B405" s="560" t="s">
        <v>2353</v>
      </c>
      <c r="C405" s="329">
        <f t="shared" si="8"/>
        <v>31.291399999999999</v>
      </c>
      <c r="D405" s="352">
        <f>COUNTIF(AT405:BH405,"*OK*")</f>
        <v>0</v>
      </c>
      <c r="E405" s="331" t="s">
        <v>782</v>
      </c>
      <c r="F405" s="351" t="s">
        <v>2354</v>
      </c>
      <c r="G405" s="351"/>
      <c r="H405" s="650">
        <f>IF(LEN(TRIM($G405&amp;""))=0, $C405, SUMIF($G$3:$G$561, TRIM($G405), $C$3:$C$561))</f>
        <v>31.291399999999999</v>
      </c>
      <c r="I405" s="351" t="s">
        <v>562</v>
      </c>
      <c r="J405" s="351"/>
      <c r="K405" s="349"/>
      <c r="L405" s="349" t="str">
        <f>HYPERLINK("https://crm.zoho.com/crm/org685875245/tab/Accounts/3525045000480768693","https://crm.zoho.com/crm/org685875245/tab/Accounts/3525045000480768693")</f>
        <v>https://crm.zoho.com/crm/org685875245/tab/Accounts/3525045000480768693</v>
      </c>
      <c r="M405" s="553"/>
      <c r="N405" s="352"/>
      <c r="O405" s="540" t="s">
        <v>1512</v>
      </c>
      <c r="P405" s="540" t="s">
        <v>2355</v>
      </c>
      <c r="Q405" s="540" t="s">
        <v>2356</v>
      </c>
      <c r="R405" s="352"/>
      <c r="S405" s="352"/>
      <c r="T405" s="351"/>
      <c r="U405" s="362" t="s">
        <v>209</v>
      </c>
      <c r="V405" s="355">
        <v>34.11</v>
      </c>
      <c r="W405" s="355">
        <v>34.08</v>
      </c>
      <c r="X405" s="355">
        <v>32.47</v>
      </c>
      <c r="Y405" s="356">
        <v>32.32</v>
      </c>
      <c r="Z405" s="337">
        <v>32.7562</v>
      </c>
      <c r="AA405" s="365">
        <v>32.4</v>
      </c>
      <c r="AB405" s="365">
        <v>32.670299999999997</v>
      </c>
      <c r="AC405" s="635">
        <v>33.270899999999997</v>
      </c>
      <c r="AD405" s="365">
        <v>31.291399999999999</v>
      </c>
      <c r="AE405" s="357">
        <v>8</v>
      </c>
      <c r="AF405" s="358">
        <v>100</v>
      </c>
      <c r="AG405" s="354"/>
      <c r="AH405" s="359"/>
      <c r="AI405" s="427" t="s">
        <v>83</v>
      </c>
      <c r="AJ405" s="361" t="s">
        <v>101</v>
      </c>
      <c r="AK405" s="362" t="s">
        <v>2357</v>
      </c>
      <c r="AL405" s="358" t="s">
        <v>101</v>
      </c>
      <c r="AM405" s="349"/>
      <c r="AN405" s="349"/>
      <c r="AO405" s="349"/>
      <c r="AP405" s="349"/>
      <c r="AQ405" s="349"/>
      <c r="AR405" s="453"/>
      <c r="AS405" s="371" t="s">
        <v>103</v>
      </c>
      <c r="AT405" s="345"/>
      <c r="AU405" s="345"/>
      <c r="AV405" s="345"/>
      <c r="AW405" s="345"/>
      <c r="AX405" s="345"/>
      <c r="AY405" s="345"/>
      <c r="AZ405" s="345"/>
      <c r="BA405" s="345"/>
      <c r="BB405" s="345"/>
      <c r="BC405" s="345"/>
      <c r="BD405" s="345"/>
      <c r="BE405" s="345"/>
      <c r="BF405" s="345"/>
      <c r="BG405" s="345"/>
      <c r="BH405" s="345"/>
      <c r="BI405" s="345"/>
      <c r="BJ405" s="364">
        <f>COUNTIF(AT405:BI405,"*OP*")</f>
        <v>0</v>
      </c>
      <c r="BK405" s="363" t="s">
        <v>103</v>
      </c>
      <c r="BL405" s="349">
        <f>(COUNTIF(AT405:AV405,"*OK*")*3) + (COUNTIF(AW405:AY405,"*OK*")*2) + COUNTIF(AZ405:BB405,"*OK*")+COUNTIF(BK405:BK405,"SI")*0.5</f>
        <v>0</v>
      </c>
      <c r="BM405" s="349" t="str">
        <f>IF(BL405&lt;0.6,"Demasiado Riesgo",IF(BL405&lt;=5,"Riesgo Medio",IF(BL405&lt;=11,"Riesgo Bajo","Cliente Blindado")))</f>
        <v>Demasiado Riesgo</v>
      </c>
      <c r="BN405" s="349"/>
      <c r="BO405" s="349"/>
      <c r="BP405" s="349">
        <v>0</v>
      </c>
      <c r="BQ405" s="349"/>
      <c r="BR405" s="349"/>
      <c r="BS405" s="349"/>
      <c r="BT405" s="349"/>
      <c r="BU405" s="349"/>
      <c r="BV405" s="349"/>
      <c r="BW405" s="349"/>
      <c r="BX405" s="349"/>
      <c r="BY405" s="349"/>
      <c r="BZ405" s="349"/>
      <c r="CA405" s="349"/>
      <c r="CB405" s="349"/>
      <c r="CC405" s="349"/>
      <c r="CD405" s="349"/>
      <c r="CE405" s="349"/>
      <c r="CF405" s="349"/>
      <c r="CG405" s="349"/>
      <c r="CH405" s="349"/>
      <c r="CI405" s="349"/>
      <c r="CJ405" s="349"/>
      <c r="CK405" s="349"/>
      <c r="CL405" s="349">
        <f>COUNTIF(AT405:BH405,"*OK*")</f>
        <v>0</v>
      </c>
      <c r="CM405" s="349"/>
      <c r="CN405" s="349">
        <f>COUNTIF(AT405:BH405,"*OP*")</f>
        <v>0</v>
      </c>
      <c r="CO405" s="442"/>
    </row>
    <row r="406" spans="1:94" ht="15" customHeight="1">
      <c r="A406" s="835">
        <v>27817</v>
      </c>
      <c r="B406" s="560" t="s">
        <v>2358</v>
      </c>
      <c r="C406" s="329">
        <f t="shared" si="8"/>
        <v>30.794699999999999</v>
      </c>
      <c r="D406" s="332">
        <f>COUNTIF(AT406:BH406,"*OK*")</f>
        <v>0</v>
      </c>
      <c r="E406" s="331" t="s">
        <v>439</v>
      </c>
      <c r="F406" s="331" t="s">
        <v>2359</v>
      </c>
      <c r="G406" s="351" t="s">
        <v>1892</v>
      </c>
      <c r="H406" s="650">
        <f>IF(LEN(TRIM($G406&amp;""))=0, $C406, SUMIF($G$3:$G$561, TRIM($G406), $C$3:$C$561))</f>
        <v>213.07940000000002</v>
      </c>
      <c r="I406" s="410" t="s">
        <v>562</v>
      </c>
      <c r="J406" s="331"/>
      <c r="K406" s="328"/>
      <c r="L406" s="328"/>
      <c r="M406" s="391" t="s">
        <v>96</v>
      </c>
      <c r="N406" s="332"/>
      <c r="O406" s="541"/>
      <c r="P406" s="541"/>
      <c r="Q406" s="541"/>
      <c r="R406" s="332"/>
      <c r="S406" s="332"/>
      <c r="T406" s="331"/>
      <c r="U406" s="334" t="s">
        <v>82</v>
      </c>
      <c r="V406" s="335">
        <v>29.06</v>
      </c>
      <c r="W406" s="335">
        <v>29.03</v>
      </c>
      <c r="X406" s="335">
        <v>27.67</v>
      </c>
      <c r="Y406" s="336">
        <v>31.81</v>
      </c>
      <c r="Z406" s="337">
        <v>32.2363</v>
      </c>
      <c r="AA406" s="365">
        <v>28.63</v>
      </c>
      <c r="AB406" s="365">
        <v>28.8674</v>
      </c>
      <c r="AC406" s="635">
        <v>32.742800000000003</v>
      </c>
      <c r="AD406" s="365">
        <v>30.794699999999999</v>
      </c>
      <c r="AE406" s="339">
        <v>68</v>
      </c>
      <c r="AF406" s="340">
        <v>200</v>
      </c>
      <c r="AG406" s="334"/>
      <c r="AH406" s="341"/>
      <c r="AI406" s="418" t="s">
        <v>83</v>
      </c>
      <c r="AJ406" s="343" t="s">
        <v>101</v>
      </c>
      <c r="AK406" s="344" t="s">
        <v>2360</v>
      </c>
      <c r="AL406" s="340" t="s">
        <v>103</v>
      </c>
      <c r="AM406" s="328"/>
      <c r="AN406" s="328"/>
      <c r="AO406" s="328"/>
      <c r="AP406" s="328"/>
      <c r="AQ406" s="328"/>
      <c r="AR406" s="451"/>
      <c r="AS406" s="372" t="s">
        <v>103</v>
      </c>
      <c r="AT406" s="345"/>
      <c r="AU406" s="345"/>
      <c r="AV406" s="345"/>
      <c r="AW406" s="345"/>
      <c r="AX406" s="345"/>
      <c r="AY406" s="345"/>
      <c r="AZ406" s="345"/>
      <c r="BA406" s="345"/>
      <c r="BB406" s="345"/>
      <c r="BC406" s="345"/>
      <c r="BD406" s="345"/>
      <c r="BE406" s="345"/>
      <c r="BF406" s="345"/>
      <c r="BG406" s="345"/>
      <c r="BH406" s="345"/>
      <c r="BI406" s="345"/>
      <c r="BJ406" s="364">
        <f>COUNTIF(AT406:BI406,"*OP*")</f>
        <v>0</v>
      </c>
      <c r="BK406" s="375" t="s">
        <v>103</v>
      </c>
      <c r="BL406" s="328">
        <f>(COUNTIF(AT406:AV406,"*OK*")*3) + (COUNTIF(AW406:AY406,"*OK*")*2) + COUNTIF(AZ406:BB406,"*OK*")+COUNTIF(BK406:BK406,"SI")*0.5</f>
        <v>0</v>
      </c>
      <c r="BM406" s="328" t="str">
        <f>IF(BL406&lt;0.6,"Demasiado Riesgo",IF(BL406&lt;=5,"Riesgo Medio",IF(BL406&lt;=11,"Riesgo Bajo","Cliente Blindado")))</f>
        <v>Demasiado Riesgo</v>
      </c>
      <c r="BN406" s="328"/>
      <c r="BO406" s="328"/>
      <c r="BP406" s="328">
        <v>0</v>
      </c>
      <c r="BQ406" s="328"/>
      <c r="BR406" s="328"/>
      <c r="BS406" s="328"/>
      <c r="BT406" s="328"/>
      <c r="BU406" s="328"/>
      <c r="BV406" s="328"/>
      <c r="BW406" s="328"/>
      <c r="BX406" s="328"/>
      <c r="BY406" s="328"/>
      <c r="BZ406" s="328"/>
      <c r="CA406" s="328"/>
      <c r="CB406" s="328"/>
      <c r="CC406" s="328"/>
      <c r="CD406" s="328"/>
      <c r="CE406" s="328"/>
      <c r="CF406" s="328"/>
      <c r="CG406" s="328"/>
      <c r="CH406" s="328"/>
      <c r="CI406" s="328"/>
      <c r="CJ406" s="328"/>
      <c r="CK406" s="328"/>
      <c r="CL406" s="328">
        <f>COUNTIF(AT406:BH406,"*OK*")</f>
        <v>0</v>
      </c>
      <c r="CM406" s="328"/>
      <c r="CN406" s="328">
        <f>COUNTIF(AT406:BH406,"*OP*")</f>
        <v>0</v>
      </c>
    </row>
    <row r="407" spans="1:94" ht="15" customHeight="1">
      <c r="A407" s="836">
        <v>25699</v>
      </c>
      <c r="B407" s="560" t="s">
        <v>1268</v>
      </c>
      <c r="C407" s="329">
        <f t="shared" si="8"/>
        <v>15.207000000000001</v>
      </c>
      <c r="D407" s="332">
        <f>COUNTIF(AT407:BH407,"*OK*")</f>
        <v>0</v>
      </c>
      <c r="E407" s="331" t="s">
        <v>73</v>
      </c>
      <c r="F407" s="331" t="s">
        <v>2361</v>
      </c>
      <c r="G407" s="351" t="s">
        <v>1270</v>
      </c>
      <c r="H407" s="650">
        <f>IF(LEN(TRIM($G407&amp;""))=0, $C407, SUMIF($G$3:$G$561, TRIM($G407), $C$3:$C$561))</f>
        <v>389.298</v>
      </c>
      <c r="I407" s="417" t="s">
        <v>76</v>
      </c>
      <c r="J407" s="331"/>
      <c r="K407" s="560"/>
      <c r="L407" s="560" t="str">
        <f>HYPERLINK("https://crm.zoho.com/crm/org685875245/tab/Accounts/3525045000305828624","https://crm.zoho.com/crm/org685875245/tab/Accounts/3525045000305828624")</f>
        <v>https://crm.zoho.com/crm/org685875245/tab/Accounts/3525045000305828624</v>
      </c>
      <c r="M407" s="391" t="s">
        <v>167</v>
      </c>
      <c r="N407" s="560"/>
      <c r="O407" s="561" t="s">
        <v>1271</v>
      </c>
      <c r="P407" s="561" t="s">
        <v>1272</v>
      </c>
      <c r="Q407" s="561" t="s">
        <v>1273</v>
      </c>
      <c r="R407" s="560"/>
      <c r="S407" s="332"/>
      <c r="T407" s="331"/>
      <c r="U407" s="334" t="s">
        <v>82</v>
      </c>
      <c r="V407" s="335">
        <v>33.03</v>
      </c>
      <c r="W407" s="335">
        <v>35.130000000000003</v>
      </c>
      <c r="X407" s="335">
        <v>30.44</v>
      </c>
      <c r="Y407" s="336">
        <v>31.41</v>
      </c>
      <c r="Z407" s="337">
        <v>31.837599999999998</v>
      </c>
      <c r="AA407" s="347">
        <v>31.49</v>
      </c>
      <c r="AB407" s="347">
        <v>31.754200000000001</v>
      </c>
      <c r="AC407" s="638">
        <v>32.337899999999998</v>
      </c>
      <c r="AD407" s="347">
        <v>15.207000000000001</v>
      </c>
      <c r="AE407" s="339">
        <v>444</v>
      </c>
      <c r="AF407" s="340">
        <v>100</v>
      </c>
      <c r="AG407" s="334"/>
      <c r="AH407" s="341"/>
      <c r="AI407" s="422" t="s">
        <v>83</v>
      </c>
      <c r="AJ407" s="343" t="s">
        <v>396</v>
      </c>
      <c r="AK407" s="344" t="s">
        <v>2362</v>
      </c>
      <c r="AL407" s="340" t="s">
        <v>103</v>
      </c>
      <c r="AM407" s="328"/>
      <c r="AN407" s="328"/>
      <c r="AO407" s="328"/>
      <c r="AP407" s="328"/>
      <c r="AQ407" s="328"/>
      <c r="AR407" s="451"/>
      <c r="AS407" s="372" t="s">
        <v>103</v>
      </c>
      <c r="AT407" s="345"/>
      <c r="AU407" s="345"/>
      <c r="AV407" s="345"/>
      <c r="AW407" s="345"/>
      <c r="AX407" s="345"/>
      <c r="AY407" s="345"/>
      <c r="AZ407" s="345"/>
      <c r="BA407" s="345"/>
      <c r="BB407" s="345"/>
      <c r="BC407" s="345"/>
      <c r="BD407" s="345"/>
      <c r="BE407" s="345"/>
      <c r="BF407" s="345"/>
      <c r="BG407" s="345"/>
      <c r="BH407" s="345"/>
      <c r="BI407" s="345"/>
      <c r="BJ407" s="364">
        <f>COUNTIF(AT407:BI407,"*OP*")</f>
        <v>0</v>
      </c>
      <c r="BK407" s="375" t="s">
        <v>103</v>
      </c>
      <c r="BL407" s="328">
        <f>(COUNTIF(AT407:AV407,"*OK*")*3) + (COUNTIF(AW407:AY407,"*OK*")*2) + COUNTIF(AZ407:BB407,"*OK*")+COUNTIF(BK407:BK407,"SI")*0.5</f>
        <v>0</v>
      </c>
      <c r="BM407" s="328" t="str">
        <f>IF(BL407&lt;0.6,"Demasiado Riesgo",IF(BL407&lt;=5,"Riesgo Medio",IF(BL407&lt;=11,"Riesgo Bajo","Cliente Blindado")))</f>
        <v>Demasiado Riesgo</v>
      </c>
      <c r="BN407" s="328"/>
      <c r="BO407" s="328"/>
      <c r="BP407" s="328">
        <v>0</v>
      </c>
      <c r="BQ407" s="328"/>
      <c r="BR407" s="328"/>
      <c r="BS407" s="328"/>
      <c r="BT407" s="328"/>
      <c r="BU407" s="328"/>
      <c r="BV407" s="328"/>
      <c r="BW407" s="328"/>
      <c r="BX407" s="328"/>
      <c r="BY407" s="328"/>
      <c r="BZ407" s="328"/>
      <c r="CA407" s="328"/>
      <c r="CB407" s="328"/>
      <c r="CC407" s="328"/>
      <c r="CD407" s="328"/>
      <c r="CE407" s="328"/>
      <c r="CF407" s="328"/>
      <c r="CG407" s="328"/>
      <c r="CH407" s="328"/>
      <c r="CI407" s="328"/>
      <c r="CJ407" s="328"/>
      <c r="CK407" s="328"/>
      <c r="CL407" s="328">
        <f>COUNTIF(AT407:BH407,"*OK*")</f>
        <v>0</v>
      </c>
      <c r="CM407" s="328"/>
      <c r="CN407" s="328">
        <f>COUNTIF(AT407:BH407,"*OP*")</f>
        <v>0</v>
      </c>
    </row>
    <row r="408" spans="1:94" ht="15" customHeight="1">
      <c r="A408" s="834">
        <v>24506</v>
      </c>
      <c r="B408" s="560" t="s">
        <v>1678</v>
      </c>
      <c r="C408" s="329">
        <f t="shared" si="8"/>
        <v>29.220800000000001</v>
      </c>
      <c r="D408" s="332">
        <f>COUNTIF(AT408:BH408,"*OK*")</f>
        <v>0</v>
      </c>
      <c r="E408" s="331" t="s">
        <v>73</v>
      </c>
      <c r="F408" s="331" t="s">
        <v>2363</v>
      </c>
      <c r="G408" s="351" t="s">
        <v>1680</v>
      </c>
      <c r="H408" s="650">
        <f>IF(LEN(TRIM($G408&amp;""))=0, $C408, SUMIF($G$3:$G$561, TRIM($G408), $C$3:$C$561))</f>
        <v>237.94050000000001</v>
      </c>
      <c r="I408" s="410" t="s">
        <v>562</v>
      </c>
      <c r="J408" s="331"/>
      <c r="K408" s="560"/>
      <c r="L408" s="560" t="str">
        <f>HYPERLINK("https://crm.zoho.com/crm/org685875245/tab/Accounts/3525045000190806015","https://crm.zoho.com/crm/org685875245/tab/Accounts/3525045000190806015")</f>
        <v>https://crm.zoho.com/crm/org685875245/tab/Accounts/3525045000190806015</v>
      </c>
      <c r="M408" s="391" t="s">
        <v>96</v>
      </c>
      <c r="N408" s="560"/>
      <c r="O408" s="561" t="s">
        <v>1190</v>
      </c>
      <c r="P408" s="561" t="s">
        <v>2364</v>
      </c>
      <c r="Q408" s="561" t="s">
        <v>2365</v>
      </c>
      <c r="R408" s="560"/>
      <c r="S408" s="332"/>
      <c r="T408" s="331"/>
      <c r="U408" s="334" t="s">
        <v>285</v>
      </c>
      <c r="V408" s="335">
        <v>83.36</v>
      </c>
      <c r="W408" s="335">
        <v>85.48</v>
      </c>
      <c r="X408" s="335">
        <v>71.010000000000005</v>
      </c>
      <c r="Y408" s="336">
        <v>73.3</v>
      </c>
      <c r="Z408" s="337">
        <v>56.807499999999997</v>
      </c>
      <c r="AA408" s="347">
        <v>32.409999999999997</v>
      </c>
      <c r="AB408" s="347">
        <v>30.508400000000002</v>
      </c>
      <c r="AC408" s="638">
        <v>31.069299999999998</v>
      </c>
      <c r="AD408" s="347">
        <v>29.220800000000001</v>
      </c>
      <c r="AE408" s="339">
        <v>111</v>
      </c>
      <c r="AF408" s="340" t="s">
        <v>2366</v>
      </c>
      <c r="AG408" s="334"/>
      <c r="AH408" s="341" t="s">
        <v>472</v>
      </c>
      <c r="AI408" s="418" t="s">
        <v>83</v>
      </c>
      <c r="AJ408" s="343" t="s">
        <v>297</v>
      </c>
      <c r="AK408" s="344" t="s">
        <v>2367</v>
      </c>
      <c r="AL408" s="340" t="s">
        <v>829</v>
      </c>
      <c r="AM408" s="328"/>
      <c r="AN408" s="328"/>
      <c r="AO408" s="328"/>
      <c r="AP408" s="328"/>
      <c r="AQ408" s="328"/>
      <c r="AR408" s="451"/>
      <c r="AS408" s="372" t="s">
        <v>103</v>
      </c>
      <c r="AT408" s="364"/>
      <c r="AU408" s="364"/>
      <c r="AV408" s="364"/>
      <c r="AW408" s="364"/>
      <c r="AX408" s="364"/>
      <c r="AY408" s="364"/>
      <c r="AZ408" s="364"/>
      <c r="BA408" s="364"/>
      <c r="BB408" s="364"/>
      <c r="BC408" s="364"/>
      <c r="BD408" s="364"/>
      <c r="BE408" s="364"/>
      <c r="BF408" s="364"/>
      <c r="BG408" s="364"/>
      <c r="BH408" s="364"/>
      <c r="BI408" s="364"/>
      <c r="BJ408" s="364">
        <f>COUNTIF(AT408:BI408,"*OP*")</f>
        <v>0</v>
      </c>
      <c r="BK408" s="375" t="s">
        <v>103</v>
      </c>
      <c r="BL408" s="328">
        <f>(COUNTIF(AT408:AV408,"*OK*")*3) + (COUNTIF(AW408:AY408,"*OK*")*2) + COUNTIF(AZ408:BB408,"*OK*")+COUNTIF(BK408:BK408,"SI")*0.5</f>
        <v>0</v>
      </c>
      <c r="BM408" s="328" t="str">
        <f>IF(BL408&lt;0.6,"Demasiado Riesgo",IF(BL408&lt;=5,"Riesgo Medio",IF(BL408&lt;=11,"Riesgo Bajo","Cliente Blindado")))</f>
        <v>Demasiado Riesgo</v>
      </c>
      <c r="BN408" s="328"/>
      <c r="BO408" s="349"/>
      <c r="BP408" s="349">
        <v>0</v>
      </c>
      <c r="BQ408" s="349"/>
      <c r="BR408" s="349"/>
      <c r="BS408" s="349"/>
      <c r="BT408" s="349"/>
      <c r="BU408" s="349"/>
      <c r="BV408" s="349"/>
      <c r="BW408" s="349"/>
      <c r="BX408" s="349"/>
      <c r="BY408" s="349"/>
      <c r="BZ408" s="349"/>
      <c r="CA408" s="349"/>
      <c r="CB408" s="349"/>
      <c r="CC408" s="349"/>
      <c r="CD408" s="349"/>
      <c r="CE408" s="349"/>
      <c r="CF408" s="349"/>
      <c r="CG408" s="349"/>
      <c r="CH408" s="349"/>
      <c r="CI408" s="349"/>
      <c r="CJ408" s="349"/>
      <c r="CK408" s="349"/>
      <c r="CL408" s="349">
        <f>COUNTIF(AT408:BH408,"*OK*")</f>
        <v>0</v>
      </c>
      <c r="CM408" s="349"/>
      <c r="CN408" s="349">
        <f>COUNTIF(AT408:BH408,"*OP*")</f>
        <v>0</v>
      </c>
    </row>
    <row r="409" spans="1:94" ht="15" customHeight="1">
      <c r="A409" s="834"/>
      <c r="B409" s="560" t="s">
        <v>2368</v>
      </c>
      <c r="C409" s="329">
        <f t="shared" si="8"/>
        <v>28.697600000000001</v>
      </c>
      <c r="D409" s="332">
        <f>COUNTIF(AT409:BH409,"*OK*")</f>
        <v>0</v>
      </c>
      <c r="E409" s="331" t="s">
        <v>782</v>
      </c>
      <c r="F409" s="331" t="s">
        <v>2369</v>
      </c>
      <c r="G409" s="331"/>
      <c r="H409" s="650">
        <f>IF(LEN(TRIM($G409&amp;""))=0, $C409, SUMIF($G$3:$G$561, TRIM($G409), $C$3:$C$561))</f>
        <v>28.697600000000001</v>
      </c>
      <c r="I409" s="333" t="s">
        <v>562</v>
      </c>
      <c r="J409" s="331"/>
      <c r="K409" s="328"/>
      <c r="L409" s="328" t="str">
        <f>HYPERLINK("https://crm.zoho.com/crm/org685875245/tab/Accounts/3525045000518035782","https://crm.zoho.com/crm/org685875245/tab/Accounts/3525045000518035782")</f>
        <v>https://crm.zoho.com/crm/org685875245/tab/Accounts/3525045000518035782</v>
      </c>
      <c r="M409" s="391"/>
      <c r="N409" s="332"/>
      <c r="O409" s="541" t="s">
        <v>2370</v>
      </c>
      <c r="P409" s="541" t="s">
        <v>2371</v>
      </c>
      <c r="Q409" s="541" t="s">
        <v>2372</v>
      </c>
      <c r="R409" s="332"/>
      <c r="S409" s="332"/>
      <c r="T409" s="331"/>
      <c r="U409" s="344" t="s">
        <v>209</v>
      </c>
      <c r="V409" s="335">
        <v>26.39</v>
      </c>
      <c r="W409" s="335">
        <v>26.37</v>
      </c>
      <c r="X409" s="335">
        <v>28.72</v>
      </c>
      <c r="Y409" s="336">
        <v>29.64</v>
      </c>
      <c r="Z409" s="337">
        <v>0</v>
      </c>
      <c r="AA409" s="347" t="s">
        <v>103</v>
      </c>
      <c r="AB409" s="347">
        <v>29.962199999999999</v>
      </c>
      <c r="AC409" s="638">
        <v>30.513000000000002</v>
      </c>
      <c r="AD409" s="347">
        <v>28.697600000000001</v>
      </c>
      <c r="AE409" s="339"/>
      <c r="AF409" s="340">
        <v>100</v>
      </c>
      <c r="AG409" s="334"/>
      <c r="AH409" s="341"/>
      <c r="AI409" s="418" t="s">
        <v>83</v>
      </c>
      <c r="AJ409" s="343" t="s">
        <v>101</v>
      </c>
      <c r="AK409" s="344" t="s">
        <v>2373</v>
      </c>
      <c r="AL409" s="340" t="s">
        <v>101</v>
      </c>
      <c r="AM409" s="328"/>
      <c r="AN409" s="328"/>
      <c r="AO409" s="328"/>
      <c r="AP409" s="328"/>
      <c r="AQ409" s="328"/>
      <c r="AR409" s="451"/>
      <c r="AS409" s="372" t="s">
        <v>103</v>
      </c>
      <c r="AT409" s="345"/>
      <c r="AU409" s="345"/>
      <c r="AV409" s="345"/>
      <c r="AW409" s="345"/>
      <c r="AX409" s="345"/>
      <c r="AY409" s="345"/>
      <c r="AZ409" s="345"/>
      <c r="BA409" s="345"/>
      <c r="BB409" s="345"/>
      <c r="BC409" s="345"/>
      <c r="BD409" s="345"/>
      <c r="BE409" s="345"/>
      <c r="BF409" s="345"/>
      <c r="BG409" s="345"/>
      <c r="BH409" s="345"/>
      <c r="BI409" s="345"/>
      <c r="BJ409" s="364">
        <f>COUNTIF(AT409:BI409,"*OP*")</f>
        <v>0</v>
      </c>
      <c r="BK409" s="375" t="s">
        <v>103</v>
      </c>
      <c r="BL409" s="328">
        <f>(COUNTIF(AT409:AV409,"*OK*")*3) + (COUNTIF(AW409:AY409,"*OK*")*2) + COUNTIF(AZ409:BB409,"*OK*")+COUNTIF(BK409:BK409,"SI")*0.5</f>
        <v>0</v>
      </c>
      <c r="BM409" s="328" t="str">
        <f>IF(BL409&lt;0.6,"Demasiado Riesgo",IF(BL409&lt;=5,"Riesgo Medio",IF(BL409&lt;=11,"Riesgo Bajo","Cliente Blindado")))</f>
        <v>Demasiado Riesgo</v>
      </c>
      <c r="BN409" s="328"/>
      <c r="BO409" s="328"/>
      <c r="BP409" s="328">
        <v>0</v>
      </c>
      <c r="BQ409" s="328"/>
      <c r="BR409" s="328"/>
      <c r="BS409" s="328"/>
      <c r="BT409" s="328"/>
      <c r="BU409" s="328"/>
      <c r="BV409" s="328"/>
      <c r="BW409" s="328"/>
      <c r="BX409" s="328"/>
      <c r="BY409" s="328"/>
      <c r="BZ409" s="328"/>
      <c r="CA409" s="328"/>
      <c r="CB409" s="328"/>
      <c r="CC409" s="328"/>
      <c r="CD409" s="328"/>
      <c r="CE409" s="328"/>
      <c r="CF409" s="328"/>
      <c r="CG409" s="328"/>
      <c r="CH409" s="328"/>
      <c r="CI409" s="328"/>
      <c r="CJ409" s="328"/>
      <c r="CK409" s="328"/>
      <c r="CL409" s="328">
        <f>COUNTIF(AT409:BH409,"*OK*")</f>
        <v>0</v>
      </c>
      <c r="CM409" s="328"/>
      <c r="CN409" s="328">
        <f>COUNTIF(AT409:BH409,"*OP*")</f>
        <v>0</v>
      </c>
    </row>
    <row r="410" spans="1:94" ht="15" customHeight="1">
      <c r="A410" s="834"/>
      <c r="B410" s="560" t="s">
        <v>2374</v>
      </c>
      <c r="C410" s="329">
        <f t="shared" si="8"/>
        <v>30.406700000000001</v>
      </c>
      <c r="D410" s="332">
        <f>COUNTIF(AT410:BH410,"*OK*")</f>
        <v>0</v>
      </c>
      <c r="E410" s="331" t="s">
        <v>439</v>
      </c>
      <c r="F410" s="331" t="s">
        <v>2375</v>
      </c>
      <c r="G410" s="331"/>
      <c r="H410" s="650">
        <f>IF(LEN(TRIM($G410&amp;""))=0, $C410, SUMIF($G$3:$G$561, TRIM($G410), $C$3:$C$561))</f>
        <v>30.406700000000001</v>
      </c>
      <c r="I410" s="410" t="s">
        <v>562</v>
      </c>
      <c r="J410" s="331"/>
      <c r="K410" s="328"/>
      <c r="L410" s="328"/>
      <c r="M410" s="391"/>
      <c r="N410" s="332"/>
      <c r="O410" s="541"/>
      <c r="P410" s="541"/>
      <c r="Q410" s="541"/>
      <c r="R410" s="332"/>
      <c r="S410" s="332"/>
      <c r="T410" s="331"/>
      <c r="U410" s="334" t="s">
        <v>82</v>
      </c>
      <c r="V410" s="335">
        <v>31.96</v>
      </c>
      <c r="W410" s="335">
        <v>30.05</v>
      </c>
      <c r="X410" s="335">
        <v>28.64</v>
      </c>
      <c r="Y410" s="336">
        <v>29.56</v>
      </c>
      <c r="Z410" s="337">
        <v>28.0854</v>
      </c>
      <c r="AA410" s="365">
        <v>27.78</v>
      </c>
      <c r="AB410" s="365">
        <v>28.011800000000001</v>
      </c>
      <c r="AC410" s="635">
        <v>30.4285</v>
      </c>
      <c r="AD410" s="365">
        <v>30.406700000000001</v>
      </c>
      <c r="AE410" s="339"/>
      <c r="AF410" s="340">
        <v>50</v>
      </c>
      <c r="AG410" s="334"/>
      <c r="AH410" s="341"/>
      <c r="AI410" s="422" t="s">
        <v>83</v>
      </c>
      <c r="AJ410" s="343" t="s">
        <v>396</v>
      </c>
      <c r="AK410" s="344" t="s">
        <v>2105</v>
      </c>
      <c r="AL410" s="340" t="s">
        <v>103</v>
      </c>
      <c r="AM410" s="328"/>
      <c r="AN410" s="328"/>
      <c r="AO410" s="328"/>
      <c r="AP410" s="328"/>
      <c r="AQ410" s="328"/>
      <c r="AR410" s="451"/>
      <c r="AS410" s="372" t="s">
        <v>103</v>
      </c>
      <c r="AT410" s="345"/>
      <c r="AU410" s="345"/>
      <c r="AV410" s="345"/>
      <c r="AW410" s="345"/>
      <c r="AX410" s="345"/>
      <c r="AY410" s="345"/>
      <c r="AZ410" s="345"/>
      <c r="BA410" s="345"/>
      <c r="BB410" s="345"/>
      <c r="BC410" s="345"/>
      <c r="BD410" s="345"/>
      <c r="BE410" s="345"/>
      <c r="BF410" s="345"/>
      <c r="BG410" s="345"/>
      <c r="BH410" s="345"/>
      <c r="BI410" s="345"/>
      <c r="BJ410" s="364">
        <f>COUNTIF(AT410:BI410,"*OP*")</f>
        <v>0</v>
      </c>
      <c r="BK410" s="375" t="s">
        <v>103</v>
      </c>
      <c r="BL410" s="328">
        <f>(COUNTIF(AT410:AV410,"*OK*")*3) + (COUNTIF(AW410:AY410,"*OK*")*2) + COUNTIF(AZ410:BB410,"*OK*")+COUNTIF(BK410:BK410,"SI")*0.5</f>
        <v>0</v>
      </c>
      <c r="BM410" s="328" t="str">
        <f>IF(BL410&lt;0.6,"Demasiado Riesgo",IF(BL410&lt;=5,"Riesgo Medio",IF(BL410&lt;=11,"Riesgo Bajo","Cliente Blindado")))</f>
        <v>Demasiado Riesgo</v>
      </c>
      <c r="BN410" s="328"/>
      <c r="BO410" s="328"/>
      <c r="BP410" s="328">
        <v>0</v>
      </c>
      <c r="BQ410" s="328"/>
      <c r="BR410" s="328"/>
      <c r="BS410" s="328"/>
      <c r="BT410" s="328"/>
      <c r="BU410" s="328"/>
      <c r="BV410" s="328"/>
      <c r="BW410" s="328"/>
      <c r="BX410" s="328"/>
      <c r="BY410" s="328"/>
      <c r="BZ410" s="328"/>
      <c r="CA410" s="328"/>
      <c r="CB410" s="328"/>
      <c r="CC410" s="328"/>
      <c r="CD410" s="328"/>
      <c r="CE410" s="328"/>
      <c r="CF410" s="328"/>
      <c r="CG410" s="328"/>
      <c r="CH410" s="328"/>
      <c r="CI410" s="328"/>
      <c r="CJ410" s="328"/>
      <c r="CK410" s="328"/>
      <c r="CL410" s="328">
        <f>COUNTIF(AT410:BH410,"*OK*")</f>
        <v>0</v>
      </c>
      <c r="CM410" s="328"/>
      <c r="CN410" s="328">
        <f>COUNTIF(AT410:BH410,"*OP*")</f>
        <v>0</v>
      </c>
    </row>
    <row r="411" spans="1:94" ht="15" customHeight="1">
      <c r="A411" s="835">
        <v>27817</v>
      </c>
      <c r="B411" s="560" t="s">
        <v>2376</v>
      </c>
      <c r="C411" s="329">
        <f t="shared" si="8"/>
        <v>27.649000000000001</v>
      </c>
      <c r="D411" s="352">
        <f>COUNTIF(AT411:BH411,"*OK*")</f>
        <v>0</v>
      </c>
      <c r="E411" s="351" t="s">
        <v>439</v>
      </c>
      <c r="F411" s="351" t="s">
        <v>2377</v>
      </c>
      <c r="G411" s="351" t="s">
        <v>1892</v>
      </c>
      <c r="H411" s="650">
        <f>IF(LEN(TRIM($G411&amp;""))=0, $C411, SUMIF($G$3:$G$561, TRIM($G411), $C$3:$C$561))</f>
        <v>213.07940000000002</v>
      </c>
      <c r="I411" s="413" t="s">
        <v>562</v>
      </c>
      <c r="J411" s="351"/>
      <c r="K411" s="349"/>
      <c r="L411" s="349"/>
      <c r="M411" s="553" t="s">
        <v>96</v>
      </c>
      <c r="N411" s="352"/>
      <c r="O411" s="540"/>
      <c r="P411" s="540"/>
      <c r="Q411" s="540"/>
      <c r="R411" s="352"/>
      <c r="S411" s="352"/>
      <c r="T411" s="351"/>
      <c r="U411" s="354" t="s">
        <v>82</v>
      </c>
      <c r="V411" s="355">
        <v>29.06</v>
      </c>
      <c r="W411" s="355">
        <v>29.03</v>
      </c>
      <c r="X411" s="355">
        <v>27.67</v>
      </c>
      <c r="Y411" s="356">
        <v>31.81</v>
      </c>
      <c r="Z411" s="337">
        <v>28.943300000000001</v>
      </c>
      <c r="AA411" s="347">
        <v>28.63</v>
      </c>
      <c r="AB411" s="347">
        <v>28.8674</v>
      </c>
      <c r="AC411" s="638">
        <v>29.398099999999999</v>
      </c>
      <c r="AD411" s="347">
        <v>27.649000000000001</v>
      </c>
      <c r="AE411" s="357">
        <v>68</v>
      </c>
      <c r="AF411" s="358">
        <v>200</v>
      </c>
      <c r="AG411" s="354"/>
      <c r="AH411" s="359"/>
      <c r="AI411" s="427" t="s">
        <v>83</v>
      </c>
      <c r="AJ411" s="361" t="s">
        <v>101</v>
      </c>
      <c r="AK411" s="362" t="s">
        <v>2360</v>
      </c>
      <c r="AL411" s="358" t="s">
        <v>103</v>
      </c>
      <c r="AM411" s="349"/>
      <c r="AN411" s="349"/>
      <c r="AO411" s="349"/>
      <c r="AP411" s="349"/>
      <c r="AQ411" s="349"/>
      <c r="AR411" s="453"/>
      <c r="AS411" s="371" t="s">
        <v>103</v>
      </c>
      <c r="AT411" s="345"/>
      <c r="AU411" s="345"/>
      <c r="AV411" s="345"/>
      <c r="AW411" s="345"/>
      <c r="AX411" s="345"/>
      <c r="AY411" s="345"/>
      <c r="AZ411" s="345"/>
      <c r="BA411" s="345"/>
      <c r="BB411" s="345"/>
      <c r="BC411" s="345"/>
      <c r="BD411" s="345"/>
      <c r="BE411" s="345"/>
      <c r="BF411" s="345"/>
      <c r="BG411" s="345"/>
      <c r="BH411" s="345"/>
      <c r="BI411" s="345"/>
      <c r="BJ411" s="364">
        <f>COUNTIF(AT411:BI411,"*OP*")</f>
        <v>0</v>
      </c>
      <c r="BK411" s="362" t="s">
        <v>103</v>
      </c>
      <c r="BL411" s="349">
        <f>(COUNTIF(AT411:AV411,"*OK*")*3) + (COUNTIF(AW411:AY411,"*OK*")*2) + COUNTIF(AZ411:BB411,"*OK*")+COUNTIF(BK411:BK411,"SI")*0.5</f>
        <v>0</v>
      </c>
      <c r="BM411" s="349" t="str">
        <f>IF(BL411&lt;0.6,"Demasiado Riesgo",IF(BL411&lt;=5,"Riesgo Medio",IF(BL411&lt;=11,"Riesgo Bajo","Cliente Blindado")))</f>
        <v>Demasiado Riesgo</v>
      </c>
      <c r="BN411" s="349"/>
      <c r="BO411" s="349"/>
      <c r="BP411" s="349">
        <v>0</v>
      </c>
      <c r="BQ411" s="349"/>
      <c r="BR411" s="349"/>
      <c r="BS411" s="349"/>
      <c r="BT411" s="349"/>
      <c r="BU411" s="349"/>
      <c r="BV411" s="349"/>
      <c r="BW411" s="349"/>
      <c r="BX411" s="349"/>
      <c r="BY411" s="349"/>
      <c r="BZ411" s="349"/>
      <c r="CA411" s="349"/>
      <c r="CB411" s="349"/>
      <c r="CC411" s="349"/>
      <c r="CD411" s="349"/>
      <c r="CE411" s="349"/>
      <c r="CF411" s="349"/>
      <c r="CG411" s="349"/>
      <c r="CH411" s="349"/>
      <c r="CI411" s="349"/>
      <c r="CJ411" s="349"/>
      <c r="CK411" s="349"/>
      <c r="CL411" s="349">
        <f>COUNTIF(AT411:BH411,"*OK*")</f>
        <v>0</v>
      </c>
      <c r="CM411" s="349"/>
      <c r="CN411" s="349">
        <f>COUNTIF(AT411:BH411,"*OP*")</f>
        <v>0</v>
      </c>
    </row>
    <row r="412" spans="1:94" ht="15" customHeight="1">
      <c r="A412" s="835">
        <v>36465</v>
      </c>
      <c r="B412" s="560" t="s">
        <v>2378</v>
      </c>
      <c r="C412" s="329">
        <f t="shared" si="8"/>
        <v>27.041899999999998</v>
      </c>
      <c r="D412" s="352">
        <f>COUNTIF(AT412:BH412,"*OK*")</f>
        <v>0</v>
      </c>
      <c r="E412" s="331" t="s">
        <v>782</v>
      </c>
      <c r="F412" s="351" t="s">
        <v>2379</v>
      </c>
      <c r="G412" s="351"/>
      <c r="H412" s="650">
        <f>IF(LEN(TRIM($G412&amp;""))=0, $C412, SUMIF($G$3:$G$561, TRIM($G412), $C$3:$C$561))</f>
        <v>27.041899999999998</v>
      </c>
      <c r="I412" s="353" t="s">
        <v>562</v>
      </c>
      <c r="J412" s="351"/>
      <c r="K412" s="349"/>
      <c r="L412" s="349" t="str">
        <f>HYPERLINK("https://crm.zoho.com/crm/org685875245/tab/Accounts/3525045000583818812","https://crm.zoho.com/crm/org685875245/tab/Accounts/3525045000583818812")</f>
        <v>https://crm.zoho.com/crm/org685875245/tab/Accounts/3525045000583818812</v>
      </c>
      <c r="M412" s="553" t="s">
        <v>787</v>
      </c>
      <c r="N412" s="352"/>
      <c r="O412" s="540" t="s">
        <v>2380</v>
      </c>
      <c r="P412" s="540" t="s">
        <v>2381</v>
      </c>
      <c r="Q412" s="540" t="s">
        <v>2382</v>
      </c>
      <c r="R412" s="352"/>
      <c r="S412" s="352"/>
      <c r="T412" s="351"/>
      <c r="U412" s="362" t="s">
        <v>394</v>
      </c>
      <c r="V412" s="355"/>
      <c r="W412" s="355"/>
      <c r="X412" s="355">
        <v>50.26</v>
      </c>
      <c r="Y412" s="356">
        <v>51.87</v>
      </c>
      <c r="Z412" s="337">
        <v>40.439799999999998</v>
      </c>
      <c r="AA412" s="365">
        <v>40</v>
      </c>
      <c r="AB412" s="365">
        <v>28.233599999999999</v>
      </c>
      <c r="AC412" s="635">
        <v>28.752700000000001</v>
      </c>
      <c r="AD412" s="365">
        <v>27.041899999999998</v>
      </c>
      <c r="AE412" s="357">
        <v>7</v>
      </c>
      <c r="AF412" s="358">
        <v>100</v>
      </c>
      <c r="AG412" s="354"/>
      <c r="AH412" s="359"/>
      <c r="AI412" s="427" t="s">
        <v>83</v>
      </c>
      <c r="AJ412" s="361" t="s">
        <v>396</v>
      </c>
      <c r="AK412" s="362" t="s">
        <v>2383</v>
      </c>
      <c r="AL412" s="358" t="s">
        <v>396</v>
      </c>
      <c r="AM412" s="349"/>
      <c r="AN412" s="349"/>
      <c r="AO412" s="349"/>
      <c r="AP412" s="349"/>
      <c r="AQ412" s="349"/>
      <c r="AR412" s="453"/>
      <c r="AS412" s="371" t="s">
        <v>103</v>
      </c>
      <c r="AT412" s="345"/>
      <c r="AU412" s="345"/>
      <c r="AV412" s="345"/>
      <c r="AW412" s="345"/>
      <c r="AX412" s="345"/>
      <c r="AY412" s="345"/>
      <c r="AZ412" s="345"/>
      <c r="BA412" s="594"/>
      <c r="BB412" s="345"/>
      <c r="BC412" s="345"/>
      <c r="BD412" s="345"/>
      <c r="BE412" s="345"/>
      <c r="BF412" s="345"/>
      <c r="BG412" s="345"/>
      <c r="BH412" s="345"/>
      <c r="BI412" s="345"/>
      <c r="BJ412" s="346">
        <f>COUNTIF(AT412:BI412,"*OP*")</f>
        <v>0</v>
      </c>
      <c r="BK412" s="363" t="s">
        <v>103</v>
      </c>
      <c r="BL412" s="349">
        <f>(COUNTIF(AT412:AV412,"*OK*")*3) + (COUNTIF(AW412:AY412,"*OK*")*2) + COUNTIF(AZ412:BB412,"*OK*")+COUNTIF(BK412:BK412,"SI")*0.5</f>
        <v>0</v>
      </c>
      <c r="BM412" s="349" t="str">
        <f>IF(BL412&lt;0.6,"Demasiado Riesgo",IF(BL412&lt;=5,"Riesgo Medio",IF(BL412&lt;=11,"Riesgo Bajo","Cliente Blindado")))</f>
        <v>Demasiado Riesgo</v>
      </c>
      <c r="BN412" s="349"/>
      <c r="BO412" s="328"/>
      <c r="BP412" s="328">
        <v>0</v>
      </c>
      <c r="BQ412" s="328"/>
      <c r="BR412" s="328"/>
      <c r="BS412" s="328"/>
      <c r="BT412" s="328"/>
      <c r="BU412" s="328"/>
      <c r="BV412" s="328"/>
      <c r="BW412" s="328"/>
      <c r="BX412" s="328"/>
      <c r="BY412" s="328"/>
      <c r="BZ412" s="328"/>
      <c r="CA412" s="328"/>
      <c r="CB412" s="328"/>
      <c r="CC412" s="328"/>
      <c r="CD412" s="328"/>
      <c r="CE412" s="328"/>
      <c r="CF412" s="328"/>
      <c r="CG412" s="328"/>
      <c r="CH412" s="328"/>
      <c r="CI412" s="328"/>
      <c r="CJ412" s="328"/>
      <c r="CK412" s="328"/>
      <c r="CL412" s="328">
        <f>COUNTIF(AT412:BH412,"*OK*")</f>
        <v>0</v>
      </c>
      <c r="CM412" s="328"/>
      <c r="CN412" s="328">
        <f>COUNTIF(AT412:BH412,"*OP*")</f>
        <v>0</v>
      </c>
    </row>
    <row r="413" spans="1:94" ht="15" customHeight="1">
      <c r="A413" s="835">
        <v>24372</v>
      </c>
      <c r="B413" s="560" t="s">
        <v>2384</v>
      </c>
      <c r="C413" s="329">
        <f t="shared" si="8"/>
        <v>5.069</v>
      </c>
      <c r="D413" s="352">
        <f>COUNTIF(AT413:BH413,"*OK*")</f>
        <v>0</v>
      </c>
      <c r="E413" s="351" t="s">
        <v>93</v>
      </c>
      <c r="F413" s="351" t="s">
        <v>2385</v>
      </c>
      <c r="G413" s="351"/>
      <c r="H413" s="650">
        <f>IF(LEN(TRIM($G413&amp;""))=0, $C413, SUMIF($G$3:$G$561, TRIM($G413), $C$3:$C$561))</f>
        <v>5.069</v>
      </c>
      <c r="I413" s="353" t="s">
        <v>562</v>
      </c>
      <c r="J413" s="351"/>
      <c r="K413" s="349"/>
      <c r="L413" s="349"/>
      <c r="M413" s="359" t="s">
        <v>167</v>
      </c>
      <c r="N413" s="359"/>
      <c r="O413" s="545" t="s">
        <v>2386</v>
      </c>
      <c r="P413" s="545" t="s">
        <v>2387</v>
      </c>
      <c r="Q413" s="545" t="s">
        <v>2388</v>
      </c>
      <c r="R413" s="359"/>
      <c r="S413" s="359"/>
      <c r="T413" s="351"/>
      <c r="U413" s="362" t="s">
        <v>82</v>
      </c>
      <c r="V413" s="355">
        <v>296.22000000000003</v>
      </c>
      <c r="W413" s="355">
        <v>245.91</v>
      </c>
      <c r="X413" s="355">
        <v>197.83</v>
      </c>
      <c r="Y413" s="356">
        <v>116.24</v>
      </c>
      <c r="Z413" s="337">
        <v>41.3889</v>
      </c>
      <c r="AA413" s="365">
        <v>33.590000000000003</v>
      </c>
      <c r="AB413" s="365">
        <v>32.812600000000003</v>
      </c>
      <c r="AC413" s="635">
        <v>28.026199999999999</v>
      </c>
      <c r="AD413" s="365">
        <v>5.069</v>
      </c>
      <c r="AE413" s="357">
        <v>4</v>
      </c>
      <c r="AF413" s="358">
        <v>100</v>
      </c>
      <c r="AG413" s="354"/>
      <c r="AH413" s="359"/>
      <c r="AI413" s="427" t="s">
        <v>83</v>
      </c>
      <c r="AJ413" s="361" t="s">
        <v>396</v>
      </c>
      <c r="AK413" s="362" t="s">
        <v>2389</v>
      </c>
      <c r="AL413" s="358" t="s">
        <v>103</v>
      </c>
      <c r="AM413" s="349"/>
      <c r="AN413" s="349" t="s">
        <v>152</v>
      </c>
      <c r="AO413" s="349"/>
      <c r="AP413" s="349"/>
      <c r="AQ413" s="349"/>
      <c r="AR413" s="453"/>
      <c r="AS413" s="371"/>
      <c r="AT413" s="345"/>
      <c r="AU413" s="345"/>
      <c r="AV413" s="345"/>
      <c r="AW413" s="345"/>
      <c r="AX413" s="345"/>
      <c r="AY413" s="345"/>
      <c r="AZ413" s="345"/>
      <c r="BA413" s="421"/>
      <c r="BB413" s="345"/>
      <c r="BC413" s="345"/>
      <c r="BD413" s="345"/>
      <c r="BE413" s="345"/>
      <c r="BF413" s="345"/>
      <c r="BG413" s="345"/>
      <c r="BH413" s="345"/>
      <c r="BI413" s="345"/>
      <c r="BJ413" s="364">
        <f>COUNTIF(AT413:BI413,"*OP*")</f>
        <v>0</v>
      </c>
      <c r="BK413" s="363" t="s">
        <v>103</v>
      </c>
      <c r="BL413" s="349">
        <f>(COUNTIF(AT413:AV413,"*OK*")*3) + (COUNTIF(AW413:AY413,"*OK*")*2) + COUNTIF(AZ413:BB413,"*OK*")+COUNTIF(BK413:BK413,"SI")*0.5</f>
        <v>0</v>
      </c>
      <c r="BM413" s="349" t="str">
        <f>IF(BL413&lt;0.6,"Demasiado Riesgo",IF(BL413&lt;=5,"Riesgo Medio",IF(BL413&lt;=11,"Riesgo Bajo","Cliente Blindado")))</f>
        <v>Demasiado Riesgo</v>
      </c>
      <c r="BN413" s="349"/>
      <c r="BO413" s="328"/>
      <c r="BP413" s="328">
        <v>0</v>
      </c>
      <c r="BQ413" s="328"/>
      <c r="BR413" s="328"/>
      <c r="BS413" s="328"/>
      <c r="BT413" s="328"/>
      <c r="BU413" s="328"/>
      <c r="BV413" s="328"/>
      <c r="BW413" s="328"/>
      <c r="BX413" s="328"/>
      <c r="BY413" s="328"/>
      <c r="BZ413" s="328"/>
      <c r="CA413" s="328"/>
      <c r="CB413" s="328"/>
      <c r="CC413" s="328"/>
      <c r="CD413" s="328"/>
      <c r="CE413" s="328"/>
      <c r="CF413" s="328"/>
      <c r="CG413" s="328"/>
      <c r="CH413" s="328"/>
      <c r="CI413" s="328"/>
      <c r="CJ413" s="328"/>
      <c r="CK413" s="328"/>
      <c r="CL413" s="328">
        <f>COUNTIF(AT413:BH413,"*OK*")</f>
        <v>0</v>
      </c>
      <c r="CM413" s="328"/>
      <c r="CN413" s="328">
        <f>COUNTIF(AT413:BH413,"*OP*")</f>
        <v>0</v>
      </c>
    </row>
    <row r="414" spans="1:94" ht="15" customHeight="1">
      <c r="A414" s="837"/>
      <c r="B414" s="560" t="s">
        <v>2390</v>
      </c>
      <c r="C414" s="329">
        <f t="shared" si="8"/>
        <v>28.178799999999999</v>
      </c>
      <c r="D414" s="352">
        <f>COUNTIF(AT414:BH414,"*OK*")</f>
        <v>0</v>
      </c>
      <c r="E414" s="351" t="s">
        <v>439</v>
      </c>
      <c r="F414" s="351" t="s">
        <v>2391</v>
      </c>
      <c r="G414" s="331" t="s">
        <v>1888</v>
      </c>
      <c r="H414" s="650">
        <f>IF(LEN(TRIM($G414&amp;""))=0, $C414, SUMIF($G$3:$G$561, TRIM($G414), $C$3:$C$561))</f>
        <v>201.00879999999998</v>
      </c>
      <c r="I414" s="353" t="s">
        <v>562</v>
      </c>
      <c r="J414" s="351"/>
      <c r="K414" s="349"/>
      <c r="L414" s="349" t="str">
        <f>HYPERLINK("https://crm.zoho.com/crm/org685875245/tab/Accounts/3525045000236726293","https://crm.zoho.com/crm/org685875245/tab/Accounts/3525045000236726293")</f>
        <v>https://crm.zoho.com/crm/org685875245/tab/Accounts/3525045000236726293</v>
      </c>
      <c r="M414" s="553" t="s">
        <v>96</v>
      </c>
      <c r="N414" s="352"/>
      <c r="O414" s="540"/>
      <c r="P414" s="540"/>
      <c r="Q414" s="540"/>
      <c r="R414" s="352"/>
      <c r="S414" s="352"/>
      <c r="T414" s="351"/>
      <c r="U414" s="354" t="s">
        <v>82</v>
      </c>
      <c r="V414" s="355">
        <v>21.72</v>
      </c>
      <c r="W414" s="355">
        <v>21.7</v>
      </c>
      <c r="X414" s="355">
        <v>20.68</v>
      </c>
      <c r="Y414" s="356">
        <v>23.29</v>
      </c>
      <c r="Z414" s="337">
        <v>23.598299999999998</v>
      </c>
      <c r="AA414" s="338">
        <v>27.23</v>
      </c>
      <c r="AB414" s="338">
        <v>27.459199999999999</v>
      </c>
      <c r="AC414" s="634">
        <v>27.963999999999999</v>
      </c>
      <c r="AD414" s="338">
        <v>28.178799999999999</v>
      </c>
      <c r="AE414" s="357"/>
      <c r="AF414" s="358">
        <v>150</v>
      </c>
      <c r="AG414" s="354"/>
      <c r="AH414" s="359"/>
      <c r="AI414" s="427" t="s">
        <v>83</v>
      </c>
      <c r="AJ414" s="361" t="s">
        <v>101</v>
      </c>
      <c r="AK414" s="362" t="s">
        <v>2392</v>
      </c>
      <c r="AL414" s="358" t="s">
        <v>103</v>
      </c>
      <c r="AM414" s="349"/>
      <c r="AN414" s="349"/>
      <c r="AO414" s="349"/>
      <c r="AP414" s="349"/>
      <c r="AQ414" s="349"/>
      <c r="AR414" s="453"/>
      <c r="AS414" s="371" t="s">
        <v>103</v>
      </c>
      <c r="AT414" s="345"/>
      <c r="AU414" s="345"/>
      <c r="AV414" s="345"/>
      <c r="AW414" s="345"/>
      <c r="AX414" s="345"/>
      <c r="AY414" s="345"/>
      <c r="AZ414" s="345"/>
      <c r="BA414" s="345"/>
      <c r="BB414" s="345"/>
      <c r="BC414" s="345"/>
      <c r="BD414" s="345"/>
      <c r="BE414" s="345"/>
      <c r="BF414" s="345"/>
      <c r="BG414" s="345"/>
      <c r="BH414" s="345"/>
      <c r="BI414" s="345"/>
      <c r="BJ414" s="364">
        <f>COUNTIF(AT414:BI414,"*OP*")</f>
        <v>0</v>
      </c>
      <c r="BK414" s="363" t="s">
        <v>103</v>
      </c>
      <c r="BL414" s="349">
        <f>(COUNTIF(AT414:AV414,"*OK*")*3) + (COUNTIF(AW414:AY414,"*OK*")*2) + COUNTIF(AZ414:BB414,"*OK*")+COUNTIF(BK414:BK414,"SI")*0.5</f>
        <v>0</v>
      </c>
      <c r="BM414" s="349" t="str">
        <f>IF(BL414&lt;0.6,"Demasiado Riesgo",IF(BL414&lt;=5,"Riesgo Medio",IF(BL414&lt;=11,"Riesgo Bajo","Cliente Blindado")))</f>
        <v>Demasiado Riesgo</v>
      </c>
      <c r="BN414" s="349"/>
      <c r="BO414" s="328"/>
      <c r="BP414" s="328">
        <v>0</v>
      </c>
      <c r="BQ414" s="328"/>
      <c r="BR414" s="328"/>
      <c r="BS414" s="328"/>
      <c r="BT414" s="328"/>
      <c r="BU414" s="328"/>
      <c r="BV414" s="328"/>
      <c r="BW414" s="328"/>
      <c r="BX414" s="328"/>
      <c r="BY414" s="328"/>
      <c r="BZ414" s="328"/>
      <c r="CA414" s="328"/>
      <c r="CB414" s="328"/>
      <c r="CC414" s="328"/>
      <c r="CD414" s="328"/>
      <c r="CE414" s="328"/>
      <c r="CF414" s="328"/>
      <c r="CG414" s="328"/>
      <c r="CH414" s="328"/>
      <c r="CI414" s="328"/>
      <c r="CJ414" s="328"/>
      <c r="CK414" s="328"/>
      <c r="CL414" s="328">
        <f>COUNTIF(AT414:BH414,"*OK*")</f>
        <v>0</v>
      </c>
      <c r="CM414" s="328"/>
      <c r="CN414" s="328">
        <f>COUNTIF(AT414:BH414,"*OP*")</f>
        <v>0</v>
      </c>
    </row>
    <row r="415" spans="1:94" ht="15" customHeight="1">
      <c r="A415" s="834">
        <v>30635</v>
      </c>
      <c r="B415" s="560" t="s">
        <v>2393</v>
      </c>
      <c r="C415" s="329">
        <f t="shared" si="8"/>
        <v>25.750599999999999</v>
      </c>
      <c r="D415" s="332">
        <f>COUNTIF(AT415:BH415,"*OK*")</f>
        <v>0</v>
      </c>
      <c r="E415" s="331" t="s">
        <v>782</v>
      </c>
      <c r="F415" s="331" t="s">
        <v>2394</v>
      </c>
      <c r="G415" s="331"/>
      <c r="H415" s="650">
        <f>IF(LEN(TRIM($G415&amp;""))=0, $C415, SUMIF($G$3:$G$561, TRIM($G415), $C$3:$C$561))</f>
        <v>25.750599999999999</v>
      </c>
      <c r="I415" s="410" t="s">
        <v>562</v>
      </c>
      <c r="J415" s="331"/>
      <c r="K415" s="328"/>
      <c r="L415" s="328" t="str">
        <f>HYPERLINK("https://crm.zoho.com/crm/org685875245/tab/Accounts/3525045000471379141","https://crm.zoho.com/crm/org685875245/tab/Accounts/3525045000471379141")</f>
        <v>https://crm.zoho.com/crm/org685875245/tab/Accounts/3525045000471379141</v>
      </c>
      <c r="M415" s="391"/>
      <c r="N415" s="332"/>
      <c r="O415" s="541" t="s">
        <v>1166</v>
      </c>
      <c r="P415" s="541" t="s">
        <v>2395</v>
      </c>
      <c r="Q415" s="541" t="s">
        <v>2396</v>
      </c>
      <c r="R415" s="332"/>
      <c r="S415" s="332"/>
      <c r="T415" s="331"/>
      <c r="U415" s="344" t="s">
        <v>902</v>
      </c>
      <c r="V415" s="335">
        <v>27.06</v>
      </c>
      <c r="W415" s="335">
        <v>27.04</v>
      </c>
      <c r="X415" s="335">
        <v>25.77</v>
      </c>
      <c r="Y415" s="336">
        <v>26.6</v>
      </c>
      <c r="Z415" s="337">
        <v>26.956</v>
      </c>
      <c r="AA415" s="347">
        <v>26.66</v>
      </c>
      <c r="AB415" s="347">
        <v>26.885300000000001</v>
      </c>
      <c r="AC415" s="638">
        <v>27.3796</v>
      </c>
      <c r="AD415" s="347">
        <v>25.750599999999999</v>
      </c>
      <c r="AE415" s="339">
        <v>2</v>
      </c>
      <c r="AF415" s="340">
        <v>100</v>
      </c>
      <c r="AG415" s="334"/>
      <c r="AH415" s="341"/>
      <c r="AI415" s="422" t="s">
        <v>83</v>
      </c>
      <c r="AJ415" s="343" t="s">
        <v>143</v>
      </c>
      <c r="AK415" s="344" t="s">
        <v>2397</v>
      </c>
      <c r="AL415" s="340" t="s">
        <v>1140</v>
      </c>
      <c r="AM415" s="328"/>
      <c r="AN415" s="328"/>
      <c r="AO415" s="328"/>
      <c r="AP415" s="328"/>
      <c r="AQ415" s="328"/>
      <c r="AR415" s="451"/>
      <c r="AS415" s="372" t="s">
        <v>103</v>
      </c>
      <c r="AT415" s="345"/>
      <c r="AU415" s="345"/>
      <c r="AV415" s="345"/>
      <c r="AW415" s="345"/>
      <c r="AX415" s="345"/>
      <c r="AY415" s="345"/>
      <c r="AZ415" s="345"/>
      <c r="BA415" s="345"/>
      <c r="BB415" s="345"/>
      <c r="BC415" s="345"/>
      <c r="BD415" s="345"/>
      <c r="BE415" s="345"/>
      <c r="BF415" s="345"/>
      <c r="BG415" s="345"/>
      <c r="BH415" s="345"/>
      <c r="BI415" s="345"/>
      <c r="BJ415" s="364">
        <f>COUNTIF(AT415:BI415,"*OP*")</f>
        <v>0</v>
      </c>
      <c r="BK415" s="375" t="s">
        <v>103</v>
      </c>
      <c r="BL415" s="328">
        <f>(COUNTIF(AT415:AV415,"*OK*")*3) + (COUNTIF(AW415:AY415,"*OK*")*2) + COUNTIF(AZ415:BB415,"*OK*")+COUNTIF(BK415:BK415,"SI")*0.5</f>
        <v>0</v>
      </c>
      <c r="BM415" s="328" t="str">
        <f>IF(BL415&lt;0.6,"Demasiado Riesgo",IF(BL415&lt;=5,"Riesgo Medio",IF(BL415&lt;=11,"Riesgo Bajo","Cliente Blindado")))</f>
        <v>Demasiado Riesgo</v>
      </c>
      <c r="BN415" s="328"/>
      <c r="BO415" s="328"/>
      <c r="BP415" s="328">
        <v>0</v>
      </c>
      <c r="BQ415" s="328"/>
      <c r="BR415" s="328"/>
      <c r="BS415" s="328"/>
      <c r="BT415" s="328"/>
      <c r="BU415" s="328"/>
      <c r="BV415" s="328"/>
      <c r="BW415" s="328"/>
      <c r="BX415" s="328"/>
      <c r="BY415" s="328"/>
      <c r="BZ415" s="328"/>
      <c r="CA415" s="328"/>
      <c r="CB415" s="328"/>
      <c r="CC415" s="328"/>
      <c r="CD415" s="328"/>
      <c r="CE415" s="328"/>
      <c r="CF415" s="328"/>
      <c r="CG415" s="328"/>
      <c r="CH415" s="328"/>
      <c r="CI415" s="328"/>
      <c r="CJ415" s="328"/>
      <c r="CK415" s="328"/>
      <c r="CL415" s="328">
        <f>COUNTIF(AT415:BH415,"*OK*")</f>
        <v>0</v>
      </c>
      <c r="CM415" s="328"/>
      <c r="CN415" s="328">
        <f>COUNTIF(AT415:BH415,"*OP*")</f>
        <v>0</v>
      </c>
    </row>
    <row r="416" spans="1:94" ht="15" customHeight="1">
      <c r="A416" s="835">
        <v>25699</v>
      </c>
      <c r="B416" s="560" t="s">
        <v>1268</v>
      </c>
      <c r="C416" s="329">
        <f t="shared" si="8"/>
        <v>23.317299999999999</v>
      </c>
      <c r="D416" s="352">
        <f>COUNTIF(AT416:BH416,"*OK*")</f>
        <v>0</v>
      </c>
      <c r="E416" s="331" t="s">
        <v>73</v>
      </c>
      <c r="F416" s="351" t="s">
        <v>2398</v>
      </c>
      <c r="G416" s="351" t="s">
        <v>1270</v>
      </c>
      <c r="H416" s="650">
        <f>IF(LEN(TRIM($G416&amp;""))=0, $C416, SUMIF($G$3:$G$561, TRIM($G416), $C$3:$C$561))</f>
        <v>389.298</v>
      </c>
      <c r="I416" s="416" t="s">
        <v>76</v>
      </c>
      <c r="J416" s="351"/>
      <c r="K416" s="558"/>
      <c r="L416" s="558" t="str">
        <f>HYPERLINK("https://crm.zoho.com/crm/org685875245/tab/Accounts/3525045000305828624","https://crm.zoho.com/crm/org685875245/tab/Accounts/3525045000305828624")</f>
        <v>https://crm.zoho.com/crm/org685875245/tab/Accounts/3525045000305828624</v>
      </c>
      <c r="M416" s="553"/>
      <c r="N416" s="558"/>
      <c r="O416" s="559" t="s">
        <v>1271</v>
      </c>
      <c r="P416" s="559" t="s">
        <v>1272</v>
      </c>
      <c r="Q416" s="559" t="s">
        <v>1273</v>
      </c>
      <c r="R416" s="558"/>
      <c r="S416" s="352"/>
      <c r="T416" s="351"/>
      <c r="U416" s="354" t="s">
        <v>82</v>
      </c>
      <c r="V416" s="355">
        <v>28.77</v>
      </c>
      <c r="W416" s="355">
        <v>28.74</v>
      </c>
      <c r="X416" s="355">
        <v>27.39</v>
      </c>
      <c r="Y416" s="356">
        <v>28.27</v>
      </c>
      <c r="Z416" s="337">
        <v>28.6539</v>
      </c>
      <c r="AA416" s="365">
        <v>28.34</v>
      </c>
      <c r="AB416" s="365">
        <v>27.520299999999999</v>
      </c>
      <c r="AC416" s="635">
        <v>26.9483</v>
      </c>
      <c r="AD416" s="365">
        <v>23.317299999999999</v>
      </c>
      <c r="AE416" s="357">
        <v>444</v>
      </c>
      <c r="AF416" s="358">
        <v>100</v>
      </c>
      <c r="AG416" s="354"/>
      <c r="AH416" s="359"/>
      <c r="AI416" s="427" t="s">
        <v>83</v>
      </c>
      <c r="AJ416" s="361" t="s">
        <v>130</v>
      </c>
      <c r="AK416" s="362" t="s">
        <v>2399</v>
      </c>
      <c r="AL416" s="358" t="s">
        <v>103</v>
      </c>
      <c r="AM416" s="349"/>
      <c r="AN416" s="349"/>
      <c r="AO416" s="349"/>
      <c r="AP416" s="349"/>
      <c r="AQ416" s="349"/>
      <c r="AR416" s="453"/>
      <c r="AS416" s="371" t="s">
        <v>103</v>
      </c>
      <c r="AT416" s="345"/>
      <c r="AU416" s="345"/>
      <c r="AV416" s="345"/>
      <c r="AW416" s="345"/>
      <c r="AX416" s="345"/>
      <c r="AY416" s="345"/>
      <c r="AZ416" s="345"/>
      <c r="BA416" s="345"/>
      <c r="BB416" s="345"/>
      <c r="BC416" s="345"/>
      <c r="BD416" s="345"/>
      <c r="BE416" s="345"/>
      <c r="BF416" s="345"/>
      <c r="BG416" s="345"/>
      <c r="BH416" s="345"/>
      <c r="BI416" s="345"/>
      <c r="BJ416" s="364">
        <f>COUNTIF(AT416:BI416,"*OP*")</f>
        <v>0</v>
      </c>
      <c r="BK416" s="363" t="s">
        <v>103</v>
      </c>
      <c r="BL416" s="349">
        <f>(COUNTIF(AT416:AV416,"*OK*")*3) + (COUNTIF(AW416:AY416,"*OK*")*2) + COUNTIF(AZ416:BB416,"*OK*")+COUNTIF(BK416:BK416,"SI")*0.5</f>
        <v>0</v>
      </c>
      <c r="BM416" s="349" t="str">
        <f>IF(BL416&lt;0.6,"Demasiado Riesgo",IF(BL416&lt;=5,"Riesgo Medio",IF(BL416&lt;=11,"Riesgo Bajo","Cliente Blindado")))</f>
        <v>Demasiado Riesgo</v>
      </c>
      <c r="BN416" s="349"/>
      <c r="BO416" s="328"/>
      <c r="BP416" s="328">
        <v>0</v>
      </c>
      <c r="BQ416" s="328"/>
      <c r="BR416" s="328"/>
      <c r="BS416" s="328"/>
      <c r="BT416" s="328"/>
      <c r="BU416" s="328"/>
      <c r="BV416" s="328"/>
      <c r="BW416" s="328"/>
      <c r="BX416" s="328"/>
      <c r="BY416" s="328"/>
      <c r="BZ416" s="328"/>
      <c r="CA416" s="328"/>
      <c r="CB416" s="328"/>
      <c r="CC416" s="328"/>
      <c r="CD416" s="328"/>
      <c r="CE416" s="328"/>
      <c r="CF416" s="328"/>
      <c r="CG416" s="328"/>
      <c r="CH416" s="328"/>
      <c r="CI416" s="328"/>
      <c r="CJ416" s="328"/>
      <c r="CK416" s="328"/>
      <c r="CL416" s="328">
        <f>COUNTIF(AT416:BH416,"*OK*")</f>
        <v>0</v>
      </c>
      <c r="CM416" s="328"/>
      <c r="CN416" s="328">
        <f>COUNTIF(AT416:BH416,"*OP*")</f>
        <v>0</v>
      </c>
    </row>
    <row r="417" spans="1:94" ht="15" customHeight="1">
      <c r="A417" s="835"/>
      <c r="B417" s="560" t="s">
        <v>2400</v>
      </c>
      <c r="C417" s="329">
        <f t="shared" si="8"/>
        <v>25.049700000000001</v>
      </c>
      <c r="D417" s="352">
        <f>COUNTIF(AT417:BH417,"*OK*")</f>
        <v>0</v>
      </c>
      <c r="E417" s="331" t="s">
        <v>782</v>
      </c>
      <c r="F417" s="351" t="s">
        <v>2401</v>
      </c>
      <c r="G417" s="351"/>
      <c r="H417" s="650">
        <f>IF(LEN(TRIM($G417&amp;""))=0, $C417, SUMIF($G$3:$G$561, TRIM($G417), $C$3:$C$561))</f>
        <v>25.049700000000001</v>
      </c>
      <c r="I417" s="413" t="s">
        <v>562</v>
      </c>
      <c r="J417" s="351"/>
      <c r="K417" s="349"/>
      <c r="L417" s="349"/>
      <c r="M417" s="553"/>
      <c r="N417" s="352"/>
      <c r="O417" s="540"/>
      <c r="P417" s="540"/>
      <c r="Q417" s="540"/>
      <c r="R417" s="352"/>
      <c r="S417" s="352"/>
      <c r="T417" s="351"/>
      <c r="U417" s="362" t="s">
        <v>82</v>
      </c>
      <c r="V417" s="355">
        <v>21.06</v>
      </c>
      <c r="W417" s="355">
        <v>21.04</v>
      </c>
      <c r="X417" s="355">
        <v>20.05</v>
      </c>
      <c r="Y417" s="356">
        <v>20.7</v>
      </c>
      <c r="Z417" s="337">
        <v>20.977799999999998</v>
      </c>
      <c r="AA417" s="365">
        <v>20.75</v>
      </c>
      <c r="AB417" s="365">
        <v>23.5382</v>
      </c>
      <c r="AC417" s="635">
        <v>23.9709</v>
      </c>
      <c r="AD417" s="365">
        <v>25.049700000000001</v>
      </c>
      <c r="AE417" s="357"/>
      <c r="AF417" s="358">
        <v>50</v>
      </c>
      <c r="AG417" s="354"/>
      <c r="AH417" s="359"/>
      <c r="AI417" s="361" t="s">
        <v>258</v>
      </c>
      <c r="AJ417" s="361" t="s">
        <v>130</v>
      </c>
      <c r="AK417" s="362" t="s">
        <v>2402</v>
      </c>
      <c r="AL417" s="358" t="s">
        <v>103</v>
      </c>
      <c r="AM417" s="349"/>
      <c r="AN417" s="349"/>
      <c r="AO417" s="349"/>
      <c r="AP417" s="349"/>
      <c r="AQ417" s="349"/>
      <c r="AR417" s="453"/>
      <c r="AS417" s="371" t="s">
        <v>103</v>
      </c>
      <c r="AT417" s="345"/>
      <c r="AU417" s="345"/>
      <c r="AV417" s="345"/>
      <c r="AW417" s="345"/>
      <c r="AX417" s="345"/>
      <c r="AY417" s="345"/>
      <c r="AZ417" s="345"/>
      <c r="BA417" s="345"/>
      <c r="BB417" s="345"/>
      <c r="BC417" s="345"/>
      <c r="BD417" s="345"/>
      <c r="BE417" s="345"/>
      <c r="BF417" s="345"/>
      <c r="BG417" s="345"/>
      <c r="BH417" s="345"/>
      <c r="BI417" s="345"/>
      <c r="BJ417" s="364">
        <f>COUNTIF(AT417:BI417,"*OP*")</f>
        <v>0</v>
      </c>
      <c r="BK417" s="363" t="s">
        <v>103</v>
      </c>
      <c r="BL417" s="349">
        <f>(COUNTIF(AT417:AV417,"*OK*")*3) + (COUNTIF(AW417:AY417,"*OK*")*2) + COUNTIF(AZ417:BB417,"*OK*")+COUNTIF(BK417:BK417,"SI")*0.5</f>
        <v>0</v>
      </c>
      <c r="BM417" s="349" t="str">
        <f>IF(BL417&lt;0.6,"Demasiado Riesgo",IF(BL417&lt;=5,"Riesgo Medio",IF(BL417&lt;=11,"Riesgo Bajo","Cliente Blindado")))</f>
        <v>Demasiado Riesgo</v>
      </c>
      <c r="BN417" s="349"/>
      <c r="BO417" s="349"/>
      <c r="BP417" s="349">
        <v>0</v>
      </c>
      <c r="BQ417" s="349"/>
      <c r="BR417" s="349"/>
      <c r="BS417" s="349"/>
      <c r="BT417" s="349"/>
      <c r="BU417" s="349"/>
      <c r="BV417" s="349"/>
      <c r="BW417" s="349"/>
      <c r="BX417" s="349"/>
      <c r="BY417" s="349"/>
      <c r="BZ417" s="349"/>
      <c r="CA417" s="349"/>
      <c r="CB417" s="349"/>
      <c r="CC417" s="349"/>
      <c r="CD417" s="349"/>
      <c r="CE417" s="349"/>
      <c r="CF417" s="349"/>
      <c r="CG417" s="349"/>
      <c r="CH417" s="349"/>
      <c r="CI417" s="349"/>
      <c r="CJ417" s="349"/>
      <c r="CK417" s="349"/>
      <c r="CL417" s="349">
        <f>COUNTIF(AT417:BH417,"*OK*")</f>
        <v>0</v>
      </c>
      <c r="CM417" s="349"/>
      <c r="CN417" s="349">
        <f>COUNTIF(AT417:BH417,"*OP*")</f>
        <v>0</v>
      </c>
    </row>
    <row r="418" spans="1:94" ht="15" customHeight="1">
      <c r="A418" s="834">
        <v>21861</v>
      </c>
      <c r="B418" s="560" t="s">
        <v>2403</v>
      </c>
      <c r="C418" s="329">
        <f t="shared" si="8"/>
        <v>21.973500000000001</v>
      </c>
      <c r="D418" s="332">
        <f>COUNTIF(AT418:BH418,"*OK*")</f>
        <v>0</v>
      </c>
      <c r="E418" s="331" t="s">
        <v>782</v>
      </c>
      <c r="F418" s="331" t="s">
        <v>2404</v>
      </c>
      <c r="G418" s="331"/>
      <c r="H418" s="650">
        <f>IF(LEN(TRIM($G418&amp;""))=0, $C418, SUMIF($G$3:$G$561, TRIM($G418), $C$3:$C$561))</f>
        <v>21.973500000000001</v>
      </c>
      <c r="I418" s="410" t="s">
        <v>562</v>
      </c>
      <c r="J418" s="331"/>
      <c r="K418" s="328"/>
      <c r="L418" s="328" t="str">
        <f>HYPERLINK("https://crm.zoho.com/crm/org685875245/tab/Accounts/3525045000231666001","https://crm.zoho.com/crm/org685875245/tab/Accounts/3525045000231666001")</f>
        <v>https://crm.zoho.com/crm/org685875245/tab/Accounts/3525045000231666001</v>
      </c>
      <c r="M418" s="391"/>
      <c r="N418" s="332"/>
      <c r="O418" s="541" t="s">
        <v>2405</v>
      </c>
      <c r="P418" s="541"/>
      <c r="Q418" s="541" t="s">
        <v>2406</v>
      </c>
      <c r="R418" s="332"/>
      <c r="S418" s="332"/>
      <c r="T418" s="331"/>
      <c r="U418" s="344" t="s">
        <v>902</v>
      </c>
      <c r="V418" s="335">
        <v>25.66</v>
      </c>
      <c r="W418" s="335">
        <v>25.64</v>
      </c>
      <c r="X418" s="335">
        <v>24.43</v>
      </c>
      <c r="Y418" s="336">
        <v>22.7</v>
      </c>
      <c r="Z418" s="337">
        <v>23.002099999999999</v>
      </c>
      <c r="AA418" s="347">
        <v>22.75</v>
      </c>
      <c r="AB418" s="347">
        <v>22.941800000000001</v>
      </c>
      <c r="AC418" s="638">
        <v>23.363600000000002</v>
      </c>
      <c r="AD418" s="347">
        <v>21.973500000000001</v>
      </c>
      <c r="AE418" s="339">
        <v>9</v>
      </c>
      <c r="AF418" s="340">
        <v>100</v>
      </c>
      <c r="AG418" s="334"/>
      <c r="AH418" s="341"/>
      <c r="AI418" s="342" t="s">
        <v>821</v>
      </c>
      <c r="AJ418" s="343" t="s">
        <v>852</v>
      </c>
      <c r="AK418" s="344" t="s">
        <v>2407</v>
      </c>
      <c r="AL418" s="340" t="s">
        <v>103</v>
      </c>
      <c r="AM418" s="328"/>
      <c r="AN418" s="328"/>
      <c r="AO418" s="328"/>
      <c r="AP418" s="328"/>
      <c r="AQ418" s="328"/>
      <c r="AR418" s="451"/>
      <c r="AS418" s="372" t="s">
        <v>103</v>
      </c>
      <c r="AT418" s="345"/>
      <c r="AU418" s="345"/>
      <c r="AV418" s="345"/>
      <c r="AW418" s="345"/>
      <c r="AX418" s="345"/>
      <c r="AY418" s="345"/>
      <c r="AZ418" s="345"/>
      <c r="BA418" s="345"/>
      <c r="BB418" s="345"/>
      <c r="BC418" s="345"/>
      <c r="BD418" s="345"/>
      <c r="BE418" s="345"/>
      <c r="BF418" s="345"/>
      <c r="BG418" s="345"/>
      <c r="BH418" s="345"/>
      <c r="BI418" s="345"/>
      <c r="BJ418" s="364">
        <f>COUNTIF(AT418:BI418,"*OP*")</f>
        <v>0</v>
      </c>
      <c r="BK418" s="375" t="s">
        <v>103</v>
      </c>
      <c r="BL418" s="328">
        <f>(COUNTIF(AT418:AV418,"*OK*")*3) + (COUNTIF(AW418:AY418,"*OK*")*2) + COUNTIF(AZ418:BB418,"*OK*")+COUNTIF(BK418:BK418,"SI")*0.5</f>
        <v>0</v>
      </c>
      <c r="BM418" s="328" t="str">
        <f>IF(BL418&lt;0.6,"Demasiado Riesgo",IF(BL418&lt;=5,"Riesgo Medio",IF(BL418&lt;=11,"Riesgo Bajo","Cliente Blindado")))</f>
        <v>Demasiado Riesgo</v>
      </c>
      <c r="BN418" s="328"/>
      <c r="BO418" s="328"/>
      <c r="BP418" s="328">
        <v>0</v>
      </c>
      <c r="BQ418" s="328"/>
      <c r="BR418" s="328"/>
      <c r="BS418" s="328"/>
      <c r="BT418" s="328"/>
      <c r="BU418" s="328"/>
      <c r="BV418" s="328"/>
      <c r="BW418" s="328"/>
      <c r="BX418" s="328"/>
      <c r="BY418" s="328"/>
      <c r="BZ418" s="328"/>
      <c r="CA418" s="328"/>
      <c r="CB418" s="328"/>
      <c r="CC418" s="328"/>
      <c r="CD418" s="328"/>
      <c r="CE418" s="328"/>
      <c r="CF418" s="328"/>
      <c r="CG418" s="328"/>
      <c r="CH418" s="328"/>
      <c r="CI418" s="328"/>
      <c r="CJ418" s="328"/>
      <c r="CK418" s="328"/>
      <c r="CL418" s="328">
        <f>COUNTIF(AT418:BH418,"*OK*")</f>
        <v>0</v>
      </c>
      <c r="CM418" s="328"/>
      <c r="CN418" s="328">
        <f>COUNTIF(AT418:BH418,"*OP*")</f>
        <v>0</v>
      </c>
    </row>
    <row r="419" spans="1:94" ht="15" customHeight="1">
      <c r="A419" s="835">
        <v>24506</v>
      </c>
      <c r="B419" s="560" t="s">
        <v>2408</v>
      </c>
      <c r="C419" s="329">
        <f t="shared" si="8"/>
        <v>18.784800000000001</v>
      </c>
      <c r="D419" s="352">
        <f>COUNTIF(AT419:BH419,"*OK*")</f>
        <v>0</v>
      </c>
      <c r="E419" s="331" t="s">
        <v>73</v>
      </c>
      <c r="F419" s="351" t="s">
        <v>2409</v>
      </c>
      <c r="G419" s="351" t="s">
        <v>1680</v>
      </c>
      <c r="H419" s="650">
        <f>IF(LEN(TRIM($G419&amp;""))=0, $C419, SUMIF($G$3:$G$561, TRIM($G419), $C$3:$C$561))</f>
        <v>237.94050000000001</v>
      </c>
      <c r="I419" s="413" t="s">
        <v>562</v>
      </c>
      <c r="J419" s="351"/>
      <c r="K419" s="558"/>
      <c r="L419" s="558"/>
      <c r="M419" s="553"/>
      <c r="N419" s="558"/>
      <c r="O419" s="559"/>
      <c r="P419" s="559"/>
      <c r="Q419" s="559"/>
      <c r="R419" s="558"/>
      <c r="S419" s="352"/>
      <c r="T419" s="351"/>
      <c r="U419" s="354" t="s">
        <v>82</v>
      </c>
      <c r="V419" s="355">
        <v>24.13</v>
      </c>
      <c r="W419" s="355">
        <v>21.92</v>
      </c>
      <c r="X419" s="355">
        <v>20.89</v>
      </c>
      <c r="Y419" s="356">
        <v>23.71</v>
      </c>
      <c r="Z419" s="337">
        <v>28.403700000000001</v>
      </c>
      <c r="AA419" s="365">
        <v>28.09</v>
      </c>
      <c r="AB419" s="365">
        <v>30.508400000000002</v>
      </c>
      <c r="AC419" s="635">
        <v>22.192399999999999</v>
      </c>
      <c r="AD419" s="365">
        <v>18.784800000000001</v>
      </c>
      <c r="AE419" s="357">
        <v>111</v>
      </c>
      <c r="AF419" s="358">
        <v>50</v>
      </c>
      <c r="AG419" s="354"/>
      <c r="AH419" s="359"/>
      <c r="AI419" s="360" t="s">
        <v>83</v>
      </c>
      <c r="AJ419" s="361" t="s">
        <v>396</v>
      </c>
      <c r="AK419" s="362" t="s">
        <v>2322</v>
      </c>
      <c r="AL419" s="358" t="s">
        <v>103</v>
      </c>
      <c r="AM419" s="349"/>
      <c r="AN419" s="349"/>
      <c r="AO419" s="349"/>
      <c r="AP419" s="349"/>
      <c r="AQ419" s="349"/>
      <c r="AR419" s="453"/>
      <c r="AS419" s="371" t="s">
        <v>103</v>
      </c>
      <c r="AT419" s="364"/>
      <c r="AU419" s="364"/>
      <c r="AV419" s="364"/>
      <c r="AW419" s="364"/>
      <c r="AX419" s="364"/>
      <c r="AY419" s="364"/>
      <c r="AZ419" s="364"/>
      <c r="BA419" s="364"/>
      <c r="BB419" s="364"/>
      <c r="BC419" s="364"/>
      <c r="BD419" s="364"/>
      <c r="BE419" s="364"/>
      <c r="BF419" s="364"/>
      <c r="BG419" s="364"/>
      <c r="BH419" s="364"/>
      <c r="BI419" s="364"/>
      <c r="BJ419" s="364">
        <f>COUNTIF(AT419:BI419,"*OP*")</f>
        <v>0</v>
      </c>
      <c r="BK419" s="363" t="s">
        <v>103</v>
      </c>
      <c r="BL419" s="349">
        <f>(COUNTIF(AT419:AV419,"*OK*")*3) + (COUNTIF(AW419:AY419,"*OK*")*2) + COUNTIF(AZ419:BB419,"*OK*")+COUNTIF(BK419:BK419,"SI")*0.5</f>
        <v>0</v>
      </c>
      <c r="BM419" s="349" t="str">
        <f>IF(BL419&lt;0.6,"Demasiado Riesgo",IF(BL419&lt;=5,"Riesgo Medio",IF(BL419&lt;=11,"Riesgo Bajo","Cliente Blindado")))</f>
        <v>Demasiado Riesgo</v>
      </c>
      <c r="BN419" s="349"/>
      <c r="BO419" s="328"/>
      <c r="BP419" s="328">
        <v>0</v>
      </c>
      <c r="BQ419" s="328"/>
      <c r="BR419" s="328"/>
      <c r="BS419" s="328"/>
      <c r="BT419" s="328"/>
      <c r="BU419" s="328"/>
      <c r="BV419" s="328"/>
      <c r="BW419" s="328"/>
      <c r="BX419" s="328"/>
      <c r="BY419" s="328"/>
      <c r="BZ419" s="328"/>
      <c r="CA419" s="328"/>
      <c r="CB419" s="328"/>
      <c r="CC419" s="328"/>
      <c r="CD419" s="328"/>
      <c r="CE419" s="328"/>
      <c r="CF419" s="328"/>
      <c r="CG419" s="328"/>
      <c r="CH419" s="328"/>
      <c r="CI419" s="328"/>
      <c r="CJ419" s="328"/>
      <c r="CK419" s="328"/>
      <c r="CL419" s="328">
        <f>COUNTIF(AT419:BH419,"*OK*")</f>
        <v>0</v>
      </c>
      <c r="CM419" s="328"/>
      <c r="CN419" s="328">
        <f>COUNTIF(AT419:BH419,"*OP*")</f>
        <v>0</v>
      </c>
    </row>
    <row r="420" spans="1:94" ht="15" customHeight="1">
      <c r="A420" s="834"/>
      <c r="B420" s="531" t="s">
        <v>2410</v>
      </c>
      <c r="C420" s="329">
        <f t="shared" si="8"/>
        <v>20.872</v>
      </c>
      <c r="D420" s="332">
        <f>COUNTIF(AX420:BI420,"OK")</f>
        <v>0</v>
      </c>
      <c r="E420" s="331" t="s">
        <v>782</v>
      </c>
      <c r="F420" s="376" t="s">
        <v>2411</v>
      </c>
      <c r="G420" s="376"/>
      <c r="H420" s="650">
        <f>IF(LEN(TRIM($G420&amp;""))=0, $C420, SUMIF($G$3:$G$561, TRIM($G420), $C$3:$C$561))</f>
        <v>20.872</v>
      </c>
      <c r="I420" s="376" t="s">
        <v>562</v>
      </c>
      <c r="J420" s="328"/>
      <c r="K420" s="328"/>
      <c r="L420" s="328"/>
      <c r="M420" s="391"/>
      <c r="N420" s="332"/>
      <c r="O420" s="541"/>
      <c r="P420" s="541"/>
      <c r="Q420" s="541"/>
      <c r="R420" s="332"/>
      <c r="S420" s="332"/>
      <c r="T420" s="349"/>
      <c r="U420" s="344"/>
      <c r="V420" s="335"/>
      <c r="W420" s="335"/>
      <c r="X420" s="335"/>
      <c r="Y420" s="336"/>
      <c r="Z420" s="337">
        <v>24.033899999999999</v>
      </c>
      <c r="AA420" s="405">
        <v>23.77</v>
      </c>
      <c r="AB420" s="405">
        <v>19.6126</v>
      </c>
      <c r="AC420" s="642">
        <v>22.192399999999999</v>
      </c>
      <c r="AD420" s="405">
        <v>20.872</v>
      </c>
      <c r="AE420" s="339"/>
      <c r="AF420" s="340" t="s">
        <v>103</v>
      </c>
      <c r="AG420" s="334"/>
      <c r="AH420" s="328"/>
      <c r="AI420" s="342"/>
      <c r="AJ420" s="343"/>
      <c r="AK420" s="344"/>
      <c r="AL420" s="372" t="s">
        <v>103</v>
      </c>
      <c r="AM420" s="328"/>
      <c r="AN420" s="328"/>
      <c r="AO420" s="328"/>
      <c r="AP420" s="328"/>
      <c r="AQ420" s="328"/>
      <c r="AR420" s="451"/>
      <c r="AS420" s="444"/>
      <c r="AT420" s="445"/>
      <c r="AU420" s="445"/>
      <c r="AV420" s="445"/>
      <c r="AW420" s="445"/>
      <c r="AX420" s="445"/>
      <c r="AY420" s="445"/>
      <c r="AZ420" s="445"/>
      <c r="BA420" s="445"/>
      <c r="BB420" s="445"/>
      <c r="BC420" s="445"/>
      <c r="BD420" s="445"/>
      <c r="BE420" s="445"/>
      <c r="BF420" s="445"/>
      <c r="BG420" s="445"/>
      <c r="BH420" s="445"/>
      <c r="BI420" s="445"/>
      <c r="BJ420" s="446">
        <f>COUNTIF(AT420:BI420,"*OP*")</f>
        <v>0</v>
      </c>
      <c r="BK420" s="447"/>
      <c r="BL420" s="328">
        <f>(COUNTIF(AT420:AV420,"*OK*")*3) + (COUNTIF(AW420:AY420,"*OK*")*2) + COUNTIF(AZ420:BB420,"*OK*")+COUNTIF(BK420:BK420,"SI")*0.5</f>
        <v>0</v>
      </c>
      <c r="BM420" s="328" t="str">
        <f>IF(BL420&lt;0.6,"Demasiado Riesgo",IF(BL420&lt;=5,"Riesgo Medio",IF(BL420&lt;=11,"Riesgo Bajo","Cliente Blindado")))</f>
        <v>Demasiado Riesgo</v>
      </c>
      <c r="BN420" s="328"/>
      <c r="BO420" s="349"/>
      <c r="BP420" s="349">
        <v>0</v>
      </c>
      <c r="BQ420" s="349"/>
      <c r="BR420" s="349"/>
      <c r="BS420" s="349"/>
      <c r="BT420" s="349"/>
      <c r="BU420" s="349"/>
      <c r="BV420" s="349"/>
      <c r="BW420" s="349"/>
      <c r="BX420" s="349"/>
      <c r="BY420" s="349"/>
      <c r="BZ420" s="349"/>
      <c r="CA420" s="349"/>
      <c r="CB420" s="349"/>
      <c r="CC420" s="349"/>
      <c r="CD420" s="349"/>
      <c r="CE420" s="349"/>
      <c r="CF420" s="349"/>
      <c r="CG420" s="349"/>
      <c r="CH420" s="349"/>
      <c r="CI420" s="349"/>
      <c r="CJ420" s="349"/>
      <c r="CK420" s="349"/>
      <c r="CL420" s="349">
        <f>COUNTIF(AT420:BH420,"*OK*")</f>
        <v>0</v>
      </c>
      <c r="CM420" s="349"/>
      <c r="CN420" s="349">
        <f>COUNTIF(AT420:BH420,"*OP*")</f>
        <v>0</v>
      </c>
    </row>
    <row r="421" spans="1:94" ht="15" customHeight="1">
      <c r="A421" s="835"/>
      <c r="B421" s="530" t="s">
        <v>2412</v>
      </c>
      <c r="C421" s="329">
        <f t="shared" si="8"/>
        <v>19.857600000000001</v>
      </c>
      <c r="D421" s="352">
        <f>COUNTIF(AX421:BI421,"OK")</f>
        <v>0</v>
      </c>
      <c r="E421" s="500" t="s">
        <v>782</v>
      </c>
      <c r="F421" s="537" t="s">
        <v>2413</v>
      </c>
      <c r="G421" s="536"/>
      <c r="H421" s="650">
        <f>IF(LEN(TRIM($G421&amp;""))=0, $C421, SUMIF($G$3:$G$561, TRIM($G421), $C$3:$C$561))</f>
        <v>19.857600000000001</v>
      </c>
      <c r="I421" s="500" t="s">
        <v>562</v>
      </c>
      <c r="J421" s="500" t="s">
        <v>103</v>
      </c>
      <c r="K421" s="349"/>
      <c r="L421" s="349"/>
      <c r="M421" s="553"/>
      <c r="N421" s="500" t="s">
        <v>103</v>
      </c>
      <c r="O421" s="542"/>
      <c r="P421" s="542"/>
      <c r="Q421" s="542"/>
      <c r="R421" s="500"/>
      <c r="S421" s="500" t="s">
        <v>103</v>
      </c>
      <c r="T421" s="500" t="s">
        <v>88</v>
      </c>
      <c r="U421" s="467" t="s">
        <v>103</v>
      </c>
      <c r="V421" s="500" t="s">
        <v>103</v>
      </c>
      <c r="W421" s="500" t="s">
        <v>103</v>
      </c>
      <c r="X421" s="500" t="s">
        <v>103</v>
      </c>
      <c r="Y421" s="511" t="s">
        <v>103</v>
      </c>
      <c r="Z421" s="517" t="s">
        <v>103</v>
      </c>
      <c r="AA421" s="518">
        <v>18.27</v>
      </c>
      <c r="AB421" s="518">
        <v>20.732700000000001</v>
      </c>
      <c r="AC421" s="639">
        <v>21.113800000000001</v>
      </c>
      <c r="AD421" s="518">
        <v>19.857600000000001</v>
      </c>
      <c r="AE421" s="348"/>
      <c r="AF421" s="371" t="s">
        <v>103</v>
      </c>
      <c r="AG421" s="362"/>
      <c r="AH421" s="349"/>
      <c r="AI421" s="370"/>
      <c r="AJ421" s="361"/>
      <c r="AK421" s="362"/>
      <c r="AL421" s="371" t="s">
        <v>103</v>
      </c>
      <c r="AM421" s="349"/>
      <c r="AN421" s="349"/>
      <c r="AO421" s="349"/>
      <c r="AP421" s="349"/>
      <c r="AQ421" s="349"/>
      <c r="AR421" s="453"/>
      <c r="AS421" s="449"/>
      <c r="AT421" s="345"/>
      <c r="AU421" s="345"/>
      <c r="AV421" s="345"/>
      <c r="AW421" s="345"/>
      <c r="AX421" s="345"/>
      <c r="AY421" s="345"/>
      <c r="AZ421" s="345"/>
      <c r="BA421" s="345"/>
      <c r="BB421" s="345"/>
      <c r="BC421" s="345"/>
      <c r="BD421" s="345"/>
      <c r="BE421" s="345"/>
      <c r="BF421" s="345"/>
      <c r="BG421" s="345"/>
      <c r="BH421" s="345"/>
      <c r="BI421" s="345"/>
      <c r="BJ421" s="364">
        <f>COUNTIF(AT421:BI421,"*OP*")</f>
        <v>0</v>
      </c>
      <c r="BK421" s="450"/>
      <c r="BL421" s="349">
        <f>(COUNTIF(AT421:AV421,"*OK*")*3) + (COUNTIF(AW421:AY421,"*OK*")*2) + COUNTIF(AZ421:BB421,"*OK*")+COUNTIF(BK421:BK421,"SI")*0.5</f>
        <v>0</v>
      </c>
      <c r="BM421" s="349" t="str">
        <f>IF(BL421&lt;0.6,"Demasiado Riesgo",IF(BL421&lt;=5,"Riesgo Medio",IF(BL421&lt;=11,"Riesgo Bajo","Cliente Blindado")))</f>
        <v>Demasiado Riesgo</v>
      </c>
      <c r="BN421" s="349"/>
      <c r="BO421" s="349"/>
      <c r="BP421" s="349">
        <v>0</v>
      </c>
      <c r="BQ421" s="349"/>
      <c r="BR421" s="349"/>
      <c r="BS421" s="349"/>
      <c r="BT421" s="349"/>
      <c r="BU421" s="349"/>
      <c r="BV421" s="349"/>
      <c r="BW421" s="349"/>
      <c r="BX421" s="349"/>
      <c r="BY421" s="349"/>
      <c r="BZ421" s="349"/>
      <c r="CA421" s="349"/>
      <c r="CB421" s="349"/>
      <c r="CC421" s="349"/>
      <c r="CD421" s="349"/>
      <c r="CE421" s="349"/>
      <c r="CF421" s="349"/>
      <c r="CG421" s="349"/>
      <c r="CH421" s="349"/>
      <c r="CI421" s="349"/>
      <c r="CJ421" s="349"/>
      <c r="CK421" s="349"/>
      <c r="CL421" s="349">
        <f>COUNTIF(AT421:BH421,"*OK*")</f>
        <v>0</v>
      </c>
      <c r="CM421" s="349"/>
      <c r="CN421" s="349">
        <f>COUNTIF(AT421:BH421,"*OP*")</f>
        <v>0</v>
      </c>
    </row>
    <row r="422" spans="1:94" ht="15" customHeight="1">
      <c r="A422" s="834"/>
      <c r="B422" s="531" t="s">
        <v>2414</v>
      </c>
      <c r="C422" s="329">
        <f t="shared" si="8"/>
        <v>18.542999999999999</v>
      </c>
      <c r="D422" s="332">
        <f>COUNTIF(AT422:BH422,"*OK*")</f>
        <v>0</v>
      </c>
      <c r="E422" s="331" t="s">
        <v>782</v>
      </c>
      <c r="F422" s="331" t="s">
        <v>2415</v>
      </c>
      <c r="G422" s="331"/>
      <c r="H422" s="650">
        <f>IF(LEN(TRIM($G422&amp;""))=0, $C422, SUMIF($G$3:$G$561, TRIM($G422), $C$3:$C$561))</f>
        <v>18.542999999999999</v>
      </c>
      <c r="I422" s="333" t="s">
        <v>562</v>
      </c>
      <c r="J422" s="331"/>
      <c r="K422" s="328"/>
      <c r="L422" s="328"/>
      <c r="M422" s="391"/>
      <c r="N422" s="332"/>
      <c r="O422" s="541"/>
      <c r="P422" s="541"/>
      <c r="Q422" s="541"/>
      <c r="R422" s="332"/>
      <c r="S422" s="332"/>
      <c r="T422" s="331"/>
      <c r="U422" s="334" t="s">
        <v>82</v>
      </c>
      <c r="V422" s="335">
        <v>20.3</v>
      </c>
      <c r="W422" s="335">
        <v>21.09</v>
      </c>
      <c r="X422" s="335">
        <v>20.100000000000001</v>
      </c>
      <c r="Y422" s="336">
        <v>19.95</v>
      </c>
      <c r="Z422" s="337">
        <v>20.219899999999999</v>
      </c>
      <c r="AA422" s="347">
        <v>20</v>
      </c>
      <c r="AB422" s="347">
        <v>20.166899999999998</v>
      </c>
      <c r="AC422" s="638">
        <v>20.537600000000001</v>
      </c>
      <c r="AD422" s="347">
        <v>18.542999999999999</v>
      </c>
      <c r="AE422" s="339"/>
      <c r="AF422" s="340">
        <v>50</v>
      </c>
      <c r="AG422" s="334"/>
      <c r="AH422" s="341"/>
      <c r="AI422" s="418" t="s">
        <v>83</v>
      </c>
      <c r="AJ422" s="343" t="s">
        <v>120</v>
      </c>
      <c r="AK422" s="344" t="s">
        <v>2416</v>
      </c>
      <c r="AL422" s="340" t="s">
        <v>103</v>
      </c>
      <c r="AM422" s="328"/>
      <c r="AN422" s="328"/>
      <c r="AO422" s="328"/>
      <c r="AP422" s="328"/>
      <c r="AQ422" s="328"/>
      <c r="AR422" s="451"/>
      <c r="AS422" s="372" t="s">
        <v>103</v>
      </c>
      <c r="AT422" s="345"/>
      <c r="AU422" s="345"/>
      <c r="AV422" s="345" t="s">
        <v>173</v>
      </c>
      <c r="AW422" s="345"/>
      <c r="AX422" s="345"/>
      <c r="AY422" s="345"/>
      <c r="AZ422" s="345"/>
      <c r="BA422" s="345"/>
      <c r="BB422" s="345"/>
      <c r="BC422" s="345"/>
      <c r="BD422" s="345"/>
      <c r="BE422" s="345"/>
      <c r="BF422" s="345"/>
      <c r="BG422" s="345"/>
      <c r="BH422" s="345"/>
      <c r="BI422" s="345"/>
      <c r="BJ422" s="364">
        <f>COUNTIF(AT422:BI422,"*OP*")</f>
        <v>1</v>
      </c>
      <c r="BK422" s="375" t="s">
        <v>103</v>
      </c>
      <c r="BL422" s="328">
        <f>(COUNTIF(AT422:AV422,"*OK*")*3) + (COUNTIF(AW422:AY422,"*OK*")*2) + COUNTIF(AZ422:BB422,"*OK*")+COUNTIF(BK422:BK422,"SI")*0.5</f>
        <v>0</v>
      </c>
      <c r="BM422" s="328" t="str">
        <f>IF(BL422&lt;0.6,"Demasiado Riesgo",IF(BL422&lt;=5,"Riesgo Medio",IF(BL422&lt;=11,"Riesgo Bajo","Cliente Blindado")))</f>
        <v>Demasiado Riesgo</v>
      </c>
      <c r="BN422" s="328"/>
      <c r="BO422" s="349"/>
      <c r="BP422" s="349">
        <v>0</v>
      </c>
      <c r="BQ422" s="349"/>
      <c r="BR422" s="349"/>
      <c r="BS422" s="349"/>
      <c r="BT422" s="349"/>
      <c r="BU422" s="349"/>
      <c r="BV422" s="349"/>
      <c r="BW422" s="349"/>
      <c r="BX422" s="349"/>
      <c r="BY422" s="349"/>
      <c r="BZ422" s="349"/>
      <c r="CA422" s="349"/>
      <c r="CB422" s="349"/>
      <c r="CC422" s="349"/>
      <c r="CD422" s="349"/>
      <c r="CE422" s="349"/>
      <c r="CF422" s="349"/>
      <c r="CG422" s="349"/>
      <c r="CH422" s="349"/>
      <c r="CI422" s="349"/>
      <c r="CJ422" s="349"/>
      <c r="CK422" s="349"/>
      <c r="CL422" s="349">
        <f>COUNTIF(AT422:BH422,"*OK*")</f>
        <v>0</v>
      </c>
      <c r="CM422" s="349"/>
      <c r="CN422" s="349">
        <f>COUNTIF(AT422:BH422,"*OP*")</f>
        <v>1</v>
      </c>
    </row>
    <row r="423" spans="1:94" ht="15" customHeight="1">
      <c r="A423" s="835">
        <v>24144</v>
      </c>
      <c r="B423" s="530" t="s">
        <v>2417</v>
      </c>
      <c r="C423" s="329">
        <f t="shared" si="8"/>
        <v>17.8918</v>
      </c>
      <c r="D423" s="352">
        <f>COUNTIF(AT423:BH423,"*OK*")</f>
        <v>0</v>
      </c>
      <c r="E423" s="331" t="s">
        <v>782</v>
      </c>
      <c r="F423" s="351" t="s">
        <v>2418</v>
      </c>
      <c r="G423" s="351"/>
      <c r="H423" s="650">
        <f>IF(LEN(TRIM($G423&amp;""))=0, $C423, SUMIF($G$3:$G$561, TRIM($G423), $C$3:$C$561))</f>
        <v>17.8918</v>
      </c>
      <c r="I423" s="413" t="s">
        <v>562</v>
      </c>
      <c r="J423" s="672"/>
      <c r="K423" s="349"/>
      <c r="L423" s="349"/>
      <c r="M423" s="553"/>
      <c r="N423" s="352"/>
      <c r="O423" s="686" t="s">
        <v>184</v>
      </c>
      <c r="P423" s="686"/>
      <c r="Q423" s="686" t="s">
        <v>2419</v>
      </c>
      <c r="R423" s="698"/>
      <c r="S423" s="698"/>
      <c r="T423" s="351"/>
      <c r="U423" s="362" t="s">
        <v>285</v>
      </c>
      <c r="V423" s="355">
        <v>18.8</v>
      </c>
      <c r="W423" s="355">
        <v>18.79</v>
      </c>
      <c r="X423" s="355">
        <v>17.899999999999999</v>
      </c>
      <c r="Y423" s="356">
        <v>18.48</v>
      </c>
      <c r="Z423" s="337">
        <v>18.729399999999998</v>
      </c>
      <c r="AA423" s="365">
        <v>18.52</v>
      </c>
      <c r="AB423" s="365">
        <v>18.680299999999999</v>
      </c>
      <c r="AC423" s="635">
        <v>19.023700000000002</v>
      </c>
      <c r="AD423" s="365">
        <v>17.8918</v>
      </c>
      <c r="AE423" s="357">
        <v>5</v>
      </c>
      <c r="AF423" s="358">
        <v>50</v>
      </c>
      <c r="AG423" s="354"/>
      <c r="AH423" s="359"/>
      <c r="AI423" s="427" t="s">
        <v>83</v>
      </c>
      <c r="AJ423" s="361" t="s">
        <v>297</v>
      </c>
      <c r="AK423" s="362" t="s">
        <v>2420</v>
      </c>
      <c r="AL423" s="358" t="s">
        <v>103</v>
      </c>
      <c r="AM423" s="349"/>
      <c r="AN423" s="349"/>
      <c r="AO423" s="349"/>
      <c r="AP423" s="349"/>
      <c r="AQ423" s="349"/>
      <c r="AR423" s="453"/>
      <c r="AS423" s="371" t="s">
        <v>103</v>
      </c>
      <c r="AT423" s="445"/>
      <c r="AU423" s="445"/>
      <c r="AV423" s="445"/>
      <c r="AW423" s="445"/>
      <c r="AX423" s="445"/>
      <c r="AY423" s="445"/>
      <c r="AZ423" s="445"/>
      <c r="BA423" s="445"/>
      <c r="BB423" s="445"/>
      <c r="BC423" s="445"/>
      <c r="BD423" s="445"/>
      <c r="BE423" s="445"/>
      <c r="BF423" s="445"/>
      <c r="BG423" s="445"/>
      <c r="BH423" s="445"/>
      <c r="BI423" s="445"/>
      <c r="BJ423" s="446">
        <f>COUNTIF(AT423:BI423,"*OP*")</f>
        <v>0</v>
      </c>
      <c r="BK423" s="363" t="s">
        <v>103</v>
      </c>
      <c r="BL423" s="349">
        <f>(COUNTIF(AT423:AV423,"*OK*")*3) + (COUNTIF(AW423:AY423,"*OK*")*2) + COUNTIF(AZ423:BB423,"*OK*")+COUNTIF(BK423:BK423,"SI")*0.5</f>
        <v>0</v>
      </c>
      <c r="BM423" s="349" t="str">
        <f>IF(BL423&lt;0.6,"Demasiado Riesgo",IF(BL423&lt;=5,"Riesgo Medio",IF(BL423&lt;=11,"Riesgo Bajo","Cliente Blindado")))</f>
        <v>Demasiado Riesgo</v>
      </c>
      <c r="BN423" s="349"/>
      <c r="BO423" s="349"/>
      <c r="BP423" s="349"/>
      <c r="BQ423" s="349"/>
      <c r="BR423" s="349"/>
      <c r="BS423" s="349"/>
      <c r="BT423" s="349"/>
      <c r="BU423" s="349"/>
      <c r="BV423" s="349"/>
      <c r="BW423" s="349"/>
      <c r="BX423" s="349"/>
      <c r="BY423" s="349"/>
      <c r="BZ423" s="349"/>
      <c r="CA423" s="349"/>
      <c r="CB423" s="349"/>
      <c r="CC423" s="349"/>
      <c r="CD423" s="349"/>
      <c r="CE423" s="349"/>
      <c r="CF423" s="349"/>
      <c r="CG423" s="349"/>
      <c r="CH423" s="349"/>
      <c r="CI423" s="349"/>
      <c r="CJ423" s="349"/>
      <c r="CK423" s="349"/>
      <c r="CL423" s="349">
        <f>COUNTIF(AT423:BH423,"*OK*")</f>
        <v>0</v>
      </c>
      <c r="CM423" s="349"/>
      <c r="CN423" s="349"/>
    </row>
    <row r="424" spans="1:94" ht="15" customHeight="1">
      <c r="A424" s="835">
        <v>35715</v>
      </c>
      <c r="B424" s="530" t="s">
        <v>2421</v>
      </c>
      <c r="C424" s="329">
        <f t="shared" si="8"/>
        <v>16.5563</v>
      </c>
      <c r="D424" s="352">
        <f>COUNTIF(AT424:BH424,"*OK*")</f>
        <v>0</v>
      </c>
      <c r="E424" s="533" t="s">
        <v>782</v>
      </c>
      <c r="F424" s="351" t="s">
        <v>2422</v>
      </c>
      <c r="G424" s="622"/>
      <c r="H424" s="650">
        <f>IF(LEN(TRIM($G424&amp;""))=0, $C424, SUMIF($G$3:$G$561, TRIM($G424), $C$3:$C$561))</f>
        <v>16.5563</v>
      </c>
      <c r="I424" s="683" t="s">
        <v>562</v>
      </c>
      <c r="J424" s="672"/>
      <c r="K424" s="349"/>
      <c r="L424" s="349" t="str">
        <f>HYPERLINK("https://crm.zoho.com/crm/org685875245/tab/Accounts/3525045000575010551","https://crm.zoho.com/crm/org685875245/tab/Accounts/3525045000575010551")</f>
        <v>https://crm.zoho.com/crm/org685875245/tab/Accounts/3525045000575010551</v>
      </c>
      <c r="M424" s="553"/>
      <c r="N424" s="352"/>
      <c r="O424" s="686" t="s">
        <v>2423</v>
      </c>
      <c r="P424" s="686" t="s">
        <v>2326</v>
      </c>
      <c r="Q424" s="686" t="s">
        <v>2424</v>
      </c>
      <c r="R424" s="698"/>
      <c r="S424" s="698"/>
      <c r="T424" s="622"/>
      <c r="U424" s="362" t="s">
        <v>394</v>
      </c>
      <c r="V424" s="711">
        <v>17.399999999999999</v>
      </c>
      <c r="W424" s="711">
        <v>17.39</v>
      </c>
      <c r="X424" s="711">
        <v>16.57</v>
      </c>
      <c r="Y424" s="718">
        <v>17.100000000000001</v>
      </c>
      <c r="Z424" s="452">
        <v>17.331299999999999</v>
      </c>
      <c r="AA424" s="729">
        <v>17.14</v>
      </c>
      <c r="AB424" s="365">
        <v>17.285900000000002</v>
      </c>
      <c r="AC424" s="635">
        <v>17.6037</v>
      </c>
      <c r="AD424" s="365">
        <v>16.5563</v>
      </c>
      <c r="AE424" s="357">
        <v>4</v>
      </c>
      <c r="AF424" s="358">
        <v>100</v>
      </c>
      <c r="AG424" s="354"/>
      <c r="AH424" s="359"/>
      <c r="AI424" s="427" t="s">
        <v>83</v>
      </c>
      <c r="AJ424" s="361" t="s">
        <v>101</v>
      </c>
      <c r="AK424" s="362" t="s">
        <v>2425</v>
      </c>
      <c r="AL424" s="358" t="s">
        <v>396</v>
      </c>
      <c r="AM424" s="349"/>
      <c r="AN424" s="349"/>
      <c r="AO424" s="349"/>
      <c r="AP424" s="349"/>
      <c r="AQ424" s="349"/>
      <c r="AR424" s="453"/>
      <c r="AS424" s="371" t="s">
        <v>103</v>
      </c>
      <c r="AT424" s="345"/>
      <c r="AU424" s="345"/>
      <c r="AV424" s="345"/>
      <c r="AW424" s="345"/>
      <c r="AX424" s="345"/>
      <c r="AY424" s="345"/>
      <c r="AZ424" s="345"/>
      <c r="BA424" s="345"/>
      <c r="BB424" s="345"/>
      <c r="BC424" s="345"/>
      <c r="BD424" s="345"/>
      <c r="BE424" s="345"/>
      <c r="BF424" s="345"/>
      <c r="BG424" s="345"/>
      <c r="BH424" s="345"/>
      <c r="BI424" s="345"/>
      <c r="BJ424" s="364">
        <f>COUNTIF(AT424:BI424,"*OP*")</f>
        <v>0</v>
      </c>
      <c r="BK424" s="363" t="s">
        <v>103</v>
      </c>
      <c r="BL424" s="349">
        <f>(COUNTIF(AT424:AV424,"*OK*")*3) + (COUNTIF(AW424:AY424,"*OK*")*2) + COUNTIF(AZ424:BB424,"*OK*")+COUNTIF(BK424:BK424,"SI")*0.5</f>
        <v>0</v>
      </c>
      <c r="BM424" s="349" t="str">
        <f>IF(BL424&lt;0.6,"Demasiado Riesgo",IF(BL424&lt;=5,"Riesgo Medio",IF(BL424&lt;=11,"Riesgo Bajo","Cliente Blindado")))</f>
        <v>Demasiado Riesgo</v>
      </c>
      <c r="BN424" s="349"/>
      <c r="BO424" s="349"/>
      <c r="BP424" s="349">
        <v>0</v>
      </c>
      <c r="BQ424" s="349"/>
      <c r="BR424" s="349"/>
      <c r="BS424" s="349"/>
      <c r="BT424" s="349"/>
      <c r="BU424" s="349"/>
      <c r="BV424" s="349"/>
      <c r="BW424" s="349"/>
      <c r="BX424" s="349"/>
      <c r="BY424" s="349"/>
      <c r="BZ424" s="349"/>
      <c r="CA424" s="349"/>
      <c r="CB424" s="349"/>
      <c r="CC424" s="349"/>
      <c r="CD424" s="349"/>
      <c r="CE424" s="349"/>
      <c r="CF424" s="349"/>
      <c r="CG424" s="349"/>
      <c r="CH424" s="349"/>
      <c r="CI424" s="349"/>
      <c r="CJ424" s="349"/>
      <c r="CK424" s="349"/>
      <c r="CL424" s="349">
        <f>COUNTIF(AT424:BH424,"*OK*")</f>
        <v>0</v>
      </c>
      <c r="CM424" s="349"/>
      <c r="CN424" s="349">
        <f>COUNTIF(AT424:BH424,"*OP*")</f>
        <v>0</v>
      </c>
    </row>
    <row r="425" spans="1:94" s="425" customFormat="1" ht="15" customHeight="1">
      <c r="A425" s="835">
        <v>21316</v>
      </c>
      <c r="B425" s="530" t="s">
        <v>2426</v>
      </c>
      <c r="C425" s="329">
        <f t="shared" si="8"/>
        <v>15.028700000000001</v>
      </c>
      <c r="D425" s="352">
        <f>COUNTIF(AT425:BH425,"*OK*")</f>
        <v>0</v>
      </c>
      <c r="E425" s="665" t="s">
        <v>782</v>
      </c>
      <c r="F425" s="420" t="s">
        <v>2427</v>
      </c>
      <c r="G425" s="672"/>
      <c r="H425" s="650">
        <f>IF(LEN(TRIM($G425&amp;""))=0, $C425, SUMIF($G$3:$G$561, TRIM($G425), $C$3:$C$561))</f>
        <v>15.028700000000001</v>
      </c>
      <c r="I425" s="680" t="s">
        <v>562</v>
      </c>
      <c r="J425" s="672"/>
      <c r="K425" s="453"/>
      <c r="L425" s="453"/>
      <c r="M425" s="553" t="s">
        <v>787</v>
      </c>
      <c r="N425" s="352"/>
      <c r="O425" s="686" t="s">
        <v>2428</v>
      </c>
      <c r="P425" s="686" t="s">
        <v>2429</v>
      </c>
      <c r="Q425" s="686" t="s">
        <v>2430</v>
      </c>
      <c r="R425" s="698"/>
      <c r="S425" s="698"/>
      <c r="T425" s="672"/>
      <c r="U425" s="362" t="s">
        <v>82</v>
      </c>
      <c r="V425" s="704">
        <v>17.77</v>
      </c>
      <c r="W425" s="704">
        <v>17.75</v>
      </c>
      <c r="X425" s="704">
        <v>16.920000000000002</v>
      </c>
      <c r="Y425" s="713">
        <v>17.46</v>
      </c>
      <c r="Z425" s="337">
        <v>17.698699999999999</v>
      </c>
      <c r="AA425" s="365">
        <v>17.5</v>
      </c>
      <c r="AB425" s="365">
        <v>15.691000000000001</v>
      </c>
      <c r="AC425" s="635">
        <v>15.9794</v>
      </c>
      <c r="AD425" s="365">
        <v>15.028700000000001</v>
      </c>
      <c r="AE425" s="454">
        <v>8</v>
      </c>
      <c r="AF425" s="358">
        <v>50</v>
      </c>
      <c r="AG425" s="354"/>
      <c r="AH425" s="359"/>
      <c r="AI425" s="360" t="s">
        <v>83</v>
      </c>
      <c r="AJ425" s="361" t="s">
        <v>396</v>
      </c>
      <c r="AK425" s="362" t="s">
        <v>2431</v>
      </c>
      <c r="AL425" s="358" t="s">
        <v>103</v>
      </c>
      <c r="AM425" s="349"/>
      <c r="AN425" s="349"/>
      <c r="AO425" s="349"/>
      <c r="AP425" s="349"/>
      <c r="AQ425" s="349"/>
      <c r="AR425" s="453"/>
      <c r="AS425" s="371" t="s">
        <v>103</v>
      </c>
      <c r="AT425" s="345"/>
      <c r="AU425" s="345"/>
      <c r="AV425" s="345"/>
      <c r="AW425" s="345"/>
      <c r="AX425" s="345"/>
      <c r="AY425" s="345"/>
      <c r="AZ425" s="345"/>
      <c r="BA425" s="345"/>
      <c r="BB425" s="345"/>
      <c r="BC425" s="345"/>
      <c r="BD425" s="345"/>
      <c r="BE425" s="345"/>
      <c r="BF425" s="345"/>
      <c r="BG425" s="345"/>
      <c r="BH425" s="345"/>
      <c r="BI425" s="345"/>
      <c r="BJ425" s="364">
        <f>COUNTIF(AT425:BI425,"*OP*")</f>
        <v>0</v>
      </c>
      <c r="BK425" s="363" t="s">
        <v>103</v>
      </c>
      <c r="BL425" s="349">
        <f>(COUNTIF(AT425:AV425,"*OK*")*3) + (COUNTIF(AW425:AY425,"*OK*")*2) + COUNTIF(AZ425:BB425,"*OK*")+COUNTIF(BK425:BK425,"SI")*0.5</f>
        <v>0</v>
      </c>
      <c r="BM425" s="349" t="str">
        <f>IF(BL425&lt;0.6,"Demasiado Riesgo",IF(BL425&lt;=5,"Riesgo Medio",IF(BL425&lt;=11,"Riesgo Bajo","Cliente Blindado")))</f>
        <v>Demasiado Riesgo</v>
      </c>
      <c r="BN425" s="349"/>
      <c r="BO425" s="328"/>
      <c r="BP425" s="328">
        <v>0</v>
      </c>
      <c r="BQ425" s="328"/>
      <c r="BR425" s="328"/>
      <c r="BS425" s="328"/>
      <c r="BT425" s="328"/>
      <c r="BU425" s="328"/>
      <c r="BV425" s="328"/>
      <c r="BW425" s="328"/>
      <c r="BX425" s="328"/>
      <c r="BY425" s="328"/>
      <c r="BZ425" s="328"/>
      <c r="CA425" s="328"/>
      <c r="CB425" s="328"/>
      <c r="CC425" s="328"/>
      <c r="CD425" s="328"/>
      <c r="CE425" s="328"/>
      <c r="CF425" s="328"/>
      <c r="CG425" s="328"/>
      <c r="CH425" s="328"/>
      <c r="CI425" s="328"/>
      <c r="CJ425" s="328"/>
      <c r="CK425" s="328"/>
      <c r="CL425" s="328">
        <f>COUNTIF(AT425:BH425,"*OK*")</f>
        <v>0</v>
      </c>
      <c r="CM425" s="328"/>
      <c r="CN425" s="328">
        <f>COUNTIF(AT425:BH425,"*OP*")</f>
        <v>0</v>
      </c>
      <c r="CO425" s="287"/>
      <c r="CP425" s="287"/>
    </row>
    <row r="426" spans="1:94" ht="15" customHeight="1">
      <c r="A426" s="834">
        <v>31742</v>
      </c>
      <c r="B426" s="531" t="s">
        <v>2432</v>
      </c>
      <c r="C426" s="329">
        <f t="shared" si="8"/>
        <v>14.592700000000001</v>
      </c>
      <c r="D426" s="332">
        <f>COUNTIF(AT426:BH426,"*OK*")</f>
        <v>0</v>
      </c>
      <c r="E426" s="665" t="s">
        <v>782</v>
      </c>
      <c r="F426" s="331" t="s">
        <v>2433</v>
      </c>
      <c r="G426" s="665"/>
      <c r="H426" s="650">
        <f>IF(LEN(TRIM($G426&amp;""))=0, $C426, SUMIF($G$3:$G$561, TRIM($G426), $C$3:$C$561))</f>
        <v>14.592700000000001</v>
      </c>
      <c r="I426" s="679" t="s">
        <v>562</v>
      </c>
      <c r="J426" s="665"/>
      <c r="K426" s="451"/>
      <c r="L426" s="451" t="str">
        <f>HYPERLINK("https://crm.zoho.com/crm/org685875245/tab/Accounts/3525045000470731263","https://crm.zoho.com/crm/org685875245/tab/Accounts/3525045000470731263")</f>
        <v>https://crm.zoho.com/crm/org685875245/tab/Accounts/3525045000470731263</v>
      </c>
      <c r="M426" s="391"/>
      <c r="N426" s="332"/>
      <c r="O426" s="651" t="s">
        <v>2434</v>
      </c>
      <c r="P426" s="651" t="s">
        <v>2435</v>
      </c>
      <c r="Q426" s="651" t="s">
        <v>2436</v>
      </c>
      <c r="R426" s="694"/>
      <c r="S426" s="694"/>
      <c r="T426" s="665"/>
      <c r="U426" s="344" t="s">
        <v>394</v>
      </c>
      <c r="V426" s="705">
        <v>15.34</v>
      </c>
      <c r="W426" s="705">
        <v>15.32</v>
      </c>
      <c r="X426" s="705">
        <v>14.6</v>
      </c>
      <c r="Y426" s="714">
        <v>15.07</v>
      </c>
      <c r="Z426" s="337">
        <v>15.2758</v>
      </c>
      <c r="AA426" s="347">
        <v>15.11</v>
      </c>
      <c r="AB426" s="347">
        <v>15.235799999999999</v>
      </c>
      <c r="AC426" s="638">
        <v>15.5159</v>
      </c>
      <c r="AD426" s="347">
        <v>14.592700000000001</v>
      </c>
      <c r="AE426" s="455">
        <v>3</v>
      </c>
      <c r="AF426" s="340">
        <v>100</v>
      </c>
      <c r="AG426" s="334"/>
      <c r="AH426" s="341"/>
      <c r="AI426" s="418" t="s">
        <v>83</v>
      </c>
      <c r="AJ426" s="343" t="s">
        <v>130</v>
      </c>
      <c r="AK426" s="344" t="s">
        <v>2437</v>
      </c>
      <c r="AL426" s="340" t="s">
        <v>103</v>
      </c>
      <c r="AM426" s="328"/>
      <c r="AN426" s="328"/>
      <c r="AO426" s="328"/>
      <c r="AP426" s="328"/>
      <c r="AQ426" s="328"/>
      <c r="AR426" s="451"/>
      <c r="AS426" s="372" t="s">
        <v>103</v>
      </c>
      <c r="AT426" s="345"/>
      <c r="AU426" s="345"/>
      <c r="AV426" s="345"/>
      <c r="AW426" s="345"/>
      <c r="AX426" s="345"/>
      <c r="AY426" s="345"/>
      <c r="AZ426" s="345"/>
      <c r="BA426" s="345"/>
      <c r="BB426" s="345"/>
      <c r="BC426" s="345"/>
      <c r="BD426" s="345"/>
      <c r="BE426" s="345"/>
      <c r="BF426" s="345"/>
      <c r="BG426" s="345"/>
      <c r="BH426" s="345"/>
      <c r="BI426" s="345"/>
      <c r="BJ426" s="364">
        <f>COUNTIF(AT426:BI426,"*OP*")</f>
        <v>0</v>
      </c>
      <c r="BK426" s="375" t="s">
        <v>103</v>
      </c>
      <c r="BL426" s="328">
        <f>(COUNTIF(AT426:AV426,"*OK*")*3) + (COUNTIF(AW426:AY426,"*OK*")*2) + COUNTIF(AZ426:BB426,"*OK*")+COUNTIF(BK426:BK426,"SI")*0.5</f>
        <v>0</v>
      </c>
      <c r="BM426" s="328" t="str">
        <f>IF(BL426&lt;0.6,"Demasiado Riesgo",IF(BL426&lt;=5,"Riesgo Medio",IF(BL426&lt;=11,"Riesgo Bajo","Cliente Blindado")))</f>
        <v>Demasiado Riesgo</v>
      </c>
      <c r="BN426" s="328"/>
      <c r="BO426" s="328"/>
      <c r="BP426" s="328">
        <v>0</v>
      </c>
      <c r="BQ426" s="328"/>
      <c r="BR426" s="328"/>
      <c r="BS426" s="328"/>
      <c r="BT426" s="328"/>
      <c r="BU426" s="328"/>
      <c r="BV426" s="328"/>
      <c r="BW426" s="328"/>
      <c r="BX426" s="328"/>
      <c r="BY426" s="328"/>
      <c r="BZ426" s="328"/>
      <c r="CA426" s="328"/>
      <c r="CB426" s="328"/>
      <c r="CC426" s="328"/>
      <c r="CD426" s="328"/>
      <c r="CE426" s="328"/>
      <c r="CF426" s="328"/>
      <c r="CG426" s="328"/>
      <c r="CH426" s="328"/>
      <c r="CI426" s="328"/>
      <c r="CJ426" s="328"/>
      <c r="CK426" s="328"/>
      <c r="CL426" s="328">
        <f>COUNTIF(AT426:BH426,"*OK*")</f>
        <v>0</v>
      </c>
      <c r="CM426" s="328"/>
      <c r="CN426" s="328">
        <f>COUNTIF(AT426:BH426,"*OP*")</f>
        <v>0</v>
      </c>
    </row>
    <row r="427" spans="1:94" ht="15" customHeight="1">
      <c r="A427" s="834"/>
      <c r="B427" s="328"/>
      <c r="C427" s="329">
        <f t="shared" si="8"/>
        <v>0</v>
      </c>
      <c r="D427" s="332">
        <f>COUNTIF(AX427:BI427,"OK")</f>
        <v>0</v>
      </c>
      <c r="E427" s="453" t="s">
        <v>782</v>
      </c>
      <c r="F427" s="376" t="s">
        <v>2438</v>
      </c>
      <c r="G427" s="673"/>
      <c r="H427" s="650">
        <f>IF(LEN(TRIM($G427&amp;""))=0, $C427, SUMIF($G$3:$G$561, TRIM($G427), $C$3:$C$561))</f>
        <v>0</v>
      </c>
      <c r="I427" s="673"/>
      <c r="J427" s="451"/>
      <c r="K427" s="451"/>
      <c r="L427" s="451"/>
      <c r="M427" s="391"/>
      <c r="N427" s="332"/>
      <c r="O427" s="651"/>
      <c r="P427" s="651"/>
      <c r="Q427" s="651"/>
      <c r="R427" s="694"/>
      <c r="S427" s="694"/>
      <c r="T427" s="451"/>
      <c r="U427" s="344"/>
      <c r="V427" s="703"/>
      <c r="W427" s="528"/>
      <c r="X427" s="528"/>
      <c r="Y427" s="712"/>
      <c r="Z427" s="515"/>
      <c r="AA427" s="528"/>
      <c r="AB427" s="528">
        <v>14.9811</v>
      </c>
      <c r="AC427" s="633">
        <v>15.256500000000001</v>
      </c>
      <c r="AD427" s="528"/>
      <c r="AE427" s="630"/>
      <c r="AF427" s="372" t="s">
        <v>103</v>
      </c>
      <c r="AG427" s="344"/>
      <c r="AH427" s="328"/>
      <c r="AI427" s="343"/>
      <c r="AJ427" s="343"/>
      <c r="AK427" s="344"/>
      <c r="AL427" s="372" t="s">
        <v>103</v>
      </c>
      <c r="AM427" s="328"/>
      <c r="AN427" s="328"/>
      <c r="AO427" s="328"/>
      <c r="AP427" s="328"/>
      <c r="AQ427" s="328"/>
      <c r="AR427" s="451"/>
      <c r="AS427" s="444"/>
      <c r="AT427" s="445"/>
      <c r="AU427" s="445"/>
      <c r="AV427" s="445"/>
      <c r="AW427" s="445"/>
      <c r="AX427" s="445"/>
      <c r="AY427" s="445"/>
      <c r="AZ427" s="445"/>
      <c r="BA427" s="445"/>
      <c r="BB427" s="445"/>
      <c r="BC427" s="445"/>
      <c r="BD427" s="445"/>
      <c r="BE427" s="445"/>
      <c r="BF427" s="445"/>
      <c r="BG427" s="445"/>
      <c r="BH427" s="445"/>
      <c r="BI427" s="445"/>
      <c r="BJ427" s="446">
        <f>COUNTIF(AT427:BI427,"*OP*")</f>
        <v>0</v>
      </c>
      <c r="BK427" s="447"/>
      <c r="BL427" s="328">
        <f>(COUNTIF(AT427:AV427,"*OK*")*3) + (COUNTIF(AW427:AY427,"*OK*")*2) + COUNTIF(AZ427:BB427,"*OK*")+COUNTIF(BK427:BK427,"SI")*0.5</f>
        <v>0</v>
      </c>
      <c r="BM427" s="328" t="str">
        <f>IF(BL427&lt;0.6,"Demasiado Riesgo",IF(BL427&lt;=5,"Riesgo Medio",IF(BL427&lt;=11,"Riesgo Bajo","Cliente Blindado")))</f>
        <v>Demasiado Riesgo</v>
      </c>
      <c r="BN427" s="328"/>
      <c r="BO427" s="349"/>
      <c r="BP427" s="349"/>
      <c r="BQ427" s="349"/>
      <c r="BR427" s="349"/>
      <c r="BS427" s="349"/>
      <c r="BT427" s="349"/>
      <c r="BU427" s="349"/>
      <c r="BV427" s="349"/>
      <c r="BW427" s="349"/>
      <c r="BX427" s="349"/>
      <c r="BY427" s="349"/>
      <c r="BZ427" s="349"/>
      <c r="CA427" s="349"/>
      <c r="CB427" s="349"/>
      <c r="CC427" s="349"/>
      <c r="CD427" s="349"/>
      <c r="CE427" s="349"/>
      <c r="CF427" s="349"/>
      <c r="CG427" s="349"/>
      <c r="CH427" s="349"/>
      <c r="CI427" s="349"/>
      <c r="CJ427" s="349"/>
      <c r="CK427" s="349"/>
      <c r="CL427" s="349">
        <f>COUNTIF(AT427:BH427,"*OK*")</f>
        <v>0</v>
      </c>
    </row>
    <row r="428" spans="1:94" ht="15" customHeight="1">
      <c r="A428" s="835">
        <v>26921</v>
      </c>
      <c r="B428" s="530" t="s">
        <v>2439</v>
      </c>
      <c r="C428" s="329">
        <f t="shared" si="8"/>
        <v>13.732900000000001</v>
      </c>
      <c r="D428" s="352">
        <f>COUNTIF(AT428:BH428,"*OK*")</f>
        <v>0</v>
      </c>
      <c r="E428" s="665" t="s">
        <v>782</v>
      </c>
      <c r="F428" s="351" t="s">
        <v>2440</v>
      </c>
      <c r="G428" s="672"/>
      <c r="H428" s="650">
        <f>IF(LEN(TRIM($G428&amp;""))=0, $C428, SUMIF($G$3:$G$561, TRIM($G428), $C$3:$C$561))</f>
        <v>13.732900000000001</v>
      </c>
      <c r="I428" s="680" t="s">
        <v>562</v>
      </c>
      <c r="J428" s="672"/>
      <c r="K428" s="349"/>
      <c r="L428" s="349"/>
      <c r="M428" s="553"/>
      <c r="N428" s="352"/>
      <c r="O428" s="686"/>
      <c r="P428" s="686"/>
      <c r="Q428" s="686"/>
      <c r="R428" s="698"/>
      <c r="S428" s="698"/>
      <c r="T428" s="672"/>
      <c r="U428" s="362" t="s">
        <v>82</v>
      </c>
      <c r="V428" s="704">
        <v>14.43</v>
      </c>
      <c r="W428" s="704">
        <v>14.42</v>
      </c>
      <c r="X428" s="704">
        <v>13.74</v>
      </c>
      <c r="Y428" s="713">
        <v>14.18</v>
      </c>
      <c r="Z428" s="337">
        <v>14.3758</v>
      </c>
      <c r="AA428" s="365">
        <v>14.22</v>
      </c>
      <c r="AB428" s="365">
        <v>14.338100000000001</v>
      </c>
      <c r="AC428" s="635">
        <v>14.601699999999999</v>
      </c>
      <c r="AD428" s="365">
        <v>13.732900000000001</v>
      </c>
      <c r="AE428" s="454">
        <v>4</v>
      </c>
      <c r="AF428" s="358">
        <v>50</v>
      </c>
      <c r="AG428" s="354"/>
      <c r="AH428" s="359"/>
      <c r="AI428" s="360" t="s">
        <v>83</v>
      </c>
      <c r="AJ428" s="361" t="s">
        <v>396</v>
      </c>
      <c r="AK428" s="362" t="s">
        <v>2441</v>
      </c>
      <c r="AL428" s="358" t="s">
        <v>103</v>
      </c>
      <c r="AM428" s="349"/>
      <c r="AN428" s="349"/>
      <c r="AO428" s="349"/>
      <c r="AP428" s="349"/>
      <c r="AQ428" s="349"/>
      <c r="AR428" s="453"/>
      <c r="AS428" s="371" t="s">
        <v>103</v>
      </c>
      <c r="AT428" s="345"/>
      <c r="AU428" s="345"/>
      <c r="AV428" s="345"/>
      <c r="AW428" s="345"/>
      <c r="AX428" s="345"/>
      <c r="AY428" s="345"/>
      <c r="AZ428" s="345"/>
      <c r="BA428" s="345"/>
      <c r="BB428" s="345"/>
      <c r="BC428" s="345"/>
      <c r="BD428" s="345"/>
      <c r="BE428" s="345"/>
      <c r="BF428" s="345"/>
      <c r="BG428" s="345"/>
      <c r="BH428" s="345"/>
      <c r="BI428" s="345"/>
      <c r="BJ428" s="364">
        <f>COUNTIF(AT428:BI428,"*OP*")</f>
        <v>0</v>
      </c>
      <c r="BK428" s="363" t="s">
        <v>103</v>
      </c>
      <c r="BL428" s="349">
        <f>(COUNTIF(AT428:AV428,"*OK*")*3) + (COUNTIF(AW428:AY428,"*OK*")*2) + COUNTIF(AZ428:BB428,"*OK*")+COUNTIF(BK428:BK428,"SI")*0.5</f>
        <v>0</v>
      </c>
      <c r="BM428" s="349" t="str">
        <f>IF(BL428&lt;0.6,"Demasiado Riesgo",IF(BL428&lt;=5,"Riesgo Medio",IF(BL428&lt;=11,"Riesgo Bajo","Cliente Blindado")))</f>
        <v>Demasiado Riesgo</v>
      </c>
      <c r="BN428" s="349"/>
      <c r="BO428" s="349"/>
      <c r="BP428" s="349">
        <v>0</v>
      </c>
      <c r="BQ428" s="349"/>
      <c r="BR428" s="349"/>
      <c r="BS428" s="349"/>
      <c r="BT428" s="349"/>
      <c r="BU428" s="349"/>
      <c r="BV428" s="349"/>
      <c r="BW428" s="349"/>
      <c r="BX428" s="349"/>
      <c r="BY428" s="349"/>
      <c r="BZ428" s="349"/>
      <c r="CA428" s="349"/>
      <c r="CB428" s="349"/>
      <c r="CC428" s="349"/>
      <c r="CD428" s="349"/>
      <c r="CE428" s="349"/>
      <c r="CF428" s="349"/>
      <c r="CG428" s="349"/>
      <c r="CH428" s="349"/>
      <c r="CI428" s="349"/>
      <c r="CJ428" s="349"/>
      <c r="CK428" s="349"/>
      <c r="CL428" s="349">
        <f>COUNTIF(AT428:BH428,"*OK*")</f>
        <v>0</v>
      </c>
      <c r="CM428" s="349"/>
      <c r="CN428" s="349">
        <f>COUNTIF(AT428:BH428,"*OP*")</f>
        <v>0</v>
      </c>
    </row>
    <row r="429" spans="1:94" ht="15" customHeight="1">
      <c r="A429" s="834">
        <v>26588</v>
      </c>
      <c r="B429" s="531" t="s">
        <v>2442</v>
      </c>
      <c r="C429" s="329">
        <f t="shared" si="8"/>
        <v>12.0166</v>
      </c>
      <c r="D429" s="332">
        <f>COUNTIF(AT429:BH429,"*OK*")</f>
        <v>0</v>
      </c>
      <c r="E429" s="665" t="s">
        <v>782</v>
      </c>
      <c r="F429" s="331" t="s">
        <v>2443</v>
      </c>
      <c r="G429" s="665"/>
      <c r="H429" s="650">
        <f>IF(LEN(TRIM($G429&amp;""))=0, $C429, SUMIF($G$3:$G$561, TRIM($G429), $C$3:$C$561))</f>
        <v>12.0166</v>
      </c>
      <c r="I429" s="679" t="s">
        <v>562</v>
      </c>
      <c r="J429" s="665"/>
      <c r="K429" s="451"/>
      <c r="L429" s="451"/>
      <c r="M429" s="391"/>
      <c r="N429" s="332"/>
      <c r="O429" s="651"/>
      <c r="P429" s="651"/>
      <c r="Q429" s="651"/>
      <c r="R429" s="694"/>
      <c r="S429" s="694"/>
      <c r="T429" s="665"/>
      <c r="U429" s="344" t="s">
        <v>82</v>
      </c>
      <c r="V429" s="705">
        <v>21.05</v>
      </c>
      <c r="W429" s="705">
        <v>21.03</v>
      </c>
      <c r="X429" s="705">
        <v>16.03</v>
      </c>
      <c r="Y429" s="714">
        <v>12.41</v>
      </c>
      <c r="Z429" s="337">
        <v>12.5791</v>
      </c>
      <c r="AA429" s="347">
        <v>12.44</v>
      </c>
      <c r="AB429" s="347">
        <v>12.546099999999999</v>
      </c>
      <c r="AC429" s="638">
        <v>12.7767</v>
      </c>
      <c r="AD429" s="347">
        <v>12.0166</v>
      </c>
      <c r="AE429" s="455">
        <v>3</v>
      </c>
      <c r="AF429" s="340">
        <v>50</v>
      </c>
      <c r="AG429" s="334"/>
      <c r="AH429" s="341"/>
      <c r="AI429" s="418" t="s">
        <v>83</v>
      </c>
      <c r="AJ429" s="343" t="s">
        <v>396</v>
      </c>
      <c r="AK429" s="344" t="s">
        <v>2322</v>
      </c>
      <c r="AL429" s="340" t="s">
        <v>103</v>
      </c>
      <c r="AM429" s="328"/>
      <c r="AN429" s="328"/>
      <c r="AO429" s="328"/>
      <c r="AP429" s="328"/>
      <c r="AQ429" s="328"/>
      <c r="AR429" s="451"/>
      <c r="AS429" s="372" t="s">
        <v>103</v>
      </c>
      <c r="AT429" s="345"/>
      <c r="AU429" s="345"/>
      <c r="AV429" s="345"/>
      <c r="AW429" s="345"/>
      <c r="AX429" s="345"/>
      <c r="AY429" s="345"/>
      <c r="AZ429" s="345"/>
      <c r="BA429" s="345"/>
      <c r="BB429" s="345"/>
      <c r="BC429" s="345"/>
      <c r="BD429" s="345"/>
      <c r="BE429" s="345"/>
      <c r="BF429" s="345"/>
      <c r="BG429" s="345"/>
      <c r="BH429" s="345"/>
      <c r="BI429" s="345"/>
      <c r="BJ429" s="364">
        <f>COUNTIF(AT429:BI429,"*OP*")</f>
        <v>0</v>
      </c>
      <c r="BK429" s="375" t="s">
        <v>103</v>
      </c>
      <c r="BL429" s="328">
        <f>(COUNTIF(AT429:AV429,"*OK*")*3) + (COUNTIF(AW429:AY429,"*OK*")*2) + COUNTIF(AZ429:BB429,"*OK*")+COUNTIF(BK429:BK429,"SI")*0.5</f>
        <v>0</v>
      </c>
      <c r="BM429" s="328" t="str">
        <f>IF(BL429&lt;0.6,"Demasiado Riesgo",IF(BL429&lt;=5,"Riesgo Medio",IF(BL429&lt;=11,"Riesgo Bajo","Cliente Blindado")))</f>
        <v>Demasiado Riesgo</v>
      </c>
      <c r="BN429" s="328"/>
      <c r="BO429" s="328"/>
      <c r="BP429" s="328">
        <v>0</v>
      </c>
      <c r="BQ429" s="328"/>
      <c r="BR429" s="328"/>
      <c r="BS429" s="328"/>
      <c r="BT429" s="328"/>
      <c r="BU429" s="328"/>
      <c r="BV429" s="328"/>
      <c r="BW429" s="328"/>
      <c r="BX429" s="328"/>
      <c r="BY429" s="328"/>
      <c r="BZ429" s="328"/>
      <c r="CA429" s="328"/>
      <c r="CB429" s="328"/>
      <c r="CC429" s="328"/>
      <c r="CD429" s="328"/>
      <c r="CE429" s="328"/>
      <c r="CF429" s="328"/>
      <c r="CG429" s="328"/>
      <c r="CH429" s="328"/>
      <c r="CI429" s="328"/>
      <c r="CJ429" s="328"/>
      <c r="CK429" s="328"/>
      <c r="CL429" s="328">
        <f>COUNTIF(AT429:BH429,"*OK*")</f>
        <v>0</v>
      </c>
      <c r="CM429" s="328"/>
      <c r="CN429" s="328">
        <f>COUNTIF(AT429:BH429,"*OP*")</f>
        <v>0</v>
      </c>
    </row>
    <row r="430" spans="1:94" ht="15" customHeight="1">
      <c r="A430" s="834">
        <v>24506</v>
      </c>
      <c r="B430" s="328"/>
      <c r="C430" s="329">
        <f t="shared" si="8"/>
        <v>8.3488000000000007</v>
      </c>
      <c r="D430" s="332">
        <f>COUNTIF(AX430:BI430,"OK")</f>
        <v>0</v>
      </c>
      <c r="E430" s="331" t="s">
        <v>73</v>
      </c>
      <c r="F430" s="342" t="s">
        <v>2444</v>
      </c>
      <c r="G430" s="672" t="s">
        <v>1680</v>
      </c>
      <c r="H430" s="650">
        <f>IF(LEN(TRIM($G430&amp;""))=0, $C430, SUMIF($G$3:$G$561, TRIM($G430), $C$3:$C$561))</f>
        <v>237.94050000000001</v>
      </c>
      <c r="I430" s="344" t="s">
        <v>562</v>
      </c>
      <c r="J430" s="344" t="s">
        <v>103</v>
      </c>
      <c r="K430" s="451"/>
      <c r="L430" s="451"/>
      <c r="M430" s="391"/>
      <c r="N430" s="332" t="s">
        <v>2445</v>
      </c>
      <c r="O430" s="651"/>
      <c r="P430" s="651"/>
      <c r="Q430" s="651"/>
      <c r="R430" s="694"/>
      <c r="S430" s="694"/>
      <c r="T430" s="344"/>
      <c r="U430" s="344" t="s">
        <v>82</v>
      </c>
      <c r="V430" s="702" t="s">
        <v>103</v>
      </c>
      <c r="W430" s="702" t="s">
        <v>103</v>
      </c>
      <c r="X430" s="702" t="s">
        <v>103</v>
      </c>
      <c r="Y430" s="702">
        <v>4.33</v>
      </c>
      <c r="Z430" s="400">
        <v>4.3697999999999997</v>
      </c>
      <c r="AA430" s="405">
        <v>4.3219000000000003</v>
      </c>
      <c r="AB430" s="405">
        <v>6.5374999999999996</v>
      </c>
      <c r="AC430" s="642">
        <v>11.0962</v>
      </c>
      <c r="AD430" s="405">
        <v>8.3488000000000007</v>
      </c>
      <c r="AE430" s="455">
        <v>111</v>
      </c>
      <c r="AF430" s="340" t="s">
        <v>103</v>
      </c>
      <c r="AG430" s="334"/>
      <c r="AH430" s="328"/>
      <c r="AI430" s="343"/>
      <c r="AJ430" s="343"/>
      <c r="AK430" s="344"/>
      <c r="AL430" s="372" t="s">
        <v>103</v>
      </c>
      <c r="AM430" s="328"/>
      <c r="AN430" s="328"/>
      <c r="AO430" s="328"/>
      <c r="AP430" s="328"/>
      <c r="AQ430" s="328"/>
      <c r="AR430" s="451"/>
      <c r="AS430" s="372" t="s">
        <v>103</v>
      </c>
      <c r="AT430" s="345"/>
      <c r="AU430" s="345"/>
      <c r="AV430" s="345"/>
      <c r="AW430" s="345"/>
      <c r="AX430" s="345"/>
      <c r="AY430" s="345"/>
      <c r="AZ430" s="345"/>
      <c r="BA430" s="345"/>
      <c r="BB430" s="345"/>
      <c r="BC430" s="345"/>
      <c r="BD430" s="345"/>
      <c r="BE430" s="345"/>
      <c r="BF430" s="345"/>
      <c r="BG430" s="345"/>
      <c r="BH430" s="345"/>
      <c r="BI430" s="345"/>
      <c r="BJ430" s="364">
        <f>COUNTIF(AT430:BI430,"*OP*")</f>
        <v>0</v>
      </c>
      <c r="BK430" s="375" t="s">
        <v>103</v>
      </c>
      <c r="BL430" s="328">
        <f>(COUNTIF(AT430:AV430,"*OK*")*3) + (COUNTIF(AW430:AY430,"*OK*")*2) + COUNTIF(AZ430:BB430,"*OK*")+COUNTIF(BK430:BK430,"SI")*0.5</f>
        <v>0</v>
      </c>
      <c r="BM430" s="328" t="str">
        <f>IF(BL430&lt;0.6,"Demasiado Riesgo",IF(BL430&lt;=5,"Riesgo Medio",IF(BL430&lt;=11,"Riesgo Bajo","Cliente Blindado")))</f>
        <v>Demasiado Riesgo</v>
      </c>
      <c r="BN430" s="328"/>
      <c r="BO430" s="328"/>
      <c r="BP430" s="328"/>
      <c r="BQ430" s="328"/>
      <c r="BR430" s="328"/>
      <c r="BS430" s="328"/>
      <c r="BT430" s="328"/>
      <c r="BU430" s="328"/>
      <c r="BV430" s="328"/>
      <c r="BW430" s="328"/>
      <c r="BX430" s="328"/>
      <c r="BY430" s="328"/>
      <c r="BZ430" s="328"/>
      <c r="CA430" s="328"/>
      <c r="CB430" s="328"/>
      <c r="CC430" s="328"/>
      <c r="CD430" s="328"/>
      <c r="CE430" s="328"/>
      <c r="CF430" s="328"/>
      <c r="CG430" s="328"/>
      <c r="CH430" s="328"/>
      <c r="CI430" s="328"/>
      <c r="CJ430" s="328"/>
      <c r="CK430" s="328"/>
      <c r="CL430" s="328">
        <f>COUNTIF(AT430:BH430,"*OK*")</f>
        <v>0</v>
      </c>
    </row>
    <row r="431" spans="1:94" ht="15" customHeight="1">
      <c r="A431" s="835"/>
      <c r="B431" s="530" t="s">
        <v>2446</v>
      </c>
      <c r="C431" s="329">
        <f t="shared" si="8"/>
        <v>10.4305</v>
      </c>
      <c r="D431" s="352">
        <f>COUNTIF(AT431:BH431,"*OK*")</f>
        <v>0</v>
      </c>
      <c r="E431" s="665" t="s">
        <v>782</v>
      </c>
      <c r="F431" s="351" t="s">
        <v>2447</v>
      </c>
      <c r="G431" s="672" t="s">
        <v>2448</v>
      </c>
      <c r="H431" s="650">
        <f>IF(LEN(TRIM($G431&amp;""))=0, $C431, SUMIF($G$3:$G$561, TRIM($G431), $C$3:$C$561))</f>
        <v>43.211999999999996</v>
      </c>
      <c r="I431" s="681" t="s">
        <v>562</v>
      </c>
      <c r="J431" s="672"/>
      <c r="K431" s="453"/>
      <c r="L431" s="453"/>
      <c r="M431" s="553"/>
      <c r="N431" s="352"/>
      <c r="O431" s="686"/>
      <c r="P431" s="686"/>
      <c r="Q431" s="686"/>
      <c r="R431" s="698"/>
      <c r="S431" s="698"/>
      <c r="T431" s="672"/>
      <c r="U431" s="362" t="s">
        <v>82</v>
      </c>
      <c r="V431" s="704">
        <v>10.96</v>
      </c>
      <c r="W431" s="704">
        <v>10.95</v>
      </c>
      <c r="X431" s="704">
        <v>10.44</v>
      </c>
      <c r="Y431" s="713">
        <v>10.77</v>
      </c>
      <c r="Z431" s="337">
        <v>10.918699999999999</v>
      </c>
      <c r="AA431" s="365">
        <v>10.8</v>
      </c>
      <c r="AB431" s="365">
        <v>10.8901</v>
      </c>
      <c r="AC431" s="635">
        <v>11.090299999999999</v>
      </c>
      <c r="AD431" s="365">
        <v>10.4305</v>
      </c>
      <c r="AE431" s="454"/>
      <c r="AF431" s="358">
        <v>50</v>
      </c>
      <c r="AG431" s="354"/>
      <c r="AH431" s="359"/>
      <c r="AI431" s="360" t="s">
        <v>83</v>
      </c>
      <c r="AJ431" s="361" t="s">
        <v>130</v>
      </c>
      <c r="AK431" s="362" t="s">
        <v>2449</v>
      </c>
      <c r="AL431" s="358" t="s">
        <v>103</v>
      </c>
      <c r="AM431" s="349"/>
      <c r="AN431" s="349"/>
      <c r="AO431" s="349"/>
      <c r="AP431" s="349"/>
      <c r="AQ431" s="349"/>
      <c r="AR431" s="453"/>
      <c r="AS431" s="371" t="s">
        <v>103</v>
      </c>
      <c r="AT431" s="345"/>
      <c r="AU431" s="345"/>
      <c r="AV431" s="345"/>
      <c r="AW431" s="345"/>
      <c r="AX431" s="345"/>
      <c r="AY431" s="345"/>
      <c r="AZ431" s="345"/>
      <c r="BA431" s="345"/>
      <c r="BB431" s="345"/>
      <c r="BC431" s="345"/>
      <c r="BD431" s="345"/>
      <c r="BE431" s="345"/>
      <c r="BF431" s="345"/>
      <c r="BG431" s="345"/>
      <c r="BH431" s="345"/>
      <c r="BI431" s="345"/>
      <c r="BJ431" s="364">
        <f>COUNTIF(AT431:BI431,"*OP*")</f>
        <v>0</v>
      </c>
      <c r="BK431" s="363" t="s">
        <v>103</v>
      </c>
      <c r="BL431" s="349">
        <f>(COUNTIF(AT431:AV431,"*OK*")*3) + (COUNTIF(AW431:AY431,"*OK*")*2) + COUNTIF(AZ431:BB431,"*OK*")+COUNTIF(BK431:BK431,"SI")*0.5</f>
        <v>0</v>
      </c>
      <c r="BM431" s="349" t="str">
        <f>IF(BL431&lt;0.6,"Demasiado Riesgo",IF(BL431&lt;=5,"Riesgo Medio",IF(BL431&lt;=11,"Riesgo Bajo","Cliente Blindado")))</f>
        <v>Demasiado Riesgo</v>
      </c>
      <c r="BN431" s="349"/>
      <c r="BO431" s="328"/>
      <c r="BP431" s="328"/>
      <c r="BQ431" s="328"/>
      <c r="BR431" s="328"/>
      <c r="BS431" s="328"/>
      <c r="BT431" s="328"/>
      <c r="BU431" s="328"/>
      <c r="BV431" s="328"/>
      <c r="BW431" s="328"/>
      <c r="BX431" s="328"/>
      <c r="BY431" s="328"/>
      <c r="BZ431" s="328"/>
      <c r="CA431" s="328"/>
      <c r="CB431" s="328"/>
      <c r="CC431" s="328"/>
      <c r="CD431" s="328"/>
      <c r="CE431" s="328"/>
      <c r="CF431" s="328"/>
      <c r="CG431" s="328"/>
      <c r="CH431" s="328"/>
      <c r="CI431" s="328"/>
      <c r="CJ431" s="328"/>
      <c r="CK431" s="328"/>
      <c r="CL431" s="328">
        <f>COUNTIF(AT431:BH431,"*OK*")</f>
        <v>0</v>
      </c>
    </row>
    <row r="432" spans="1:94" ht="15" customHeight="1">
      <c r="A432" s="834"/>
      <c r="B432" s="531" t="s">
        <v>2450</v>
      </c>
      <c r="C432" s="329">
        <f t="shared" si="8"/>
        <v>8.9404000000000003</v>
      </c>
      <c r="D432" s="332">
        <f>COUNTIF(AT432:BH432,"*OK*")</f>
        <v>0</v>
      </c>
      <c r="E432" s="665" t="s">
        <v>782</v>
      </c>
      <c r="F432" s="331" t="s">
        <v>2451</v>
      </c>
      <c r="G432" s="672" t="s">
        <v>2448</v>
      </c>
      <c r="H432" s="650">
        <f>IF(LEN(TRIM($G432&amp;""))=0, $C432, SUMIF($G$3:$G$561, TRIM($G432), $C$3:$C$561))</f>
        <v>43.211999999999996</v>
      </c>
      <c r="I432" s="678" t="s">
        <v>562</v>
      </c>
      <c r="J432" s="665"/>
      <c r="K432" s="328"/>
      <c r="L432" s="328"/>
      <c r="M432" s="391"/>
      <c r="N432" s="332"/>
      <c r="O432" s="651"/>
      <c r="P432" s="651"/>
      <c r="Q432" s="651"/>
      <c r="R432" s="694"/>
      <c r="S432" s="694"/>
      <c r="T432" s="665"/>
      <c r="U432" s="344" t="s">
        <v>82</v>
      </c>
      <c r="V432" s="705">
        <v>9.4</v>
      </c>
      <c r="W432" s="705">
        <v>9.39</v>
      </c>
      <c r="X432" s="705">
        <v>8.9499999999999993</v>
      </c>
      <c r="Y432" s="714">
        <v>9.23</v>
      </c>
      <c r="Z432" s="337">
        <v>9.3589000000000002</v>
      </c>
      <c r="AA432" s="347">
        <v>9.26</v>
      </c>
      <c r="AB432" s="347">
        <v>9.3344000000000005</v>
      </c>
      <c r="AC432" s="638">
        <v>9.5060000000000002</v>
      </c>
      <c r="AD432" s="347">
        <v>8.9404000000000003</v>
      </c>
      <c r="AE432" s="455"/>
      <c r="AF432" s="340">
        <v>100</v>
      </c>
      <c r="AG432" s="334"/>
      <c r="AH432" s="341"/>
      <c r="AI432" s="418" t="s">
        <v>83</v>
      </c>
      <c r="AJ432" s="343" t="s">
        <v>113</v>
      </c>
      <c r="AK432" s="344" t="s">
        <v>2452</v>
      </c>
      <c r="AL432" s="340" t="s">
        <v>103</v>
      </c>
      <c r="AM432" s="328"/>
      <c r="AN432" s="328"/>
      <c r="AO432" s="328"/>
      <c r="AP432" s="328"/>
      <c r="AQ432" s="328"/>
      <c r="AR432" s="451"/>
      <c r="AS432" s="372" t="s">
        <v>103</v>
      </c>
      <c r="AT432" s="345"/>
      <c r="AU432" s="345"/>
      <c r="AV432" s="345"/>
      <c r="AW432" s="345"/>
      <c r="AX432" s="345"/>
      <c r="AY432" s="345"/>
      <c r="AZ432" s="345"/>
      <c r="BA432" s="345"/>
      <c r="BB432" s="345"/>
      <c r="BC432" s="345"/>
      <c r="BD432" s="345"/>
      <c r="BE432" s="345"/>
      <c r="BF432" s="345"/>
      <c r="BG432" s="345"/>
      <c r="BH432" s="345"/>
      <c r="BI432" s="345"/>
      <c r="BJ432" s="364">
        <f>COUNTIF(AT432:BI432,"*OP*")</f>
        <v>0</v>
      </c>
      <c r="BK432" s="375" t="s">
        <v>103</v>
      </c>
      <c r="BL432" s="328">
        <f>(COUNTIF(AT432:AV432,"*OK*")*3) + (COUNTIF(AW432:AY432,"*OK*")*2) + COUNTIF(AZ432:BB432,"*OK*")+COUNTIF(BK432:BK432,"SI")*0.5</f>
        <v>0</v>
      </c>
      <c r="BM432" s="328" t="str">
        <f>IF(BL432&lt;0.6,"Demasiado Riesgo",IF(BL432&lt;=5,"Riesgo Medio",IF(BL432&lt;=11,"Riesgo Bajo","Cliente Blindado")))</f>
        <v>Demasiado Riesgo</v>
      </c>
      <c r="BN432" s="328"/>
      <c r="BO432" s="328"/>
      <c r="BP432" s="328">
        <v>0</v>
      </c>
      <c r="BQ432" s="328"/>
      <c r="BR432" s="328"/>
      <c r="BS432" s="328"/>
      <c r="BT432" s="328"/>
      <c r="BU432" s="328"/>
      <c r="BV432" s="328"/>
      <c r="BW432" s="328"/>
      <c r="BX432" s="328"/>
      <c r="BY432" s="328"/>
      <c r="BZ432" s="328"/>
      <c r="CA432" s="328"/>
      <c r="CB432" s="328"/>
      <c r="CC432" s="328"/>
      <c r="CD432" s="328"/>
      <c r="CE432" s="328"/>
      <c r="CF432" s="328"/>
      <c r="CG432" s="328"/>
      <c r="CH432" s="328"/>
      <c r="CI432" s="328"/>
      <c r="CJ432" s="328"/>
      <c r="CK432" s="328"/>
      <c r="CL432" s="328">
        <f>COUNTIF(AT432:BH432,"*OK*")</f>
        <v>0</v>
      </c>
      <c r="CM432" s="328"/>
      <c r="CN432" s="328">
        <f>COUNTIF(AT432:BH432,"*OP*")</f>
        <v>0</v>
      </c>
      <c r="CO432" s="425"/>
    </row>
    <row r="433" spans="1:94" ht="15" customHeight="1">
      <c r="A433" s="834">
        <v>24506</v>
      </c>
      <c r="B433" s="590" t="s">
        <v>2453</v>
      </c>
      <c r="C433" s="329">
        <f t="shared" si="8"/>
        <v>8.3488000000000007</v>
      </c>
      <c r="D433" s="332">
        <f>COUNTIF(AT433:BH433,"*OK*")</f>
        <v>0</v>
      </c>
      <c r="E433" s="331" t="s">
        <v>73</v>
      </c>
      <c r="F433" s="331" t="s">
        <v>2454</v>
      </c>
      <c r="G433" s="672" t="s">
        <v>1680</v>
      </c>
      <c r="H433" s="650">
        <f>IF(LEN(TRIM($G433&amp;""))=0, $C433, SUMIF($G$3:$G$561, TRIM($G433), $C$3:$C$561))</f>
        <v>237.94050000000001</v>
      </c>
      <c r="I433" s="679" t="s">
        <v>562</v>
      </c>
      <c r="J433" s="665"/>
      <c r="K433" s="560"/>
      <c r="L433" s="560"/>
      <c r="M433" s="391"/>
      <c r="N433" s="560"/>
      <c r="O433" s="688"/>
      <c r="P433" s="688"/>
      <c r="Q433" s="688"/>
      <c r="R433" s="699"/>
      <c r="S433" s="694"/>
      <c r="T433" s="665"/>
      <c r="U433" s="334" t="s">
        <v>82</v>
      </c>
      <c r="V433" s="705"/>
      <c r="W433" s="705">
        <v>13.15</v>
      </c>
      <c r="X433" s="705">
        <v>22.98</v>
      </c>
      <c r="Y433" s="714">
        <v>23.71</v>
      </c>
      <c r="Z433" s="337">
        <v>15.2943</v>
      </c>
      <c r="AA433" s="347">
        <v>6.48</v>
      </c>
      <c r="AB433" s="347">
        <v>2.1791999999999998</v>
      </c>
      <c r="AC433" s="638">
        <v>8.8768999999999991</v>
      </c>
      <c r="AD433" s="347">
        <v>8.3488000000000007</v>
      </c>
      <c r="AE433" s="455">
        <v>111</v>
      </c>
      <c r="AF433" s="340">
        <v>50</v>
      </c>
      <c r="AG433" s="334"/>
      <c r="AH433" s="341"/>
      <c r="AI433" s="418" t="s">
        <v>83</v>
      </c>
      <c r="AJ433" s="343" t="s">
        <v>396</v>
      </c>
      <c r="AK433" s="344" t="s">
        <v>1856</v>
      </c>
      <c r="AL433" s="340" t="s">
        <v>103</v>
      </c>
      <c r="AM433" s="328"/>
      <c r="AN433" s="328"/>
      <c r="AO433" s="328"/>
      <c r="AP433" s="328"/>
      <c r="AQ433" s="328"/>
      <c r="AR433" s="451"/>
      <c r="AS433" s="372" t="s">
        <v>103</v>
      </c>
      <c r="AT433" s="364"/>
      <c r="AU433" s="364"/>
      <c r="AV433" s="364"/>
      <c r="AW433" s="364"/>
      <c r="AX433" s="364"/>
      <c r="AY433" s="364"/>
      <c r="AZ433" s="364"/>
      <c r="BA433" s="364"/>
      <c r="BB433" s="364"/>
      <c r="BC433" s="364"/>
      <c r="BD433" s="364"/>
      <c r="BE433" s="364"/>
      <c r="BF433" s="364"/>
      <c r="BG433" s="364"/>
      <c r="BH433" s="364"/>
      <c r="BI433" s="364"/>
      <c r="BJ433" s="364">
        <f>COUNTIF(AT433:BI433,"*OP*")</f>
        <v>0</v>
      </c>
      <c r="BK433" s="375" t="s">
        <v>103</v>
      </c>
      <c r="BL433" s="328">
        <f>(COUNTIF(AT433:AV433,"*OK*")*3) + (COUNTIF(AW433:AY433,"*OK*")*2) + COUNTIF(AZ433:BB433,"*OK*")+COUNTIF(BK433:BK433,"SI")*0.5</f>
        <v>0</v>
      </c>
      <c r="BM433" s="328" t="str">
        <f>IF(BL433&lt;0.6,"Demasiado Riesgo",IF(BL433&lt;=5,"Riesgo Medio",IF(BL433&lt;=11,"Riesgo Bajo","Cliente Blindado")))</f>
        <v>Demasiado Riesgo</v>
      </c>
      <c r="BN433" s="328"/>
      <c r="BO433" s="328"/>
      <c r="BP433" s="328">
        <v>0</v>
      </c>
      <c r="BQ433" s="328"/>
      <c r="BR433" s="328"/>
      <c r="BS433" s="328"/>
      <c r="BT433" s="328"/>
      <c r="BU433" s="328"/>
      <c r="BV433" s="328"/>
      <c r="BW433" s="328"/>
      <c r="BX433" s="328"/>
      <c r="BY433" s="328"/>
      <c r="BZ433" s="328"/>
      <c r="CA433" s="328"/>
      <c r="CB433" s="328"/>
      <c r="CC433" s="328"/>
      <c r="CD433" s="328"/>
      <c r="CE433" s="328"/>
      <c r="CF433" s="328"/>
      <c r="CG433" s="328"/>
      <c r="CH433" s="328"/>
      <c r="CI433" s="328"/>
      <c r="CJ433" s="328"/>
      <c r="CK433" s="328"/>
      <c r="CL433" s="328">
        <f>COUNTIF(AT433:BH433,"*OK*")</f>
        <v>0</v>
      </c>
      <c r="CM433" s="328"/>
      <c r="CN433" s="328">
        <f>COUNTIF(AT433:BH433,"*OP*")</f>
        <v>0</v>
      </c>
    </row>
    <row r="434" spans="1:94" ht="15" customHeight="1">
      <c r="A434" s="835"/>
      <c r="B434" s="530" t="s">
        <v>2455</v>
      </c>
      <c r="C434" s="329">
        <f t="shared" si="8"/>
        <v>7.4503000000000004</v>
      </c>
      <c r="D434" s="352">
        <f>COUNTIF(AT434:BH434,"*OK*")</f>
        <v>0</v>
      </c>
      <c r="E434" s="665" t="s">
        <v>782</v>
      </c>
      <c r="F434" s="351" t="s">
        <v>2456</v>
      </c>
      <c r="G434" s="672" t="s">
        <v>2448</v>
      </c>
      <c r="H434" s="650">
        <f>IF(LEN(TRIM($G434&amp;""))=0, $C434, SUMIF($G$3:$G$561, TRIM($G434), $C$3:$C$561))</f>
        <v>43.211999999999996</v>
      </c>
      <c r="I434" s="681" t="s">
        <v>562</v>
      </c>
      <c r="J434" s="672"/>
      <c r="K434" s="453"/>
      <c r="L434" s="453"/>
      <c r="M434" s="553"/>
      <c r="N434" s="352"/>
      <c r="O434" s="686"/>
      <c r="P434" s="686"/>
      <c r="Q434" s="686"/>
      <c r="R434" s="698"/>
      <c r="S434" s="698"/>
      <c r="T434" s="672"/>
      <c r="U434" s="362" t="s">
        <v>82</v>
      </c>
      <c r="V434" s="704">
        <v>7.83</v>
      </c>
      <c r="W434" s="704">
        <v>7.82</v>
      </c>
      <c r="X434" s="704">
        <v>7.46</v>
      </c>
      <c r="Y434" s="713">
        <v>7.7</v>
      </c>
      <c r="Z434" s="337">
        <v>7.7991000000000001</v>
      </c>
      <c r="AA434" s="365">
        <v>7.71</v>
      </c>
      <c r="AB434" s="365">
        <v>7.7786</v>
      </c>
      <c r="AC434" s="635">
        <v>7.9217000000000004</v>
      </c>
      <c r="AD434" s="365">
        <v>7.4503000000000004</v>
      </c>
      <c r="AE434" s="454"/>
      <c r="AF434" s="358">
        <v>50</v>
      </c>
      <c r="AG434" s="354"/>
      <c r="AH434" s="359"/>
      <c r="AI434" s="360" t="s">
        <v>83</v>
      </c>
      <c r="AJ434" s="361" t="s">
        <v>396</v>
      </c>
      <c r="AK434" s="362" t="s">
        <v>2457</v>
      </c>
      <c r="AL434" s="358" t="s">
        <v>103</v>
      </c>
      <c r="AM434" s="349"/>
      <c r="AN434" s="349"/>
      <c r="AO434" s="349"/>
      <c r="AP434" s="349"/>
      <c r="AQ434" s="349"/>
      <c r="AR434" s="453"/>
      <c r="AS434" s="371" t="s">
        <v>103</v>
      </c>
      <c r="AT434" s="345"/>
      <c r="AU434" s="345"/>
      <c r="AV434" s="345"/>
      <c r="AW434" s="345"/>
      <c r="AX434" s="345"/>
      <c r="AY434" s="345"/>
      <c r="AZ434" s="345"/>
      <c r="BA434" s="345"/>
      <c r="BB434" s="345"/>
      <c r="BC434" s="345"/>
      <c r="BD434" s="345"/>
      <c r="BE434" s="345"/>
      <c r="BF434" s="345"/>
      <c r="BG434" s="345"/>
      <c r="BH434" s="345"/>
      <c r="BI434" s="345"/>
      <c r="BJ434" s="364">
        <f>COUNTIF(AT434:BI434,"*OP*")</f>
        <v>0</v>
      </c>
      <c r="BK434" s="363" t="s">
        <v>103</v>
      </c>
      <c r="BL434" s="349">
        <f>(COUNTIF(AT434:AV434,"*OK*")*3) + (COUNTIF(AW434:AY434,"*OK*")*2) + COUNTIF(AZ434:BB434,"*OK*")+COUNTIF(BK434:BK434,"SI")*0.5</f>
        <v>0</v>
      </c>
      <c r="BM434" s="349" t="str">
        <f>IF(BL434&lt;0.6,"Demasiado Riesgo",IF(BL434&lt;=5,"Riesgo Medio",IF(BL434&lt;=11,"Riesgo Bajo","Cliente Blindado")))</f>
        <v>Demasiado Riesgo</v>
      </c>
      <c r="BN434" s="349"/>
      <c r="BO434" s="349"/>
      <c r="BP434" s="349">
        <v>0</v>
      </c>
      <c r="BQ434" s="349"/>
      <c r="BR434" s="349"/>
      <c r="BS434" s="349"/>
      <c r="BT434" s="349"/>
      <c r="BU434" s="349"/>
      <c r="BV434" s="349"/>
      <c r="BW434" s="349"/>
      <c r="BX434" s="349"/>
      <c r="BY434" s="349"/>
      <c r="BZ434" s="349"/>
      <c r="CA434" s="349"/>
      <c r="CB434" s="349"/>
      <c r="CC434" s="349"/>
      <c r="CD434" s="349"/>
      <c r="CE434" s="349"/>
      <c r="CF434" s="349"/>
      <c r="CG434" s="349"/>
      <c r="CH434" s="349"/>
      <c r="CI434" s="349"/>
      <c r="CJ434" s="349"/>
      <c r="CK434" s="349"/>
      <c r="CL434" s="349">
        <f>COUNTIF(AT434:BH434,"*OK*")</f>
        <v>0</v>
      </c>
      <c r="CM434" s="349"/>
      <c r="CN434" s="349">
        <f>COUNTIF(AT434:BH434,"*OP*")</f>
        <v>0</v>
      </c>
    </row>
    <row r="435" spans="1:94" ht="15" customHeight="1">
      <c r="A435" s="834"/>
      <c r="B435" s="531" t="s">
        <v>2458</v>
      </c>
      <c r="C435" s="329">
        <f t="shared" si="8"/>
        <v>5.9603000000000002</v>
      </c>
      <c r="D435" s="332">
        <f>COUNTIF(AT435:BH435,"*OK*")</f>
        <v>0</v>
      </c>
      <c r="E435" s="665" t="s">
        <v>782</v>
      </c>
      <c r="F435" s="331" t="s">
        <v>2459</v>
      </c>
      <c r="G435" s="672" t="s">
        <v>2448</v>
      </c>
      <c r="H435" s="650">
        <f>IF(LEN(TRIM($G435&amp;""))=0, $C435, SUMIF($G$3:$G$561, TRIM($G435), $C$3:$C$561))</f>
        <v>43.211999999999996</v>
      </c>
      <c r="I435" s="678" t="s">
        <v>562</v>
      </c>
      <c r="J435" s="665"/>
      <c r="K435" s="451"/>
      <c r="L435" s="451"/>
      <c r="M435" s="391"/>
      <c r="N435" s="332"/>
      <c r="O435" s="651"/>
      <c r="P435" s="651"/>
      <c r="Q435" s="651"/>
      <c r="R435" s="694"/>
      <c r="S435" s="694"/>
      <c r="T435" s="665"/>
      <c r="U435" s="344" t="s">
        <v>209</v>
      </c>
      <c r="V435" s="705">
        <v>6.26</v>
      </c>
      <c r="W435" s="705">
        <v>6.26</v>
      </c>
      <c r="X435" s="705">
        <v>5.96</v>
      </c>
      <c r="Y435" s="714">
        <v>6.16</v>
      </c>
      <c r="Z435" s="337">
        <v>6.2393000000000001</v>
      </c>
      <c r="AA435" s="347">
        <v>6.17</v>
      </c>
      <c r="AB435" s="347">
        <v>6.2229000000000001</v>
      </c>
      <c r="AC435" s="638">
        <v>6.3372999999999999</v>
      </c>
      <c r="AD435" s="347">
        <v>5.9603000000000002</v>
      </c>
      <c r="AE435" s="455"/>
      <c r="AF435" s="340">
        <v>100</v>
      </c>
      <c r="AG435" s="334"/>
      <c r="AH435" s="341"/>
      <c r="AI435" s="418" t="s">
        <v>83</v>
      </c>
      <c r="AJ435" s="343" t="s">
        <v>101</v>
      </c>
      <c r="AK435" s="344" t="s">
        <v>2460</v>
      </c>
      <c r="AL435" s="340" t="s">
        <v>103</v>
      </c>
      <c r="AM435" s="328"/>
      <c r="AN435" s="328"/>
      <c r="AO435" s="328"/>
      <c r="AP435" s="328"/>
      <c r="AQ435" s="328"/>
      <c r="AR435" s="451"/>
      <c r="AS435" s="372" t="s">
        <v>103</v>
      </c>
      <c r="AT435" s="345"/>
      <c r="AU435" s="345"/>
      <c r="AV435" s="345"/>
      <c r="AW435" s="345"/>
      <c r="AX435" s="345"/>
      <c r="AY435" s="345"/>
      <c r="AZ435" s="345"/>
      <c r="BA435" s="345"/>
      <c r="BB435" s="345"/>
      <c r="BC435" s="345"/>
      <c r="BD435" s="345"/>
      <c r="BE435" s="345"/>
      <c r="BF435" s="345"/>
      <c r="BG435" s="345"/>
      <c r="BH435" s="345"/>
      <c r="BI435" s="345"/>
      <c r="BJ435" s="364">
        <f>COUNTIF(AT435:BI435,"*OP*")</f>
        <v>0</v>
      </c>
      <c r="BK435" s="375" t="s">
        <v>103</v>
      </c>
      <c r="BL435" s="328">
        <f>(COUNTIF(AT435:AV435,"*OK*")*3) + (COUNTIF(AW435:AY435,"*OK*")*2) + COUNTIF(AZ435:BB435,"*OK*")+COUNTIF(BK435:BK435,"SI")*0.5</f>
        <v>0</v>
      </c>
      <c r="BM435" s="328" t="str">
        <f>IF(BL435&lt;0.6,"Demasiado Riesgo",IF(BL435&lt;=5,"Riesgo Medio",IF(BL435&lt;=11,"Riesgo Bajo","Cliente Blindado")))</f>
        <v>Demasiado Riesgo</v>
      </c>
      <c r="BN435" s="328"/>
      <c r="BO435" s="349"/>
      <c r="BP435" s="349">
        <v>0</v>
      </c>
      <c r="BQ435" s="349"/>
      <c r="BR435" s="349"/>
      <c r="BS435" s="349"/>
      <c r="BT435" s="349"/>
      <c r="BU435" s="349"/>
      <c r="BV435" s="349"/>
      <c r="BW435" s="349"/>
      <c r="BX435" s="349"/>
      <c r="BY435" s="349"/>
      <c r="BZ435" s="349"/>
      <c r="CA435" s="349"/>
      <c r="CB435" s="349"/>
      <c r="CC435" s="349"/>
      <c r="CD435" s="349"/>
      <c r="CE435" s="349"/>
      <c r="CF435" s="349"/>
      <c r="CG435" s="349"/>
      <c r="CH435" s="349"/>
      <c r="CI435" s="349"/>
      <c r="CJ435" s="349"/>
      <c r="CK435" s="349"/>
      <c r="CL435" s="349">
        <f>COUNTIF(AT435:BH435,"*OK*")</f>
        <v>0</v>
      </c>
      <c r="CM435" s="349"/>
      <c r="CN435" s="349">
        <f>COUNTIF(AT435:BH435,"*OP*")</f>
        <v>0</v>
      </c>
    </row>
    <row r="436" spans="1:94" ht="15" customHeight="1">
      <c r="A436" s="835">
        <v>35369</v>
      </c>
      <c r="B436" s="530" t="s">
        <v>2461</v>
      </c>
      <c r="C436" s="329">
        <f t="shared" si="8"/>
        <v>5.9603000000000002</v>
      </c>
      <c r="D436" s="352">
        <f>COUNTIF(AT436:BH436,"*OK*")</f>
        <v>0</v>
      </c>
      <c r="E436" s="665" t="s">
        <v>782</v>
      </c>
      <c r="F436" s="351" t="s">
        <v>2462</v>
      </c>
      <c r="G436" s="672" t="s">
        <v>2448</v>
      </c>
      <c r="H436" s="650">
        <f>IF(LEN(TRIM($G436&amp;""))=0, $C436, SUMIF($G$3:$G$561, TRIM($G436), $C$3:$C$561))</f>
        <v>43.211999999999996</v>
      </c>
      <c r="I436" s="681" t="s">
        <v>562</v>
      </c>
      <c r="J436" s="672"/>
      <c r="K436" s="453"/>
      <c r="L436" s="453" t="str">
        <f>HYPERLINK("https://crm.zoho.com/crm/org685875245/tab/Accounts/3525045000078370651","https://crm.zoho.com/crm/org685875245/tab/Accounts/3525045000078370651")</f>
        <v>https://crm.zoho.com/crm/org685875245/tab/Accounts/3525045000078370651</v>
      </c>
      <c r="M436" s="553"/>
      <c r="N436" s="352"/>
      <c r="O436" s="686" t="s">
        <v>760</v>
      </c>
      <c r="P436" s="686" t="s">
        <v>2463</v>
      </c>
      <c r="Q436" s="686" t="s">
        <v>2464</v>
      </c>
      <c r="R436" s="698"/>
      <c r="S436" s="698"/>
      <c r="T436" s="672"/>
      <c r="U436" s="362" t="s">
        <v>82</v>
      </c>
      <c r="V436" s="704">
        <v>6.26</v>
      </c>
      <c r="W436" s="704">
        <v>6.26</v>
      </c>
      <c r="X436" s="704">
        <v>5.96</v>
      </c>
      <c r="Y436" s="713">
        <v>6.16</v>
      </c>
      <c r="Z436" s="337">
        <v>6.2393000000000001</v>
      </c>
      <c r="AA436" s="365">
        <v>6.17</v>
      </c>
      <c r="AB436" s="365">
        <v>6.2229000000000001</v>
      </c>
      <c r="AC436" s="635">
        <v>6.3372999999999999</v>
      </c>
      <c r="AD436" s="365">
        <v>5.9603000000000002</v>
      </c>
      <c r="AE436" s="454">
        <v>23</v>
      </c>
      <c r="AF436" s="358">
        <v>100</v>
      </c>
      <c r="AG436" s="354"/>
      <c r="AH436" s="359"/>
      <c r="AI436" s="360" t="s">
        <v>83</v>
      </c>
      <c r="AJ436" s="361" t="s">
        <v>113</v>
      </c>
      <c r="AK436" s="362" t="s">
        <v>2465</v>
      </c>
      <c r="AL436" s="358" t="s">
        <v>103</v>
      </c>
      <c r="AM436" s="349"/>
      <c r="AN436" s="349"/>
      <c r="AO436" s="349"/>
      <c r="AP436" s="349"/>
      <c r="AQ436" s="349"/>
      <c r="AR436" s="453"/>
      <c r="AS436" s="371" t="s">
        <v>103</v>
      </c>
      <c r="AT436" s="345"/>
      <c r="AU436" s="345"/>
      <c r="AV436" s="345"/>
      <c r="AW436" s="345"/>
      <c r="AX436" s="345"/>
      <c r="AY436" s="345"/>
      <c r="AZ436" s="345"/>
      <c r="BA436" s="345"/>
      <c r="BB436" s="345"/>
      <c r="BC436" s="345"/>
      <c r="BD436" s="345"/>
      <c r="BE436" s="345"/>
      <c r="BF436" s="345"/>
      <c r="BG436" s="345"/>
      <c r="BH436" s="345"/>
      <c r="BI436" s="345"/>
      <c r="BJ436" s="364">
        <f>COUNTIF(AT436:BI436,"*OP*")</f>
        <v>0</v>
      </c>
      <c r="BK436" s="363" t="s">
        <v>103</v>
      </c>
      <c r="BL436" s="349">
        <f>(COUNTIF(AT436:AV436,"*OK*")*3) + (COUNTIF(AW436:AY436,"*OK*")*2) + COUNTIF(AZ436:BB436,"*OK*")+COUNTIF(BK436:BK436,"SI")*0.5</f>
        <v>0</v>
      </c>
      <c r="BM436" s="349" t="str">
        <f>IF(BL436&lt;0.6,"Demasiado Riesgo",IF(BL436&lt;=5,"Riesgo Medio",IF(BL436&lt;=11,"Riesgo Bajo","Cliente Blindado")))</f>
        <v>Demasiado Riesgo</v>
      </c>
      <c r="BN436" s="349"/>
      <c r="BO436" s="349"/>
      <c r="BP436" s="349">
        <v>0</v>
      </c>
      <c r="BQ436" s="349"/>
      <c r="BR436" s="349"/>
      <c r="BS436" s="349"/>
      <c r="BT436" s="349"/>
      <c r="BU436" s="349"/>
      <c r="BV436" s="349"/>
      <c r="BW436" s="349"/>
      <c r="BX436" s="349"/>
      <c r="BY436" s="349"/>
      <c r="BZ436" s="349"/>
      <c r="CA436" s="349"/>
      <c r="CB436" s="349"/>
      <c r="CC436" s="349"/>
      <c r="CD436" s="349"/>
      <c r="CE436" s="349"/>
      <c r="CF436" s="349"/>
      <c r="CG436" s="349"/>
      <c r="CH436" s="349"/>
      <c r="CI436" s="349"/>
      <c r="CJ436" s="349"/>
      <c r="CK436" s="349"/>
      <c r="CL436" s="349">
        <f>COUNTIF(AT436:BH436,"*OK*")</f>
        <v>0</v>
      </c>
      <c r="CM436" s="349"/>
      <c r="CN436" s="349">
        <f>COUNTIF(AT436:BH436,"*OP*")</f>
        <v>0</v>
      </c>
      <c r="CO436" s="285"/>
    </row>
    <row r="437" spans="1:94" ht="15" customHeight="1">
      <c r="A437" s="834"/>
      <c r="B437" s="531" t="s">
        <v>2466</v>
      </c>
      <c r="C437" s="329">
        <f t="shared" si="8"/>
        <v>0</v>
      </c>
      <c r="D437" s="332">
        <f>COUNTIF(AT437:BH437,"*OK*")</f>
        <v>0</v>
      </c>
      <c r="E437" s="665" t="s">
        <v>782</v>
      </c>
      <c r="F437" s="331" t="s">
        <v>2467</v>
      </c>
      <c r="G437" s="665"/>
      <c r="H437" s="650">
        <f>IF(LEN(TRIM($G437&amp;""))=0, $C437, SUMIF($G$3:$G$561, TRIM($G437), $C$3:$C$561))</f>
        <v>0</v>
      </c>
      <c r="I437" s="678" t="s">
        <v>562</v>
      </c>
      <c r="J437" s="665"/>
      <c r="K437" s="451"/>
      <c r="L437" s="451"/>
      <c r="M437" s="391"/>
      <c r="N437" s="332"/>
      <c r="O437" s="651"/>
      <c r="P437" s="651"/>
      <c r="Q437" s="651"/>
      <c r="R437" s="694"/>
      <c r="S437" s="694"/>
      <c r="T437" s="665"/>
      <c r="U437" s="344" t="s">
        <v>82</v>
      </c>
      <c r="V437" s="705"/>
      <c r="W437" s="705"/>
      <c r="X437" s="705">
        <v>7.46</v>
      </c>
      <c r="Y437" s="714">
        <v>7.7</v>
      </c>
      <c r="Z437" s="337">
        <v>7.7991000000000001</v>
      </c>
      <c r="AA437" s="347">
        <v>5.14</v>
      </c>
      <c r="AB437" s="347">
        <v>5.1858000000000004</v>
      </c>
      <c r="AC437" s="638">
        <v>5.2811000000000003</v>
      </c>
      <c r="AD437" s="347"/>
      <c r="AE437" s="455"/>
      <c r="AF437" s="340">
        <v>50</v>
      </c>
      <c r="AG437" s="334"/>
      <c r="AH437" s="341"/>
      <c r="AI437" s="418" t="s">
        <v>83</v>
      </c>
      <c r="AJ437" s="343" t="s">
        <v>396</v>
      </c>
      <c r="AK437" s="344" t="s">
        <v>2468</v>
      </c>
      <c r="AL437" s="340" t="s">
        <v>103</v>
      </c>
      <c r="AM437" s="328"/>
      <c r="AN437" s="328"/>
      <c r="AO437" s="328"/>
      <c r="AP437" s="328"/>
      <c r="AQ437" s="328"/>
      <c r="AR437" s="451"/>
      <c r="AS437" s="372" t="s">
        <v>103</v>
      </c>
      <c r="AT437" s="345"/>
      <c r="AU437" s="345"/>
      <c r="AV437" s="345" t="s">
        <v>173</v>
      </c>
      <c r="AW437" s="345"/>
      <c r="AX437" s="345"/>
      <c r="AY437" s="345"/>
      <c r="AZ437" s="345"/>
      <c r="BA437" s="345"/>
      <c r="BB437" s="345"/>
      <c r="BC437" s="345"/>
      <c r="BD437" s="345"/>
      <c r="BE437" s="345"/>
      <c r="BF437" s="345"/>
      <c r="BG437" s="345"/>
      <c r="BH437" s="345"/>
      <c r="BI437" s="345"/>
      <c r="BJ437" s="364">
        <f>COUNTIF(AT437:BI437,"*OP*")</f>
        <v>1</v>
      </c>
      <c r="BK437" s="375" t="s">
        <v>103</v>
      </c>
      <c r="BL437" s="328">
        <f>(COUNTIF(AT437:AV437,"*OK*")*3) + (COUNTIF(AW437:AY437,"*OK*")*2) + COUNTIF(AZ437:BB437,"*OK*")+COUNTIF(BK437:BK437,"SI")*0.5</f>
        <v>0</v>
      </c>
      <c r="BM437" s="328" t="str">
        <f>IF(BL437&lt;0.6,"Demasiado Riesgo",IF(BL437&lt;=5,"Riesgo Medio",IF(BL437&lt;=11,"Riesgo Bajo","Cliente Blindado")))</f>
        <v>Demasiado Riesgo</v>
      </c>
      <c r="BN437" s="328"/>
      <c r="BO437" s="328"/>
      <c r="BP437" s="328">
        <v>0</v>
      </c>
      <c r="BQ437" s="328"/>
      <c r="BR437" s="328"/>
      <c r="BS437" s="328"/>
      <c r="BT437" s="328"/>
      <c r="BU437" s="328"/>
      <c r="BV437" s="328"/>
      <c r="BW437" s="328"/>
      <c r="BX437" s="328"/>
      <c r="BY437" s="328"/>
      <c r="BZ437" s="328"/>
      <c r="CA437" s="328"/>
      <c r="CB437" s="328"/>
      <c r="CC437" s="328"/>
      <c r="CD437" s="328"/>
      <c r="CE437" s="328"/>
      <c r="CF437" s="328"/>
      <c r="CG437" s="328"/>
      <c r="CH437" s="328"/>
      <c r="CI437" s="328"/>
      <c r="CJ437" s="328"/>
      <c r="CK437" s="328"/>
      <c r="CL437" s="328">
        <f>COUNTIF(AT437:BH437,"*OK*")</f>
        <v>0</v>
      </c>
      <c r="CM437" s="328"/>
      <c r="CN437" s="328">
        <f>COUNTIF(AT437:BH437,"*OP*")</f>
        <v>1</v>
      </c>
    </row>
    <row r="438" spans="1:94" ht="15" customHeight="1">
      <c r="A438" s="834"/>
      <c r="B438" s="531" t="s">
        <v>2469</v>
      </c>
      <c r="C438" s="329">
        <f t="shared" si="8"/>
        <v>4.4702000000000002</v>
      </c>
      <c r="D438" s="332">
        <f>COUNTIF(AT438:BH438,"*OK*")</f>
        <v>0</v>
      </c>
      <c r="E438" s="665" t="s">
        <v>782</v>
      </c>
      <c r="F438" s="331" t="s">
        <v>2470</v>
      </c>
      <c r="G438" s="672" t="s">
        <v>2448</v>
      </c>
      <c r="H438" s="650">
        <f>IF(LEN(TRIM($G438&amp;""))=0, $C438, SUMIF($G$3:$G$561, TRIM($G438), $C$3:$C$561))</f>
        <v>43.211999999999996</v>
      </c>
      <c r="I438" s="678" t="s">
        <v>562</v>
      </c>
      <c r="J438" s="665"/>
      <c r="K438" s="328"/>
      <c r="L438" s="328"/>
      <c r="M438" s="391"/>
      <c r="N438" s="332"/>
      <c r="O438" s="651"/>
      <c r="P438" s="651"/>
      <c r="Q438" s="651"/>
      <c r="R438" s="694"/>
      <c r="S438" s="694"/>
      <c r="T438" s="665"/>
      <c r="U438" s="344" t="s">
        <v>82</v>
      </c>
      <c r="V438" s="705">
        <v>4.7</v>
      </c>
      <c r="W438" s="705">
        <v>4.6900000000000004</v>
      </c>
      <c r="X438" s="705">
        <v>4.47</v>
      </c>
      <c r="Y438" s="714">
        <v>4.62</v>
      </c>
      <c r="Z438" s="337">
        <v>4.6795</v>
      </c>
      <c r="AA438" s="347">
        <v>4.63</v>
      </c>
      <c r="AB438" s="347">
        <v>4.6672000000000002</v>
      </c>
      <c r="AC438" s="638">
        <v>4.7530000000000001</v>
      </c>
      <c r="AD438" s="347">
        <v>4.4702000000000002</v>
      </c>
      <c r="AE438" s="455"/>
      <c r="AF438" s="340">
        <v>100</v>
      </c>
      <c r="AG438" s="334"/>
      <c r="AH438" s="341"/>
      <c r="AI438" s="418" t="s">
        <v>83</v>
      </c>
      <c r="AJ438" s="343" t="s">
        <v>113</v>
      </c>
      <c r="AK438" s="344" t="s">
        <v>2471</v>
      </c>
      <c r="AL438" s="340" t="s">
        <v>103</v>
      </c>
      <c r="AM438" s="328"/>
      <c r="AN438" s="328"/>
      <c r="AO438" s="328"/>
      <c r="AP438" s="328"/>
      <c r="AQ438" s="328"/>
      <c r="AR438" s="451"/>
      <c r="AS438" s="372" t="s">
        <v>103</v>
      </c>
      <c r="AT438" s="345"/>
      <c r="AU438" s="345"/>
      <c r="AV438" s="345"/>
      <c r="AW438" s="345"/>
      <c r="AX438" s="345"/>
      <c r="AY438" s="345"/>
      <c r="AZ438" s="345"/>
      <c r="BA438" s="345"/>
      <c r="BB438" s="345"/>
      <c r="BC438" s="345"/>
      <c r="BD438" s="345"/>
      <c r="BE438" s="345"/>
      <c r="BF438" s="345"/>
      <c r="BG438" s="345"/>
      <c r="BH438" s="345"/>
      <c r="BI438" s="345"/>
      <c r="BJ438" s="364">
        <f>COUNTIF(AT438:BI438,"*OP*")</f>
        <v>0</v>
      </c>
      <c r="BK438" s="375" t="s">
        <v>103</v>
      </c>
      <c r="BL438" s="328">
        <f>(COUNTIF(AT438:AV438,"*OK*")*3) + (COUNTIF(AW438:AY438,"*OK*")*2) + COUNTIF(AZ438:BB438,"*OK*")+COUNTIF(BK438:BK438,"SI")*0.5</f>
        <v>0</v>
      </c>
      <c r="BM438" s="328" t="str">
        <f>IF(BL438&lt;0.6,"Demasiado Riesgo",IF(BL438&lt;=5,"Riesgo Medio",IF(BL438&lt;=11,"Riesgo Bajo","Cliente Blindado")))</f>
        <v>Demasiado Riesgo</v>
      </c>
      <c r="BN438" s="328"/>
      <c r="BO438" s="349"/>
      <c r="BP438" s="349">
        <v>0</v>
      </c>
      <c r="BQ438" s="349"/>
      <c r="BR438" s="349"/>
      <c r="BS438" s="349"/>
      <c r="BT438" s="349"/>
      <c r="BU438" s="349"/>
      <c r="BV438" s="349"/>
      <c r="BW438" s="349"/>
      <c r="BX438" s="349"/>
      <c r="BY438" s="349"/>
      <c r="BZ438" s="349"/>
      <c r="CA438" s="349"/>
      <c r="CB438" s="349"/>
      <c r="CC438" s="349"/>
      <c r="CD438" s="349"/>
      <c r="CE438" s="349"/>
      <c r="CF438" s="349"/>
      <c r="CG438" s="349"/>
      <c r="CH438" s="349"/>
      <c r="CI438" s="349"/>
      <c r="CJ438" s="349"/>
      <c r="CK438" s="349"/>
      <c r="CL438" s="349">
        <f>COUNTIF(AT438:BH438,"*OK*")</f>
        <v>0</v>
      </c>
      <c r="CM438" s="349"/>
      <c r="CN438" s="349">
        <f>COUNTIF(AT438:BH438,"*OP*")</f>
        <v>0</v>
      </c>
      <c r="CP438" s="285"/>
    </row>
    <row r="439" spans="1:94" ht="15" customHeight="1">
      <c r="A439" s="835"/>
      <c r="B439" s="349"/>
      <c r="C439" s="329">
        <f t="shared" si="8"/>
        <v>0</v>
      </c>
      <c r="D439" s="352">
        <f>COUNTIF(AX439:BI439,"OK")</f>
        <v>0</v>
      </c>
      <c r="E439" s="453" t="s">
        <v>782</v>
      </c>
      <c r="F439" s="368" t="s">
        <v>2472</v>
      </c>
      <c r="G439" s="675"/>
      <c r="H439" s="650">
        <f>IF(LEN(TRIM($G439&amp;""))=0, $C439, SUMIF($G$3:$G$561, TRIM($G439), $C$3:$C$561))</f>
        <v>0</v>
      </c>
      <c r="I439" s="675"/>
      <c r="J439" s="453"/>
      <c r="K439" s="349"/>
      <c r="L439" s="349"/>
      <c r="M439" s="553"/>
      <c r="N439" s="352"/>
      <c r="O439" s="686"/>
      <c r="P439" s="686"/>
      <c r="Q439" s="686"/>
      <c r="R439" s="698"/>
      <c r="S439" s="698"/>
      <c r="T439" s="453"/>
      <c r="U439" s="362"/>
      <c r="V439" s="708"/>
      <c r="W439" s="662"/>
      <c r="X439" s="662"/>
      <c r="Y439" s="716"/>
      <c r="Z439" s="629"/>
      <c r="AA439" s="662"/>
      <c r="AB439" s="662">
        <v>4.6096000000000004</v>
      </c>
      <c r="AC439" s="663">
        <v>4.6943000000000001</v>
      </c>
      <c r="AD439" s="662"/>
      <c r="AE439" s="734"/>
      <c r="AF439" s="371" t="s">
        <v>103</v>
      </c>
      <c r="AG439" s="362"/>
      <c r="AH439" s="349"/>
      <c r="AI439" s="361"/>
      <c r="AJ439" s="361"/>
      <c r="AK439" s="362"/>
      <c r="AL439" s="371" t="s">
        <v>103</v>
      </c>
      <c r="AM439" s="349"/>
      <c r="AN439" s="349"/>
      <c r="AO439" s="349"/>
      <c r="AP439" s="349"/>
      <c r="AQ439" s="349"/>
      <c r="AR439" s="453"/>
      <c r="AS439" s="449"/>
      <c r="AT439" s="445"/>
      <c r="AU439" s="445"/>
      <c r="AV439" s="445"/>
      <c r="AW439" s="445"/>
      <c r="AX439" s="445"/>
      <c r="AY439" s="445"/>
      <c r="AZ439" s="445"/>
      <c r="BA439" s="445"/>
      <c r="BB439" s="445"/>
      <c r="BC439" s="445"/>
      <c r="BD439" s="445"/>
      <c r="BE439" s="445"/>
      <c r="BF439" s="445"/>
      <c r="BG439" s="445"/>
      <c r="BH439" s="445"/>
      <c r="BI439" s="445"/>
      <c r="BJ439" s="446">
        <f>COUNTIF(AT439:BI439,"*OP*")</f>
        <v>0</v>
      </c>
      <c r="BK439" s="450"/>
      <c r="BL439" s="349">
        <f>(COUNTIF(AT439:AV439,"*OK*")*3) + (COUNTIF(AW439:AY439,"*OK*")*2) + COUNTIF(AZ439:BB439,"*OK*")+COUNTIF(BK439:BK439,"SI")*0.5</f>
        <v>0</v>
      </c>
      <c r="BM439" s="349" t="str">
        <f>IF(BL439&lt;0.6,"Demasiado Riesgo",IF(BL439&lt;=5,"Riesgo Medio",IF(BL439&lt;=11,"Riesgo Bajo","Cliente Blindado")))</f>
        <v>Demasiado Riesgo</v>
      </c>
      <c r="BN439" s="349"/>
      <c r="BO439" s="349"/>
      <c r="BP439" s="349"/>
      <c r="BQ439" s="349"/>
      <c r="BR439" s="349"/>
      <c r="BS439" s="349"/>
      <c r="BT439" s="349"/>
      <c r="BU439" s="349"/>
      <c r="BV439" s="349"/>
      <c r="BW439" s="349"/>
      <c r="BX439" s="349"/>
      <c r="BY439" s="349"/>
      <c r="BZ439" s="349"/>
      <c r="CA439" s="349"/>
      <c r="CB439" s="349"/>
      <c r="CC439" s="349"/>
      <c r="CD439" s="349"/>
      <c r="CE439" s="349"/>
      <c r="CF439" s="349"/>
      <c r="CG439" s="349"/>
      <c r="CH439" s="349"/>
      <c r="CI439" s="349"/>
      <c r="CJ439" s="349"/>
      <c r="CK439" s="349"/>
      <c r="CL439" s="349">
        <f>COUNTIF(AT439:BH439,"*OK*")</f>
        <v>0</v>
      </c>
    </row>
    <row r="440" spans="1:94" ht="15" customHeight="1">
      <c r="A440" s="835">
        <v>24536</v>
      </c>
      <c r="B440" s="530" t="s">
        <v>2473</v>
      </c>
      <c r="C440" s="329">
        <f t="shared" si="8"/>
        <v>3.4331999999999998</v>
      </c>
      <c r="D440" s="352">
        <f>COUNTIF(AT440:BH440,"*OK*")</f>
        <v>0</v>
      </c>
      <c r="E440" s="665" t="s">
        <v>782</v>
      </c>
      <c r="F440" s="351" t="s">
        <v>2474</v>
      </c>
      <c r="G440" s="672"/>
      <c r="H440" s="650">
        <f>IF(LEN(TRIM($G440&amp;""))=0, $C440, SUMIF($G$3:$G$561, TRIM($G440), $C$3:$C$561))</f>
        <v>3.4331999999999998</v>
      </c>
      <c r="I440" s="680" t="s">
        <v>562</v>
      </c>
      <c r="J440" s="672"/>
      <c r="K440" s="349"/>
      <c r="L440" s="349" t="str">
        <f>HYPERLINK("https://crm.zoho.com/crm/org685875245/tab/Accounts/3525045000204411037","https://crm.zoho.com/crm/org685875245/tab/Accounts/3525045000204411037")</f>
        <v>https://crm.zoho.com/crm/org685875245/tab/Accounts/3525045000204411037</v>
      </c>
      <c r="M440" s="553"/>
      <c r="N440" s="352"/>
      <c r="O440" s="686" t="s">
        <v>2475</v>
      </c>
      <c r="P440" s="686"/>
      <c r="Q440" s="686" t="s">
        <v>2476</v>
      </c>
      <c r="R440" s="698"/>
      <c r="S440" s="698"/>
      <c r="T440" s="672"/>
      <c r="U440" s="362" t="s">
        <v>198</v>
      </c>
      <c r="V440" s="704">
        <v>3.61</v>
      </c>
      <c r="W440" s="704">
        <v>3.61</v>
      </c>
      <c r="X440" s="704">
        <v>3.44</v>
      </c>
      <c r="Y440" s="713">
        <v>3.55</v>
      </c>
      <c r="Z440" s="337">
        <v>3.5939000000000001</v>
      </c>
      <c r="AA440" s="365">
        <v>3.55</v>
      </c>
      <c r="AB440" s="365">
        <v>3.5844999999999998</v>
      </c>
      <c r="AC440" s="635">
        <v>3.6503999999999999</v>
      </c>
      <c r="AD440" s="365">
        <v>3.4331999999999998</v>
      </c>
      <c r="AE440" s="454">
        <v>1</v>
      </c>
      <c r="AF440" s="358">
        <v>200</v>
      </c>
      <c r="AG440" s="354"/>
      <c r="AH440" s="359"/>
      <c r="AI440" s="361" t="s">
        <v>258</v>
      </c>
      <c r="AJ440" s="361" t="s">
        <v>130</v>
      </c>
      <c r="AK440" s="362" t="s">
        <v>2477</v>
      </c>
      <c r="AL440" s="358" t="s">
        <v>103</v>
      </c>
      <c r="AM440" s="349"/>
      <c r="AN440" s="349"/>
      <c r="AO440" s="349"/>
      <c r="AP440" s="349"/>
      <c r="AQ440" s="349"/>
      <c r="AR440" s="453"/>
      <c r="AS440" s="371" t="s">
        <v>103</v>
      </c>
      <c r="AT440" s="345"/>
      <c r="AU440" s="345"/>
      <c r="AV440" s="345"/>
      <c r="AW440" s="345"/>
      <c r="AX440" s="345"/>
      <c r="AY440" s="345"/>
      <c r="AZ440" s="345"/>
      <c r="BA440" s="345"/>
      <c r="BB440" s="345"/>
      <c r="BC440" s="345"/>
      <c r="BD440" s="345"/>
      <c r="BE440" s="345"/>
      <c r="BF440" s="345"/>
      <c r="BG440" s="345"/>
      <c r="BH440" s="345"/>
      <c r="BI440" s="345"/>
      <c r="BJ440" s="364">
        <f>COUNTIF(AT440:BI440,"*OP*")</f>
        <v>0</v>
      </c>
      <c r="BK440" s="363" t="s">
        <v>103</v>
      </c>
      <c r="BL440" s="349">
        <f>(COUNTIF(AT440:AV440,"*OK*")*3) + (COUNTIF(AW440:AY440,"*OK*")*2) + COUNTIF(AZ440:BB440,"*OK*")+COUNTIF(BK440:BK440,"SI")*0.5</f>
        <v>0</v>
      </c>
      <c r="BM440" s="349" t="str">
        <f>IF(BL440&lt;0.6,"Demasiado Riesgo",IF(BL440&lt;=5,"Riesgo Medio",IF(BL440&lt;=11,"Riesgo Bajo","Cliente Blindado")))</f>
        <v>Demasiado Riesgo</v>
      </c>
      <c r="BN440" s="349"/>
      <c r="BO440" s="349"/>
      <c r="BP440" s="349">
        <v>0</v>
      </c>
      <c r="BQ440" s="349"/>
      <c r="BR440" s="349"/>
      <c r="BS440" s="349"/>
      <c r="BT440" s="349"/>
      <c r="BU440" s="349"/>
      <c r="BV440" s="349"/>
      <c r="BW440" s="349"/>
      <c r="BX440" s="349"/>
      <c r="BY440" s="349"/>
      <c r="BZ440" s="349"/>
      <c r="CA440" s="349"/>
      <c r="CB440" s="349"/>
      <c r="CC440" s="349"/>
      <c r="CD440" s="349"/>
      <c r="CE440" s="349"/>
      <c r="CF440" s="349"/>
      <c r="CG440" s="349"/>
      <c r="CH440" s="349"/>
      <c r="CI440" s="349"/>
      <c r="CJ440" s="349"/>
      <c r="CK440" s="349"/>
      <c r="CL440" s="349">
        <f>COUNTIF(AT440:BH440,"*OK*")</f>
        <v>0</v>
      </c>
      <c r="CM440" s="349"/>
      <c r="CN440" s="349">
        <f>COUNTIF(AT440:BH440,"*OP*")</f>
        <v>0</v>
      </c>
    </row>
    <row r="441" spans="1:94" ht="15" customHeight="1">
      <c r="A441" s="835"/>
      <c r="B441" s="530" t="s">
        <v>2478</v>
      </c>
      <c r="C441" s="329">
        <f t="shared" si="8"/>
        <v>3.3113000000000001</v>
      </c>
      <c r="D441" s="352">
        <f>COUNTIF(AX441:BI441,"OK")</f>
        <v>0</v>
      </c>
      <c r="E441" s="665" t="s">
        <v>782</v>
      </c>
      <c r="F441" s="368" t="s">
        <v>2479</v>
      </c>
      <c r="G441" s="675"/>
      <c r="H441" s="650">
        <f>IF(LEN(TRIM($G441&amp;""))=0, $C441, SUMIF($G$3:$G$561, TRIM($G441), $C$3:$C$561))</f>
        <v>3.3113000000000001</v>
      </c>
      <c r="I441" s="675" t="s">
        <v>562</v>
      </c>
      <c r="J441" s="453"/>
      <c r="K441" s="453"/>
      <c r="L441" s="453"/>
      <c r="M441" s="553"/>
      <c r="N441" s="352"/>
      <c r="O441" s="686"/>
      <c r="P441" s="686"/>
      <c r="Q441" s="686"/>
      <c r="R441" s="352"/>
      <c r="S441" s="698"/>
      <c r="T441" s="453"/>
      <c r="U441" s="362"/>
      <c r="V441" s="705"/>
      <c r="W441" s="705"/>
      <c r="X441" s="705"/>
      <c r="Y441" s="714">
        <v>3.42</v>
      </c>
      <c r="Z441" s="337">
        <v>3.4662999999999999</v>
      </c>
      <c r="AA441" s="374" t="s">
        <v>103</v>
      </c>
      <c r="AB441" s="374">
        <v>3.4571999999999998</v>
      </c>
      <c r="AC441" s="643">
        <v>3.5207000000000002</v>
      </c>
      <c r="AD441" s="374">
        <v>3.3113000000000001</v>
      </c>
      <c r="AE441" s="454"/>
      <c r="AF441" s="358" t="s">
        <v>103</v>
      </c>
      <c r="AG441" s="354"/>
      <c r="AH441" s="349"/>
      <c r="AI441" s="361"/>
      <c r="AJ441" s="361"/>
      <c r="AK441" s="362"/>
      <c r="AL441" s="371" t="s">
        <v>103</v>
      </c>
      <c r="AM441" s="349"/>
      <c r="AN441" s="349"/>
      <c r="AO441" s="349"/>
      <c r="AP441" s="349"/>
      <c r="AQ441" s="349"/>
      <c r="AR441" s="453"/>
      <c r="AS441" s="371"/>
      <c r="AT441" s="345"/>
      <c r="AU441" s="345"/>
      <c r="AV441" s="345"/>
      <c r="AW441" s="345"/>
      <c r="AX441" s="345"/>
      <c r="AY441" s="345"/>
      <c r="AZ441" s="345"/>
      <c r="BA441" s="345"/>
      <c r="BB441" s="345"/>
      <c r="BC441" s="345"/>
      <c r="BD441" s="345"/>
      <c r="BE441" s="345"/>
      <c r="BF441" s="345"/>
      <c r="BG441" s="345"/>
      <c r="BH441" s="345"/>
      <c r="BI441" s="345"/>
      <c r="BJ441" s="364">
        <f>COUNTIF(AT441:BI441,"*OP*")</f>
        <v>0</v>
      </c>
      <c r="BK441" s="363" t="s">
        <v>103</v>
      </c>
      <c r="BL441" s="349">
        <f>(COUNTIF(AT441:AV441,"*OK*")*3) + (COUNTIF(AW441:AY441,"*OK*")*2) + COUNTIF(AZ441:BB441,"*OK*")+COUNTIF(BK441:BK441,"SI")*0.5</f>
        <v>0</v>
      </c>
      <c r="BM441" s="349" t="str">
        <f>IF(BL441&lt;0.6,"Demasiado Riesgo",IF(BL441&lt;=5,"Riesgo Medio",IF(BL441&lt;=11,"Riesgo Bajo","Cliente Blindado")))</f>
        <v>Demasiado Riesgo</v>
      </c>
      <c r="BN441" s="349"/>
      <c r="BO441" s="349"/>
      <c r="BP441" s="349">
        <v>0</v>
      </c>
      <c r="BQ441" s="349"/>
      <c r="BR441" s="349"/>
      <c r="BS441" s="349"/>
      <c r="BT441" s="349"/>
      <c r="BU441" s="349"/>
      <c r="BV441" s="349"/>
      <c r="BW441" s="349"/>
      <c r="BX441" s="349"/>
      <c r="BY441" s="349"/>
      <c r="BZ441" s="349"/>
      <c r="CA441" s="349"/>
      <c r="CB441" s="349"/>
      <c r="CC441" s="349"/>
      <c r="CD441" s="349"/>
      <c r="CE441" s="349"/>
      <c r="CF441" s="349"/>
      <c r="CG441" s="349"/>
      <c r="CH441" s="349"/>
      <c r="CI441" s="349"/>
      <c r="CJ441" s="349"/>
      <c r="CK441" s="349"/>
      <c r="CL441" s="349">
        <f>COUNTIF(AT441:BH441,"*OK*")</f>
        <v>0</v>
      </c>
      <c r="CM441" s="349"/>
      <c r="CN441" s="349">
        <f>COUNTIF(AT441:BH441,"*OP*")</f>
        <v>0</v>
      </c>
    </row>
    <row r="442" spans="1:94" ht="15" customHeight="1">
      <c r="A442" s="835"/>
      <c r="B442" s="530" t="s">
        <v>2480</v>
      </c>
      <c r="C442" s="329">
        <f t="shared" si="8"/>
        <v>2.5049999999999999</v>
      </c>
      <c r="D442" s="352">
        <f>COUNTIF(AT442:BH442,"*OK*")</f>
        <v>0</v>
      </c>
      <c r="E442" s="665" t="s">
        <v>782</v>
      </c>
      <c r="F442" s="351" t="s">
        <v>2481</v>
      </c>
      <c r="G442" s="672"/>
      <c r="H442" s="650">
        <f>IF(LEN(TRIM($G442&amp;""))=0, $C442, SUMIF($G$3:$G$561, TRIM($G442), $C$3:$C$561))</f>
        <v>2.5049999999999999</v>
      </c>
      <c r="I442" s="680" t="s">
        <v>562</v>
      </c>
      <c r="J442" s="672"/>
      <c r="K442" s="349"/>
      <c r="L442" s="349"/>
      <c r="M442" s="553"/>
      <c r="N442" s="352"/>
      <c r="O442" s="686"/>
      <c r="P442" s="686"/>
      <c r="Q442" s="686"/>
      <c r="R442" s="352"/>
      <c r="S442" s="698"/>
      <c r="T442" s="672"/>
      <c r="U442" s="362" t="s">
        <v>82</v>
      </c>
      <c r="V442" s="704">
        <v>7.9</v>
      </c>
      <c r="W442" s="704">
        <v>7.89</v>
      </c>
      <c r="X442" s="704">
        <v>7.52</v>
      </c>
      <c r="Y442" s="713">
        <v>7.76</v>
      </c>
      <c r="Z442" s="337">
        <v>7.8666999999999998</v>
      </c>
      <c r="AA442" s="365">
        <v>7.78</v>
      </c>
      <c r="AB442" s="365">
        <v>2.6154000000000002</v>
      </c>
      <c r="AC442" s="635">
        <v>2.6634000000000002</v>
      </c>
      <c r="AD442" s="365">
        <v>2.5049999999999999</v>
      </c>
      <c r="AE442" s="454"/>
      <c r="AF442" s="358">
        <v>50</v>
      </c>
      <c r="AG442" s="354"/>
      <c r="AH442" s="359"/>
      <c r="AI442" s="360" t="s">
        <v>83</v>
      </c>
      <c r="AJ442" s="361" t="s">
        <v>396</v>
      </c>
      <c r="AK442" s="362" t="s">
        <v>1856</v>
      </c>
      <c r="AL442" s="358" t="s">
        <v>103</v>
      </c>
      <c r="AM442" s="349"/>
      <c r="AN442" s="349"/>
      <c r="AO442" s="349"/>
      <c r="AP442" s="349"/>
      <c r="AQ442" s="349"/>
      <c r="AR442" s="453"/>
      <c r="AS442" s="371" t="s">
        <v>103</v>
      </c>
      <c r="AT442" s="345"/>
      <c r="AU442" s="345"/>
      <c r="AV442" s="345"/>
      <c r="AW442" s="345"/>
      <c r="AX442" s="345"/>
      <c r="AY442" s="345"/>
      <c r="AZ442" s="345"/>
      <c r="BA442" s="345"/>
      <c r="BB442" s="345"/>
      <c r="BC442" s="345"/>
      <c r="BD442" s="345"/>
      <c r="BE442" s="345"/>
      <c r="BF442" s="345"/>
      <c r="BG442" s="345"/>
      <c r="BH442" s="345"/>
      <c r="BI442" s="345"/>
      <c r="BJ442" s="364">
        <f>COUNTIF(AT442:BI442,"*OP*")</f>
        <v>0</v>
      </c>
      <c r="BK442" s="363" t="s">
        <v>103</v>
      </c>
      <c r="BL442" s="349">
        <f>(COUNTIF(AT442:AV442,"*OK*")*3) + (COUNTIF(AW442:AY442,"*OK*")*2) + COUNTIF(AZ442:BB442,"*OK*")+COUNTIF(BK442:BK442,"SI")*0.5</f>
        <v>0</v>
      </c>
      <c r="BM442" s="349" t="str">
        <f>IF(BL442&lt;0.6,"Demasiado Riesgo",IF(BL442&lt;=5,"Riesgo Medio",IF(BL442&lt;=11,"Riesgo Bajo","Cliente Blindado")))</f>
        <v>Demasiado Riesgo</v>
      </c>
      <c r="BN442" s="349"/>
      <c r="BO442" s="349"/>
      <c r="BP442" s="349">
        <v>0</v>
      </c>
      <c r="BQ442" s="349"/>
      <c r="BR442" s="349"/>
      <c r="BS442" s="349"/>
      <c r="BT442" s="349"/>
      <c r="BU442" s="349"/>
      <c r="BV442" s="349"/>
      <c r="BW442" s="349"/>
      <c r="BX442" s="349"/>
      <c r="BY442" s="349"/>
      <c r="BZ442" s="349"/>
      <c r="CA442" s="349"/>
      <c r="CB442" s="349"/>
      <c r="CC442" s="349"/>
      <c r="CD442" s="349"/>
      <c r="CE442" s="349"/>
      <c r="CF442" s="349"/>
      <c r="CG442" s="349"/>
      <c r="CH442" s="349"/>
      <c r="CI442" s="349"/>
      <c r="CJ442" s="349"/>
      <c r="CK442" s="349"/>
      <c r="CL442" s="349">
        <f>COUNTIF(AT442:BH442,"*OK*")</f>
        <v>0</v>
      </c>
      <c r="CM442" s="349"/>
      <c r="CN442" s="349">
        <f>COUNTIF(AT442:BH442,"*OP*")</f>
        <v>0</v>
      </c>
    </row>
    <row r="443" spans="1:94" ht="15" customHeight="1">
      <c r="A443" s="835">
        <v>24506</v>
      </c>
      <c r="B443" s="588" t="s">
        <v>2482</v>
      </c>
      <c r="C443" s="329">
        <f t="shared" si="8"/>
        <v>2.0872000000000002</v>
      </c>
      <c r="D443" s="352">
        <f>COUNTIF(AT443:BH443,"*OK*")</f>
        <v>0</v>
      </c>
      <c r="E443" s="331" t="s">
        <v>73</v>
      </c>
      <c r="F443" s="351" t="s">
        <v>2483</v>
      </c>
      <c r="G443" s="667" t="s">
        <v>1680</v>
      </c>
      <c r="H443" s="650">
        <f>IF(LEN(TRIM($G443&amp;""))=0, $C443, SUMIF($G$3:$G$561, TRIM($G443), $C$3:$C$561))</f>
        <v>237.94050000000001</v>
      </c>
      <c r="I443" s="682" t="s">
        <v>562</v>
      </c>
      <c r="J443" s="667"/>
      <c r="K443" s="558"/>
      <c r="L443" s="558"/>
      <c r="M443" s="553"/>
      <c r="N443" s="558"/>
      <c r="O443" s="689"/>
      <c r="P443" s="689"/>
      <c r="Q443" s="689"/>
      <c r="R443" s="695"/>
      <c r="S443" s="701"/>
      <c r="T443" s="667"/>
      <c r="U443" s="354" t="s">
        <v>82</v>
      </c>
      <c r="V443" s="704">
        <v>10.97</v>
      </c>
      <c r="W443" s="704">
        <v>10.96</v>
      </c>
      <c r="X443" s="704">
        <v>10.44</v>
      </c>
      <c r="Y443" s="713">
        <v>10.78</v>
      </c>
      <c r="Z443" s="337">
        <v>15.2943</v>
      </c>
      <c r="AA443" s="727">
        <v>8.64</v>
      </c>
      <c r="AB443" s="365">
        <v>6.5374999999999996</v>
      </c>
      <c r="AC443" s="635">
        <v>2.2191999999999998</v>
      </c>
      <c r="AD443" s="365">
        <v>2.0872000000000002</v>
      </c>
      <c r="AE443" s="357">
        <v>111</v>
      </c>
      <c r="AF443" s="358">
        <v>50</v>
      </c>
      <c r="AG443" s="354"/>
      <c r="AH443" s="359"/>
      <c r="AI443" s="360" t="s">
        <v>83</v>
      </c>
      <c r="AJ443" s="361" t="s">
        <v>396</v>
      </c>
      <c r="AK443" s="362" t="s">
        <v>2105</v>
      </c>
      <c r="AL443" s="358" t="s">
        <v>103</v>
      </c>
      <c r="AM443" s="349"/>
      <c r="AN443" s="349"/>
      <c r="AO443" s="349"/>
      <c r="AP443" s="349"/>
      <c r="AQ443" s="349"/>
      <c r="AR443" s="453"/>
      <c r="AS443" s="371" t="s">
        <v>103</v>
      </c>
      <c r="AT443" s="364"/>
      <c r="AU443" s="364"/>
      <c r="AV443" s="364"/>
      <c r="AW443" s="364"/>
      <c r="AX443" s="364"/>
      <c r="AY443" s="364"/>
      <c r="AZ443" s="364"/>
      <c r="BA443" s="364"/>
      <c r="BB443" s="364"/>
      <c r="BC443" s="364"/>
      <c r="BD443" s="364"/>
      <c r="BE443" s="364"/>
      <c r="BF443" s="364"/>
      <c r="BG443" s="364"/>
      <c r="BH443" s="364"/>
      <c r="BI443" s="364"/>
      <c r="BJ443" s="364">
        <f>COUNTIF(AT443:BI443,"*OP*")</f>
        <v>0</v>
      </c>
      <c r="BK443" s="363" t="s">
        <v>103</v>
      </c>
      <c r="BL443" s="349">
        <f>(COUNTIF(AT443:AV443,"*OK*")*3) + (COUNTIF(AW443:AY443,"*OK*")*2) + COUNTIF(AZ443:BB443,"*OK*")+COUNTIF(BK443:BK443,"SI")*0.5</f>
        <v>0</v>
      </c>
      <c r="BM443" s="349" t="str">
        <f>IF(BL443&lt;0.6,"Demasiado Riesgo",IF(BL443&lt;=5,"Riesgo Medio",IF(BL443&lt;=11,"Riesgo Bajo","Cliente Blindado")))</f>
        <v>Demasiado Riesgo</v>
      </c>
      <c r="BN443" s="349"/>
      <c r="BO443" s="328"/>
      <c r="BP443" s="328">
        <v>0</v>
      </c>
      <c r="BQ443" s="328"/>
      <c r="BR443" s="328"/>
      <c r="BS443" s="328"/>
      <c r="BT443" s="328"/>
      <c r="BU443" s="328"/>
      <c r="BV443" s="328"/>
      <c r="BW443" s="328"/>
      <c r="BX443" s="328"/>
      <c r="BY443" s="328"/>
      <c r="BZ443" s="328"/>
      <c r="CA443" s="328"/>
      <c r="CB443" s="328"/>
      <c r="CC443" s="328"/>
      <c r="CD443" s="328"/>
      <c r="CE443" s="328"/>
      <c r="CF443" s="328"/>
      <c r="CG443" s="328"/>
      <c r="CH443" s="328"/>
      <c r="CI443" s="328"/>
      <c r="CJ443" s="328"/>
      <c r="CK443" s="328"/>
      <c r="CL443" s="328">
        <f>COUNTIF(AT443:BH443,"*OK*")</f>
        <v>0</v>
      </c>
      <c r="CM443" s="328"/>
      <c r="CN443" s="328">
        <f>COUNTIF(AT443:BH443,"*OP*")</f>
        <v>0</v>
      </c>
    </row>
    <row r="444" spans="1:94" ht="15" customHeight="1">
      <c r="A444" s="834">
        <v>24506</v>
      </c>
      <c r="B444" s="590" t="s">
        <v>2484</v>
      </c>
      <c r="C444" s="329">
        <f t="shared" si="8"/>
        <v>0</v>
      </c>
      <c r="D444" s="332">
        <f>COUNTIF(AT444:BH444,"*OK*")</f>
        <v>0</v>
      </c>
      <c r="E444" s="331" t="s">
        <v>73</v>
      </c>
      <c r="F444" s="331" t="s">
        <v>2485</v>
      </c>
      <c r="G444" s="351" t="s">
        <v>1680</v>
      </c>
      <c r="H444" s="650">
        <f>IF(LEN(TRIM($G444&amp;""))=0, $C444, SUMIF($G$3:$G$561, TRIM($G444), $C$3:$C$561))</f>
        <v>237.94050000000001</v>
      </c>
      <c r="I444" s="410" t="s">
        <v>562</v>
      </c>
      <c r="J444" s="331"/>
      <c r="K444" s="560"/>
      <c r="L444" s="560"/>
      <c r="M444" s="391"/>
      <c r="N444" s="560"/>
      <c r="O444" s="561"/>
      <c r="P444" s="561"/>
      <c r="Q444" s="561"/>
      <c r="R444" s="560"/>
      <c r="S444" s="332"/>
      <c r="T444" s="331"/>
      <c r="U444" s="334" t="s">
        <v>82</v>
      </c>
      <c r="V444" s="705">
        <v>4.3899999999999997</v>
      </c>
      <c r="W444" s="705">
        <v>6.58</v>
      </c>
      <c r="X444" s="705">
        <v>6.27</v>
      </c>
      <c r="Y444" s="714">
        <v>10.78</v>
      </c>
      <c r="Z444" s="337">
        <v>8.7395999999999994</v>
      </c>
      <c r="AA444" s="458" t="s">
        <v>103</v>
      </c>
      <c r="AB444" s="347">
        <v>2.1791999999999998</v>
      </c>
      <c r="AC444" s="638">
        <v>2.2191999999999998</v>
      </c>
      <c r="AD444" s="347">
        <v>0</v>
      </c>
      <c r="AE444" s="339">
        <v>111</v>
      </c>
      <c r="AF444" s="340">
        <v>50</v>
      </c>
      <c r="AG444" s="334"/>
      <c r="AH444" s="341"/>
      <c r="AI444" s="418" t="s">
        <v>83</v>
      </c>
      <c r="AJ444" s="343" t="s">
        <v>396</v>
      </c>
      <c r="AK444" s="344" t="s">
        <v>2322</v>
      </c>
      <c r="AL444" s="340" t="s">
        <v>103</v>
      </c>
      <c r="AM444" s="328"/>
      <c r="AN444" s="328"/>
      <c r="AO444" s="328"/>
      <c r="AP444" s="328"/>
      <c r="AQ444" s="328"/>
      <c r="AR444" s="451"/>
      <c r="AS444" s="372" t="s">
        <v>103</v>
      </c>
      <c r="AT444" s="364"/>
      <c r="AU444" s="364"/>
      <c r="AV444" s="364"/>
      <c r="AW444" s="364"/>
      <c r="AX444" s="364"/>
      <c r="AY444" s="364"/>
      <c r="AZ444" s="364"/>
      <c r="BA444" s="364"/>
      <c r="BB444" s="364"/>
      <c r="BC444" s="364"/>
      <c r="BD444" s="364"/>
      <c r="BE444" s="364"/>
      <c r="BF444" s="364"/>
      <c r="BG444" s="364"/>
      <c r="BH444" s="364"/>
      <c r="BI444" s="364"/>
      <c r="BJ444" s="364">
        <f>COUNTIF(AT444:BI444,"*OP*")</f>
        <v>0</v>
      </c>
      <c r="BK444" s="375" t="s">
        <v>103</v>
      </c>
      <c r="BL444" s="328">
        <f>(COUNTIF(AT444:AV444,"*OK*")*3) + (COUNTIF(AW444:AY444,"*OK*")*2) + COUNTIF(AZ444:BB444,"*OK*")+COUNTIF(BK444:BK444,"SI")*0.5</f>
        <v>0</v>
      </c>
      <c r="BM444" s="328" t="str">
        <f>IF(BL444&lt;0.6,"Demasiado Riesgo",IF(BL444&lt;=5,"Riesgo Medio",IF(BL444&lt;=11,"Riesgo Bajo","Cliente Blindado")))</f>
        <v>Demasiado Riesgo</v>
      </c>
      <c r="BN444" s="328"/>
      <c r="BO444" s="328"/>
      <c r="BP444" s="328">
        <v>0</v>
      </c>
      <c r="BQ444" s="328"/>
      <c r="BR444" s="328"/>
      <c r="BS444" s="328"/>
      <c r="BT444" s="328"/>
      <c r="BU444" s="328"/>
      <c r="BV444" s="328"/>
      <c r="BW444" s="328"/>
      <c r="BX444" s="328"/>
      <c r="BY444" s="328"/>
      <c r="BZ444" s="328"/>
      <c r="CA444" s="328"/>
      <c r="CB444" s="328"/>
      <c r="CC444" s="328"/>
      <c r="CD444" s="328"/>
      <c r="CE444" s="328"/>
      <c r="CF444" s="328"/>
      <c r="CG444" s="328"/>
      <c r="CH444" s="328"/>
      <c r="CI444" s="328"/>
      <c r="CJ444" s="328"/>
      <c r="CK444" s="328"/>
      <c r="CL444" s="328">
        <f>COUNTIF(AT444:BH444,"*OK*")</f>
        <v>0</v>
      </c>
      <c r="CM444" s="328"/>
      <c r="CN444" s="328">
        <f>COUNTIF(AT444:BH444,"*OP*")</f>
        <v>0</v>
      </c>
    </row>
    <row r="445" spans="1:94" ht="15" customHeight="1">
      <c r="A445" s="835">
        <v>24506</v>
      </c>
      <c r="B445" s="349"/>
      <c r="C445" s="329">
        <f t="shared" si="8"/>
        <v>2.0872000000000002</v>
      </c>
      <c r="D445" s="352">
        <f>COUNTIF(AX445:BI445,"OK")</f>
        <v>0</v>
      </c>
      <c r="E445" s="331" t="s">
        <v>73</v>
      </c>
      <c r="F445" s="370" t="s">
        <v>2486</v>
      </c>
      <c r="G445" s="351" t="s">
        <v>1680</v>
      </c>
      <c r="H445" s="650">
        <f>IF(LEN(TRIM($G445&amp;""))=0, $C445, SUMIF($G$3:$G$561, TRIM($G445), $C$3:$C$561))</f>
        <v>237.94050000000001</v>
      </c>
      <c r="I445" s="397" t="s">
        <v>562</v>
      </c>
      <c r="J445" s="397" t="s">
        <v>103</v>
      </c>
      <c r="K445" s="349"/>
      <c r="L445" s="349"/>
      <c r="M445" s="553"/>
      <c r="N445" s="332" t="s">
        <v>2445</v>
      </c>
      <c r="O445" s="541"/>
      <c r="P445" s="541"/>
      <c r="Q445" s="541"/>
      <c r="R445" s="332"/>
      <c r="S445" s="332"/>
      <c r="T445" s="397"/>
      <c r="U445" s="362" t="s">
        <v>82</v>
      </c>
      <c r="V445" s="707" t="s">
        <v>103</v>
      </c>
      <c r="W445" s="707" t="s">
        <v>103</v>
      </c>
      <c r="X445" s="707" t="s">
        <v>103</v>
      </c>
      <c r="Y445" s="707">
        <v>2.17</v>
      </c>
      <c r="Z445" s="400">
        <v>8.7395999999999994</v>
      </c>
      <c r="AA445" s="724">
        <v>2.1608999999999998</v>
      </c>
      <c r="AB445" s="374">
        <v>2.1791999999999998</v>
      </c>
      <c r="AC445" s="643">
        <v>2.2191999999999998</v>
      </c>
      <c r="AD445" s="374">
        <v>2.0872000000000002</v>
      </c>
      <c r="AE445" s="357">
        <v>111</v>
      </c>
      <c r="AF445" s="358" t="s">
        <v>103</v>
      </c>
      <c r="AG445" s="354"/>
      <c r="AH445" s="349"/>
      <c r="AI445" s="361"/>
      <c r="AJ445" s="361"/>
      <c r="AK445" s="362"/>
      <c r="AL445" s="371" t="s">
        <v>103</v>
      </c>
      <c r="AM445" s="349"/>
      <c r="AN445" s="349"/>
      <c r="AO445" s="349"/>
      <c r="AP445" s="349"/>
      <c r="AQ445" s="349"/>
      <c r="AR445" s="453"/>
      <c r="AS445" s="371" t="s">
        <v>103</v>
      </c>
      <c r="AT445" s="345"/>
      <c r="AU445" s="345"/>
      <c r="AV445" s="345"/>
      <c r="AW445" s="345"/>
      <c r="AX445" s="345"/>
      <c r="AY445" s="345"/>
      <c r="AZ445" s="345"/>
      <c r="BA445" s="345"/>
      <c r="BB445" s="345"/>
      <c r="BC445" s="345"/>
      <c r="BD445" s="345"/>
      <c r="BE445" s="345"/>
      <c r="BF445" s="345"/>
      <c r="BG445" s="345"/>
      <c r="BH445" s="345"/>
      <c r="BI445" s="345"/>
      <c r="BJ445" s="364">
        <f>COUNTIF(AT445:BI445,"*OP*")</f>
        <v>0</v>
      </c>
      <c r="BK445" s="363" t="s">
        <v>103</v>
      </c>
      <c r="BL445" s="349">
        <f>(COUNTIF(AT445:AV445,"*OK*")*3) + (COUNTIF(AW445:AY445,"*OK*")*2) + COUNTIF(AZ445:BB445,"*OK*")+COUNTIF(BK445:BK445,"SI")*0.5</f>
        <v>0</v>
      </c>
      <c r="BM445" s="349" t="str">
        <f>IF(BL445&lt;0.6,"Demasiado Riesgo",IF(BL445&lt;=5,"Riesgo Medio",IF(BL445&lt;=11,"Riesgo Bajo","Cliente Blindado")))</f>
        <v>Demasiado Riesgo</v>
      </c>
      <c r="BN445" s="349"/>
      <c r="BO445" s="328"/>
      <c r="BP445" s="328">
        <v>0</v>
      </c>
      <c r="BQ445" s="328"/>
      <c r="BR445" s="328"/>
      <c r="BS445" s="328"/>
      <c r="BT445" s="328"/>
      <c r="BU445" s="328"/>
      <c r="BV445" s="328"/>
      <c r="BW445" s="328"/>
      <c r="BX445" s="328"/>
      <c r="BY445" s="328"/>
      <c r="BZ445" s="328"/>
      <c r="CA445" s="328"/>
      <c r="CB445" s="328"/>
      <c r="CC445" s="328"/>
      <c r="CD445" s="328"/>
      <c r="CE445" s="328"/>
      <c r="CF445" s="328"/>
      <c r="CG445" s="328"/>
      <c r="CH445" s="328"/>
      <c r="CI445" s="328"/>
      <c r="CJ445" s="328"/>
      <c r="CK445" s="328"/>
      <c r="CL445" s="328">
        <f>COUNTIF(AT445:BH445,"*OK*")</f>
        <v>0</v>
      </c>
      <c r="CM445" s="328"/>
      <c r="CN445" s="328">
        <f>COUNTIF(AT445:BH445,"*OP*")</f>
        <v>0</v>
      </c>
    </row>
    <row r="446" spans="1:94" ht="15" customHeight="1">
      <c r="A446" s="835"/>
      <c r="B446" s="349"/>
      <c r="C446" s="329">
        <f t="shared" si="8"/>
        <v>0</v>
      </c>
      <c r="D446" s="352">
        <f>COUNTIF(AX446:BI446,"OK")</f>
        <v>0</v>
      </c>
      <c r="E446" s="865" t="s">
        <v>782</v>
      </c>
      <c r="F446" s="867" t="s">
        <v>2487</v>
      </c>
      <c r="G446" s="368"/>
      <c r="H446" s="650">
        <f>IF(LEN(TRIM($G446&amp;""))=0, $C446, SUMIF($G$3:$G$561, TRIM($G446), $C$3:$C$561))</f>
        <v>0</v>
      </c>
      <c r="I446" s="368"/>
      <c r="J446" s="349"/>
      <c r="K446" s="349"/>
      <c r="L446" s="349"/>
      <c r="M446" s="553"/>
      <c r="N446" s="352"/>
      <c r="O446" s="540" t="s">
        <v>2488</v>
      </c>
      <c r="P446" s="540" t="s">
        <v>2489</v>
      </c>
      <c r="Q446" s="540" t="s">
        <v>2490</v>
      </c>
      <c r="R446" s="352"/>
      <c r="S446" s="352"/>
      <c r="T446" s="349"/>
      <c r="U446" s="362"/>
      <c r="V446" s="708"/>
      <c r="W446" s="662"/>
      <c r="X446" s="662"/>
      <c r="Y446" s="716"/>
      <c r="Z446" s="629"/>
      <c r="AA446" s="728"/>
      <c r="AB446" s="662">
        <v>1.1524000000000001</v>
      </c>
      <c r="AC446" s="663">
        <v>1.1736</v>
      </c>
      <c r="AD446" s="662"/>
      <c r="AE446" s="348"/>
      <c r="AF446" s="371" t="s">
        <v>103</v>
      </c>
      <c r="AG446" s="362"/>
      <c r="AH446" s="349"/>
      <c r="AI446" s="361"/>
      <c r="AJ446" s="361"/>
      <c r="AK446" s="362"/>
      <c r="AL446" s="371" t="s">
        <v>103</v>
      </c>
      <c r="AM446" s="349"/>
      <c r="AN446" s="349"/>
      <c r="AO446" s="349"/>
      <c r="AP446" s="349"/>
      <c r="AQ446" s="349"/>
      <c r="AR446" s="453"/>
      <c r="AS446" s="449"/>
      <c r="AT446" s="445"/>
      <c r="AU446" s="445"/>
      <c r="AV446" s="445"/>
      <c r="AW446" s="445"/>
      <c r="AX446" s="445"/>
      <c r="AY446" s="445"/>
      <c r="AZ446" s="445"/>
      <c r="BA446" s="445"/>
      <c r="BB446" s="445"/>
      <c r="BC446" s="445"/>
      <c r="BD446" s="445"/>
      <c r="BE446" s="445"/>
      <c r="BF446" s="445"/>
      <c r="BG446" s="445"/>
      <c r="BH446" s="445"/>
      <c r="BI446" s="445"/>
      <c r="BJ446" s="446">
        <f>COUNTIF(AT446:BI446,"*OP*")</f>
        <v>0</v>
      </c>
      <c r="BK446" s="450"/>
      <c r="BL446" s="349">
        <f>(COUNTIF(AT446:AV446,"*OK*")*3) + (COUNTIF(AW446:AY446,"*OK*")*2) + COUNTIF(AZ446:BB446,"*OK*")+COUNTIF(BK446:BK446,"SI")*0.5</f>
        <v>0</v>
      </c>
      <c r="BM446" s="349" t="str">
        <f>IF(BL446&lt;0.6,"Demasiado Riesgo",IF(BL446&lt;=5,"Riesgo Medio",IF(BL446&lt;=11,"Riesgo Bajo","Cliente Blindado")))</f>
        <v>Demasiado Riesgo</v>
      </c>
      <c r="BN446" s="349"/>
      <c r="BO446" s="328"/>
      <c r="BP446" s="328"/>
      <c r="BQ446" s="328"/>
      <c r="BR446" s="328"/>
      <c r="BS446" s="328"/>
      <c r="BT446" s="328"/>
      <c r="BU446" s="328"/>
      <c r="BV446" s="328"/>
      <c r="BW446" s="328"/>
      <c r="BX446" s="328"/>
      <c r="BY446" s="328"/>
      <c r="BZ446" s="328"/>
      <c r="CA446" s="328"/>
      <c r="CB446" s="328"/>
      <c r="CC446" s="328"/>
      <c r="CD446" s="328"/>
      <c r="CE446" s="328"/>
      <c r="CF446" s="328"/>
      <c r="CG446" s="328"/>
      <c r="CH446" s="328"/>
      <c r="CI446" s="328"/>
      <c r="CJ446" s="328"/>
      <c r="CK446" s="328"/>
      <c r="CL446" s="328">
        <f>COUNTIF(AT446:BH446,"*OK*")</f>
        <v>0</v>
      </c>
    </row>
    <row r="447" spans="1:94" ht="15" customHeight="1">
      <c r="A447" s="835">
        <v>26683</v>
      </c>
      <c r="B447" s="588" t="s">
        <v>2491</v>
      </c>
      <c r="C447" s="329">
        <f t="shared" si="8"/>
        <v>0</v>
      </c>
      <c r="D447" s="352">
        <f>COUNTIF(AT447:BH447,"*OK*")</f>
        <v>0</v>
      </c>
      <c r="E447" s="331" t="s">
        <v>73</v>
      </c>
      <c r="F447" s="351" t="s">
        <v>2492</v>
      </c>
      <c r="G447" s="331" t="s">
        <v>1266</v>
      </c>
      <c r="H447" s="650">
        <f>IF(LEN(TRIM($G447&amp;""))=0, $C447, SUMIF($G$3:$G$561, TRIM($G447), $C$3:$C$561))</f>
        <v>235.6645</v>
      </c>
      <c r="I447" s="353" t="s">
        <v>562</v>
      </c>
      <c r="J447" s="351"/>
      <c r="K447" s="558"/>
      <c r="L447" s="558"/>
      <c r="M447" s="553" t="s">
        <v>787</v>
      </c>
      <c r="N447" s="558"/>
      <c r="O447" s="559"/>
      <c r="P447" s="559"/>
      <c r="Q447" s="559"/>
      <c r="R447" s="558"/>
      <c r="S447" s="352"/>
      <c r="T447" s="351"/>
      <c r="U447" s="354" t="s">
        <v>82</v>
      </c>
      <c r="V447" s="704">
        <v>133.37</v>
      </c>
      <c r="W447" s="704">
        <v>42.83</v>
      </c>
      <c r="X447" s="704">
        <v>40.82</v>
      </c>
      <c r="Y447" s="713">
        <v>0</v>
      </c>
      <c r="Z447" s="337">
        <v>42.697400000000002</v>
      </c>
      <c r="AA447" s="459">
        <v>42.23</v>
      </c>
      <c r="AB447" s="365"/>
      <c r="AC447" s="635"/>
      <c r="AD447" s="365"/>
      <c r="AE447" s="357">
        <v>186</v>
      </c>
      <c r="AF447" s="358">
        <v>50</v>
      </c>
      <c r="AG447" s="354"/>
      <c r="AH447" s="359"/>
      <c r="AI447" s="361" t="s">
        <v>601</v>
      </c>
      <c r="AJ447" s="361" t="s">
        <v>130</v>
      </c>
      <c r="AK447" s="362" t="s">
        <v>2493</v>
      </c>
      <c r="AL447" s="358" t="s">
        <v>103</v>
      </c>
      <c r="AM447" s="349"/>
      <c r="AN447" s="349"/>
      <c r="AO447" s="349"/>
      <c r="AP447" s="349"/>
      <c r="AQ447" s="349"/>
      <c r="AR447" s="453"/>
      <c r="AS447" s="371" t="s">
        <v>103</v>
      </c>
      <c r="AT447" s="345"/>
      <c r="AU447" s="345"/>
      <c r="AV447" s="345"/>
      <c r="AW447" s="345"/>
      <c r="AX447" s="345"/>
      <c r="AY447" s="345"/>
      <c r="AZ447" s="345"/>
      <c r="BA447" s="345"/>
      <c r="BB447" s="345"/>
      <c r="BC447" s="345"/>
      <c r="BD447" s="345"/>
      <c r="BE447" s="345"/>
      <c r="BF447" s="345"/>
      <c r="BG447" s="345"/>
      <c r="BH447" s="345"/>
      <c r="BI447" s="345"/>
      <c r="BJ447" s="364">
        <f>COUNTIF(AT447:BI447,"*OP*")</f>
        <v>0</v>
      </c>
      <c r="BK447" s="363" t="s">
        <v>103</v>
      </c>
      <c r="BL447" s="349">
        <f>(COUNTIF(AT447:AV447,"*OK*")*3) + (COUNTIF(AW447:AY447,"*OK*")*2) + COUNTIF(AZ447:BB447,"*OK*")+COUNTIF(BK447:BK447,"SI")*0.5</f>
        <v>0</v>
      </c>
      <c r="BM447" s="349" t="str">
        <f>IF(BL447&lt;0.6,"Demasiado Riesgo",IF(BL447&lt;=5,"Riesgo Medio",IF(BL447&lt;=11,"Riesgo Bajo","Cliente Blindado")))</f>
        <v>Demasiado Riesgo</v>
      </c>
      <c r="BN447" s="349"/>
      <c r="BO447" s="349"/>
      <c r="BP447" s="349"/>
      <c r="BQ447" s="349"/>
      <c r="BR447" s="349"/>
      <c r="BS447" s="349"/>
      <c r="BT447" s="349"/>
      <c r="BU447" s="349"/>
      <c r="BV447" s="349"/>
      <c r="BW447" s="349"/>
      <c r="BX447" s="349"/>
      <c r="BY447" s="349"/>
      <c r="BZ447" s="349"/>
      <c r="CA447" s="349"/>
      <c r="CB447" s="349"/>
      <c r="CC447" s="349"/>
      <c r="CD447" s="349"/>
      <c r="CE447" s="349"/>
      <c r="CF447" s="349"/>
      <c r="CG447" s="349"/>
      <c r="CH447" s="349"/>
      <c r="CI447" s="349"/>
      <c r="CJ447" s="349"/>
      <c r="CK447" s="349"/>
      <c r="CL447" s="349">
        <f>COUNTIF(AT447:BH447,"*OK*")</f>
        <v>0</v>
      </c>
      <c r="CM447" s="349"/>
      <c r="CN447" s="349">
        <f>COUNTIF(AT447:BH447,"*OP*")</f>
        <v>0</v>
      </c>
    </row>
    <row r="448" spans="1:94" ht="15" customHeight="1">
      <c r="A448" s="834">
        <v>24506</v>
      </c>
      <c r="B448" s="590" t="s">
        <v>2494</v>
      </c>
      <c r="C448" s="329">
        <f t="shared" si="8"/>
        <v>0</v>
      </c>
      <c r="D448" s="332">
        <f>COUNTIF(AT448:BH448,"*OK*")</f>
        <v>0</v>
      </c>
      <c r="E448" s="331" t="s">
        <v>73</v>
      </c>
      <c r="F448" s="331" t="s">
        <v>2495</v>
      </c>
      <c r="G448" s="351" t="s">
        <v>1680</v>
      </c>
      <c r="H448" s="650">
        <f>IF(LEN(TRIM($G448&amp;""))=0, $C448, SUMIF($G$3:$G$561, TRIM($G448), $C$3:$C$561))</f>
        <v>237.94050000000001</v>
      </c>
      <c r="I448" s="410" t="s">
        <v>562</v>
      </c>
      <c r="J448" s="331"/>
      <c r="K448" s="560"/>
      <c r="L448" s="560"/>
      <c r="M448" s="391"/>
      <c r="N448" s="560"/>
      <c r="O448" s="561"/>
      <c r="P448" s="561"/>
      <c r="Q448" s="561"/>
      <c r="R448" s="560"/>
      <c r="S448" s="332"/>
      <c r="T448" s="331"/>
      <c r="U448" s="334" t="s">
        <v>82</v>
      </c>
      <c r="V448" s="705">
        <v>21.94</v>
      </c>
      <c r="W448" s="705">
        <v>24.11</v>
      </c>
      <c r="X448" s="705">
        <v>25.06</v>
      </c>
      <c r="Y448" s="714">
        <v>25.87</v>
      </c>
      <c r="Z448" s="337">
        <v>28.403700000000001</v>
      </c>
      <c r="AA448" s="458" t="s">
        <v>103</v>
      </c>
      <c r="AB448" s="347"/>
      <c r="AC448" s="638"/>
      <c r="AD448" s="347"/>
      <c r="AE448" s="339">
        <v>111</v>
      </c>
      <c r="AF448" s="340">
        <v>50</v>
      </c>
      <c r="AG448" s="334"/>
      <c r="AH448" s="341"/>
      <c r="AI448" s="418" t="s">
        <v>83</v>
      </c>
      <c r="AJ448" s="343" t="s">
        <v>396</v>
      </c>
      <c r="AK448" s="344" t="s">
        <v>2322</v>
      </c>
      <c r="AL448" s="340" t="s">
        <v>103</v>
      </c>
      <c r="AM448" s="328"/>
      <c r="AN448" s="328"/>
      <c r="AO448" s="328"/>
      <c r="AP448" s="328"/>
      <c r="AQ448" s="328"/>
      <c r="AR448" s="451"/>
      <c r="AS448" s="372" t="s">
        <v>103</v>
      </c>
      <c r="AT448" s="364"/>
      <c r="AU448" s="364"/>
      <c r="AV448" s="364"/>
      <c r="AW448" s="364"/>
      <c r="AX448" s="364"/>
      <c r="AY448" s="364"/>
      <c r="AZ448" s="364"/>
      <c r="BA448" s="364"/>
      <c r="BB448" s="364"/>
      <c r="BC448" s="364"/>
      <c r="BD448" s="364"/>
      <c r="BE448" s="364"/>
      <c r="BF448" s="364"/>
      <c r="BG448" s="364"/>
      <c r="BH448" s="364"/>
      <c r="BI448" s="364"/>
      <c r="BJ448" s="364">
        <f>COUNTIF(AT448:BI448,"*OP*")</f>
        <v>0</v>
      </c>
      <c r="BK448" s="375" t="s">
        <v>103</v>
      </c>
      <c r="BL448" s="328">
        <f>(COUNTIF(AT448:AV448,"*OK*")*3) + (COUNTIF(AW448:AY448,"*OK*")*2) + COUNTIF(AZ448:BB448,"*OK*")+COUNTIF(BK448:BK448,"SI")*0.5</f>
        <v>0</v>
      </c>
      <c r="BM448" s="328" t="str">
        <f>IF(BL448&lt;0.6,"Demasiado Riesgo",IF(BL448&lt;=5,"Riesgo Medio",IF(BL448&lt;=11,"Riesgo Bajo","Cliente Blindado")))</f>
        <v>Demasiado Riesgo</v>
      </c>
      <c r="BN448" s="328"/>
      <c r="BO448" s="349"/>
      <c r="BP448" s="349">
        <v>0</v>
      </c>
      <c r="BQ448" s="349"/>
      <c r="BR448" s="349"/>
      <c r="BS448" s="349"/>
      <c r="BT448" s="349"/>
      <c r="BU448" s="349"/>
      <c r="BV448" s="349"/>
      <c r="BW448" s="349"/>
      <c r="BX448" s="349"/>
      <c r="BY448" s="349"/>
      <c r="BZ448" s="349"/>
      <c r="CA448" s="349"/>
      <c r="CB448" s="349"/>
      <c r="CC448" s="349"/>
      <c r="CD448" s="349"/>
      <c r="CE448" s="349"/>
      <c r="CF448" s="349"/>
      <c r="CG448" s="349"/>
      <c r="CH448" s="349"/>
      <c r="CI448" s="349"/>
      <c r="CJ448" s="349"/>
      <c r="CK448" s="349"/>
      <c r="CL448" s="349">
        <f>COUNTIF(AT448:BH448,"*OK*")</f>
        <v>0</v>
      </c>
      <c r="CM448" s="349"/>
      <c r="CN448" s="349">
        <f>COUNTIF(AT448:BH448,"*OP*")</f>
        <v>0</v>
      </c>
    </row>
    <row r="449" spans="1:94" ht="15" customHeight="1">
      <c r="A449" s="836">
        <v>24506</v>
      </c>
      <c r="B449" s="590" t="s">
        <v>2496</v>
      </c>
      <c r="C449" s="329">
        <f t="shared" si="8"/>
        <v>0</v>
      </c>
      <c r="D449" s="332">
        <f>COUNTIF(AT449:BH449,"*OK*")</f>
        <v>0</v>
      </c>
      <c r="E449" s="331" t="s">
        <v>73</v>
      </c>
      <c r="F449" s="331" t="s">
        <v>2497</v>
      </c>
      <c r="G449" s="351" t="s">
        <v>1680</v>
      </c>
      <c r="H449" s="650">
        <f>IF(LEN(TRIM($G449&amp;""))=0, $C449, SUMIF($G$3:$G$561, TRIM($G449), $C$3:$C$561))</f>
        <v>237.94050000000001</v>
      </c>
      <c r="I449" s="333" t="s">
        <v>562</v>
      </c>
      <c r="J449" s="331"/>
      <c r="K449" s="560"/>
      <c r="L449" s="560"/>
      <c r="M449" s="391"/>
      <c r="N449" s="560"/>
      <c r="O449" s="561"/>
      <c r="P449" s="561"/>
      <c r="Q449" s="561"/>
      <c r="R449" s="560"/>
      <c r="S449" s="332"/>
      <c r="T449" s="331"/>
      <c r="U449" s="334" t="s">
        <v>82</v>
      </c>
      <c r="V449" s="705">
        <v>14.55</v>
      </c>
      <c r="W449" s="705">
        <v>15.86</v>
      </c>
      <c r="X449" s="705">
        <v>15.12</v>
      </c>
      <c r="Y449" s="714">
        <v>13</v>
      </c>
      <c r="Z449" s="337">
        <v>0</v>
      </c>
      <c r="AA449" s="458" t="s">
        <v>103</v>
      </c>
      <c r="AB449" s="347"/>
      <c r="AC449" s="638"/>
      <c r="AD449" s="347"/>
      <c r="AE449" s="339">
        <v>111</v>
      </c>
      <c r="AF449" s="340">
        <v>50</v>
      </c>
      <c r="AG449" s="334"/>
      <c r="AH449" s="341"/>
      <c r="AI449" s="343" t="s">
        <v>1915</v>
      </c>
      <c r="AJ449" s="343" t="s">
        <v>852</v>
      </c>
      <c r="AK449" s="344" t="s">
        <v>2498</v>
      </c>
      <c r="AL449" s="340" t="s">
        <v>103</v>
      </c>
      <c r="AM449" s="328"/>
      <c r="AN449" s="328"/>
      <c r="AO449" s="328"/>
      <c r="AP449" s="328"/>
      <c r="AQ449" s="328"/>
      <c r="AR449" s="451"/>
      <c r="AS449" s="372" t="s">
        <v>103</v>
      </c>
      <c r="AT449" s="364"/>
      <c r="AU449" s="364"/>
      <c r="AV449" s="364"/>
      <c r="AW449" s="364"/>
      <c r="AX449" s="364"/>
      <c r="AY449" s="364"/>
      <c r="AZ449" s="364"/>
      <c r="BA449" s="364"/>
      <c r="BB449" s="364"/>
      <c r="BC449" s="364"/>
      <c r="BD449" s="364"/>
      <c r="BE449" s="364"/>
      <c r="BF449" s="364"/>
      <c r="BG449" s="364"/>
      <c r="BH449" s="364"/>
      <c r="BI449" s="364"/>
      <c r="BJ449" s="364">
        <f>COUNTIF(AT449:BI449,"*OP*")</f>
        <v>0</v>
      </c>
      <c r="BK449" s="375" t="s">
        <v>103</v>
      </c>
      <c r="BL449" s="328">
        <f>(COUNTIF(AT449:AV449,"*OK*")*3) + (COUNTIF(AW449:AY449,"*OK*")*2) + COUNTIF(AZ449:BB449,"*OK*")+COUNTIF(BK449:BK449,"SI")*0.5</f>
        <v>0</v>
      </c>
      <c r="BM449" s="328" t="str">
        <f>IF(BL449&lt;0.6,"Demasiado Riesgo",IF(BL449&lt;=5,"Riesgo Medio",IF(BL449&lt;=11,"Riesgo Bajo","Cliente Blindado")))</f>
        <v>Demasiado Riesgo</v>
      </c>
      <c r="BN449" s="328"/>
      <c r="BO449" s="328"/>
      <c r="BP449" s="328">
        <v>0</v>
      </c>
      <c r="BQ449" s="328"/>
      <c r="BR449" s="328"/>
      <c r="BS449" s="328"/>
      <c r="BT449" s="328"/>
      <c r="BU449" s="328"/>
      <c r="BV449" s="328"/>
      <c r="BW449" s="328"/>
      <c r="BX449" s="328"/>
      <c r="BY449" s="328"/>
      <c r="BZ449" s="328"/>
      <c r="CA449" s="328"/>
      <c r="CB449" s="328"/>
      <c r="CC449" s="328"/>
      <c r="CD449" s="328"/>
      <c r="CE449" s="328"/>
      <c r="CF449" s="328"/>
      <c r="CG449" s="328"/>
      <c r="CH449" s="328"/>
      <c r="CI449" s="328"/>
      <c r="CJ449" s="328"/>
      <c r="CK449" s="328"/>
      <c r="CL449" s="328">
        <f>COUNTIF(AT449:BH449,"*OK*")</f>
        <v>0</v>
      </c>
      <c r="CM449" s="328"/>
      <c r="CN449" s="328">
        <f>COUNTIF(AT449:BH449,"*OP*")</f>
        <v>0</v>
      </c>
    </row>
    <row r="450" spans="1:94" ht="15" customHeight="1">
      <c r="A450" s="837">
        <v>23879</v>
      </c>
      <c r="B450" s="588" t="s">
        <v>916</v>
      </c>
      <c r="C450" s="329">
        <f t="shared" si="8"/>
        <v>417</v>
      </c>
      <c r="D450" s="352">
        <f>COUNTIF(AT450:BH450,"*OK*")</f>
        <v>0</v>
      </c>
      <c r="E450" s="331" t="s">
        <v>73</v>
      </c>
      <c r="F450" s="430" t="s">
        <v>2499</v>
      </c>
      <c r="G450" s="351"/>
      <c r="H450" s="650">
        <f>IF(LEN(TRIM($G450&amp;""))=0, $C450, SUMIF($G$3:$G$561, TRIM($G450), $C$3:$C$561))</f>
        <v>417</v>
      </c>
      <c r="I450" s="353" t="s">
        <v>562</v>
      </c>
      <c r="J450" s="351"/>
      <c r="K450" s="558"/>
      <c r="L450" s="558" t="str">
        <f>HYPERLINK("https://crm.zoho.com/crm/org685875245/tab/Accounts/3525045000226817152","https://crm.zoho.com/crm/org685875245/tab/Accounts/3525045000226817152")</f>
        <v>https://crm.zoho.com/crm/org685875245/tab/Accounts/3525045000226817152</v>
      </c>
      <c r="M450" s="553" t="s">
        <v>167</v>
      </c>
      <c r="N450" s="558"/>
      <c r="O450" s="559"/>
      <c r="P450" s="559"/>
      <c r="Q450" s="559"/>
      <c r="R450" s="558"/>
      <c r="S450" s="352"/>
      <c r="T450" s="351"/>
      <c r="U450" s="354" t="s">
        <v>82</v>
      </c>
      <c r="V450" s="704">
        <v>474.29</v>
      </c>
      <c r="W450" s="704">
        <v>465.59</v>
      </c>
      <c r="X450" s="704">
        <v>425.32</v>
      </c>
      <c r="Y450" s="713">
        <v>450</v>
      </c>
      <c r="Z450" s="337">
        <v>423</v>
      </c>
      <c r="AA450" s="459">
        <v>413</v>
      </c>
      <c r="AB450" s="365">
        <v>414</v>
      </c>
      <c r="AC450" s="635">
        <v>432</v>
      </c>
      <c r="AD450" s="365">
        <v>417</v>
      </c>
      <c r="AE450" s="357">
        <v>177</v>
      </c>
      <c r="AF450" s="358">
        <v>300</v>
      </c>
      <c r="AG450" s="354"/>
      <c r="AH450" s="359"/>
      <c r="AI450" s="360" t="s">
        <v>83</v>
      </c>
      <c r="AJ450" s="361" t="s">
        <v>234</v>
      </c>
      <c r="AK450" s="362" t="s">
        <v>2500</v>
      </c>
      <c r="AL450" s="358" t="s">
        <v>103</v>
      </c>
      <c r="AM450" s="349"/>
      <c r="AN450" s="349"/>
      <c r="AO450" s="349"/>
      <c r="AP450" s="349"/>
      <c r="AQ450" s="349"/>
      <c r="AR450" s="453"/>
      <c r="AS450" s="371" t="s">
        <v>103</v>
      </c>
      <c r="AT450" s="345"/>
      <c r="AU450" s="345"/>
      <c r="AV450" s="345"/>
      <c r="AW450" s="345"/>
      <c r="AX450" s="345"/>
      <c r="AY450" s="345"/>
      <c r="AZ450" s="345"/>
      <c r="BA450" s="345"/>
      <c r="BB450" s="345"/>
      <c r="BC450" s="345"/>
      <c r="BD450" s="345"/>
      <c r="BE450" s="345"/>
      <c r="BF450" s="345"/>
      <c r="BG450" s="345"/>
      <c r="BH450" s="345"/>
      <c r="BI450" s="345"/>
      <c r="BJ450" s="364">
        <f>COUNTIF(AT450:BI450,"*OP*")</f>
        <v>0</v>
      </c>
      <c r="BK450" s="363" t="s">
        <v>103</v>
      </c>
      <c r="BL450" s="349">
        <f>(COUNTIF(AT450:AV450,"*OK*")*3) + (COUNTIF(AW450:AY450,"*OK*")*2) + COUNTIF(AZ450:BB450,"*OK*")+COUNTIF(BK450:BK450,"SI")*0.5</f>
        <v>0</v>
      </c>
      <c r="BM450" s="349" t="str">
        <f>IF(BL450&lt;0.6,"Demasiado Riesgo",IF(BL450&lt;=5,"Riesgo Medio",IF(BL450&lt;=11,"Riesgo Bajo","Cliente Blindado")))</f>
        <v>Demasiado Riesgo</v>
      </c>
      <c r="BN450" s="349"/>
      <c r="BO450" s="349"/>
      <c r="BP450" s="349">
        <v>0</v>
      </c>
      <c r="BQ450" s="349"/>
      <c r="BR450" s="349"/>
      <c r="BS450" s="349"/>
      <c r="BT450" s="349"/>
      <c r="BU450" s="349"/>
      <c r="BV450" s="349"/>
      <c r="BW450" s="349"/>
      <c r="BX450" s="349"/>
      <c r="BY450" s="349"/>
      <c r="BZ450" s="349"/>
      <c r="CA450" s="349"/>
      <c r="CB450" s="349"/>
      <c r="CC450" s="349"/>
      <c r="CD450" s="349"/>
      <c r="CE450" s="349"/>
      <c r="CF450" s="349"/>
      <c r="CG450" s="349"/>
      <c r="CH450" s="349"/>
      <c r="CI450" s="349"/>
      <c r="CJ450" s="349"/>
      <c r="CK450" s="349"/>
      <c r="CL450" s="349">
        <f>COUNTIF(AT450:BH450,"*OK*")</f>
        <v>0</v>
      </c>
      <c r="CM450" s="349"/>
      <c r="CN450" s="349">
        <f>COUNTIF(AT450:BH450,"*OP*")</f>
        <v>0</v>
      </c>
    </row>
    <row r="451" spans="1:94" s="790" customFormat="1" ht="15" customHeight="1">
      <c r="A451" s="844">
        <v>38738</v>
      </c>
      <c r="B451" s="791" t="s">
        <v>2501</v>
      </c>
      <c r="C451" s="329">
        <f t="shared" si="8"/>
        <v>0</v>
      </c>
      <c r="D451" s="792">
        <f>COUNTIF(AX451:BI451,"OK")</f>
        <v>0</v>
      </c>
      <c r="E451" s="331" t="s">
        <v>73</v>
      </c>
      <c r="F451" s="859" t="s">
        <v>2502</v>
      </c>
      <c r="G451" s="859"/>
      <c r="H451" s="794">
        <f>IF(LEN(TRIM($G451&amp;""))=0, $C451, SUMIF($G$3:$G$561, TRIM($G451), $C$3:$C$561))</f>
        <v>0</v>
      </c>
      <c r="I451" s="793" t="s">
        <v>76</v>
      </c>
      <c r="J451" s="793"/>
      <c r="K451" s="791"/>
      <c r="L451" s="791"/>
      <c r="M451" s="795" t="s">
        <v>787</v>
      </c>
      <c r="N451" s="791" t="s">
        <v>103</v>
      </c>
      <c r="O451" s="791" t="s">
        <v>2503</v>
      </c>
      <c r="P451" s="791" t="s">
        <v>2504</v>
      </c>
      <c r="Q451" s="791" t="s">
        <v>2505</v>
      </c>
      <c r="R451" s="791"/>
      <c r="S451" s="793" t="s">
        <v>103</v>
      </c>
      <c r="T451" s="793" t="s">
        <v>88</v>
      </c>
      <c r="U451" s="796" t="s">
        <v>103</v>
      </c>
      <c r="V451" s="796" t="s">
        <v>103</v>
      </c>
      <c r="W451" s="796" t="s">
        <v>103</v>
      </c>
      <c r="X451" s="796" t="s">
        <v>103</v>
      </c>
      <c r="Y451" s="796" t="s">
        <v>103</v>
      </c>
      <c r="Z451" s="797" t="s">
        <v>103</v>
      </c>
      <c r="AA451" s="798">
        <v>705.65</v>
      </c>
      <c r="AB451" s="799"/>
      <c r="AC451" s="799"/>
      <c r="AD451" s="799"/>
      <c r="AE451" s="800"/>
      <c r="AF451" s="801" t="s">
        <v>103</v>
      </c>
      <c r="AG451" s="796"/>
      <c r="AH451" s="793"/>
      <c r="AI451" s="802"/>
      <c r="AJ451" s="802"/>
      <c r="AK451" s="796"/>
      <c r="AL451" s="801" t="s">
        <v>103</v>
      </c>
      <c r="AM451" s="793"/>
      <c r="AN451" s="793"/>
      <c r="AO451" s="793"/>
      <c r="AP451" s="793"/>
      <c r="AQ451" s="793"/>
      <c r="AR451" s="796"/>
      <c r="AS451" s="801"/>
      <c r="AT451" s="803"/>
      <c r="AU451" s="803"/>
      <c r="AV451" s="803"/>
      <c r="AW451" s="803"/>
      <c r="AX451" s="803"/>
      <c r="AY451" s="803"/>
      <c r="AZ451" s="803"/>
      <c r="BA451" s="803"/>
      <c r="BB451" s="803"/>
      <c r="BC451" s="803"/>
      <c r="BD451" s="803"/>
      <c r="BE451" s="803"/>
      <c r="BF451" s="803"/>
      <c r="BG451" s="803"/>
      <c r="BH451" s="803"/>
      <c r="BI451" s="803"/>
      <c r="BJ451" s="803">
        <f>COUNTIF(AT451:BI451,"*OP*")</f>
        <v>0</v>
      </c>
      <c r="BK451" s="803"/>
      <c r="BL451" s="793">
        <f>(COUNTIF(AT451:AV451,"*OK*")*3) + (COUNTIF(AW451:AY451,"*OK*")*2) + COUNTIF(AZ451:BB451,"*OK*")+COUNTIF(BK451:BK451,"SI")*0.5</f>
        <v>0</v>
      </c>
      <c r="BM451" s="793" t="str">
        <f>IF(BL451&lt;0.6,"Demasiado Riesgo",IF(BL451&lt;=5,"Riesgo Medio",IF(BL451&lt;=11,"Riesgo Bajo","Cliente Blindado")))</f>
        <v>Demasiado Riesgo</v>
      </c>
      <c r="BN451" s="793"/>
      <c r="BO451" s="793"/>
      <c r="BP451" s="328">
        <v>0</v>
      </c>
      <c r="BQ451" s="793"/>
      <c r="BR451" s="793"/>
      <c r="BS451" s="793"/>
      <c r="BT451" s="793"/>
      <c r="BU451" s="793"/>
      <c r="BV451" s="793"/>
      <c r="BW451" s="793"/>
      <c r="BX451" s="793"/>
      <c r="BY451" s="793"/>
      <c r="BZ451" s="793"/>
      <c r="CA451" s="793"/>
      <c r="CB451" s="793"/>
      <c r="CC451" s="793"/>
      <c r="CD451" s="793"/>
      <c r="CE451" s="793"/>
      <c r="CF451" s="793"/>
      <c r="CG451" s="793"/>
      <c r="CH451" s="793"/>
      <c r="CI451" s="793"/>
      <c r="CJ451" s="793"/>
      <c r="CK451" s="793"/>
      <c r="CL451" s="793">
        <f>COUNTIF(AT451:BH451,"*OK*")</f>
        <v>0</v>
      </c>
      <c r="CM451" s="793"/>
      <c r="CN451" s="793">
        <f>COUNTIF(AT451:BH451,"*OP*")</f>
        <v>0</v>
      </c>
      <c r="CO451" s="793"/>
      <c r="CP451" s="793"/>
    </row>
    <row r="452" spans="1:94" ht="15" customHeight="1">
      <c r="A452" s="834">
        <v>30258</v>
      </c>
      <c r="B452" s="560" t="s">
        <v>1005</v>
      </c>
      <c r="C452" s="329">
        <f t="shared" ref="C452:C512" si="9">AD452</f>
        <v>358</v>
      </c>
      <c r="D452" s="332">
        <f>COUNTIF(AT452:BH452,"*OK*")</f>
        <v>0</v>
      </c>
      <c r="E452" s="331" t="s">
        <v>73</v>
      </c>
      <c r="F452" s="331" t="s">
        <v>2506</v>
      </c>
      <c r="G452" s="331"/>
      <c r="H452" s="650">
        <f>IF(LEN(TRIM($G452&amp;""))=0, $C452, SUMIF($G$3:$G$561, TRIM($G452), $C$3:$C$561))</f>
        <v>358</v>
      </c>
      <c r="I452" s="410" t="s">
        <v>562</v>
      </c>
      <c r="J452" s="331"/>
      <c r="K452" s="560"/>
      <c r="L452" s="560"/>
      <c r="M452" s="391" t="s">
        <v>96</v>
      </c>
      <c r="N452" s="560"/>
      <c r="O452" s="561" t="s">
        <v>2507</v>
      </c>
      <c r="P452" s="561" t="s">
        <v>2508</v>
      </c>
      <c r="Q452" s="561" t="s">
        <v>2509</v>
      </c>
      <c r="R452" s="560"/>
      <c r="S452" s="332"/>
      <c r="T452" s="331"/>
      <c r="U452" s="334" t="s">
        <v>82</v>
      </c>
      <c r="V452" s="705">
        <v>396.91</v>
      </c>
      <c r="W452" s="705">
        <v>327.45</v>
      </c>
      <c r="X452" s="705">
        <v>343.55</v>
      </c>
      <c r="Y452" s="714">
        <v>369.39</v>
      </c>
      <c r="Z452" s="337">
        <v>353.39260000000002</v>
      </c>
      <c r="AA452" s="459">
        <v>355</v>
      </c>
      <c r="AB452" s="365">
        <v>367</v>
      </c>
      <c r="AC452" s="635">
        <v>374</v>
      </c>
      <c r="AD452" s="365">
        <v>358</v>
      </c>
      <c r="AE452" s="339">
        <v>121</v>
      </c>
      <c r="AF452" s="340">
        <v>200</v>
      </c>
      <c r="AG452" s="334"/>
      <c r="AH452" s="341" t="s">
        <v>83</v>
      </c>
      <c r="AI452" s="418" t="s">
        <v>83</v>
      </c>
      <c r="AJ452" s="343" t="s">
        <v>143</v>
      </c>
      <c r="AK452" s="344" t="s">
        <v>2510</v>
      </c>
      <c r="AL452" s="340" t="s">
        <v>1140</v>
      </c>
      <c r="AM452" s="328"/>
      <c r="AN452" s="328"/>
      <c r="AO452" s="328"/>
      <c r="AP452" s="328"/>
      <c r="AQ452" s="328"/>
      <c r="AR452" s="451"/>
      <c r="AS452" s="372" t="s">
        <v>103</v>
      </c>
      <c r="AT452" s="345"/>
      <c r="AU452" s="345"/>
      <c r="AV452" s="345"/>
      <c r="AW452" s="345"/>
      <c r="AX452" s="345"/>
      <c r="AY452" s="345"/>
      <c r="AZ452" s="345"/>
      <c r="BA452" s="345"/>
      <c r="BB452" s="345"/>
      <c r="BC452" s="345"/>
      <c r="BD452" s="345"/>
      <c r="BE452" s="345"/>
      <c r="BF452" s="345"/>
      <c r="BG452" s="345"/>
      <c r="BH452" s="345"/>
      <c r="BI452" s="345"/>
      <c r="BJ452" s="364">
        <f>COUNTIF(AT452:BI452,"*OP*")</f>
        <v>0</v>
      </c>
      <c r="BK452" s="375" t="s">
        <v>103</v>
      </c>
      <c r="BL452" s="328">
        <f>(COUNTIF(AT452:AV452,"*OK*")*3) + (COUNTIF(AW452:AY452,"*OK*")*2) + COUNTIF(AZ452:BB452,"*OK*")+COUNTIF(BK452:BK452,"SI")*0.5</f>
        <v>0</v>
      </c>
      <c r="BM452" s="328" t="str">
        <f>IF(BL452&lt;0.6,"Demasiado Riesgo",IF(BL452&lt;=5,"Riesgo Medio",IF(BL452&lt;=11,"Riesgo Bajo","Cliente Blindado")))</f>
        <v>Demasiado Riesgo</v>
      </c>
      <c r="BN452" s="328"/>
      <c r="BO452" s="349"/>
      <c r="BP452" s="349">
        <v>0</v>
      </c>
      <c r="BQ452" s="349"/>
      <c r="BR452" s="349"/>
      <c r="BS452" s="349"/>
      <c r="BT452" s="349"/>
      <c r="BU452" s="349"/>
      <c r="BV452" s="349"/>
      <c r="BW452" s="349"/>
      <c r="BX452" s="349"/>
      <c r="BY452" s="349"/>
      <c r="BZ452" s="349"/>
      <c r="CA452" s="349"/>
      <c r="CB452" s="349"/>
      <c r="CC452" s="349"/>
      <c r="CD452" s="349"/>
      <c r="CE452" s="349"/>
      <c r="CF452" s="349"/>
      <c r="CG452" s="349"/>
      <c r="CH452" s="349"/>
      <c r="CI452" s="349"/>
      <c r="CJ452" s="349"/>
      <c r="CK452" s="349"/>
      <c r="CL452" s="349">
        <f>COUNTIF(AT452:BH452,"*OK*")</f>
        <v>0</v>
      </c>
      <c r="CM452" s="349"/>
      <c r="CN452" s="349">
        <f>COUNTIF(AT452:BH452,"*OP*")</f>
        <v>0</v>
      </c>
    </row>
    <row r="453" spans="1:94" ht="15" customHeight="1">
      <c r="A453" s="837">
        <v>28668</v>
      </c>
      <c r="B453" s="589" t="s">
        <v>2511</v>
      </c>
      <c r="C453" s="329">
        <f t="shared" si="9"/>
        <v>0</v>
      </c>
      <c r="D453" s="352">
        <f>COUNTIF(AT453:BH453,"*OK*")</f>
        <v>0</v>
      </c>
      <c r="E453" s="331" t="s">
        <v>73</v>
      </c>
      <c r="F453" s="860" t="s">
        <v>2512</v>
      </c>
      <c r="G453" s="351"/>
      <c r="H453" s="650">
        <f>IF(LEN(TRIM($G453&amp;""))=0, $C453, SUMIF($G$3:$G$561, TRIM($G453), $C$3:$C$561))</f>
        <v>0</v>
      </c>
      <c r="I453" s="413" t="s">
        <v>76</v>
      </c>
      <c r="J453" s="351"/>
      <c r="K453" s="558"/>
      <c r="L453" s="558" t="str">
        <f>HYPERLINK("https://crm.zoho.com/crm/org685875245/tab/Accounts/3525045000429097422","https://crm.zoho.com/crm/org685875245/tab/Accounts/3525045000429097422")</f>
        <v>https://crm.zoho.com/crm/org685875245/tab/Accounts/3525045000429097422</v>
      </c>
      <c r="M453" s="553" t="s">
        <v>787</v>
      </c>
      <c r="N453" s="558" t="s">
        <v>971</v>
      </c>
      <c r="O453" s="559" t="s">
        <v>78</v>
      </c>
      <c r="P453" s="559" t="s">
        <v>2513</v>
      </c>
      <c r="Q453" s="559" t="s">
        <v>2514</v>
      </c>
      <c r="R453" s="558"/>
      <c r="S453" s="430" t="s">
        <v>284</v>
      </c>
      <c r="T453" s="351"/>
      <c r="U453" s="354" t="s">
        <v>142</v>
      </c>
      <c r="V453" s="704">
        <v>1183.75</v>
      </c>
      <c r="W453" s="704">
        <v>1209.71</v>
      </c>
      <c r="X453" s="704">
        <v>1145.97</v>
      </c>
      <c r="Y453" s="713">
        <v>1181.08</v>
      </c>
      <c r="Z453" s="337">
        <v>1213.1493</v>
      </c>
      <c r="AA453" s="656">
        <v>1265.6199999999999</v>
      </c>
      <c r="AB453" s="367">
        <v>1270.9152999999999</v>
      </c>
      <c r="AC453" s="636"/>
      <c r="AD453" s="367"/>
      <c r="AE453" s="357"/>
      <c r="AF453" s="358">
        <v>516</v>
      </c>
      <c r="AG453" s="354"/>
      <c r="AH453" s="359" t="s">
        <v>2515</v>
      </c>
      <c r="AI453" s="361" t="s">
        <v>2516</v>
      </c>
      <c r="AJ453" s="361" t="s">
        <v>143</v>
      </c>
      <c r="AK453" s="362" t="s">
        <v>2517</v>
      </c>
      <c r="AL453" s="358" t="s">
        <v>662</v>
      </c>
      <c r="AM453" s="349"/>
      <c r="AN453" s="349"/>
      <c r="AO453" s="349"/>
      <c r="AP453" s="349"/>
      <c r="AQ453" s="349"/>
      <c r="AR453" s="453"/>
      <c r="AS453" s="371" t="s">
        <v>88</v>
      </c>
      <c r="AT453" s="345"/>
      <c r="AU453" s="345"/>
      <c r="AV453" s="345" t="s">
        <v>173</v>
      </c>
      <c r="AW453" s="345" t="s">
        <v>173</v>
      </c>
      <c r="AX453" s="345"/>
      <c r="AY453" s="345"/>
      <c r="AZ453" s="345"/>
      <c r="BA453" s="345"/>
      <c r="BB453" s="345"/>
      <c r="BC453" s="345"/>
      <c r="BD453" s="345"/>
      <c r="BE453" s="345"/>
      <c r="BF453" s="345"/>
      <c r="BG453" s="345"/>
      <c r="BH453" s="345"/>
      <c r="BI453" s="345"/>
      <c r="BJ453" s="364">
        <f>COUNTIF(AT453:BI453,"*OP*")</f>
        <v>2</v>
      </c>
      <c r="BK453" s="363" t="s">
        <v>103</v>
      </c>
      <c r="BL453" s="349">
        <f>(COUNTIF(AT453:AV453,"*OK*")*3) + (COUNTIF(AW453:AY453,"*OK*")*2) + COUNTIF(AZ453:BB453,"*OK*")+COUNTIF(BK453:BK453,"SI")*0.5</f>
        <v>0</v>
      </c>
      <c r="BM453" s="349" t="str">
        <f>IF(BL453&lt;0.6,"Demasiado Riesgo",IF(BL453&lt;=5,"Riesgo Medio",IF(BL453&lt;=11,"Riesgo Bajo","Cliente Blindado")))</f>
        <v>Demasiado Riesgo</v>
      </c>
      <c r="BN453" s="349"/>
      <c r="BO453" s="328" t="s">
        <v>2518</v>
      </c>
      <c r="BP453" s="328">
        <v>0</v>
      </c>
      <c r="BQ453" s="328" t="s">
        <v>2518</v>
      </c>
      <c r="BR453" s="328"/>
      <c r="BS453" s="328"/>
      <c r="BT453" s="328"/>
      <c r="BU453" s="328"/>
      <c r="BV453" s="328"/>
      <c r="BW453" s="328"/>
      <c r="BX453" s="328"/>
      <c r="BY453" s="328"/>
      <c r="BZ453" s="328"/>
      <c r="CA453" s="328"/>
      <c r="CB453" s="328"/>
      <c r="CC453" s="328"/>
      <c r="CD453" s="328"/>
      <c r="CE453" s="328"/>
      <c r="CF453" s="328"/>
      <c r="CG453" s="328"/>
      <c r="CH453" s="328"/>
      <c r="CI453" s="328"/>
      <c r="CJ453" s="328"/>
      <c r="CK453" s="328"/>
      <c r="CL453" s="328">
        <f>COUNTIF(AT453:BH453,"*OK*")</f>
        <v>0</v>
      </c>
      <c r="CM453" s="328"/>
      <c r="CN453" s="328">
        <f>COUNTIF(AT453:BH453,"*OP*")</f>
        <v>2</v>
      </c>
    </row>
    <row r="454" spans="1:94" ht="15" customHeight="1">
      <c r="A454" s="834">
        <v>35877</v>
      </c>
      <c r="B454" s="590" t="s">
        <v>2519</v>
      </c>
      <c r="C454" s="329">
        <f t="shared" si="9"/>
        <v>0</v>
      </c>
      <c r="D454" s="332">
        <f>COUNTIF(AT454:BH454,"*OK*")</f>
        <v>0</v>
      </c>
      <c r="E454" s="331" t="s">
        <v>73</v>
      </c>
      <c r="F454" s="861" t="s">
        <v>2520</v>
      </c>
      <c r="G454" s="331"/>
      <c r="H454" s="650">
        <f>IF(LEN(TRIM($G454&amp;""))=0, $C454, SUMIF($G$3:$G$561, TRIM($G454), $C$3:$C$561))</f>
        <v>0</v>
      </c>
      <c r="I454" s="333" t="s">
        <v>76</v>
      </c>
      <c r="J454" s="331"/>
      <c r="K454" s="560"/>
      <c r="L454" s="560" t="str">
        <f>HYPERLINK("https://crm.zoho.com/crm/org685875245/tab/Accounts/3525045000569606644","https://crm.zoho.com/crm/org685875245/tab/Accounts/3525045000569606644")</f>
        <v>https://crm.zoho.com/crm/org685875245/tab/Accounts/3525045000569606644</v>
      </c>
      <c r="M454" s="391" t="s">
        <v>787</v>
      </c>
      <c r="N454" s="560"/>
      <c r="O454" s="561" t="s">
        <v>2521</v>
      </c>
      <c r="P454" s="561" t="s">
        <v>2522</v>
      </c>
      <c r="Q454" s="561" t="s">
        <v>2523</v>
      </c>
      <c r="R454" s="560"/>
      <c r="S454" s="332"/>
      <c r="T454" s="351" t="s">
        <v>88</v>
      </c>
      <c r="U454" s="354" t="s">
        <v>285</v>
      </c>
      <c r="V454" s="705"/>
      <c r="W454" s="705"/>
      <c r="X454" s="705">
        <v>900.74</v>
      </c>
      <c r="Y454" s="714">
        <v>785.23</v>
      </c>
      <c r="Z454" s="337">
        <v>778.17639999999994</v>
      </c>
      <c r="AA454" s="459">
        <v>769.64</v>
      </c>
      <c r="AB454" s="365">
        <v>776.13630000000001</v>
      </c>
      <c r="AC454" s="635"/>
      <c r="AD454" s="365"/>
      <c r="AE454" s="339"/>
      <c r="AF454" s="340">
        <v>500</v>
      </c>
      <c r="AG454" s="334"/>
      <c r="AH454" s="341"/>
      <c r="AI454" s="343" t="s">
        <v>83</v>
      </c>
      <c r="AJ454" s="343" t="s">
        <v>297</v>
      </c>
      <c r="AK454" s="344" t="s">
        <v>2524</v>
      </c>
      <c r="AL454" s="340" t="s">
        <v>103</v>
      </c>
      <c r="AM454" s="328"/>
      <c r="AN454" s="328"/>
      <c r="AO454" s="328"/>
      <c r="AP454" s="328"/>
      <c r="AQ454" s="328"/>
      <c r="AR454" s="451"/>
      <c r="AS454" s="372" t="s">
        <v>103</v>
      </c>
      <c r="AT454" s="345"/>
      <c r="AU454" s="345"/>
      <c r="AV454" s="345"/>
      <c r="AW454" s="345"/>
      <c r="AX454" s="345"/>
      <c r="AY454" s="345"/>
      <c r="AZ454" s="345"/>
      <c r="BA454" s="345"/>
      <c r="BB454" s="345"/>
      <c r="BC454" s="345"/>
      <c r="BD454" s="345"/>
      <c r="BE454" s="345"/>
      <c r="BF454" s="345"/>
      <c r="BG454" s="345"/>
      <c r="BH454" s="345"/>
      <c r="BI454" s="345"/>
      <c r="BJ454" s="364">
        <f>COUNTIF(AT454:BI454,"*OP*")</f>
        <v>0</v>
      </c>
      <c r="BK454" s="375" t="s">
        <v>103</v>
      </c>
      <c r="BL454" s="328">
        <f>(COUNTIF(AT454:AV454,"*OK*")*3) + (COUNTIF(AW454:AY454,"*OK*")*2) + COUNTIF(AZ454:BB454,"*OK*")+COUNTIF(BK454:BK454,"SI")*0.5</f>
        <v>0</v>
      </c>
      <c r="BM454" s="328" t="str">
        <f>IF(BL454&lt;0.6,"Demasiado Riesgo",IF(BL454&lt;=5,"Riesgo Medio",IF(BL454&lt;=11,"Riesgo Bajo","Cliente Blindado")))</f>
        <v>Demasiado Riesgo</v>
      </c>
      <c r="BN454" s="328"/>
      <c r="BO454" s="328"/>
      <c r="BP454" s="328">
        <v>0</v>
      </c>
      <c r="BQ454" s="328"/>
      <c r="BR454" s="328"/>
      <c r="BS454" s="328"/>
      <c r="BT454" s="328"/>
      <c r="BU454" s="328"/>
      <c r="BV454" s="328"/>
      <c r="BW454" s="328"/>
      <c r="BX454" s="328"/>
      <c r="BY454" s="328"/>
      <c r="BZ454" s="328"/>
      <c r="CA454" s="328"/>
      <c r="CB454" s="328"/>
      <c r="CC454" s="328"/>
      <c r="CD454" s="328"/>
      <c r="CE454" s="328"/>
      <c r="CF454" s="328"/>
      <c r="CG454" s="328"/>
      <c r="CH454" s="328"/>
      <c r="CI454" s="328"/>
      <c r="CJ454" s="328"/>
      <c r="CK454" s="328"/>
      <c r="CL454" s="328">
        <f>COUNTIF(AT454:BH454,"*OK*")</f>
        <v>0</v>
      </c>
      <c r="CM454" s="328"/>
      <c r="CN454" s="328">
        <f>COUNTIF(AT454:BH454,"*OP*")</f>
        <v>0</v>
      </c>
    </row>
    <row r="455" spans="1:94" ht="15" customHeight="1">
      <c r="A455" s="835">
        <v>36334</v>
      </c>
      <c r="B455" s="349" t="s">
        <v>2525</v>
      </c>
      <c r="C455" s="329">
        <f t="shared" si="9"/>
        <v>0</v>
      </c>
      <c r="D455" s="352">
        <f>COUNTIF(AT455:BH455,"*OK*")</f>
        <v>0</v>
      </c>
      <c r="E455" s="351" t="s">
        <v>2526</v>
      </c>
      <c r="F455" s="350" t="s">
        <v>2527</v>
      </c>
      <c r="G455" s="351"/>
      <c r="H455" s="650">
        <f>IF(LEN(TRIM($G455&amp;""))=0, $C455, SUMIF($G$3:$G$561, TRIM($G455), $C$3:$C$561))</f>
        <v>0</v>
      </c>
      <c r="I455" s="353" t="s">
        <v>76</v>
      </c>
      <c r="J455" s="351"/>
      <c r="K455" s="349"/>
      <c r="L455" s="349" t="str">
        <f>HYPERLINK("https://crm.zoho.com/crm/org685875245/tab/Accounts/3525045000519554305","https://crm.zoho.com/crm/org685875245/tab/Accounts/3525045000519554305")</f>
        <v>https://crm.zoho.com/crm/org685875245/tab/Accounts/3525045000519554305</v>
      </c>
      <c r="M455" s="553" t="s">
        <v>787</v>
      </c>
      <c r="N455" s="352"/>
      <c r="O455" s="540" t="s">
        <v>2528</v>
      </c>
      <c r="P455" s="540" t="s">
        <v>2529</v>
      </c>
      <c r="Q455" s="540" t="s">
        <v>2530</v>
      </c>
      <c r="R455" s="359" t="s">
        <v>481</v>
      </c>
      <c r="S455" s="352"/>
      <c r="T455" s="351" t="s">
        <v>88</v>
      </c>
      <c r="U455" s="354" t="s">
        <v>394</v>
      </c>
      <c r="V455" s="704"/>
      <c r="W455" s="704"/>
      <c r="X455" s="704">
        <v>1585.55</v>
      </c>
      <c r="Y455" s="713">
        <v>622.30999999999995</v>
      </c>
      <c r="Z455" s="337">
        <v>928.61220000000003</v>
      </c>
      <c r="AA455" s="655">
        <v>1276.3399999999999</v>
      </c>
      <c r="AB455" s="338">
        <v>1522.0222000000001</v>
      </c>
      <c r="AC455" s="634"/>
      <c r="AD455" s="338"/>
      <c r="AE455" s="357"/>
      <c r="AF455" s="358">
        <v>150</v>
      </c>
      <c r="AG455" s="354"/>
      <c r="AH455" s="359"/>
      <c r="AI455" s="361" t="s">
        <v>83</v>
      </c>
      <c r="AJ455" s="361" t="s">
        <v>396</v>
      </c>
      <c r="AK455" s="362" t="s">
        <v>2531</v>
      </c>
      <c r="AL455" s="358" t="s">
        <v>396</v>
      </c>
      <c r="AM455" s="349"/>
      <c r="AN455" s="349"/>
      <c r="AO455" s="349"/>
      <c r="AP455" s="349"/>
      <c r="AQ455" s="349"/>
      <c r="AR455" s="453"/>
      <c r="AS455" s="363" t="s">
        <v>103</v>
      </c>
      <c r="AT455" s="345" t="s">
        <v>179</v>
      </c>
      <c r="AU455" s="345" t="s">
        <v>179</v>
      </c>
      <c r="AV455" s="345"/>
      <c r="AW455" s="345" t="s">
        <v>89</v>
      </c>
      <c r="AX455" s="345"/>
      <c r="AY455" s="345"/>
      <c r="AZ455" s="345"/>
      <c r="BA455" s="345"/>
      <c r="BB455" s="345"/>
      <c r="BC455" s="345"/>
      <c r="BD455" s="345"/>
      <c r="BE455" s="345"/>
      <c r="BF455" s="345"/>
      <c r="BG455" s="345"/>
      <c r="BH455" s="345"/>
      <c r="BI455" s="345"/>
      <c r="BJ455" s="364">
        <f>COUNTIF(AT455:BI455,"*OP*")</f>
        <v>2</v>
      </c>
      <c r="BK455" s="363" t="s">
        <v>103</v>
      </c>
      <c r="BL455" s="349">
        <f>(COUNTIF(AT455:AV455,"*OK*")*3) + (COUNTIF(AW455:AY455,"*OK*")*2) + COUNTIF(AZ455:BB455,"*OK*")+COUNTIF(BK455:BK455,"SI")*0.5</f>
        <v>0</v>
      </c>
      <c r="BM455" s="349" t="str">
        <f>IF(BL455&lt;0.6,"Demasiado Riesgo",IF(BL455&lt;=5,"Riesgo Medio",IF(BL455&lt;=11,"Riesgo Bajo","Cliente Blindado")))</f>
        <v>Demasiado Riesgo</v>
      </c>
      <c r="BN455" s="349"/>
      <c r="BO455" s="328"/>
      <c r="BP455" s="328">
        <v>0</v>
      </c>
      <c r="BQ455" s="328"/>
      <c r="BR455" s="328"/>
      <c r="BS455" s="328"/>
      <c r="BT455" s="328"/>
      <c r="BU455" s="328"/>
      <c r="BV455" s="328"/>
      <c r="BW455" s="328"/>
      <c r="BX455" s="328"/>
      <c r="BY455" s="328"/>
      <c r="BZ455" s="328"/>
      <c r="CA455" s="328"/>
      <c r="CB455" s="328"/>
      <c r="CC455" s="328"/>
      <c r="CD455" s="328"/>
      <c r="CE455" s="328"/>
      <c r="CF455" s="328"/>
      <c r="CG455" s="328"/>
      <c r="CH455" s="328"/>
      <c r="CI455" s="328"/>
      <c r="CJ455" s="328"/>
      <c r="CK455" s="328"/>
      <c r="CL455" s="328">
        <f>COUNTIF(AT455:BH455,"*OK*")</f>
        <v>0</v>
      </c>
      <c r="CM455" s="328"/>
      <c r="CN455" s="328">
        <f>COUNTIF(AT455:BH455,"*OP*")</f>
        <v>2</v>
      </c>
    </row>
    <row r="456" spans="1:94" ht="15" customHeight="1">
      <c r="A456" s="835"/>
      <c r="B456" s="530" t="s">
        <v>2532</v>
      </c>
      <c r="C456" s="329">
        <f t="shared" si="9"/>
        <v>0</v>
      </c>
      <c r="D456" s="352">
        <f>COUNTIF(AT456:BH456,"*OK*")</f>
        <v>0</v>
      </c>
      <c r="E456" s="397" t="s">
        <v>439</v>
      </c>
      <c r="F456" s="351" t="s">
        <v>2533</v>
      </c>
      <c r="G456" s="351"/>
      <c r="H456" s="650">
        <f>IF(LEN(TRIM($G456&amp;""))=0, $C456, SUMIF($G$3:$G$561, TRIM($G456), $C$3:$C$561))</f>
        <v>0</v>
      </c>
      <c r="I456" s="353" t="s">
        <v>562</v>
      </c>
      <c r="J456" s="351"/>
      <c r="K456" s="349"/>
      <c r="L456" s="349" t="str">
        <f>HYPERLINK("https://crm.zoho.com/crm/org685875245/tab/Accounts/3525045000504912133","https://crm.zoho.com/crm/org685875245/tab/Accounts/3525045000504912133")</f>
        <v>https://crm.zoho.com/crm/org685875245/tab/Accounts/3525045000504912133</v>
      </c>
      <c r="M456" s="553"/>
      <c r="N456" s="332" t="s">
        <v>817</v>
      </c>
      <c r="O456" s="541"/>
      <c r="P456" s="541"/>
      <c r="Q456" s="541"/>
      <c r="R456" s="332"/>
      <c r="S456" s="352"/>
      <c r="T456" s="397"/>
      <c r="U456" s="362" t="s">
        <v>617</v>
      </c>
      <c r="V456" s="704">
        <v>145.01</v>
      </c>
      <c r="W456" s="704">
        <v>144.88</v>
      </c>
      <c r="X456" s="704">
        <v>138.07</v>
      </c>
      <c r="Y456" s="713">
        <v>142.51</v>
      </c>
      <c r="Z456" s="337">
        <v>0</v>
      </c>
      <c r="AA456" s="459" t="s">
        <v>103</v>
      </c>
      <c r="AB456" s="365"/>
      <c r="AC456" s="635"/>
      <c r="AD456" s="365"/>
      <c r="AE456" s="357"/>
      <c r="AF456" s="358">
        <v>150</v>
      </c>
      <c r="AG456" s="354"/>
      <c r="AH456" s="359"/>
      <c r="AI456" s="361" t="s">
        <v>618</v>
      </c>
      <c r="AJ456" s="361" t="s">
        <v>130</v>
      </c>
      <c r="AK456" s="362" t="s">
        <v>2534</v>
      </c>
      <c r="AL456" s="358" t="s">
        <v>103</v>
      </c>
      <c r="AM456" s="349"/>
      <c r="AN456" s="349"/>
      <c r="AO456" s="349"/>
      <c r="AP456" s="349"/>
      <c r="AQ456" s="349"/>
      <c r="AR456" s="349"/>
      <c r="AS456" s="397" t="s">
        <v>103</v>
      </c>
      <c r="AT456" s="364"/>
      <c r="AU456" s="364"/>
      <c r="AV456" s="364" t="s">
        <v>173</v>
      </c>
      <c r="AW456" s="364"/>
      <c r="AX456" s="364"/>
      <c r="AY456" s="364"/>
      <c r="AZ456" s="364"/>
      <c r="BA456" s="364"/>
      <c r="BB456" s="364"/>
      <c r="BC456" s="364"/>
      <c r="BD456" s="364"/>
      <c r="BE456" s="364"/>
      <c r="BF456" s="364"/>
      <c r="BG456" s="364"/>
      <c r="BH456" s="364"/>
      <c r="BI456" s="364"/>
      <c r="BJ456" s="364">
        <f>COUNTIF(AT456:BI456,"*OP*")</f>
        <v>1</v>
      </c>
      <c r="BK456" s="397" t="s">
        <v>103</v>
      </c>
      <c r="BL456" s="349">
        <f>(COUNTIF(AT456:AV456,"*OK*")*3) + (COUNTIF(AW456:AY456,"*OK*")*2) + COUNTIF(AZ456:BB456,"*OK*")+COUNTIF(BK456:BK456,"SI")*0.5</f>
        <v>0</v>
      </c>
      <c r="BM456" s="349" t="str">
        <f>IF(BL456&lt;0.6,"Demasiado Riesgo",IF(BL456&lt;=5,"Riesgo Medio",IF(BL456&lt;=11,"Riesgo Bajo","Cliente Blindado")))</f>
        <v>Demasiado Riesgo</v>
      </c>
      <c r="BN456" s="349"/>
      <c r="BO456" s="349"/>
      <c r="BP456" s="349">
        <v>0</v>
      </c>
      <c r="BQ456" s="349"/>
      <c r="BR456" s="349"/>
      <c r="BS456" s="349"/>
      <c r="BT456" s="349"/>
      <c r="BU456" s="349"/>
      <c r="BV456" s="349"/>
      <c r="BW456" s="349"/>
      <c r="BX456" s="349"/>
      <c r="BY456" s="349"/>
      <c r="BZ456" s="349"/>
      <c r="CA456" s="349"/>
      <c r="CB456" s="349"/>
      <c r="CC456" s="349"/>
      <c r="CD456" s="349"/>
      <c r="CE456" s="349"/>
      <c r="CF456" s="349"/>
      <c r="CG456" s="349"/>
      <c r="CH456" s="349"/>
      <c r="CI456" s="349"/>
      <c r="CJ456" s="349"/>
      <c r="CK456" s="349"/>
      <c r="CL456" s="349">
        <f>COUNTIF(AT456:BH456,"*OK*")</f>
        <v>0</v>
      </c>
      <c r="CM456" s="349"/>
      <c r="CN456" s="349">
        <f>COUNTIF(AT456:BH456,"*OP*")</f>
        <v>1</v>
      </c>
    </row>
    <row r="457" spans="1:94" ht="15" customHeight="1">
      <c r="A457" s="834">
        <v>35970</v>
      </c>
      <c r="B457" s="531" t="s">
        <v>2535</v>
      </c>
      <c r="C457" s="329">
        <f t="shared" si="9"/>
        <v>0</v>
      </c>
      <c r="D457" s="332">
        <f>COUNTIF(AT457:BH457,"*OK*")</f>
        <v>0</v>
      </c>
      <c r="E457" s="397" t="s">
        <v>782</v>
      </c>
      <c r="F457" s="331" t="s">
        <v>2536</v>
      </c>
      <c r="G457" s="331"/>
      <c r="H457" s="650">
        <f>IF(LEN(TRIM($G457&amp;""))=0, $C457, SUMIF($G$3:$G$561, TRIM($G457), $C$3:$C$561))</f>
        <v>0</v>
      </c>
      <c r="I457" s="333" t="s">
        <v>562</v>
      </c>
      <c r="J457" s="331"/>
      <c r="K457" s="328"/>
      <c r="L457" s="328" t="str">
        <f>HYPERLINK("https://crm.zoho.com/crm/org685875245/tab/Accounts/3525045000572133720","https://crm.zoho.com/crm/org685875245/tab/Accounts/3525045000572133720")</f>
        <v>https://crm.zoho.com/crm/org685875245/tab/Accounts/3525045000572133720</v>
      </c>
      <c r="M457" s="391" t="s">
        <v>787</v>
      </c>
      <c r="N457" s="332"/>
      <c r="O457" s="541" t="s">
        <v>2537</v>
      </c>
      <c r="P457" s="541" t="s">
        <v>2538</v>
      </c>
      <c r="Q457" s="541" t="s">
        <v>2539</v>
      </c>
      <c r="R457" s="332"/>
      <c r="S457" s="332"/>
      <c r="T457" s="397"/>
      <c r="U457" s="344" t="s">
        <v>585</v>
      </c>
      <c r="V457" s="705"/>
      <c r="W457" s="705">
        <v>111.27</v>
      </c>
      <c r="X457" s="705">
        <v>102.5</v>
      </c>
      <c r="Y457" s="714">
        <v>105.8</v>
      </c>
      <c r="Z457" s="337">
        <v>107.2231</v>
      </c>
      <c r="AA457" s="459">
        <v>106.05</v>
      </c>
      <c r="AB457" s="365">
        <v>106.94199999999999</v>
      </c>
      <c r="AC457" s="635"/>
      <c r="AD457" s="365"/>
      <c r="AE457" s="339"/>
      <c r="AF457" s="340">
        <v>100</v>
      </c>
      <c r="AG457" s="334"/>
      <c r="AH457" s="341"/>
      <c r="AI457" s="418" t="s">
        <v>83</v>
      </c>
      <c r="AJ457" s="343" t="s">
        <v>396</v>
      </c>
      <c r="AK457" s="344" t="s">
        <v>2540</v>
      </c>
      <c r="AL457" s="340" t="s">
        <v>199</v>
      </c>
      <c r="AM457" s="328"/>
      <c r="AN457" s="328"/>
      <c r="AO457" s="328"/>
      <c r="AP457" s="328"/>
      <c r="AQ457" s="328"/>
      <c r="AR457" s="328"/>
      <c r="AS457" s="366" t="s">
        <v>103</v>
      </c>
      <c r="AT457" s="462"/>
      <c r="AU457" s="345"/>
      <c r="AV457" s="345"/>
      <c r="AW457" s="462"/>
      <c r="AX457" s="462"/>
      <c r="AY457" s="462"/>
      <c r="AZ457" s="462"/>
      <c r="BA457" s="462"/>
      <c r="BB457" s="462"/>
      <c r="BC457" s="462"/>
      <c r="BD457" s="462"/>
      <c r="BE457" s="462"/>
      <c r="BF457" s="462"/>
      <c r="BG457" s="462"/>
      <c r="BH457" s="462"/>
      <c r="BI457" s="462"/>
      <c r="BJ457" s="463">
        <f>COUNTIF(AT457:BI457,"*OP*")</f>
        <v>0</v>
      </c>
      <c r="BK457" s="366" t="s">
        <v>103</v>
      </c>
      <c r="BL457" s="328">
        <f>(COUNTIF(AT457:AV457,"*OK*")*3) + (COUNTIF(AW457:AY457,"*OK*")*2) + COUNTIF(AZ457:BB457,"*OK*")+COUNTIF(BK457:BK457,"SI")*0.5</f>
        <v>0</v>
      </c>
      <c r="BM457" s="328" t="str">
        <f>IF(BL457&lt;0.6,"Demasiado Riesgo",IF(BL457&lt;=5,"Riesgo Medio",IF(BL457&lt;=11,"Riesgo Bajo","Cliente Blindado")))</f>
        <v>Demasiado Riesgo</v>
      </c>
      <c r="BN457" s="328"/>
      <c r="BO457" s="349"/>
      <c r="BP457" s="349">
        <v>0</v>
      </c>
      <c r="BQ457" s="349"/>
      <c r="BR457" s="349"/>
      <c r="BS457" s="349"/>
      <c r="BT457" s="349"/>
      <c r="BU457" s="349"/>
      <c r="BV457" s="349"/>
      <c r="BW457" s="349"/>
      <c r="BX457" s="349"/>
      <c r="BY457" s="349"/>
      <c r="BZ457" s="349"/>
      <c r="CA457" s="349"/>
      <c r="CB457" s="349"/>
      <c r="CC457" s="349"/>
      <c r="CD457" s="349"/>
      <c r="CE457" s="349"/>
      <c r="CF457" s="349"/>
      <c r="CG457" s="349"/>
      <c r="CH457" s="349"/>
      <c r="CI457" s="349"/>
      <c r="CJ457" s="349"/>
      <c r="CK457" s="349"/>
      <c r="CL457" s="349">
        <f>COUNTIF(AT457:BH457,"*OK*")</f>
        <v>0</v>
      </c>
      <c r="CM457" s="349"/>
      <c r="CN457" s="349">
        <f>COUNTIF(AT457:BH457,"*OP*")</f>
        <v>0</v>
      </c>
    </row>
    <row r="458" spans="1:94" ht="15" customHeight="1">
      <c r="A458" s="834">
        <v>36039</v>
      </c>
      <c r="B458" s="531" t="s">
        <v>2541</v>
      </c>
      <c r="C458" s="329">
        <f t="shared" si="9"/>
        <v>0</v>
      </c>
      <c r="D458" s="332">
        <f>COUNTIF(AT458:BH458,"*OK*")</f>
        <v>0</v>
      </c>
      <c r="E458" s="397" t="s">
        <v>782</v>
      </c>
      <c r="F458" s="331" t="s">
        <v>2542</v>
      </c>
      <c r="G458" s="331"/>
      <c r="H458" s="650">
        <f>IF(LEN(TRIM($G458&amp;""))=0, $C458, SUMIF($G$3:$G$561, TRIM($G458), $C$3:$C$561))</f>
        <v>0</v>
      </c>
      <c r="I458" s="333" t="s">
        <v>562</v>
      </c>
      <c r="J458" s="331"/>
      <c r="K458" s="328"/>
      <c r="L458" s="328"/>
      <c r="M458" s="391" t="s">
        <v>787</v>
      </c>
      <c r="N458" s="332" t="s">
        <v>817</v>
      </c>
      <c r="O458" s="541" t="s">
        <v>699</v>
      </c>
      <c r="P458" s="541" t="s">
        <v>2543</v>
      </c>
      <c r="Q458" s="541"/>
      <c r="R458" s="332"/>
      <c r="S458" s="332"/>
      <c r="T458" s="397"/>
      <c r="U458" s="334" t="s">
        <v>82</v>
      </c>
      <c r="V458" s="705"/>
      <c r="W458" s="705">
        <v>368.57</v>
      </c>
      <c r="X458" s="705">
        <v>347.93</v>
      </c>
      <c r="Y458" s="714">
        <v>362.55</v>
      </c>
      <c r="Z458" s="337">
        <v>367.42399999999998</v>
      </c>
      <c r="AA458" s="458">
        <v>363.4</v>
      </c>
      <c r="AB458" s="347"/>
      <c r="AC458" s="638"/>
      <c r="AD458" s="347"/>
      <c r="AE458" s="339"/>
      <c r="AF458" s="340">
        <v>150</v>
      </c>
      <c r="AG458" s="334"/>
      <c r="AH458" s="341"/>
      <c r="AI458" s="343" t="s">
        <v>83</v>
      </c>
      <c r="AJ458" s="343" t="s">
        <v>396</v>
      </c>
      <c r="AK458" s="344" t="s">
        <v>2544</v>
      </c>
      <c r="AL458" s="340" t="s">
        <v>103</v>
      </c>
      <c r="AM458" s="328"/>
      <c r="AN458" s="328"/>
      <c r="AO458" s="328"/>
      <c r="AP458" s="328"/>
      <c r="AQ458" s="328"/>
      <c r="AR458" s="328"/>
      <c r="AS458" s="366" t="s">
        <v>103</v>
      </c>
      <c r="AT458" s="462"/>
      <c r="AU458" s="462"/>
      <c r="AV458" s="462"/>
      <c r="AW458" s="462"/>
      <c r="AX458" s="462"/>
      <c r="AY458" s="462"/>
      <c r="AZ458" s="462"/>
      <c r="BA458" s="462"/>
      <c r="BB458" s="462"/>
      <c r="BC458" s="462"/>
      <c r="BD458" s="462"/>
      <c r="BE458" s="462"/>
      <c r="BF458" s="462"/>
      <c r="BG458" s="462"/>
      <c r="BH458" s="462"/>
      <c r="BI458" s="462"/>
      <c r="BJ458" s="463">
        <f>COUNTIF(AT458:BI458,"*OP*")</f>
        <v>0</v>
      </c>
      <c r="BK458" s="366" t="s">
        <v>103</v>
      </c>
      <c r="BL458" s="328">
        <f>(COUNTIF(AT458:AV458,"*OK*")*3) + (COUNTIF(AW458:AY458,"*OK*")*2) + COUNTIF(AZ458:BB458,"*OK*")+COUNTIF(BK458:BK458,"SI")*0.5</f>
        <v>0</v>
      </c>
      <c r="BM458" s="328" t="str">
        <f>IF(BL458&lt;0.6,"Demasiado Riesgo",IF(BL458&lt;=5,"Riesgo Medio",IF(BL458&lt;=11,"Riesgo Bajo","Cliente Blindado")))</f>
        <v>Demasiado Riesgo</v>
      </c>
      <c r="BN458" s="328"/>
      <c r="BO458" s="328"/>
      <c r="BP458" s="328"/>
      <c r="BQ458" s="328"/>
      <c r="BR458" s="328"/>
      <c r="BS458" s="328"/>
      <c r="BT458" s="328"/>
      <c r="BU458" s="328"/>
      <c r="BV458" s="328"/>
      <c r="BW458" s="328"/>
      <c r="BX458" s="328"/>
      <c r="BY458" s="328"/>
      <c r="BZ458" s="328"/>
      <c r="CA458" s="328"/>
      <c r="CB458" s="328"/>
      <c r="CC458" s="328"/>
      <c r="CD458" s="328"/>
      <c r="CE458" s="328"/>
      <c r="CF458" s="328"/>
      <c r="CG458" s="328"/>
      <c r="CH458" s="328"/>
      <c r="CI458" s="328"/>
      <c r="CJ458" s="328"/>
      <c r="CK458" s="328"/>
      <c r="CL458" s="328">
        <f>COUNTIF(AT458:BH458,"*OK*")</f>
        <v>0</v>
      </c>
      <c r="CM458" s="328"/>
      <c r="CN458" s="328">
        <f>COUNTIF(AT458:BH458,"*OP*")</f>
        <v>0</v>
      </c>
    </row>
    <row r="459" spans="1:94" ht="15" customHeight="1">
      <c r="A459" s="835">
        <v>36857</v>
      </c>
      <c r="B459" s="530" t="s">
        <v>2545</v>
      </c>
      <c r="C459" s="329">
        <f t="shared" si="9"/>
        <v>0</v>
      </c>
      <c r="D459" s="352">
        <f>COUNTIF(AT459:BH459,"*OK*")</f>
        <v>0</v>
      </c>
      <c r="E459" s="397" t="s">
        <v>782</v>
      </c>
      <c r="F459" s="351" t="s">
        <v>2546</v>
      </c>
      <c r="G459" s="351"/>
      <c r="H459" s="650">
        <f>IF(LEN(TRIM($G459&amp;""))=0, $C459, SUMIF($G$3:$G$561, TRIM($G459), $C$3:$C$561))</f>
        <v>0</v>
      </c>
      <c r="I459" s="351" t="s">
        <v>562</v>
      </c>
      <c r="J459" s="351"/>
      <c r="K459" s="349"/>
      <c r="L459" s="349"/>
      <c r="M459" s="553" t="s">
        <v>787</v>
      </c>
      <c r="N459" s="332" t="s">
        <v>817</v>
      </c>
      <c r="O459" s="541" t="s">
        <v>2547</v>
      </c>
      <c r="P459" s="541" t="s">
        <v>2548</v>
      </c>
      <c r="Q459" s="541" t="s">
        <v>2549</v>
      </c>
      <c r="R459" s="332"/>
      <c r="S459" s="352"/>
      <c r="T459" s="397"/>
      <c r="U459" s="354" t="s">
        <v>82</v>
      </c>
      <c r="V459" s="704">
        <v>297.14999999999998</v>
      </c>
      <c r="W459" s="704">
        <v>280.54000000000002</v>
      </c>
      <c r="X459" s="704">
        <v>308.88</v>
      </c>
      <c r="Y459" s="713">
        <v>321.5</v>
      </c>
      <c r="Z459" s="337">
        <v>190.6446</v>
      </c>
      <c r="AA459" s="458">
        <v>182.84</v>
      </c>
      <c r="AB459" s="347">
        <v>187.2638</v>
      </c>
      <c r="AC459" s="638"/>
      <c r="AD459" s="347"/>
      <c r="AE459" s="357"/>
      <c r="AF459" s="358">
        <v>500</v>
      </c>
      <c r="AG459" s="354"/>
      <c r="AH459" s="359"/>
      <c r="AI459" s="361" t="s">
        <v>83</v>
      </c>
      <c r="AJ459" s="361" t="s">
        <v>150</v>
      </c>
      <c r="AK459" s="362" t="s">
        <v>2550</v>
      </c>
      <c r="AL459" s="358" t="s">
        <v>103</v>
      </c>
      <c r="AM459" s="349"/>
      <c r="AN459" s="349"/>
      <c r="AO459" s="349"/>
      <c r="AP459" s="349"/>
      <c r="AQ459" s="349"/>
      <c r="AR459" s="349"/>
      <c r="AS459" s="397" t="s">
        <v>103</v>
      </c>
      <c r="AT459" s="345"/>
      <c r="AU459" s="462"/>
      <c r="AV459" s="462"/>
      <c r="AW459" s="462"/>
      <c r="AX459" s="462"/>
      <c r="AY459" s="462"/>
      <c r="AZ459" s="462"/>
      <c r="BA459" s="462"/>
      <c r="BB459" s="462"/>
      <c r="BC459" s="462"/>
      <c r="BD459" s="462"/>
      <c r="BE459" s="462"/>
      <c r="BF459" s="462"/>
      <c r="BG459" s="462"/>
      <c r="BH459" s="462"/>
      <c r="BI459" s="462"/>
      <c r="BJ459" s="463">
        <f>COUNTIF(AT459:BI459,"*OP*")</f>
        <v>0</v>
      </c>
      <c r="BK459" s="397" t="s">
        <v>103</v>
      </c>
      <c r="BL459" s="349">
        <f>(COUNTIF(AT459:AV459,"*OK*")*3) + (COUNTIF(AW459:AY459,"*OK*")*2) + COUNTIF(AZ459:BB459,"*OK*")+COUNTIF(BK459:BK459,"SI")*0.5</f>
        <v>0</v>
      </c>
      <c r="BM459" s="349" t="str">
        <f>IF(BL459&lt;0.6,"Demasiado Riesgo",IF(BL459&lt;=5,"Riesgo Medio",IF(BL459&lt;=11,"Riesgo Bajo","Cliente Blindado")))</f>
        <v>Demasiado Riesgo</v>
      </c>
      <c r="BN459" s="349"/>
      <c r="BO459" s="328"/>
      <c r="BP459" s="328">
        <v>0</v>
      </c>
      <c r="BQ459" s="328"/>
      <c r="BR459" s="328"/>
      <c r="BS459" s="328"/>
      <c r="BT459" s="328"/>
      <c r="BU459" s="328"/>
      <c r="BV459" s="328"/>
      <c r="BW459" s="328"/>
      <c r="BX459" s="328"/>
      <c r="BY459" s="328"/>
      <c r="BZ459" s="328"/>
      <c r="CA459" s="328"/>
      <c r="CB459" s="328"/>
      <c r="CC459" s="328"/>
      <c r="CD459" s="328"/>
      <c r="CE459" s="328"/>
      <c r="CF459" s="328"/>
      <c r="CG459" s="328"/>
      <c r="CH459" s="328"/>
      <c r="CI459" s="328"/>
      <c r="CJ459" s="328"/>
      <c r="CK459" s="328"/>
      <c r="CL459" s="328">
        <f>COUNTIF(AT459:BH459,"*OK*")</f>
        <v>0</v>
      </c>
      <c r="CM459" s="328"/>
      <c r="CN459" s="328">
        <f>COUNTIF(AT459:BH459,"*OP*")</f>
        <v>0</v>
      </c>
      <c r="CP459" s="442"/>
    </row>
    <row r="460" spans="1:94" ht="15" customHeight="1">
      <c r="A460" s="834"/>
      <c r="B460" s="531" t="s">
        <v>2551</v>
      </c>
      <c r="C460" s="329">
        <f t="shared" si="9"/>
        <v>0</v>
      </c>
      <c r="D460" s="332">
        <f>COUNTIF(AT460:BH460,"*OK*")</f>
        <v>0</v>
      </c>
      <c r="E460" s="331" t="s">
        <v>439</v>
      </c>
      <c r="F460" s="429" t="s">
        <v>2552</v>
      </c>
      <c r="G460" s="331"/>
      <c r="H460" s="650">
        <f>IF(LEN(TRIM($G460&amp;""))=0, $C460, SUMIF($G$3:$G$561, TRIM($G460), $C$3:$C$561))</f>
        <v>0</v>
      </c>
      <c r="I460" s="410" t="s">
        <v>562</v>
      </c>
      <c r="J460" s="331"/>
      <c r="K460" s="328"/>
      <c r="L460" s="328"/>
      <c r="M460" s="391" t="s">
        <v>787</v>
      </c>
      <c r="N460" s="332" t="s">
        <v>2553</v>
      </c>
      <c r="O460" s="541"/>
      <c r="P460" s="541"/>
      <c r="Q460" s="541"/>
      <c r="R460" s="332"/>
      <c r="S460" s="332"/>
      <c r="T460" s="331"/>
      <c r="U460" s="334" t="s">
        <v>82</v>
      </c>
      <c r="V460" s="705">
        <v>258.70999999999998</v>
      </c>
      <c r="W460" s="705">
        <v>270.05</v>
      </c>
      <c r="X460" s="705">
        <v>242.64</v>
      </c>
      <c r="Y460" s="714">
        <v>79.69</v>
      </c>
      <c r="Z460" s="337">
        <v>103.8372</v>
      </c>
      <c r="AA460" s="459">
        <v>102.7</v>
      </c>
      <c r="AB460" s="365"/>
      <c r="AC460" s="635"/>
      <c r="AD460" s="365"/>
      <c r="AE460" s="339"/>
      <c r="AF460" s="340">
        <v>100</v>
      </c>
      <c r="AG460" s="334"/>
      <c r="AH460" s="341"/>
      <c r="AI460" s="418" t="s">
        <v>83</v>
      </c>
      <c r="AJ460" s="343" t="s">
        <v>396</v>
      </c>
      <c r="AK460" s="344" t="s">
        <v>2554</v>
      </c>
      <c r="AL460" s="340" t="s">
        <v>103</v>
      </c>
      <c r="AM460" s="328"/>
      <c r="AN460" s="328"/>
      <c r="AO460" s="328"/>
      <c r="AP460" s="328"/>
      <c r="AQ460" s="328"/>
      <c r="AR460" s="328"/>
      <c r="AS460" s="366" t="s">
        <v>103</v>
      </c>
      <c r="AT460" s="462"/>
      <c r="AU460" s="462"/>
      <c r="AV460" s="462"/>
      <c r="AW460" s="462"/>
      <c r="AX460" s="462"/>
      <c r="AY460" s="462"/>
      <c r="AZ460" s="462"/>
      <c r="BA460" s="462"/>
      <c r="BB460" s="462"/>
      <c r="BC460" s="462"/>
      <c r="BD460" s="462"/>
      <c r="BE460" s="462"/>
      <c r="BF460" s="462"/>
      <c r="BG460" s="462"/>
      <c r="BH460" s="462"/>
      <c r="BI460" s="462"/>
      <c r="BJ460" s="463">
        <f>COUNTIF(AT460:BI460,"*OP*")</f>
        <v>0</v>
      </c>
      <c r="BK460" s="366" t="s">
        <v>103</v>
      </c>
      <c r="BL460" s="328">
        <f>(COUNTIF(AT460:AV460,"*OK*")*3) + (COUNTIF(AW460:AY460,"*OK*")*2) + COUNTIF(AZ460:BB460,"*OK*")+COUNTIF(BK460:BK460,"SI")*0.5</f>
        <v>0</v>
      </c>
      <c r="BM460" s="328" t="str">
        <f>IF(BL460&lt;0.6,"Demasiado Riesgo",IF(BL460&lt;=5,"Riesgo Medio",IF(BL460&lt;=11,"Riesgo Bajo","Cliente Blindado")))</f>
        <v>Demasiado Riesgo</v>
      </c>
      <c r="BN460" s="328"/>
      <c r="BO460" s="349"/>
      <c r="BP460" s="349">
        <v>0</v>
      </c>
      <c r="BQ460" s="349"/>
      <c r="BR460" s="349"/>
      <c r="BS460" s="349"/>
      <c r="BT460" s="349"/>
      <c r="BU460" s="349"/>
      <c r="BV460" s="349"/>
      <c r="BW460" s="349"/>
      <c r="BX460" s="349"/>
      <c r="BY460" s="349"/>
      <c r="BZ460" s="349"/>
      <c r="CA460" s="349"/>
      <c r="CB460" s="349"/>
      <c r="CC460" s="349"/>
      <c r="CD460" s="349"/>
      <c r="CE460" s="349"/>
      <c r="CF460" s="349"/>
      <c r="CG460" s="349"/>
      <c r="CH460" s="349"/>
      <c r="CI460" s="349"/>
      <c r="CJ460" s="349"/>
      <c r="CK460" s="349"/>
      <c r="CL460" s="349">
        <f>COUNTIF(AT460:BH460,"*OK*")</f>
        <v>0</v>
      </c>
      <c r="CM460" s="349"/>
      <c r="CN460" s="349">
        <f>COUNTIF(AT460:BH460,"*OP*")</f>
        <v>0</v>
      </c>
    </row>
    <row r="461" spans="1:94" ht="15" customHeight="1">
      <c r="A461" s="835">
        <v>27159</v>
      </c>
      <c r="B461" s="349" t="s">
        <v>2555</v>
      </c>
      <c r="C461" s="329">
        <f t="shared" si="9"/>
        <v>0</v>
      </c>
      <c r="D461" s="352">
        <f>COUNTIF(AT461:BH461,"*OK*")</f>
        <v>0</v>
      </c>
      <c r="E461" s="351" t="s">
        <v>439</v>
      </c>
      <c r="F461" s="351" t="s">
        <v>2556</v>
      </c>
      <c r="G461" s="351"/>
      <c r="H461" s="650">
        <f>IF(LEN(TRIM($G461&amp;""))=0, $C461, SUMIF($G$3:$G$561, TRIM($G461), $C$3:$C$561))</f>
        <v>0</v>
      </c>
      <c r="I461" s="413" t="s">
        <v>562</v>
      </c>
      <c r="J461" s="351"/>
      <c r="K461" s="349"/>
      <c r="L461" s="349" t="str">
        <f>HYPERLINK("https://crm.zoho.com/crm/org685875245/tab/Accounts/3525045000384106194","https://crm.zoho.com/crm/org685875245/tab/Accounts/3525045000384106194")</f>
        <v>https://crm.zoho.com/crm/org685875245/tab/Accounts/3525045000384106194</v>
      </c>
      <c r="M461" s="553" t="s">
        <v>525</v>
      </c>
      <c r="N461" s="352"/>
      <c r="O461" s="540"/>
      <c r="P461" s="540"/>
      <c r="Q461" s="540"/>
      <c r="R461" s="352"/>
      <c r="S461" s="352"/>
      <c r="T461" s="351"/>
      <c r="U461" s="354" t="s">
        <v>394</v>
      </c>
      <c r="V461" s="704">
        <v>69.290000000000006</v>
      </c>
      <c r="W461" s="704">
        <v>71.39</v>
      </c>
      <c r="X461" s="704">
        <v>70.09</v>
      </c>
      <c r="Y461" s="713">
        <v>68.09</v>
      </c>
      <c r="Z461" s="337">
        <v>69.010999999999996</v>
      </c>
      <c r="AA461" s="458" t="s">
        <v>103</v>
      </c>
      <c r="AB461" s="347"/>
      <c r="AC461" s="638"/>
      <c r="AD461" s="347"/>
      <c r="AE461" s="357"/>
      <c r="AF461" s="358">
        <v>50</v>
      </c>
      <c r="AG461" s="354"/>
      <c r="AH461" s="359"/>
      <c r="AI461" s="360" t="s">
        <v>83</v>
      </c>
      <c r="AJ461" s="361" t="s">
        <v>574</v>
      </c>
      <c r="AK461" s="362" t="s">
        <v>2557</v>
      </c>
      <c r="AL461" s="358" t="s">
        <v>103</v>
      </c>
      <c r="AM461" s="349"/>
      <c r="AN461" s="349"/>
      <c r="AO461" s="349"/>
      <c r="AP461" s="349"/>
      <c r="AQ461" s="349" t="s">
        <v>2558</v>
      </c>
      <c r="AR461" s="349"/>
      <c r="AS461" s="397" t="s">
        <v>103</v>
      </c>
      <c r="AT461" s="463"/>
      <c r="AU461" s="463"/>
      <c r="AV461" s="463"/>
      <c r="AW461" s="463"/>
      <c r="AX461" s="463"/>
      <c r="AY461" s="463"/>
      <c r="AZ461" s="463"/>
      <c r="BA461" s="463"/>
      <c r="BB461" s="463"/>
      <c r="BC461" s="463"/>
      <c r="BD461" s="463"/>
      <c r="BE461" s="463"/>
      <c r="BF461" s="463"/>
      <c r="BG461" s="463"/>
      <c r="BH461" s="463"/>
      <c r="BI461" s="463"/>
      <c r="BJ461" s="463">
        <f>COUNTIF(AT461:BI461,"*OP*")</f>
        <v>0</v>
      </c>
      <c r="BK461" s="397" t="s">
        <v>103</v>
      </c>
      <c r="BL461" s="349">
        <f>(COUNTIF(AT461:AV461,"*OK*")*3) + (COUNTIF(AW461:AY461,"*OK*")*2) + COUNTIF(AZ461:BB461,"*OK*")+COUNTIF(BK461:BK461,"SI")*0.5</f>
        <v>0</v>
      </c>
      <c r="BM461" s="349" t="str">
        <f>IF(BL461&lt;0.6,"Demasiado Riesgo",IF(BL461&lt;=5,"Riesgo Medio",IF(BL461&lt;=11,"Riesgo Bajo","Cliente Blindado")))</f>
        <v>Demasiado Riesgo</v>
      </c>
      <c r="BN461" s="349"/>
      <c r="BO461" s="349"/>
      <c r="BP461" s="349">
        <v>0</v>
      </c>
      <c r="BQ461" s="349"/>
      <c r="BR461" s="349"/>
      <c r="BS461" s="349"/>
      <c r="BT461" s="349"/>
      <c r="BU461" s="349"/>
      <c r="BV461" s="349"/>
      <c r="BW461" s="349"/>
      <c r="BX461" s="349"/>
      <c r="BY461" s="349"/>
      <c r="BZ461" s="349"/>
      <c r="CA461" s="349"/>
      <c r="CB461" s="349"/>
      <c r="CC461" s="349"/>
      <c r="CD461" s="349"/>
      <c r="CE461" s="349"/>
      <c r="CF461" s="349"/>
      <c r="CG461" s="349"/>
      <c r="CH461" s="349"/>
      <c r="CI461" s="349"/>
      <c r="CJ461" s="349"/>
      <c r="CK461" s="349"/>
      <c r="CL461" s="349">
        <f>COUNTIF(AT461:BH461,"*OK*")</f>
        <v>0</v>
      </c>
      <c r="CM461" s="349"/>
      <c r="CN461" s="349">
        <f>COUNTIF(AT461:BH461,"*OP*")</f>
        <v>0</v>
      </c>
    </row>
    <row r="462" spans="1:94" ht="15" customHeight="1">
      <c r="A462" s="835">
        <v>32858</v>
      </c>
      <c r="B462" s="349"/>
      <c r="C462" s="329">
        <f t="shared" si="9"/>
        <v>0</v>
      </c>
      <c r="D462" s="352">
        <f>COUNTIF(AT462:BH462,"*OK*")</f>
        <v>0</v>
      </c>
      <c r="E462" s="351" t="s">
        <v>439</v>
      </c>
      <c r="F462" s="350" t="s">
        <v>2559</v>
      </c>
      <c r="G462" s="351"/>
      <c r="H462" s="650">
        <f>IF(LEN(TRIM($G462&amp;""))=0, $C462, SUMIF($G$3:$G$561, TRIM($G462), $C$3:$C$561))</f>
        <v>0</v>
      </c>
      <c r="I462" s="413"/>
      <c r="J462" s="328" t="s">
        <v>2560</v>
      </c>
      <c r="K462" s="349"/>
      <c r="L462" s="349"/>
      <c r="M462" s="553"/>
      <c r="N462" s="352"/>
      <c r="O462" s="540" t="s">
        <v>1456</v>
      </c>
      <c r="P462" s="540" t="s">
        <v>2561</v>
      </c>
      <c r="Q462" s="540" t="s">
        <v>2562</v>
      </c>
      <c r="R462" s="352"/>
      <c r="S462" s="352"/>
      <c r="T462" s="351"/>
      <c r="U462" s="354" t="s">
        <v>82</v>
      </c>
      <c r="V462" s="710"/>
      <c r="W462" s="710">
        <v>77</v>
      </c>
      <c r="X462" s="710">
        <v>76</v>
      </c>
      <c r="Y462" s="713" t="s">
        <v>103</v>
      </c>
      <c r="Z462" s="337"/>
      <c r="AA462" s="458" t="s">
        <v>103</v>
      </c>
      <c r="AB462" s="347"/>
      <c r="AC462" s="638"/>
      <c r="AD462" s="347"/>
      <c r="AE462" s="357">
        <v>84</v>
      </c>
      <c r="AF462" s="358">
        <v>100</v>
      </c>
      <c r="AG462" s="354"/>
      <c r="AH462" s="359"/>
      <c r="AI462" s="360" t="s">
        <v>83</v>
      </c>
      <c r="AJ462" s="361" t="s">
        <v>297</v>
      </c>
      <c r="AK462" s="362" t="s">
        <v>2563</v>
      </c>
      <c r="AL462" s="358" t="s">
        <v>103</v>
      </c>
      <c r="AM462" s="349"/>
      <c r="AN462" s="349"/>
      <c r="AO462" s="349"/>
      <c r="AP462" s="349"/>
      <c r="AQ462" s="349"/>
      <c r="AR462" s="349"/>
      <c r="AS462" s="397"/>
      <c r="AT462" s="462"/>
      <c r="AU462" s="462"/>
      <c r="AV462" s="462"/>
      <c r="AW462" s="462"/>
      <c r="AX462" s="462"/>
      <c r="AY462" s="462"/>
      <c r="AZ462" s="462"/>
      <c r="BA462" s="462"/>
      <c r="BB462" s="462"/>
      <c r="BC462" s="462"/>
      <c r="BD462" s="462"/>
      <c r="BE462" s="462"/>
      <c r="BF462" s="462"/>
      <c r="BG462" s="462"/>
      <c r="BH462" s="462"/>
      <c r="BI462" s="462"/>
      <c r="BJ462" s="463">
        <f>COUNTIF(AT462:BI462,"*OP*")</f>
        <v>0</v>
      </c>
      <c r="BK462" s="397"/>
      <c r="BL462" s="349">
        <f>(COUNTIF(AT462:AV462,"*OK*")*3) + (COUNTIF(AW462:AY462,"*OK*")*2) + COUNTIF(AZ462:BB462,"*OK*")+COUNTIF(BK462:BK462,"SI")*0.5</f>
        <v>0</v>
      </c>
      <c r="BM462" s="349"/>
      <c r="BN462" s="349"/>
      <c r="BO462" s="328"/>
      <c r="BP462" s="328">
        <v>0</v>
      </c>
      <c r="BQ462" s="328"/>
      <c r="BR462" s="328"/>
      <c r="BS462" s="328"/>
      <c r="BT462" s="328"/>
      <c r="BU462" s="328"/>
      <c r="BV462" s="328"/>
      <c r="BW462" s="328"/>
      <c r="BX462" s="328"/>
      <c r="BY462" s="328"/>
      <c r="BZ462" s="328"/>
      <c r="CA462" s="328"/>
      <c r="CB462" s="328"/>
      <c r="CC462" s="328"/>
      <c r="CD462" s="328"/>
      <c r="CE462" s="328"/>
      <c r="CF462" s="328"/>
      <c r="CG462" s="328"/>
      <c r="CH462" s="328"/>
      <c r="CI462" s="328"/>
      <c r="CJ462" s="328"/>
      <c r="CK462" s="328"/>
      <c r="CL462" s="328">
        <f>COUNTIF(AT462:BH462,"*OK*")</f>
        <v>0</v>
      </c>
      <c r="CM462" s="328"/>
      <c r="CN462" s="328">
        <f>COUNTIF(AT462:BH462,"*OP*")</f>
        <v>0</v>
      </c>
    </row>
    <row r="463" spans="1:94" ht="15" customHeight="1">
      <c r="A463" s="834">
        <v>36944</v>
      </c>
      <c r="B463" s="531" t="s">
        <v>2564</v>
      </c>
      <c r="C463" s="329">
        <f t="shared" si="9"/>
        <v>0</v>
      </c>
      <c r="D463" s="332">
        <f>COUNTIF(AT463:BH463,"*OK*")</f>
        <v>0</v>
      </c>
      <c r="E463" s="397" t="s">
        <v>782</v>
      </c>
      <c r="F463" s="331" t="s">
        <v>2565</v>
      </c>
      <c r="G463" s="331"/>
      <c r="H463" s="650">
        <f>IF(LEN(TRIM($G463&amp;""))=0, $C463, SUMIF($G$3:$G$561, TRIM($G463), $C$3:$C$561))</f>
        <v>0</v>
      </c>
      <c r="I463" s="333" t="s">
        <v>562</v>
      </c>
      <c r="J463" s="331"/>
      <c r="K463" s="328"/>
      <c r="L463" s="328" t="str">
        <f>HYPERLINK("https://crm.zoho.com/crm/org685875245/tab/Accounts/3525045000577488751","https://crm.zoho.com/crm/org685875245/tab/Accounts/3525045000577488751")</f>
        <v>https://crm.zoho.com/crm/org685875245/tab/Accounts/3525045000577488751</v>
      </c>
      <c r="M463" s="391"/>
      <c r="N463" s="332" t="s">
        <v>817</v>
      </c>
      <c r="O463" s="541" t="s">
        <v>2566</v>
      </c>
      <c r="P463" s="541" t="s">
        <v>2567</v>
      </c>
      <c r="Q463" s="541" t="s">
        <v>2568</v>
      </c>
      <c r="R463" s="332"/>
      <c r="S463" s="332"/>
      <c r="T463" s="397"/>
      <c r="U463" s="344" t="s">
        <v>285</v>
      </c>
      <c r="V463" s="705"/>
      <c r="W463" s="705"/>
      <c r="X463" s="705">
        <v>237.47</v>
      </c>
      <c r="Y463" s="714">
        <v>128.83000000000001</v>
      </c>
      <c r="Z463" s="337">
        <v>183.71199999999999</v>
      </c>
      <c r="AA463" s="459">
        <v>179.41</v>
      </c>
      <c r="AB463" s="365"/>
      <c r="AC463" s="635"/>
      <c r="AD463" s="365"/>
      <c r="AE463" s="339"/>
      <c r="AF463" s="340">
        <v>100</v>
      </c>
      <c r="AG463" s="334"/>
      <c r="AH463" s="341"/>
      <c r="AI463" s="418" t="s">
        <v>83</v>
      </c>
      <c r="AJ463" s="343" t="s">
        <v>297</v>
      </c>
      <c r="AK463" s="344" t="s">
        <v>2569</v>
      </c>
      <c r="AL463" s="340" t="s">
        <v>829</v>
      </c>
      <c r="AM463" s="328"/>
      <c r="AN463" s="328"/>
      <c r="AO463" s="328"/>
      <c r="AP463" s="328"/>
      <c r="AQ463" s="328"/>
      <c r="AR463" s="328"/>
      <c r="AS463" s="366" t="s">
        <v>103</v>
      </c>
      <c r="AT463" s="462"/>
      <c r="AU463" s="462"/>
      <c r="AV463" s="462"/>
      <c r="AW463" s="462"/>
      <c r="AX463" s="462"/>
      <c r="AY463" s="462"/>
      <c r="AZ463" s="462"/>
      <c r="BA463" s="462"/>
      <c r="BB463" s="462"/>
      <c r="BC463" s="462"/>
      <c r="BD463" s="462"/>
      <c r="BE463" s="462"/>
      <c r="BF463" s="462"/>
      <c r="BG463" s="462"/>
      <c r="BH463" s="462"/>
      <c r="BI463" s="462"/>
      <c r="BJ463" s="463">
        <f>COUNTIF(AT463:BI463,"*OP*")</f>
        <v>0</v>
      </c>
      <c r="BK463" s="366" t="s">
        <v>103</v>
      </c>
      <c r="BL463" s="328">
        <f>(COUNTIF(AT463:AV463,"*OK*")*3) + (COUNTIF(AW463:AY463,"*OK*")*2) + COUNTIF(AZ463:BB463,"*OK*")+COUNTIF(BK463:BK463,"SI")*0.5</f>
        <v>0</v>
      </c>
      <c r="BM463" s="328" t="str">
        <f>IF(BL463&lt;0.6,"Demasiado Riesgo",IF(BL463&lt;=5,"Riesgo Medio",IF(BL463&lt;=11,"Riesgo Bajo","Cliente Blindado")))</f>
        <v>Demasiado Riesgo</v>
      </c>
      <c r="BN463" s="328"/>
      <c r="BO463" s="349"/>
      <c r="BP463" s="349">
        <v>0</v>
      </c>
      <c r="BQ463" s="349"/>
      <c r="BR463" s="349"/>
      <c r="BS463" s="349"/>
      <c r="BT463" s="349"/>
      <c r="BU463" s="349"/>
      <c r="BV463" s="349"/>
      <c r="BW463" s="349"/>
      <c r="BX463" s="349"/>
      <c r="BY463" s="349"/>
      <c r="BZ463" s="349"/>
      <c r="CA463" s="349"/>
      <c r="CB463" s="349"/>
      <c r="CC463" s="349"/>
      <c r="CD463" s="349"/>
      <c r="CE463" s="349"/>
      <c r="CF463" s="349"/>
      <c r="CG463" s="349"/>
      <c r="CH463" s="349"/>
      <c r="CI463" s="349"/>
      <c r="CJ463" s="349"/>
      <c r="CK463" s="349"/>
      <c r="CL463" s="349">
        <f>COUNTIF(AT463:BH463,"*OK*")</f>
        <v>0</v>
      </c>
      <c r="CM463" s="349"/>
      <c r="CN463" s="349">
        <f>COUNTIF(AT463:BH463,"*OP*")</f>
        <v>0</v>
      </c>
      <c r="CO463" s="285"/>
    </row>
    <row r="464" spans="1:94" ht="15" customHeight="1">
      <c r="A464" s="834">
        <v>26558</v>
      </c>
      <c r="B464" s="328" t="s">
        <v>2570</v>
      </c>
      <c r="C464" s="329">
        <f t="shared" si="9"/>
        <v>0</v>
      </c>
      <c r="D464" s="332">
        <f>COUNTIF(AT464:BH464,"*OK*")</f>
        <v>0</v>
      </c>
      <c r="E464" s="331" t="s">
        <v>439</v>
      </c>
      <c r="F464" s="424" t="s">
        <v>2571</v>
      </c>
      <c r="G464" s="331"/>
      <c r="H464" s="650">
        <f>IF(LEN(TRIM($G464&amp;""))=0, $C464, SUMIF($G$3:$G$561, TRIM($G464), $C$3:$C$561))</f>
        <v>0</v>
      </c>
      <c r="I464" s="410" t="s">
        <v>562</v>
      </c>
      <c r="J464" s="331"/>
      <c r="K464" s="328"/>
      <c r="L464" s="328" t="str">
        <f>HYPERLINK("https://crm.zoho.com/crm/org685875245/tab/Accounts/3525045000357175171","https://crm.zoho.com/crm/org685875245/tab/Accounts/3525045000357175171")</f>
        <v>https://crm.zoho.com/crm/org685875245/tab/Accounts/3525045000357175171</v>
      </c>
      <c r="M464" s="391" t="s">
        <v>787</v>
      </c>
      <c r="N464" s="332" t="s">
        <v>2572</v>
      </c>
      <c r="O464" s="541"/>
      <c r="P464" s="541"/>
      <c r="Q464" s="541"/>
      <c r="R464" s="332"/>
      <c r="S464" s="332"/>
      <c r="T464" s="331"/>
      <c r="U464" s="334" t="s">
        <v>198</v>
      </c>
      <c r="V464" s="705">
        <v>201.27</v>
      </c>
      <c r="W464" s="705">
        <v>184.78</v>
      </c>
      <c r="X464" s="705">
        <v>176.09</v>
      </c>
      <c r="Y464" s="714">
        <v>181.76</v>
      </c>
      <c r="Z464" s="337">
        <v>184.232</v>
      </c>
      <c r="AA464" s="459">
        <v>182.21</v>
      </c>
      <c r="AB464" s="365"/>
      <c r="AC464" s="635"/>
      <c r="AD464" s="365"/>
      <c r="AE464" s="339">
        <v>0</v>
      </c>
      <c r="AF464" s="340">
        <v>400</v>
      </c>
      <c r="AG464" s="334"/>
      <c r="AH464" s="341"/>
      <c r="AI464" s="343" t="s">
        <v>258</v>
      </c>
      <c r="AJ464" s="343" t="s">
        <v>130</v>
      </c>
      <c r="AK464" s="344" t="s">
        <v>2573</v>
      </c>
      <c r="AL464" s="340" t="s">
        <v>103</v>
      </c>
      <c r="AM464" s="328"/>
      <c r="AN464" s="328"/>
      <c r="AO464" s="328"/>
      <c r="AP464" s="328"/>
      <c r="AQ464" s="328" t="s">
        <v>2574</v>
      </c>
      <c r="AR464" s="328"/>
      <c r="AS464" s="366" t="s">
        <v>88</v>
      </c>
      <c r="AT464" s="462"/>
      <c r="AU464" s="462"/>
      <c r="AV464" s="462"/>
      <c r="AW464" s="462"/>
      <c r="AX464" s="462"/>
      <c r="AY464" s="462"/>
      <c r="AZ464" s="462"/>
      <c r="BA464" s="462"/>
      <c r="BB464" s="462"/>
      <c r="BC464" s="462"/>
      <c r="BD464" s="462"/>
      <c r="BE464" s="462"/>
      <c r="BF464" s="462"/>
      <c r="BG464" s="462"/>
      <c r="BH464" s="462"/>
      <c r="BI464" s="462" t="s">
        <v>179</v>
      </c>
      <c r="BJ464" s="463">
        <f>COUNTIF(AT464:BI464,"*OP*")</f>
        <v>1</v>
      </c>
      <c r="BK464" s="366" t="s">
        <v>89</v>
      </c>
      <c r="BL464" s="328">
        <f>(COUNTIF(AT464:AV464,"*OK*")*3) + (COUNTIF(AW464:AY464,"*OK*")*2) + COUNTIF(AZ464:BB464,"*OK*")+COUNTIF(BK464:BK464,"SI")*0.5</f>
        <v>0</v>
      </c>
      <c r="BM464" s="328" t="str">
        <f>IF(BL464&lt;0.6,"Demasiado Riesgo",IF(BL464&lt;=5,"Riesgo Medio",IF(BL464&lt;=11,"Riesgo Bajo","Cliente Blindado")))</f>
        <v>Demasiado Riesgo</v>
      </c>
      <c r="BN464" s="328"/>
      <c r="BO464" s="328"/>
      <c r="BP464" s="328">
        <v>0</v>
      </c>
      <c r="BQ464" s="328"/>
      <c r="BR464" s="328"/>
      <c r="BS464" s="328"/>
      <c r="BT464" s="328"/>
      <c r="BU464" s="328"/>
      <c r="BV464" s="328"/>
      <c r="BW464" s="328"/>
      <c r="BX464" s="328"/>
      <c r="BY464" s="328"/>
      <c r="BZ464" s="328"/>
      <c r="CA464" s="328"/>
      <c r="CB464" s="328"/>
      <c r="CC464" s="328"/>
      <c r="CD464" s="328"/>
      <c r="CE464" s="328"/>
      <c r="CF464" s="328"/>
      <c r="CG464" s="328"/>
      <c r="CH464" s="328"/>
      <c r="CI464" s="328"/>
      <c r="CJ464" s="328"/>
      <c r="CK464" s="328"/>
      <c r="CL464" s="328">
        <f>COUNTIF(AT464:BH464,"*OK*")</f>
        <v>0</v>
      </c>
      <c r="CM464" s="328"/>
      <c r="CN464" s="328">
        <f>COUNTIF(AT464:BH464,"*OP*")</f>
        <v>0</v>
      </c>
    </row>
    <row r="465" spans="1:94" ht="15" customHeight="1">
      <c r="A465" s="834">
        <v>31808</v>
      </c>
      <c r="B465" s="328" t="s">
        <v>2575</v>
      </c>
      <c r="C465" s="329">
        <f t="shared" si="9"/>
        <v>0</v>
      </c>
      <c r="D465" s="332">
        <f>COUNTIF(AT465:BH465,"*OK*")</f>
        <v>0</v>
      </c>
      <c r="E465" s="331" t="s">
        <v>439</v>
      </c>
      <c r="F465" s="438" t="s">
        <v>2576</v>
      </c>
      <c r="G465" s="331"/>
      <c r="H465" s="650">
        <f>IF(LEN(TRIM($G465&amp;""))=0, $C465, SUMIF($G$3:$G$561, TRIM($G465), $C$3:$C$561))</f>
        <v>0</v>
      </c>
      <c r="I465" s="410" t="s">
        <v>562</v>
      </c>
      <c r="J465" s="331"/>
      <c r="K465" s="328"/>
      <c r="L465" s="328" t="str">
        <f>HYPERLINK("https://crm.zoho.com/crm/org685875245/tab/Accounts/3525045000366468194","https://crm.zoho.com/crm/org685875245/tab/Accounts/3525045000366468194")</f>
        <v>https://crm.zoho.com/crm/org685875245/tab/Accounts/3525045000366468194</v>
      </c>
      <c r="M465" s="391" t="s">
        <v>787</v>
      </c>
      <c r="N465" s="332"/>
      <c r="O465" s="541" t="s">
        <v>810</v>
      </c>
      <c r="P465" s="541" t="s">
        <v>2577</v>
      </c>
      <c r="Q465" s="541" t="s">
        <v>2578</v>
      </c>
      <c r="R465" s="332"/>
      <c r="S465" s="332"/>
      <c r="T465" s="331"/>
      <c r="U465" s="334" t="s">
        <v>198</v>
      </c>
      <c r="V465" s="705">
        <v>288.32</v>
      </c>
      <c r="W465" s="705">
        <v>352.41</v>
      </c>
      <c r="X465" s="705">
        <v>359.21</v>
      </c>
      <c r="Y465" s="714">
        <v>235.12</v>
      </c>
      <c r="Z465" s="337">
        <v>345.20760000000001</v>
      </c>
      <c r="AA465" s="656">
        <v>374.66</v>
      </c>
      <c r="AB465" s="367"/>
      <c r="AC465" s="636"/>
      <c r="AD465" s="367"/>
      <c r="AE465" s="339"/>
      <c r="AF465" s="340">
        <v>200</v>
      </c>
      <c r="AG465" s="334"/>
      <c r="AH465" s="341"/>
      <c r="AI465" s="418" t="s">
        <v>83</v>
      </c>
      <c r="AJ465" s="343" t="s">
        <v>101</v>
      </c>
      <c r="AK465" s="344" t="s">
        <v>2579</v>
      </c>
      <c r="AL465" s="340" t="s">
        <v>224</v>
      </c>
      <c r="AM465" s="328"/>
      <c r="AN465" s="328"/>
      <c r="AO465" s="328"/>
      <c r="AP465" s="328"/>
      <c r="AQ465" s="328"/>
      <c r="AR465" s="328"/>
      <c r="AS465" s="366" t="s">
        <v>88</v>
      </c>
      <c r="AT465" s="462"/>
      <c r="AU465" s="462"/>
      <c r="AV465" s="462"/>
      <c r="AW465" s="462"/>
      <c r="AX465" s="462"/>
      <c r="AY465" s="462"/>
      <c r="AZ465" s="462"/>
      <c r="BA465" s="462"/>
      <c r="BB465" s="462"/>
      <c r="BC465" s="462"/>
      <c r="BD465" s="462"/>
      <c r="BE465" s="462"/>
      <c r="BF465" s="462"/>
      <c r="BG465" s="462"/>
      <c r="BH465" s="462"/>
      <c r="BI465" s="462"/>
      <c r="BJ465" s="463">
        <f>COUNTIF(AT465:BI465,"*OP*")</f>
        <v>0</v>
      </c>
      <c r="BK465" s="366" t="s">
        <v>89</v>
      </c>
      <c r="BL465" s="328">
        <f>(COUNTIF(AT465:AV465,"*OK*")*3) + (COUNTIF(AW465:AY465,"*OK*")*2) + COUNTIF(AZ465:BB465,"*OK*")+COUNTIF(BK465:BK465,"SI")*0.5</f>
        <v>0</v>
      </c>
      <c r="BM465" s="328" t="str">
        <f>IF(BL465&lt;0.6,"Demasiado Riesgo",IF(BL465&lt;=5,"Riesgo Medio",IF(BL465&lt;=11,"Riesgo Bajo","Cliente Blindado")))</f>
        <v>Demasiado Riesgo</v>
      </c>
      <c r="BN465" s="328"/>
      <c r="BO465" s="328"/>
      <c r="BP465" s="328">
        <v>0</v>
      </c>
      <c r="BQ465" s="328"/>
      <c r="BR465" s="328"/>
      <c r="BS465" s="328"/>
      <c r="BT465" s="328"/>
      <c r="BU465" s="328"/>
      <c r="BV465" s="328"/>
      <c r="BW465" s="328"/>
      <c r="BX465" s="328"/>
      <c r="BY465" s="328"/>
      <c r="BZ465" s="328"/>
      <c r="CA465" s="328"/>
      <c r="CB465" s="328"/>
      <c r="CC465" s="328"/>
      <c r="CD465" s="328"/>
      <c r="CE465" s="328"/>
      <c r="CF465" s="328"/>
      <c r="CG465" s="328"/>
      <c r="CH465" s="328"/>
      <c r="CI465" s="328"/>
      <c r="CJ465" s="328"/>
      <c r="CK465" s="328"/>
      <c r="CL465" s="328">
        <f>COUNTIF(AT465:BH465,"*OK*")</f>
        <v>0</v>
      </c>
      <c r="CM465" s="328"/>
      <c r="CN465" s="328">
        <f>COUNTIF(AT465:BH465,"*OP*")</f>
        <v>0</v>
      </c>
    </row>
    <row r="466" spans="1:94" ht="15" customHeight="1">
      <c r="A466" s="834">
        <v>37050</v>
      </c>
      <c r="B466" s="531" t="s">
        <v>2580</v>
      </c>
      <c r="C466" s="329">
        <f t="shared" si="9"/>
        <v>0</v>
      </c>
      <c r="D466" s="332">
        <f>COUNTIF(AT466:BH466,"*OK*")</f>
        <v>0</v>
      </c>
      <c r="E466" s="331" t="s">
        <v>782</v>
      </c>
      <c r="F466" s="330" t="s">
        <v>2581</v>
      </c>
      <c r="G466" s="331"/>
      <c r="H466" s="650">
        <f>IF(LEN(TRIM($G466&amp;""))=0, $C466, SUMIF($G$3:$G$561, TRIM($G466), $C$3:$C$561))</f>
        <v>0</v>
      </c>
      <c r="I466" s="333" t="s">
        <v>562</v>
      </c>
      <c r="J466" s="331"/>
      <c r="K466" s="328"/>
      <c r="L466" s="328" t="str">
        <f>HYPERLINK("https://crm.zoho.com/crm/org685875245/tab/Accounts/3525045000555859681","https://crm.zoho.com/crm/org685875245/tab/Accounts/3525045000555859681")</f>
        <v>https://crm.zoho.com/crm/org685875245/tab/Accounts/3525045000555859681</v>
      </c>
      <c r="M466" s="391" t="s">
        <v>787</v>
      </c>
      <c r="N466" s="332"/>
      <c r="O466" s="541" t="s">
        <v>2582</v>
      </c>
      <c r="P466" s="541" t="s">
        <v>2583</v>
      </c>
      <c r="Q466" s="541" t="s">
        <v>2584</v>
      </c>
      <c r="R466" s="332"/>
      <c r="S466" s="332"/>
      <c r="T466" s="331" t="s">
        <v>88</v>
      </c>
      <c r="U466" s="344" t="s">
        <v>233</v>
      </c>
      <c r="V466" s="705"/>
      <c r="W466" s="705"/>
      <c r="X466" s="705">
        <v>323.07</v>
      </c>
      <c r="Y466" s="714">
        <v>20.52</v>
      </c>
      <c r="Z466" s="337">
        <v>119.5861</v>
      </c>
      <c r="AA466" s="458">
        <v>110.56</v>
      </c>
      <c r="AB466" s="347"/>
      <c r="AC466" s="638"/>
      <c r="AD466" s="347"/>
      <c r="AE466" s="339"/>
      <c r="AF466" s="340">
        <v>500</v>
      </c>
      <c r="AG466" s="334"/>
      <c r="AH466" s="341"/>
      <c r="AI466" s="343" t="s">
        <v>83</v>
      </c>
      <c r="AJ466" s="343" t="s">
        <v>234</v>
      </c>
      <c r="AK466" s="344" t="s">
        <v>2585</v>
      </c>
      <c r="AL466" s="340" t="s">
        <v>2586</v>
      </c>
      <c r="AM466" s="328"/>
      <c r="AN466" s="328"/>
      <c r="AO466" s="328"/>
      <c r="AP466" s="328"/>
      <c r="AQ466" s="328"/>
      <c r="AR466" s="328"/>
      <c r="AS466" s="366" t="s">
        <v>103</v>
      </c>
      <c r="AT466" s="737"/>
      <c r="AU466" s="737"/>
      <c r="AV466" s="737"/>
      <c r="AW466" s="737"/>
      <c r="AX466" s="737"/>
      <c r="AY466" s="737"/>
      <c r="AZ466" s="737"/>
      <c r="BA466" s="737"/>
      <c r="BB466" s="737"/>
      <c r="BC466" s="737"/>
      <c r="BD466" s="737"/>
      <c r="BE466" s="737"/>
      <c r="BF466" s="737"/>
      <c r="BG466" s="737"/>
      <c r="BH466" s="737"/>
      <c r="BI466" s="737"/>
      <c r="BJ466" s="463">
        <f>COUNTIF(AT466:BI466,"*OP*")</f>
        <v>0</v>
      </c>
      <c r="BK466" s="366" t="s">
        <v>103</v>
      </c>
      <c r="BL466" s="328">
        <f>(COUNTIF(AT466:AV466,"*OK*")*3) + (COUNTIF(AW466:AY466,"*OK*")*2) + COUNTIF(AZ466:BB466,"*OK*")+COUNTIF(BK466:BK466,"SI")*0.5</f>
        <v>0</v>
      </c>
      <c r="BM466" s="328" t="str">
        <f>IF(BL466&lt;0.6,"Demasiado Riesgo",IF(BL466&lt;=5,"Riesgo Medio",IF(BL466&lt;=11,"Riesgo Bajo","Cliente Blindado")))</f>
        <v>Demasiado Riesgo</v>
      </c>
      <c r="BN466" s="328"/>
      <c r="BO466" s="349"/>
      <c r="BP466" s="349">
        <v>0</v>
      </c>
      <c r="BQ466" s="349"/>
      <c r="BR466" s="349"/>
      <c r="BS466" s="349"/>
      <c r="BT466" s="349"/>
      <c r="BU466" s="349"/>
      <c r="BV466" s="349"/>
      <c r="BW466" s="349"/>
      <c r="BX466" s="349"/>
      <c r="BY466" s="349"/>
      <c r="BZ466" s="349"/>
      <c r="CA466" s="349"/>
      <c r="CB466" s="349"/>
      <c r="CC466" s="349"/>
      <c r="CD466" s="349"/>
      <c r="CE466" s="349"/>
      <c r="CF466" s="349"/>
      <c r="CG466" s="349"/>
      <c r="CH466" s="349"/>
      <c r="CI466" s="349"/>
      <c r="CJ466" s="349"/>
      <c r="CK466" s="349"/>
      <c r="CL466" s="349">
        <f>COUNTIF(AT466:BH466,"*OK*")</f>
        <v>0</v>
      </c>
      <c r="CM466" s="349"/>
      <c r="CN466" s="349">
        <f>COUNTIF(AT466:BH466,"*OP*")</f>
        <v>0</v>
      </c>
    </row>
    <row r="467" spans="1:94" ht="15" customHeight="1">
      <c r="A467" s="834">
        <v>36918</v>
      </c>
      <c r="B467" s="531" t="s">
        <v>2587</v>
      </c>
      <c r="C467" s="329">
        <f t="shared" si="9"/>
        <v>0</v>
      </c>
      <c r="D467" s="332">
        <f>COUNTIF(AT467:BH467,"*OK*")</f>
        <v>0</v>
      </c>
      <c r="E467" s="437" t="s">
        <v>439</v>
      </c>
      <c r="F467" s="331" t="s">
        <v>2588</v>
      </c>
      <c r="G467" s="331"/>
      <c r="H467" s="650">
        <f>IF(LEN(TRIM($G467&amp;""))=0, $C467, SUMIF($G$3:$G$561, TRIM($G467), $C$3:$C$561))</f>
        <v>0</v>
      </c>
      <c r="I467" s="333" t="s">
        <v>562</v>
      </c>
      <c r="J467" s="331"/>
      <c r="K467" s="328"/>
      <c r="L467" s="328"/>
      <c r="M467" s="391"/>
      <c r="N467" s="332" t="s">
        <v>817</v>
      </c>
      <c r="O467" s="541" t="s">
        <v>2589</v>
      </c>
      <c r="P467" s="541" t="s">
        <v>2590</v>
      </c>
      <c r="Q467" s="541" t="s">
        <v>2591</v>
      </c>
      <c r="R467" s="332"/>
      <c r="S467" s="332"/>
      <c r="T467" s="397"/>
      <c r="U467" s="344" t="s">
        <v>82</v>
      </c>
      <c r="V467" s="705"/>
      <c r="W467" s="705"/>
      <c r="X467" s="705">
        <v>146.9</v>
      </c>
      <c r="Y467" s="714">
        <v>160.75</v>
      </c>
      <c r="Z467" s="337">
        <v>160.6036</v>
      </c>
      <c r="AA467" s="458">
        <v>140.56</v>
      </c>
      <c r="AB467" s="347">
        <v>178.6208</v>
      </c>
      <c r="AC467" s="638"/>
      <c r="AD467" s="347"/>
      <c r="AE467" s="339"/>
      <c r="AF467" s="340">
        <v>200</v>
      </c>
      <c r="AG467" s="334"/>
      <c r="AH467" s="341"/>
      <c r="AI467" s="418" t="s">
        <v>83</v>
      </c>
      <c r="AJ467" s="343" t="s">
        <v>297</v>
      </c>
      <c r="AK467" s="344" t="s">
        <v>2592</v>
      </c>
      <c r="AL467" s="340" t="s">
        <v>103</v>
      </c>
      <c r="AM467" s="328"/>
      <c r="AN467" s="328"/>
      <c r="AO467" s="328"/>
      <c r="AP467" s="328"/>
      <c r="AQ467" s="328"/>
      <c r="AR467" s="328"/>
      <c r="AS467" s="366" t="s">
        <v>103</v>
      </c>
      <c r="AT467" s="462"/>
      <c r="AU467" s="462"/>
      <c r="AV467" s="462"/>
      <c r="AW467" s="462"/>
      <c r="AX467" s="462"/>
      <c r="AY467" s="462"/>
      <c r="AZ467" s="462"/>
      <c r="BA467" s="462"/>
      <c r="BB467" s="462"/>
      <c r="BC467" s="462"/>
      <c r="BD467" s="462"/>
      <c r="BE467" s="462"/>
      <c r="BF467" s="462"/>
      <c r="BG467" s="462"/>
      <c r="BH467" s="462"/>
      <c r="BI467" s="462"/>
      <c r="BJ467" s="463">
        <f>COUNTIF(AT467:BI467,"*OP*")</f>
        <v>0</v>
      </c>
      <c r="BK467" s="366" t="s">
        <v>103</v>
      </c>
      <c r="BL467" s="328">
        <f>(COUNTIF(AT467:AV467,"*OK*")*3) + (COUNTIF(AW467:AY467,"*OK*")*2) + COUNTIF(AZ467:BB467,"*OK*")+COUNTIF(BK467:BK467,"SI")*0.5</f>
        <v>0</v>
      </c>
      <c r="BM467" s="328" t="str">
        <f>IF(BL467&lt;0.6,"Demasiado Riesgo",IF(BL467&lt;=5,"Riesgo Medio",IF(BL467&lt;=11,"Riesgo Bajo","Cliente Blindado")))</f>
        <v>Demasiado Riesgo</v>
      </c>
      <c r="BN467" s="328"/>
      <c r="BO467" s="349"/>
      <c r="BP467" s="349">
        <v>0</v>
      </c>
      <c r="BQ467" s="349"/>
      <c r="BR467" s="349"/>
      <c r="BS467" s="349"/>
      <c r="BT467" s="349"/>
      <c r="BU467" s="349"/>
      <c r="BV467" s="349"/>
      <c r="BW467" s="349"/>
      <c r="BX467" s="349"/>
      <c r="BY467" s="349"/>
      <c r="BZ467" s="349"/>
      <c r="CA467" s="349"/>
      <c r="CB467" s="349"/>
      <c r="CC467" s="349"/>
      <c r="CD467" s="349"/>
      <c r="CE467" s="349"/>
      <c r="CF467" s="349"/>
      <c r="CG467" s="349"/>
      <c r="CH467" s="349"/>
      <c r="CI467" s="349"/>
      <c r="CJ467" s="349"/>
      <c r="CK467" s="349"/>
      <c r="CL467" s="349">
        <f>COUNTIF(AT467:BH467,"*OK*")</f>
        <v>0</v>
      </c>
      <c r="CM467" s="349"/>
      <c r="CN467" s="349">
        <f>COUNTIF(AT467:BH467,"*OP*")</f>
        <v>0</v>
      </c>
    </row>
    <row r="468" spans="1:94" s="326" customFormat="1" ht="15" customHeight="1">
      <c r="A468" s="834">
        <v>23251</v>
      </c>
      <c r="B468" s="328" t="s">
        <v>2593</v>
      </c>
      <c r="C468" s="329">
        <f t="shared" si="9"/>
        <v>0</v>
      </c>
      <c r="D468" s="332">
        <f>COUNTIF(AT468:BH468,"*OK*")</f>
        <v>0</v>
      </c>
      <c r="E468" s="397" t="s">
        <v>439</v>
      </c>
      <c r="F468" s="331" t="s">
        <v>2594</v>
      </c>
      <c r="G468" s="331"/>
      <c r="H468" s="650">
        <f>IF(LEN(TRIM($G468&amp;""))=0, $C468, SUMIF($G$3:$G$561, TRIM($G468), $C$3:$C$561))</f>
        <v>0</v>
      </c>
      <c r="I468" s="333" t="s">
        <v>562</v>
      </c>
      <c r="J468" s="331" t="s">
        <v>2595</v>
      </c>
      <c r="K468" s="328"/>
      <c r="L468" s="328"/>
      <c r="M468" s="391"/>
      <c r="N468" s="332" t="s">
        <v>817</v>
      </c>
      <c r="O468" s="541" t="s">
        <v>2596</v>
      </c>
      <c r="P468" s="541" t="s">
        <v>2597</v>
      </c>
      <c r="Q468" s="541" t="s">
        <v>2598</v>
      </c>
      <c r="R468" s="332"/>
      <c r="S468" s="332"/>
      <c r="T468" s="397"/>
      <c r="U468" s="344" t="s">
        <v>82</v>
      </c>
      <c r="V468" s="335">
        <v>134.71</v>
      </c>
      <c r="W468" s="335">
        <v>143</v>
      </c>
      <c r="X468" s="335">
        <v>144.29</v>
      </c>
      <c r="Y468" s="510">
        <v>148.93</v>
      </c>
      <c r="Z468" s="516">
        <v>161.00110000000001</v>
      </c>
      <c r="AA468" s="520">
        <v>150.94</v>
      </c>
      <c r="AB468" s="520"/>
      <c r="AC468" s="644"/>
      <c r="AD468" s="520"/>
      <c r="AE468" s="339">
        <v>89</v>
      </c>
      <c r="AF468" s="340">
        <v>100</v>
      </c>
      <c r="AG468" s="334"/>
      <c r="AH468" s="341"/>
      <c r="AI468" s="418" t="s">
        <v>83</v>
      </c>
      <c r="AJ468" s="343" t="s">
        <v>120</v>
      </c>
      <c r="AK468" s="344" t="s">
        <v>2599</v>
      </c>
      <c r="AL468" s="340" t="s">
        <v>103</v>
      </c>
      <c r="AM468" s="328"/>
      <c r="AN468" s="328"/>
      <c r="AO468" s="328"/>
      <c r="AP468" s="328"/>
      <c r="AQ468" s="328"/>
      <c r="AR468" s="328"/>
      <c r="AS468" s="366" t="s">
        <v>103</v>
      </c>
      <c r="AT468" s="462"/>
      <c r="AU468" s="462"/>
      <c r="AV468" s="462"/>
      <c r="AW468" s="462"/>
      <c r="AX468" s="462"/>
      <c r="AY468" s="462"/>
      <c r="AZ468" s="462"/>
      <c r="BA468" s="462"/>
      <c r="BB468" s="462"/>
      <c r="BC468" s="462"/>
      <c r="BD468" s="462"/>
      <c r="BE468" s="462"/>
      <c r="BF468" s="462"/>
      <c r="BG468" s="462"/>
      <c r="BH468" s="462"/>
      <c r="BI468" s="462"/>
      <c r="BJ468" s="463">
        <f>COUNTIF(AT468:BI468,"*OP*")</f>
        <v>0</v>
      </c>
      <c r="BK468" s="366" t="s">
        <v>103</v>
      </c>
      <c r="BL468" s="328">
        <f>(COUNTIF(AT468:AV468,"*OK*")*3) + (COUNTIF(AW468:AY468,"*OK*")*2) + COUNTIF(AZ468:BB468,"*OK*")+COUNTIF(BK468:BK468,"SI")*0.5</f>
        <v>0</v>
      </c>
      <c r="BM468" s="328" t="str">
        <f>IF(BL468&lt;0.6,"Demasiado Riesgo",IF(BL468&lt;=5,"Riesgo Medio",IF(BL468&lt;=11,"Riesgo Bajo","Cliente Blindado")))</f>
        <v>Demasiado Riesgo</v>
      </c>
      <c r="BN468" s="328"/>
      <c r="BO468" s="349"/>
      <c r="BP468" s="349">
        <v>0</v>
      </c>
      <c r="BQ468" s="349"/>
      <c r="BR468" s="349"/>
      <c r="BS468" s="349"/>
      <c r="BT468" s="349"/>
      <c r="BU468" s="349"/>
      <c r="BV468" s="349"/>
      <c r="BW468" s="349"/>
      <c r="BX468" s="349"/>
      <c r="BY468" s="349"/>
      <c r="BZ468" s="349"/>
      <c r="CA468" s="349"/>
      <c r="CB468" s="349"/>
      <c r="CC468" s="349"/>
      <c r="CD468" s="349"/>
      <c r="CE468" s="349"/>
      <c r="CF468" s="349"/>
      <c r="CG468" s="349"/>
      <c r="CH468" s="349"/>
      <c r="CI468" s="349"/>
      <c r="CJ468" s="349"/>
      <c r="CK468" s="349"/>
      <c r="CL468" s="349">
        <f>COUNTIF(AT468:BH468,"*OK*")</f>
        <v>0</v>
      </c>
      <c r="CM468" s="349"/>
      <c r="CN468" s="349">
        <f>COUNTIF(AT468:BH468,"*OP*")</f>
        <v>0</v>
      </c>
      <c r="CO468" s="425"/>
      <c r="CP468" s="287"/>
    </row>
    <row r="469" spans="1:94" ht="15" customHeight="1">
      <c r="A469" s="834"/>
      <c r="B469" s="531" t="s">
        <v>2600</v>
      </c>
      <c r="C469" s="329">
        <f t="shared" si="9"/>
        <v>0</v>
      </c>
      <c r="D469" s="332">
        <f>COUNTIF(AT469:BH469,"*OK*")</f>
        <v>0</v>
      </c>
      <c r="E469" s="437" t="s">
        <v>439</v>
      </c>
      <c r="F469" s="668" t="s">
        <v>2601</v>
      </c>
      <c r="G469" s="499"/>
      <c r="H469" s="650">
        <f>IF(LEN(TRIM($G469&amp;""))=0, $C469, SUMIF($G$3:$G$561, TRIM($G469), $C$3:$C$561))</f>
        <v>0</v>
      </c>
      <c r="I469" s="499" t="s">
        <v>562</v>
      </c>
      <c r="J469" s="499"/>
      <c r="K469" s="328"/>
      <c r="L469" s="328" t="str">
        <f>HYPERLINK("https://crm.zoho.com/crm/org685875245/tab/Accounts/3525045000480962031","https://crm.zoho.com/crm/org685875245/tab/Accounts/3525045000480962031")</f>
        <v>https://crm.zoho.com/crm/org685875245/tab/Accounts/3525045000480962031</v>
      </c>
      <c r="M469" s="391" t="s">
        <v>525</v>
      </c>
      <c r="N469" s="504" t="s">
        <v>2602</v>
      </c>
      <c r="O469" s="551"/>
      <c r="P469" s="551"/>
      <c r="Q469" s="551"/>
      <c r="R469" s="504"/>
      <c r="S469" s="504"/>
      <c r="T469" s="666"/>
      <c r="U469" s="334" t="s">
        <v>209</v>
      </c>
      <c r="V469" s="507">
        <v>307.42</v>
      </c>
      <c r="W469" s="507">
        <v>307.14</v>
      </c>
      <c r="X469" s="507">
        <v>292.7</v>
      </c>
      <c r="Y469" s="509">
        <v>302.12</v>
      </c>
      <c r="Z469" s="514">
        <v>0</v>
      </c>
      <c r="AA469" s="520" t="s">
        <v>103</v>
      </c>
      <c r="AB469" s="520"/>
      <c r="AC469" s="644"/>
      <c r="AD469" s="520"/>
      <c r="AE469" s="339"/>
      <c r="AF469" s="340">
        <v>200</v>
      </c>
      <c r="AG469" s="334"/>
      <c r="AH469" s="341"/>
      <c r="AI469" s="343" t="s">
        <v>129</v>
      </c>
      <c r="AJ469" s="343" t="s">
        <v>130</v>
      </c>
      <c r="AK469" s="344" t="s">
        <v>2603</v>
      </c>
      <c r="AL469" s="340" t="s">
        <v>103</v>
      </c>
      <c r="AM469" s="328"/>
      <c r="AN469" s="328"/>
      <c r="AO469" s="328"/>
      <c r="AP469" s="328"/>
      <c r="AQ469" s="328"/>
      <c r="AR469" s="328"/>
      <c r="AS469" s="366" t="s">
        <v>103</v>
      </c>
      <c r="AT469" s="462"/>
      <c r="AU469" s="462"/>
      <c r="AV469" s="462"/>
      <c r="AW469" s="462"/>
      <c r="AX469" s="462"/>
      <c r="AY469" s="462"/>
      <c r="AZ469" s="462"/>
      <c r="BA469" s="462"/>
      <c r="BB469" s="462"/>
      <c r="BC469" s="462"/>
      <c r="BD469" s="462"/>
      <c r="BE469" s="462"/>
      <c r="BF469" s="462"/>
      <c r="BG469" s="462"/>
      <c r="BH469" s="462"/>
      <c r="BI469" s="462"/>
      <c r="BJ469" s="463">
        <f>COUNTIF(AT469:BI469,"*OP*")</f>
        <v>0</v>
      </c>
      <c r="BK469" s="366" t="s">
        <v>103</v>
      </c>
      <c r="BL469" s="328">
        <f>(COUNTIF(AT469:AV469,"*OK*")*3) + (COUNTIF(AW469:AY469,"*OK*")*2) + COUNTIF(AZ469:BB469,"*OK*")+COUNTIF(BK469:BK469,"SI")*0.5</f>
        <v>0</v>
      </c>
      <c r="BM469" s="328" t="str">
        <f>IF(BL469&lt;0.6,"Demasiado Riesgo",IF(BL469&lt;=5,"Riesgo Medio",IF(BL469&lt;=11,"Riesgo Bajo","Cliente Blindado")))</f>
        <v>Demasiado Riesgo</v>
      </c>
      <c r="BN469" s="328"/>
      <c r="BO469" s="349"/>
      <c r="BP469" s="349">
        <v>0</v>
      </c>
      <c r="BQ469" s="349"/>
      <c r="BR469" s="349"/>
      <c r="BS469" s="349"/>
      <c r="BT469" s="349"/>
      <c r="BU469" s="349"/>
      <c r="BV469" s="349"/>
      <c r="BW469" s="349"/>
      <c r="BX469" s="349"/>
      <c r="BY469" s="349"/>
      <c r="BZ469" s="349"/>
      <c r="CA469" s="349"/>
      <c r="CB469" s="349"/>
      <c r="CC469" s="349"/>
      <c r="CD469" s="349"/>
      <c r="CE469" s="349"/>
      <c r="CF469" s="349"/>
      <c r="CG469" s="349"/>
      <c r="CH469" s="349"/>
      <c r="CI469" s="349"/>
      <c r="CJ469" s="349"/>
      <c r="CK469" s="349"/>
      <c r="CL469" s="349">
        <f>COUNTIF(AT469:BH469,"*OK*")</f>
        <v>0</v>
      </c>
      <c r="CM469" s="349"/>
      <c r="CN469" s="349">
        <f>COUNTIF(AT469:BH469,"*OP*")</f>
        <v>0</v>
      </c>
    </row>
    <row r="470" spans="1:94" ht="15" customHeight="1">
      <c r="A470" s="835">
        <v>7146</v>
      </c>
      <c r="B470" s="530" t="s">
        <v>2604</v>
      </c>
      <c r="C470" s="329">
        <f t="shared" si="9"/>
        <v>0</v>
      </c>
      <c r="D470" s="352">
        <f>COUNTIF(AT470:BH470,"*OK*")</f>
        <v>0</v>
      </c>
      <c r="E470" s="437" t="s">
        <v>439</v>
      </c>
      <c r="F470" s="503" t="s">
        <v>2605</v>
      </c>
      <c r="G470" s="503"/>
      <c r="H470" s="650">
        <f>IF(LEN(TRIM($G470&amp;""))=0, $C470, SUMIF($G$3:$G$561, TRIM($G470), $C$3:$C$561))</f>
        <v>0</v>
      </c>
      <c r="I470" s="503" t="s">
        <v>562</v>
      </c>
      <c r="J470" s="503"/>
      <c r="K470" s="349"/>
      <c r="L470" s="349" t="str">
        <f>HYPERLINK("https://crm.zoho.com/crm/org685875245/tab/Accounts/3525045000097184104","https://crm.zoho.com/crm/org685875245/tab/Accounts/3525045000097184104")</f>
        <v>https://crm.zoho.com/crm/org685875245/tab/Accounts/3525045000097184104</v>
      </c>
      <c r="M470" s="553"/>
      <c r="N470" s="504" t="s">
        <v>817</v>
      </c>
      <c r="O470" s="551"/>
      <c r="P470" s="551"/>
      <c r="Q470" s="551"/>
      <c r="R470" s="504"/>
      <c r="S470" s="532"/>
      <c r="T470" s="363"/>
      <c r="U470" s="362" t="s">
        <v>82</v>
      </c>
      <c r="V470" s="508">
        <v>144.85</v>
      </c>
      <c r="W470" s="508">
        <v>128.63999999999999</v>
      </c>
      <c r="X470" s="508">
        <v>130.26</v>
      </c>
      <c r="Y470" s="512">
        <v>130.49</v>
      </c>
      <c r="Z470" s="514">
        <v>124.235</v>
      </c>
      <c r="AA470" s="520">
        <v>114.95</v>
      </c>
      <c r="AB470" s="520"/>
      <c r="AC470" s="644"/>
      <c r="AD470" s="520"/>
      <c r="AE470" s="357"/>
      <c r="AF470" s="358">
        <v>200</v>
      </c>
      <c r="AG470" s="354"/>
      <c r="AH470" s="359"/>
      <c r="AI470" s="360" t="s">
        <v>83</v>
      </c>
      <c r="AJ470" s="361" t="s">
        <v>396</v>
      </c>
      <c r="AK470" s="362" t="s">
        <v>2606</v>
      </c>
      <c r="AL470" s="358" t="s">
        <v>103</v>
      </c>
      <c r="AM470" s="349"/>
      <c r="AN470" s="349"/>
      <c r="AO470" s="349"/>
      <c r="AP470" s="349"/>
      <c r="AQ470" s="349"/>
      <c r="AR470" s="349"/>
      <c r="AS470" s="397" t="s">
        <v>103</v>
      </c>
      <c r="AT470" s="462"/>
      <c r="AU470" s="462"/>
      <c r="AV470" s="462"/>
      <c r="AW470" s="462"/>
      <c r="AX470" s="462"/>
      <c r="AY470" s="462"/>
      <c r="AZ470" s="462"/>
      <c r="BA470" s="462"/>
      <c r="BB470" s="462"/>
      <c r="BC470" s="462"/>
      <c r="BD470" s="462"/>
      <c r="BE470" s="462"/>
      <c r="BF470" s="462"/>
      <c r="BG470" s="462"/>
      <c r="BH470" s="462"/>
      <c r="BI470" s="462"/>
      <c r="BJ470" s="463">
        <f>COUNTIF(AT470:BI470,"*OP*")</f>
        <v>0</v>
      </c>
      <c r="BK470" s="397" t="s">
        <v>103</v>
      </c>
      <c r="BL470" s="349">
        <f>(COUNTIF(AT470:AV470,"*OK*")*3) + (COUNTIF(AW470:AY470,"*OK*")*2) + COUNTIF(AZ470:BB470,"*OK*")+COUNTIF(BK470:BK470,"SI")*0.5</f>
        <v>0</v>
      </c>
      <c r="BM470" s="349" t="str">
        <f>IF(BL470&lt;0.6,"Demasiado Riesgo",IF(BL470&lt;=5,"Riesgo Medio",IF(BL470&lt;=11,"Riesgo Bajo","Cliente Blindado")))</f>
        <v>Demasiado Riesgo</v>
      </c>
      <c r="BN470" s="349"/>
      <c r="BO470" s="349"/>
      <c r="BP470" s="349">
        <v>0</v>
      </c>
      <c r="BQ470" s="349"/>
      <c r="BR470" s="349"/>
      <c r="BS470" s="349"/>
      <c r="BT470" s="349"/>
      <c r="BU470" s="349"/>
      <c r="BV470" s="349"/>
      <c r="BW470" s="349"/>
      <c r="BX470" s="349"/>
      <c r="BY470" s="349"/>
      <c r="BZ470" s="349"/>
      <c r="CA470" s="349"/>
      <c r="CB470" s="349"/>
      <c r="CC470" s="349"/>
      <c r="CD470" s="349"/>
      <c r="CE470" s="349"/>
      <c r="CF470" s="349"/>
      <c r="CG470" s="349"/>
      <c r="CH470" s="349"/>
      <c r="CI470" s="349"/>
      <c r="CJ470" s="349"/>
      <c r="CK470" s="349"/>
      <c r="CL470" s="349">
        <f>COUNTIF(AT470:BH470,"*OK*")</f>
        <v>0</v>
      </c>
      <c r="CM470" s="349"/>
      <c r="CN470" s="349">
        <f>COUNTIF(AT470:BH470,"*OP*")</f>
        <v>0</v>
      </c>
    </row>
    <row r="471" spans="1:94" ht="15" customHeight="1">
      <c r="A471" s="834"/>
      <c r="B471" s="531" t="s">
        <v>2607</v>
      </c>
      <c r="C471" s="329">
        <f t="shared" si="9"/>
        <v>0</v>
      </c>
      <c r="D471" s="332">
        <f>COUNTIF(AT471:BH471,"*OK*")</f>
        <v>0</v>
      </c>
      <c r="E471" s="437" t="s">
        <v>439</v>
      </c>
      <c r="F471" s="524" t="s">
        <v>2608</v>
      </c>
      <c r="G471" s="499"/>
      <c r="H471" s="650">
        <f>IF(LEN(TRIM($G471&amp;""))=0, $C471, SUMIF($G$3:$G$561, TRIM($G471), $C$3:$C$561))</f>
        <v>0</v>
      </c>
      <c r="I471" s="505" t="s">
        <v>562</v>
      </c>
      <c r="J471" s="499"/>
      <c r="K471" s="328"/>
      <c r="L471" s="328"/>
      <c r="M471" s="391"/>
      <c r="N471" s="504" t="s">
        <v>817</v>
      </c>
      <c r="O471" s="551"/>
      <c r="P471" s="551"/>
      <c r="Q471" s="551"/>
      <c r="R471" s="504"/>
      <c r="S471" s="504"/>
      <c r="T471" s="363"/>
      <c r="U471" s="334" t="s">
        <v>82</v>
      </c>
      <c r="V471" s="507"/>
      <c r="W471" s="507"/>
      <c r="X471" s="507">
        <v>300.98</v>
      </c>
      <c r="Y471" s="509">
        <v>329.03</v>
      </c>
      <c r="Z471" s="514">
        <v>346.39530000000002</v>
      </c>
      <c r="AA471" s="519">
        <v>341.8</v>
      </c>
      <c r="AB471" s="519"/>
      <c r="AC471" s="645"/>
      <c r="AD471" s="519"/>
      <c r="AE471" s="339"/>
      <c r="AF471" s="340">
        <v>50</v>
      </c>
      <c r="AG471" s="334"/>
      <c r="AH471" s="341"/>
      <c r="AI471" s="418" t="s">
        <v>83</v>
      </c>
      <c r="AJ471" s="343" t="s">
        <v>396</v>
      </c>
      <c r="AK471" s="344" t="s">
        <v>2609</v>
      </c>
      <c r="AL471" s="340" t="s">
        <v>103</v>
      </c>
      <c r="AM471" s="328"/>
      <c r="AN471" s="328"/>
      <c r="AO471" s="328"/>
      <c r="AP471" s="328"/>
      <c r="AQ471" s="328"/>
      <c r="AR471" s="328"/>
      <c r="AS471" s="366" t="s">
        <v>103</v>
      </c>
      <c r="AT471" s="462"/>
      <c r="AU471" s="462"/>
      <c r="AV471" s="462"/>
      <c r="AW471" s="462"/>
      <c r="AX471" s="462"/>
      <c r="AY471" s="462"/>
      <c r="AZ471" s="462"/>
      <c r="BA471" s="462"/>
      <c r="BB471" s="462"/>
      <c r="BC471" s="462"/>
      <c r="BD471" s="462"/>
      <c r="BE471" s="462"/>
      <c r="BF471" s="462"/>
      <c r="BG471" s="462"/>
      <c r="BH471" s="462"/>
      <c r="BI471" s="462"/>
      <c r="BJ471" s="463">
        <f>COUNTIF(AT471:BI471,"*OP*")</f>
        <v>0</v>
      </c>
      <c r="BK471" s="366" t="s">
        <v>103</v>
      </c>
      <c r="BL471" s="328">
        <f>(COUNTIF(AT471:AV471,"*OK*")*3) + (COUNTIF(AW471:AY471,"*OK*")*2) + COUNTIF(AZ471:BB471,"*OK*")+COUNTIF(BK471:BK471,"SI")*0.5</f>
        <v>0</v>
      </c>
      <c r="BM471" s="328" t="str">
        <f>IF(BL471&lt;0.6,"Demasiado Riesgo",IF(BL471&lt;=5,"Riesgo Medio",IF(BL471&lt;=11,"Riesgo Bajo","Cliente Blindado")))</f>
        <v>Demasiado Riesgo</v>
      </c>
      <c r="BN471" s="328"/>
      <c r="BO471" s="349"/>
      <c r="BP471" s="349">
        <v>0</v>
      </c>
      <c r="BQ471" s="349"/>
      <c r="BR471" s="349"/>
      <c r="BS471" s="349"/>
      <c r="BT471" s="349"/>
      <c r="BU471" s="349"/>
      <c r="BV471" s="349"/>
      <c r="BW471" s="349"/>
      <c r="BX471" s="349"/>
      <c r="BY471" s="349"/>
      <c r="BZ471" s="349"/>
      <c r="CA471" s="349"/>
      <c r="CB471" s="349"/>
      <c r="CC471" s="349"/>
      <c r="CD471" s="349"/>
      <c r="CE471" s="349"/>
      <c r="CF471" s="349"/>
      <c r="CG471" s="349"/>
      <c r="CH471" s="349"/>
      <c r="CI471" s="349"/>
      <c r="CJ471" s="349"/>
      <c r="CK471" s="349"/>
      <c r="CL471" s="349">
        <f>COUNTIF(AT471:BH471,"*OK*")</f>
        <v>0</v>
      </c>
      <c r="CM471" s="349"/>
      <c r="CN471" s="349">
        <f>COUNTIF(AT471:BH471,"*OP*")</f>
        <v>0</v>
      </c>
    </row>
    <row r="472" spans="1:94" ht="15" customHeight="1">
      <c r="A472" s="834">
        <v>31646</v>
      </c>
      <c r="B472" s="328"/>
      <c r="C472" s="329">
        <f t="shared" si="9"/>
        <v>0</v>
      </c>
      <c r="D472" s="332">
        <f>COUNTIF(AT472:BH472,"*OK*")</f>
        <v>0</v>
      </c>
      <c r="E472" s="437" t="s">
        <v>439</v>
      </c>
      <c r="F472" s="670" t="s">
        <v>2610</v>
      </c>
      <c r="G472" s="677"/>
      <c r="H472" s="650">
        <f>IF(LEN(TRIM($G472&amp;""))=0, $C472, SUMIF($G$3:$G$561, TRIM($G472), $C$3:$C$561))</f>
        <v>0</v>
      </c>
      <c r="I472" s="677" t="s">
        <v>562</v>
      </c>
      <c r="J472" s="447" t="s">
        <v>2560</v>
      </c>
      <c r="K472" s="328"/>
      <c r="L472" s="328" t="str">
        <f>HYPERLINK("https://crm.zoho.com/crm/org685875245/tab/Accounts/3525045000480204467","https://crm.zoho.com/crm/org685875245/tab/Accounts/3525045000480204467")</f>
        <v>https://crm.zoho.com/crm/org685875245/tab/Accounts/3525045000480204467</v>
      </c>
      <c r="M472" s="391"/>
      <c r="N472" s="504"/>
      <c r="O472" s="551" t="s">
        <v>2611</v>
      </c>
      <c r="P472" s="551" t="s">
        <v>2612</v>
      </c>
      <c r="Q472" s="551" t="s">
        <v>2613</v>
      </c>
      <c r="R472" s="504"/>
      <c r="S472" s="504"/>
      <c r="T472" s="447"/>
      <c r="U472" s="344" t="s">
        <v>902</v>
      </c>
      <c r="V472" s="706"/>
      <c r="W472" s="706">
        <v>60</v>
      </c>
      <c r="X472" s="706">
        <v>67</v>
      </c>
      <c r="Y472" s="509" t="s">
        <v>103</v>
      </c>
      <c r="Z472" s="514"/>
      <c r="AA472" s="520" t="s">
        <v>103</v>
      </c>
      <c r="AB472" s="520"/>
      <c r="AC472" s="644"/>
      <c r="AD472" s="520"/>
      <c r="AE472" s="339">
        <v>58</v>
      </c>
      <c r="AF472" s="340">
        <v>100</v>
      </c>
      <c r="AG472" s="334"/>
      <c r="AH472" s="328"/>
      <c r="AI472" s="418" t="s">
        <v>83</v>
      </c>
      <c r="AJ472" s="343" t="s">
        <v>396</v>
      </c>
      <c r="AK472" s="344" t="s">
        <v>2614</v>
      </c>
      <c r="AL472" s="372" t="s">
        <v>1140</v>
      </c>
      <c r="AM472" s="328"/>
      <c r="AN472" s="328"/>
      <c r="AO472" s="328"/>
      <c r="AP472" s="328"/>
      <c r="AQ472" s="328"/>
      <c r="AR472" s="328"/>
      <c r="AS472" s="366" t="s">
        <v>103</v>
      </c>
      <c r="AT472" s="462"/>
      <c r="AU472" s="462"/>
      <c r="AV472" s="462"/>
      <c r="AW472" s="462"/>
      <c r="AX472" s="462"/>
      <c r="AY472" s="462"/>
      <c r="AZ472" s="462"/>
      <c r="BA472" s="462"/>
      <c r="BB472" s="462"/>
      <c r="BC472" s="462"/>
      <c r="BD472" s="462"/>
      <c r="BE472" s="462"/>
      <c r="BF472" s="462"/>
      <c r="BG472" s="462"/>
      <c r="BH472" s="462"/>
      <c r="BI472" s="462"/>
      <c r="BJ472" s="463">
        <f>COUNTIF(AT472:BI472,"*OP*")</f>
        <v>0</v>
      </c>
      <c r="BK472" s="366" t="s">
        <v>103</v>
      </c>
      <c r="BL472" s="328">
        <f>(COUNTIF(AT472:AV472,"*OK*")*3) + (COUNTIF(AW472:AY472,"*OK*")*2) + COUNTIF(AZ472:BB472,"*OK*")+COUNTIF(BK472:BK472,"SI")*0.5</f>
        <v>0</v>
      </c>
      <c r="BM472" s="328" t="str">
        <f>IF(BL472&lt;0.6,"Demasiado Riesgo",IF(BL472&lt;=5,"Riesgo Medio",IF(BL472&lt;=11,"Riesgo Bajo","Cliente Blindado")))</f>
        <v>Demasiado Riesgo</v>
      </c>
      <c r="BN472" s="328"/>
      <c r="BO472" s="328"/>
      <c r="BP472" s="328">
        <v>0</v>
      </c>
      <c r="BQ472" s="328"/>
      <c r="BR472" s="328"/>
      <c r="BS472" s="328"/>
      <c r="BT472" s="328"/>
      <c r="BU472" s="328"/>
      <c r="BV472" s="328"/>
      <c r="BW472" s="328"/>
      <c r="BX472" s="328"/>
      <c r="BY472" s="328"/>
      <c r="BZ472" s="328"/>
      <c r="CA472" s="328"/>
      <c r="CB472" s="328"/>
      <c r="CC472" s="328"/>
      <c r="CD472" s="328"/>
      <c r="CE472" s="328"/>
      <c r="CF472" s="328"/>
      <c r="CG472" s="328"/>
      <c r="CH472" s="328"/>
      <c r="CI472" s="328"/>
      <c r="CJ472" s="328"/>
      <c r="CK472" s="328"/>
      <c r="CL472" s="328">
        <f>COUNTIF(AT472:BH472,"*OK*")</f>
        <v>0</v>
      </c>
      <c r="CM472" s="328"/>
      <c r="CN472" s="328">
        <f>COUNTIF(AT472:BH472,"*OP*")</f>
        <v>0</v>
      </c>
    </row>
    <row r="473" spans="1:94" ht="15" customHeight="1">
      <c r="A473" s="834"/>
      <c r="B473" s="328"/>
      <c r="C473" s="329">
        <f t="shared" si="9"/>
        <v>0</v>
      </c>
      <c r="D473" s="332">
        <f>COUNTIF(AT473:BH473,"*OK*")</f>
        <v>0</v>
      </c>
      <c r="E473" s="437" t="s">
        <v>439</v>
      </c>
      <c r="F473" s="669" t="s">
        <v>2615</v>
      </c>
      <c r="G473" s="499"/>
      <c r="H473" s="650">
        <f>IF(LEN(TRIM($G473&amp;""))=0, $C473, SUMIF($G$3:$G$561, TRIM($G473), $C$3:$C$561))</f>
        <v>0</v>
      </c>
      <c r="I473" s="505" t="s">
        <v>562</v>
      </c>
      <c r="J473" s="499" t="s">
        <v>2616</v>
      </c>
      <c r="K473" s="328"/>
      <c r="L473" s="328"/>
      <c r="M473" s="391"/>
      <c r="N473" s="504" t="s">
        <v>817</v>
      </c>
      <c r="O473" s="551" t="s">
        <v>2325</v>
      </c>
      <c r="P473" s="690" t="s">
        <v>2617</v>
      </c>
      <c r="Q473" s="692" t="s">
        <v>2618</v>
      </c>
      <c r="R473" s="697"/>
      <c r="S473" s="700" t="str">
        <f>HYPERLINK(CONCATENATE("https://wa.me/",P473,"?text=Hola ",F473, " espero estés muy bien"))</f>
        <v>https://wa.me/5513977687?text=Hola WYN COACALCO espero estés muy bien</v>
      </c>
      <c r="T473" s="363"/>
      <c r="U473" s="334" t="s">
        <v>82</v>
      </c>
      <c r="V473" s="507"/>
      <c r="W473" s="507">
        <v>141.97999999999999</v>
      </c>
      <c r="X473" s="507">
        <v>267.85000000000002</v>
      </c>
      <c r="Y473" s="509">
        <v>255</v>
      </c>
      <c r="Z473" s="514">
        <v>287</v>
      </c>
      <c r="AA473" s="519" t="s">
        <v>103</v>
      </c>
      <c r="AB473" s="519"/>
      <c r="AC473" s="645"/>
      <c r="AD473" s="519"/>
      <c r="AE473" s="339"/>
      <c r="AF473" s="340">
        <v>100</v>
      </c>
      <c r="AG473" s="334"/>
      <c r="AH473" s="341"/>
      <c r="AI473" s="418" t="s">
        <v>83</v>
      </c>
      <c r="AJ473" s="343" t="s">
        <v>396</v>
      </c>
      <c r="AK473" s="344" t="s">
        <v>2619</v>
      </c>
      <c r="AL473" s="340" t="s">
        <v>103</v>
      </c>
      <c r="AM473" s="328"/>
      <c r="AN473" s="328"/>
      <c r="AO473" s="328"/>
      <c r="AP473" s="328"/>
      <c r="AQ473" s="328"/>
      <c r="AR473" s="328"/>
      <c r="AS473" s="366" t="s">
        <v>103</v>
      </c>
      <c r="AT473" s="462"/>
      <c r="AU473" s="462"/>
      <c r="AV473" s="462"/>
      <c r="AW473" s="462"/>
      <c r="AX473" s="462"/>
      <c r="AY473" s="462"/>
      <c r="AZ473" s="462"/>
      <c r="BA473" s="462"/>
      <c r="BB473" s="462"/>
      <c r="BC473" s="462"/>
      <c r="BD473" s="462"/>
      <c r="BE473" s="462"/>
      <c r="BF473" s="462"/>
      <c r="BG473" s="462"/>
      <c r="BH473" s="462"/>
      <c r="BI473" s="462"/>
      <c r="BJ473" s="463">
        <f>COUNTIF(AT473:BI473,"*OP*")</f>
        <v>0</v>
      </c>
      <c r="BK473" s="366" t="s">
        <v>103</v>
      </c>
      <c r="BL473" s="328">
        <f>(COUNTIF(AT473:AV473,"*OK*")*3) + (COUNTIF(AW473:AY473,"*OK*")*2) + COUNTIF(AZ473:BB473,"*OK*")+COUNTIF(BK473:BK473,"SI")*0.5</f>
        <v>0</v>
      </c>
      <c r="BM473" s="328" t="str">
        <f>IF(BL473&lt;0.6,"Demasiado Riesgo",IF(BL473&lt;=5,"Riesgo Medio",IF(BL473&lt;=11,"Riesgo Bajo","Cliente Blindado")))</f>
        <v>Demasiado Riesgo</v>
      </c>
      <c r="BN473" s="328"/>
      <c r="BO473" s="349"/>
      <c r="BP473" s="349">
        <v>0</v>
      </c>
      <c r="BQ473" s="349"/>
      <c r="BR473" s="349"/>
      <c r="BS473" s="349"/>
      <c r="BT473" s="349"/>
      <c r="BU473" s="349"/>
      <c r="BV473" s="349"/>
      <c r="BW473" s="349"/>
      <c r="BX473" s="349"/>
      <c r="BY473" s="349"/>
      <c r="BZ473" s="349"/>
      <c r="CA473" s="349"/>
      <c r="CB473" s="349"/>
      <c r="CC473" s="349"/>
      <c r="CD473" s="349"/>
      <c r="CE473" s="349"/>
      <c r="CF473" s="349"/>
      <c r="CG473" s="349"/>
      <c r="CH473" s="349"/>
      <c r="CI473" s="349"/>
      <c r="CJ473" s="349"/>
      <c r="CK473" s="349"/>
      <c r="CL473" s="349">
        <f>COUNTIF(AT473:BH473,"*OK*")</f>
        <v>0</v>
      </c>
      <c r="CM473" s="349"/>
      <c r="CN473" s="349">
        <f>COUNTIF(AT473:BH473,"*OP*")</f>
        <v>0</v>
      </c>
    </row>
    <row r="474" spans="1:94" ht="15" customHeight="1">
      <c r="A474" s="834">
        <v>34959</v>
      </c>
      <c r="B474" s="531" t="s">
        <v>2620</v>
      </c>
      <c r="C474" s="329">
        <f t="shared" si="9"/>
        <v>0</v>
      </c>
      <c r="D474" s="332">
        <f>COUNTIF(AT474:BH474,"*OK*")</f>
        <v>0</v>
      </c>
      <c r="E474" s="437" t="s">
        <v>439</v>
      </c>
      <c r="F474" s="671" t="s">
        <v>2621</v>
      </c>
      <c r="G474" s="677"/>
      <c r="H474" s="650">
        <f>IF(LEN(TRIM($G474&amp;""))=0, $C474, SUMIF($G$3:$G$561, TRIM($G474), $C$3:$C$561))</f>
        <v>0</v>
      </c>
      <c r="I474" s="677" t="s">
        <v>562</v>
      </c>
      <c r="J474" s="447"/>
      <c r="K474" s="328"/>
      <c r="L474" s="328" t="str">
        <f>HYPERLINK("https://crm.zoho.com/crm/org685875245/tab/Accounts/3525045000551150124","https://crm.zoho.com/crm/org685875245/tab/Accounts/3525045000551150124")</f>
        <v>https://crm.zoho.com/crm/org685875245/tab/Accounts/3525045000551150124</v>
      </c>
      <c r="M474" s="391"/>
      <c r="N474" s="504"/>
      <c r="O474" s="551" t="s">
        <v>2622</v>
      </c>
      <c r="P474" s="551" t="s">
        <v>2623</v>
      </c>
      <c r="Q474" s="551" t="s">
        <v>2624</v>
      </c>
      <c r="R474" s="504"/>
      <c r="S474" s="504"/>
      <c r="T474" s="447"/>
      <c r="U474" s="344" t="s">
        <v>960</v>
      </c>
      <c r="V474" s="709">
        <v>137.18</v>
      </c>
      <c r="W474" s="709"/>
      <c r="X474" s="709"/>
      <c r="Y474" s="717" t="s">
        <v>103</v>
      </c>
      <c r="Z474" s="514">
        <v>0</v>
      </c>
      <c r="AA474" s="534" t="s">
        <v>103</v>
      </c>
      <c r="AB474" s="534"/>
      <c r="AC474" s="646"/>
      <c r="AD474" s="534"/>
      <c r="AE474" s="339">
        <v>34</v>
      </c>
      <c r="AF474" s="340">
        <v>100</v>
      </c>
      <c r="AG474" s="334"/>
      <c r="AH474" s="328"/>
      <c r="AI474" s="418" t="s">
        <v>83</v>
      </c>
      <c r="AJ474" s="343" t="s">
        <v>113</v>
      </c>
      <c r="AK474" s="344" t="s">
        <v>2625</v>
      </c>
      <c r="AL474" s="372" t="s">
        <v>103</v>
      </c>
      <c r="AM474" s="328"/>
      <c r="AN474" s="328"/>
      <c r="AO474" s="328"/>
      <c r="AP474" s="328"/>
      <c r="AQ474" s="328"/>
      <c r="AR474" s="328"/>
      <c r="AS474" s="366" t="s">
        <v>103</v>
      </c>
      <c r="AT474" s="462"/>
      <c r="AU474" s="462"/>
      <c r="AV474" s="462"/>
      <c r="AW474" s="462"/>
      <c r="AX474" s="462"/>
      <c r="AY474" s="462"/>
      <c r="AZ474" s="462"/>
      <c r="BA474" s="462"/>
      <c r="BB474" s="462"/>
      <c r="BC474" s="462"/>
      <c r="BD474" s="462"/>
      <c r="BE474" s="462"/>
      <c r="BF474" s="462"/>
      <c r="BG474" s="462"/>
      <c r="BH474" s="462"/>
      <c r="BI474" s="462"/>
      <c r="BJ474" s="463">
        <f>COUNTIF(AT474:BI474,"*OP*")</f>
        <v>0</v>
      </c>
      <c r="BK474" s="366" t="s">
        <v>103</v>
      </c>
      <c r="BL474" s="328">
        <f>(COUNTIF(AT474:AV474,"*OK*")*3) + (COUNTIF(AW474:AY474,"*OK*")*2) + COUNTIF(AZ474:BB474,"*OK*")+COUNTIF(BK474:BK474,"SI")*0.5</f>
        <v>0</v>
      </c>
      <c r="BM474" s="328" t="str">
        <f>IF(BL474&lt;0.6,"Demasiado Riesgo",IF(BL474&lt;=5,"Riesgo Medio",IF(BL474&lt;=11,"Riesgo Bajo","Cliente Blindado")))</f>
        <v>Demasiado Riesgo</v>
      </c>
      <c r="BN474" s="328"/>
      <c r="BO474" s="349"/>
      <c r="BP474" s="349">
        <v>0</v>
      </c>
      <c r="BQ474" s="349"/>
      <c r="BR474" s="349"/>
      <c r="BS474" s="349"/>
      <c r="BT474" s="349"/>
      <c r="BU474" s="349"/>
      <c r="BV474" s="349"/>
      <c r="BW474" s="349"/>
      <c r="BX474" s="349"/>
      <c r="BY474" s="349"/>
      <c r="BZ474" s="349"/>
      <c r="CA474" s="349"/>
      <c r="CB474" s="349"/>
      <c r="CC474" s="349"/>
      <c r="CD474" s="349"/>
      <c r="CE474" s="349"/>
      <c r="CF474" s="349"/>
      <c r="CG474" s="349"/>
      <c r="CH474" s="349"/>
      <c r="CI474" s="349"/>
      <c r="CJ474" s="349"/>
      <c r="CK474" s="349"/>
      <c r="CL474" s="349">
        <f>COUNTIF(AT474:BH474,"*OK*")</f>
        <v>0</v>
      </c>
      <c r="CM474" s="349"/>
      <c r="CN474" s="349">
        <f>COUNTIF(AT474:BH474,"*OP*")</f>
        <v>0</v>
      </c>
    </row>
    <row r="475" spans="1:94" ht="15" customHeight="1">
      <c r="A475" s="835">
        <v>33070</v>
      </c>
      <c r="B475" s="530" t="s">
        <v>2626</v>
      </c>
      <c r="C475" s="329">
        <f t="shared" si="9"/>
        <v>0</v>
      </c>
      <c r="D475" s="352">
        <f>COUNTIF(AT475:BH475,"*OK*")</f>
        <v>0</v>
      </c>
      <c r="E475" s="499" t="s">
        <v>782</v>
      </c>
      <c r="F475" s="503" t="s">
        <v>2627</v>
      </c>
      <c r="G475" s="503"/>
      <c r="H475" s="650">
        <f>IF(LEN(TRIM($G475&amp;""))=0, $C475, SUMIF($G$3:$G$561, TRIM($G475), $C$3:$C$561))</f>
        <v>0</v>
      </c>
      <c r="I475" s="503" t="s">
        <v>562</v>
      </c>
      <c r="J475" s="503"/>
      <c r="K475" s="349"/>
      <c r="L475" s="349" t="str">
        <f>HYPERLINK("https://crm.zoho.com/crm/org685875245/tab/Accounts/3525045000474892437","https://crm.zoho.com/crm/org685875245/tab/Accounts/3525045000474892437")</f>
        <v>https://crm.zoho.com/crm/org685875245/tab/Accounts/3525045000474892437</v>
      </c>
      <c r="M475" s="553"/>
      <c r="N475" s="532"/>
      <c r="O475" s="552" t="s">
        <v>2628</v>
      </c>
      <c r="P475" s="552" t="s">
        <v>2629</v>
      </c>
      <c r="Q475" s="552" t="s">
        <v>2630</v>
      </c>
      <c r="R475" s="532"/>
      <c r="S475" s="532"/>
      <c r="T475" s="503"/>
      <c r="U475" s="362" t="s">
        <v>198</v>
      </c>
      <c r="V475" s="508">
        <v>51.12</v>
      </c>
      <c r="W475" s="508">
        <v>51.08</v>
      </c>
      <c r="X475" s="508">
        <v>48.68</v>
      </c>
      <c r="Y475" s="512">
        <v>50.24</v>
      </c>
      <c r="Z475" s="514">
        <v>50.919400000000003</v>
      </c>
      <c r="AA475" s="520" t="s">
        <v>103</v>
      </c>
      <c r="AB475" s="520"/>
      <c r="AC475" s="644"/>
      <c r="AD475" s="520"/>
      <c r="AE475" s="357">
        <v>10</v>
      </c>
      <c r="AF475" s="358">
        <v>50</v>
      </c>
      <c r="AG475" s="354"/>
      <c r="AH475" s="359"/>
      <c r="AI475" s="360" t="s">
        <v>83</v>
      </c>
      <c r="AJ475" s="361" t="s">
        <v>130</v>
      </c>
      <c r="AK475" s="362" t="s">
        <v>2631</v>
      </c>
      <c r="AL475" s="358" t="s">
        <v>103</v>
      </c>
      <c r="AM475" s="349"/>
      <c r="AN475" s="349"/>
      <c r="AO475" s="349"/>
      <c r="AP475" s="349"/>
      <c r="AQ475" s="349"/>
      <c r="AR475" s="349"/>
      <c r="AS475" s="397" t="s">
        <v>103</v>
      </c>
      <c r="AT475" s="462"/>
      <c r="AU475" s="462"/>
      <c r="AV475" s="462"/>
      <c r="AW475" s="462"/>
      <c r="AX475" s="462"/>
      <c r="AY475" s="462"/>
      <c r="AZ475" s="462"/>
      <c r="BA475" s="462"/>
      <c r="BB475" s="462"/>
      <c r="BC475" s="462"/>
      <c r="BD475" s="462"/>
      <c r="BE475" s="462"/>
      <c r="BF475" s="462"/>
      <c r="BG475" s="462"/>
      <c r="BH475" s="462"/>
      <c r="BI475" s="462"/>
      <c r="BJ475" s="463">
        <f>COUNTIF(AT475:BI475,"*OP*")</f>
        <v>0</v>
      </c>
      <c r="BK475" s="397" t="s">
        <v>103</v>
      </c>
      <c r="BL475" s="349">
        <f>(COUNTIF(AT475:AV475,"*OK*")*3) + (COUNTIF(AW475:AY475,"*OK*")*2) + COUNTIF(AZ475:BB475,"*OK*")+COUNTIF(BK475:BK475,"SI")*0.5</f>
        <v>0</v>
      </c>
      <c r="BM475" s="349" t="str">
        <f>IF(BL475&lt;0.6,"Demasiado Riesgo",IF(BL475&lt;=5,"Riesgo Medio",IF(BL475&lt;=11,"Riesgo Bajo","Cliente Blindado")))</f>
        <v>Demasiado Riesgo</v>
      </c>
      <c r="BN475" s="349"/>
      <c r="BO475" s="349"/>
      <c r="BP475" s="349">
        <v>0</v>
      </c>
      <c r="BQ475" s="349"/>
      <c r="BR475" s="349"/>
      <c r="BS475" s="349"/>
      <c r="BT475" s="349"/>
      <c r="BU475" s="349"/>
      <c r="BV475" s="349"/>
      <c r="BW475" s="349"/>
      <c r="BX475" s="349"/>
      <c r="BY475" s="349"/>
      <c r="BZ475" s="349"/>
      <c r="CA475" s="349"/>
      <c r="CB475" s="349"/>
      <c r="CC475" s="349"/>
      <c r="CD475" s="349"/>
      <c r="CE475" s="349"/>
      <c r="CF475" s="349"/>
      <c r="CG475" s="349"/>
      <c r="CH475" s="349"/>
      <c r="CI475" s="349"/>
      <c r="CJ475" s="349"/>
      <c r="CK475" s="349"/>
      <c r="CL475" s="349">
        <f>COUNTIF(AT475:BH475,"*OK*")</f>
        <v>0</v>
      </c>
      <c r="CM475" s="349"/>
      <c r="CN475" s="349">
        <f>COUNTIF(AT475:BH475,"*OP*")</f>
        <v>0</v>
      </c>
    </row>
    <row r="476" spans="1:94" ht="15" customHeight="1">
      <c r="A476" s="834"/>
      <c r="B476" s="531" t="s">
        <v>2632</v>
      </c>
      <c r="C476" s="329">
        <f t="shared" si="9"/>
        <v>0</v>
      </c>
      <c r="D476" s="332">
        <f>COUNTIF(AT476:BH476,"*OK*")</f>
        <v>0</v>
      </c>
      <c r="E476" s="499" t="s">
        <v>782</v>
      </c>
      <c r="F476" s="524" t="s">
        <v>2633</v>
      </c>
      <c r="G476" s="499"/>
      <c r="H476" s="650">
        <f>IF(LEN(TRIM($G476&amp;""))=0, $C476, SUMIF($G$3:$G$561, TRIM($G476), $C$3:$C$561))</f>
        <v>0</v>
      </c>
      <c r="I476" s="505" t="s">
        <v>562</v>
      </c>
      <c r="J476" s="499"/>
      <c r="K476" s="328"/>
      <c r="L476" s="328"/>
      <c r="M476" s="391" t="s">
        <v>787</v>
      </c>
      <c r="N476" s="504"/>
      <c r="O476" s="551"/>
      <c r="P476" s="551"/>
      <c r="Q476" s="551"/>
      <c r="R476" s="504"/>
      <c r="S476" s="504"/>
      <c r="T476" s="499"/>
      <c r="U476" s="344" t="s">
        <v>82</v>
      </c>
      <c r="V476" s="507">
        <v>56.55</v>
      </c>
      <c r="W476" s="507">
        <v>56.5</v>
      </c>
      <c r="X476" s="507">
        <v>53.85</v>
      </c>
      <c r="Y476" s="509">
        <v>55.58</v>
      </c>
      <c r="Z476" s="514">
        <v>0</v>
      </c>
      <c r="AA476" s="519" t="s">
        <v>103</v>
      </c>
      <c r="AB476" s="519"/>
      <c r="AC476" s="645"/>
      <c r="AD476" s="519"/>
      <c r="AE476" s="339"/>
      <c r="AF476" s="340">
        <v>50</v>
      </c>
      <c r="AG476" s="334"/>
      <c r="AH476" s="341"/>
      <c r="AI476" s="418" t="s">
        <v>83</v>
      </c>
      <c r="AJ476" s="343" t="s">
        <v>396</v>
      </c>
      <c r="AK476" s="344" t="s">
        <v>2186</v>
      </c>
      <c r="AL476" s="340" t="s">
        <v>103</v>
      </c>
      <c r="AM476" s="328"/>
      <c r="AN476" s="328"/>
      <c r="AO476" s="328"/>
      <c r="AP476" s="328"/>
      <c r="AQ476" s="328"/>
      <c r="AR476" s="328"/>
      <c r="AS476" s="366" t="s">
        <v>103</v>
      </c>
      <c r="AT476" s="462"/>
      <c r="AU476" s="462"/>
      <c r="AV476" s="462"/>
      <c r="AW476" s="462"/>
      <c r="AX476" s="462"/>
      <c r="AY476" s="462"/>
      <c r="AZ476" s="462"/>
      <c r="BA476" s="462"/>
      <c r="BB476" s="462"/>
      <c r="BC476" s="462"/>
      <c r="BD476" s="462"/>
      <c r="BE476" s="462"/>
      <c r="BF476" s="462"/>
      <c r="BG476" s="462"/>
      <c r="BH476" s="462"/>
      <c r="BI476" s="462"/>
      <c r="BJ476" s="463">
        <f>COUNTIF(AT476:BI476,"*OP*")</f>
        <v>0</v>
      </c>
      <c r="BK476" s="366" t="s">
        <v>103</v>
      </c>
      <c r="BL476" s="328">
        <f>(COUNTIF(AT476:AV476,"*OK*")*3) + (COUNTIF(AW476:AY476,"*OK*")*2) + COUNTIF(AZ476:BB476,"*OK*")+COUNTIF(BK476:BK476,"SI")*0.5</f>
        <v>0</v>
      </c>
      <c r="BM476" s="328" t="str">
        <f>IF(BL476&lt;0.6,"Demasiado Riesgo",IF(BL476&lt;=5,"Riesgo Medio",IF(BL476&lt;=11,"Riesgo Bajo","Cliente Blindado")))</f>
        <v>Demasiado Riesgo</v>
      </c>
      <c r="BN476" s="328"/>
      <c r="BO476" s="328"/>
      <c r="BP476" s="328">
        <v>0</v>
      </c>
      <c r="BQ476" s="328"/>
      <c r="BR476" s="328"/>
      <c r="BS476" s="328"/>
      <c r="BT476" s="328"/>
      <c r="BU476" s="328"/>
      <c r="BV476" s="328"/>
      <c r="BW476" s="328"/>
      <c r="BX476" s="328"/>
      <c r="BY476" s="328"/>
      <c r="BZ476" s="328"/>
      <c r="CA476" s="328"/>
      <c r="CB476" s="328"/>
      <c r="CC476" s="328"/>
      <c r="CD476" s="328"/>
      <c r="CE476" s="328"/>
      <c r="CF476" s="328"/>
      <c r="CG476" s="328"/>
      <c r="CH476" s="328"/>
      <c r="CI476" s="328"/>
      <c r="CJ476" s="328"/>
      <c r="CK476" s="328"/>
      <c r="CL476" s="328">
        <f>COUNTIF(AT476:BH476,"*OK*")</f>
        <v>0</v>
      </c>
      <c r="CM476" s="328"/>
      <c r="CN476" s="328">
        <f>COUNTIF(AT476:BH476,"*OP*")</f>
        <v>0</v>
      </c>
      <c r="CP476" s="425"/>
    </row>
    <row r="477" spans="1:94" ht="15" customHeight="1">
      <c r="A477" s="835"/>
      <c r="B477" s="530" t="s">
        <v>2634</v>
      </c>
      <c r="C477" s="329">
        <f t="shared" si="9"/>
        <v>0</v>
      </c>
      <c r="D477" s="352">
        <f>COUNTIF(AT477:BH477,"*OK*")</f>
        <v>0</v>
      </c>
      <c r="E477" s="499" t="s">
        <v>782</v>
      </c>
      <c r="F477" s="502" t="s">
        <v>2635</v>
      </c>
      <c r="G477" s="503"/>
      <c r="H477" s="650">
        <f>IF(LEN(TRIM($G477&amp;""))=0, $C477, SUMIF($G$3:$G$561, TRIM($G477), $C$3:$C$561))</f>
        <v>0</v>
      </c>
      <c r="I477" s="503" t="s">
        <v>562</v>
      </c>
      <c r="J477" s="503"/>
      <c r="K477" s="349"/>
      <c r="L477" s="349"/>
      <c r="M477" s="553"/>
      <c r="N477" s="532"/>
      <c r="O477" s="552"/>
      <c r="P477" s="552"/>
      <c r="Q477" s="552"/>
      <c r="R477" s="532"/>
      <c r="S477" s="532"/>
      <c r="T477" s="503"/>
      <c r="U477" s="354" t="s">
        <v>82</v>
      </c>
      <c r="V477" s="508">
        <v>81.19</v>
      </c>
      <c r="W477" s="508">
        <v>81.11</v>
      </c>
      <c r="X477" s="508">
        <v>74.44</v>
      </c>
      <c r="Y477" s="512" t="s">
        <v>103</v>
      </c>
      <c r="Z477" s="514">
        <v>0</v>
      </c>
      <c r="AA477" s="520" t="s">
        <v>103</v>
      </c>
      <c r="AB477" s="520"/>
      <c r="AC477" s="644"/>
      <c r="AD477" s="520"/>
      <c r="AE477" s="357"/>
      <c r="AF477" s="358">
        <v>150</v>
      </c>
      <c r="AG477" s="354"/>
      <c r="AH477" s="359"/>
      <c r="AI477" s="360" t="s">
        <v>83</v>
      </c>
      <c r="AJ477" s="361" t="s">
        <v>199</v>
      </c>
      <c r="AK477" s="362" t="s">
        <v>2636</v>
      </c>
      <c r="AL477" s="358" t="s">
        <v>103</v>
      </c>
      <c r="AM477" s="349"/>
      <c r="AN477" s="349"/>
      <c r="AO477" s="349"/>
      <c r="AP477" s="349"/>
      <c r="AQ477" s="349"/>
      <c r="AR477" s="349"/>
      <c r="AS477" s="397" t="s">
        <v>103</v>
      </c>
      <c r="AT477" s="462"/>
      <c r="AU477" s="462"/>
      <c r="AV477" s="462"/>
      <c r="AW477" s="462"/>
      <c r="AX477" s="462"/>
      <c r="AY477" s="462"/>
      <c r="AZ477" s="462"/>
      <c r="BA477" s="462"/>
      <c r="BB477" s="462"/>
      <c r="BC477" s="462"/>
      <c r="BD477" s="462"/>
      <c r="BE477" s="462"/>
      <c r="BF477" s="462"/>
      <c r="BG477" s="462"/>
      <c r="BH477" s="462"/>
      <c r="BI477" s="462"/>
      <c r="BJ477" s="463">
        <f>COUNTIF(AT477:BI477,"*OP*")</f>
        <v>0</v>
      </c>
      <c r="BK477" s="397" t="s">
        <v>103</v>
      </c>
      <c r="BL477" s="349">
        <f>(COUNTIF(AT477:AV477,"*OK*")*3) + (COUNTIF(AW477:AY477,"*OK*")*2) + COUNTIF(AZ477:BB477,"*OK*")+COUNTIF(BK477:BK477,"SI")*0.5</f>
        <v>0</v>
      </c>
      <c r="BM477" s="349" t="str">
        <f>IF(BL477&lt;0.6,"Demasiado Riesgo",IF(BL477&lt;=5,"Riesgo Medio",IF(BL477&lt;=11,"Riesgo Bajo","Cliente Blindado")))</f>
        <v>Demasiado Riesgo</v>
      </c>
      <c r="BN477" s="349"/>
      <c r="BO477" s="349"/>
      <c r="BP477" s="349">
        <v>0</v>
      </c>
      <c r="BQ477" s="349"/>
      <c r="BR477" s="349"/>
      <c r="BS477" s="349"/>
      <c r="BT477" s="349"/>
      <c r="BU477" s="349"/>
      <c r="BV477" s="349"/>
      <c r="BW477" s="349"/>
      <c r="BX477" s="349"/>
      <c r="BY477" s="349"/>
      <c r="BZ477" s="349"/>
      <c r="CA477" s="349"/>
      <c r="CB477" s="349"/>
      <c r="CC477" s="349"/>
      <c r="CD477" s="349"/>
      <c r="CE477" s="349"/>
      <c r="CF477" s="349"/>
      <c r="CG477" s="349"/>
      <c r="CH477" s="349"/>
      <c r="CI477" s="349"/>
      <c r="CJ477" s="349"/>
      <c r="CK477" s="349"/>
      <c r="CL477" s="349">
        <f>COUNTIF(AT477:BH477,"*OK*")</f>
        <v>0</v>
      </c>
      <c r="CM477" s="349"/>
      <c r="CN477" s="349">
        <f>COUNTIF(AT477:BH477,"*OP*")</f>
        <v>0</v>
      </c>
    </row>
    <row r="478" spans="1:94" ht="15" customHeight="1">
      <c r="A478" s="834"/>
      <c r="B478" s="531" t="s">
        <v>2637</v>
      </c>
      <c r="C478" s="329">
        <f t="shared" si="9"/>
        <v>0</v>
      </c>
      <c r="D478" s="332">
        <f>COUNTIF(AT478:BH478,"*OK*")</f>
        <v>0</v>
      </c>
      <c r="E478" s="499" t="s">
        <v>782</v>
      </c>
      <c r="F478" s="499" t="s">
        <v>2638</v>
      </c>
      <c r="G478" s="499"/>
      <c r="H478" s="650">
        <f>IF(LEN(TRIM($G478&amp;""))=0, $C478, SUMIF($G$3:$G$561, TRIM($G478), $C$3:$C$561))</f>
        <v>0</v>
      </c>
      <c r="I478" s="499" t="s">
        <v>562</v>
      </c>
      <c r="J478" s="499"/>
      <c r="K478" s="328"/>
      <c r="L478" s="328" t="str">
        <f>HYPERLINK("https://crm.zoho.com/crm/org685875245/tab/Accounts/3525045000313966596","https://crm.zoho.com/crm/org685875245/tab/Accounts/3525045000313966596")</f>
        <v>https://crm.zoho.com/crm/org685875245/tab/Accounts/3525045000313966596</v>
      </c>
      <c r="M478" s="391"/>
      <c r="N478" s="504"/>
      <c r="O478" s="551" t="s">
        <v>2639</v>
      </c>
      <c r="P478" s="551"/>
      <c r="Q478" s="551" t="s">
        <v>2640</v>
      </c>
      <c r="R478" s="504"/>
      <c r="S478" s="504"/>
      <c r="T478" s="499"/>
      <c r="U478" s="344" t="s">
        <v>198</v>
      </c>
      <c r="V478" s="507">
        <v>50.32</v>
      </c>
      <c r="W478" s="507">
        <v>50.27</v>
      </c>
      <c r="X478" s="507">
        <v>47.91</v>
      </c>
      <c r="Y478" s="509">
        <v>49.45</v>
      </c>
      <c r="Z478" s="514">
        <v>50.113500000000002</v>
      </c>
      <c r="AA478" s="519" t="s">
        <v>103</v>
      </c>
      <c r="AB478" s="519"/>
      <c r="AC478" s="645"/>
      <c r="AD478" s="519"/>
      <c r="AE478" s="339"/>
      <c r="AF478" s="340">
        <v>200</v>
      </c>
      <c r="AG478" s="334"/>
      <c r="AH478" s="341"/>
      <c r="AI478" s="418" t="s">
        <v>83</v>
      </c>
      <c r="AJ478" s="343" t="s">
        <v>574</v>
      </c>
      <c r="AK478" s="344" t="s">
        <v>2641</v>
      </c>
      <c r="AL478" s="340" t="s">
        <v>224</v>
      </c>
      <c r="AM478" s="328"/>
      <c r="AN478" s="328"/>
      <c r="AO478" s="328"/>
      <c r="AP478" s="328"/>
      <c r="AQ478" s="328"/>
      <c r="AR478" s="328"/>
      <c r="AS478" s="366" t="s">
        <v>103</v>
      </c>
      <c r="AT478" s="462"/>
      <c r="AU478" s="462"/>
      <c r="AV478" s="462"/>
      <c r="AW478" s="462"/>
      <c r="AX478" s="462"/>
      <c r="AY478" s="462"/>
      <c r="AZ478" s="462"/>
      <c r="BA478" s="462"/>
      <c r="BB478" s="462"/>
      <c r="BC478" s="462"/>
      <c r="BD478" s="462"/>
      <c r="BE478" s="462"/>
      <c r="BF478" s="462"/>
      <c r="BG478" s="462"/>
      <c r="BH478" s="462"/>
      <c r="BI478" s="462"/>
      <c r="BJ478" s="463">
        <f>COUNTIF(AT478:BI478,"*OP*")</f>
        <v>0</v>
      </c>
      <c r="BK478" s="366" t="s">
        <v>103</v>
      </c>
      <c r="BL478" s="328">
        <f>(COUNTIF(AT478:AV478,"*OK*")*3) + (COUNTIF(AW478:AY478,"*OK*")*2) + COUNTIF(AZ478:BB478,"*OK*")+COUNTIF(BK478:BK478,"SI")*0.5</f>
        <v>0</v>
      </c>
      <c r="BM478" s="328" t="str">
        <f>IF(BL478&lt;0.6,"Demasiado Riesgo",IF(BL478&lt;=5,"Riesgo Medio",IF(BL478&lt;=11,"Riesgo Bajo","Cliente Blindado")))</f>
        <v>Demasiado Riesgo</v>
      </c>
      <c r="BN478" s="328"/>
      <c r="BO478" s="328"/>
      <c r="BP478" s="328">
        <v>0</v>
      </c>
      <c r="BQ478" s="328"/>
      <c r="BR478" s="328"/>
      <c r="BS478" s="328"/>
      <c r="BT478" s="328"/>
      <c r="BU478" s="328"/>
      <c r="BV478" s="328"/>
      <c r="BW478" s="328"/>
      <c r="BX478" s="328"/>
      <c r="BY478" s="328"/>
      <c r="BZ478" s="328"/>
      <c r="CA478" s="328"/>
      <c r="CB478" s="328"/>
      <c r="CC478" s="328"/>
      <c r="CD478" s="328"/>
      <c r="CE478" s="328"/>
      <c r="CF478" s="328"/>
      <c r="CG478" s="328"/>
      <c r="CH478" s="328"/>
      <c r="CI478" s="328"/>
      <c r="CJ478" s="328"/>
      <c r="CK478" s="328"/>
      <c r="CL478" s="328">
        <f>COUNTIF(AT478:BH478,"*OK*")</f>
        <v>0</v>
      </c>
      <c r="CM478" s="328"/>
      <c r="CN478" s="328">
        <f>COUNTIF(AT478:BH478,"*OP*")</f>
        <v>0</v>
      </c>
      <c r="CO478" s="425"/>
    </row>
    <row r="479" spans="1:94" ht="15" customHeight="1">
      <c r="A479" s="834"/>
      <c r="B479" s="531" t="s">
        <v>2642</v>
      </c>
      <c r="C479" s="329">
        <f t="shared" si="9"/>
        <v>0</v>
      </c>
      <c r="D479" s="332">
        <f>COUNTIF(AX479:BI479,"OK")</f>
        <v>0</v>
      </c>
      <c r="E479" s="499" t="s">
        <v>782</v>
      </c>
      <c r="F479" s="671" t="s">
        <v>2643</v>
      </c>
      <c r="G479" s="677"/>
      <c r="H479" s="650">
        <f>IF(LEN(TRIM($G479&amp;""))=0, $C479, SUMIF($G$3:$G$561, TRIM($G479), $C$3:$C$561))</f>
        <v>0</v>
      </c>
      <c r="I479" s="677" t="s">
        <v>562</v>
      </c>
      <c r="J479" s="447"/>
      <c r="K479" s="328"/>
      <c r="L479" s="328" t="str">
        <f>HYPERLINK("https://crm.zoho.com/crm/org685875245/tab/Accounts/3525045000596280292","https://crm.zoho.com/crm/org685875245/tab/Accounts/3525045000596280292")</f>
        <v>https://crm.zoho.com/crm/org685875245/tab/Accounts/3525045000596280292</v>
      </c>
      <c r="M479" s="391" t="s">
        <v>787</v>
      </c>
      <c r="N479" s="504"/>
      <c r="O479" s="551" t="s">
        <v>2644</v>
      </c>
      <c r="P479" s="551" t="s">
        <v>2645</v>
      </c>
      <c r="Q479" s="551" t="s">
        <v>2646</v>
      </c>
      <c r="R479" s="504"/>
      <c r="S479" s="504"/>
      <c r="T479" s="447"/>
      <c r="U479" s="344"/>
      <c r="V479" s="507"/>
      <c r="W479" s="507"/>
      <c r="X479" s="507"/>
      <c r="Y479" s="509">
        <v>36.03</v>
      </c>
      <c r="Z479" s="514">
        <v>36.511299999999999</v>
      </c>
      <c r="AA479" s="723">
        <v>36.11</v>
      </c>
      <c r="AB479" s="723"/>
      <c r="AC479" s="731"/>
      <c r="AD479" s="723"/>
      <c r="AE479" s="339"/>
      <c r="AF479" s="340" t="s">
        <v>103</v>
      </c>
      <c r="AG479" s="334"/>
      <c r="AH479" s="328"/>
      <c r="AI479" s="343"/>
      <c r="AJ479" s="343"/>
      <c r="AK479" s="344"/>
      <c r="AL479" s="372" t="s">
        <v>103</v>
      </c>
      <c r="AM479" s="328"/>
      <c r="AN479" s="328"/>
      <c r="AO479" s="328"/>
      <c r="AP479" s="328"/>
      <c r="AQ479" s="328"/>
      <c r="AR479" s="328"/>
      <c r="AS479" s="366"/>
      <c r="AT479" s="462"/>
      <c r="AU479" s="462"/>
      <c r="AV479" s="462"/>
      <c r="AW479" s="462"/>
      <c r="AX479" s="462"/>
      <c r="AY479" s="462"/>
      <c r="AZ479" s="462"/>
      <c r="BA479" s="462"/>
      <c r="BB479" s="462"/>
      <c r="BC479" s="462"/>
      <c r="BD479" s="462"/>
      <c r="BE479" s="462"/>
      <c r="BF479" s="462"/>
      <c r="BG479" s="462"/>
      <c r="BH479" s="462"/>
      <c r="BI479" s="462"/>
      <c r="BJ479" s="463">
        <f>COUNTIF(AT479:BI479,"*OP*")</f>
        <v>0</v>
      </c>
      <c r="BK479" s="366" t="s">
        <v>103</v>
      </c>
      <c r="BL479" s="328">
        <f>(COUNTIF(AT479:AV479,"*OK*")*3) + (COUNTIF(AW479:AY479,"*OK*")*2) + COUNTIF(AZ479:BB479,"*OK*")+COUNTIF(BK479:BK479,"SI")*0.5</f>
        <v>0</v>
      </c>
      <c r="BM479" s="328" t="str">
        <f>IF(BL479&lt;0.6,"Demasiado Riesgo",IF(BL479&lt;=5,"Riesgo Medio",IF(BL479&lt;=11,"Riesgo Bajo","Cliente Blindado")))</f>
        <v>Demasiado Riesgo</v>
      </c>
      <c r="BN479" s="328"/>
      <c r="BO479" s="328"/>
      <c r="BP479" s="328">
        <v>0</v>
      </c>
      <c r="BQ479" s="328"/>
      <c r="BR479" s="328"/>
      <c r="BS479" s="328"/>
      <c r="BT479" s="328"/>
      <c r="BU479" s="328"/>
      <c r="BV479" s="328"/>
      <c r="BW479" s="328"/>
      <c r="BX479" s="328"/>
      <c r="BY479" s="328"/>
      <c r="BZ479" s="328"/>
      <c r="CA479" s="328"/>
      <c r="CB479" s="328"/>
      <c r="CC479" s="328"/>
      <c r="CD479" s="328"/>
      <c r="CE479" s="328"/>
      <c r="CF479" s="328"/>
      <c r="CG479" s="328"/>
      <c r="CH479" s="328"/>
      <c r="CI479" s="328"/>
      <c r="CJ479" s="328"/>
      <c r="CK479" s="328"/>
      <c r="CL479" s="328">
        <f>COUNTIF(AT479:BH479,"*OK*")</f>
        <v>0</v>
      </c>
      <c r="CM479" s="328"/>
      <c r="CN479" s="328">
        <f>COUNTIF(AT479:BH479,"*OP*")</f>
        <v>0</v>
      </c>
    </row>
    <row r="480" spans="1:94" ht="15" customHeight="1">
      <c r="A480" s="834"/>
      <c r="B480" s="531" t="s">
        <v>2647</v>
      </c>
      <c r="C480" s="329">
        <f t="shared" si="9"/>
        <v>0</v>
      </c>
      <c r="D480" s="332">
        <f>COUNTIF(AT480:BH480,"*OK*")</f>
        <v>0</v>
      </c>
      <c r="E480" s="499" t="s">
        <v>782</v>
      </c>
      <c r="F480" s="499" t="s">
        <v>2648</v>
      </c>
      <c r="G480" s="499"/>
      <c r="H480" s="650">
        <f>IF(LEN(TRIM($G480&amp;""))=0, $C480, SUMIF($G$3:$G$561, TRIM($G480), $C$3:$C$561))</f>
        <v>0</v>
      </c>
      <c r="I480" s="499" t="s">
        <v>562</v>
      </c>
      <c r="J480" s="499"/>
      <c r="K480" s="328"/>
      <c r="L480" s="328" t="str">
        <f>HYPERLINK("https://crm.zoho.com/crm/org685875245/tab/Accounts/3525045000502748290","https://crm.zoho.com/crm/org685875245/tab/Accounts/3525045000502748290")</f>
        <v>https://crm.zoho.com/crm/org685875245/tab/Accounts/3525045000502748290</v>
      </c>
      <c r="M480" s="391"/>
      <c r="N480" s="504"/>
      <c r="O480" s="551"/>
      <c r="P480" s="551"/>
      <c r="Q480" s="551"/>
      <c r="R480" s="504"/>
      <c r="S480" s="504"/>
      <c r="T480" s="499"/>
      <c r="U480" s="334" t="s">
        <v>394</v>
      </c>
      <c r="V480" s="507">
        <v>79.39</v>
      </c>
      <c r="W480" s="507">
        <v>68.5</v>
      </c>
      <c r="X480" s="507">
        <v>58.41</v>
      </c>
      <c r="Y480" s="509" t="s">
        <v>103</v>
      </c>
      <c r="Z480" s="514">
        <v>0</v>
      </c>
      <c r="AA480" s="519" t="s">
        <v>103</v>
      </c>
      <c r="AB480" s="519"/>
      <c r="AC480" s="645"/>
      <c r="AD480" s="519"/>
      <c r="AE480" s="339"/>
      <c r="AF480" s="340">
        <v>200</v>
      </c>
      <c r="AG480" s="334"/>
      <c r="AH480" s="341"/>
      <c r="AI480" s="418" t="s">
        <v>83</v>
      </c>
      <c r="AJ480" s="343" t="s">
        <v>396</v>
      </c>
      <c r="AK480" s="344" t="s">
        <v>2649</v>
      </c>
      <c r="AL480" s="340" t="s">
        <v>396</v>
      </c>
      <c r="AM480" s="328"/>
      <c r="AN480" s="328"/>
      <c r="AO480" s="328"/>
      <c r="AP480" s="328"/>
      <c r="AQ480" s="328"/>
      <c r="AR480" s="328"/>
      <c r="AS480" s="366" t="s">
        <v>103</v>
      </c>
      <c r="AT480" s="462"/>
      <c r="AU480" s="462"/>
      <c r="AV480" s="462"/>
      <c r="AW480" s="462"/>
      <c r="AX480" s="462"/>
      <c r="AY480" s="462"/>
      <c r="AZ480" s="462"/>
      <c r="BA480" s="462"/>
      <c r="BB480" s="462"/>
      <c r="BC480" s="462"/>
      <c r="BD480" s="462"/>
      <c r="BE480" s="462"/>
      <c r="BF480" s="462"/>
      <c r="BG480" s="462"/>
      <c r="BH480" s="462"/>
      <c r="BI480" s="462"/>
      <c r="BJ480" s="463">
        <f>COUNTIF(AT480:BI480,"*OP*")</f>
        <v>0</v>
      </c>
      <c r="BK480" s="366" t="s">
        <v>103</v>
      </c>
      <c r="BL480" s="328">
        <f>(COUNTIF(AT480:AV480,"*OK*")*3) + (COUNTIF(AW480:AY480,"*OK*")*2) + COUNTIF(AZ480:BB480,"*OK*")+COUNTIF(BK480:BK480,"SI")*0.5</f>
        <v>0</v>
      </c>
      <c r="BM480" s="328" t="str">
        <f>IF(BL480&lt;0.6,"Demasiado Riesgo",IF(BL480&lt;=5,"Riesgo Medio",IF(BL480&lt;=11,"Riesgo Bajo","Cliente Blindado")))</f>
        <v>Demasiado Riesgo</v>
      </c>
      <c r="BN480" s="328"/>
      <c r="BO480" s="328"/>
      <c r="BP480" s="328"/>
      <c r="BQ480" s="328"/>
      <c r="BR480" s="328"/>
      <c r="BS480" s="328"/>
      <c r="BT480" s="328"/>
      <c r="BU480" s="328"/>
      <c r="BV480" s="328"/>
      <c r="BW480" s="328"/>
      <c r="BX480" s="328"/>
      <c r="BY480" s="328"/>
      <c r="BZ480" s="328"/>
      <c r="CA480" s="328"/>
      <c r="CB480" s="328"/>
      <c r="CC480" s="328"/>
      <c r="CD480" s="328"/>
      <c r="CE480" s="328"/>
      <c r="CF480" s="328"/>
      <c r="CG480" s="328"/>
      <c r="CH480" s="328"/>
      <c r="CI480" s="328"/>
      <c r="CJ480" s="328"/>
      <c r="CK480" s="328"/>
      <c r="CL480" s="328">
        <f>COUNTIF(AT480:BH480,"*OK*")</f>
        <v>0</v>
      </c>
    </row>
    <row r="481" spans="1:92" ht="15" customHeight="1">
      <c r="A481" s="835"/>
      <c r="B481" s="530" t="s">
        <v>2650</v>
      </c>
      <c r="C481" s="329">
        <f t="shared" si="9"/>
        <v>0</v>
      </c>
      <c r="D481" s="352">
        <f>COUNTIF(AT481:BH481,"*OK*")</f>
        <v>0</v>
      </c>
      <c r="E481" s="499" t="s">
        <v>782</v>
      </c>
      <c r="F481" s="502" t="s">
        <v>2651</v>
      </c>
      <c r="G481" s="503"/>
      <c r="H481" s="650">
        <f>IF(LEN(TRIM($G481&amp;""))=0, $C481, SUMIF($G$3:$G$561, TRIM($G481), $C$3:$C$561))</f>
        <v>0</v>
      </c>
      <c r="I481" s="535" t="s">
        <v>562</v>
      </c>
      <c r="J481" s="503"/>
      <c r="K481" s="349"/>
      <c r="L481" s="349"/>
      <c r="M481" s="553"/>
      <c r="N481" s="532"/>
      <c r="O481" s="552"/>
      <c r="P481" s="552"/>
      <c r="Q481" s="552"/>
      <c r="R481" s="532"/>
      <c r="S481" s="532"/>
      <c r="T481" s="503"/>
      <c r="U481" s="362" t="s">
        <v>82</v>
      </c>
      <c r="V481" s="508">
        <v>58.73</v>
      </c>
      <c r="W481" s="508">
        <v>58.67</v>
      </c>
      <c r="X481" s="508">
        <v>55.91</v>
      </c>
      <c r="Y481" s="512">
        <v>59.58</v>
      </c>
      <c r="Z481" s="514">
        <v>54.717300000000002</v>
      </c>
      <c r="AA481" s="520">
        <v>48.52</v>
      </c>
      <c r="AB481" s="520"/>
      <c r="AC481" s="644"/>
      <c r="AD481" s="520"/>
      <c r="AE481" s="357"/>
      <c r="AF481" s="358">
        <v>50</v>
      </c>
      <c r="AG481" s="354"/>
      <c r="AH481" s="359"/>
      <c r="AI481" s="360" t="s">
        <v>83</v>
      </c>
      <c r="AJ481" s="361" t="s">
        <v>297</v>
      </c>
      <c r="AK481" s="362" t="s">
        <v>2652</v>
      </c>
      <c r="AL481" s="358" t="s">
        <v>103</v>
      </c>
      <c r="AM481" s="349"/>
      <c r="AN481" s="349"/>
      <c r="AO481" s="349"/>
      <c r="AP481" s="349"/>
      <c r="AQ481" s="349"/>
      <c r="AR481" s="349"/>
      <c r="AS481" s="397" t="s">
        <v>103</v>
      </c>
      <c r="AT481" s="462"/>
      <c r="AU481" s="462"/>
      <c r="AV481" s="462"/>
      <c r="AW481" s="462"/>
      <c r="AX481" s="462"/>
      <c r="AY481" s="462"/>
      <c r="AZ481" s="462"/>
      <c r="BA481" s="462"/>
      <c r="BB481" s="462"/>
      <c r="BC481" s="462"/>
      <c r="BD481" s="462"/>
      <c r="BE481" s="462"/>
      <c r="BF481" s="462"/>
      <c r="BG481" s="462"/>
      <c r="BH481" s="462"/>
      <c r="BI481" s="462"/>
      <c r="BJ481" s="463">
        <f>COUNTIF(AT481:BI481,"*OP*")</f>
        <v>0</v>
      </c>
      <c r="BK481" s="397" t="s">
        <v>103</v>
      </c>
      <c r="BL481" s="349">
        <f>(COUNTIF(AT481:AV481,"*OK*")*3) + (COUNTIF(AW481:AY481,"*OK*")*2) + COUNTIF(AZ481:BB481,"*OK*")+COUNTIF(BK481:BK481,"SI")*0.5</f>
        <v>0</v>
      </c>
      <c r="BM481" s="349" t="str">
        <f>IF(BL481&lt;0.6,"Demasiado Riesgo",IF(BL481&lt;=5,"Riesgo Medio",IF(BL481&lt;=11,"Riesgo Bajo","Cliente Blindado")))</f>
        <v>Demasiado Riesgo</v>
      </c>
      <c r="BN481" s="349"/>
      <c r="BO481" s="328"/>
      <c r="BP481" s="328">
        <v>0</v>
      </c>
      <c r="BQ481" s="328"/>
      <c r="BR481" s="328"/>
      <c r="BS481" s="328"/>
      <c r="BT481" s="328"/>
      <c r="BU481" s="328"/>
      <c r="BV481" s="328"/>
      <c r="BW481" s="328"/>
      <c r="BX481" s="328"/>
      <c r="BY481" s="328"/>
      <c r="BZ481" s="328"/>
      <c r="CA481" s="328"/>
      <c r="CB481" s="328"/>
      <c r="CC481" s="328"/>
      <c r="CD481" s="328"/>
      <c r="CE481" s="328"/>
      <c r="CF481" s="328"/>
      <c r="CG481" s="328"/>
      <c r="CH481" s="328"/>
      <c r="CI481" s="328"/>
      <c r="CJ481" s="328"/>
      <c r="CK481" s="328"/>
      <c r="CL481" s="328">
        <f>COUNTIF(AT481:BH481,"*OK*")</f>
        <v>0</v>
      </c>
      <c r="CM481" s="328"/>
      <c r="CN481" s="328">
        <f>COUNTIF(AT481:BH481,"*OP*")</f>
        <v>0</v>
      </c>
    </row>
    <row r="482" spans="1:92" ht="15" customHeight="1">
      <c r="A482" s="835"/>
      <c r="B482" s="530" t="s">
        <v>2653</v>
      </c>
      <c r="C482" s="329">
        <f t="shared" si="9"/>
        <v>0</v>
      </c>
      <c r="D482" s="352">
        <f>COUNTIF(AT482:BH482,"*OK*")</f>
        <v>0</v>
      </c>
      <c r="E482" s="499" t="s">
        <v>782</v>
      </c>
      <c r="F482" s="502" t="s">
        <v>2654</v>
      </c>
      <c r="G482" s="503"/>
      <c r="H482" s="650">
        <f>IF(LEN(TRIM($G482&amp;""))=0, $C482, SUMIF($G$3:$G$561, TRIM($G482), $C$3:$C$561))</f>
        <v>0</v>
      </c>
      <c r="I482" s="503" t="s">
        <v>562</v>
      </c>
      <c r="J482" s="503"/>
      <c r="K482" s="349"/>
      <c r="L482" s="349"/>
      <c r="M482" s="391" t="s">
        <v>787</v>
      </c>
      <c r="N482" s="532"/>
      <c r="O482" s="552"/>
      <c r="P482" s="552"/>
      <c r="Q482" s="552"/>
      <c r="R482" s="532"/>
      <c r="S482" s="532"/>
      <c r="T482" s="503"/>
      <c r="U482" s="362" t="s">
        <v>82</v>
      </c>
      <c r="V482" s="508">
        <v>45.47</v>
      </c>
      <c r="W482" s="508">
        <v>45.42</v>
      </c>
      <c r="X482" s="508">
        <v>43.29</v>
      </c>
      <c r="Y482" s="512">
        <v>44.68</v>
      </c>
      <c r="Z482" s="514">
        <v>0</v>
      </c>
      <c r="AA482" s="520" t="s">
        <v>103</v>
      </c>
      <c r="AB482" s="520"/>
      <c r="AC482" s="644"/>
      <c r="AD482" s="520"/>
      <c r="AE482" s="357"/>
      <c r="AF482" s="358">
        <v>50</v>
      </c>
      <c r="AG482" s="354"/>
      <c r="AH482" s="359"/>
      <c r="AI482" s="361" t="s">
        <v>2516</v>
      </c>
      <c r="AJ482" s="361" t="s">
        <v>396</v>
      </c>
      <c r="AK482" s="362" t="s">
        <v>2105</v>
      </c>
      <c r="AL482" s="358" t="s">
        <v>103</v>
      </c>
      <c r="AM482" s="349"/>
      <c r="AN482" s="349"/>
      <c r="AO482" s="349"/>
      <c r="AP482" s="349"/>
      <c r="AQ482" s="349"/>
      <c r="AR482" s="349"/>
      <c r="AS482" s="397" t="s">
        <v>103</v>
      </c>
      <c r="AT482" s="462"/>
      <c r="AU482" s="462"/>
      <c r="AV482" s="462"/>
      <c r="AW482" s="462"/>
      <c r="AX482" s="462"/>
      <c r="AY482" s="462"/>
      <c r="AZ482" s="462"/>
      <c r="BA482" s="462"/>
      <c r="BB482" s="462"/>
      <c r="BC482" s="462"/>
      <c r="BD482" s="462"/>
      <c r="BE482" s="462"/>
      <c r="BF482" s="462"/>
      <c r="BG482" s="462"/>
      <c r="BH482" s="462"/>
      <c r="BI482" s="462"/>
      <c r="BJ482" s="463">
        <f>COUNTIF(AT482:BI482,"*OP*")</f>
        <v>0</v>
      </c>
      <c r="BK482" s="397" t="s">
        <v>103</v>
      </c>
      <c r="BL482" s="349">
        <f>(COUNTIF(AT482:AV482,"*OK*")*3) + (COUNTIF(AW482:AY482,"*OK*")*2) + COUNTIF(AZ482:BB482,"*OK*")+COUNTIF(BK482:BK482,"SI")*0.5</f>
        <v>0</v>
      </c>
      <c r="BM482" s="349" t="str">
        <f>IF(BL482&lt;0.6,"Demasiado Riesgo",IF(BL482&lt;=5,"Riesgo Medio",IF(BL482&lt;=11,"Riesgo Bajo","Cliente Blindado")))</f>
        <v>Demasiado Riesgo</v>
      </c>
      <c r="BN482" s="349"/>
      <c r="BO482" s="349"/>
      <c r="BP482" s="349">
        <v>0</v>
      </c>
      <c r="BQ482" s="349"/>
      <c r="BR482" s="349"/>
      <c r="BS482" s="349"/>
      <c r="BT482" s="349"/>
      <c r="BU482" s="349"/>
      <c r="BV482" s="349"/>
      <c r="BW482" s="349"/>
      <c r="BX482" s="349"/>
      <c r="BY482" s="349"/>
      <c r="BZ482" s="349"/>
      <c r="CA482" s="349"/>
      <c r="CB482" s="349"/>
      <c r="CC482" s="349"/>
      <c r="CD482" s="349"/>
      <c r="CE482" s="349"/>
      <c r="CF482" s="349"/>
      <c r="CG482" s="349"/>
      <c r="CH482" s="349"/>
      <c r="CI482" s="349"/>
      <c r="CJ482" s="349"/>
      <c r="CK482" s="349"/>
      <c r="CL482" s="349">
        <f>COUNTIF(AT482:BH482,"*OK*")</f>
        <v>0</v>
      </c>
      <c r="CM482" s="349"/>
      <c r="CN482" s="349">
        <f>COUNTIF(AT482:BH482,"*OP*")</f>
        <v>0</v>
      </c>
    </row>
    <row r="483" spans="1:92" ht="15" customHeight="1">
      <c r="A483" s="834">
        <v>32806</v>
      </c>
      <c r="B483" s="531" t="s">
        <v>2655</v>
      </c>
      <c r="C483" s="329">
        <f t="shared" si="9"/>
        <v>37.765500000000003</v>
      </c>
      <c r="D483" s="332">
        <f>COUNTIF(AT483:BH483,"*OK*")</f>
        <v>0</v>
      </c>
      <c r="E483" s="499" t="s">
        <v>782</v>
      </c>
      <c r="F483" s="499" t="s">
        <v>2656</v>
      </c>
      <c r="G483" s="499"/>
      <c r="H483" s="650">
        <f>IF(LEN(TRIM($G483&amp;""))=0, $C483, SUMIF($G$3:$G$561, TRIM($G483), $C$3:$C$561))</f>
        <v>37.765500000000003</v>
      </c>
      <c r="I483" s="499" t="s">
        <v>562</v>
      </c>
      <c r="J483" s="499"/>
      <c r="K483" s="328"/>
      <c r="L483" s="328" t="str">
        <f>HYPERLINK("https://crm.zoho.com/crm/org685875245/tab/Accounts/3525045000496031529","https://crm.zoho.com/crm/org685875245/tab/Accounts/3525045000496031529")</f>
        <v>https://crm.zoho.com/crm/org685875245/tab/Accounts/3525045000496031529</v>
      </c>
      <c r="M483" s="391" t="s">
        <v>525</v>
      </c>
      <c r="N483" s="504"/>
      <c r="O483" s="551" t="s">
        <v>2657</v>
      </c>
      <c r="P483" s="551" t="s">
        <v>2658</v>
      </c>
      <c r="Q483" s="551" t="s">
        <v>2659</v>
      </c>
      <c r="R483" s="504"/>
      <c r="S483" s="504"/>
      <c r="T483" s="499"/>
      <c r="U483" s="344" t="s">
        <v>198</v>
      </c>
      <c r="V483" s="507"/>
      <c r="W483" s="507">
        <v>39.659999999999997</v>
      </c>
      <c r="X483" s="507">
        <v>37.79</v>
      </c>
      <c r="Y483" s="509">
        <v>39.01</v>
      </c>
      <c r="Z483" s="514">
        <v>0</v>
      </c>
      <c r="AA483" s="519" t="s">
        <v>103</v>
      </c>
      <c r="AB483" s="519"/>
      <c r="AC483" s="645"/>
      <c r="AD483" s="519">
        <v>37.765500000000003</v>
      </c>
      <c r="AE483" s="339">
        <v>11</v>
      </c>
      <c r="AF483" s="340">
        <v>50</v>
      </c>
      <c r="AG483" s="334"/>
      <c r="AH483" s="341"/>
      <c r="AI483" s="418" t="s">
        <v>83</v>
      </c>
      <c r="AJ483" s="343" t="s">
        <v>130</v>
      </c>
      <c r="AK483" s="344" t="s">
        <v>2660</v>
      </c>
      <c r="AL483" s="340" t="s">
        <v>224</v>
      </c>
      <c r="AM483" s="328"/>
      <c r="AN483" s="328"/>
      <c r="AO483" s="328"/>
      <c r="AP483" s="328"/>
      <c r="AQ483" s="328"/>
      <c r="AR483" s="328"/>
      <c r="AS483" s="366" t="s">
        <v>103</v>
      </c>
      <c r="AT483" s="462"/>
      <c r="AU483" s="462"/>
      <c r="AV483" s="462"/>
      <c r="AW483" s="462"/>
      <c r="AX483" s="462"/>
      <c r="AY483" s="462"/>
      <c r="AZ483" s="462"/>
      <c r="BA483" s="462"/>
      <c r="BB483" s="462"/>
      <c r="BC483" s="462"/>
      <c r="BD483" s="462"/>
      <c r="BE483" s="462"/>
      <c r="BF483" s="462"/>
      <c r="BG483" s="462"/>
      <c r="BH483" s="462"/>
      <c r="BI483" s="462"/>
      <c r="BJ483" s="463">
        <f>COUNTIF(AT483:BI483,"*OP*")</f>
        <v>0</v>
      </c>
      <c r="BK483" s="366" t="s">
        <v>103</v>
      </c>
      <c r="BL483" s="328">
        <f>(COUNTIF(AT483:AV483,"*OK*")*3) + (COUNTIF(AW483:AY483,"*OK*")*2) + COUNTIF(AZ483:BB483,"*OK*")+COUNTIF(BK483:BK483,"SI")*0.5</f>
        <v>0</v>
      </c>
      <c r="BM483" s="328" t="str">
        <f>IF(BL483&lt;0.6,"Demasiado Riesgo",IF(BL483&lt;=5,"Riesgo Medio",IF(BL483&lt;=11,"Riesgo Bajo","Cliente Blindado")))</f>
        <v>Demasiado Riesgo</v>
      </c>
      <c r="BN483" s="328"/>
      <c r="BO483" s="349"/>
      <c r="BP483" s="349">
        <v>0</v>
      </c>
      <c r="BQ483" s="349"/>
      <c r="BR483" s="349"/>
      <c r="BS483" s="349"/>
      <c r="BT483" s="349"/>
      <c r="BU483" s="349"/>
      <c r="BV483" s="349"/>
      <c r="BW483" s="349"/>
      <c r="BX483" s="349"/>
      <c r="BY483" s="349"/>
      <c r="BZ483" s="349"/>
      <c r="CA483" s="349"/>
      <c r="CB483" s="349"/>
      <c r="CC483" s="349"/>
      <c r="CD483" s="349"/>
      <c r="CE483" s="349"/>
      <c r="CF483" s="349"/>
      <c r="CG483" s="349"/>
      <c r="CH483" s="349"/>
      <c r="CI483" s="349"/>
      <c r="CJ483" s="349"/>
      <c r="CK483" s="349"/>
      <c r="CL483" s="349">
        <f>COUNTIF(AT483:BH483,"*OK*")</f>
        <v>0</v>
      </c>
      <c r="CM483" s="349"/>
      <c r="CN483" s="349">
        <f>COUNTIF(AT483:BH483,"*OP*")</f>
        <v>0</v>
      </c>
    </row>
    <row r="484" spans="1:92" ht="15" customHeight="1">
      <c r="A484" s="834">
        <v>36846</v>
      </c>
      <c r="B484" s="531" t="s">
        <v>2661</v>
      </c>
      <c r="C484" s="329">
        <f t="shared" si="9"/>
        <v>0</v>
      </c>
      <c r="D484" s="332">
        <f>COUNTIF(AT484:BH484,"*OK*")</f>
        <v>0</v>
      </c>
      <c r="E484" s="499" t="s">
        <v>782</v>
      </c>
      <c r="F484" s="524" t="s">
        <v>2662</v>
      </c>
      <c r="G484" s="499"/>
      <c r="H484" s="650">
        <f>IF(LEN(TRIM($G484&amp;""))=0, $C484, SUMIF($G$3:$G$561, TRIM($G484), $C$3:$C$561))</f>
        <v>0</v>
      </c>
      <c r="I484" s="505" t="s">
        <v>562</v>
      </c>
      <c r="J484" s="499"/>
      <c r="K484" s="328"/>
      <c r="L484" s="328" t="str">
        <f>HYPERLINK("https://crm.zoho.com/crm/org685875245/tab/Accounts/3525045000577042586","https://crm.zoho.com/crm/org685875245/tab/Accounts/3525045000577042586")</f>
        <v>https://crm.zoho.com/crm/org685875245/tab/Accounts/3525045000577042586</v>
      </c>
      <c r="M484" s="391"/>
      <c r="N484" s="504"/>
      <c r="O484" s="551" t="s">
        <v>2663</v>
      </c>
      <c r="P484" s="551" t="s">
        <v>2664</v>
      </c>
      <c r="Q484" s="551" t="s">
        <v>2665</v>
      </c>
      <c r="R484" s="504"/>
      <c r="S484" s="504"/>
      <c r="T484" s="499"/>
      <c r="U484" s="344" t="s">
        <v>617</v>
      </c>
      <c r="V484" s="507"/>
      <c r="W484" s="507"/>
      <c r="X484" s="507">
        <v>83.94</v>
      </c>
      <c r="Y484" s="509">
        <v>86.65</v>
      </c>
      <c r="Z484" s="514">
        <v>87.811999999999998</v>
      </c>
      <c r="AA484" s="519">
        <v>86.85</v>
      </c>
      <c r="AB484" s="519"/>
      <c r="AC484" s="645"/>
      <c r="AD484" s="519"/>
      <c r="AE484" s="339"/>
      <c r="AF484" s="340">
        <v>100</v>
      </c>
      <c r="AG484" s="334"/>
      <c r="AH484" s="341"/>
      <c r="AI484" s="418" t="s">
        <v>83</v>
      </c>
      <c r="AJ484" s="343" t="s">
        <v>396</v>
      </c>
      <c r="AK484" s="344" t="s">
        <v>2666</v>
      </c>
      <c r="AL484" s="340" t="s">
        <v>222</v>
      </c>
      <c r="AM484" s="328"/>
      <c r="AN484" s="328"/>
      <c r="AO484" s="328"/>
      <c r="AP484" s="328"/>
      <c r="AQ484" s="328"/>
      <c r="AR484" s="328"/>
      <c r="AS484" s="366" t="s">
        <v>103</v>
      </c>
      <c r="AT484" s="462"/>
      <c r="AU484" s="462"/>
      <c r="AV484" s="462"/>
      <c r="AW484" s="462"/>
      <c r="AX484" s="462"/>
      <c r="AY484" s="462"/>
      <c r="AZ484" s="462"/>
      <c r="BA484" s="462"/>
      <c r="BB484" s="462"/>
      <c r="BC484" s="462"/>
      <c r="BD484" s="462"/>
      <c r="BE484" s="462"/>
      <c r="BF484" s="462"/>
      <c r="BG484" s="462"/>
      <c r="BH484" s="462"/>
      <c r="BI484" s="462"/>
      <c r="BJ484" s="463">
        <f>COUNTIF(AT484:BI484,"*OP*")</f>
        <v>0</v>
      </c>
      <c r="BK484" s="366" t="s">
        <v>103</v>
      </c>
      <c r="BL484" s="328">
        <f>(COUNTIF(AT484:AV484,"*OK*")*3) + (COUNTIF(AW484:AY484,"*OK*")*2) + COUNTIF(AZ484:BB484,"*OK*")+COUNTIF(BK484:BK484,"SI")*0.5</f>
        <v>0</v>
      </c>
      <c r="BM484" s="328" t="str">
        <f>IF(BL484&lt;0.6,"Demasiado Riesgo",IF(BL484&lt;=5,"Riesgo Medio",IF(BL484&lt;=11,"Riesgo Bajo","Cliente Blindado")))</f>
        <v>Demasiado Riesgo</v>
      </c>
      <c r="BN484" s="328"/>
      <c r="BO484" s="328"/>
      <c r="BP484" s="328">
        <v>0</v>
      </c>
      <c r="BQ484" s="328"/>
      <c r="BR484" s="328"/>
      <c r="BS484" s="328"/>
      <c r="BT484" s="328"/>
      <c r="BU484" s="328"/>
      <c r="BV484" s="328"/>
      <c r="BW484" s="328"/>
      <c r="BX484" s="328"/>
      <c r="BY484" s="328"/>
      <c r="BZ484" s="328"/>
      <c r="CA484" s="328"/>
      <c r="CB484" s="328"/>
      <c r="CC484" s="328"/>
      <c r="CD484" s="328"/>
      <c r="CE484" s="328"/>
      <c r="CF484" s="328"/>
      <c r="CG484" s="328"/>
      <c r="CH484" s="328"/>
      <c r="CI484" s="328"/>
      <c r="CJ484" s="328"/>
      <c r="CK484" s="328"/>
      <c r="CL484" s="328">
        <f>COUNTIF(AT484:BH484,"*OK*")</f>
        <v>0</v>
      </c>
      <c r="CM484" s="328"/>
      <c r="CN484" s="328">
        <f>COUNTIF(AT484:BH484,"*OP*")</f>
        <v>0</v>
      </c>
    </row>
    <row r="485" spans="1:92" ht="15" customHeight="1">
      <c r="A485" s="835">
        <v>33043</v>
      </c>
      <c r="B485" s="530" t="s">
        <v>2667</v>
      </c>
      <c r="C485" s="329">
        <f t="shared" si="9"/>
        <v>0</v>
      </c>
      <c r="D485" s="352">
        <f>COUNTIF(AT485:BH485,"*OK*")</f>
        <v>0</v>
      </c>
      <c r="E485" s="499" t="s">
        <v>782</v>
      </c>
      <c r="F485" s="503" t="s">
        <v>2668</v>
      </c>
      <c r="G485" s="503"/>
      <c r="H485" s="650">
        <f>IF(LEN(TRIM($G485&amp;""))=0, $C485, SUMIF($G$3:$G$561, TRIM($G485), $C$3:$C$561))</f>
        <v>0</v>
      </c>
      <c r="I485" s="503" t="s">
        <v>562</v>
      </c>
      <c r="J485" s="503"/>
      <c r="K485" s="349"/>
      <c r="L485" s="349" t="str">
        <f>HYPERLINK("https://crm.zoho.com/crm/org685875245/tab/Accounts/3525045000500942241","https://crm.zoho.com/crm/org685875245/tab/Accounts/3525045000500942241")</f>
        <v>https://crm.zoho.com/crm/org685875245/tab/Accounts/3525045000500942241</v>
      </c>
      <c r="M485" s="553"/>
      <c r="N485" s="532"/>
      <c r="O485" s="552" t="s">
        <v>2669</v>
      </c>
      <c r="P485" s="552" t="s">
        <v>2670</v>
      </c>
      <c r="Q485" s="552" t="s">
        <v>2671</v>
      </c>
      <c r="R485" s="532"/>
      <c r="S485" s="532"/>
      <c r="T485" s="503"/>
      <c r="U485" s="354" t="s">
        <v>394</v>
      </c>
      <c r="V485" s="508">
        <v>56.55</v>
      </c>
      <c r="W485" s="508">
        <v>56.5</v>
      </c>
      <c r="X485" s="508">
        <v>53.85</v>
      </c>
      <c r="Y485" s="512" t="s">
        <v>103</v>
      </c>
      <c r="Z485" s="514">
        <v>0</v>
      </c>
      <c r="AA485" s="520" t="s">
        <v>103</v>
      </c>
      <c r="AB485" s="520"/>
      <c r="AC485" s="644"/>
      <c r="AD485" s="520"/>
      <c r="AE485" s="357"/>
      <c r="AF485" s="358">
        <v>100</v>
      </c>
      <c r="AG485" s="354"/>
      <c r="AH485" s="359"/>
      <c r="AI485" s="360" t="s">
        <v>83</v>
      </c>
      <c r="AJ485" s="361" t="s">
        <v>120</v>
      </c>
      <c r="AK485" s="362" t="s">
        <v>2672</v>
      </c>
      <c r="AL485" s="358" t="s">
        <v>103</v>
      </c>
      <c r="AM485" s="349"/>
      <c r="AN485" s="349"/>
      <c r="AO485" s="349"/>
      <c r="AP485" s="349"/>
      <c r="AQ485" s="349"/>
      <c r="AR485" s="349"/>
      <c r="AS485" s="397" t="s">
        <v>103</v>
      </c>
      <c r="AT485" s="462"/>
      <c r="AU485" s="462"/>
      <c r="AV485" s="462"/>
      <c r="AW485" s="462"/>
      <c r="AX485" s="462"/>
      <c r="AY485" s="462"/>
      <c r="AZ485" s="462"/>
      <c r="BA485" s="462"/>
      <c r="BB485" s="462"/>
      <c r="BC485" s="462"/>
      <c r="BD485" s="462"/>
      <c r="BE485" s="462"/>
      <c r="BF485" s="462"/>
      <c r="BG485" s="462"/>
      <c r="BH485" s="462"/>
      <c r="BI485" s="462"/>
      <c r="BJ485" s="463">
        <f>COUNTIF(AT485:BI485,"*OP*")</f>
        <v>0</v>
      </c>
      <c r="BK485" s="397" t="s">
        <v>103</v>
      </c>
      <c r="BL485" s="349">
        <f>(COUNTIF(AT485:AV485,"*OK*")*3) + (COUNTIF(AW485:AY485,"*OK*")*2) + COUNTIF(AZ485:BB485,"*OK*")+COUNTIF(BK485:BK485,"SI")*0.5</f>
        <v>0</v>
      </c>
      <c r="BM485" s="349" t="str">
        <f>IF(BL485&lt;0.6,"Demasiado Riesgo",IF(BL485&lt;=5,"Riesgo Medio",IF(BL485&lt;=11,"Riesgo Bajo","Cliente Blindado")))</f>
        <v>Demasiado Riesgo</v>
      </c>
      <c r="BN485" s="349"/>
      <c r="BO485" s="328"/>
      <c r="BP485" s="328">
        <v>0</v>
      </c>
      <c r="BQ485" s="328"/>
      <c r="BR485" s="328"/>
      <c r="BS485" s="328"/>
      <c r="BT485" s="328"/>
      <c r="BU485" s="328"/>
      <c r="BV485" s="328"/>
      <c r="BW485" s="328"/>
      <c r="BX485" s="328"/>
      <c r="BY485" s="328"/>
      <c r="BZ485" s="328"/>
      <c r="CA485" s="328"/>
      <c r="CB485" s="328"/>
      <c r="CC485" s="328"/>
      <c r="CD485" s="328"/>
      <c r="CE485" s="328"/>
      <c r="CF485" s="328"/>
      <c r="CG485" s="328"/>
      <c r="CH485" s="328"/>
      <c r="CI485" s="328"/>
      <c r="CJ485" s="328"/>
      <c r="CK485" s="328"/>
      <c r="CL485" s="328">
        <f>COUNTIF(AT485:BH485,"*OK*")</f>
        <v>0</v>
      </c>
      <c r="CM485" s="328"/>
      <c r="CN485" s="328">
        <f>COUNTIF(AT485:BH485,"*OP*")</f>
        <v>0</v>
      </c>
    </row>
    <row r="486" spans="1:92" ht="15" customHeight="1">
      <c r="A486" s="835"/>
      <c r="B486" s="530" t="s">
        <v>2673</v>
      </c>
      <c r="C486" s="329">
        <f t="shared" si="9"/>
        <v>0</v>
      </c>
      <c r="D486" s="352">
        <f>COUNTIF(AT486:BH486,"*OK*")</f>
        <v>0</v>
      </c>
      <c r="E486" s="499" t="s">
        <v>782</v>
      </c>
      <c r="F486" s="502" t="s">
        <v>2674</v>
      </c>
      <c r="G486" s="503"/>
      <c r="H486" s="650">
        <f>IF(LEN(TRIM($G486&amp;""))=0, $C486, SUMIF($G$3:$G$561, TRIM($G486), $C$3:$C$561))</f>
        <v>0</v>
      </c>
      <c r="I486" s="503" t="s">
        <v>562</v>
      </c>
      <c r="J486" s="503"/>
      <c r="K486" s="349"/>
      <c r="L486" s="349" t="str">
        <f>HYPERLINK("https://crm.zoho.com/crm/org685875245/tab/Accounts/3525045000460129088","https://crm.zoho.com/crm/org685875245/tab/Accounts/3525045000460129088")</f>
        <v>https://crm.zoho.com/crm/org685875245/tab/Accounts/3525045000460129088</v>
      </c>
      <c r="M486" s="391" t="s">
        <v>787</v>
      </c>
      <c r="N486" s="532"/>
      <c r="O486" s="552"/>
      <c r="P486" s="552"/>
      <c r="Q486" s="552"/>
      <c r="R486" s="532"/>
      <c r="S486" s="532"/>
      <c r="T486" s="503"/>
      <c r="U486" s="362" t="s">
        <v>82</v>
      </c>
      <c r="V486" s="508">
        <v>88.98</v>
      </c>
      <c r="W486" s="508">
        <v>84.99</v>
      </c>
      <c r="X486" s="508">
        <v>84.72</v>
      </c>
      <c r="Y486" s="512">
        <v>30.73</v>
      </c>
      <c r="Z486" s="514">
        <v>0</v>
      </c>
      <c r="AA486" s="520" t="s">
        <v>103</v>
      </c>
      <c r="AB486" s="520"/>
      <c r="AC486" s="644"/>
      <c r="AD486" s="520"/>
      <c r="AE486" s="357"/>
      <c r="AF486" s="358">
        <v>100</v>
      </c>
      <c r="AG486" s="354"/>
      <c r="AH486" s="359"/>
      <c r="AI486" s="360" t="s">
        <v>83</v>
      </c>
      <c r="AJ486" s="361" t="s">
        <v>297</v>
      </c>
      <c r="AK486" s="362" t="s">
        <v>2675</v>
      </c>
      <c r="AL486" s="358" t="s">
        <v>103</v>
      </c>
      <c r="AM486" s="349"/>
      <c r="AN486" s="349"/>
      <c r="AO486" s="349"/>
      <c r="AP486" s="349"/>
      <c r="AQ486" s="349"/>
      <c r="AR486" s="349"/>
      <c r="AS486" s="397" t="s">
        <v>103</v>
      </c>
      <c r="AT486" s="462"/>
      <c r="AU486" s="462"/>
      <c r="AV486" s="462"/>
      <c r="AW486" s="462"/>
      <c r="AX486" s="462"/>
      <c r="AY486" s="462"/>
      <c r="AZ486" s="462"/>
      <c r="BA486" s="462"/>
      <c r="BB486" s="462"/>
      <c r="BC486" s="462"/>
      <c r="BD486" s="462"/>
      <c r="BE486" s="462"/>
      <c r="BF486" s="462"/>
      <c r="BG486" s="462"/>
      <c r="BH486" s="462"/>
      <c r="BI486" s="462"/>
      <c r="BJ486" s="463">
        <f>COUNTIF(AT486:BI486,"*OP*")</f>
        <v>0</v>
      </c>
      <c r="BK486" s="397" t="s">
        <v>103</v>
      </c>
      <c r="BL486" s="349">
        <f>(COUNTIF(AT486:AV486,"*OK*")*3) + (COUNTIF(AW486:AY486,"*OK*")*2) + COUNTIF(AZ486:BB486,"*OK*")+COUNTIF(BK486:BK486,"SI")*0.5</f>
        <v>0</v>
      </c>
      <c r="BM486" s="349" t="str">
        <f>IF(BL486&lt;0.6,"Demasiado Riesgo",IF(BL486&lt;=5,"Riesgo Medio",IF(BL486&lt;=11,"Riesgo Bajo","Cliente Blindado")))</f>
        <v>Demasiado Riesgo</v>
      </c>
      <c r="BN486" s="349"/>
      <c r="BO486" s="328"/>
      <c r="BP486" s="328">
        <v>0</v>
      </c>
      <c r="BQ486" s="328"/>
      <c r="BR486" s="328"/>
      <c r="BS486" s="328"/>
      <c r="BT486" s="328"/>
      <c r="BU486" s="328"/>
      <c r="BV486" s="328"/>
      <c r="BW486" s="328"/>
      <c r="BX486" s="328"/>
      <c r="BY486" s="328"/>
      <c r="BZ486" s="328"/>
      <c r="CA486" s="328"/>
      <c r="CB486" s="328"/>
      <c r="CC486" s="328"/>
      <c r="CD486" s="328"/>
      <c r="CE486" s="328"/>
      <c r="CF486" s="328"/>
      <c r="CG486" s="328"/>
      <c r="CH486" s="328"/>
      <c r="CI486" s="328"/>
      <c r="CJ486" s="328"/>
      <c r="CK486" s="328"/>
      <c r="CL486" s="328">
        <f>COUNTIF(AT486:BH486,"*OK*")</f>
        <v>0</v>
      </c>
      <c r="CM486" s="328"/>
      <c r="CN486" s="328">
        <f>COUNTIF(AT486:BH486,"*OP*")</f>
        <v>0</v>
      </c>
    </row>
    <row r="487" spans="1:92" ht="15" customHeight="1">
      <c r="A487" s="835"/>
      <c r="B487" s="530" t="s">
        <v>2676</v>
      </c>
      <c r="C487" s="329">
        <f t="shared" si="9"/>
        <v>0</v>
      </c>
      <c r="D487" s="352">
        <f>COUNTIF(AT487:BH487,"*OK*")</f>
        <v>0</v>
      </c>
      <c r="E487" s="499" t="s">
        <v>782</v>
      </c>
      <c r="F487" s="503" t="s">
        <v>2677</v>
      </c>
      <c r="G487" s="503"/>
      <c r="H487" s="650">
        <f>IF(LEN(TRIM($G487&amp;""))=0, $C487, SUMIF($G$3:$G$561, TRIM($G487), $C$3:$C$561))</f>
        <v>0</v>
      </c>
      <c r="I487" s="525" t="s">
        <v>562</v>
      </c>
      <c r="J487" s="503"/>
      <c r="K487" s="349"/>
      <c r="L487" s="349" t="str">
        <f>HYPERLINK("https://crm.zoho.com/crm/org685875245/tab/Accounts/3525045000499699210","https://crm.zoho.com/crm/org685875245/tab/Accounts/3525045000499699210")</f>
        <v>https://crm.zoho.com/crm/org685875245/tab/Accounts/3525045000499699210</v>
      </c>
      <c r="M487" s="391" t="s">
        <v>787</v>
      </c>
      <c r="N487" s="532"/>
      <c r="O487" s="552"/>
      <c r="P487" s="552"/>
      <c r="Q487" s="552"/>
      <c r="R487" s="532"/>
      <c r="S487" s="532"/>
      <c r="T487" s="503"/>
      <c r="U487" s="362" t="s">
        <v>394</v>
      </c>
      <c r="V487" s="508">
        <v>37.89</v>
      </c>
      <c r="W487" s="508">
        <v>33.65</v>
      </c>
      <c r="X487" s="508">
        <v>28.06</v>
      </c>
      <c r="Y487" s="512">
        <v>24.8</v>
      </c>
      <c r="Z487" s="514">
        <v>0</v>
      </c>
      <c r="AA487" s="520" t="s">
        <v>103</v>
      </c>
      <c r="AB487" s="520"/>
      <c r="AC487" s="644"/>
      <c r="AD487" s="520"/>
      <c r="AE487" s="357"/>
      <c r="AF487" s="358">
        <v>50</v>
      </c>
      <c r="AG487" s="354"/>
      <c r="AH487" s="359"/>
      <c r="AI487" s="360" t="s">
        <v>83</v>
      </c>
      <c r="AJ487" s="361" t="s">
        <v>101</v>
      </c>
      <c r="AK487" s="362" t="s">
        <v>2678</v>
      </c>
      <c r="AL487" s="358" t="s">
        <v>396</v>
      </c>
      <c r="AM487" s="349"/>
      <c r="AN487" s="349"/>
      <c r="AO487" s="349"/>
      <c r="AP487" s="349"/>
      <c r="AQ487" s="349"/>
      <c r="AR487" s="349"/>
      <c r="AS487" s="397" t="s">
        <v>103</v>
      </c>
      <c r="AT487" s="462"/>
      <c r="AU487" s="462"/>
      <c r="AV487" s="462"/>
      <c r="AW487" s="462"/>
      <c r="AX487" s="462"/>
      <c r="AY487" s="462"/>
      <c r="AZ487" s="462"/>
      <c r="BA487" s="462"/>
      <c r="BB487" s="462"/>
      <c r="BC487" s="462"/>
      <c r="BD487" s="462"/>
      <c r="BE487" s="462"/>
      <c r="BF487" s="462"/>
      <c r="BG487" s="462"/>
      <c r="BH487" s="462"/>
      <c r="BI487" s="462"/>
      <c r="BJ487" s="463">
        <f>COUNTIF(AT487:BI487,"*OP*")</f>
        <v>0</v>
      </c>
      <c r="BK487" s="397" t="s">
        <v>103</v>
      </c>
      <c r="BL487" s="349">
        <f>(COUNTIF(AT487:AV487,"*OK*")*3) + (COUNTIF(AW487:AY487,"*OK*")*2) + COUNTIF(AZ487:BB487,"*OK*")+COUNTIF(BK487:BK487,"SI")*0.5</f>
        <v>0</v>
      </c>
      <c r="BM487" s="349" t="str">
        <f>IF(BL487&lt;0.6,"Demasiado Riesgo",IF(BL487&lt;=5,"Riesgo Medio",IF(BL487&lt;=11,"Riesgo Bajo","Cliente Blindado")))</f>
        <v>Demasiado Riesgo</v>
      </c>
      <c r="BN487" s="349"/>
      <c r="BO487" s="349"/>
      <c r="BP487" s="349"/>
      <c r="BQ487" s="349"/>
      <c r="BR487" s="349"/>
      <c r="BS487" s="349"/>
      <c r="BT487" s="349"/>
      <c r="BU487" s="349"/>
      <c r="BV487" s="349"/>
      <c r="BW487" s="349"/>
      <c r="BX487" s="349"/>
      <c r="BY487" s="349"/>
      <c r="BZ487" s="349"/>
      <c r="CA487" s="349"/>
      <c r="CB487" s="349"/>
      <c r="CC487" s="349"/>
      <c r="CD487" s="349"/>
      <c r="CE487" s="349"/>
      <c r="CF487" s="349"/>
      <c r="CG487" s="349"/>
      <c r="CH487" s="349"/>
      <c r="CI487" s="349"/>
      <c r="CJ487" s="349"/>
      <c r="CK487" s="349"/>
      <c r="CL487" s="349">
        <f>COUNTIF(AT487:BH487,"*OK*")</f>
        <v>0</v>
      </c>
    </row>
    <row r="488" spans="1:92" ht="15" customHeight="1">
      <c r="A488" s="834">
        <v>20600</v>
      </c>
      <c r="B488" s="531" t="s">
        <v>2679</v>
      </c>
      <c r="C488" s="329">
        <f t="shared" si="9"/>
        <v>0</v>
      </c>
      <c r="D488" s="332">
        <f>COUNTIF(AT488:BH488,"*OK*")</f>
        <v>0</v>
      </c>
      <c r="E488" s="499" t="s">
        <v>782</v>
      </c>
      <c r="F488" s="499" t="s">
        <v>2680</v>
      </c>
      <c r="G488" s="499"/>
      <c r="H488" s="650">
        <f>IF(LEN(TRIM($G488&amp;""))=0, $C488, SUMIF($G$3:$G$561, TRIM($G488), $C$3:$C$561))</f>
        <v>0</v>
      </c>
      <c r="I488" s="499" t="s">
        <v>562</v>
      </c>
      <c r="J488" s="499"/>
      <c r="K488" s="328"/>
      <c r="L488" s="328" t="str">
        <f>HYPERLINK("https://crm.zoho.com/crm/org685875245/tab/Accounts/3525045000205735007","https://crm.zoho.com/crm/org685875245/tab/Accounts/3525045000205735007")</f>
        <v>https://crm.zoho.com/crm/org685875245/tab/Accounts/3525045000205735007</v>
      </c>
      <c r="M488" s="391"/>
      <c r="N488" s="504"/>
      <c r="O488" s="551" t="s">
        <v>2681</v>
      </c>
      <c r="P488" s="551"/>
      <c r="Q488" s="551" t="s">
        <v>2682</v>
      </c>
      <c r="R488" s="504"/>
      <c r="S488" s="504"/>
      <c r="T488" s="499"/>
      <c r="U488" s="344" t="s">
        <v>394</v>
      </c>
      <c r="V488" s="507">
        <v>43.3</v>
      </c>
      <c r="W488" s="507">
        <v>36.049999999999997</v>
      </c>
      <c r="X488" s="507">
        <v>34.36</v>
      </c>
      <c r="Y488" s="509">
        <v>35.46</v>
      </c>
      <c r="Z488" s="514">
        <v>32.345399999999998</v>
      </c>
      <c r="AA488" s="519">
        <v>28.44</v>
      </c>
      <c r="AB488" s="519">
        <v>28.676100000000002</v>
      </c>
      <c r="AC488" s="645"/>
      <c r="AD488" s="519"/>
      <c r="AE488" s="339"/>
      <c r="AF488" s="340">
        <v>100</v>
      </c>
      <c r="AG488" s="334"/>
      <c r="AH488" s="341"/>
      <c r="AI488" s="418" t="s">
        <v>83</v>
      </c>
      <c r="AJ488" s="343" t="s">
        <v>396</v>
      </c>
      <c r="AK488" s="344" t="s">
        <v>2683</v>
      </c>
      <c r="AL488" s="340" t="s">
        <v>103</v>
      </c>
      <c r="AM488" s="328"/>
      <c r="AN488" s="328"/>
      <c r="AO488" s="328"/>
      <c r="AP488" s="328"/>
      <c r="AQ488" s="328"/>
      <c r="AR488" s="328"/>
      <c r="AS488" s="366" t="s">
        <v>103</v>
      </c>
      <c r="AT488" s="462"/>
      <c r="AU488" s="462"/>
      <c r="AV488" s="462"/>
      <c r="AW488" s="462"/>
      <c r="AX488" s="462"/>
      <c r="AY488" s="462"/>
      <c r="AZ488" s="462"/>
      <c r="BA488" s="462"/>
      <c r="BB488" s="462"/>
      <c r="BC488" s="462"/>
      <c r="BD488" s="462"/>
      <c r="BE488" s="462"/>
      <c r="BF488" s="462"/>
      <c r="BG488" s="462"/>
      <c r="BH488" s="462"/>
      <c r="BI488" s="462"/>
      <c r="BJ488" s="463">
        <f>COUNTIF(AT488:BI488,"*OP*")</f>
        <v>0</v>
      </c>
      <c r="BK488" s="366" t="s">
        <v>103</v>
      </c>
      <c r="BL488" s="328">
        <f>(COUNTIF(AT488:AV488,"*OK*")*3) + (COUNTIF(AW488:AY488,"*OK*")*2) + COUNTIF(AZ488:BB488,"*OK*")+COUNTIF(BK488:BK488,"SI")*0.5</f>
        <v>0</v>
      </c>
      <c r="BM488" s="328" t="str">
        <f>IF(BL488&lt;0.6,"Demasiado Riesgo",IF(BL488&lt;=5,"Riesgo Medio",IF(BL488&lt;=11,"Riesgo Bajo","Cliente Blindado")))</f>
        <v>Demasiado Riesgo</v>
      </c>
      <c r="BN488" s="328"/>
      <c r="BO488" s="328"/>
      <c r="BP488" s="328">
        <v>0</v>
      </c>
      <c r="BQ488" s="328"/>
      <c r="BR488" s="328"/>
      <c r="BS488" s="328"/>
      <c r="BT488" s="328"/>
      <c r="BU488" s="328"/>
      <c r="BV488" s="328"/>
      <c r="BW488" s="328"/>
      <c r="BX488" s="328"/>
      <c r="BY488" s="328"/>
      <c r="BZ488" s="328"/>
      <c r="CA488" s="328"/>
      <c r="CB488" s="328"/>
      <c r="CC488" s="328"/>
      <c r="CD488" s="328"/>
      <c r="CE488" s="328"/>
      <c r="CF488" s="328"/>
      <c r="CG488" s="328"/>
      <c r="CH488" s="328"/>
      <c r="CI488" s="328"/>
      <c r="CJ488" s="328"/>
      <c r="CK488" s="328"/>
      <c r="CL488" s="328">
        <f>COUNTIF(AT488:BH488,"*OK*")</f>
        <v>0</v>
      </c>
      <c r="CM488" s="328"/>
      <c r="CN488" s="328">
        <f>COUNTIF(AT488:BH488,"*OP*")</f>
        <v>0</v>
      </c>
    </row>
    <row r="489" spans="1:92" ht="15" customHeight="1">
      <c r="A489" s="834">
        <v>35650</v>
      </c>
      <c r="B489" s="531" t="s">
        <v>2684</v>
      </c>
      <c r="C489" s="329">
        <f t="shared" si="9"/>
        <v>0</v>
      </c>
      <c r="D489" s="332">
        <f>COUNTIF(AT489:BH489,"*OK*")</f>
        <v>0</v>
      </c>
      <c r="E489" s="499" t="s">
        <v>782</v>
      </c>
      <c r="F489" s="524" t="s">
        <v>2685</v>
      </c>
      <c r="G489" s="499"/>
      <c r="H489" s="650">
        <f>IF(LEN(TRIM($G489&amp;""))=0, $C489, SUMIF($G$3:$G$561, TRIM($G489), $C$3:$C$561))</f>
        <v>0</v>
      </c>
      <c r="I489" s="505" t="s">
        <v>562</v>
      </c>
      <c r="J489" s="499"/>
      <c r="K489" s="328"/>
      <c r="L489" s="328"/>
      <c r="M489" s="391"/>
      <c r="N489" s="504"/>
      <c r="O489" s="551" t="s">
        <v>1456</v>
      </c>
      <c r="P489" s="551" t="s">
        <v>2686</v>
      </c>
      <c r="Q489" s="551" t="s">
        <v>2687</v>
      </c>
      <c r="R489" s="504"/>
      <c r="S489" s="504"/>
      <c r="T489" s="499"/>
      <c r="U489" s="344" t="s">
        <v>82</v>
      </c>
      <c r="V489" s="507">
        <v>32.479999999999997</v>
      </c>
      <c r="W489" s="507">
        <v>4.0599999999999996</v>
      </c>
      <c r="X489" s="507">
        <v>30.93</v>
      </c>
      <c r="Y489" s="509">
        <v>31.92</v>
      </c>
      <c r="Z489" s="514">
        <v>32.351799999999997</v>
      </c>
      <c r="AA489" s="519">
        <v>32</v>
      </c>
      <c r="AB489" s="519"/>
      <c r="AC489" s="645"/>
      <c r="AD489" s="519"/>
      <c r="AE489" s="339"/>
      <c r="AF489" s="340">
        <v>50</v>
      </c>
      <c r="AG489" s="334"/>
      <c r="AH489" s="341"/>
      <c r="AI489" s="418" t="s">
        <v>83</v>
      </c>
      <c r="AJ489" s="343" t="s">
        <v>396</v>
      </c>
      <c r="AK489" s="344" t="s">
        <v>2105</v>
      </c>
      <c r="AL489" s="340" t="s">
        <v>103</v>
      </c>
      <c r="AM489" s="328"/>
      <c r="AN489" s="328"/>
      <c r="AO489" s="328"/>
      <c r="AP489" s="328"/>
      <c r="AQ489" s="328"/>
      <c r="AR489" s="328"/>
      <c r="AS489" s="366" t="s">
        <v>103</v>
      </c>
      <c r="AT489" s="462"/>
      <c r="AU489" s="462"/>
      <c r="AV489" s="462"/>
      <c r="AW489" s="462"/>
      <c r="AX489" s="462"/>
      <c r="AY489" s="462"/>
      <c r="AZ489" s="462"/>
      <c r="BA489" s="462"/>
      <c r="BB489" s="462"/>
      <c r="BC489" s="462"/>
      <c r="BD489" s="462"/>
      <c r="BE489" s="462"/>
      <c r="BF489" s="462"/>
      <c r="BG489" s="462"/>
      <c r="BH489" s="462"/>
      <c r="BI489" s="462"/>
      <c r="BJ489" s="463">
        <f>COUNTIF(AT489:BI489,"*OP*")</f>
        <v>0</v>
      </c>
      <c r="BK489" s="366" t="s">
        <v>103</v>
      </c>
      <c r="BL489" s="328">
        <f>(COUNTIF(AT489:AV489,"*OK*")*3) + (COUNTIF(AW489:AY489,"*OK*")*2) + COUNTIF(AZ489:BB489,"*OK*")+COUNTIF(BK489:BK489,"SI")*0.5</f>
        <v>0</v>
      </c>
      <c r="BM489" s="328" t="str">
        <f>IF(BL489&lt;0.6,"Demasiado Riesgo",IF(BL489&lt;=5,"Riesgo Medio",IF(BL489&lt;=11,"Riesgo Bajo","Cliente Blindado")))</f>
        <v>Demasiado Riesgo</v>
      </c>
      <c r="BN489" s="328"/>
      <c r="BO489" s="349"/>
      <c r="BP489" s="349">
        <v>0</v>
      </c>
      <c r="BQ489" s="349"/>
      <c r="BR489" s="349"/>
      <c r="BS489" s="349"/>
      <c r="BT489" s="349"/>
      <c r="BU489" s="349"/>
      <c r="BV489" s="349"/>
      <c r="BW489" s="349"/>
      <c r="BX489" s="349"/>
      <c r="BY489" s="349"/>
      <c r="BZ489" s="349"/>
      <c r="CA489" s="349"/>
      <c r="CB489" s="349"/>
      <c r="CC489" s="349"/>
      <c r="CD489" s="349"/>
      <c r="CE489" s="349"/>
      <c r="CF489" s="349"/>
      <c r="CG489" s="349"/>
      <c r="CH489" s="349"/>
      <c r="CI489" s="349"/>
      <c r="CJ489" s="349"/>
      <c r="CK489" s="349"/>
      <c r="CL489" s="349">
        <f>COUNTIF(AT489:BH489,"*OK*")</f>
        <v>0</v>
      </c>
      <c r="CM489" s="349"/>
      <c r="CN489" s="349">
        <f>COUNTIF(AT489:BH489,"*OP*")</f>
        <v>0</v>
      </c>
    </row>
    <row r="490" spans="1:92" ht="15" customHeight="1">
      <c r="A490" s="834"/>
      <c r="B490" s="531" t="s">
        <v>2688</v>
      </c>
      <c r="C490" s="329">
        <f t="shared" si="9"/>
        <v>0</v>
      </c>
      <c r="D490" s="332">
        <f>COUNTIF(AT490:BH490,"*OK*")</f>
        <v>0</v>
      </c>
      <c r="E490" s="499" t="s">
        <v>782</v>
      </c>
      <c r="F490" s="499" t="s">
        <v>2689</v>
      </c>
      <c r="G490" s="499"/>
      <c r="H490" s="650">
        <f>IF(LEN(TRIM($G490&amp;""))=0, $C490, SUMIF($G$3:$G$561, TRIM($G490), $C$3:$C$561))</f>
        <v>0</v>
      </c>
      <c r="I490" s="506" t="s">
        <v>562</v>
      </c>
      <c r="J490" s="499"/>
      <c r="K490" s="328"/>
      <c r="L490" s="328" t="str">
        <f>HYPERLINK("https://crm.zoho.com/crm/org685875245/tab/Accounts/3525045000488697682","https://crm.zoho.com/crm/org685875245/tab/Accounts/3525045000488697682")</f>
        <v>https://crm.zoho.com/crm/org685875245/tab/Accounts/3525045000488697682</v>
      </c>
      <c r="M490" s="391" t="s">
        <v>525</v>
      </c>
      <c r="N490" s="504"/>
      <c r="O490" s="551"/>
      <c r="P490" s="551"/>
      <c r="Q490" s="551"/>
      <c r="R490" s="504"/>
      <c r="S490" s="504"/>
      <c r="T490" s="499"/>
      <c r="U490" s="334" t="s">
        <v>394</v>
      </c>
      <c r="V490" s="507">
        <v>35.19</v>
      </c>
      <c r="W490" s="507">
        <v>39.06</v>
      </c>
      <c r="X490" s="507"/>
      <c r="Y490" s="715" t="s">
        <v>103</v>
      </c>
      <c r="Z490" s="514">
        <v>0</v>
      </c>
      <c r="AA490" s="722" t="s">
        <v>103</v>
      </c>
      <c r="AB490" s="722"/>
      <c r="AC490" s="730"/>
      <c r="AD490" s="722"/>
      <c r="AE490" s="339"/>
      <c r="AF490" s="340">
        <v>50</v>
      </c>
      <c r="AG490" s="334"/>
      <c r="AH490" s="341"/>
      <c r="AI490" s="418" t="s">
        <v>83</v>
      </c>
      <c r="AJ490" s="343" t="s">
        <v>396</v>
      </c>
      <c r="AK490" s="344" t="s">
        <v>2690</v>
      </c>
      <c r="AL490" s="340" t="s">
        <v>103</v>
      </c>
      <c r="AM490" s="328"/>
      <c r="AN490" s="328"/>
      <c r="AO490" s="328"/>
      <c r="AP490" s="328"/>
      <c r="AQ490" s="328"/>
      <c r="AR490" s="328"/>
      <c r="AS490" s="366" t="s">
        <v>103</v>
      </c>
      <c r="AT490" s="462"/>
      <c r="AU490" s="462"/>
      <c r="AV490" s="462"/>
      <c r="AW490" s="462"/>
      <c r="AX490" s="462"/>
      <c r="AY490" s="462"/>
      <c r="AZ490" s="462"/>
      <c r="BA490" s="462"/>
      <c r="BB490" s="462"/>
      <c r="BC490" s="462"/>
      <c r="BD490" s="462"/>
      <c r="BE490" s="462"/>
      <c r="BF490" s="462"/>
      <c r="BG490" s="462"/>
      <c r="BH490" s="462"/>
      <c r="BI490" s="462"/>
      <c r="BJ490" s="463">
        <f>COUNTIF(AT490:BI490,"*OP*")</f>
        <v>0</v>
      </c>
      <c r="BK490" s="366" t="s">
        <v>103</v>
      </c>
      <c r="BL490" s="328">
        <f>(COUNTIF(AT490:AV490,"*OK*")*3) + (COUNTIF(AW490:AY490,"*OK*")*2) + COUNTIF(AZ490:BB490,"*OK*")+COUNTIF(BK490:BK490,"SI")*0.5</f>
        <v>0</v>
      </c>
      <c r="BM490" s="328" t="str">
        <f>IF(BL490&lt;0.6,"Demasiado Riesgo",IF(BL490&lt;=5,"Riesgo Medio",IF(BL490&lt;=11,"Riesgo Bajo","Cliente Blindado")))</f>
        <v>Demasiado Riesgo</v>
      </c>
      <c r="BN490" s="328"/>
      <c r="BO490" s="349"/>
      <c r="BP490" s="349">
        <v>0</v>
      </c>
      <c r="BQ490" s="349"/>
      <c r="BR490" s="349"/>
      <c r="BS490" s="349"/>
      <c r="BT490" s="349"/>
      <c r="BU490" s="349"/>
      <c r="BV490" s="349"/>
      <c r="BW490" s="349"/>
      <c r="BX490" s="349"/>
      <c r="BY490" s="349"/>
      <c r="BZ490" s="349"/>
      <c r="CA490" s="349"/>
      <c r="CB490" s="349"/>
      <c r="CC490" s="349"/>
      <c r="CD490" s="349"/>
      <c r="CE490" s="349"/>
      <c r="CF490" s="349"/>
      <c r="CG490" s="349"/>
      <c r="CH490" s="349"/>
      <c r="CI490" s="349"/>
      <c r="CJ490" s="349"/>
      <c r="CK490" s="349"/>
      <c r="CL490" s="349">
        <f>COUNTIF(AT490:BH490,"*OK*")</f>
        <v>0</v>
      </c>
      <c r="CM490" s="349"/>
      <c r="CN490" s="349">
        <f>COUNTIF(AT490:BH490,"*OP*")</f>
        <v>0</v>
      </c>
    </row>
    <row r="491" spans="1:92" ht="15" customHeight="1">
      <c r="A491" s="834"/>
      <c r="B491" s="531" t="s">
        <v>2691</v>
      </c>
      <c r="C491" s="329">
        <f t="shared" si="9"/>
        <v>0</v>
      </c>
      <c r="D491" s="332">
        <f>COUNTIF(AT491:BH491,"*OK*")</f>
        <v>0</v>
      </c>
      <c r="E491" s="499" t="s">
        <v>782</v>
      </c>
      <c r="F491" s="524" t="s">
        <v>2692</v>
      </c>
      <c r="G491" s="499"/>
      <c r="H491" s="650">
        <f>IF(LEN(TRIM($G491&amp;""))=0, $C491, SUMIF($G$3:$G$561, TRIM($G491), $C$3:$C$561))</f>
        <v>0</v>
      </c>
      <c r="I491" s="506" t="s">
        <v>562</v>
      </c>
      <c r="J491" s="499"/>
      <c r="K491" s="328"/>
      <c r="L491" s="328"/>
      <c r="M491" s="391" t="s">
        <v>787</v>
      </c>
      <c r="N491" s="504"/>
      <c r="O491" s="551"/>
      <c r="P491" s="551"/>
      <c r="Q491" s="551"/>
      <c r="R491" s="504"/>
      <c r="S491" s="504"/>
      <c r="T491" s="499"/>
      <c r="U491" s="344" t="s">
        <v>82</v>
      </c>
      <c r="V491" s="507">
        <v>18.04</v>
      </c>
      <c r="W491" s="507">
        <v>18.03</v>
      </c>
      <c r="X491" s="507">
        <v>17.18</v>
      </c>
      <c r="Y491" s="509">
        <v>17.73</v>
      </c>
      <c r="Z491" s="514">
        <v>0</v>
      </c>
      <c r="AA491" s="519" t="s">
        <v>103</v>
      </c>
      <c r="AB491" s="519"/>
      <c r="AC491" s="645"/>
      <c r="AD491" s="519"/>
      <c r="AE491" s="339"/>
      <c r="AF491" s="340">
        <v>50</v>
      </c>
      <c r="AG491" s="334"/>
      <c r="AH491" s="341"/>
      <c r="AI491" s="418" t="s">
        <v>83</v>
      </c>
      <c r="AJ491" s="343" t="s">
        <v>143</v>
      </c>
      <c r="AK491" s="344" t="s">
        <v>2693</v>
      </c>
      <c r="AL491" s="340" t="s">
        <v>103</v>
      </c>
      <c r="AM491" s="328"/>
      <c r="AN491" s="328"/>
      <c r="AO491" s="328"/>
      <c r="AP491" s="328"/>
      <c r="AQ491" s="328"/>
      <c r="AR491" s="328"/>
      <c r="AS491" s="366" t="s">
        <v>103</v>
      </c>
      <c r="AT491" s="462"/>
      <c r="AU491" s="462"/>
      <c r="AV491" s="462"/>
      <c r="AW491" s="462"/>
      <c r="AX491" s="462"/>
      <c r="AY491" s="462"/>
      <c r="AZ491" s="462"/>
      <c r="BA491" s="462"/>
      <c r="BB491" s="462"/>
      <c r="BC491" s="462"/>
      <c r="BD491" s="462"/>
      <c r="BE491" s="462"/>
      <c r="BF491" s="462"/>
      <c r="BG491" s="462"/>
      <c r="BH491" s="462"/>
      <c r="BI491" s="462"/>
      <c r="BJ491" s="463">
        <f>COUNTIF(AT491:BI491,"*OP*")</f>
        <v>0</v>
      </c>
      <c r="BK491" s="366" t="s">
        <v>103</v>
      </c>
      <c r="BL491" s="328">
        <f>(COUNTIF(AT491:AV491,"*OK*")*3) + (COUNTIF(AW491:AY491,"*OK*")*2) + COUNTIF(AZ491:BB491,"*OK*")+COUNTIF(BK491:BK491,"SI")*0.5</f>
        <v>0</v>
      </c>
      <c r="BM491" s="328" t="str">
        <f>IF(BL491&lt;0.6,"Demasiado Riesgo",IF(BL491&lt;=5,"Riesgo Medio",IF(BL491&lt;=11,"Riesgo Bajo","Cliente Blindado")))</f>
        <v>Demasiado Riesgo</v>
      </c>
      <c r="BN491" s="328"/>
      <c r="BO491" s="328"/>
      <c r="BP491" s="328">
        <v>0</v>
      </c>
      <c r="BQ491" s="328"/>
      <c r="BR491" s="328"/>
      <c r="BS491" s="328"/>
      <c r="BT491" s="328"/>
      <c r="BU491" s="328"/>
      <c r="BV491" s="328"/>
      <c r="BW491" s="328"/>
      <c r="BX491" s="328"/>
      <c r="BY491" s="328"/>
      <c r="BZ491" s="328"/>
      <c r="CA491" s="328"/>
      <c r="CB491" s="328"/>
      <c r="CC491" s="328"/>
      <c r="CD491" s="328"/>
      <c r="CE491" s="328"/>
      <c r="CF491" s="328"/>
      <c r="CG491" s="328"/>
      <c r="CH491" s="328"/>
      <c r="CI491" s="328"/>
      <c r="CJ491" s="328"/>
      <c r="CK491" s="328"/>
      <c r="CL491" s="328">
        <f>COUNTIF(AT491:BH491,"*OK*")</f>
        <v>0</v>
      </c>
      <c r="CM491" s="328"/>
      <c r="CN491" s="328">
        <f>COUNTIF(AT491:BH491,"*OP*")</f>
        <v>0</v>
      </c>
    </row>
    <row r="492" spans="1:92" ht="15" customHeight="1">
      <c r="A492" s="835"/>
      <c r="B492" s="530" t="s">
        <v>2694</v>
      </c>
      <c r="C492" s="329">
        <f t="shared" si="9"/>
        <v>0</v>
      </c>
      <c r="D492" s="352">
        <f>COUNTIF(AT492:BH492,"*OK*")</f>
        <v>0</v>
      </c>
      <c r="E492" s="499" t="s">
        <v>782</v>
      </c>
      <c r="F492" s="503" t="s">
        <v>2695</v>
      </c>
      <c r="G492" s="503"/>
      <c r="H492" s="650">
        <f>IF(LEN(TRIM($G492&amp;""))=0, $C492, SUMIF($G$3:$G$561, TRIM($G492), $C$3:$C$561))</f>
        <v>0</v>
      </c>
      <c r="I492" s="503" t="s">
        <v>562</v>
      </c>
      <c r="J492" s="503"/>
      <c r="K492" s="349"/>
      <c r="L492" s="349" t="str">
        <f>HYPERLINK("https://crm.zoho.com/crm/org685875245/tab/Accounts/3525045000081156464","https://crm.zoho.com/crm/org685875245/tab/Accounts/3525045000081156464")</f>
        <v>https://crm.zoho.com/crm/org685875245/tab/Accounts/3525045000081156464</v>
      </c>
      <c r="M492" s="553"/>
      <c r="N492" s="532"/>
      <c r="O492" s="552"/>
      <c r="P492" s="552"/>
      <c r="Q492" s="552"/>
      <c r="R492" s="532"/>
      <c r="S492" s="532"/>
      <c r="T492" s="503"/>
      <c r="U492" s="362" t="s">
        <v>394</v>
      </c>
      <c r="V492" s="508">
        <v>77.25</v>
      </c>
      <c r="W492" s="508">
        <v>68.599999999999994</v>
      </c>
      <c r="X492" s="508">
        <v>65.38</v>
      </c>
      <c r="Y492" s="512">
        <v>67.48</v>
      </c>
      <c r="Z492" s="514">
        <v>68.3917</v>
      </c>
      <c r="AA492" s="520">
        <v>67.64</v>
      </c>
      <c r="AB492" s="520">
        <v>68.212400000000002</v>
      </c>
      <c r="AC492" s="644"/>
      <c r="AD492" s="520"/>
      <c r="AE492" s="357"/>
      <c r="AF492" s="358">
        <v>100</v>
      </c>
      <c r="AG492" s="354"/>
      <c r="AH492" s="359"/>
      <c r="AI492" s="360" t="s">
        <v>83</v>
      </c>
      <c r="AJ492" s="361" t="s">
        <v>396</v>
      </c>
      <c r="AK492" s="362" t="s">
        <v>2696</v>
      </c>
      <c r="AL492" s="358" t="s">
        <v>396</v>
      </c>
      <c r="AM492" s="349"/>
      <c r="AN492" s="349"/>
      <c r="AO492" s="349"/>
      <c r="AP492" s="349"/>
      <c r="AQ492" s="349"/>
      <c r="AR492" s="349"/>
      <c r="AS492" s="397" t="s">
        <v>103</v>
      </c>
      <c r="BJ492" s="285">
        <f>COUNTIF(AT492:BI492,"*OP*")</f>
        <v>0</v>
      </c>
      <c r="BK492" s="397" t="s">
        <v>103</v>
      </c>
      <c r="BL492" s="349">
        <f>(COUNTIF(AT492:AV492,"*OK*")*3) + (COUNTIF(AW492:AY492,"*OK*")*2) + COUNTIF(AZ492:BB492,"*OK*")+COUNTIF(BK492:BK492,"SI")*0.5</f>
        <v>0</v>
      </c>
      <c r="BM492" s="349" t="str">
        <f>IF(BL492&lt;0.6,"Demasiado Riesgo",IF(BL492&lt;=5,"Riesgo Medio",IF(BL492&lt;=11,"Riesgo Bajo","Cliente Blindado")))</f>
        <v>Demasiado Riesgo</v>
      </c>
      <c r="BN492" s="349"/>
      <c r="BO492" s="349"/>
      <c r="BP492" s="349"/>
      <c r="BQ492" s="349"/>
      <c r="BR492" s="349"/>
      <c r="BS492" s="349"/>
      <c r="BT492" s="349"/>
      <c r="BU492" s="349"/>
      <c r="BV492" s="349"/>
      <c r="BW492" s="349"/>
      <c r="BX492" s="349"/>
      <c r="BY492" s="349"/>
      <c r="BZ492" s="349"/>
      <c r="CA492" s="349"/>
      <c r="CB492" s="349"/>
      <c r="CC492" s="349"/>
      <c r="CD492" s="349"/>
      <c r="CE492" s="349"/>
      <c r="CF492" s="349"/>
      <c r="CG492" s="349"/>
      <c r="CH492" s="349"/>
      <c r="CI492" s="349"/>
      <c r="CJ492" s="349"/>
      <c r="CK492" s="349"/>
      <c r="CL492" s="349">
        <f>COUNTIF(AT492:BH492,"*OK*")</f>
        <v>0</v>
      </c>
    </row>
    <row r="493" spans="1:92" ht="15" customHeight="1">
      <c r="A493" s="834">
        <v>32375</v>
      </c>
      <c r="B493" s="531" t="s">
        <v>2697</v>
      </c>
      <c r="C493" s="329">
        <f t="shared" si="9"/>
        <v>0</v>
      </c>
      <c r="D493" s="332">
        <f>COUNTIF(AT493:BH493,"*OK*")</f>
        <v>0</v>
      </c>
      <c r="E493" s="499" t="s">
        <v>782</v>
      </c>
      <c r="F493" s="524" t="s">
        <v>2698</v>
      </c>
      <c r="G493" s="499"/>
      <c r="H493" s="650">
        <f>IF(LEN(TRIM($G493&amp;""))=0, $C493, SUMIF($G$3:$G$561, TRIM($G493), $C$3:$C$561))</f>
        <v>0</v>
      </c>
      <c r="I493" s="499" t="s">
        <v>562</v>
      </c>
      <c r="J493" s="499"/>
      <c r="K493" s="328"/>
      <c r="L493" s="328" t="str">
        <f>HYPERLINK("https://crm.zoho.com/crm/org685875245/tab/Accounts/3525045000480877488","https://crm.zoho.com/crm/org685875245/tab/Accounts/3525045000480877488")</f>
        <v>https://crm.zoho.com/crm/org685875245/tab/Accounts/3525045000480877488</v>
      </c>
      <c r="M493" s="391" t="s">
        <v>787</v>
      </c>
      <c r="N493" s="504"/>
      <c r="O493" s="551"/>
      <c r="P493" s="551"/>
      <c r="Q493" s="551"/>
      <c r="R493" s="504"/>
      <c r="S493" s="504"/>
      <c r="T493" s="499"/>
      <c r="U493" s="344" t="s">
        <v>394</v>
      </c>
      <c r="V493" s="507">
        <v>58.64</v>
      </c>
      <c r="W493" s="507">
        <v>62.49</v>
      </c>
      <c r="X493" s="507">
        <v>74.45</v>
      </c>
      <c r="Y493" s="509">
        <v>73</v>
      </c>
      <c r="Z493" s="514">
        <v>73.9816</v>
      </c>
      <c r="AA493" s="519" t="s">
        <v>103</v>
      </c>
      <c r="AB493" s="519"/>
      <c r="AC493" s="645"/>
      <c r="AD493" s="519"/>
      <c r="AE493" s="339"/>
      <c r="AF493" s="340">
        <v>100</v>
      </c>
      <c r="AG493" s="334"/>
      <c r="AH493" s="341"/>
      <c r="AI493" s="418" t="s">
        <v>83</v>
      </c>
      <c r="AJ493" s="343" t="s">
        <v>199</v>
      </c>
      <c r="AK493" s="344" t="s">
        <v>2699</v>
      </c>
      <c r="AL493" s="340" t="s">
        <v>103</v>
      </c>
      <c r="AM493" s="328"/>
      <c r="AN493" s="328"/>
      <c r="AO493" s="328"/>
      <c r="AP493" s="328"/>
      <c r="AQ493" s="328"/>
      <c r="AR493" s="328"/>
      <c r="AS493" s="366" t="s">
        <v>103</v>
      </c>
      <c r="AT493" s="462"/>
      <c r="AU493" s="462"/>
      <c r="AV493" s="462"/>
      <c r="AW493" s="462"/>
      <c r="AX493" s="462"/>
      <c r="AY493" s="462"/>
      <c r="AZ493" s="462"/>
      <c r="BA493" s="462"/>
      <c r="BB493" s="462"/>
      <c r="BC493" s="462"/>
      <c r="BD493" s="462"/>
      <c r="BE493" s="462"/>
      <c r="BF493" s="462"/>
      <c r="BG493" s="462"/>
      <c r="BH493" s="462"/>
      <c r="BI493" s="462"/>
      <c r="BJ493" s="463">
        <f>COUNTIF(AT493:BI493,"*OP*")</f>
        <v>0</v>
      </c>
      <c r="BK493" s="366" t="s">
        <v>103</v>
      </c>
      <c r="BL493" s="328">
        <f>(COUNTIF(AT493:AV493,"*OK*")*3) + (COUNTIF(AW493:AY493,"*OK*")*2) + COUNTIF(AZ493:BB493,"*OK*")+COUNTIF(BK493:BK493,"SI")*0.5</f>
        <v>0</v>
      </c>
      <c r="BM493" s="328" t="str">
        <f>IF(BL493&lt;0.6,"Demasiado Riesgo",IF(BL493&lt;=5,"Riesgo Medio",IF(BL493&lt;=11,"Riesgo Bajo","Cliente Blindado")))</f>
        <v>Demasiado Riesgo</v>
      </c>
      <c r="BN493" s="328"/>
      <c r="BO493" s="349"/>
      <c r="BP493" s="349">
        <v>0</v>
      </c>
      <c r="BQ493" s="349"/>
      <c r="BR493" s="349"/>
      <c r="BS493" s="349"/>
      <c r="BT493" s="349"/>
      <c r="BU493" s="349"/>
      <c r="BV493" s="349"/>
      <c r="BW493" s="349"/>
      <c r="BX493" s="349"/>
      <c r="BY493" s="349"/>
      <c r="BZ493" s="349"/>
      <c r="CA493" s="349"/>
      <c r="CB493" s="349"/>
      <c r="CC493" s="349"/>
      <c r="CD493" s="349"/>
      <c r="CE493" s="349"/>
      <c r="CF493" s="349"/>
      <c r="CG493" s="349"/>
      <c r="CH493" s="349"/>
      <c r="CI493" s="349"/>
      <c r="CJ493" s="349"/>
      <c r="CK493" s="349"/>
      <c r="CL493" s="349">
        <f>COUNTIF(AT493:BH493,"*OK*")</f>
        <v>0</v>
      </c>
      <c r="CM493" s="349"/>
      <c r="CN493" s="349">
        <f>COUNTIF(AT493:BH493,"*OP*")</f>
        <v>0</v>
      </c>
    </row>
    <row r="494" spans="1:92" ht="15" customHeight="1">
      <c r="A494" s="835"/>
      <c r="B494" s="530" t="s">
        <v>2700</v>
      </c>
      <c r="C494" s="329">
        <f t="shared" si="9"/>
        <v>0</v>
      </c>
      <c r="D494" s="352">
        <f>COUNTIF(AX494:BI494,"OK")</f>
        <v>0</v>
      </c>
      <c r="E494" s="499" t="s">
        <v>782</v>
      </c>
      <c r="F494" s="526" t="s">
        <v>2701</v>
      </c>
      <c r="G494" s="526"/>
      <c r="H494" s="650">
        <f>IF(LEN(TRIM($G494&amp;""))=0, $C494, SUMIF($G$3:$G$561, TRIM($G494), $C$3:$C$561))</f>
        <v>0</v>
      </c>
      <c r="I494" s="526" t="s">
        <v>562</v>
      </c>
      <c r="J494" s="450"/>
      <c r="K494" s="349"/>
      <c r="L494" s="349"/>
      <c r="M494" s="553"/>
      <c r="N494" s="532"/>
      <c r="O494" s="552" t="s">
        <v>804</v>
      </c>
      <c r="P494" s="552" t="s">
        <v>2702</v>
      </c>
      <c r="Q494" s="552" t="s">
        <v>2703</v>
      </c>
      <c r="R494" s="532"/>
      <c r="S494" s="532"/>
      <c r="T494" s="450"/>
      <c r="U494" s="362"/>
      <c r="V494" s="507"/>
      <c r="W494" s="507"/>
      <c r="X494" s="507"/>
      <c r="Y494" s="509"/>
      <c r="Z494" s="514">
        <v>57.771099999999997</v>
      </c>
      <c r="AA494" s="723">
        <v>57.14</v>
      </c>
      <c r="AB494" s="723">
        <v>57.619599999999998</v>
      </c>
      <c r="AC494" s="731"/>
      <c r="AD494" s="723"/>
      <c r="AE494" s="357"/>
      <c r="AF494" s="358" t="s">
        <v>103</v>
      </c>
      <c r="AG494" s="354"/>
      <c r="AH494" s="349"/>
      <c r="AI494" s="361"/>
      <c r="AJ494" s="361"/>
      <c r="AK494" s="362"/>
      <c r="AL494" s="371" t="s">
        <v>103</v>
      </c>
      <c r="AM494" s="349"/>
      <c r="AN494" s="349"/>
      <c r="AO494" s="349"/>
      <c r="AP494" s="349"/>
      <c r="AQ494" s="349"/>
      <c r="AR494" s="349"/>
      <c r="AS494" s="349"/>
      <c r="AT494" s="462"/>
      <c r="AU494" s="462"/>
      <c r="AV494" s="462"/>
      <c r="AW494" s="462"/>
      <c r="AX494" s="462"/>
      <c r="AY494" s="462"/>
      <c r="AZ494" s="462"/>
      <c r="BA494" s="462"/>
      <c r="BB494" s="462"/>
      <c r="BC494" s="462"/>
      <c r="BD494" s="462"/>
      <c r="BE494" s="462"/>
      <c r="BF494" s="462"/>
      <c r="BG494" s="462"/>
      <c r="BH494" s="462"/>
      <c r="BI494" s="462"/>
      <c r="BJ494" s="463">
        <f>COUNTIF(AT494:BI494,"*OP*")</f>
        <v>0</v>
      </c>
      <c r="BK494" s="349"/>
      <c r="BL494" s="349">
        <f>(COUNTIF(AT494:AV494,"*OK*")*3) + (COUNTIF(AW494:AY494,"*OK*")*2) + COUNTIF(AZ494:BB494,"*OK*")+COUNTIF(BK494:BK494,"SI")*0.5</f>
        <v>0</v>
      </c>
      <c r="BM494" s="349" t="str">
        <f>IF(BL494&lt;0.6,"Demasiado Riesgo",IF(BL494&lt;=5,"Riesgo Medio",IF(BL494&lt;=11,"Riesgo Bajo","Cliente Blindado")))</f>
        <v>Demasiado Riesgo</v>
      </c>
      <c r="BN494" s="349"/>
      <c r="BO494" s="328"/>
      <c r="BP494" s="328">
        <v>0</v>
      </c>
      <c r="BQ494" s="328"/>
      <c r="BR494" s="328"/>
      <c r="BS494" s="328"/>
      <c r="BT494" s="328"/>
      <c r="BU494" s="328"/>
      <c r="BV494" s="328"/>
      <c r="BW494" s="328"/>
      <c r="BX494" s="328"/>
      <c r="BY494" s="328"/>
      <c r="BZ494" s="328"/>
      <c r="CA494" s="328"/>
      <c r="CB494" s="328"/>
      <c r="CC494" s="328"/>
      <c r="CD494" s="328"/>
      <c r="CE494" s="328"/>
      <c r="CF494" s="328"/>
      <c r="CG494" s="328"/>
      <c r="CH494" s="328"/>
      <c r="CI494" s="328"/>
      <c r="CJ494" s="328"/>
      <c r="CK494" s="328"/>
      <c r="CL494" s="328">
        <f>COUNTIF(AT494:BH494,"*OK*")</f>
        <v>0</v>
      </c>
      <c r="CM494" s="328"/>
      <c r="CN494" s="328">
        <f>COUNTIF(AT494:BH494,"*OP*")</f>
        <v>0</v>
      </c>
    </row>
    <row r="495" spans="1:92" ht="15" customHeight="1">
      <c r="A495" s="835"/>
      <c r="B495" s="530" t="s">
        <v>2704</v>
      </c>
      <c r="C495" s="329">
        <f t="shared" si="9"/>
        <v>0</v>
      </c>
      <c r="D495" s="352">
        <f>COUNTIF(AT495:BH495,"*OK*")</f>
        <v>0</v>
      </c>
      <c r="E495" s="499" t="s">
        <v>782</v>
      </c>
      <c r="F495" s="502" t="s">
        <v>2705</v>
      </c>
      <c r="G495" s="503"/>
      <c r="H495" s="650">
        <f>IF(LEN(TRIM($G495&amp;""))=0, $C495, SUMIF($G$3:$G$561, TRIM($G495), $C$3:$C$561))</f>
        <v>0</v>
      </c>
      <c r="I495" s="503" t="s">
        <v>562</v>
      </c>
      <c r="J495" s="503"/>
      <c r="K495" s="349"/>
      <c r="L495" s="349"/>
      <c r="M495" s="553" t="s">
        <v>787</v>
      </c>
      <c r="N495" s="532"/>
      <c r="O495" s="552" t="s">
        <v>2706</v>
      </c>
      <c r="P495" s="552" t="s">
        <v>2707</v>
      </c>
      <c r="Q495" s="552" t="s">
        <v>2708</v>
      </c>
      <c r="R495" s="532"/>
      <c r="S495" s="532"/>
      <c r="T495" s="503"/>
      <c r="U495" s="354" t="s">
        <v>82</v>
      </c>
      <c r="V495" s="508"/>
      <c r="W495" s="508">
        <v>184.57</v>
      </c>
      <c r="X495" s="508">
        <v>140</v>
      </c>
      <c r="Y495" s="512">
        <v>174.15</v>
      </c>
      <c r="Z495" s="514">
        <v>3.7551000000000001</v>
      </c>
      <c r="AA495" s="520" t="s">
        <v>103</v>
      </c>
      <c r="AB495" s="520"/>
      <c r="AC495" s="644"/>
      <c r="AD495" s="520"/>
      <c r="AE495" s="357"/>
      <c r="AF495" s="358">
        <v>50</v>
      </c>
      <c r="AG495" s="354"/>
      <c r="AH495" s="359"/>
      <c r="AI495" s="360" t="s">
        <v>83</v>
      </c>
      <c r="AJ495" s="361" t="s">
        <v>396</v>
      </c>
      <c r="AK495" s="362" t="s">
        <v>2709</v>
      </c>
      <c r="AL495" s="358" t="s">
        <v>103</v>
      </c>
      <c r="AM495" s="349"/>
      <c r="AN495" s="349"/>
      <c r="AO495" s="349"/>
      <c r="AP495" s="349"/>
      <c r="AQ495" s="349"/>
      <c r="AR495" s="349"/>
      <c r="AS495" s="397" t="s">
        <v>103</v>
      </c>
      <c r="AT495" s="463"/>
      <c r="AU495" s="463"/>
      <c r="AV495" s="463"/>
      <c r="AW495" s="463"/>
      <c r="AX495" s="463"/>
      <c r="AY495" s="463"/>
      <c r="AZ495" s="463"/>
      <c r="BA495" s="463"/>
      <c r="BB495" s="463"/>
      <c r="BC495" s="463"/>
      <c r="BD495" s="463"/>
      <c r="BE495" s="463"/>
      <c r="BF495" s="463"/>
      <c r="BG495" s="463"/>
      <c r="BH495" s="463"/>
      <c r="BI495" s="463"/>
      <c r="BJ495" s="463">
        <f>COUNTIF(AT495:BI495,"*OP*")</f>
        <v>0</v>
      </c>
      <c r="BK495" s="397" t="s">
        <v>103</v>
      </c>
      <c r="BL495" s="349">
        <f>(COUNTIF(AT495:AV495,"*OK*")*3) + (COUNTIF(AW495:AY495,"*OK*")*2) + COUNTIF(AZ495:BB495,"*OK*")+COUNTIF(BK495:BK495,"SI")*0.5</f>
        <v>0</v>
      </c>
      <c r="BM495" s="349" t="str">
        <f>IF(BL495&lt;0.6,"Demasiado Riesgo",IF(BL495&lt;=5,"Riesgo Medio",IF(BL495&lt;=11,"Riesgo Bajo","Cliente Blindado")))</f>
        <v>Demasiado Riesgo</v>
      </c>
      <c r="BN495" s="349"/>
      <c r="BO495" s="328"/>
      <c r="BP495" s="328">
        <v>0</v>
      </c>
      <c r="BQ495" s="328"/>
      <c r="BR495" s="328"/>
      <c r="BS495" s="328"/>
      <c r="BT495" s="328"/>
      <c r="BU495" s="328"/>
      <c r="BV495" s="328"/>
      <c r="BW495" s="328"/>
      <c r="BX495" s="328"/>
      <c r="BY495" s="328"/>
      <c r="BZ495" s="328"/>
      <c r="CA495" s="328"/>
      <c r="CB495" s="328"/>
      <c r="CC495" s="328"/>
      <c r="CD495" s="328"/>
      <c r="CE495" s="328"/>
      <c r="CF495" s="328"/>
      <c r="CG495" s="328"/>
      <c r="CH495" s="328"/>
      <c r="CI495" s="328"/>
      <c r="CJ495" s="328"/>
      <c r="CK495" s="328"/>
      <c r="CL495" s="328">
        <f>COUNTIF(AT495:BH495,"*OK*")</f>
        <v>0</v>
      </c>
      <c r="CM495" s="328"/>
      <c r="CN495" s="328">
        <f>COUNTIF(AT495:BH495,"*OP*")</f>
        <v>0</v>
      </c>
    </row>
    <row r="496" spans="1:92" ht="15" customHeight="1">
      <c r="A496" s="834">
        <v>35832</v>
      </c>
      <c r="B496" s="328"/>
      <c r="C496" s="329">
        <f t="shared" si="9"/>
        <v>0</v>
      </c>
      <c r="D496" s="332">
        <f>COUNTIF(AT496:BH496,"*OK*")</f>
        <v>0</v>
      </c>
      <c r="E496" s="499" t="s">
        <v>782</v>
      </c>
      <c r="F496" s="661" t="s">
        <v>2710</v>
      </c>
      <c r="G496" s="499"/>
      <c r="H496" s="650">
        <f>IF(LEN(TRIM($G496&amp;""))=0, $C496, SUMIF($G$3:$G$561, TRIM($G496), $C$3:$C$561))</f>
        <v>0</v>
      </c>
      <c r="I496" s="506" t="s">
        <v>562</v>
      </c>
      <c r="J496" s="499" t="s">
        <v>1397</v>
      </c>
      <c r="K496" s="328"/>
      <c r="L496" s="328" t="str">
        <f>HYPERLINK("https://crm.zoho.com/crm/org685875245/tab/Accounts/3525045000577650270","https://crm.zoho.com/crm/org685875245/tab/Accounts/3525045000577650270")</f>
        <v>https://crm.zoho.com/crm/org685875245/tab/Accounts/3525045000577650270</v>
      </c>
      <c r="M496" s="391" t="s">
        <v>167</v>
      </c>
      <c r="N496" s="504"/>
      <c r="O496" s="551" t="s">
        <v>2711</v>
      </c>
      <c r="P496" s="551" t="s">
        <v>2712</v>
      </c>
      <c r="Q496" s="551" t="s">
        <v>2713</v>
      </c>
      <c r="R496" s="504"/>
      <c r="S496" s="504"/>
      <c r="T496" s="666"/>
      <c r="U496" s="334" t="s">
        <v>285</v>
      </c>
      <c r="V496" s="706"/>
      <c r="W496" s="706">
        <v>43</v>
      </c>
      <c r="X496" s="706">
        <v>47</v>
      </c>
      <c r="Y496" s="509" t="s">
        <v>103</v>
      </c>
      <c r="Z496" s="514"/>
      <c r="AA496" s="519" t="s">
        <v>103</v>
      </c>
      <c r="AB496" s="519"/>
      <c r="AC496" s="645"/>
      <c r="AD496" s="519"/>
      <c r="AE496" s="339">
        <v>47</v>
      </c>
      <c r="AF496" s="340">
        <v>100</v>
      </c>
      <c r="AG496" s="334"/>
      <c r="AH496" s="341"/>
      <c r="AI496" s="418" t="s">
        <v>83</v>
      </c>
      <c r="AJ496" s="343" t="s">
        <v>130</v>
      </c>
      <c r="AK496" s="344" t="s">
        <v>2714</v>
      </c>
      <c r="AL496" s="340" t="s">
        <v>103</v>
      </c>
      <c r="AM496" s="328"/>
      <c r="AN496" s="328"/>
      <c r="AO496" s="328"/>
      <c r="AP496" s="328"/>
      <c r="AQ496" s="328"/>
      <c r="AR496" s="328"/>
      <c r="AS496" s="366" t="s">
        <v>103</v>
      </c>
      <c r="AT496" s="462"/>
      <c r="AU496" s="462"/>
      <c r="AV496" s="462"/>
      <c r="AW496" s="462"/>
      <c r="AX496" s="462"/>
      <c r="AY496" s="462"/>
      <c r="AZ496" s="462"/>
      <c r="BA496" s="462"/>
      <c r="BB496" s="462"/>
      <c r="BC496" s="462"/>
      <c r="BD496" s="462"/>
      <c r="BE496" s="462"/>
      <c r="BF496" s="462"/>
      <c r="BG496" s="462"/>
      <c r="BH496" s="462"/>
      <c r="BI496" s="462"/>
      <c r="BJ496" s="463">
        <f>COUNTIF(AT496:BI496,"*OP*")</f>
        <v>0</v>
      </c>
      <c r="BK496" s="366" t="s">
        <v>103</v>
      </c>
      <c r="BL496" s="328">
        <f>(COUNTIF(AT496:AV496,"*OK*")*3) + (COUNTIF(AW496:AY496,"*OK*")*2) + COUNTIF(AZ496:BB496,"*OK*")+COUNTIF(BK496:BK496,"SI")*0.5</f>
        <v>0</v>
      </c>
      <c r="BM496" s="328" t="str">
        <f>IF(BL496&lt;0.6,"Demasiado Riesgo",IF(BL496&lt;=5,"Riesgo Medio",IF(BL496&lt;=11,"Riesgo Bajo","Cliente Blindado")))</f>
        <v>Demasiado Riesgo</v>
      </c>
      <c r="BN496" s="328"/>
      <c r="BO496" s="328"/>
      <c r="BP496" s="328">
        <v>0</v>
      </c>
      <c r="BQ496" s="328"/>
      <c r="BR496" s="328"/>
      <c r="BS496" s="328"/>
      <c r="BT496" s="328"/>
      <c r="BU496" s="328"/>
      <c r="BV496" s="328"/>
      <c r="BW496" s="328"/>
      <c r="BX496" s="328"/>
      <c r="BY496" s="328"/>
      <c r="BZ496" s="328"/>
      <c r="CA496" s="328"/>
      <c r="CB496" s="328"/>
      <c r="CC496" s="328"/>
      <c r="CD496" s="328"/>
      <c r="CE496" s="328"/>
      <c r="CF496" s="328"/>
      <c r="CG496" s="328"/>
      <c r="CH496" s="328"/>
      <c r="CI496" s="328"/>
      <c r="CJ496" s="328"/>
      <c r="CK496" s="328"/>
      <c r="CL496" s="328">
        <f>COUNTIF(AT496:BH496,"*OK*")</f>
        <v>0</v>
      </c>
      <c r="CM496" s="328"/>
      <c r="CN496" s="328">
        <f>COUNTIF(AT496:BH496,"*OP*")</f>
        <v>0</v>
      </c>
    </row>
    <row r="497" spans="1:94" ht="15" customHeight="1">
      <c r="A497" s="834"/>
      <c r="B497" s="531" t="s">
        <v>2715</v>
      </c>
      <c r="C497" s="329">
        <f t="shared" si="9"/>
        <v>0</v>
      </c>
      <c r="D497" s="332">
        <f>COUNTIF(AT497:BH497,"*OK*")</f>
        <v>0</v>
      </c>
      <c r="E497" s="331" t="s">
        <v>782</v>
      </c>
      <c r="F497" s="331" t="s">
        <v>2716</v>
      </c>
      <c r="G497" s="331"/>
      <c r="H497" s="650">
        <f>IF(LEN(TRIM($G497&amp;""))=0, $C497, SUMIF($G$3:$G$561, TRIM($G497), $C$3:$C$561))</f>
        <v>0</v>
      </c>
      <c r="I497" s="333" t="s">
        <v>562</v>
      </c>
      <c r="J497" s="331"/>
      <c r="K497" s="328"/>
      <c r="L497" s="328"/>
      <c r="M497" s="391"/>
      <c r="N497" s="332"/>
      <c r="O497" s="541"/>
      <c r="P497" s="541"/>
      <c r="Q497" s="541"/>
      <c r="R497" s="332"/>
      <c r="S497" s="332"/>
      <c r="T497" s="331"/>
      <c r="U497" s="334" t="s">
        <v>82</v>
      </c>
      <c r="V497" s="335">
        <v>71.63</v>
      </c>
      <c r="W497" s="335">
        <v>79.099999999999994</v>
      </c>
      <c r="X497" s="335">
        <v>75.38</v>
      </c>
      <c r="Y497" s="510" t="s">
        <v>103</v>
      </c>
      <c r="Z497" s="516">
        <v>0</v>
      </c>
      <c r="AA497" s="519" t="s">
        <v>103</v>
      </c>
      <c r="AB497" s="519"/>
      <c r="AC497" s="645"/>
      <c r="AD497" s="519"/>
      <c r="AE497" s="339"/>
      <c r="AF497" s="340">
        <v>100</v>
      </c>
      <c r="AG497" s="334"/>
      <c r="AH497" s="341"/>
      <c r="AI497" s="418" t="s">
        <v>83</v>
      </c>
      <c r="AJ497" s="343" t="s">
        <v>396</v>
      </c>
      <c r="AK497" s="344" t="s">
        <v>2717</v>
      </c>
      <c r="AL497" s="340" t="s">
        <v>103</v>
      </c>
      <c r="AM497" s="328"/>
      <c r="AN497" s="328"/>
      <c r="AO497" s="328"/>
      <c r="AP497" s="328"/>
      <c r="AQ497" s="328"/>
      <c r="AR497" s="328"/>
      <c r="AS497" s="366" t="s">
        <v>103</v>
      </c>
      <c r="AT497" s="462"/>
      <c r="AU497" s="462"/>
      <c r="AV497" s="462"/>
      <c r="AW497" s="462"/>
      <c r="AX497" s="462"/>
      <c r="AY497" s="462"/>
      <c r="AZ497" s="462"/>
      <c r="BA497" s="462"/>
      <c r="BB497" s="462"/>
      <c r="BC497" s="462"/>
      <c r="BD497" s="462"/>
      <c r="BE497" s="462"/>
      <c r="BF497" s="462"/>
      <c r="BG497" s="462"/>
      <c r="BH497" s="462"/>
      <c r="BI497" s="462"/>
      <c r="BJ497" s="463">
        <f>COUNTIF(AT497:BI497,"*OP*")</f>
        <v>0</v>
      </c>
      <c r="BK497" s="366" t="s">
        <v>103</v>
      </c>
      <c r="BL497" s="328">
        <f>(COUNTIF(AT497:AV497,"*OK*")*3) + (COUNTIF(AW497:AY497,"*OK*")*2) + COUNTIF(AZ497:BB497,"*OK*")+COUNTIF(BK497:BK497,"SI")*0.5</f>
        <v>0</v>
      </c>
      <c r="BM497" s="328" t="str">
        <f>IF(BL497&lt;0.6,"Demasiado Riesgo",IF(BL497&lt;=5,"Riesgo Medio",IF(BL497&lt;=11,"Riesgo Bajo","Cliente Blindado")))</f>
        <v>Demasiado Riesgo</v>
      </c>
      <c r="BN497" s="328"/>
      <c r="BO497" s="328"/>
      <c r="BP497" s="328">
        <v>0</v>
      </c>
      <c r="BQ497" s="328"/>
      <c r="BR497" s="328"/>
      <c r="BS497" s="328"/>
      <c r="BT497" s="328"/>
      <c r="BU497" s="328"/>
      <c r="BV497" s="328"/>
      <c r="BW497" s="328"/>
      <c r="BX497" s="328"/>
      <c r="BY497" s="328"/>
      <c r="BZ497" s="328"/>
      <c r="CA497" s="328"/>
      <c r="CB497" s="328"/>
      <c r="CC497" s="328"/>
      <c r="CD497" s="328"/>
      <c r="CE497" s="328"/>
      <c r="CF497" s="328"/>
      <c r="CG497" s="328"/>
      <c r="CH497" s="328"/>
      <c r="CI497" s="328"/>
      <c r="CJ497" s="328"/>
      <c r="CK497" s="328"/>
      <c r="CL497" s="328">
        <f>COUNTIF(AT497:BH497,"*OK*")</f>
        <v>0</v>
      </c>
      <c r="CM497" s="328"/>
      <c r="CN497" s="328">
        <f>COUNTIF(AT497:BH497,"*OP*")</f>
        <v>0</v>
      </c>
    </row>
    <row r="498" spans="1:94" ht="15" customHeight="1">
      <c r="A498" s="835"/>
      <c r="B498" s="530" t="s">
        <v>2718</v>
      </c>
      <c r="C498" s="329">
        <f t="shared" si="9"/>
        <v>0</v>
      </c>
      <c r="D498" s="352">
        <f>COUNTIF(AX498:BI498,"OK")</f>
        <v>0</v>
      </c>
      <c r="E498" s="331" t="s">
        <v>782</v>
      </c>
      <c r="F498" s="368" t="s">
        <v>2719</v>
      </c>
      <c r="G498" s="368"/>
      <c r="H498" s="650">
        <f>IF(LEN(TRIM($G498&amp;""))=0, $C498, SUMIF($G$3:$G$561, TRIM($G498), $C$3:$C$561))</f>
        <v>0</v>
      </c>
      <c r="I498" s="368" t="s">
        <v>562</v>
      </c>
      <c r="J498" s="349"/>
      <c r="K498" s="349"/>
      <c r="L498" s="349"/>
      <c r="M498" s="553"/>
      <c r="N498" s="352"/>
      <c r="O498" s="540"/>
      <c r="P498" s="540"/>
      <c r="Q498" s="540"/>
      <c r="R498" s="352"/>
      <c r="S498" s="352"/>
      <c r="T498" s="349"/>
      <c r="U498" s="362"/>
      <c r="V498" s="335"/>
      <c r="W498" s="335"/>
      <c r="X498" s="335"/>
      <c r="Y498" s="510">
        <v>53.31</v>
      </c>
      <c r="Z498" s="516">
        <v>0</v>
      </c>
      <c r="AA498" s="534" t="s">
        <v>103</v>
      </c>
      <c r="AB498" s="534"/>
      <c r="AC498" s="646"/>
      <c r="AD498" s="534"/>
      <c r="AE498" s="357"/>
      <c r="AF498" s="358" t="s">
        <v>103</v>
      </c>
      <c r="AG498" s="354"/>
      <c r="AH498" s="349"/>
      <c r="AI498" s="361"/>
      <c r="AJ498" s="361"/>
      <c r="AK498" s="362"/>
      <c r="AL498" s="371" t="s">
        <v>103</v>
      </c>
      <c r="AM498" s="349"/>
      <c r="AN498" s="349"/>
      <c r="AO498" s="349"/>
      <c r="AP498" s="349"/>
      <c r="AQ498" s="349"/>
      <c r="AR498" s="349"/>
      <c r="AS498" s="397"/>
      <c r="AT498" s="462"/>
      <c r="AU498" s="462"/>
      <c r="AV498" s="462"/>
      <c r="AW498" s="462"/>
      <c r="AX498" s="462"/>
      <c r="AY498" s="462"/>
      <c r="AZ498" s="462"/>
      <c r="BA498" s="462"/>
      <c r="BB498" s="462"/>
      <c r="BC498" s="462"/>
      <c r="BD498" s="462"/>
      <c r="BE498" s="462"/>
      <c r="BF498" s="462"/>
      <c r="BG498" s="462"/>
      <c r="BH498" s="462"/>
      <c r="BI498" s="462"/>
      <c r="BJ498" s="463">
        <f>COUNTIF(AT498:BI498,"*OP*")</f>
        <v>0</v>
      </c>
      <c r="BK498" s="397" t="s">
        <v>103</v>
      </c>
      <c r="BL498" s="349">
        <f>(COUNTIF(AT498:AV498,"*OK*")*3) + (COUNTIF(AW498:AY498,"*OK*")*2) + COUNTIF(AZ498:BB498,"*OK*")+COUNTIF(BK498:BK498,"SI")*0.5</f>
        <v>0</v>
      </c>
      <c r="BM498" s="349" t="str">
        <f>IF(BL498&lt;0.6,"Demasiado Riesgo",IF(BL498&lt;=5,"Riesgo Medio",IF(BL498&lt;=11,"Riesgo Bajo","Cliente Blindado")))</f>
        <v>Demasiado Riesgo</v>
      </c>
      <c r="BN498" s="349"/>
      <c r="BO498" s="349"/>
      <c r="BP498" s="349">
        <v>0</v>
      </c>
      <c r="BQ498" s="349"/>
      <c r="BR498" s="349"/>
      <c r="BS498" s="349"/>
      <c r="BT498" s="349"/>
      <c r="BU498" s="349"/>
      <c r="BV498" s="349"/>
      <c r="BW498" s="349"/>
      <c r="BX498" s="349"/>
      <c r="BY498" s="349"/>
      <c r="BZ498" s="349"/>
      <c r="CA498" s="349"/>
      <c r="CB498" s="349"/>
      <c r="CC498" s="349"/>
      <c r="CD498" s="349"/>
      <c r="CE498" s="349"/>
      <c r="CF498" s="349"/>
      <c r="CG498" s="349"/>
      <c r="CH498" s="349"/>
      <c r="CI498" s="349"/>
      <c r="CJ498" s="349"/>
      <c r="CK498" s="349"/>
      <c r="CL498" s="349">
        <f>COUNTIF(AT498:BH498,"*OK*")</f>
        <v>0</v>
      </c>
      <c r="CM498" s="349"/>
      <c r="CN498" s="349">
        <f>COUNTIF(AT498:BH498,"*OP*")</f>
        <v>0</v>
      </c>
    </row>
    <row r="499" spans="1:94" ht="15" customHeight="1">
      <c r="A499" s="834"/>
      <c r="B499" s="531" t="s">
        <v>2720</v>
      </c>
      <c r="C499" s="329">
        <f t="shared" si="9"/>
        <v>0</v>
      </c>
      <c r="D499" s="332">
        <f>COUNTIF(AX499:BI499,"OK")</f>
        <v>0</v>
      </c>
      <c r="E499" s="501" t="s">
        <v>782</v>
      </c>
      <c r="F499" s="536" t="s">
        <v>2721</v>
      </c>
      <c r="G499" s="537"/>
      <c r="H499" s="650">
        <f>IF(LEN(TRIM($G499&amp;""))=0, $C499, SUMIF($G$3:$G$561, TRIM($G499), $C$3:$C$561))</f>
        <v>0</v>
      </c>
      <c r="I499" s="501" t="s">
        <v>562</v>
      </c>
      <c r="J499" s="501"/>
      <c r="K499" s="328"/>
      <c r="L499" s="328"/>
      <c r="M499" s="391"/>
      <c r="N499" s="501" t="s">
        <v>103</v>
      </c>
      <c r="O499" s="543" t="s">
        <v>184</v>
      </c>
      <c r="P499" s="543" t="s">
        <v>2722</v>
      </c>
      <c r="Q499" s="543" t="s">
        <v>2723</v>
      </c>
      <c r="R499" s="501"/>
      <c r="S499" s="501" t="s">
        <v>103</v>
      </c>
      <c r="T499" s="501" t="s">
        <v>88</v>
      </c>
      <c r="U499" s="469" t="s">
        <v>103</v>
      </c>
      <c r="V499" s="501" t="s">
        <v>103</v>
      </c>
      <c r="W499" s="501" t="s">
        <v>103</v>
      </c>
      <c r="X499" s="501" t="s">
        <v>103</v>
      </c>
      <c r="Y499" s="501" t="s">
        <v>103</v>
      </c>
      <c r="Z499" s="721" t="s">
        <v>103</v>
      </c>
      <c r="AA499" s="394">
        <v>11.14</v>
      </c>
      <c r="AB499" s="394">
        <v>18.726400000000002</v>
      </c>
      <c r="AC499" s="730"/>
      <c r="AD499" s="394"/>
      <c r="AE499" s="327"/>
      <c r="AF499" s="372" t="s">
        <v>103</v>
      </c>
      <c r="AG499" s="344"/>
      <c r="AH499" s="328"/>
      <c r="AI499" s="343"/>
      <c r="AJ499" s="343"/>
      <c r="AK499" s="344"/>
      <c r="AL499" s="372" t="s">
        <v>103</v>
      </c>
      <c r="AM499" s="328"/>
      <c r="AN499" s="328"/>
      <c r="AO499" s="328"/>
      <c r="AP499" s="328"/>
      <c r="AQ499" s="328"/>
      <c r="AR499" s="328"/>
      <c r="AS499" s="328"/>
      <c r="BJ499" s="285">
        <f>COUNTIF(AT499:BI499,"*OP*")</f>
        <v>0</v>
      </c>
      <c r="BK499" s="328"/>
      <c r="BL499" s="328">
        <f>(COUNTIF(AT499:AV499,"*OK*")*3) + (COUNTIF(AW499:AY499,"*OK*")*2) + COUNTIF(AZ499:BB499,"*OK*")+COUNTIF(BK499:BK499,"SI")*0.5</f>
        <v>0</v>
      </c>
      <c r="BM499" s="328" t="str">
        <f>IF(BL499&lt;0.6,"Demasiado Riesgo",IF(BL499&lt;=5,"Riesgo Medio",IF(BL499&lt;=11,"Riesgo Bajo","Cliente Blindado")))</f>
        <v>Demasiado Riesgo</v>
      </c>
      <c r="BN499" s="328"/>
      <c r="BO499" s="328"/>
      <c r="BP499" s="328">
        <v>0</v>
      </c>
      <c r="BQ499" s="328"/>
      <c r="BR499" s="328"/>
      <c r="BS499" s="328"/>
      <c r="BT499" s="328"/>
      <c r="BU499" s="328"/>
      <c r="BV499" s="328"/>
      <c r="BW499" s="328"/>
      <c r="BX499" s="328"/>
      <c r="BY499" s="328"/>
      <c r="BZ499" s="328"/>
      <c r="CA499" s="328"/>
      <c r="CB499" s="328"/>
      <c r="CC499" s="328"/>
      <c r="CD499" s="328"/>
      <c r="CE499" s="328"/>
      <c r="CF499" s="328"/>
      <c r="CG499" s="328"/>
      <c r="CH499" s="328"/>
      <c r="CI499" s="328"/>
      <c r="CJ499" s="328"/>
      <c r="CK499" s="328"/>
      <c r="CL499" s="328">
        <f>COUNTIF(AT499:BH499,"*OK*")</f>
        <v>0</v>
      </c>
      <c r="CM499" s="328"/>
      <c r="CN499" s="328">
        <f>COUNTIF(AT499:BH499,"*OP*")</f>
        <v>0</v>
      </c>
    </row>
    <row r="500" spans="1:94" ht="15" customHeight="1">
      <c r="A500" s="834">
        <v>37409</v>
      </c>
      <c r="B500" s="531" t="s">
        <v>2724</v>
      </c>
      <c r="C500" s="329">
        <f t="shared" si="9"/>
        <v>0</v>
      </c>
      <c r="D500" s="332">
        <f>COUNTIF(AX500:BI500,"OK")</f>
        <v>0</v>
      </c>
      <c r="E500" s="331" t="s">
        <v>782</v>
      </c>
      <c r="F500" s="593" t="s">
        <v>2725</v>
      </c>
      <c r="G500" s="342"/>
      <c r="H500" s="650">
        <f>IF(LEN(TRIM($G500&amp;""))=0, $C500, SUMIF($G$3:$G$561, TRIM($G500), $C$3:$C$561))</f>
        <v>0</v>
      </c>
      <c r="I500" s="366" t="s">
        <v>562</v>
      </c>
      <c r="J500" s="366"/>
      <c r="K500" s="328"/>
      <c r="L500" s="328" t="str">
        <f>HYPERLINK("https://crm.zoho.com/crm/org685875245/tab/Accounts/3525045000617025181","https://crm.zoho.com/crm/org685875245/tab/Accounts/3525045000617025181")</f>
        <v>https://crm.zoho.com/crm/org685875245/tab/Accounts/3525045000617025181</v>
      </c>
      <c r="M500" s="391"/>
      <c r="N500" s="332"/>
      <c r="O500" s="541" t="s">
        <v>2726</v>
      </c>
      <c r="P500" s="541" t="s">
        <v>2727</v>
      </c>
      <c r="Q500" s="541" t="s">
        <v>2728</v>
      </c>
      <c r="R500" s="332"/>
      <c r="S500" s="332"/>
      <c r="T500" s="351" t="s">
        <v>88</v>
      </c>
      <c r="U500" s="344" t="s">
        <v>209</v>
      </c>
      <c r="V500" s="366" t="s">
        <v>103</v>
      </c>
      <c r="W500" s="366" t="s">
        <v>103</v>
      </c>
      <c r="X500" s="366" t="s">
        <v>103</v>
      </c>
      <c r="Y500" s="366">
        <v>55.58</v>
      </c>
      <c r="Z500" s="720">
        <v>56.326799999999999</v>
      </c>
      <c r="AA500" s="726">
        <v>55.709200000000003</v>
      </c>
      <c r="AB500" s="726"/>
      <c r="AC500" s="733"/>
      <c r="AD500" s="726"/>
      <c r="AE500" s="339"/>
      <c r="AF500" s="340" t="s">
        <v>103</v>
      </c>
      <c r="AG500" s="334"/>
      <c r="AH500" s="328"/>
      <c r="AI500" s="343"/>
      <c r="AJ500" s="343"/>
      <c r="AK500" s="344"/>
      <c r="AL500" s="372" t="s">
        <v>103</v>
      </c>
      <c r="AM500" s="328"/>
      <c r="AN500" s="328"/>
      <c r="AO500" s="328"/>
      <c r="AP500" s="328"/>
      <c r="AQ500" s="328"/>
      <c r="AR500" s="328"/>
      <c r="AS500" s="366" t="s">
        <v>103</v>
      </c>
      <c r="AT500" s="462"/>
      <c r="AU500" s="462"/>
      <c r="AV500" s="462"/>
      <c r="AW500" s="462"/>
      <c r="AX500" s="462"/>
      <c r="AY500" s="462"/>
      <c r="AZ500" s="462"/>
      <c r="BA500" s="462"/>
      <c r="BB500" s="462"/>
      <c r="BC500" s="462"/>
      <c r="BD500" s="462"/>
      <c r="BE500" s="462"/>
      <c r="BF500" s="462"/>
      <c r="BG500" s="462"/>
      <c r="BH500" s="462"/>
      <c r="BI500" s="462"/>
      <c r="BJ500" s="463">
        <f>COUNTIF(AT500:BI500,"*OP*")</f>
        <v>0</v>
      </c>
      <c r="BK500" s="366" t="s">
        <v>103</v>
      </c>
      <c r="BL500" s="328">
        <f>(COUNTIF(AT500:AV500,"*OK*")*3) + (COUNTIF(AW500:AY500,"*OK*")*2) + COUNTIF(AZ500:BB500,"*OK*")+COUNTIF(BK500:BK500,"SI")*0.5</f>
        <v>0</v>
      </c>
      <c r="BM500" s="328" t="str">
        <f>IF(BL500&lt;0.6,"Demasiado Riesgo",IF(BL500&lt;=5,"Riesgo Medio",IF(BL500&lt;=11,"Riesgo Bajo","Cliente Blindado")))</f>
        <v>Demasiado Riesgo</v>
      </c>
      <c r="BN500" s="328"/>
      <c r="BO500" s="328"/>
      <c r="BP500" s="328">
        <v>0</v>
      </c>
      <c r="BQ500" s="328"/>
      <c r="BR500" s="328"/>
      <c r="BS500" s="328"/>
      <c r="BT500" s="328"/>
      <c r="BU500" s="328"/>
      <c r="BV500" s="328"/>
      <c r="BW500" s="328"/>
      <c r="BX500" s="328"/>
      <c r="BY500" s="328"/>
      <c r="BZ500" s="328"/>
      <c r="CA500" s="328"/>
      <c r="CB500" s="328"/>
      <c r="CC500" s="328"/>
      <c r="CD500" s="328"/>
      <c r="CE500" s="328"/>
      <c r="CF500" s="328"/>
      <c r="CG500" s="328"/>
      <c r="CH500" s="328"/>
      <c r="CI500" s="328"/>
      <c r="CJ500" s="328"/>
      <c r="CK500" s="328"/>
      <c r="CL500" s="328">
        <f>COUNTIF(AT500:BH500,"*OK*")</f>
        <v>0</v>
      </c>
      <c r="CM500" s="328"/>
      <c r="CN500" s="328">
        <f>COUNTIF(AT500:BH500,"*OP*")</f>
        <v>0</v>
      </c>
    </row>
    <row r="501" spans="1:94" ht="15" customHeight="1">
      <c r="A501" s="834">
        <v>34913</v>
      </c>
      <c r="B501" s="531" t="s">
        <v>2729</v>
      </c>
      <c r="C501" s="329">
        <f t="shared" si="9"/>
        <v>0</v>
      </c>
      <c r="D501" s="332">
        <f>COUNTIF(AT501:BH501,"*OK*")</f>
        <v>0</v>
      </c>
      <c r="E501" s="331" t="s">
        <v>782</v>
      </c>
      <c r="F501" s="331" t="s">
        <v>2730</v>
      </c>
      <c r="G501" s="331"/>
      <c r="H501" s="650">
        <f>IF(LEN(TRIM($G501&amp;""))=0, $C501, SUMIF($G$3:$G$561, TRIM($G501), $C$3:$C$561))</f>
        <v>0</v>
      </c>
      <c r="I501" s="333" t="s">
        <v>562</v>
      </c>
      <c r="J501" s="331"/>
      <c r="K501" s="328"/>
      <c r="L501" s="328" t="str">
        <f>HYPERLINK("https://crm.zoho.com/crm/org685875245/tab/Accounts/3525045000551934673","https://crm.zoho.com/crm/org685875245/tab/Accounts/3525045000551934673")</f>
        <v>https://crm.zoho.com/crm/org685875245/tab/Accounts/3525045000551934673</v>
      </c>
      <c r="M501" s="391"/>
      <c r="N501" s="332"/>
      <c r="O501" s="541" t="s">
        <v>2731</v>
      </c>
      <c r="P501" s="541" t="s">
        <v>2732</v>
      </c>
      <c r="Q501" s="541" t="s">
        <v>2733</v>
      </c>
      <c r="R501" s="332"/>
      <c r="S501" s="332"/>
      <c r="T501" s="331"/>
      <c r="U501" s="344" t="s">
        <v>285</v>
      </c>
      <c r="V501" s="335">
        <v>60.9</v>
      </c>
      <c r="W501" s="335">
        <v>77.069999999999993</v>
      </c>
      <c r="X501" s="335">
        <v>75.38</v>
      </c>
      <c r="Y501" s="510">
        <v>65.84</v>
      </c>
      <c r="Z501" s="516">
        <v>72.791600000000003</v>
      </c>
      <c r="AA501" s="519">
        <v>65.989999999999995</v>
      </c>
      <c r="AB501" s="519">
        <v>50.417200000000001</v>
      </c>
      <c r="AC501" s="645"/>
      <c r="AD501" s="519"/>
      <c r="AE501" s="339">
        <v>22</v>
      </c>
      <c r="AF501" s="340">
        <v>50</v>
      </c>
      <c r="AG501" s="334"/>
      <c r="AH501" s="341"/>
      <c r="AI501" s="343" t="s">
        <v>1915</v>
      </c>
      <c r="AJ501" s="343" t="s">
        <v>396</v>
      </c>
      <c r="AK501" s="344" t="s">
        <v>2734</v>
      </c>
      <c r="AL501" s="340" t="s">
        <v>829</v>
      </c>
      <c r="AM501" s="328"/>
      <c r="AN501" s="328"/>
      <c r="AO501" s="328"/>
      <c r="AP501" s="328"/>
      <c r="AQ501" s="328"/>
      <c r="AR501" s="328"/>
      <c r="AS501" s="366" t="s">
        <v>103</v>
      </c>
      <c r="AT501" s="462"/>
      <c r="AU501" s="462"/>
      <c r="AV501" s="462"/>
      <c r="AW501" s="462"/>
      <c r="AX501" s="462"/>
      <c r="AY501" s="462"/>
      <c r="AZ501" s="462"/>
      <c r="BA501" s="462"/>
      <c r="BB501" s="462"/>
      <c r="BC501" s="462"/>
      <c r="BD501" s="462"/>
      <c r="BE501" s="462"/>
      <c r="BF501" s="462"/>
      <c r="BG501" s="462"/>
      <c r="BH501" s="462"/>
      <c r="BI501" s="462"/>
      <c r="BJ501" s="463">
        <f>COUNTIF(AT501:BI501,"*OP*")</f>
        <v>0</v>
      </c>
      <c r="BK501" s="366" t="s">
        <v>103</v>
      </c>
      <c r="BL501" s="328">
        <f>(COUNTIF(AT501:AV501,"*OK*")*3) + (COUNTIF(AW501:AY501,"*OK*")*2) + COUNTIF(AZ501:BB501,"*OK*")+COUNTIF(BK501:BK501,"SI")*0.5</f>
        <v>0</v>
      </c>
      <c r="BM501" s="328" t="str">
        <f>IF(BL501&lt;0.6,"Demasiado Riesgo",IF(BL501&lt;=5,"Riesgo Medio",IF(BL501&lt;=11,"Riesgo Bajo","Cliente Blindado")))</f>
        <v>Demasiado Riesgo</v>
      </c>
      <c r="BN501" s="328"/>
      <c r="BO501" s="349"/>
      <c r="BP501" s="349">
        <v>0</v>
      </c>
      <c r="BQ501" s="349"/>
      <c r="BR501" s="349"/>
      <c r="BS501" s="349"/>
      <c r="BT501" s="349"/>
      <c r="BU501" s="349"/>
      <c r="BV501" s="349"/>
      <c r="BW501" s="349"/>
      <c r="BX501" s="349"/>
      <c r="BY501" s="349"/>
      <c r="BZ501" s="349"/>
      <c r="CA501" s="349"/>
      <c r="CB501" s="349"/>
      <c r="CC501" s="349"/>
      <c r="CD501" s="349"/>
      <c r="CE501" s="349"/>
      <c r="CF501" s="349"/>
      <c r="CG501" s="349"/>
      <c r="CH501" s="349"/>
      <c r="CI501" s="349"/>
      <c r="CJ501" s="349"/>
      <c r="CK501" s="349"/>
      <c r="CL501" s="349">
        <f>COUNTIF(AT501:BH501,"*OK*")</f>
        <v>0</v>
      </c>
      <c r="CM501" s="349"/>
      <c r="CN501" s="349">
        <f>COUNTIF(AT501:BH501,"*OP*")</f>
        <v>0</v>
      </c>
    </row>
    <row r="502" spans="1:94" ht="15" customHeight="1">
      <c r="A502" s="834"/>
      <c r="B502" s="531" t="s">
        <v>2735</v>
      </c>
      <c r="C502" s="329">
        <f t="shared" si="9"/>
        <v>0</v>
      </c>
      <c r="D502" s="332">
        <f>COUNTIF(AT502:BH502,"*OK*")</f>
        <v>0</v>
      </c>
      <c r="E502" s="331" t="s">
        <v>93</v>
      </c>
      <c r="F502" s="331" t="s">
        <v>2736</v>
      </c>
      <c r="G502" s="331" t="s">
        <v>320</v>
      </c>
      <c r="H502" s="650">
        <f>IF(LEN(TRIM($G502&amp;""))=0, $C502, SUMIF($G$3:$G$561, TRIM($G502), $C$3:$C$561))</f>
        <v>2111.8101999999999</v>
      </c>
      <c r="I502" s="410" t="s">
        <v>76</v>
      </c>
      <c r="J502" s="331"/>
      <c r="K502" s="328"/>
      <c r="L502" s="328"/>
      <c r="M502" s="341" t="s">
        <v>96</v>
      </c>
      <c r="N502" s="341"/>
      <c r="O502" s="548" t="s">
        <v>322</v>
      </c>
      <c r="P502" s="548" t="s">
        <v>323</v>
      </c>
      <c r="Q502" s="548" t="s">
        <v>324</v>
      </c>
      <c r="R502" s="341"/>
      <c r="S502" s="341"/>
      <c r="T502" s="331"/>
      <c r="U502" s="344" t="s">
        <v>82</v>
      </c>
      <c r="V502" s="335">
        <v>162.41</v>
      </c>
      <c r="W502" s="335">
        <v>162.26</v>
      </c>
      <c r="X502" s="335">
        <v>154.63</v>
      </c>
      <c r="Y502" s="510">
        <v>159.61000000000001</v>
      </c>
      <c r="Z502" s="516">
        <v>0</v>
      </c>
      <c r="AA502" s="519" t="s">
        <v>103</v>
      </c>
      <c r="AB502" s="519"/>
      <c r="AC502" s="645"/>
      <c r="AD502" s="519"/>
      <c r="AE502" s="339"/>
      <c r="AF502" s="340">
        <v>150</v>
      </c>
      <c r="AG502" s="334"/>
      <c r="AH502" s="341"/>
      <c r="AI502" s="418" t="s">
        <v>83</v>
      </c>
      <c r="AJ502" s="343" t="s">
        <v>199</v>
      </c>
      <c r="AK502" s="344" t="s">
        <v>2737</v>
      </c>
      <c r="AL502" s="340" t="s">
        <v>103</v>
      </c>
      <c r="AM502" s="328"/>
      <c r="AN502" s="328" t="s">
        <v>152</v>
      </c>
      <c r="AO502" s="328"/>
      <c r="AP502" s="328"/>
      <c r="AQ502" s="328"/>
      <c r="AR502" s="328"/>
      <c r="AS502" s="366"/>
      <c r="AT502" s="462"/>
      <c r="AU502" s="462"/>
      <c r="AV502" s="462"/>
      <c r="AW502" s="462"/>
      <c r="AX502" s="462"/>
      <c r="AY502" s="462"/>
      <c r="AZ502" s="462"/>
      <c r="BA502" s="462"/>
      <c r="BB502" s="462"/>
      <c r="BC502" s="462"/>
      <c r="BD502" s="462"/>
      <c r="BE502" s="462"/>
      <c r="BF502" s="462"/>
      <c r="BG502" s="462"/>
      <c r="BH502" s="462"/>
      <c r="BI502" s="462"/>
      <c r="BJ502" s="463">
        <f>COUNTIF(AT502:BI502,"*OP*")</f>
        <v>0</v>
      </c>
      <c r="BK502" s="366" t="s">
        <v>103</v>
      </c>
      <c r="BL502" s="328">
        <f>(COUNTIF(AT502:AV502,"*OK*")*3) + (COUNTIF(AW502:AY502,"*OK*")*2) + COUNTIF(AZ502:BB502,"*OK*")+COUNTIF(BK502:BK502,"SI")*0.5</f>
        <v>0</v>
      </c>
      <c r="BM502" s="328" t="str">
        <f>IF(BL502&lt;0.6,"Demasiado Riesgo",IF(BL502&lt;=5,"Riesgo Medio",IF(BL502&lt;=11,"Riesgo Bajo","Cliente Blindado")))</f>
        <v>Demasiado Riesgo</v>
      </c>
      <c r="BN502" s="328"/>
      <c r="BO502" s="349"/>
      <c r="BP502" s="349"/>
      <c r="BQ502" s="349"/>
      <c r="BR502" s="349"/>
      <c r="BS502" s="349"/>
      <c r="BT502" s="349"/>
      <c r="BU502" s="349"/>
      <c r="BV502" s="349"/>
      <c r="BW502" s="349"/>
      <c r="BX502" s="349"/>
      <c r="BY502" s="349"/>
      <c r="BZ502" s="349"/>
      <c r="CA502" s="349"/>
      <c r="CB502" s="349"/>
      <c r="CC502" s="349"/>
      <c r="CD502" s="349"/>
      <c r="CE502" s="349"/>
      <c r="CF502" s="349"/>
      <c r="CG502" s="349"/>
      <c r="CH502" s="349"/>
      <c r="CI502" s="349"/>
      <c r="CJ502" s="349"/>
      <c r="CK502" s="349"/>
      <c r="CL502" s="349">
        <f>COUNTIF(AT502:BH502,"*OK*")</f>
        <v>0</v>
      </c>
      <c r="CM502" s="349"/>
      <c r="CN502" s="349">
        <f>COUNTIF(AT502:BH502,"*OP*")</f>
        <v>0</v>
      </c>
    </row>
    <row r="503" spans="1:94" ht="15" customHeight="1">
      <c r="A503" s="835">
        <v>6588</v>
      </c>
      <c r="B503" s="349" t="s">
        <v>2738</v>
      </c>
      <c r="C503" s="329">
        <f t="shared" si="9"/>
        <v>0</v>
      </c>
      <c r="D503" s="352">
        <f>COUNTIF(AT503:BH503,"*OK*")</f>
        <v>1</v>
      </c>
      <c r="E503" s="351" t="s">
        <v>93</v>
      </c>
      <c r="F503" s="456" t="s">
        <v>2739</v>
      </c>
      <c r="G503" s="331" t="s">
        <v>358</v>
      </c>
      <c r="H503" s="650">
        <f>IF(LEN(TRIM($G503&amp;""))=0, $C503, SUMIF($G$3:$G$561, TRIM($G503), $C$3:$C$561))</f>
        <v>2091.1147999999998</v>
      </c>
      <c r="I503" s="413" t="s">
        <v>76</v>
      </c>
      <c r="J503" s="351"/>
      <c r="K503" s="349"/>
      <c r="L503" s="349"/>
      <c r="M503" s="359" t="s">
        <v>96</v>
      </c>
      <c r="N503" s="359"/>
      <c r="O503" s="545"/>
      <c r="P503" s="545"/>
      <c r="Q503" s="545"/>
      <c r="R503" s="359" t="s">
        <v>111</v>
      </c>
      <c r="S503" s="359"/>
      <c r="T503" s="351"/>
      <c r="U503" s="362" t="s">
        <v>82</v>
      </c>
      <c r="V503" s="355">
        <v>823.77</v>
      </c>
      <c r="W503" s="355">
        <v>834.43</v>
      </c>
      <c r="X503" s="355">
        <v>803.93</v>
      </c>
      <c r="Y503" s="628">
        <v>847.82</v>
      </c>
      <c r="Z503" s="516">
        <v>872.86320000000001</v>
      </c>
      <c r="AA503" s="520">
        <v>791.32</v>
      </c>
      <c r="AB503" s="520">
        <v>797.97410000000002</v>
      </c>
      <c r="AC503" s="644"/>
      <c r="AD503" s="520"/>
      <c r="AE503" s="357">
        <v>858</v>
      </c>
      <c r="AF503" s="358">
        <v>300</v>
      </c>
      <c r="AG503" s="354"/>
      <c r="AH503" s="359"/>
      <c r="AI503" s="360" t="s">
        <v>83</v>
      </c>
      <c r="AJ503" s="361" t="s">
        <v>130</v>
      </c>
      <c r="AK503" s="362" t="s">
        <v>2740</v>
      </c>
      <c r="AL503" s="358" t="s">
        <v>103</v>
      </c>
      <c r="AM503" s="349"/>
      <c r="AN503" s="349" t="s">
        <v>152</v>
      </c>
      <c r="AO503" s="349"/>
      <c r="AP503" s="349"/>
      <c r="AQ503" s="349"/>
      <c r="AR503" s="349"/>
      <c r="AS503" s="397" t="s">
        <v>103</v>
      </c>
      <c r="AT503" s="462"/>
      <c r="AU503" s="462"/>
      <c r="AV503" s="462"/>
      <c r="AW503" s="462" t="s">
        <v>179</v>
      </c>
      <c r="AX503" s="462"/>
      <c r="AY503" s="462"/>
      <c r="AZ503" s="465" t="s">
        <v>300</v>
      </c>
      <c r="BA503" s="462"/>
      <c r="BB503" s="462"/>
      <c r="BC503" s="462"/>
      <c r="BD503" s="462"/>
      <c r="BE503" s="462"/>
      <c r="BF503" s="462"/>
      <c r="BG503" s="462"/>
      <c r="BH503" s="462"/>
      <c r="BI503" s="462"/>
      <c r="BJ503" s="463">
        <f>COUNTIF(AT503:BI503,"*OP*")</f>
        <v>1</v>
      </c>
      <c r="BK503" s="397" t="s">
        <v>103</v>
      </c>
      <c r="BL503" s="349">
        <f>(COUNTIF(AT503:AV503,"*OK*")*3) + (COUNTIF(AW503:AY503,"*OK*")*2) + COUNTIF(AZ503:BB503,"*OK*")+COUNTIF(BK503:BK503,"SI")*0.5</f>
        <v>1</v>
      </c>
      <c r="BM503" s="349" t="str">
        <f>IF(BL503&lt;0.6,"Demasiado Riesgo",IF(BL503&lt;=5,"Riesgo Medio",IF(BL503&lt;=11,"Riesgo Bajo","Cliente Blindado")))</f>
        <v>Riesgo Medio</v>
      </c>
      <c r="BN503" s="349"/>
      <c r="BO503" s="328"/>
      <c r="BP503" s="328">
        <v>0</v>
      </c>
      <c r="BQ503" s="328"/>
      <c r="BR503" s="328"/>
      <c r="BS503" s="328"/>
      <c r="BT503" s="328"/>
      <c r="BU503" s="328"/>
      <c r="BV503" s="328"/>
      <c r="BW503" s="328"/>
      <c r="BX503" s="328"/>
      <c r="BY503" s="328"/>
      <c r="BZ503" s="328"/>
      <c r="CA503" s="328"/>
      <c r="CB503" s="328"/>
      <c r="CC503" s="328"/>
      <c r="CD503" s="328"/>
      <c r="CE503" s="328"/>
      <c r="CF503" s="328"/>
      <c r="CG503" s="328"/>
      <c r="CH503" s="328"/>
      <c r="CI503" s="328"/>
      <c r="CJ503" s="328"/>
      <c r="CK503" s="328"/>
      <c r="CL503" s="328">
        <f>COUNTIF(AT503:BH503,"*OK*")</f>
        <v>1</v>
      </c>
      <c r="CM503" s="328"/>
      <c r="CN503" s="328">
        <f>COUNTIF(AT503:BH503,"*OP*")</f>
        <v>1</v>
      </c>
    </row>
    <row r="504" spans="1:94" ht="15" customHeight="1">
      <c r="A504" s="836">
        <v>20427</v>
      </c>
      <c r="B504" s="531" t="s">
        <v>2741</v>
      </c>
      <c r="C504" s="329">
        <f t="shared" si="9"/>
        <v>251.65559999999999</v>
      </c>
      <c r="D504" s="332">
        <f>COUNTIF(AT504:BH504,"*OK*")</f>
        <v>0</v>
      </c>
      <c r="E504" s="331" t="s">
        <v>93</v>
      </c>
      <c r="F504" s="331" t="s">
        <v>2742</v>
      </c>
      <c r="G504" s="331" t="s">
        <v>2743</v>
      </c>
      <c r="H504" s="650">
        <f>IF(LEN(TRIM($G504&amp;""))=0, $C504, SUMIF($G$3:$G$561, TRIM($G504), $C$3:$C$561))</f>
        <v>251.65559999999999</v>
      </c>
      <c r="I504" s="333" t="s">
        <v>562</v>
      </c>
      <c r="J504" s="331"/>
      <c r="K504" s="328"/>
      <c r="L504" s="328"/>
      <c r="M504" s="341" t="s">
        <v>77</v>
      </c>
      <c r="N504" s="341"/>
      <c r="O504" s="548" t="s">
        <v>2331</v>
      </c>
      <c r="P504" s="548" t="s">
        <v>2744</v>
      </c>
      <c r="Q504" s="548" t="s">
        <v>2745</v>
      </c>
      <c r="R504" s="341"/>
      <c r="S504" s="341"/>
      <c r="T504" s="331"/>
      <c r="U504" s="344" t="s">
        <v>82</v>
      </c>
      <c r="V504" s="335"/>
      <c r="W504" s="335"/>
      <c r="X504" s="335">
        <v>294.08</v>
      </c>
      <c r="Y504" s="510">
        <v>302.69</v>
      </c>
      <c r="Z504" s="516">
        <v>276.43459999999999</v>
      </c>
      <c r="AA504" s="519">
        <v>273.39999999999998</v>
      </c>
      <c r="AB504" s="519">
        <v>245.45959999999999</v>
      </c>
      <c r="AC504" s="645"/>
      <c r="AD504" s="519">
        <v>251.65559999999999</v>
      </c>
      <c r="AE504" s="339">
        <v>564</v>
      </c>
      <c r="AF504" s="340">
        <v>100</v>
      </c>
      <c r="AG504" s="334"/>
      <c r="AH504" s="341"/>
      <c r="AI504" s="418" t="s">
        <v>83</v>
      </c>
      <c r="AJ504" s="343" t="s">
        <v>199</v>
      </c>
      <c r="AK504" s="344" t="s">
        <v>2746</v>
      </c>
      <c r="AL504" s="340" t="s">
        <v>103</v>
      </c>
      <c r="AM504" s="328"/>
      <c r="AN504" s="328" t="s">
        <v>152</v>
      </c>
      <c r="AO504" s="328"/>
      <c r="AP504" s="328"/>
      <c r="AQ504" s="328" t="s">
        <v>2747</v>
      </c>
      <c r="AR504" s="328"/>
      <c r="AS504" s="366"/>
      <c r="AT504" s="462"/>
      <c r="AU504" s="462"/>
      <c r="AV504" s="462"/>
      <c r="AW504" s="462"/>
      <c r="AX504" s="462"/>
      <c r="AY504" s="462"/>
      <c r="AZ504" s="462"/>
      <c r="BA504" s="462"/>
      <c r="BB504" s="462"/>
      <c r="BC504" s="462"/>
      <c r="BD504" s="462"/>
      <c r="BE504" s="462"/>
      <c r="BF504" s="462"/>
      <c r="BG504" s="462"/>
      <c r="BH504" s="462"/>
      <c r="BI504" s="462"/>
      <c r="BJ504" s="463">
        <f>COUNTIF(AT504:BI504,"*OP*")</f>
        <v>0</v>
      </c>
      <c r="BK504" s="366" t="s">
        <v>103</v>
      </c>
      <c r="BL504" s="328">
        <f>(COUNTIF(AT504:AV504,"*OK*")*3) + (COUNTIF(AW504:AY504,"*OK*")*2) + COUNTIF(AZ504:BB504,"*OK*")+COUNTIF(BK504:BK504,"SI")*0.5</f>
        <v>0</v>
      </c>
      <c r="BM504" s="328" t="str">
        <f>IF(BL504&lt;0.6,"Demasiado Riesgo",IF(BL504&lt;=5,"Riesgo Medio",IF(BL504&lt;=11,"Riesgo Bajo","Cliente Blindado")))</f>
        <v>Demasiado Riesgo</v>
      </c>
      <c r="BN504" s="328"/>
      <c r="BO504" s="349"/>
      <c r="BP504" s="349">
        <v>0</v>
      </c>
      <c r="BQ504" s="349"/>
      <c r="BR504" s="349"/>
      <c r="BS504" s="349"/>
      <c r="BT504" s="349"/>
      <c r="BU504" s="349"/>
      <c r="BV504" s="349"/>
      <c r="BW504" s="349"/>
      <c r="BX504" s="349"/>
      <c r="BY504" s="349"/>
      <c r="BZ504" s="349"/>
      <c r="CA504" s="349"/>
      <c r="CB504" s="349"/>
      <c r="CC504" s="349"/>
      <c r="CD504" s="349"/>
      <c r="CE504" s="349"/>
      <c r="CF504" s="349"/>
      <c r="CG504" s="349"/>
      <c r="CH504" s="349"/>
      <c r="CI504" s="349"/>
      <c r="CJ504" s="349"/>
      <c r="CK504" s="349"/>
      <c r="CL504" s="349">
        <f>COUNTIF(AT504:BH504,"*OK*")</f>
        <v>0</v>
      </c>
      <c r="CM504" s="349"/>
      <c r="CN504" s="349">
        <f>COUNTIF(AT504:BH504,"*OP*")</f>
        <v>0</v>
      </c>
    </row>
    <row r="505" spans="1:94" ht="15" customHeight="1">
      <c r="A505" s="834">
        <v>26509</v>
      </c>
      <c r="B505" s="531" t="s">
        <v>485</v>
      </c>
      <c r="C505" s="329">
        <f t="shared" si="9"/>
        <v>0</v>
      </c>
      <c r="D505" s="332">
        <f>COUNTIF(AT505:BH505,"*OK*")</f>
        <v>0</v>
      </c>
      <c r="E505" s="331" t="s">
        <v>93</v>
      </c>
      <c r="F505" s="331" t="s">
        <v>2748</v>
      </c>
      <c r="G505" s="331"/>
      <c r="H505" s="650">
        <f>IF(LEN(TRIM($G505&amp;""))=0, $C505, SUMIF($G$3:$G$561, TRIM($G505), $C$3:$C$561))</f>
        <v>0</v>
      </c>
      <c r="I505" s="410" t="s">
        <v>76</v>
      </c>
      <c r="J505" s="331"/>
      <c r="K505" s="328"/>
      <c r="L505" s="328" t="str">
        <f>HYPERLINK("https://crm.zoho.com/crm/org685875245/tab/Accounts/3525045000310206169","https://crm.zoho.com/crm/org685875245/tab/Accounts/3525045000310206169")</f>
        <v>https://crm.zoho.com/crm/org685875245/tab/Accounts/3525045000310206169</v>
      </c>
      <c r="M505" s="341" t="s">
        <v>96</v>
      </c>
      <c r="N505" s="341"/>
      <c r="O505" s="548"/>
      <c r="P505" s="548"/>
      <c r="Q505" s="548"/>
      <c r="R505" s="341"/>
      <c r="S505" s="341"/>
      <c r="T505" s="331"/>
      <c r="U505" s="344" t="s">
        <v>198</v>
      </c>
      <c r="V505" s="335">
        <v>999.06</v>
      </c>
      <c r="W505" s="335">
        <v>877.49</v>
      </c>
      <c r="X505" s="335">
        <v>775.38</v>
      </c>
      <c r="Y505" s="510">
        <v>847.19</v>
      </c>
      <c r="Z505" s="516"/>
      <c r="AA505" s="519" t="s">
        <v>103</v>
      </c>
      <c r="AB505" s="519"/>
      <c r="AC505" s="645"/>
      <c r="AD505" s="519"/>
      <c r="AE505" s="339">
        <v>384</v>
      </c>
      <c r="AF505" s="340">
        <v>300</v>
      </c>
      <c r="AG505" s="334"/>
      <c r="AH505" s="341"/>
      <c r="AI505" s="343" t="s">
        <v>83</v>
      </c>
      <c r="AJ505" s="343" t="s">
        <v>84</v>
      </c>
      <c r="AK505" s="344" t="s">
        <v>2749</v>
      </c>
      <c r="AL505" s="340" t="s">
        <v>103</v>
      </c>
      <c r="AM505" s="328"/>
      <c r="AN505" s="328" t="s">
        <v>152</v>
      </c>
      <c r="AO505" s="328"/>
      <c r="AP505" s="328"/>
      <c r="AQ505" s="328"/>
      <c r="AR505" s="328"/>
      <c r="AS505" s="366" t="s">
        <v>88</v>
      </c>
      <c r="AT505" s="462"/>
      <c r="AU505" s="462"/>
      <c r="AV505" s="462" t="s">
        <v>179</v>
      </c>
      <c r="AW505" s="462"/>
      <c r="AX505" s="462"/>
      <c r="AY505" s="462"/>
      <c r="AZ505" s="462"/>
      <c r="BA505" s="462"/>
      <c r="BB505" s="462"/>
      <c r="BC505" s="462"/>
      <c r="BD505" s="462"/>
      <c r="BE505" s="462"/>
      <c r="BF505" s="462"/>
      <c r="BG505" s="462"/>
      <c r="BH505" s="462"/>
      <c r="BI505" s="462"/>
      <c r="BJ505" s="463">
        <f>COUNTIF(AT505:BI505,"*OP*")</f>
        <v>1</v>
      </c>
      <c r="BK505" s="366" t="s">
        <v>89</v>
      </c>
      <c r="BL505" s="328">
        <f>(COUNTIF(AT505:AV505,"*OK*")*3) + (COUNTIF(AW505:AY505,"*OK*")*2) + COUNTIF(AZ505:BB505,"*OK*")+COUNTIF(BK505:BK505,"SI")*0.5</f>
        <v>0</v>
      </c>
      <c r="BM505" s="328" t="str">
        <f>IF(BL505&lt;0.6,"Demasiado Riesgo",IF(BL505&lt;=5,"Riesgo Medio",IF(BL505&lt;=11,"Riesgo Bajo","Cliente Blindado")))</f>
        <v>Demasiado Riesgo</v>
      </c>
      <c r="BN505" s="328"/>
      <c r="BO505" s="328"/>
      <c r="BP505" s="328">
        <v>0</v>
      </c>
      <c r="BQ505" s="328"/>
      <c r="BR505" s="328"/>
      <c r="BS505" s="328"/>
      <c r="BT505" s="328"/>
      <c r="BU505" s="328"/>
      <c r="BV505" s="328"/>
      <c r="BW505" s="328"/>
      <c r="BX505" s="328"/>
      <c r="BY505" s="328"/>
      <c r="BZ505" s="328"/>
      <c r="CA505" s="328"/>
      <c r="CB505" s="328"/>
      <c r="CC505" s="328"/>
      <c r="CD505" s="328"/>
      <c r="CE505" s="328"/>
      <c r="CF505" s="328"/>
      <c r="CG505" s="328"/>
      <c r="CH505" s="328"/>
      <c r="CI505" s="328"/>
      <c r="CJ505" s="328"/>
      <c r="CK505" s="328"/>
      <c r="CL505" s="328">
        <f>COUNTIF(AT505:BH505,"*OK*")</f>
        <v>0</v>
      </c>
      <c r="CM505" s="328"/>
      <c r="CN505" s="328">
        <f>COUNTIF(AT505:BH505,"*OP*")</f>
        <v>1</v>
      </c>
      <c r="CP505" s="425"/>
    </row>
    <row r="506" spans="1:94" ht="15" customHeight="1">
      <c r="A506" s="834">
        <v>22632</v>
      </c>
      <c r="B506" s="531" t="s">
        <v>2750</v>
      </c>
      <c r="C506" s="329">
        <f t="shared" si="9"/>
        <v>427.00279999999998</v>
      </c>
      <c r="D506" s="332">
        <f>COUNTIF(AT506:BH506,"*OK*")</f>
        <v>0</v>
      </c>
      <c r="E506" s="331" t="s">
        <v>93</v>
      </c>
      <c r="F506" s="331" t="s">
        <v>2751</v>
      </c>
      <c r="G506" s="331"/>
      <c r="H506" s="650">
        <f>IF(LEN(TRIM($G506&amp;""))=0, $C506, SUMIF($G$3:$G$561, TRIM($G506), $C$3:$C$561))</f>
        <v>427.00279999999998</v>
      </c>
      <c r="I506" s="333" t="s">
        <v>562</v>
      </c>
      <c r="J506" s="331"/>
      <c r="K506" s="328"/>
      <c r="L506" s="328" t="str">
        <f>HYPERLINK("https://crm.zoho.com/crm/org685875245/tab/Accounts/3525045000252357525","https://crm.zoho.com/crm/org685875245/tab/Accounts/3525045000252357525")</f>
        <v>https://crm.zoho.com/crm/org685875245/tab/Accounts/3525045000252357525</v>
      </c>
      <c r="M506" s="341" t="s">
        <v>167</v>
      </c>
      <c r="N506" s="341"/>
      <c r="O506" s="548" t="s">
        <v>2752</v>
      </c>
      <c r="P506" s="548" t="s">
        <v>2753</v>
      </c>
      <c r="Q506" s="548" t="s">
        <v>2754</v>
      </c>
      <c r="R506" s="341"/>
      <c r="S506" s="341"/>
      <c r="T506" s="331"/>
      <c r="U506" s="344" t="s">
        <v>344</v>
      </c>
      <c r="V506" s="335">
        <v>461.95</v>
      </c>
      <c r="W506" s="335">
        <v>452.33</v>
      </c>
      <c r="X506" s="335">
        <v>413.52</v>
      </c>
      <c r="Y506" s="510">
        <v>416.48</v>
      </c>
      <c r="Z506" s="516">
        <v>424.70749999999998</v>
      </c>
      <c r="AA506" s="519">
        <v>407.09</v>
      </c>
      <c r="AB506" s="519">
        <v>413.13499999999999</v>
      </c>
      <c r="AC506" s="645"/>
      <c r="AD506" s="519">
        <v>427.00279999999998</v>
      </c>
      <c r="AE506" s="339">
        <v>307</v>
      </c>
      <c r="AF506" s="340">
        <v>100</v>
      </c>
      <c r="AG506" s="334"/>
      <c r="AH506" s="341"/>
      <c r="AI506" s="418" t="s">
        <v>83</v>
      </c>
      <c r="AJ506" s="343" t="s">
        <v>396</v>
      </c>
      <c r="AK506" s="344" t="s">
        <v>2755</v>
      </c>
      <c r="AL506" s="340" t="s">
        <v>103</v>
      </c>
      <c r="AM506" s="328"/>
      <c r="AN506" s="328" t="s">
        <v>484</v>
      </c>
      <c r="AO506" s="328"/>
      <c r="AP506" s="328"/>
      <c r="AQ506" s="328"/>
      <c r="AR506" s="328"/>
      <c r="AS506" s="366"/>
      <c r="AT506" s="462"/>
      <c r="AU506" s="462"/>
      <c r="AV506" s="462"/>
      <c r="AW506" s="462"/>
      <c r="AX506" s="462"/>
      <c r="AY506" s="462"/>
      <c r="AZ506" s="462"/>
      <c r="BA506" s="462"/>
      <c r="BB506" s="462"/>
      <c r="BC506" s="462"/>
      <c r="BD506" s="462"/>
      <c r="BE506" s="462"/>
      <c r="BF506" s="462"/>
      <c r="BG506" s="462"/>
      <c r="BH506" s="462"/>
      <c r="BI506" s="462"/>
      <c r="BJ506" s="463">
        <f>COUNTIF(AT506:BI506,"*OP*")</f>
        <v>0</v>
      </c>
      <c r="BK506" s="366" t="s">
        <v>103</v>
      </c>
      <c r="BL506" s="328">
        <f>(COUNTIF(AT506:AV506,"*OK*")*3) + (COUNTIF(AW506:AY506,"*OK*")*2) + COUNTIF(AZ506:BB506,"*OK*")+COUNTIF(BK506:BK506,"SI")*0.5</f>
        <v>0</v>
      </c>
      <c r="BM506" s="328" t="str">
        <f>IF(BL506&lt;0.6,"Demasiado Riesgo",IF(BL506&lt;=5,"Riesgo Medio",IF(BL506&lt;=11,"Riesgo Bajo","Cliente Blindado")))</f>
        <v>Demasiado Riesgo</v>
      </c>
      <c r="BN506" s="328"/>
      <c r="BO506" s="349"/>
      <c r="BP506" s="349">
        <v>0</v>
      </c>
      <c r="BQ506" s="349"/>
      <c r="BR506" s="349"/>
      <c r="BS506" s="349"/>
      <c r="BT506" s="349"/>
      <c r="BU506" s="349"/>
      <c r="BV506" s="349"/>
      <c r="BW506" s="349"/>
      <c r="BX506" s="349"/>
      <c r="BY506" s="349"/>
      <c r="BZ506" s="349"/>
      <c r="CA506" s="349"/>
      <c r="CB506" s="349"/>
      <c r="CC506" s="349"/>
      <c r="CD506" s="349"/>
      <c r="CE506" s="349"/>
      <c r="CF506" s="349"/>
      <c r="CG506" s="349"/>
      <c r="CH506" s="349"/>
      <c r="CI506" s="349"/>
      <c r="CJ506" s="349"/>
      <c r="CK506" s="349"/>
      <c r="CL506" s="349">
        <f>COUNTIF(AT506:BH506,"*OK*")</f>
        <v>0</v>
      </c>
      <c r="CM506" s="349"/>
      <c r="CN506" s="349">
        <f>COUNTIF(AT506:BH506,"*OP*")</f>
        <v>0</v>
      </c>
    </row>
    <row r="507" spans="1:94" ht="15" customHeight="1">
      <c r="A507" s="834">
        <v>3468</v>
      </c>
      <c r="B507" s="531" t="s">
        <v>1265</v>
      </c>
      <c r="C507" s="329">
        <f t="shared" si="9"/>
        <v>0</v>
      </c>
      <c r="D507" s="332">
        <f>COUNTIF(AT507:BH507,"*OK*")</f>
        <v>0</v>
      </c>
      <c r="E507" s="328" t="s">
        <v>93</v>
      </c>
      <c r="F507" s="595" t="s">
        <v>2756</v>
      </c>
      <c r="G507" s="376"/>
      <c r="H507" s="650">
        <f>IF(LEN(TRIM($G507&amp;""))=0, $C507, SUMIF($G$3:$G$561, TRIM($G507), $C$3:$C$561))</f>
        <v>0</v>
      </c>
      <c r="I507" s="376"/>
      <c r="J507" s="328" t="s">
        <v>119</v>
      </c>
      <c r="K507" s="328"/>
      <c r="L507" s="328" t="str">
        <f>HYPERLINK("https://crm.zoho.com/crm/org685875245/tab/Accounts/3525045000024696473","https://crm.zoho.com/crm/org685875245/tab/Accounts/3525045000024696473")</f>
        <v>https://crm.zoho.com/crm/org685875245/tab/Accounts/3525045000024696473</v>
      </c>
      <c r="M507" s="391" t="s">
        <v>96</v>
      </c>
      <c r="N507" s="596" t="s">
        <v>2757</v>
      </c>
      <c r="O507" s="625" t="s">
        <v>2758</v>
      </c>
      <c r="P507" s="625" t="s">
        <v>2759</v>
      </c>
      <c r="Q507" s="625" t="s">
        <v>2760</v>
      </c>
      <c r="R507" s="596"/>
      <c r="S507" s="596"/>
      <c r="T507" s="328"/>
      <c r="U507" s="344" t="s">
        <v>1355</v>
      </c>
      <c r="V507" s="377"/>
      <c r="W507" s="377"/>
      <c r="X507" s="377"/>
      <c r="Y507" s="403">
        <v>2098.89</v>
      </c>
      <c r="Z507" s="516"/>
      <c r="AA507" s="657" t="s">
        <v>103</v>
      </c>
      <c r="AB507" s="657">
        <v>2821.0565000000001</v>
      </c>
      <c r="AC507" s="659"/>
      <c r="AD507" s="657"/>
      <c r="AE507" s="339">
        <v>2275</v>
      </c>
      <c r="AF507" s="340"/>
      <c r="AG507" s="334"/>
      <c r="AH507" s="328"/>
      <c r="AI507" s="418" t="s">
        <v>83</v>
      </c>
      <c r="AJ507" s="343" t="s">
        <v>297</v>
      </c>
      <c r="AK507" s="344" t="s">
        <v>2761</v>
      </c>
      <c r="AL507" s="372" t="s">
        <v>103</v>
      </c>
      <c r="AM507" s="328"/>
      <c r="AN507" s="328"/>
      <c r="AO507" s="328"/>
      <c r="AP507" s="328"/>
      <c r="AQ507" s="328"/>
      <c r="AR507" s="328"/>
      <c r="AS507" s="366" t="s">
        <v>2762</v>
      </c>
      <c r="AT507" s="462"/>
      <c r="AU507" s="462"/>
      <c r="AV507" s="462"/>
      <c r="AW507" s="462"/>
      <c r="AX507" s="462"/>
      <c r="AY507" s="462"/>
      <c r="AZ507" s="462"/>
      <c r="BA507" s="462"/>
      <c r="BB507" s="462"/>
      <c r="BC507" s="462"/>
      <c r="BD507" s="462"/>
      <c r="BE507" s="462"/>
      <c r="BF507" s="462"/>
      <c r="BG507" s="462"/>
      <c r="BH507" s="462"/>
      <c r="BI507" s="462"/>
      <c r="BJ507" s="463">
        <f>COUNTIF(AT507:BI507,"*OP*")</f>
        <v>0</v>
      </c>
      <c r="BK507" s="366" t="s">
        <v>103</v>
      </c>
      <c r="BL507" s="328">
        <f>(COUNTIF(AT507:AV507,"*OK*")*3) + (COUNTIF(AW507:AY507,"*OK*")*2) + COUNTIF(AZ507:BB507,"*OK*")+COUNTIF(BK507:BK507,"SI")*0.5</f>
        <v>0</v>
      </c>
      <c r="BM507" s="328" t="str">
        <f>IF(BL507&lt;0.6,"Demasiado Riesgo",IF(BL507&lt;=5,"Riesgo Medio",IF(BL507&lt;=11,"Riesgo Bajo","Cliente Blindado")))</f>
        <v>Demasiado Riesgo</v>
      </c>
      <c r="BN507" s="328"/>
      <c r="BO507" s="328"/>
      <c r="BP507" s="328">
        <v>0</v>
      </c>
      <c r="BQ507" s="328"/>
      <c r="BR507" s="328"/>
      <c r="BS507" s="328"/>
      <c r="BT507" s="328"/>
      <c r="BU507" s="328"/>
      <c r="BV507" s="328"/>
      <c r="BW507" s="328"/>
      <c r="BX507" s="328"/>
      <c r="BY507" s="328"/>
      <c r="BZ507" s="328"/>
      <c r="CA507" s="328"/>
      <c r="CB507" s="328"/>
      <c r="CC507" s="328"/>
      <c r="CD507" s="328"/>
      <c r="CE507" s="328"/>
      <c r="CF507" s="328"/>
      <c r="CG507" s="328"/>
      <c r="CH507" s="328"/>
      <c r="CI507" s="328"/>
      <c r="CJ507" s="328"/>
      <c r="CK507" s="328"/>
      <c r="CL507" s="328">
        <f>COUNTIF(AT507:BH507,"*OK*")</f>
        <v>0</v>
      </c>
      <c r="CM507" s="328"/>
      <c r="CN507" s="328">
        <f>COUNTIF(AT507:BH507,"*OP*")</f>
        <v>0</v>
      </c>
    </row>
    <row r="508" spans="1:94" ht="15" customHeight="1">
      <c r="A508" s="835">
        <v>22923</v>
      </c>
      <c r="B508" s="349" t="s">
        <v>2763</v>
      </c>
      <c r="C508" s="329">
        <f t="shared" si="9"/>
        <v>0</v>
      </c>
      <c r="D508" s="352">
        <f>COUNTIF(AX508:BI508,"OK")</f>
        <v>0</v>
      </c>
      <c r="E508" s="349" t="s">
        <v>93</v>
      </c>
      <c r="F508" s="368" t="s">
        <v>2764</v>
      </c>
      <c r="G508" s="368"/>
      <c r="H508" s="650">
        <f>IF(LEN(TRIM($G508&amp;""))=0, $C508, SUMIF($G$3:$G$561, TRIM($G508), $C$3:$C$561))</f>
        <v>0</v>
      </c>
      <c r="I508" s="500" t="s">
        <v>76</v>
      </c>
      <c r="J508" s="349"/>
      <c r="K508" s="349"/>
      <c r="L508" s="349"/>
      <c r="M508" s="553"/>
      <c r="N508" s="352" t="s">
        <v>2765</v>
      </c>
      <c r="O508" s="540" t="s">
        <v>2488</v>
      </c>
      <c r="P508" s="540" t="s">
        <v>2489</v>
      </c>
      <c r="Q508" s="540" t="s">
        <v>2490</v>
      </c>
      <c r="R508" s="352"/>
      <c r="S508" s="352"/>
      <c r="T508" s="349"/>
      <c r="U508" s="362"/>
      <c r="V508" s="387"/>
      <c r="W508" s="381"/>
      <c r="X508" s="381"/>
      <c r="Y508" s="382"/>
      <c r="Z508" s="383"/>
      <c r="AA508" s="384"/>
      <c r="AB508" s="384"/>
      <c r="AC508" s="647"/>
      <c r="AD508" s="384"/>
      <c r="AE508" s="348">
        <v>373</v>
      </c>
      <c r="AF508" s="371" t="s">
        <v>103</v>
      </c>
      <c r="AG508" s="362"/>
      <c r="AH508" s="349"/>
      <c r="AI508" s="361"/>
      <c r="AJ508" s="361"/>
      <c r="AK508" s="362"/>
      <c r="AL508" s="371" t="s">
        <v>103</v>
      </c>
      <c r="AM508" s="349"/>
      <c r="AN508" s="349"/>
      <c r="AO508" s="349"/>
      <c r="AP508" s="349"/>
      <c r="AQ508" s="349"/>
      <c r="AR508" s="349"/>
      <c r="AS508" s="349"/>
      <c r="BJ508" s="285">
        <f>COUNTIF(AT508:BI508,"*OP*")</f>
        <v>0</v>
      </c>
      <c r="BK508" s="349"/>
      <c r="BL508" s="349">
        <f>(COUNTIF(AT508:AV508,"*OK*")*3) + (COUNTIF(AW508:AY508,"*OK*")*2) + COUNTIF(AZ508:BB508,"*OK*")+COUNTIF(BK508:BK508,"SI")*0.5</f>
        <v>0</v>
      </c>
      <c r="BM508" s="349" t="str">
        <f>IF(BL508&lt;0.6,"Demasiado Riesgo",IF(BL508&lt;=5,"Riesgo Medio",IF(BL508&lt;=11,"Riesgo Bajo","Cliente Blindado")))</f>
        <v>Demasiado Riesgo</v>
      </c>
      <c r="BN508" s="349"/>
      <c r="BO508" s="349"/>
      <c r="BP508" s="349"/>
      <c r="BQ508" s="349"/>
      <c r="BR508" s="349"/>
      <c r="BS508" s="349"/>
      <c r="BT508" s="349"/>
      <c r="BU508" s="349"/>
      <c r="BV508" s="349"/>
      <c r="BW508" s="349"/>
      <c r="BX508" s="349"/>
      <c r="BY508" s="349"/>
      <c r="BZ508" s="349"/>
      <c r="CA508" s="349"/>
      <c r="CB508" s="349"/>
      <c r="CC508" s="349"/>
      <c r="CD508" s="349"/>
      <c r="CE508" s="349"/>
      <c r="CF508" s="349"/>
      <c r="CG508" s="349"/>
      <c r="CH508" s="349"/>
      <c r="CI508" s="349"/>
      <c r="CJ508" s="349"/>
      <c r="CK508" s="349"/>
      <c r="CL508" s="349">
        <f>COUNTIF(AT508:BH508,"*OK*")</f>
        <v>0</v>
      </c>
    </row>
    <row r="509" spans="1:94" ht="15" customHeight="1">
      <c r="A509" s="834">
        <v>38951</v>
      </c>
      <c r="B509" s="328" t="s">
        <v>2766</v>
      </c>
      <c r="C509" s="329">
        <f t="shared" si="9"/>
        <v>905</v>
      </c>
      <c r="D509" s="332">
        <f>COUNTIF(AX509:BI509,"OK")</f>
        <v>0</v>
      </c>
      <c r="E509" s="328" t="s">
        <v>93</v>
      </c>
      <c r="F509" s="376" t="s">
        <v>2767</v>
      </c>
      <c r="G509" s="376"/>
      <c r="H509" s="650">
        <f>IF(LEN(TRIM($G509&amp;""))=0, $C509, SUMIF($G$3:$G$561, TRIM($G509), $C$3:$C$561))</f>
        <v>905</v>
      </c>
      <c r="I509" s="376"/>
      <c r="J509" s="328"/>
      <c r="K509" s="328"/>
      <c r="L509" s="328" t="str">
        <f>HYPERLINK("https://crm.zoho.com/crm/org685875245/tab/Accounts/3525045000053667600","https://crm.zoho.com/crm/org685875245/tab/Accounts/3525045000053667600")</f>
        <v>https://crm.zoho.com/crm/org685875245/tab/Accounts/3525045000053667600</v>
      </c>
      <c r="M509" s="391"/>
      <c r="N509" s="332"/>
      <c r="O509" s="541"/>
      <c r="P509" s="541"/>
      <c r="Q509" s="541"/>
      <c r="R509" s="332"/>
      <c r="S509" s="332"/>
      <c r="T509" s="328" t="s">
        <v>88</v>
      </c>
      <c r="U509" s="344"/>
      <c r="V509" s="388"/>
      <c r="W509" s="377"/>
      <c r="X509" s="377"/>
      <c r="Y509" s="378"/>
      <c r="Z509" s="379"/>
      <c r="AA509" s="380">
        <v>5740</v>
      </c>
      <c r="AB509" s="380">
        <v>0</v>
      </c>
      <c r="AC509" s="658">
        <v>147</v>
      </c>
      <c r="AD509" s="380">
        <v>905</v>
      </c>
      <c r="AE509" s="327"/>
      <c r="AF509" s="372" t="s">
        <v>103</v>
      </c>
      <c r="AG509" s="344"/>
      <c r="AH509" s="328"/>
      <c r="AI509" s="343"/>
      <c r="AJ509" s="343"/>
      <c r="AK509" s="344"/>
      <c r="AL509" s="372" t="s">
        <v>103</v>
      </c>
      <c r="AM509" s="328"/>
      <c r="AN509" s="328"/>
      <c r="AO509" s="328"/>
      <c r="AP509" s="328"/>
      <c r="AQ509" s="328"/>
      <c r="AR509" s="328"/>
      <c r="AS509" s="328"/>
      <c r="BJ509" s="285">
        <f>COUNTIF(AT509:BI509,"*OP*")</f>
        <v>0</v>
      </c>
      <c r="BK509" s="328"/>
      <c r="BL509" s="328">
        <f>(COUNTIF(AT509:AV509,"*OK*")*3) + (COUNTIF(AW509:AY509,"*OK*")*2) + COUNTIF(AZ509:BB509,"*OK*")+COUNTIF(BK509:BK509,"SI")*0.5</f>
        <v>0</v>
      </c>
      <c r="BM509" s="328" t="str">
        <f>IF(BL509&lt;0.6,"Demasiado Riesgo",IF(BL509&lt;=5,"Riesgo Medio",IF(BL509&lt;=11,"Riesgo Bajo","Cliente Blindado")))</f>
        <v>Demasiado Riesgo</v>
      </c>
      <c r="BN509" s="328"/>
      <c r="BO509" s="328"/>
      <c r="BP509" s="328">
        <v>0</v>
      </c>
      <c r="BQ509" s="328"/>
      <c r="BR509" s="328"/>
      <c r="BS509" s="328"/>
      <c r="BT509" s="328"/>
      <c r="BU509" s="328"/>
      <c r="BV509" s="328"/>
      <c r="BW509" s="328"/>
      <c r="BX509" s="328"/>
      <c r="BY509" s="328"/>
      <c r="BZ509" s="328"/>
      <c r="CA509" s="328"/>
      <c r="CB509" s="328"/>
      <c r="CC509" s="328"/>
      <c r="CD509" s="328"/>
      <c r="CE509" s="328"/>
      <c r="CF509" s="328"/>
      <c r="CG509" s="328"/>
      <c r="CH509" s="328"/>
      <c r="CI509" s="328"/>
      <c r="CJ509" s="328"/>
      <c r="CK509" s="328"/>
      <c r="CL509" s="328">
        <f>COUNTIF(AT509:BH509,"*OK*")</f>
        <v>0</v>
      </c>
      <c r="CM509" s="328"/>
      <c r="CN509" s="328">
        <f>COUNTIF(AT509:BH509,"*OP*")</f>
        <v>0</v>
      </c>
    </row>
    <row r="510" spans="1:94" ht="15" customHeight="1">
      <c r="A510" s="834">
        <v>1049</v>
      </c>
      <c r="B510" s="531" t="s">
        <v>2768</v>
      </c>
      <c r="C510" s="329">
        <f t="shared" si="9"/>
        <v>0</v>
      </c>
      <c r="D510" s="332">
        <f>COUNTIF(AT510:BH510,"*OK*")</f>
        <v>0</v>
      </c>
      <c r="E510" s="331" t="s">
        <v>93</v>
      </c>
      <c r="F510" s="331" t="s">
        <v>2769</v>
      </c>
      <c r="G510" s="331"/>
      <c r="H510" s="650">
        <f>IF(LEN(TRIM($G510&amp;""))=0, $C510, SUMIF($G$3:$G$561, TRIM($G510), $C$3:$C$561))</f>
        <v>0</v>
      </c>
      <c r="I510" s="410" t="s">
        <v>76</v>
      </c>
      <c r="J510" s="331"/>
      <c r="K510" s="328"/>
      <c r="L510" s="328" t="str">
        <f>HYPERLINK("https://crm.zoho.com/crm/org685875245/tab/Accounts/3525045000008382267","https://crm.zoho.com/crm/org685875245/tab/Accounts/3525045000008382267")</f>
        <v>https://crm.zoho.com/crm/org685875245/tab/Accounts/3525045000008382267</v>
      </c>
      <c r="M510" s="341" t="s">
        <v>787</v>
      </c>
      <c r="N510" s="341"/>
      <c r="O510" s="548" t="s">
        <v>2770</v>
      </c>
      <c r="P510" s="548" t="s">
        <v>2771</v>
      </c>
      <c r="Q510" s="548" t="s">
        <v>2772</v>
      </c>
      <c r="R510" s="341"/>
      <c r="S510" s="341"/>
      <c r="T510" s="331"/>
      <c r="U510" s="344" t="s">
        <v>82</v>
      </c>
      <c r="V510" s="335">
        <v>693.8</v>
      </c>
      <c r="W510" s="335">
        <v>563.30999999999995</v>
      </c>
      <c r="X510" s="335">
        <v>508.94</v>
      </c>
      <c r="Y510" s="510">
        <v>438.97</v>
      </c>
      <c r="Z510" s="516">
        <v>415.7022</v>
      </c>
      <c r="AA510" s="519" t="s">
        <v>103</v>
      </c>
      <c r="AB510" s="519"/>
      <c r="AC510" s="645"/>
      <c r="AD510" s="519"/>
      <c r="AE510" s="339"/>
      <c r="AF510" s="340">
        <v>400</v>
      </c>
      <c r="AG510" s="334"/>
      <c r="AH510" s="341"/>
      <c r="AI510" s="343" t="s">
        <v>100</v>
      </c>
      <c r="AJ510" s="343" t="s">
        <v>143</v>
      </c>
      <c r="AK510" s="344" t="s">
        <v>2773</v>
      </c>
      <c r="AL510" s="340" t="s">
        <v>103</v>
      </c>
      <c r="AM510" s="328"/>
      <c r="AN510" s="328" t="s">
        <v>152</v>
      </c>
      <c r="AO510" s="328"/>
      <c r="AP510" s="328"/>
      <c r="AQ510" s="328"/>
      <c r="AR510" s="328"/>
      <c r="AS510" s="366"/>
      <c r="AT510" s="462"/>
      <c r="AU510" s="462"/>
      <c r="AV510" s="462"/>
      <c r="AW510" s="462"/>
      <c r="AX510" s="462"/>
      <c r="AY510" s="462"/>
      <c r="AZ510" s="462"/>
      <c r="BA510" s="465"/>
      <c r="BB510" s="462"/>
      <c r="BC510" s="462"/>
      <c r="BD510" s="462"/>
      <c r="BE510" s="462"/>
      <c r="BF510" s="462"/>
      <c r="BG510" s="462"/>
      <c r="BH510" s="462"/>
      <c r="BI510" s="462"/>
      <c r="BJ510" s="463">
        <f>COUNTIF(AT510:BI510,"*OP*")</f>
        <v>0</v>
      </c>
      <c r="BK510" s="366" t="s">
        <v>103</v>
      </c>
      <c r="BL510" s="328">
        <f>(COUNTIF(AT510:AV510,"*OK*")*3) + (COUNTIF(AW510:AY510,"*OK*")*2) + COUNTIF(AZ510:BB510,"*OK*")+COUNTIF(BK510:BK510,"SI")*0.5</f>
        <v>0</v>
      </c>
      <c r="BM510" s="328" t="str">
        <f>IF(BL510&lt;0.6,"Demasiado Riesgo",IF(BL510&lt;=5,"Riesgo Medio",IF(BL510&lt;=11,"Riesgo Bajo","Cliente Blindado")))</f>
        <v>Demasiado Riesgo</v>
      </c>
      <c r="BN510" s="328"/>
      <c r="BO510" s="349"/>
      <c r="BP510" s="349"/>
      <c r="BQ510" s="349"/>
      <c r="BR510" s="349"/>
      <c r="BS510" s="349"/>
      <c r="BT510" s="349"/>
      <c r="BU510" s="349"/>
      <c r="BV510" s="349"/>
      <c r="BW510" s="349"/>
      <c r="BX510" s="349"/>
      <c r="BY510" s="349"/>
      <c r="BZ510" s="349"/>
      <c r="CA510" s="349"/>
      <c r="CB510" s="349"/>
      <c r="CC510" s="349"/>
      <c r="CD510" s="349"/>
      <c r="CE510" s="349"/>
      <c r="CF510" s="349"/>
      <c r="CG510" s="349"/>
      <c r="CH510" s="349"/>
      <c r="CI510" s="349"/>
      <c r="CJ510" s="349"/>
      <c r="CK510" s="349"/>
      <c r="CL510" s="349">
        <f>COUNTIF(AT510:BH510,"*OK*")</f>
        <v>0</v>
      </c>
    </row>
    <row r="511" spans="1:94" ht="15" customHeight="1">
      <c r="A511" s="835">
        <v>39240</v>
      </c>
      <c r="B511" s="349" t="s">
        <v>2774</v>
      </c>
      <c r="C511" s="329">
        <f t="shared" si="9"/>
        <v>0</v>
      </c>
      <c r="D511" s="352">
        <f>COUNTIF(AX511:BI511,"OK")</f>
        <v>0</v>
      </c>
      <c r="E511" s="349"/>
      <c r="F511" s="866" t="s">
        <v>2775</v>
      </c>
      <c r="G511" s="368"/>
      <c r="H511" s="650">
        <f>IF(LEN(TRIM($G511&amp;""))=0, $C511, SUMIF($G$3:$G$561, TRIM($G511), $C$3:$C$561))</f>
        <v>0</v>
      </c>
      <c r="I511" s="368"/>
      <c r="J511" s="349"/>
      <c r="K511" s="349"/>
      <c r="L511" s="349"/>
      <c r="M511" s="553"/>
      <c r="N511" s="352"/>
      <c r="O511" s="540"/>
      <c r="P511" s="540"/>
      <c r="Q511" s="540"/>
      <c r="R511" s="352"/>
      <c r="S511" s="352"/>
      <c r="T511" s="349"/>
      <c r="U511" s="362"/>
      <c r="V511" s="387"/>
      <c r="W511" s="381"/>
      <c r="X511" s="381"/>
      <c r="Y511" s="382"/>
      <c r="Z511" s="383"/>
      <c r="AA511" s="384"/>
      <c r="AB511" s="384">
        <v>121.0012</v>
      </c>
      <c r="AC511" s="647"/>
      <c r="AD511" s="384"/>
      <c r="AE511" s="348"/>
      <c r="AF511" s="371" t="s">
        <v>103</v>
      </c>
      <c r="AG511" s="362"/>
      <c r="AH511" s="349"/>
      <c r="AI511" s="361"/>
      <c r="AJ511" s="361"/>
      <c r="AK511" s="362"/>
      <c r="AL511" s="371" t="s">
        <v>103</v>
      </c>
      <c r="AM511" s="349"/>
      <c r="AN511" s="349"/>
      <c r="AO511" s="349"/>
      <c r="AP511" s="349"/>
      <c r="AQ511" s="349"/>
      <c r="AR511" s="349"/>
      <c r="AS511" s="349"/>
      <c r="BJ511" s="285">
        <f>COUNTIF(AT511:BI511,"*OP*")</f>
        <v>0</v>
      </c>
      <c r="BK511" s="349"/>
      <c r="BL511" s="349">
        <f>(COUNTIF(AT511:AV511,"*OK*")*3) + (COUNTIF(AW511:AY511,"*OK*")*2) + COUNTIF(AZ511:BB511,"*OK*")+COUNTIF(BK511:BK511,"SI")*0.5</f>
        <v>0</v>
      </c>
      <c r="BM511" s="349" t="str">
        <f>IF(BL511&lt;0.6,"Demasiado Riesgo",IF(BL511&lt;=5,"Riesgo Medio",IF(BL511&lt;=11,"Riesgo Bajo","Cliente Blindado")))</f>
        <v>Demasiado Riesgo</v>
      </c>
      <c r="BN511" s="349"/>
      <c r="BO511" s="349"/>
      <c r="BP511" s="349"/>
      <c r="BQ511" s="349"/>
      <c r="BR511" s="349"/>
      <c r="BS511" s="349"/>
      <c r="BT511" s="349"/>
      <c r="BU511" s="349"/>
      <c r="BV511" s="349"/>
      <c r="BW511" s="349"/>
      <c r="BX511" s="349"/>
      <c r="BY511" s="349"/>
      <c r="BZ511" s="349"/>
      <c r="CA511" s="349"/>
      <c r="CB511" s="349"/>
      <c r="CC511" s="349"/>
      <c r="CD511" s="349"/>
      <c r="CE511" s="349"/>
      <c r="CF511" s="349"/>
      <c r="CG511" s="349"/>
      <c r="CH511" s="349"/>
      <c r="CI511" s="349"/>
      <c r="CJ511" s="349"/>
      <c r="CK511" s="349"/>
      <c r="CL511" s="349">
        <f>COUNTIF(AT511:BH511,"*OK*")</f>
        <v>0</v>
      </c>
    </row>
    <row r="512" spans="1:94" ht="15" customHeight="1">
      <c r="A512" s="834"/>
      <c r="B512" s="328"/>
      <c r="C512" s="329">
        <f t="shared" si="9"/>
        <v>0</v>
      </c>
      <c r="D512" s="332">
        <f>COUNTIF(AX512:BI512,"OK")</f>
        <v>0</v>
      </c>
      <c r="E512" s="328"/>
      <c r="F512" s="376"/>
      <c r="G512" s="376"/>
      <c r="H512" s="335"/>
      <c r="I512" s="376"/>
      <c r="J512" s="328"/>
      <c r="K512" s="328"/>
      <c r="L512" s="328"/>
      <c r="M512" s="391"/>
      <c r="N512" s="332"/>
      <c r="O512" s="541"/>
      <c r="P512" s="541"/>
      <c r="Q512" s="541"/>
      <c r="R512" s="332"/>
      <c r="S512" s="332"/>
      <c r="T512" s="328"/>
      <c r="U512" s="344"/>
      <c r="V512" s="388"/>
      <c r="W512" s="377"/>
      <c r="X512" s="377"/>
      <c r="Y512" s="378"/>
      <c r="Z512" s="379"/>
      <c r="AA512" s="380"/>
      <c r="AB512" s="380"/>
      <c r="AC512" s="380"/>
      <c r="AD512" s="380"/>
      <c r="AE512" s="327"/>
      <c r="AF512" s="372" t="s">
        <v>103</v>
      </c>
      <c r="AG512" s="344"/>
      <c r="AH512" s="328"/>
      <c r="AI512" s="343"/>
      <c r="AJ512" s="343"/>
      <c r="AK512" s="344"/>
      <c r="AL512" s="372" t="s">
        <v>103</v>
      </c>
      <c r="AM512" s="328"/>
      <c r="AN512" s="328"/>
      <c r="AO512" s="328"/>
      <c r="AP512" s="328"/>
      <c r="AQ512" s="328"/>
      <c r="AR512" s="328"/>
      <c r="AS512" s="328"/>
      <c r="BJ512" s="285">
        <f>COUNTIF(AT512:BI512,"*OP*")</f>
        <v>0</v>
      </c>
      <c r="BK512" s="328"/>
      <c r="BL512" s="328">
        <f>(COUNTIF(AT512:AV512,"*OK*")*3) + (COUNTIF(AW512:AY512,"*OK*")*2) + COUNTIF(AZ512:BB512,"*OK*")+COUNTIF(BK512:BK512,"SI")*0.5</f>
        <v>0</v>
      </c>
      <c r="BM512" s="328" t="str">
        <f>IF(BL512&lt;0.6,"Demasiado Riesgo",IF(BL512&lt;=5,"Riesgo Medio",IF(BL512&lt;=11,"Riesgo Bajo","Cliente Blindado")))</f>
        <v>Demasiado Riesgo</v>
      </c>
      <c r="BN512" s="328"/>
      <c r="BO512" s="328"/>
      <c r="BP512" s="328"/>
      <c r="BQ512" s="328"/>
      <c r="BR512" s="328"/>
      <c r="BS512" s="328"/>
      <c r="BT512" s="328"/>
      <c r="BU512" s="328"/>
      <c r="BV512" s="328"/>
      <c r="BW512" s="328"/>
      <c r="BX512" s="328"/>
      <c r="BY512" s="328"/>
      <c r="BZ512" s="328"/>
      <c r="CA512" s="328"/>
      <c r="CB512" s="328"/>
      <c r="CC512" s="328"/>
      <c r="CD512" s="328"/>
      <c r="CE512" s="328"/>
      <c r="CF512" s="328"/>
      <c r="CG512" s="328"/>
      <c r="CH512" s="328"/>
      <c r="CI512" s="328"/>
      <c r="CJ512" s="328"/>
      <c r="CK512" s="328"/>
      <c r="CL512" s="328">
        <f>COUNTIF(AT512:BH512,"*OK*")</f>
        <v>0</v>
      </c>
    </row>
    <row r="513" spans="1:90" ht="15" customHeight="1">
      <c r="A513" s="835"/>
      <c r="B513" s="349"/>
      <c r="C513" s="385"/>
      <c r="D513" s="352"/>
      <c r="E513" s="349"/>
      <c r="F513" s="368"/>
      <c r="G513" s="368"/>
      <c r="H513" s="335"/>
      <c r="I513" s="368"/>
      <c r="J513" s="349"/>
      <c r="K513" s="349"/>
      <c r="L513" s="349"/>
      <c r="M513" s="553"/>
      <c r="N513" s="352"/>
      <c r="O513" s="540"/>
      <c r="P513" s="540"/>
      <c r="Q513" s="540"/>
      <c r="R513" s="352"/>
      <c r="S513" s="352"/>
      <c r="T513" s="349"/>
      <c r="U513" s="362"/>
      <c r="V513" s="387"/>
      <c r="W513" s="381"/>
      <c r="X513" s="381"/>
      <c r="Y513" s="382"/>
      <c r="Z513" s="383"/>
      <c r="AA513" s="384"/>
      <c r="AB513" s="384"/>
      <c r="AC513" s="384"/>
      <c r="AD513" s="384"/>
      <c r="AE513" s="348"/>
      <c r="AF513" s="371" t="s">
        <v>103</v>
      </c>
      <c r="AG513" s="362"/>
      <c r="AH513" s="349"/>
      <c r="AI513" s="361"/>
      <c r="AJ513" s="361"/>
      <c r="AK513" s="362"/>
      <c r="AL513" s="371" t="s">
        <v>103</v>
      </c>
      <c r="AM513" s="349"/>
      <c r="AN513" s="349"/>
      <c r="AO513" s="349"/>
      <c r="AP513" s="349"/>
      <c r="AQ513" s="349"/>
      <c r="AR513" s="349"/>
      <c r="AS513" s="349"/>
      <c r="BJ513" s="285">
        <f>COUNTIF(AT513:BI513,"*OP*")</f>
        <v>0</v>
      </c>
      <c r="BK513" s="349"/>
      <c r="BL513" s="349">
        <f>(COUNTIF(AT513:AV513,"*OK*")*3) + (COUNTIF(AW513:AY513,"*OK*")*2) + COUNTIF(AZ513:BB513,"*OK*")+COUNTIF(BK513:BK513,"SI")*0.5</f>
        <v>0</v>
      </c>
      <c r="BM513" s="349" t="str">
        <f>IF(BL513&lt;0.6,"Demasiado Riesgo",IF(BL513&lt;=5,"Riesgo Medio",IF(BL513&lt;=11,"Riesgo Bajo","Cliente Blindado")))</f>
        <v>Demasiado Riesgo</v>
      </c>
      <c r="BN513" s="349"/>
      <c r="BO513" s="349"/>
      <c r="BP513" s="349"/>
      <c r="BQ513" s="349"/>
      <c r="BR513" s="349"/>
      <c r="BS513" s="349"/>
      <c r="BT513" s="349"/>
      <c r="BU513" s="349"/>
      <c r="BV513" s="349"/>
      <c r="BW513" s="349"/>
      <c r="BX513" s="349"/>
      <c r="BY513" s="349"/>
      <c r="BZ513" s="349"/>
      <c r="CA513" s="349"/>
      <c r="CB513" s="349"/>
      <c r="CC513" s="349"/>
      <c r="CD513" s="349"/>
      <c r="CE513" s="349"/>
      <c r="CF513" s="349"/>
      <c r="CG513" s="349"/>
      <c r="CH513" s="349"/>
      <c r="CI513" s="349"/>
      <c r="CJ513" s="349"/>
      <c r="CK513" s="349"/>
      <c r="CL513" s="349">
        <f>COUNTIF(AT513:BH513,"*OK*")</f>
        <v>0</v>
      </c>
    </row>
    <row r="514" spans="1:90" ht="15" customHeight="1">
      <c r="A514" s="834"/>
      <c r="B514" s="328"/>
      <c r="C514" s="386"/>
      <c r="D514" s="332"/>
      <c r="E514" s="328"/>
      <c r="F514" s="376"/>
      <c r="G514" s="376"/>
      <c r="H514" s="335"/>
      <c r="I514" s="376"/>
      <c r="J514" s="328"/>
      <c r="K514" s="328"/>
      <c r="L514" s="328"/>
      <c r="M514" s="391"/>
      <c r="N514" s="332"/>
      <c r="O514" s="541"/>
      <c r="P514" s="541"/>
      <c r="Q514" s="541"/>
      <c r="R514" s="332"/>
      <c r="S514" s="332"/>
      <c r="T514" s="328"/>
      <c r="U514" s="344"/>
      <c r="V514" s="388"/>
      <c r="W514" s="377"/>
      <c r="X514" s="377"/>
      <c r="Y514" s="378"/>
      <c r="Z514" s="379"/>
      <c r="AA514" s="380"/>
      <c r="AB514" s="380"/>
      <c r="AC514" s="380"/>
      <c r="AD514" s="380"/>
      <c r="AE514" s="327"/>
      <c r="AF514" s="372" t="s">
        <v>103</v>
      </c>
      <c r="AG514" s="344"/>
      <c r="AH514" s="328"/>
      <c r="AI514" s="343"/>
      <c r="AJ514" s="343"/>
      <c r="AK514" s="344"/>
      <c r="AL514" s="372" t="s">
        <v>103</v>
      </c>
      <c r="AM514" s="328"/>
      <c r="AN514" s="328"/>
      <c r="AO514" s="328"/>
      <c r="AP514" s="328"/>
      <c r="AQ514" s="328"/>
      <c r="AR514" s="328"/>
      <c r="AS514" s="328"/>
      <c r="BJ514" s="285">
        <f>COUNTIF(AT514:BI514,"*OP*")</f>
        <v>0</v>
      </c>
      <c r="BK514" s="328"/>
      <c r="BL514" s="328">
        <f>(COUNTIF(AT514:AV514,"*OK*")*3) + (COUNTIF(AW514:AY514,"*OK*")*2) + COUNTIF(AZ514:BB514,"*OK*")+COUNTIF(BK514:BK514,"SI")*0.5</f>
        <v>0</v>
      </c>
      <c r="BM514" s="328" t="str">
        <f>IF(BL514&lt;0.6,"Demasiado Riesgo",IF(BL514&lt;=5,"Riesgo Medio",IF(BL514&lt;=11,"Riesgo Bajo","Cliente Blindado")))</f>
        <v>Demasiado Riesgo</v>
      </c>
      <c r="BN514" s="328"/>
      <c r="BO514" s="328"/>
      <c r="BP514" s="328"/>
      <c r="BQ514" s="328"/>
      <c r="BR514" s="328"/>
      <c r="BS514" s="328"/>
      <c r="BT514" s="328"/>
      <c r="BU514" s="328"/>
      <c r="BV514" s="328"/>
      <c r="BW514" s="328"/>
      <c r="BX514" s="328"/>
      <c r="BY514" s="328"/>
      <c r="BZ514" s="328"/>
      <c r="CA514" s="328"/>
      <c r="CB514" s="328"/>
      <c r="CC514" s="328"/>
      <c r="CD514" s="328"/>
      <c r="CE514" s="328"/>
      <c r="CF514" s="328"/>
      <c r="CG514" s="328"/>
      <c r="CH514" s="328"/>
      <c r="CI514" s="328"/>
      <c r="CJ514" s="328"/>
      <c r="CK514" s="328"/>
      <c r="CL514" s="328">
        <f>COUNTIF(AT514:BH514,"*OK*")</f>
        <v>0</v>
      </c>
    </row>
    <row r="515" spans="1:90" ht="15" customHeight="1">
      <c r="A515" s="835"/>
      <c r="B515" s="349"/>
      <c r="C515" s="385"/>
      <c r="D515" s="352"/>
      <c r="E515" s="349"/>
      <c r="F515" s="368"/>
      <c r="G515" s="368"/>
      <c r="H515" s="335"/>
      <c r="I515" s="368"/>
      <c r="J515" s="349"/>
      <c r="K515" s="349"/>
      <c r="L515" s="349"/>
      <c r="M515" s="553"/>
      <c r="N515" s="352"/>
      <c r="O515" s="540"/>
      <c r="P515" s="540"/>
      <c r="Q515" s="540"/>
      <c r="R515" s="352"/>
      <c r="S515" s="352"/>
      <c r="T515" s="349"/>
      <c r="U515" s="362"/>
      <c r="V515" s="387"/>
      <c r="W515" s="381"/>
      <c r="X515" s="381"/>
      <c r="Y515" s="382"/>
      <c r="Z515" s="383"/>
      <c r="AA515" s="384"/>
      <c r="AB515" s="384"/>
      <c r="AC515" s="384"/>
      <c r="AD515" s="384"/>
      <c r="AE515" s="348"/>
      <c r="AF515" s="371" t="s">
        <v>103</v>
      </c>
      <c r="AG515" s="362"/>
      <c r="AH515" s="349"/>
      <c r="AI515" s="361"/>
      <c r="AJ515" s="361"/>
      <c r="AK515" s="362"/>
      <c r="AL515" s="371" t="s">
        <v>103</v>
      </c>
      <c r="AM515" s="349"/>
      <c r="AN515" s="349"/>
      <c r="AO515" s="349"/>
      <c r="AP515" s="349"/>
      <c r="AQ515" s="349"/>
      <c r="AR515" s="349"/>
      <c r="AS515" s="349"/>
      <c r="BJ515" s="285">
        <f>COUNTIF(AT515:BI515,"*OP*")</f>
        <v>0</v>
      </c>
      <c r="BK515" s="349"/>
      <c r="BL515" s="349">
        <f>(COUNTIF(AT515:AV515,"*OK*")*3) + (COUNTIF(AW515:AY515,"*OK*")*2) + COUNTIF(AZ515:BB515,"*OK*")+COUNTIF(BK515:BK515,"SI")*0.5</f>
        <v>0</v>
      </c>
      <c r="BM515" s="349" t="str">
        <f>IF(BL515&lt;0.6,"Demasiado Riesgo",IF(BL515&lt;=5,"Riesgo Medio",IF(BL515&lt;=11,"Riesgo Bajo","Cliente Blindado")))</f>
        <v>Demasiado Riesgo</v>
      </c>
      <c r="BN515" s="349"/>
      <c r="BO515" s="349"/>
      <c r="BP515" s="349"/>
      <c r="BQ515" s="349"/>
      <c r="BR515" s="349"/>
      <c r="BS515" s="349"/>
      <c r="BT515" s="349"/>
      <c r="BU515" s="349"/>
      <c r="BV515" s="349"/>
      <c r="BW515" s="349"/>
      <c r="BX515" s="349"/>
      <c r="BY515" s="349"/>
      <c r="BZ515" s="349"/>
      <c r="CA515" s="349"/>
      <c r="CB515" s="349"/>
      <c r="CC515" s="349"/>
      <c r="CD515" s="349"/>
      <c r="CE515" s="349"/>
      <c r="CF515" s="349"/>
      <c r="CG515" s="349"/>
      <c r="CH515" s="349"/>
      <c r="CI515" s="349"/>
      <c r="CJ515" s="349"/>
      <c r="CK515" s="349"/>
      <c r="CL515" s="349">
        <f>COUNTIF(AT515:BH515,"*OK*")</f>
        <v>0</v>
      </c>
    </row>
    <row r="516" spans="1:90" ht="15" customHeight="1">
      <c r="A516" s="834"/>
      <c r="B516" s="328"/>
      <c r="C516" s="386"/>
      <c r="D516" s="332"/>
      <c r="E516" s="328"/>
      <c r="F516" s="376"/>
      <c r="G516" s="376"/>
      <c r="H516" s="335"/>
      <c r="I516" s="376"/>
      <c r="J516" s="328"/>
      <c r="K516" s="328"/>
      <c r="L516" s="328"/>
      <c r="M516" s="391"/>
      <c r="N516" s="332"/>
      <c r="O516" s="541"/>
      <c r="P516" s="541"/>
      <c r="Q516" s="541"/>
      <c r="R516" s="332"/>
      <c r="S516" s="332"/>
      <c r="T516" s="328"/>
      <c r="U516" s="344"/>
      <c r="V516" s="388"/>
      <c r="W516" s="377"/>
      <c r="X516" s="377"/>
      <c r="Y516" s="378"/>
      <c r="Z516" s="379"/>
      <c r="AA516" s="380"/>
      <c r="AB516" s="380"/>
      <c r="AC516" s="380"/>
      <c r="AD516" s="380"/>
      <c r="AE516" s="327"/>
      <c r="AF516" s="372" t="s">
        <v>103</v>
      </c>
      <c r="AG516" s="344"/>
      <c r="AH516" s="328"/>
      <c r="AI516" s="343"/>
      <c r="AJ516" s="343"/>
      <c r="AK516" s="344"/>
      <c r="AL516" s="372" t="s">
        <v>103</v>
      </c>
      <c r="AM516" s="328"/>
      <c r="AN516" s="328"/>
      <c r="AO516" s="328"/>
      <c r="AP516" s="328"/>
      <c r="AQ516" s="328"/>
      <c r="AR516" s="328"/>
      <c r="AS516" s="328"/>
      <c r="BJ516" s="285">
        <f>COUNTIF(AT516:BI516,"*OP*")</f>
        <v>0</v>
      </c>
      <c r="BK516" s="328"/>
      <c r="BL516" s="328">
        <f>(COUNTIF(AT516:AV516,"*OK*")*3) + (COUNTIF(AW516:AY516,"*OK*")*2) + COUNTIF(AZ516:BB516,"*OK*")+COUNTIF(BK516:BK516,"SI")*0.5</f>
        <v>0</v>
      </c>
      <c r="BM516" s="328" t="str">
        <f>IF(BL516&lt;0.6,"Demasiado Riesgo",IF(BL516&lt;=5,"Riesgo Medio",IF(BL516&lt;=11,"Riesgo Bajo","Cliente Blindado")))</f>
        <v>Demasiado Riesgo</v>
      </c>
      <c r="BN516" s="328"/>
      <c r="BO516" s="328"/>
      <c r="BP516" s="328"/>
      <c r="BQ516" s="328"/>
      <c r="BR516" s="328"/>
      <c r="BS516" s="328"/>
      <c r="BT516" s="328"/>
      <c r="BU516" s="328"/>
      <c r="BV516" s="328"/>
      <c r="BW516" s="328"/>
      <c r="BX516" s="328"/>
      <c r="BY516" s="328"/>
      <c r="BZ516" s="328"/>
      <c r="CA516" s="328"/>
      <c r="CB516" s="328"/>
      <c r="CC516" s="328"/>
      <c r="CD516" s="328"/>
      <c r="CE516" s="328"/>
      <c r="CF516" s="328"/>
      <c r="CG516" s="328"/>
      <c r="CH516" s="328"/>
      <c r="CI516" s="328"/>
      <c r="CJ516" s="328"/>
      <c r="CK516" s="328"/>
      <c r="CL516" s="328">
        <f>COUNTIF(AT516:BH516,"*OK*")</f>
        <v>0</v>
      </c>
    </row>
    <row r="517" spans="1:90" ht="15" customHeight="1">
      <c r="A517" s="835"/>
      <c r="B517" s="349"/>
      <c r="C517" s="385"/>
      <c r="D517" s="352"/>
      <c r="E517" s="349"/>
      <c r="F517" s="368"/>
      <c r="G517" s="368"/>
      <c r="H517" s="335"/>
      <c r="I517" s="368"/>
      <c r="J517" s="349"/>
      <c r="K517" s="349"/>
      <c r="L517" s="349"/>
      <c r="M517" s="553"/>
      <c r="N517" s="352"/>
      <c r="O517" s="540"/>
      <c r="P517" s="540"/>
      <c r="Q517" s="540"/>
      <c r="R517" s="352"/>
      <c r="S517" s="352"/>
      <c r="T517" s="349"/>
      <c r="U517" s="362"/>
      <c r="V517" s="387"/>
      <c r="W517" s="381"/>
      <c r="X517" s="381"/>
      <c r="Y517" s="382"/>
      <c r="Z517" s="383"/>
      <c r="AA517" s="384"/>
      <c r="AB517" s="384"/>
      <c r="AC517" s="384"/>
      <c r="AD517" s="384"/>
      <c r="AE517" s="348"/>
      <c r="AF517" s="371" t="s">
        <v>103</v>
      </c>
      <c r="AG517" s="362"/>
      <c r="AH517" s="349"/>
      <c r="AI517" s="361"/>
      <c r="AJ517" s="361"/>
      <c r="AK517" s="362"/>
      <c r="AL517" s="371" t="s">
        <v>103</v>
      </c>
      <c r="AM517" s="349"/>
      <c r="AN517" s="349"/>
      <c r="AO517" s="349"/>
      <c r="AP517" s="349"/>
      <c r="AQ517" s="349"/>
      <c r="AR517" s="349"/>
      <c r="AS517" s="349"/>
      <c r="BJ517" s="285">
        <f>COUNTIF(AT517:BI517,"*OP*")</f>
        <v>0</v>
      </c>
      <c r="BK517" s="349"/>
      <c r="BL517" s="349">
        <f>(COUNTIF(AT517:AV517,"*OK*")*3) + (COUNTIF(AW517:AY517,"*OK*")*2) + COUNTIF(AZ517:BB517,"*OK*")+COUNTIF(BK517:BK517,"SI")*0.5</f>
        <v>0</v>
      </c>
      <c r="BM517" s="349" t="str">
        <f>IF(BL517&lt;0.6,"Demasiado Riesgo",IF(BL517&lt;=5,"Riesgo Medio",IF(BL517&lt;=11,"Riesgo Bajo","Cliente Blindado")))</f>
        <v>Demasiado Riesgo</v>
      </c>
      <c r="BN517" s="349"/>
      <c r="BO517" s="349"/>
      <c r="BP517" s="349"/>
      <c r="BQ517" s="349"/>
      <c r="BR517" s="349"/>
      <c r="BS517" s="349"/>
      <c r="BT517" s="349"/>
      <c r="BU517" s="349"/>
      <c r="BV517" s="349"/>
      <c r="BW517" s="349"/>
      <c r="BX517" s="349"/>
      <c r="BY517" s="349"/>
      <c r="BZ517" s="349"/>
      <c r="CA517" s="349"/>
      <c r="CB517" s="349"/>
      <c r="CC517" s="349"/>
      <c r="CD517" s="349"/>
      <c r="CE517" s="349"/>
      <c r="CF517" s="349"/>
      <c r="CG517" s="349"/>
      <c r="CH517" s="349"/>
      <c r="CI517" s="349"/>
      <c r="CJ517" s="349"/>
      <c r="CK517" s="349"/>
      <c r="CL517" s="349">
        <f>COUNTIF(AT517:BH517,"*OK*")</f>
        <v>0</v>
      </c>
    </row>
    <row r="518" spans="1:90" ht="15" customHeight="1">
      <c r="A518" s="834"/>
      <c r="B518" s="328"/>
      <c r="C518" s="386"/>
      <c r="D518" s="332"/>
      <c r="E518" s="328"/>
      <c r="F518" s="376"/>
      <c r="G518" s="376"/>
      <c r="H518" s="335"/>
      <c r="I518" s="376"/>
      <c r="J518" s="328"/>
      <c r="K518" s="328"/>
      <c r="L518" s="328"/>
      <c r="M518" s="391"/>
      <c r="N518" s="332"/>
      <c r="O518" s="541"/>
      <c r="P518" s="541"/>
      <c r="Q518" s="541"/>
      <c r="R518" s="332"/>
      <c r="S518" s="332"/>
      <c r="T518" s="328"/>
      <c r="U518" s="344"/>
      <c r="V518" s="388"/>
      <c r="W518" s="377"/>
      <c r="X518" s="377"/>
      <c r="Y518" s="378"/>
      <c r="Z518" s="379"/>
      <c r="AA518" s="380"/>
      <c r="AB518" s="380"/>
      <c r="AC518" s="380"/>
      <c r="AD518" s="380"/>
      <c r="AE518" s="327"/>
      <c r="AF518" s="372" t="s">
        <v>103</v>
      </c>
      <c r="AG518" s="344"/>
      <c r="AH518" s="328"/>
      <c r="AI518" s="343"/>
      <c r="AJ518" s="343"/>
      <c r="AK518" s="344"/>
      <c r="AL518" s="372" t="s">
        <v>103</v>
      </c>
      <c r="AM518" s="328"/>
      <c r="AN518" s="328"/>
      <c r="AO518" s="328"/>
      <c r="AP518" s="328"/>
      <c r="AQ518" s="328"/>
      <c r="AR518" s="328"/>
      <c r="AS518" s="328"/>
      <c r="BJ518" s="285">
        <f>COUNTIF(AT518:BI518,"*OP*")</f>
        <v>0</v>
      </c>
      <c r="BK518" s="328"/>
      <c r="BL518" s="328">
        <f>(COUNTIF(AT518:AV518,"*OK*")*3) + (COUNTIF(AW518:AY518,"*OK*")*2) + COUNTIF(AZ518:BB518,"*OK*")+COUNTIF(BK518:BK518,"SI")*0.5</f>
        <v>0</v>
      </c>
      <c r="BM518" s="328" t="str">
        <f>IF(BL518&lt;0.6,"Demasiado Riesgo",IF(BL518&lt;=5,"Riesgo Medio",IF(BL518&lt;=11,"Riesgo Bajo","Cliente Blindado")))</f>
        <v>Demasiado Riesgo</v>
      </c>
      <c r="BN518" s="328"/>
      <c r="BO518" s="328"/>
      <c r="BP518" s="328"/>
      <c r="BQ518" s="328"/>
      <c r="BR518" s="328"/>
      <c r="BS518" s="328"/>
      <c r="BT518" s="328"/>
      <c r="BU518" s="328"/>
      <c r="BV518" s="328"/>
      <c r="BW518" s="328"/>
      <c r="BX518" s="328"/>
      <c r="BY518" s="328"/>
      <c r="BZ518" s="328"/>
      <c r="CA518" s="328"/>
      <c r="CB518" s="328"/>
      <c r="CC518" s="328"/>
      <c r="CD518" s="328"/>
      <c r="CE518" s="328"/>
      <c r="CF518" s="328"/>
      <c r="CG518" s="328"/>
      <c r="CH518" s="328"/>
      <c r="CI518" s="328"/>
      <c r="CJ518" s="328"/>
      <c r="CK518" s="328"/>
      <c r="CL518" s="328">
        <f>COUNTIF(AT518:BH518,"*OK*")</f>
        <v>0</v>
      </c>
    </row>
    <row r="519" spans="1:90" ht="15" customHeight="1">
      <c r="A519" s="835"/>
      <c r="B519" s="349"/>
      <c r="C519" s="385"/>
      <c r="D519" s="352"/>
      <c r="E519" s="349"/>
      <c r="F519" s="368"/>
      <c r="G519" s="368"/>
      <c r="H519" s="335"/>
      <c r="I519" s="368"/>
      <c r="J519" s="349"/>
      <c r="K519" s="349"/>
      <c r="L519" s="349"/>
      <c r="M519" s="553"/>
      <c r="N519" s="352"/>
      <c r="O519" s="540"/>
      <c r="P519" s="540"/>
      <c r="Q519" s="540"/>
      <c r="R519" s="352"/>
      <c r="S519" s="352"/>
      <c r="T519" s="349"/>
      <c r="U519" s="362"/>
      <c r="V519" s="387"/>
      <c r="W519" s="381"/>
      <c r="X519" s="381"/>
      <c r="Y519" s="382"/>
      <c r="Z519" s="383"/>
      <c r="AA519" s="384"/>
      <c r="AB519" s="384"/>
      <c r="AC519" s="384"/>
      <c r="AD519" s="384"/>
      <c r="AE519" s="348"/>
      <c r="AF519" s="371" t="s">
        <v>103</v>
      </c>
      <c r="AG519" s="362"/>
      <c r="AH519" s="349"/>
      <c r="AI519" s="361"/>
      <c r="AJ519" s="361"/>
      <c r="AK519" s="362"/>
      <c r="AL519" s="371" t="s">
        <v>103</v>
      </c>
      <c r="AM519" s="349"/>
      <c r="AN519" s="349"/>
      <c r="AO519" s="349"/>
      <c r="AP519" s="349"/>
      <c r="AQ519" s="349"/>
      <c r="AR519" s="349"/>
      <c r="AS519" s="349"/>
      <c r="BJ519" s="285">
        <f>COUNTIF(AT519:BI519,"*OP*")</f>
        <v>0</v>
      </c>
      <c r="BK519" s="349"/>
      <c r="BL519" s="349">
        <f>(COUNTIF(AT519:AV519,"*OK*")*3) + (COUNTIF(AW519:AY519,"*OK*")*2) + COUNTIF(AZ519:BB519,"*OK*")+COUNTIF(BK519:BK519,"SI")*0.5</f>
        <v>0</v>
      </c>
      <c r="BM519" s="349" t="str">
        <f>IF(BL519&lt;0.6,"Demasiado Riesgo",IF(BL519&lt;=5,"Riesgo Medio",IF(BL519&lt;=11,"Riesgo Bajo","Cliente Blindado")))</f>
        <v>Demasiado Riesgo</v>
      </c>
      <c r="BN519" s="349"/>
      <c r="BO519" s="349"/>
      <c r="BP519" s="349"/>
      <c r="BQ519" s="349"/>
      <c r="BR519" s="349"/>
      <c r="BS519" s="349"/>
      <c r="BT519" s="349"/>
      <c r="BU519" s="349"/>
      <c r="BV519" s="349"/>
      <c r="BW519" s="349"/>
      <c r="BX519" s="349"/>
      <c r="BY519" s="349"/>
      <c r="BZ519" s="349"/>
      <c r="CA519" s="349"/>
      <c r="CB519" s="349"/>
      <c r="CC519" s="349"/>
      <c r="CD519" s="349"/>
      <c r="CE519" s="349"/>
      <c r="CF519" s="349"/>
      <c r="CG519" s="349"/>
      <c r="CH519" s="349"/>
      <c r="CI519" s="349"/>
      <c r="CJ519" s="349"/>
      <c r="CK519" s="349"/>
      <c r="CL519" s="349">
        <f>COUNTIF(AT519:BH519,"*OK*")</f>
        <v>0</v>
      </c>
    </row>
    <row r="520" spans="1:90" ht="15" customHeight="1">
      <c r="A520" s="834"/>
      <c r="B520" s="328"/>
      <c r="C520" s="386"/>
      <c r="D520" s="332"/>
      <c r="E520" s="328"/>
      <c r="F520" s="376"/>
      <c r="G520" s="376"/>
      <c r="H520" s="335"/>
      <c r="I520" s="376"/>
      <c r="J520" s="328"/>
      <c r="K520" s="328"/>
      <c r="L520" s="328"/>
      <c r="M520" s="391"/>
      <c r="N520" s="332"/>
      <c r="O520" s="541"/>
      <c r="P520" s="541"/>
      <c r="Q520" s="541"/>
      <c r="R520" s="332"/>
      <c r="S520" s="332"/>
      <c r="T520" s="328"/>
      <c r="U520" s="344"/>
      <c r="V520" s="388"/>
      <c r="W520" s="377"/>
      <c r="X520" s="377"/>
      <c r="Y520" s="378"/>
      <c r="Z520" s="379"/>
      <c r="AA520" s="380"/>
      <c r="AB520" s="380"/>
      <c r="AC520" s="380"/>
      <c r="AD520" s="380"/>
      <c r="AE520" s="327"/>
      <c r="AF520" s="372" t="s">
        <v>103</v>
      </c>
      <c r="AG520" s="344"/>
      <c r="AH520" s="328"/>
      <c r="AI520" s="343"/>
      <c r="AJ520" s="343"/>
      <c r="AK520" s="344"/>
      <c r="AL520" s="372" t="s">
        <v>103</v>
      </c>
      <c r="AM520" s="328"/>
      <c r="AN520" s="328"/>
      <c r="AO520" s="328"/>
      <c r="AP520" s="328"/>
      <c r="AQ520" s="328"/>
      <c r="AR520" s="328"/>
      <c r="AS520" s="328"/>
      <c r="BJ520" s="285">
        <f>COUNTIF(AT520:BI520,"*OP*")</f>
        <v>0</v>
      </c>
      <c r="BK520" s="328"/>
      <c r="BL520" s="328">
        <f>(COUNTIF(AT520:AV520,"*OK*")*3) + (COUNTIF(AW520:AY520,"*OK*")*2) + COUNTIF(AZ520:BB520,"*OK*")+COUNTIF(BK520:BK520,"SI")*0.5</f>
        <v>0</v>
      </c>
      <c r="BM520" s="328" t="str">
        <f>IF(BL520&lt;0.6,"Demasiado Riesgo",IF(BL520&lt;=5,"Riesgo Medio",IF(BL520&lt;=11,"Riesgo Bajo","Cliente Blindado")))</f>
        <v>Demasiado Riesgo</v>
      </c>
      <c r="BN520" s="328"/>
      <c r="BO520" s="328"/>
      <c r="BP520" s="328"/>
      <c r="BQ520" s="328"/>
      <c r="BR520" s="328"/>
      <c r="BS520" s="328"/>
      <c r="BT520" s="328"/>
      <c r="BU520" s="328"/>
      <c r="BV520" s="328"/>
      <c r="BW520" s="328"/>
      <c r="BX520" s="328"/>
      <c r="BY520" s="328"/>
      <c r="BZ520" s="328"/>
      <c r="CA520" s="328"/>
      <c r="CB520" s="328"/>
      <c r="CC520" s="328"/>
      <c r="CD520" s="328"/>
      <c r="CE520" s="328"/>
      <c r="CF520" s="328"/>
      <c r="CG520" s="328"/>
      <c r="CH520" s="328"/>
      <c r="CI520" s="328"/>
      <c r="CJ520" s="328"/>
      <c r="CK520" s="328"/>
      <c r="CL520" s="328">
        <f>COUNTIF(AT520:BH520,"*OK*")</f>
        <v>0</v>
      </c>
    </row>
    <row r="521" spans="1:90" ht="15" customHeight="1">
      <c r="A521" s="835"/>
      <c r="B521" s="349"/>
      <c r="C521" s="385"/>
      <c r="D521" s="352"/>
      <c r="E521" s="349"/>
      <c r="F521" s="368"/>
      <c r="G521" s="368"/>
      <c r="H521" s="335"/>
      <c r="I521" s="368"/>
      <c r="J521" s="349"/>
      <c r="K521" s="349"/>
      <c r="L521" s="349"/>
      <c r="M521" s="553"/>
      <c r="N521" s="352"/>
      <c r="O521" s="540"/>
      <c r="P521" s="540"/>
      <c r="Q521" s="540"/>
      <c r="R521" s="352"/>
      <c r="S521" s="352"/>
      <c r="T521" s="349"/>
      <c r="U521" s="362"/>
      <c r="V521" s="387"/>
      <c r="W521" s="381"/>
      <c r="X521" s="381"/>
      <c r="Y521" s="382"/>
      <c r="Z521" s="383"/>
      <c r="AA521" s="384"/>
      <c r="AB521" s="384"/>
      <c r="AC521" s="384"/>
      <c r="AD521" s="384"/>
      <c r="AE521" s="348"/>
      <c r="AF521" s="371" t="s">
        <v>103</v>
      </c>
      <c r="AG521" s="362"/>
      <c r="AH521" s="349"/>
      <c r="AI521" s="361"/>
      <c r="AJ521" s="361"/>
      <c r="AK521" s="362"/>
      <c r="AL521" s="371" t="s">
        <v>103</v>
      </c>
      <c r="AM521" s="349"/>
      <c r="AN521" s="349"/>
      <c r="AO521" s="349"/>
      <c r="AP521" s="349"/>
      <c r="AQ521" s="349"/>
      <c r="AR521" s="349"/>
      <c r="AS521" s="349"/>
      <c r="BJ521" s="285">
        <f>COUNTIF(AT521:BI521,"*OP*")</f>
        <v>0</v>
      </c>
      <c r="BK521" s="349"/>
      <c r="BL521" s="349">
        <f>(COUNTIF(AT521:AV521,"*OK*")*3) + (COUNTIF(AW521:AY521,"*OK*")*2) + COUNTIF(AZ521:BB521,"*OK*")+COUNTIF(BK521:BK521,"SI")*0.5</f>
        <v>0</v>
      </c>
      <c r="BM521" s="349" t="str">
        <f>IF(BL521&lt;0.6,"Demasiado Riesgo",IF(BL521&lt;=5,"Riesgo Medio",IF(BL521&lt;=11,"Riesgo Bajo","Cliente Blindado")))</f>
        <v>Demasiado Riesgo</v>
      </c>
      <c r="BN521" s="349"/>
      <c r="BO521" s="349"/>
      <c r="BP521" s="349"/>
      <c r="BQ521" s="349"/>
      <c r="BR521" s="349"/>
      <c r="BS521" s="349"/>
      <c r="BT521" s="349"/>
      <c r="BU521" s="349"/>
      <c r="BV521" s="349"/>
      <c r="BW521" s="349"/>
      <c r="BX521" s="349"/>
      <c r="BY521" s="349"/>
      <c r="BZ521" s="349"/>
      <c r="CA521" s="349"/>
      <c r="CB521" s="349"/>
      <c r="CC521" s="349"/>
      <c r="CD521" s="349"/>
      <c r="CE521" s="349"/>
      <c r="CF521" s="349"/>
      <c r="CG521" s="349"/>
      <c r="CH521" s="349"/>
      <c r="CI521" s="349"/>
      <c r="CJ521" s="349"/>
      <c r="CK521" s="349"/>
      <c r="CL521" s="349">
        <f>COUNTIF(AT521:BH521,"*OK*")</f>
        <v>0</v>
      </c>
    </row>
    <row r="522" spans="1:90" ht="15" customHeight="1">
      <c r="A522" s="834"/>
      <c r="B522" s="328"/>
      <c r="C522" s="386"/>
      <c r="D522" s="332"/>
      <c r="E522" s="328"/>
      <c r="F522" s="376"/>
      <c r="G522" s="376"/>
      <c r="H522" s="335"/>
      <c r="I522" s="376"/>
      <c r="J522" s="328"/>
      <c r="K522" s="328"/>
      <c r="L522" s="328"/>
      <c r="M522" s="391"/>
      <c r="N522" s="332"/>
      <c r="O522" s="541"/>
      <c r="P522" s="541"/>
      <c r="Q522" s="541"/>
      <c r="R522" s="332"/>
      <c r="S522" s="332"/>
      <c r="T522" s="328"/>
      <c r="U522" s="344"/>
      <c r="V522" s="388"/>
      <c r="W522" s="377"/>
      <c r="X522" s="377"/>
      <c r="Y522" s="378"/>
      <c r="Z522" s="379"/>
      <c r="AA522" s="380"/>
      <c r="AB522" s="380"/>
      <c r="AC522" s="380"/>
      <c r="AD522" s="380"/>
      <c r="AE522" s="327"/>
      <c r="AF522" s="372" t="s">
        <v>103</v>
      </c>
      <c r="AG522" s="344"/>
      <c r="AH522" s="328"/>
      <c r="AI522" s="343"/>
      <c r="AJ522" s="343"/>
      <c r="AK522" s="344"/>
      <c r="AL522" s="372" t="s">
        <v>103</v>
      </c>
      <c r="AM522" s="328"/>
      <c r="AN522" s="328"/>
      <c r="AO522" s="328"/>
      <c r="AP522" s="328"/>
      <c r="AQ522" s="328"/>
      <c r="AR522" s="328"/>
      <c r="AS522" s="328"/>
      <c r="BJ522" s="285">
        <f>COUNTIF(AT522:BI522,"*OP*")</f>
        <v>0</v>
      </c>
      <c r="BK522" s="328"/>
      <c r="BL522" s="328">
        <f>(COUNTIF(AT522:AV522,"*OK*")*3) + (COUNTIF(AW522:AY522,"*OK*")*2) + COUNTIF(AZ522:BB522,"*OK*")+COUNTIF(BK522:BK522,"SI")*0.5</f>
        <v>0</v>
      </c>
      <c r="BM522" s="328" t="str">
        <f>IF(BL522&lt;0.6,"Demasiado Riesgo",IF(BL522&lt;=5,"Riesgo Medio",IF(BL522&lt;=11,"Riesgo Bajo","Cliente Blindado")))</f>
        <v>Demasiado Riesgo</v>
      </c>
      <c r="BN522" s="328"/>
      <c r="BO522" s="328"/>
      <c r="BP522" s="328"/>
      <c r="BQ522" s="328"/>
      <c r="BR522" s="328"/>
      <c r="BS522" s="328"/>
      <c r="BT522" s="328"/>
      <c r="BU522" s="328"/>
      <c r="BV522" s="328"/>
      <c r="BW522" s="328"/>
      <c r="BX522" s="328"/>
      <c r="BY522" s="328"/>
      <c r="BZ522" s="328"/>
      <c r="CA522" s="328"/>
      <c r="CB522" s="328"/>
      <c r="CC522" s="328"/>
      <c r="CD522" s="328"/>
      <c r="CE522" s="328"/>
      <c r="CF522" s="328"/>
      <c r="CG522" s="328"/>
      <c r="CH522" s="328"/>
      <c r="CI522" s="328"/>
      <c r="CJ522" s="328"/>
      <c r="CK522" s="328"/>
      <c r="CL522" s="328">
        <f>COUNTIF(AT522:BH522,"*OK*")</f>
        <v>0</v>
      </c>
    </row>
    <row r="523" spans="1:90" ht="15" customHeight="1">
      <c r="A523" s="835"/>
      <c r="B523" s="349"/>
      <c r="C523" s="385"/>
      <c r="D523" s="352"/>
      <c r="E523" s="349"/>
      <c r="F523" s="368"/>
      <c r="G523" s="368"/>
      <c r="H523" s="335"/>
      <c r="I523" s="368"/>
      <c r="J523" s="349"/>
      <c r="K523" s="349"/>
      <c r="L523" s="349"/>
      <c r="M523" s="553"/>
      <c r="N523" s="352"/>
      <c r="O523" s="540"/>
      <c r="P523" s="540"/>
      <c r="Q523" s="540"/>
      <c r="R523" s="352"/>
      <c r="S523" s="352"/>
      <c r="T523" s="349"/>
      <c r="U523" s="362"/>
      <c r="V523" s="387"/>
      <c r="W523" s="381"/>
      <c r="X523" s="381"/>
      <c r="Y523" s="382"/>
      <c r="Z523" s="383"/>
      <c r="AA523" s="384"/>
      <c r="AB523" s="384"/>
      <c r="AC523" s="384"/>
      <c r="AD523" s="384"/>
      <c r="AE523" s="348"/>
      <c r="AF523" s="371" t="s">
        <v>103</v>
      </c>
      <c r="AG523" s="362"/>
      <c r="AH523" s="349"/>
      <c r="AI523" s="361"/>
      <c r="AJ523" s="361"/>
      <c r="AK523" s="362"/>
      <c r="AL523" s="371" t="s">
        <v>103</v>
      </c>
      <c r="AM523" s="349"/>
      <c r="AN523" s="349"/>
      <c r="AO523" s="349"/>
      <c r="AP523" s="349"/>
      <c r="AQ523" s="349"/>
      <c r="AR523" s="349"/>
      <c r="AS523" s="349"/>
      <c r="BJ523" s="285">
        <f>COUNTIF(AT523:BI523,"*OP*")</f>
        <v>0</v>
      </c>
      <c r="BK523" s="349"/>
      <c r="BL523" s="349">
        <f>(COUNTIF(AT523:AV523,"*OK*")*3) + (COUNTIF(AW523:AY523,"*OK*")*2) + COUNTIF(AZ523:BB523,"*OK*")+COUNTIF(BK523:BK523,"SI")*0.5</f>
        <v>0</v>
      </c>
      <c r="BM523" s="349" t="str">
        <f>IF(BL523&lt;0.6,"Demasiado Riesgo",IF(BL523&lt;=5,"Riesgo Medio",IF(BL523&lt;=11,"Riesgo Bajo","Cliente Blindado")))</f>
        <v>Demasiado Riesgo</v>
      </c>
      <c r="BN523" s="349"/>
      <c r="BO523" s="349"/>
      <c r="BP523" s="349"/>
      <c r="BQ523" s="349"/>
      <c r="BR523" s="349"/>
      <c r="BS523" s="349"/>
      <c r="BT523" s="349"/>
      <c r="BU523" s="349"/>
      <c r="BV523" s="349"/>
      <c r="BW523" s="349"/>
      <c r="BX523" s="349"/>
      <c r="BY523" s="349"/>
      <c r="BZ523" s="349"/>
      <c r="CA523" s="349"/>
      <c r="CB523" s="349"/>
      <c r="CC523" s="349"/>
      <c r="CD523" s="349"/>
      <c r="CE523" s="349"/>
      <c r="CF523" s="349"/>
      <c r="CG523" s="349"/>
      <c r="CH523" s="349"/>
      <c r="CI523" s="349"/>
      <c r="CJ523" s="349"/>
      <c r="CK523" s="349"/>
      <c r="CL523" s="349">
        <f>COUNTIF(AT523:BH523,"*OK*")</f>
        <v>0</v>
      </c>
    </row>
    <row r="524" spans="1:90" ht="15" customHeight="1">
      <c r="A524" s="834"/>
      <c r="B524" s="328"/>
      <c r="C524" s="386"/>
      <c r="D524" s="332"/>
      <c r="E524" s="328"/>
      <c r="F524" s="376"/>
      <c r="G524" s="376"/>
      <c r="H524" s="335"/>
      <c r="I524" s="376"/>
      <c r="J524" s="328"/>
      <c r="K524" s="328"/>
      <c r="L524" s="328"/>
      <c r="M524" s="391"/>
      <c r="N524" s="332"/>
      <c r="O524" s="541"/>
      <c r="P524" s="541"/>
      <c r="Q524" s="541"/>
      <c r="R524" s="332"/>
      <c r="S524" s="332"/>
      <c r="T524" s="328"/>
      <c r="U524" s="344"/>
      <c r="V524" s="388"/>
      <c r="W524" s="377"/>
      <c r="X524" s="377"/>
      <c r="Y524" s="378"/>
      <c r="Z524" s="379"/>
      <c r="AA524" s="380"/>
      <c r="AB524" s="380"/>
      <c r="AC524" s="380"/>
      <c r="AD524" s="380"/>
      <c r="AE524" s="327"/>
      <c r="AF524" s="372" t="s">
        <v>103</v>
      </c>
      <c r="AG524" s="344"/>
      <c r="AH524" s="328"/>
      <c r="AI524" s="343"/>
      <c r="AJ524" s="343"/>
      <c r="AK524" s="344"/>
      <c r="AL524" s="372" t="s">
        <v>103</v>
      </c>
      <c r="AM524" s="328"/>
      <c r="AN524" s="328"/>
      <c r="AO524" s="328"/>
      <c r="AP524" s="328"/>
      <c r="AQ524" s="328"/>
      <c r="AR524" s="328"/>
      <c r="AS524" s="328"/>
      <c r="BJ524" s="285">
        <f>COUNTIF(AT524:BI524,"*OP*")</f>
        <v>0</v>
      </c>
      <c r="BK524" s="328"/>
      <c r="BL524" s="328">
        <f>(COUNTIF(AT524:AV524,"*OK*")*3) + (COUNTIF(AW524:AY524,"*OK*")*2) + COUNTIF(AZ524:BB524,"*OK*")+COUNTIF(BK524:BK524,"SI")*0.5</f>
        <v>0</v>
      </c>
      <c r="BM524" s="328" t="str">
        <f>IF(BL524&lt;0.6,"Demasiado Riesgo",IF(BL524&lt;=5,"Riesgo Medio",IF(BL524&lt;=11,"Riesgo Bajo","Cliente Blindado")))</f>
        <v>Demasiado Riesgo</v>
      </c>
      <c r="BN524" s="328"/>
      <c r="BO524" s="328"/>
      <c r="BP524" s="328"/>
      <c r="BQ524" s="328"/>
      <c r="BR524" s="328"/>
      <c r="BS524" s="328"/>
      <c r="BT524" s="328"/>
      <c r="BU524" s="328"/>
      <c r="BV524" s="328"/>
      <c r="BW524" s="328"/>
      <c r="BX524" s="328"/>
      <c r="BY524" s="328"/>
      <c r="BZ524" s="328"/>
      <c r="CA524" s="328"/>
      <c r="CB524" s="328"/>
      <c r="CC524" s="328"/>
      <c r="CD524" s="328"/>
      <c r="CE524" s="328"/>
      <c r="CF524" s="328"/>
      <c r="CG524" s="328"/>
      <c r="CH524" s="328"/>
      <c r="CI524" s="328"/>
      <c r="CJ524" s="328"/>
      <c r="CK524" s="328"/>
      <c r="CL524" s="328">
        <f>COUNTIF(AT524:BH524,"*OK*")</f>
        <v>0</v>
      </c>
    </row>
    <row r="525" spans="1:90" ht="15" customHeight="1">
      <c r="A525" s="835"/>
      <c r="B525" s="349"/>
      <c r="C525" s="385"/>
      <c r="D525" s="352"/>
      <c r="E525" s="349"/>
      <c r="F525" s="368"/>
      <c r="G525" s="368"/>
      <c r="H525" s="335"/>
      <c r="I525" s="368"/>
      <c r="J525" s="349"/>
      <c r="K525" s="349"/>
      <c r="L525" s="349"/>
      <c r="M525" s="553"/>
      <c r="N525" s="352"/>
      <c r="O525" s="540"/>
      <c r="P525" s="540"/>
      <c r="Q525" s="540"/>
      <c r="R525" s="352"/>
      <c r="S525" s="352"/>
      <c r="T525" s="349"/>
      <c r="U525" s="362"/>
      <c r="V525" s="387"/>
      <c r="W525" s="381"/>
      <c r="X525" s="381"/>
      <c r="Y525" s="382"/>
      <c r="Z525" s="383"/>
      <c r="AA525" s="384"/>
      <c r="AB525" s="384"/>
      <c r="AC525" s="384"/>
      <c r="AD525" s="384"/>
      <c r="AE525" s="348"/>
      <c r="AF525" s="371" t="s">
        <v>103</v>
      </c>
      <c r="AG525" s="362"/>
      <c r="AH525" s="349"/>
      <c r="AI525" s="361"/>
      <c r="AJ525" s="361"/>
      <c r="AK525" s="362"/>
      <c r="AL525" s="371" t="s">
        <v>103</v>
      </c>
      <c r="AM525" s="349"/>
      <c r="AN525" s="349"/>
      <c r="AO525" s="349"/>
      <c r="AP525" s="349"/>
      <c r="AQ525" s="349"/>
      <c r="AR525" s="349"/>
      <c r="AS525" s="349"/>
      <c r="BJ525" s="285">
        <f>COUNTIF(AT525:BI525,"*OP*")</f>
        <v>0</v>
      </c>
      <c r="BK525" s="349"/>
      <c r="BL525" s="349">
        <f>(COUNTIF(AT525:AV525,"*OK*")*3) + (COUNTIF(AW525:AY525,"*OK*")*2) + COUNTIF(AZ525:BB525,"*OK*")+COUNTIF(BK525:BK525,"SI")*0.5</f>
        <v>0</v>
      </c>
      <c r="BM525" s="349" t="str">
        <f>IF(BL525&lt;0.6,"Demasiado Riesgo",IF(BL525&lt;=5,"Riesgo Medio",IF(BL525&lt;=11,"Riesgo Bajo","Cliente Blindado")))</f>
        <v>Demasiado Riesgo</v>
      </c>
      <c r="BN525" s="349"/>
      <c r="BO525" s="349"/>
      <c r="BP525" s="349"/>
      <c r="BQ525" s="349"/>
      <c r="BR525" s="349"/>
      <c r="BS525" s="349"/>
      <c r="BT525" s="349"/>
      <c r="BU525" s="349"/>
      <c r="BV525" s="349"/>
      <c r="BW525" s="349"/>
      <c r="BX525" s="349"/>
      <c r="BY525" s="349"/>
      <c r="BZ525" s="349"/>
      <c r="CA525" s="349"/>
      <c r="CB525" s="349"/>
      <c r="CC525" s="349"/>
      <c r="CD525" s="349"/>
      <c r="CE525" s="349"/>
      <c r="CF525" s="349"/>
      <c r="CG525" s="349"/>
      <c r="CH525" s="349"/>
      <c r="CI525" s="349"/>
      <c r="CJ525" s="349"/>
      <c r="CK525" s="349"/>
      <c r="CL525" s="349">
        <f>COUNTIF(AT525:BH525,"*OK*")</f>
        <v>0</v>
      </c>
    </row>
    <row r="526" spans="1:90" ht="15" customHeight="1">
      <c r="A526" s="834"/>
      <c r="B526" s="328"/>
      <c r="C526" s="386"/>
      <c r="D526" s="332"/>
      <c r="E526" s="328"/>
      <c r="F526" s="376"/>
      <c r="G526" s="376"/>
      <c r="H526" s="335"/>
      <c r="I526" s="376"/>
      <c r="J526" s="328"/>
      <c r="K526" s="328"/>
      <c r="L526" s="328"/>
      <c r="M526" s="391"/>
      <c r="N526" s="332"/>
      <c r="O526" s="541"/>
      <c r="P526" s="541"/>
      <c r="Q526" s="541"/>
      <c r="R526" s="332"/>
      <c r="S526" s="332"/>
      <c r="T526" s="328"/>
      <c r="U526" s="344"/>
      <c r="V526" s="388"/>
      <c r="W526" s="377"/>
      <c r="X526" s="377"/>
      <c r="Y526" s="378"/>
      <c r="Z526" s="379"/>
      <c r="AA526" s="380"/>
      <c r="AB526" s="380"/>
      <c r="AC526" s="380"/>
      <c r="AD526" s="380"/>
      <c r="AE526" s="327"/>
      <c r="AF526" s="372" t="s">
        <v>103</v>
      </c>
      <c r="AG526" s="344"/>
      <c r="AH526" s="328"/>
      <c r="AI526" s="343"/>
      <c r="AJ526" s="343"/>
      <c r="AK526" s="344"/>
      <c r="AL526" s="372" t="s">
        <v>103</v>
      </c>
      <c r="AM526" s="328"/>
      <c r="AN526" s="328"/>
      <c r="AO526" s="328"/>
      <c r="AP526" s="328"/>
      <c r="AQ526" s="328"/>
      <c r="AR526" s="328"/>
      <c r="AS526" s="328"/>
      <c r="BJ526" s="285">
        <f>COUNTIF(AT526:BI526,"*OP*")</f>
        <v>0</v>
      </c>
      <c r="BK526" s="328"/>
      <c r="BL526" s="328">
        <f>(COUNTIF(AT526:AV526,"*OK*")*3) + (COUNTIF(AW526:AY526,"*OK*")*2) + COUNTIF(AZ526:BB526,"*OK*")+COUNTIF(BK526:BK526,"SI")*0.5</f>
        <v>0</v>
      </c>
      <c r="BM526" s="328" t="str">
        <f>IF(BL526&lt;0.6,"Demasiado Riesgo",IF(BL526&lt;=5,"Riesgo Medio",IF(BL526&lt;=11,"Riesgo Bajo","Cliente Blindado")))</f>
        <v>Demasiado Riesgo</v>
      </c>
      <c r="BN526" s="328"/>
      <c r="BO526" s="328"/>
      <c r="BP526" s="328"/>
      <c r="BQ526" s="328"/>
      <c r="BR526" s="328"/>
      <c r="BS526" s="328"/>
      <c r="BT526" s="328"/>
      <c r="BU526" s="328"/>
      <c r="BV526" s="328"/>
      <c r="BW526" s="328"/>
      <c r="BX526" s="328"/>
      <c r="BY526" s="328"/>
      <c r="BZ526" s="328"/>
      <c r="CA526" s="328"/>
      <c r="CB526" s="328"/>
      <c r="CC526" s="328"/>
      <c r="CD526" s="328"/>
      <c r="CE526" s="328"/>
      <c r="CF526" s="328"/>
      <c r="CG526" s="328"/>
      <c r="CH526" s="328"/>
      <c r="CI526" s="328"/>
      <c r="CJ526" s="328"/>
      <c r="CK526" s="328"/>
      <c r="CL526" s="328">
        <f>COUNTIF(AT526:BH526,"*OK*")</f>
        <v>0</v>
      </c>
    </row>
    <row r="527" spans="1:90" ht="15" customHeight="1">
      <c r="A527" s="835"/>
      <c r="B527" s="349"/>
      <c r="C527" s="385"/>
      <c r="D527" s="352"/>
      <c r="E527" s="349"/>
      <c r="F527" s="368"/>
      <c r="G527" s="368"/>
      <c r="H527" s="335"/>
      <c r="I527" s="368"/>
      <c r="J527" s="349"/>
      <c r="K527" s="349"/>
      <c r="L527" s="349"/>
      <c r="M527" s="553"/>
      <c r="N527" s="352"/>
      <c r="O527" s="540"/>
      <c r="P527" s="540"/>
      <c r="Q527" s="540"/>
      <c r="R527" s="352"/>
      <c r="S527" s="352"/>
      <c r="T527" s="349"/>
      <c r="U527" s="362"/>
      <c r="V527" s="387"/>
      <c r="W527" s="381"/>
      <c r="X527" s="381"/>
      <c r="Y527" s="382"/>
      <c r="Z527" s="383"/>
      <c r="AA527" s="384"/>
      <c r="AB527" s="384"/>
      <c r="AC527" s="384"/>
      <c r="AD527" s="384"/>
      <c r="AE527" s="348"/>
      <c r="AF527" s="371" t="s">
        <v>103</v>
      </c>
      <c r="AG527" s="362"/>
      <c r="AH527" s="349"/>
      <c r="AI527" s="361"/>
      <c r="AJ527" s="361"/>
      <c r="AK527" s="362"/>
      <c r="AL527" s="371" t="s">
        <v>103</v>
      </c>
      <c r="AM527" s="349"/>
      <c r="AN527" s="349"/>
      <c r="AO527" s="349"/>
      <c r="AP527" s="349"/>
      <c r="AQ527" s="349"/>
      <c r="AR527" s="349"/>
      <c r="AS527" s="349"/>
      <c r="BJ527" s="285">
        <f>COUNTIF(AT527:BI527,"*OP*")</f>
        <v>0</v>
      </c>
      <c r="BK527" s="349"/>
      <c r="BL527" s="349">
        <f>(COUNTIF(AT527:AV527,"*OK*")*3) + (COUNTIF(AW527:AY527,"*OK*")*2) + COUNTIF(AZ527:BB527,"*OK*")+COUNTIF(BK527:BK527,"SI")*0.5</f>
        <v>0</v>
      </c>
      <c r="BM527" s="349" t="str">
        <f>IF(BL527&lt;0.6,"Demasiado Riesgo",IF(BL527&lt;=5,"Riesgo Medio",IF(BL527&lt;=11,"Riesgo Bajo","Cliente Blindado")))</f>
        <v>Demasiado Riesgo</v>
      </c>
      <c r="BN527" s="349"/>
      <c r="BO527" s="349"/>
      <c r="BP527" s="349"/>
      <c r="BQ527" s="349"/>
      <c r="BR527" s="349"/>
      <c r="BS527" s="349"/>
      <c r="BT527" s="349"/>
      <c r="BU527" s="349"/>
      <c r="BV527" s="349"/>
      <c r="BW527" s="349"/>
      <c r="BX527" s="349"/>
      <c r="BY527" s="349"/>
      <c r="BZ527" s="349"/>
      <c r="CA527" s="349"/>
      <c r="CB527" s="349"/>
      <c r="CC527" s="349"/>
      <c r="CD527" s="349"/>
      <c r="CE527" s="349"/>
      <c r="CF527" s="349"/>
      <c r="CG527" s="349"/>
      <c r="CH527" s="349"/>
      <c r="CI527" s="349"/>
      <c r="CJ527" s="349"/>
      <c r="CK527" s="349"/>
      <c r="CL527" s="349">
        <f>COUNTIF(AT527:BH527,"*OK*")</f>
        <v>0</v>
      </c>
    </row>
    <row r="528" spans="1:90" ht="15" customHeight="1">
      <c r="A528" s="834"/>
      <c r="B528" s="328"/>
      <c r="C528" s="386"/>
      <c r="D528" s="332"/>
      <c r="E528" s="328"/>
      <c r="F528" s="376"/>
      <c r="G528" s="376"/>
      <c r="H528" s="335"/>
      <c r="I528" s="376"/>
      <c r="J528" s="328"/>
      <c r="K528" s="328"/>
      <c r="L528" s="328"/>
      <c r="M528" s="391"/>
      <c r="N528" s="332"/>
      <c r="O528" s="541"/>
      <c r="P528" s="541"/>
      <c r="Q528" s="541"/>
      <c r="R528" s="332"/>
      <c r="S528" s="332"/>
      <c r="T528" s="328"/>
      <c r="U528" s="344"/>
      <c r="V528" s="388"/>
      <c r="W528" s="377"/>
      <c r="X528" s="377"/>
      <c r="Y528" s="378"/>
      <c r="Z528" s="379"/>
      <c r="AA528" s="380"/>
      <c r="AB528" s="380"/>
      <c r="AC528" s="380"/>
      <c r="AD528" s="380"/>
      <c r="AE528" s="327"/>
      <c r="AF528" s="372" t="s">
        <v>103</v>
      </c>
      <c r="AG528" s="344"/>
      <c r="AH528" s="328"/>
      <c r="AI528" s="343"/>
      <c r="AJ528" s="343"/>
      <c r="AK528" s="344"/>
      <c r="AL528" s="372" t="s">
        <v>103</v>
      </c>
      <c r="AM528" s="328"/>
      <c r="AN528" s="328"/>
      <c r="AO528" s="328"/>
      <c r="AP528" s="328"/>
      <c r="AQ528" s="328"/>
      <c r="AR528" s="328"/>
      <c r="AS528" s="328"/>
      <c r="BJ528" s="285">
        <f>COUNTIF(AT528:BI528,"*OP*")</f>
        <v>0</v>
      </c>
      <c r="BK528" s="328"/>
      <c r="BL528" s="328">
        <f>(COUNTIF(AT528:AV528,"*OK*")*3) + (COUNTIF(AW528:AY528,"*OK*")*2) + COUNTIF(AZ528:BB528,"*OK*")+COUNTIF(BK528:BK528,"SI")*0.5</f>
        <v>0</v>
      </c>
      <c r="BM528" s="328" t="str">
        <f>IF(BL528&lt;0.6,"Demasiado Riesgo",IF(BL528&lt;=5,"Riesgo Medio",IF(BL528&lt;=11,"Riesgo Bajo","Cliente Blindado")))</f>
        <v>Demasiado Riesgo</v>
      </c>
      <c r="BN528" s="328"/>
      <c r="BO528" s="328"/>
      <c r="BP528" s="328"/>
      <c r="BQ528" s="328"/>
      <c r="BR528" s="328"/>
      <c r="BS528" s="328"/>
      <c r="BT528" s="328"/>
      <c r="BU528" s="328"/>
      <c r="BV528" s="328"/>
      <c r="BW528" s="328"/>
      <c r="BX528" s="328"/>
      <c r="BY528" s="328"/>
      <c r="BZ528" s="328"/>
      <c r="CA528" s="328"/>
      <c r="CB528" s="328"/>
      <c r="CC528" s="328"/>
      <c r="CD528" s="328"/>
      <c r="CE528" s="328"/>
      <c r="CF528" s="328"/>
      <c r="CG528" s="328"/>
      <c r="CH528" s="328"/>
      <c r="CI528" s="328"/>
      <c r="CJ528" s="328"/>
      <c r="CK528" s="328"/>
      <c r="CL528" s="328">
        <f>COUNTIF(AT528:BH528,"*OK*")</f>
        <v>0</v>
      </c>
    </row>
    <row r="529" spans="1:90" ht="15" customHeight="1">
      <c r="A529" s="835"/>
      <c r="B529" s="349"/>
      <c r="C529" s="385"/>
      <c r="D529" s="352"/>
      <c r="E529" s="349"/>
      <c r="F529" s="368"/>
      <c r="G529" s="368"/>
      <c r="H529" s="335"/>
      <c r="I529" s="368"/>
      <c r="J529" s="349"/>
      <c r="K529" s="349"/>
      <c r="L529" s="349"/>
      <c r="M529" s="553"/>
      <c r="N529" s="352"/>
      <c r="O529" s="540"/>
      <c r="P529" s="540"/>
      <c r="Q529" s="540"/>
      <c r="R529" s="352"/>
      <c r="S529" s="352"/>
      <c r="T529" s="349"/>
      <c r="U529" s="362"/>
      <c r="V529" s="387"/>
      <c r="W529" s="381"/>
      <c r="X529" s="381"/>
      <c r="Y529" s="382"/>
      <c r="Z529" s="383"/>
      <c r="AA529" s="384"/>
      <c r="AB529" s="384"/>
      <c r="AC529" s="384"/>
      <c r="AD529" s="384"/>
      <c r="AE529" s="348"/>
      <c r="AF529" s="371" t="s">
        <v>103</v>
      </c>
      <c r="AG529" s="362"/>
      <c r="AH529" s="349"/>
      <c r="AI529" s="361"/>
      <c r="AJ529" s="361"/>
      <c r="AK529" s="362"/>
      <c r="AL529" s="371" t="s">
        <v>103</v>
      </c>
      <c r="AM529" s="349"/>
      <c r="AN529" s="349"/>
      <c r="AO529" s="349"/>
      <c r="AP529" s="349"/>
      <c r="AQ529" s="349"/>
      <c r="AR529" s="349"/>
      <c r="AS529" s="349"/>
      <c r="BJ529" s="285">
        <f>COUNTIF(AT529:BI529,"*OP*")</f>
        <v>0</v>
      </c>
      <c r="BK529" s="349"/>
      <c r="BL529" s="349">
        <f>(COUNTIF(AT529:AV529,"*OK*")*3) + (COUNTIF(AW529:AY529,"*OK*")*2) + COUNTIF(AZ529:BB529,"*OK*")+COUNTIF(BK529:BK529,"SI")*0.5</f>
        <v>0</v>
      </c>
      <c r="BM529" s="349" t="str">
        <f>IF(BL529&lt;0.6,"Demasiado Riesgo",IF(BL529&lt;=5,"Riesgo Medio",IF(BL529&lt;=11,"Riesgo Bajo","Cliente Blindado")))</f>
        <v>Demasiado Riesgo</v>
      </c>
      <c r="BN529" s="349"/>
      <c r="BO529" s="349"/>
      <c r="BP529" s="349"/>
      <c r="BQ529" s="349"/>
      <c r="BR529" s="349"/>
      <c r="BS529" s="349"/>
      <c r="BT529" s="349"/>
      <c r="BU529" s="349"/>
      <c r="BV529" s="349"/>
      <c r="BW529" s="349"/>
      <c r="BX529" s="349"/>
      <c r="BY529" s="349"/>
      <c r="BZ529" s="349"/>
      <c r="CA529" s="349"/>
      <c r="CB529" s="349"/>
      <c r="CC529" s="349"/>
      <c r="CD529" s="349"/>
      <c r="CE529" s="349"/>
      <c r="CF529" s="349"/>
      <c r="CG529" s="349"/>
      <c r="CH529" s="349"/>
      <c r="CI529" s="349"/>
      <c r="CJ529" s="349"/>
      <c r="CK529" s="349"/>
      <c r="CL529" s="349">
        <f>COUNTIF(AT529:BH529,"*OK*")</f>
        <v>0</v>
      </c>
    </row>
    <row r="530" spans="1:90" ht="15" customHeight="1">
      <c r="A530" s="834"/>
      <c r="B530" s="328"/>
      <c r="C530" s="386"/>
      <c r="D530" s="332"/>
      <c r="E530" s="328"/>
      <c r="F530" s="376"/>
      <c r="G530" s="376"/>
      <c r="H530" s="335"/>
      <c r="I530" s="376"/>
      <c r="J530" s="328"/>
      <c r="K530" s="328"/>
      <c r="L530" s="328"/>
      <c r="M530" s="391"/>
      <c r="N530" s="332"/>
      <c r="O530" s="541"/>
      <c r="P530" s="541"/>
      <c r="Q530" s="541"/>
      <c r="R530" s="332"/>
      <c r="S530" s="332"/>
      <c r="T530" s="328"/>
      <c r="U530" s="344"/>
      <c r="V530" s="388"/>
      <c r="W530" s="377"/>
      <c r="X530" s="377"/>
      <c r="Y530" s="378"/>
      <c r="Z530" s="379"/>
      <c r="AA530" s="380"/>
      <c r="AB530" s="380"/>
      <c r="AC530" s="380"/>
      <c r="AD530" s="380"/>
      <c r="AE530" s="327"/>
      <c r="AF530" s="372" t="s">
        <v>103</v>
      </c>
      <c r="AG530" s="344"/>
      <c r="AH530" s="328"/>
      <c r="AI530" s="343"/>
      <c r="AJ530" s="343"/>
      <c r="AK530" s="344"/>
      <c r="AL530" s="372" t="s">
        <v>103</v>
      </c>
      <c r="AM530" s="328"/>
      <c r="AN530" s="328"/>
      <c r="AO530" s="328"/>
      <c r="AP530" s="328"/>
      <c r="AQ530" s="328"/>
      <c r="AR530" s="328"/>
      <c r="AS530" s="328"/>
      <c r="BJ530" s="285">
        <f>COUNTIF(AT530:BI530,"*OP*")</f>
        <v>0</v>
      </c>
      <c r="BK530" s="328"/>
      <c r="BL530" s="328">
        <f>(COUNTIF(AT530:AV530,"*OK*")*3) + (COUNTIF(AW530:AY530,"*OK*")*2) + COUNTIF(AZ530:BB530,"*OK*")+COUNTIF(BK530:BK530,"SI")*0.5</f>
        <v>0</v>
      </c>
      <c r="BM530" s="328" t="str">
        <f>IF(BL530&lt;0.6,"Demasiado Riesgo",IF(BL530&lt;=5,"Riesgo Medio",IF(BL530&lt;=11,"Riesgo Bajo","Cliente Blindado")))</f>
        <v>Demasiado Riesgo</v>
      </c>
      <c r="BN530" s="328"/>
      <c r="BO530" s="328"/>
      <c r="BP530" s="328"/>
      <c r="BQ530" s="328"/>
      <c r="BR530" s="328"/>
      <c r="BS530" s="328"/>
      <c r="BT530" s="328"/>
      <c r="BU530" s="328"/>
      <c r="BV530" s="328"/>
      <c r="BW530" s="328"/>
      <c r="BX530" s="328"/>
      <c r="BY530" s="328"/>
      <c r="BZ530" s="328"/>
      <c r="CA530" s="328"/>
      <c r="CB530" s="328"/>
      <c r="CC530" s="328"/>
      <c r="CD530" s="328"/>
      <c r="CE530" s="328"/>
      <c r="CF530" s="328"/>
      <c r="CG530" s="328"/>
      <c r="CH530" s="328"/>
      <c r="CI530" s="328"/>
      <c r="CJ530" s="328"/>
      <c r="CK530" s="328"/>
      <c r="CL530" s="328">
        <f>COUNTIF(AT530:BH530,"*OK*")</f>
        <v>0</v>
      </c>
    </row>
    <row r="531" spans="1:90" ht="15" customHeight="1">
      <c r="A531" s="835"/>
      <c r="B531" s="349"/>
      <c r="C531" s="385"/>
      <c r="D531" s="352"/>
      <c r="E531" s="349"/>
      <c r="F531" s="368"/>
      <c r="G531" s="368"/>
      <c r="H531" s="335"/>
      <c r="I531" s="368"/>
      <c r="J531" s="349"/>
      <c r="K531" s="349"/>
      <c r="L531" s="349"/>
      <c r="M531" s="553"/>
      <c r="N531" s="352"/>
      <c r="O531" s="540"/>
      <c r="P531" s="540"/>
      <c r="Q531" s="540"/>
      <c r="R531" s="352"/>
      <c r="S531" s="352"/>
      <c r="T531" s="349"/>
      <c r="U531" s="362"/>
      <c r="V531" s="387"/>
      <c r="W531" s="381"/>
      <c r="X531" s="381"/>
      <c r="Y531" s="382"/>
      <c r="Z531" s="383"/>
      <c r="AA531" s="384"/>
      <c r="AB531" s="384"/>
      <c r="AC531" s="384"/>
      <c r="AD531" s="384"/>
      <c r="AE531" s="348"/>
      <c r="AF531" s="371" t="s">
        <v>103</v>
      </c>
      <c r="AG531" s="362"/>
      <c r="AH531" s="349"/>
      <c r="AI531" s="361"/>
      <c r="AJ531" s="361"/>
      <c r="AK531" s="362"/>
      <c r="AL531" s="371" t="s">
        <v>103</v>
      </c>
      <c r="AM531" s="349"/>
      <c r="AN531" s="349"/>
      <c r="AO531" s="349"/>
      <c r="AP531" s="349"/>
      <c r="AQ531" s="349"/>
      <c r="AR531" s="349"/>
      <c r="AS531" s="349"/>
      <c r="BJ531" s="285">
        <f>COUNTIF(AT531:BI531,"*OP*")</f>
        <v>0</v>
      </c>
      <c r="BK531" s="349"/>
      <c r="BL531" s="349">
        <f>(COUNTIF(AT531:AV531,"*OK*")*3) + (COUNTIF(AW531:AY531,"*OK*")*2) + COUNTIF(AZ531:BB531,"*OK*")+COUNTIF(BK531:BK531,"SI")*0.5</f>
        <v>0</v>
      </c>
      <c r="BM531" s="349" t="str">
        <f>IF(BL531&lt;0.6,"Demasiado Riesgo",IF(BL531&lt;=5,"Riesgo Medio",IF(BL531&lt;=11,"Riesgo Bajo","Cliente Blindado")))</f>
        <v>Demasiado Riesgo</v>
      </c>
      <c r="BN531" s="349"/>
      <c r="BO531" s="349"/>
      <c r="BP531" s="349"/>
      <c r="BQ531" s="349"/>
      <c r="BR531" s="349"/>
      <c r="BS531" s="349"/>
      <c r="BT531" s="349"/>
      <c r="BU531" s="349"/>
      <c r="BV531" s="349"/>
      <c r="BW531" s="349"/>
      <c r="BX531" s="349"/>
      <c r="BY531" s="349"/>
      <c r="BZ531" s="349"/>
      <c r="CA531" s="349"/>
      <c r="CB531" s="349"/>
      <c r="CC531" s="349"/>
      <c r="CD531" s="349"/>
      <c r="CE531" s="349"/>
      <c r="CF531" s="349"/>
      <c r="CG531" s="349"/>
      <c r="CH531" s="349"/>
      <c r="CI531" s="349"/>
      <c r="CJ531" s="349"/>
      <c r="CK531" s="349"/>
      <c r="CL531" s="349">
        <f>COUNTIF(AT531:BH531,"*OK*")</f>
        <v>0</v>
      </c>
    </row>
    <row r="532" spans="1:90" ht="15" customHeight="1">
      <c r="A532" s="834"/>
      <c r="B532" s="328"/>
      <c r="C532" s="386"/>
      <c r="D532" s="332"/>
      <c r="E532" s="328"/>
      <c r="F532" s="376"/>
      <c r="G532" s="376"/>
      <c r="H532" s="335"/>
      <c r="I532" s="376"/>
      <c r="J532" s="328"/>
      <c r="K532" s="328"/>
      <c r="L532" s="328"/>
      <c r="M532" s="391"/>
      <c r="N532" s="332"/>
      <c r="O532" s="541"/>
      <c r="P532" s="541"/>
      <c r="Q532" s="541"/>
      <c r="R532" s="332"/>
      <c r="S532" s="332"/>
      <c r="T532" s="328"/>
      <c r="U532" s="344"/>
      <c r="V532" s="388"/>
      <c r="W532" s="377"/>
      <c r="X532" s="377"/>
      <c r="Y532" s="378"/>
      <c r="Z532" s="379"/>
      <c r="AA532" s="380"/>
      <c r="AB532" s="380"/>
      <c r="AC532" s="380"/>
      <c r="AD532" s="380"/>
      <c r="AE532" s="327"/>
      <c r="AF532" s="372" t="s">
        <v>103</v>
      </c>
      <c r="AG532" s="344"/>
      <c r="AH532" s="328"/>
      <c r="AI532" s="343"/>
      <c r="AJ532" s="343"/>
      <c r="AK532" s="344"/>
      <c r="AL532" s="372" t="s">
        <v>103</v>
      </c>
      <c r="AM532" s="328"/>
      <c r="AN532" s="328"/>
      <c r="AO532" s="328"/>
      <c r="AP532" s="328"/>
      <c r="AQ532" s="328"/>
      <c r="AR532" s="328"/>
      <c r="AS532" s="328"/>
      <c r="BJ532" s="285">
        <f>COUNTIF(AT532:BI532,"*OP*")</f>
        <v>0</v>
      </c>
      <c r="BK532" s="328"/>
      <c r="BL532" s="328">
        <f>(COUNTIF(AT532:AV532,"*OK*")*3) + (COUNTIF(AW532:AY532,"*OK*")*2) + COUNTIF(AZ532:BB532,"*OK*")+COUNTIF(BK532:BK532,"SI")*0.5</f>
        <v>0</v>
      </c>
      <c r="BM532" s="328" t="str">
        <f>IF(BL532&lt;0.6,"Demasiado Riesgo",IF(BL532&lt;=5,"Riesgo Medio",IF(BL532&lt;=11,"Riesgo Bajo","Cliente Blindado")))</f>
        <v>Demasiado Riesgo</v>
      </c>
      <c r="BN532" s="328"/>
      <c r="BO532" s="328"/>
      <c r="BP532" s="328"/>
      <c r="BQ532" s="328"/>
      <c r="BR532" s="328"/>
      <c r="BS532" s="328"/>
      <c r="BT532" s="328"/>
      <c r="BU532" s="328"/>
      <c r="BV532" s="328"/>
      <c r="BW532" s="328"/>
      <c r="BX532" s="328"/>
      <c r="BY532" s="328"/>
      <c r="BZ532" s="328"/>
      <c r="CA532" s="328"/>
      <c r="CB532" s="328"/>
      <c r="CC532" s="328"/>
      <c r="CD532" s="328"/>
      <c r="CE532" s="328"/>
      <c r="CF532" s="328"/>
      <c r="CG532" s="328"/>
      <c r="CH532" s="328"/>
      <c r="CI532" s="328"/>
      <c r="CJ532" s="328"/>
      <c r="CK532" s="328"/>
      <c r="CL532" s="328">
        <f>COUNTIF(AT532:BH532,"*OK*")</f>
        <v>0</v>
      </c>
    </row>
    <row r="533" spans="1:90" ht="15" customHeight="1">
      <c r="A533" s="835"/>
      <c r="B533" s="349"/>
      <c r="C533" s="385"/>
      <c r="D533" s="352"/>
      <c r="E533" s="349"/>
      <c r="F533" s="368"/>
      <c r="G533" s="368"/>
      <c r="H533" s="335"/>
      <c r="I533" s="368"/>
      <c r="J533" s="349"/>
      <c r="K533" s="349"/>
      <c r="L533" s="349"/>
      <c r="M533" s="553"/>
      <c r="N533" s="352"/>
      <c r="O533" s="540"/>
      <c r="P533" s="540"/>
      <c r="Q533" s="540"/>
      <c r="R533" s="352"/>
      <c r="S533" s="352"/>
      <c r="T533" s="349"/>
      <c r="U533" s="362"/>
      <c r="V533" s="387"/>
      <c r="W533" s="381"/>
      <c r="X533" s="381"/>
      <c r="Y533" s="382"/>
      <c r="Z533" s="383"/>
      <c r="AA533" s="384"/>
      <c r="AB533" s="384"/>
      <c r="AC533" s="384"/>
      <c r="AD533" s="384"/>
      <c r="AE533" s="348"/>
      <c r="AF533" s="371" t="s">
        <v>103</v>
      </c>
      <c r="AG533" s="362"/>
      <c r="AH533" s="349"/>
      <c r="AI533" s="361"/>
      <c r="AJ533" s="361"/>
      <c r="AK533" s="362"/>
      <c r="AL533" s="371" t="s">
        <v>103</v>
      </c>
      <c r="AM533" s="349"/>
      <c r="AN533" s="349"/>
      <c r="AO533" s="349"/>
      <c r="AP533" s="349"/>
      <c r="AQ533" s="349"/>
      <c r="AR533" s="349"/>
      <c r="AS533" s="349"/>
      <c r="BJ533" s="285">
        <f>COUNTIF(AT533:BI533,"*OP*")</f>
        <v>0</v>
      </c>
      <c r="BK533" s="349"/>
      <c r="BL533" s="349">
        <f>(COUNTIF(AT533:AV533,"*OK*")*3) + (COUNTIF(AW533:AY533,"*OK*")*2) + COUNTIF(AZ533:BB533,"*OK*")+COUNTIF(BK533:BK533,"SI")*0.5</f>
        <v>0</v>
      </c>
      <c r="BM533" s="349" t="str">
        <f>IF(BL533&lt;0.6,"Demasiado Riesgo",IF(BL533&lt;=5,"Riesgo Medio",IF(BL533&lt;=11,"Riesgo Bajo","Cliente Blindado")))</f>
        <v>Demasiado Riesgo</v>
      </c>
      <c r="BN533" s="349"/>
      <c r="BO533" s="349"/>
      <c r="BP533" s="349"/>
      <c r="BQ533" s="349"/>
      <c r="BR533" s="349"/>
      <c r="BS533" s="349"/>
      <c r="BT533" s="349"/>
      <c r="BU533" s="349"/>
      <c r="BV533" s="349"/>
      <c r="BW533" s="349"/>
      <c r="BX533" s="349"/>
      <c r="BY533" s="349"/>
      <c r="BZ533" s="349"/>
      <c r="CA533" s="349"/>
      <c r="CB533" s="349"/>
      <c r="CC533" s="349"/>
      <c r="CD533" s="349"/>
      <c r="CE533" s="349"/>
      <c r="CF533" s="349"/>
      <c r="CG533" s="349"/>
      <c r="CH533" s="349"/>
      <c r="CI533" s="349"/>
      <c r="CJ533" s="349"/>
      <c r="CK533" s="349"/>
      <c r="CL533" s="349">
        <f>COUNTIF(AT533:BH533,"*OK*")</f>
        <v>0</v>
      </c>
    </row>
    <row r="534" spans="1:90" ht="15" customHeight="1">
      <c r="A534" s="834"/>
      <c r="B534" s="328"/>
      <c r="C534" s="386"/>
      <c r="D534" s="332"/>
      <c r="E534" s="328"/>
      <c r="F534" s="376"/>
      <c r="G534" s="376"/>
      <c r="H534" s="335"/>
      <c r="I534" s="376"/>
      <c r="J534" s="328"/>
      <c r="K534" s="328"/>
      <c r="L534" s="328"/>
      <c r="M534" s="391"/>
      <c r="N534" s="332"/>
      <c r="O534" s="541"/>
      <c r="P534" s="541"/>
      <c r="Q534" s="541"/>
      <c r="R534" s="332"/>
      <c r="S534" s="332"/>
      <c r="T534" s="328"/>
      <c r="U534" s="344"/>
      <c r="V534" s="388"/>
      <c r="W534" s="377"/>
      <c r="X534" s="377"/>
      <c r="Y534" s="378"/>
      <c r="Z534" s="379"/>
      <c r="AA534" s="380"/>
      <c r="AB534" s="380"/>
      <c r="AC534" s="380"/>
      <c r="AD534" s="380"/>
      <c r="AE534" s="327"/>
      <c r="AF534" s="372" t="s">
        <v>103</v>
      </c>
      <c r="AG534" s="344"/>
      <c r="AH534" s="328"/>
      <c r="AI534" s="343"/>
      <c r="AJ534" s="343"/>
      <c r="AK534" s="344"/>
      <c r="AL534" s="372" t="s">
        <v>103</v>
      </c>
      <c r="AM534" s="328"/>
      <c r="AN534" s="328"/>
      <c r="AO534" s="328"/>
      <c r="AP534" s="328"/>
      <c r="AQ534" s="328"/>
      <c r="AR534" s="328"/>
      <c r="AS534" s="328"/>
      <c r="BJ534" s="285">
        <f>COUNTIF(AT534:BI534,"*OP*")</f>
        <v>0</v>
      </c>
      <c r="BK534" s="328"/>
      <c r="BL534" s="328">
        <f>(COUNTIF(AT534:AV534,"*OK*")*3) + (COUNTIF(AW534:AY534,"*OK*")*2) + COUNTIF(AZ534:BB534,"*OK*")+COUNTIF(BK534:BK534,"SI")*0.5</f>
        <v>0</v>
      </c>
      <c r="BM534" s="328" t="str">
        <f>IF(BL534&lt;0.6,"Demasiado Riesgo",IF(BL534&lt;=5,"Riesgo Medio",IF(BL534&lt;=11,"Riesgo Bajo","Cliente Blindado")))</f>
        <v>Demasiado Riesgo</v>
      </c>
      <c r="BN534" s="328"/>
      <c r="BO534" s="328"/>
      <c r="BP534" s="328"/>
      <c r="BQ534" s="328"/>
      <c r="BR534" s="328"/>
      <c r="BS534" s="328"/>
      <c r="BT534" s="328"/>
      <c r="BU534" s="328"/>
      <c r="BV534" s="328"/>
      <c r="BW534" s="328"/>
      <c r="BX534" s="328"/>
      <c r="BY534" s="328"/>
      <c r="BZ534" s="328"/>
      <c r="CA534" s="328"/>
      <c r="CB534" s="328"/>
      <c r="CC534" s="328"/>
      <c r="CD534" s="328"/>
      <c r="CE534" s="328"/>
      <c r="CF534" s="328"/>
      <c r="CG534" s="328"/>
      <c r="CH534" s="328"/>
      <c r="CI534" s="328"/>
      <c r="CJ534" s="328"/>
      <c r="CK534" s="328"/>
      <c r="CL534" s="328">
        <f>COUNTIF(AT534:BH534,"*OK*")</f>
        <v>0</v>
      </c>
    </row>
    <row r="535" spans="1:90" ht="15" customHeight="1">
      <c r="A535" s="835"/>
      <c r="B535" s="349"/>
      <c r="C535" s="385"/>
      <c r="D535" s="352"/>
      <c r="E535" s="349"/>
      <c r="F535" s="368"/>
      <c r="G535" s="368"/>
      <c r="H535" s="335"/>
      <c r="I535" s="368"/>
      <c r="J535" s="349"/>
      <c r="K535" s="349"/>
      <c r="L535" s="349"/>
      <c r="M535" s="553"/>
      <c r="N535" s="352"/>
      <c r="O535" s="540"/>
      <c r="P535" s="540"/>
      <c r="Q535" s="540"/>
      <c r="R535" s="352"/>
      <c r="S535" s="352"/>
      <c r="T535" s="349"/>
      <c r="U535" s="362"/>
      <c r="V535" s="387"/>
      <c r="W535" s="381"/>
      <c r="X535" s="381"/>
      <c r="Y535" s="382"/>
      <c r="Z535" s="383"/>
      <c r="AA535" s="384"/>
      <c r="AB535" s="384"/>
      <c r="AC535" s="384"/>
      <c r="AD535" s="384"/>
      <c r="AE535" s="348"/>
      <c r="AF535" s="371" t="s">
        <v>103</v>
      </c>
      <c r="AG535" s="362"/>
      <c r="AH535" s="349"/>
      <c r="AI535" s="361"/>
      <c r="AJ535" s="361"/>
      <c r="AK535" s="362"/>
      <c r="AL535" s="371" t="s">
        <v>103</v>
      </c>
      <c r="AM535" s="349"/>
      <c r="AN535" s="349"/>
      <c r="AO535" s="349"/>
      <c r="AP535" s="349"/>
      <c r="AQ535" s="349"/>
      <c r="AR535" s="349"/>
      <c r="AS535" s="349"/>
      <c r="BJ535" s="285">
        <f>COUNTIF(AT535:BI535,"*OP*")</f>
        <v>0</v>
      </c>
      <c r="BK535" s="349"/>
      <c r="BL535" s="349">
        <f>(COUNTIF(AT535:AV535,"*OK*")*3) + (COUNTIF(AW535:AY535,"*OK*")*2) + COUNTIF(AZ535:BB535,"*OK*")+COUNTIF(BK535:BK535,"SI")*0.5</f>
        <v>0</v>
      </c>
      <c r="BM535" s="349" t="str">
        <f>IF(BL535&lt;0.6,"Demasiado Riesgo",IF(BL535&lt;=5,"Riesgo Medio",IF(BL535&lt;=11,"Riesgo Bajo","Cliente Blindado")))</f>
        <v>Demasiado Riesgo</v>
      </c>
      <c r="BN535" s="349"/>
      <c r="BO535" s="349"/>
      <c r="BP535" s="349"/>
      <c r="BQ535" s="349"/>
      <c r="BR535" s="349"/>
      <c r="BS535" s="349"/>
      <c r="BT535" s="349"/>
      <c r="BU535" s="349"/>
      <c r="BV535" s="349"/>
      <c r="BW535" s="349"/>
      <c r="BX535" s="349"/>
      <c r="BY535" s="349"/>
      <c r="BZ535" s="349"/>
      <c r="CA535" s="349"/>
      <c r="CB535" s="349"/>
      <c r="CC535" s="349"/>
      <c r="CD535" s="349"/>
      <c r="CE535" s="349"/>
      <c r="CF535" s="349"/>
      <c r="CG535" s="349"/>
      <c r="CH535" s="349"/>
      <c r="CI535" s="349"/>
      <c r="CJ535" s="349"/>
      <c r="CK535" s="349"/>
      <c r="CL535" s="349">
        <f>COUNTIF(AT535:BH535,"*OK*")</f>
        <v>0</v>
      </c>
    </row>
    <row r="536" spans="1:90" ht="15" customHeight="1">
      <c r="A536" s="834"/>
      <c r="B536" s="328"/>
      <c r="C536" s="386"/>
      <c r="D536" s="332"/>
      <c r="E536" s="328"/>
      <c r="F536" s="376"/>
      <c r="G536" s="376"/>
      <c r="H536" s="335"/>
      <c r="I536" s="376"/>
      <c r="J536" s="328"/>
      <c r="K536" s="328"/>
      <c r="L536" s="328"/>
      <c r="M536" s="391"/>
      <c r="N536" s="332"/>
      <c r="O536" s="541"/>
      <c r="P536" s="541"/>
      <c r="Q536" s="541"/>
      <c r="R536" s="332"/>
      <c r="S536" s="332"/>
      <c r="T536" s="328"/>
      <c r="U536" s="344"/>
      <c r="V536" s="388"/>
      <c r="W536" s="377"/>
      <c r="X536" s="377"/>
      <c r="Y536" s="378"/>
      <c r="Z536" s="379"/>
      <c r="AA536" s="380"/>
      <c r="AB536" s="380"/>
      <c r="AC536" s="380"/>
      <c r="AD536" s="380"/>
      <c r="AE536" s="327"/>
      <c r="AF536" s="372" t="s">
        <v>103</v>
      </c>
      <c r="AG536" s="344"/>
      <c r="AH536" s="328"/>
      <c r="AI536" s="343"/>
      <c r="AJ536" s="343"/>
      <c r="AK536" s="344"/>
      <c r="AL536" s="372" t="s">
        <v>103</v>
      </c>
      <c r="AM536" s="328"/>
      <c r="AN536" s="328"/>
      <c r="AO536" s="328"/>
      <c r="AP536" s="328"/>
      <c r="AQ536" s="328"/>
      <c r="AR536" s="328"/>
      <c r="AS536" s="328"/>
      <c r="BJ536" s="285">
        <f>COUNTIF(AT536:BI536,"*OP*")</f>
        <v>0</v>
      </c>
      <c r="BK536" s="328"/>
      <c r="BL536" s="328">
        <f>(COUNTIF(AT536:AV536,"*OK*")*3) + (COUNTIF(AW536:AY536,"*OK*")*2) + COUNTIF(AZ536:BB536,"*OK*")+COUNTIF(BK536:BK536,"SI")*0.5</f>
        <v>0</v>
      </c>
      <c r="BM536" s="328" t="str">
        <f>IF(BL536&lt;0.6,"Demasiado Riesgo",IF(BL536&lt;=5,"Riesgo Medio",IF(BL536&lt;=11,"Riesgo Bajo","Cliente Blindado")))</f>
        <v>Demasiado Riesgo</v>
      </c>
      <c r="BN536" s="328"/>
      <c r="BO536" s="328"/>
      <c r="BP536" s="328"/>
      <c r="BQ536" s="328"/>
      <c r="BR536" s="328"/>
      <c r="BS536" s="328"/>
      <c r="BT536" s="328"/>
      <c r="BU536" s="328"/>
      <c r="BV536" s="328"/>
      <c r="BW536" s="328"/>
      <c r="BX536" s="328"/>
      <c r="BY536" s="328"/>
      <c r="BZ536" s="328"/>
      <c r="CA536" s="328"/>
      <c r="CB536" s="328"/>
      <c r="CC536" s="328"/>
      <c r="CD536" s="328"/>
      <c r="CE536" s="328"/>
      <c r="CF536" s="328"/>
      <c r="CG536" s="328"/>
      <c r="CH536" s="328"/>
      <c r="CI536" s="328"/>
      <c r="CJ536" s="328"/>
      <c r="CK536" s="328"/>
      <c r="CL536" s="328">
        <f>COUNTIF(AT536:BH536,"*OK*")</f>
        <v>0</v>
      </c>
    </row>
    <row r="537" spans="1:90" ht="15" customHeight="1">
      <c r="A537" s="835"/>
      <c r="B537" s="349"/>
      <c r="C537" s="385"/>
      <c r="D537" s="352"/>
      <c r="E537" s="349"/>
      <c r="F537" s="368"/>
      <c r="G537" s="368"/>
      <c r="H537" s="335"/>
      <c r="I537" s="368"/>
      <c r="J537" s="349"/>
      <c r="K537" s="349"/>
      <c r="L537" s="349"/>
      <c r="M537" s="553"/>
      <c r="N537" s="352"/>
      <c r="O537" s="540"/>
      <c r="P537" s="540"/>
      <c r="Q537" s="540"/>
      <c r="R537" s="352"/>
      <c r="S537" s="352"/>
      <c r="T537" s="349"/>
      <c r="U537" s="362"/>
      <c r="V537" s="387"/>
      <c r="W537" s="381"/>
      <c r="X537" s="381"/>
      <c r="Y537" s="382"/>
      <c r="Z537" s="383"/>
      <c r="AA537" s="384"/>
      <c r="AB537" s="384"/>
      <c r="AC537" s="384"/>
      <c r="AD537" s="384"/>
      <c r="AE537" s="348"/>
      <c r="AF537" s="371" t="s">
        <v>103</v>
      </c>
      <c r="AG537" s="362"/>
      <c r="AH537" s="349"/>
      <c r="AI537" s="361"/>
      <c r="AJ537" s="361"/>
      <c r="AK537" s="362"/>
      <c r="AL537" s="371" t="s">
        <v>103</v>
      </c>
      <c r="AM537" s="349"/>
      <c r="AN537" s="349"/>
      <c r="AO537" s="349"/>
      <c r="AP537" s="349"/>
      <c r="AQ537" s="349"/>
      <c r="AR537" s="349"/>
      <c r="AS537" s="349"/>
      <c r="BJ537" s="285">
        <f>COUNTIF(AT537:BI537,"*OP*")</f>
        <v>0</v>
      </c>
      <c r="BK537" s="349"/>
      <c r="BL537" s="349">
        <f>(COUNTIF(AT537:AV537,"*OK*")*3) + (COUNTIF(AW537:AY537,"*OK*")*2) + COUNTIF(AZ537:BB537,"*OK*")+COUNTIF(BK537:BK537,"SI")*0.5</f>
        <v>0</v>
      </c>
      <c r="BM537" s="349" t="str">
        <f>IF(BL537&lt;0.6,"Demasiado Riesgo",IF(BL537&lt;=5,"Riesgo Medio",IF(BL537&lt;=11,"Riesgo Bajo","Cliente Blindado")))</f>
        <v>Demasiado Riesgo</v>
      </c>
      <c r="BN537" s="349"/>
      <c r="BO537" s="349"/>
      <c r="BP537" s="349"/>
      <c r="BQ537" s="349"/>
      <c r="BR537" s="349"/>
      <c r="BS537" s="349"/>
      <c r="BT537" s="349"/>
      <c r="BU537" s="349"/>
      <c r="BV537" s="349"/>
      <c r="BW537" s="349"/>
      <c r="BX537" s="349"/>
      <c r="BY537" s="349"/>
      <c r="BZ537" s="349"/>
      <c r="CA537" s="349"/>
      <c r="CB537" s="349"/>
      <c r="CC537" s="349"/>
      <c r="CD537" s="349"/>
      <c r="CE537" s="349"/>
      <c r="CF537" s="349"/>
      <c r="CG537" s="349"/>
      <c r="CH537" s="349"/>
      <c r="CI537" s="349"/>
      <c r="CJ537" s="349"/>
      <c r="CK537" s="349"/>
      <c r="CL537" s="349">
        <f>COUNTIF(AT537:BH537,"*OK*")</f>
        <v>0</v>
      </c>
    </row>
    <row r="538" spans="1:90" ht="15" customHeight="1">
      <c r="A538" s="834"/>
      <c r="B538" s="328"/>
      <c r="C538" s="386"/>
      <c r="D538" s="332"/>
      <c r="E538" s="328"/>
      <c r="F538" s="376"/>
      <c r="G538" s="376"/>
      <c r="H538" s="335"/>
      <c r="I538" s="376"/>
      <c r="J538" s="328"/>
      <c r="K538" s="328"/>
      <c r="L538" s="328"/>
      <c r="M538" s="391"/>
      <c r="N538" s="332"/>
      <c r="O538" s="541"/>
      <c r="P538" s="541"/>
      <c r="Q538" s="541"/>
      <c r="R538" s="332"/>
      <c r="S538" s="332"/>
      <c r="T538" s="328"/>
      <c r="U538" s="344"/>
      <c r="V538" s="388"/>
      <c r="W538" s="377"/>
      <c r="X538" s="377"/>
      <c r="Y538" s="378"/>
      <c r="Z538" s="379"/>
      <c r="AA538" s="380"/>
      <c r="AB538" s="380"/>
      <c r="AC538" s="380"/>
      <c r="AD538" s="380"/>
      <c r="AE538" s="327"/>
      <c r="AF538" s="372" t="s">
        <v>103</v>
      </c>
      <c r="AG538" s="344"/>
      <c r="AH538" s="328"/>
      <c r="AI538" s="343"/>
      <c r="AJ538" s="343"/>
      <c r="AK538" s="344"/>
      <c r="AL538" s="372" t="s">
        <v>103</v>
      </c>
      <c r="AM538" s="328"/>
      <c r="AN538" s="328"/>
      <c r="AO538" s="328"/>
      <c r="AP538" s="328"/>
      <c r="AQ538" s="328"/>
      <c r="AR538" s="328"/>
      <c r="AS538" s="328"/>
      <c r="BJ538" s="285">
        <f>COUNTIF(AT538:BI538,"*OP*")</f>
        <v>0</v>
      </c>
      <c r="BK538" s="328"/>
      <c r="BL538" s="328">
        <f>(COUNTIF(AT538:AV538,"*OK*")*3) + (COUNTIF(AW538:AY538,"*OK*")*2) + COUNTIF(AZ538:BB538,"*OK*")+COUNTIF(BK538:BK538,"SI")*0.5</f>
        <v>0</v>
      </c>
      <c r="BM538" s="328" t="str">
        <f>IF(BL538&lt;0.6,"Demasiado Riesgo",IF(BL538&lt;=5,"Riesgo Medio",IF(BL538&lt;=11,"Riesgo Bajo","Cliente Blindado")))</f>
        <v>Demasiado Riesgo</v>
      </c>
      <c r="BN538" s="328"/>
      <c r="BO538" s="328"/>
      <c r="BP538" s="328"/>
      <c r="BQ538" s="328"/>
      <c r="BR538" s="328"/>
      <c r="BS538" s="328"/>
      <c r="BT538" s="328"/>
      <c r="BU538" s="328"/>
      <c r="BV538" s="328"/>
      <c r="BW538" s="328"/>
      <c r="BX538" s="328"/>
      <c r="BY538" s="328"/>
      <c r="BZ538" s="328"/>
      <c r="CA538" s="328"/>
      <c r="CB538" s="328"/>
      <c r="CC538" s="328"/>
      <c r="CD538" s="328"/>
      <c r="CE538" s="328"/>
      <c r="CF538" s="328"/>
      <c r="CG538" s="328"/>
      <c r="CH538" s="328"/>
      <c r="CI538" s="328"/>
      <c r="CJ538" s="328"/>
      <c r="CK538" s="328"/>
      <c r="CL538" s="328">
        <f>COUNTIF(AT538:BH538,"*OK*")</f>
        <v>0</v>
      </c>
    </row>
    <row r="539" spans="1:90" ht="15" customHeight="1">
      <c r="A539" s="835"/>
      <c r="B539" s="349"/>
      <c r="C539" s="385"/>
      <c r="D539" s="352"/>
      <c r="E539" s="349"/>
      <c r="F539" s="368"/>
      <c r="G539" s="368"/>
      <c r="H539" s="335"/>
      <c r="I539" s="368"/>
      <c r="J539" s="349"/>
      <c r="K539" s="349"/>
      <c r="L539" s="349"/>
      <c r="M539" s="553"/>
      <c r="N539" s="352"/>
      <c r="O539" s="540"/>
      <c r="P539" s="540"/>
      <c r="Q539" s="540"/>
      <c r="R539" s="352"/>
      <c r="S539" s="352"/>
      <c r="T539" s="349"/>
      <c r="U539" s="362"/>
      <c r="V539" s="387"/>
      <c r="W539" s="381"/>
      <c r="X539" s="381"/>
      <c r="Y539" s="382"/>
      <c r="Z539" s="383"/>
      <c r="AA539" s="384"/>
      <c r="AB539" s="384"/>
      <c r="AC539" s="384"/>
      <c r="AD539" s="384"/>
      <c r="AE539" s="348"/>
      <c r="AF539" s="371" t="s">
        <v>103</v>
      </c>
      <c r="AG539" s="362"/>
      <c r="AH539" s="349"/>
      <c r="AI539" s="361"/>
      <c r="AJ539" s="361"/>
      <c r="AK539" s="362"/>
      <c r="AL539" s="371" t="s">
        <v>103</v>
      </c>
      <c r="AM539" s="349"/>
      <c r="AN539" s="349"/>
      <c r="AO539" s="349"/>
      <c r="AP539" s="349"/>
      <c r="AQ539" s="349"/>
      <c r="AR539" s="349"/>
      <c r="AS539" s="349"/>
      <c r="BJ539" s="285">
        <f>COUNTIF(AT539:BI539,"*OP*")</f>
        <v>0</v>
      </c>
      <c r="BK539" s="349"/>
      <c r="BL539" s="349">
        <f>(COUNTIF(AT539:AV539,"*OK*")*3) + (COUNTIF(AW539:AY539,"*OK*")*2) + COUNTIF(AZ539:BB539,"*OK*")+COUNTIF(BK539:BK539,"SI")*0.5</f>
        <v>0</v>
      </c>
      <c r="BM539" s="349" t="str">
        <f>IF(BL539&lt;0.6,"Demasiado Riesgo",IF(BL539&lt;=5,"Riesgo Medio",IF(BL539&lt;=11,"Riesgo Bajo","Cliente Blindado")))</f>
        <v>Demasiado Riesgo</v>
      </c>
      <c r="BN539" s="349"/>
      <c r="BO539" s="349"/>
      <c r="BP539" s="349"/>
      <c r="BQ539" s="349"/>
      <c r="BR539" s="349"/>
      <c r="BS539" s="349"/>
      <c r="BT539" s="349"/>
      <c r="BU539" s="349"/>
      <c r="BV539" s="349"/>
      <c r="BW539" s="349"/>
      <c r="BX539" s="349"/>
      <c r="BY539" s="349"/>
      <c r="BZ539" s="349"/>
      <c r="CA539" s="349"/>
      <c r="CB539" s="349"/>
      <c r="CC539" s="349"/>
      <c r="CD539" s="349"/>
      <c r="CE539" s="349"/>
      <c r="CF539" s="349"/>
      <c r="CG539" s="349"/>
      <c r="CH539" s="349"/>
      <c r="CI539" s="349"/>
      <c r="CJ539" s="349"/>
      <c r="CK539" s="349"/>
      <c r="CL539" s="349">
        <f>COUNTIF(AT539:BH539,"*OK*")</f>
        <v>0</v>
      </c>
    </row>
    <row r="540" spans="1:90" ht="15" customHeight="1">
      <c r="A540" s="834"/>
      <c r="B540" s="328"/>
      <c r="C540" s="386"/>
      <c r="D540" s="332"/>
      <c r="E540" s="328"/>
      <c r="F540" s="376"/>
      <c r="G540" s="376"/>
      <c r="H540" s="335"/>
      <c r="I540" s="376"/>
      <c r="J540" s="328"/>
      <c r="K540" s="328"/>
      <c r="L540" s="328"/>
      <c r="M540" s="391"/>
      <c r="N540" s="332"/>
      <c r="O540" s="541"/>
      <c r="P540" s="541"/>
      <c r="Q540" s="541"/>
      <c r="R540" s="332"/>
      <c r="S540" s="332"/>
      <c r="T540" s="328"/>
      <c r="U540" s="344"/>
      <c r="V540" s="388"/>
      <c r="W540" s="377"/>
      <c r="X540" s="377"/>
      <c r="Y540" s="378"/>
      <c r="Z540" s="379"/>
      <c r="AA540" s="380"/>
      <c r="AB540" s="380"/>
      <c r="AC540" s="380"/>
      <c r="AD540" s="380"/>
      <c r="AE540" s="327"/>
      <c r="AF540" s="372" t="s">
        <v>103</v>
      </c>
      <c r="AG540" s="344"/>
      <c r="AH540" s="328"/>
      <c r="AI540" s="343"/>
      <c r="AJ540" s="343"/>
      <c r="AK540" s="344"/>
      <c r="AL540" s="372" t="s">
        <v>103</v>
      </c>
      <c r="AM540" s="328"/>
      <c r="AN540" s="328"/>
      <c r="AO540" s="328"/>
      <c r="AP540" s="328"/>
      <c r="AQ540" s="328"/>
      <c r="AR540" s="328"/>
      <c r="AS540" s="328"/>
      <c r="BJ540" s="285">
        <f>COUNTIF(AT540:BI540,"*OP*")</f>
        <v>0</v>
      </c>
      <c r="BK540" s="328"/>
      <c r="BL540" s="328">
        <f>(COUNTIF(AT540:AV540,"*OK*")*3) + (COUNTIF(AW540:AY540,"*OK*")*2) + COUNTIF(AZ540:BB540,"*OK*")+COUNTIF(BK540:BK540,"SI")*0.5</f>
        <v>0</v>
      </c>
      <c r="BM540" s="328" t="str">
        <f>IF(BL540&lt;0.6,"Demasiado Riesgo",IF(BL540&lt;=5,"Riesgo Medio",IF(BL540&lt;=11,"Riesgo Bajo","Cliente Blindado")))</f>
        <v>Demasiado Riesgo</v>
      </c>
      <c r="BN540" s="328"/>
      <c r="BO540" s="328"/>
      <c r="BP540" s="328"/>
      <c r="BQ540" s="328"/>
      <c r="BR540" s="328"/>
      <c r="BS540" s="328"/>
      <c r="BT540" s="328"/>
      <c r="BU540" s="328"/>
      <c r="BV540" s="328"/>
      <c r="BW540" s="328"/>
      <c r="BX540" s="328"/>
      <c r="BY540" s="328"/>
      <c r="BZ540" s="328"/>
      <c r="CA540" s="328"/>
      <c r="CB540" s="328"/>
      <c r="CC540" s="328"/>
      <c r="CD540" s="328"/>
      <c r="CE540" s="328"/>
      <c r="CF540" s="328"/>
      <c r="CG540" s="328"/>
      <c r="CH540" s="328"/>
      <c r="CI540" s="328"/>
      <c r="CJ540" s="328"/>
      <c r="CK540" s="328"/>
      <c r="CL540" s="328">
        <f>COUNTIF(AT540:BH540,"*OK*")</f>
        <v>0</v>
      </c>
    </row>
    <row r="541" spans="1:90" ht="15" customHeight="1">
      <c r="A541" s="835"/>
      <c r="B541" s="349"/>
      <c r="C541" s="385"/>
      <c r="D541" s="352"/>
      <c r="E541" s="349"/>
      <c r="F541" s="368"/>
      <c r="G541" s="368"/>
      <c r="H541" s="335"/>
      <c r="I541" s="368"/>
      <c r="J541" s="349"/>
      <c r="K541" s="349"/>
      <c r="L541" s="349"/>
      <c r="M541" s="553"/>
      <c r="N541" s="352"/>
      <c r="O541" s="540"/>
      <c r="P541" s="540"/>
      <c r="Q541" s="540"/>
      <c r="R541" s="352"/>
      <c r="S541" s="352"/>
      <c r="T541" s="349"/>
      <c r="U541" s="362"/>
      <c r="V541" s="387"/>
      <c r="W541" s="381"/>
      <c r="X541" s="381"/>
      <c r="Y541" s="382"/>
      <c r="Z541" s="383"/>
      <c r="AA541" s="384"/>
      <c r="AB541" s="384"/>
      <c r="AC541" s="384"/>
      <c r="AD541" s="384"/>
      <c r="AE541" s="348"/>
      <c r="AF541" s="371" t="s">
        <v>103</v>
      </c>
      <c r="AG541" s="362"/>
      <c r="AH541" s="349"/>
      <c r="AI541" s="361"/>
      <c r="AJ541" s="361"/>
      <c r="AK541" s="362"/>
      <c r="AL541" s="371" t="s">
        <v>103</v>
      </c>
      <c r="AM541" s="349"/>
      <c r="AN541" s="349"/>
      <c r="AO541" s="349"/>
      <c r="AP541" s="349"/>
      <c r="AQ541" s="349"/>
      <c r="AR541" s="349"/>
      <c r="AS541" s="349"/>
      <c r="BJ541" s="285">
        <f>COUNTIF(AT541:BI541,"*OP*")</f>
        <v>0</v>
      </c>
      <c r="BK541" s="349"/>
      <c r="BL541" s="349">
        <f>(COUNTIF(AT541:AV541,"*OK*")*3) + (COUNTIF(AW541:AY541,"*OK*")*2) + COUNTIF(AZ541:BB541,"*OK*")+COUNTIF(BK541:BK541,"SI")*0.5</f>
        <v>0</v>
      </c>
      <c r="BM541" s="349" t="str">
        <f>IF(BL541&lt;0.6,"Demasiado Riesgo",IF(BL541&lt;=5,"Riesgo Medio",IF(BL541&lt;=11,"Riesgo Bajo","Cliente Blindado")))</f>
        <v>Demasiado Riesgo</v>
      </c>
      <c r="BN541" s="349"/>
      <c r="BO541" s="349"/>
      <c r="BP541" s="349"/>
      <c r="BQ541" s="349"/>
      <c r="BR541" s="349"/>
      <c r="BS541" s="349"/>
      <c r="BT541" s="349"/>
      <c r="BU541" s="349"/>
      <c r="BV541" s="349"/>
      <c r="BW541" s="349"/>
      <c r="BX541" s="349"/>
      <c r="BY541" s="349"/>
      <c r="BZ541" s="349"/>
      <c r="CA541" s="349"/>
      <c r="CB541" s="349"/>
      <c r="CC541" s="349"/>
      <c r="CD541" s="349"/>
      <c r="CE541" s="349"/>
      <c r="CF541" s="349"/>
      <c r="CG541" s="349"/>
      <c r="CH541" s="349"/>
      <c r="CI541" s="349"/>
      <c r="CJ541" s="349"/>
      <c r="CK541" s="349"/>
      <c r="CL541" s="349">
        <f>COUNTIF(AT541:BH541,"*OK*")</f>
        <v>0</v>
      </c>
    </row>
    <row r="542" spans="1:90" ht="15" customHeight="1">
      <c r="A542" s="834"/>
      <c r="B542" s="328"/>
      <c r="C542" s="386"/>
      <c r="D542" s="332"/>
      <c r="E542" s="328"/>
      <c r="F542" s="376"/>
      <c r="G542" s="376"/>
      <c r="H542" s="335"/>
      <c r="I542" s="376"/>
      <c r="J542" s="328"/>
      <c r="K542" s="328"/>
      <c r="L542" s="328"/>
      <c r="M542" s="391"/>
      <c r="N542" s="332"/>
      <c r="O542" s="541"/>
      <c r="P542" s="541"/>
      <c r="Q542" s="541"/>
      <c r="R542" s="332"/>
      <c r="S542" s="332"/>
      <c r="T542" s="328"/>
      <c r="U542" s="344"/>
      <c r="V542" s="388"/>
      <c r="W542" s="377"/>
      <c r="X542" s="377"/>
      <c r="Y542" s="378"/>
      <c r="Z542" s="379"/>
      <c r="AA542" s="380"/>
      <c r="AB542" s="380"/>
      <c r="AC542" s="380"/>
      <c r="AD542" s="380"/>
      <c r="AE542" s="327"/>
      <c r="AF542" s="372" t="s">
        <v>103</v>
      </c>
      <c r="AG542" s="344"/>
      <c r="AH542" s="328"/>
      <c r="AI542" s="343"/>
      <c r="AJ542" s="343"/>
      <c r="AK542" s="344"/>
      <c r="AL542" s="372" t="s">
        <v>103</v>
      </c>
      <c r="AM542" s="328"/>
      <c r="AN542" s="328"/>
      <c r="AO542" s="328"/>
      <c r="AP542" s="328"/>
      <c r="AQ542" s="328"/>
      <c r="AR542" s="328"/>
      <c r="AS542" s="328"/>
      <c r="BJ542" s="285">
        <f>COUNTIF(AT542:BI542,"*OP*")</f>
        <v>0</v>
      </c>
      <c r="BK542" s="328"/>
      <c r="BL542" s="328">
        <f>(COUNTIF(AT542:AV542,"*OK*")*3) + (COUNTIF(AW542:AY542,"*OK*")*2) + COUNTIF(AZ542:BB542,"*OK*")+COUNTIF(BK542:BK542,"SI")*0.5</f>
        <v>0</v>
      </c>
      <c r="BM542" s="328" t="str">
        <f>IF(BL542&lt;0.6,"Demasiado Riesgo",IF(BL542&lt;=5,"Riesgo Medio",IF(BL542&lt;=11,"Riesgo Bajo","Cliente Blindado")))</f>
        <v>Demasiado Riesgo</v>
      </c>
      <c r="BN542" s="328"/>
      <c r="BO542" s="328"/>
      <c r="BP542" s="328"/>
      <c r="BQ542" s="328"/>
      <c r="BR542" s="328"/>
      <c r="BS542" s="328"/>
      <c r="BT542" s="328"/>
      <c r="BU542" s="328"/>
      <c r="BV542" s="328"/>
      <c r="BW542" s="328"/>
      <c r="BX542" s="328"/>
      <c r="BY542" s="328"/>
      <c r="BZ542" s="328"/>
      <c r="CA542" s="328"/>
      <c r="CB542" s="328"/>
      <c r="CC542" s="328"/>
      <c r="CD542" s="328"/>
      <c r="CE542" s="328"/>
      <c r="CF542" s="328"/>
      <c r="CG542" s="328"/>
      <c r="CH542" s="328"/>
      <c r="CI542" s="328"/>
      <c r="CJ542" s="328"/>
      <c r="CK542" s="328"/>
      <c r="CL542" s="328">
        <f>COUNTIF(AT542:BH542,"*OK*")</f>
        <v>0</v>
      </c>
    </row>
    <row r="543" spans="1:90" ht="15" customHeight="1">
      <c r="A543" s="835"/>
      <c r="B543" s="349"/>
      <c r="C543" s="385"/>
      <c r="D543" s="352"/>
      <c r="E543" s="349"/>
      <c r="F543" s="368"/>
      <c r="G543" s="368"/>
      <c r="H543" s="335"/>
      <c r="I543" s="368"/>
      <c r="J543" s="349"/>
      <c r="K543" s="349"/>
      <c r="L543" s="349"/>
      <c r="M543" s="553"/>
      <c r="N543" s="352"/>
      <c r="O543" s="540"/>
      <c r="P543" s="540"/>
      <c r="Q543" s="540"/>
      <c r="R543" s="352"/>
      <c r="S543" s="352"/>
      <c r="T543" s="349"/>
      <c r="U543" s="362"/>
      <c r="V543" s="387"/>
      <c r="W543" s="381"/>
      <c r="X543" s="381"/>
      <c r="Y543" s="382"/>
      <c r="Z543" s="383"/>
      <c r="AA543" s="384"/>
      <c r="AB543" s="384"/>
      <c r="AC543" s="384"/>
      <c r="AD543" s="384"/>
      <c r="AE543" s="348"/>
      <c r="AF543" s="371" t="s">
        <v>103</v>
      </c>
      <c r="AG543" s="362"/>
      <c r="AH543" s="349"/>
      <c r="AI543" s="361"/>
      <c r="AJ543" s="361"/>
      <c r="AK543" s="362"/>
      <c r="AL543" s="371" t="s">
        <v>103</v>
      </c>
      <c r="AM543" s="349"/>
      <c r="AN543" s="349"/>
      <c r="AO543" s="349"/>
      <c r="AP543" s="349"/>
      <c r="AQ543" s="349"/>
      <c r="AR543" s="349"/>
      <c r="AS543" s="349"/>
      <c r="BJ543" s="285">
        <f>COUNTIF(AT543:BI543,"*OP*")</f>
        <v>0</v>
      </c>
      <c r="BK543" s="349"/>
      <c r="BL543" s="349">
        <f>(COUNTIF(AT543:AV543,"*OK*")*3) + (COUNTIF(AW543:AY543,"*OK*")*2) + COUNTIF(AZ543:BB543,"*OK*")+COUNTIF(BK543:BK543,"SI")*0.5</f>
        <v>0</v>
      </c>
      <c r="BM543" s="349" t="str">
        <f>IF(BL543&lt;0.6,"Demasiado Riesgo",IF(BL543&lt;=5,"Riesgo Medio",IF(BL543&lt;=11,"Riesgo Bajo","Cliente Blindado")))</f>
        <v>Demasiado Riesgo</v>
      </c>
      <c r="BN543" s="349"/>
      <c r="BO543" s="349"/>
      <c r="BP543" s="349"/>
      <c r="BQ543" s="349"/>
      <c r="BR543" s="349"/>
      <c r="BS543" s="349"/>
      <c r="BT543" s="349"/>
      <c r="BU543" s="349"/>
      <c r="BV543" s="349"/>
      <c r="BW543" s="349"/>
      <c r="BX543" s="349"/>
      <c r="BY543" s="349"/>
      <c r="BZ543" s="349"/>
      <c r="CA543" s="349"/>
      <c r="CB543" s="349"/>
      <c r="CC543" s="349"/>
      <c r="CD543" s="349"/>
      <c r="CE543" s="349"/>
      <c r="CF543" s="349"/>
      <c r="CG543" s="349"/>
      <c r="CH543" s="349"/>
      <c r="CI543" s="349"/>
      <c r="CJ543" s="349"/>
      <c r="CK543" s="349"/>
      <c r="CL543" s="349">
        <f>COUNTIF(AT543:BH543,"*OK*")</f>
        <v>0</v>
      </c>
    </row>
    <row r="544" spans="1:90" ht="15" customHeight="1">
      <c r="A544" s="834"/>
      <c r="B544" s="328"/>
      <c r="C544" s="386"/>
      <c r="D544" s="332"/>
      <c r="E544" s="328"/>
      <c r="F544" s="376"/>
      <c r="G544" s="376"/>
      <c r="H544" s="335"/>
      <c r="I544" s="376"/>
      <c r="J544" s="328"/>
      <c r="K544" s="328"/>
      <c r="L544" s="328"/>
      <c r="M544" s="391"/>
      <c r="N544" s="332"/>
      <c r="O544" s="541"/>
      <c r="P544" s="541"/>
      <c r="Q544" s="541"/>
      <c r="R544" s="332"/>
      <c r="S544" s="332"/>
      <c r="T544" s="328"/>
      <c r="U544" s="344"/>
      <c r="V544" s="388"/>
      <c r="W544" s="377"/>
      <c r="X544" s="377"/>
      <c r="Y544" s="378"/>
      <c r="Z544" s="379"/>
      <c r="AA544" s="380"/>
      <c r="AB544" s="380"/>
      <c r="AC544" s="380"/>
      <c r="AD544" s="380"/>
      <c r="AE544" s="327"/>
      <c r="AF544" s="372" t="s">
        <v>103</v>
      </c>
      <c r="AG544" s="344"/>
      <c r="AH544" s="328"/>
      <c r="AI544" s="343"/>
      <c r="AJ544" s="343"/>
      <c r="AK544" s="344"/>
      <c r="AL544" s="372" t="s">
        <v>103</v>
      </c>
      <c r="AM544" s="328"/>
      <c r="AN544" s="328"/>
      <c r="AO544" s="328"/>
      <c r="AP544" s="328"/>
      <c r="AQ544" s="328"/>
      <c r="AR544" s="328"/>
      <c r="AS544" s="328"/>
      <c r="BJ544" s="285">
        <f>COUNTIF(AT544:BI544,"*OP*")</f>
        <v>0</v>
      </c>
      <c r="BK544" s="328"/>
      <c r="BL544" s="328">
        <f>(COUNTIF(AT544:AV544,"*OK*")*3) + (COUNTIF(AW544:AY544,"*OK*")*2) + COUNTIF(AZ544:BB544,"*OK*")+COUNTIF(BK544:BK544,"SI")*0.5</f>
        <v>0</v>
      </c>
      <c r="BM544" s="328" t="str">
        <f>IF(BL544&lt;0.6,"Demasiado Riesgo",IF(BL544&lt;=5,"Riesgo Medio",IF(BL544&lt;=11,"Riesgo Bajo","Cliente Blindado")))</f>
        <v>Demasiado Riesgo</v>
      </c>
      <c r="BN544" s="328"/>
      <c r="BO544" s="328"/>
      <c r="BP544" s="328"/>
      <c r="BQ544" s="328"/>
      <c r="BR544" s="328"/>
      <c r="BS544" s="328"/>
      <c r="BT544" s="328"/>
      <c r="BU544" s="328"/>
      <c r="BV544" s="328"/>
      <c r="BW544" s="328"/>
      <c r="BX544" s="328"/>
      <c r="BY544" s="328"/>
      <c r="BZ544" s="328"/>
      <c r="CA544" s="328"/>
      <c r="CB544" s="328"/>
      <c r="CC544" s="328"/>
      <c r="CD544" s="328"/>
      <c r="CE544" s="328"/>
      <c r="CF544" s="328"/>
      <c r="CG544" s="328"/>
      <c r="CH544" s="328"/>
      <c r="CI544" s="328"/>
      <c r="CJ544" s="328"/>
      <c r="CK544" s="328"/>
      <c r="CL544" s="328">
        <f>COUNTIF(AT544:BH544,"*OK*")</f>
        <v>0</v>
      </c>
    </row>
    <row r="545" spans="1:90" ht="15" customHeight="1">
      <c r="A545" s="835"/>
      <c r="B545" s="349"/>
      <c r="C545" s="385"/>
      <c r="D545" s="352"/>
      <c r="E545" s="349"/>
      <c r="F545" s="368"/>
      <c r="G545" s="368"/>
      <c r="H545" s="335"/>
      <c r="I545" s="368"/>
      <c r="J545" s="349"/>
      <c r="K545" s="349"/>
      <c r="L545" s="349"/>
      <c r="M545" s="553"/>
      <c r="N545" s="352"/>
      <c r="O545" s="540"/>
      <c r="P545" s="540"/>
      <c r="Q545" s="540"/>
      <c r="R545" s="352"/>
      <c r="S545" s="352"/>
      <c r="T545" s="349"/>
      <c r="U545" s="362"/>
      <c r="V545" s="387"/>
      <c r="W545" s="381"/>
      <c r="X545" s="381"/>
      <c r="Y545" s="382"/>
      <c r="Z545" s="383"/>
      <c r="AA545" s="384"/>
      <c r="AB545" s="384"/>
      <c r="AC545" s="384"/>
      <c r="AD545" s="384"/>
      <c r="AE545" s="348"/>
      <c r="AF545" s="371" t="s">
        <v>103</v>
      </c>
      <c r="AG545" s="362"/>
      <c r="AH545" s="349"/>
      <c r="AI545" s="361"/>
      <c r="AJ545" s="361"/>
      <c r="AK545" s="362"/>
      <c r="AL545" s="371" t="s">
        <v>103</v>
      </c>
      <c r="AM545" s="349"/>
      <c r="AN545" s="349"/>
      <c r="AO545" s="349"/>
      <c r="AP545" s="349"/>
      <c r="AQ545" s="349"/>
      <c r="AR545" s="349"/>
      <c r="AS545" s="349"/>
      <c r="BJ545" s="285">
        <f>COUNTIF(AT545:BI545,"*OP*")</f>
        <v>0</v>
      </c>
      <c r="BK545" s="349"/>
      <c r="BL545" s="349">
        <f>(COUNTIF(AT545:AV545,"*OK*")*3) + (COUNTIF(AW545:AY545,"*OK*")*2) + COUNTIF(AZ545:BB545,"*OK*")+COUNTIF(BK545:BK545,"SI")*0.5</f>
        <v>0</v>
      </c>
      <c r="BM545" s="349" t="str">
        <f>IF(BL545&lt;0.6,"Demasiado Riesgo",IF(BL545&lt;=5,"Riesgo Medio",IF(BL545&lt;=11,"Riesgo Bajo","Cliente Blindado")))</f>
        <v>Demasiado Riesgo</v>
      </c>
      <c r="BN545" s="349"/>
      <c r="BO545" s="349"/>
      <c r="BP545" s="349"/>
      <c r="BQ545" s="349"/>
      <c r="BR545" s="349"/>
      <c r="BS545" s="349"/>
      <c r="BT545" s="349"/>
      <c r="BU545" s="349"/>
      <c r="BV545" s="349"/>
      <c r="BW545" s="349"/>
      <c r="BX545" s="349"/>
      <c r="BY545" s="349"/>
      <c r="BZ545" s="349"/>
      <c r="CA545" s="349"/>
      <c r="CB545" s="349"/>
      <c r="CC545" s="349"/>
      <c r="CD545" s="349"/>
      <c r="CE545" s="349"/>
      <c r="CF545" s="349"/>
      <c r="CG545" s="349"/>
      <c r="CH545" s="349"/>
      <c r="CI545" s="349"/>
      <c r="CJ545" s="349"/>
      <c r="CK545" s="349"/>
      <c r="CL545" s="349">
        <f>COUNTIF(AT545:BH545,"*OK*")</f>
        <v>0</v>
      </c>
    </row>
    <row r="546" spans="1:90" ht="15" customHeight="1">
      <c r="A546" s="834"/>
      <c r="B546" s="328"/>
      <c r="C546" s="386"/>
      <c r="D546" s="332"/>
      <c r="E546" s="328"/>
      <c r="F546" s="376"/>
      <c r="G546" s="376"/>
      <c r="H546" s="335"/>
      <c r="I546" s="376"/>
      <c r="J546" s="328"/>
      <c r="K546" s="328"/>
      <c r="L546" s="328"/>
      <c r="M546" s="391"/>
      <c r="N546" s="332"/>
      <c r="O546" s="541"/>
      <c r="P546" s="541"/>
      <c r="Q546" s="541"/>
      <c r="R546" s="332"/>
      <c r="S546" s="332"/>
      <c r="T546" s="328"/>
      <c r="U546" s="344"/>
      <c r="V546" s="388"/>
      <c r="W546" s="377"/>
      <c r="X546" s="377"/>
      <c r="Y546" s="378"/>
      <c r="Z546" s="379"/>
      <c r="AA546" s="380"/>
      <c r="AB546" s="380"/>
      <c r="AC546" s="380"/>
      <c r="AD546" s="380"/>
      <c r="AE546" s="327"/>
      <c r="AF546" s="372" t="s">
        <v>103</v>
      </c>
      <c r="AG546" s="344"/>
      <c r="AH546" s="328"/>
      <c r="AI546" s="343"/>
      <c r="AJ546" s="343"/>
      <c r="AK546" s="344"/>
      <c r="AL546" s="372" t="s">
        <v>103</v>
      </c>
      <c r="AM546" s="328"/>
      <c r="AN546" s="328"/>
      <c r="AO546" s="328"/>
      <c r="AP546" s="328"/>
      <c r="AQ546" s="328"/>
      <c r="AR546" s="328"/>
      <c r="AS546" s="328"/>
      <c r="BJ546" s="285">
        <f>COUNTIF(AT546:BI546,"*OP*")</f>
        <v>0</v>
      </c>
      <c r="BK546" s="328"/>
      <c r="BL546" s="328">
        <f>(COUNTIF(AT546:AV546,"*OK*")*3) + (COUNTIF(AW546:AY546,"*OK*")*2) + COUNTIF(AZ546:BB546,"*OK*")+COUNTIF(BK546:BK546,"SI")*0.5</f>
        <v>0</v>
      </c>
      <c r="BM546" s="328" t="str">
        <f>IF(BL546&lt;0.6,"Demasiado Riesgo",IF(BL546&lt;=5,"Riesgo Medio",IF(BL546&lt;=11,"Riesgo Bajo","Cliente Blindado")))</f>
        <v>Demasiado Riesgo</v>
      </c>
      <c r="BN546" s="328"/>
      <c r="BO546" s="328"/>
      <c r="BP546" s="328"/>
      <c r="BQ546" s="328"/>
      <c r="BR546" s="328"/>
      <c r="BS546" s="328"/>
      <c r="BT546" s="328"/>
      <c r="BU546" s="328"/>
      <c r="BV546" s="328"/>
      <c r="BW546" s="328"/>
      <c r="BX546" s="328"/>
      <c r="BY546" s="328"/>
      <c r="BZ546" s="328"/>
      <c r="CA546" s="328"/>
      <c r="CB546" s="328"/>
      <c r="CC546" s="328"/>
      <c r="CD546" s="328"/>
      <c r="CE546" s="328"/>
      <c r="CF546" s="328"/>
      <c r="CG546" s="328"/>
      <c r="CH546" s="328"/>
      <c r="CI546" s="328"/>
      <c r="CJ546" s="328"/>
      <c r="CK546" s="328"/>
      <c r="CL546" s="328">
        <f>COUNTIF(AT546:BH546,"*OK*")</f>
        <v>0</v>
      </c>
    </row>
    <row r="547" spans="1:90" ht="15" customHeight="1">
      <c r="A547" s="835"/>
      <c r="B547" s="349"/>
      <c r="C547" s="385"/>
      <c r="D547" s="352"/>
      <c r="E547" s="349"/>
      <c r="F547" s="368"/>
      <c r="G547" s="368"/>
      <c r="H547" s="335"/>
      <c r="I547" s="368"/>
      <c r="J547" s="349"/>
      <c r="K547" s="349"/>
      <c r="L547" s="349"/>
      <c r="M547" s="553"/>
      <c r="N547" s="352"/>
      <c r="O547" s="540"/>
      <c r="P547" s="540"/>
      <c r="Q547" s="540"/>
      <c r="R547" s="352"/>
      <c r="S547" s="352"/>
      <c r="T547" s="349"/>
      <c r="U547" s="362"/>
      <c r="V547" s="387"/>
      <c r="W547" s="381"/>
      <c r="X547" s="381"/>
      <c r="Y547" s="382"/>
      <c r="Z547" s="383"/>
      <c r="AA547" s="384"/>
      <c r="AB547" s="384"/>
      <c r="AC547" s="384"/>
      <c r="AD547" s="384"/>
      <c r="AE547" s="348"/>
      <c r="AF547" s="371" t="s">
        <v>103</v>
      </c>
      <c r="AG547" s="362"/>
      <c r="AH547" s="349"/>
      <c r="AI547" s="361"/>
      <c r="AJ547" s="361"/>
      <c r="AK547" s="362"/>
      <c r="AL547" s="371" t="s">
        <v>103</v>
      </c>
      <c r="AM547" s="349"/>
      <c r="AN547" s="349"/>
      <c r="AO547" s="349"/>
      <c r="AP547" s="349"/>
      <c r="AQ547" s="349"/>
      <c r="AR547" s="349"/>
      <c r="AS547" s="349"/>
      <c r="BJ547" s="285">
        <f>COUNTIF(AT547:BI547,"*OP*")</f>
        <v>0</v>
      </c>
      <c r="BK547" s="349"/>
      <c r="BL547" s="349">
        <f>(COUNTIF(AT547:AV547,"*OK*")*3) + (COUNTIF(AW547:AY547,"*OK*")*2) + COUNTIF(AZ547:BB547,"*OK*")+COUNTIF(BK547:BK547,"SI")*0.5</f>
        <v>0</v>
      </c>
      <c r="BM547" s="349" t="str">
        <f>IF(BL547&lt;0.6,"Demasiado Riesgo",IF(BL547&lt;=5,"Riesgo Medio",IF(BL547&lt;=11,"Riesgo Bajo","Cliente Blindado")))</f>
        <v>Demasiado Riesgo</v>
      </c>
      <c r="BN547" s="349"/>
      <c r="BO547" s="349"/>
      <c r="BP547" s="349"/>
      <c r="BQ547" s="349"/>
      <c r="BR547" s="349"/>
      <c r="BS547" s="349"/>
      <c r="BT547" s="349"/>
      <c r="BU547" s="349"/>
      <c r="BV547" s="349"/>
      <c r="BW547" s="349"/>
      <c r="BX547" s="349"/>
      <c r="BY547" s="349"/>
      <c r="BZ547" s="349"/>
      <c r="CA547" s="349"/>
      <c r="CB547" s="349"/>
      <c r="CC547" s="349"/>
      <c r="CD547" s="349"/>
      <c r="CE547" s="349"/>
      <c r="CF547" s="349"/>
      <c r="CG547" s="349"/>
      <c r="CH547" s="349"/>
      <c r="CI547" s="349"/>
      <c r="CJ547" s="349"/>
      <c r="CK547" s="349"/>
      <c r="CL547" s="349">
        <f>COUNTIF(AT547:BH547,"*OK*")</f>
        <v>0</v>
      </c>
    </row>
    <row r="548" spans="1:90" ht="15" customHeight="1">
      <c r="A548" s="834"/>
      <c r="B548" s="328"/>
      <c r="C548" s="386"/>
      <c r="D548" s="332"/>
      <c r="E548" s="328"/>
      <c r="F548" s="376"/>
      <c r="G548" s="376"/>
      <c r="H548" s="335"/>
      <c r="I548" s="376"/>
      <c r="J548" s="328"/>
      <c r="K548" s="328"/>
      <c r="L548" s="328"/>
      <c r="M548" s="391"/>
      <c r="N548" s="332"/>
      <c r="O548" s="541"/>
      <c r="P548" s="541"/>
      <c r="Q548" s="541"/>
      <c r="R548" s="332"/>
      <c r="S548" s="332"/>
      <c r="T548" s="328"/>
      <c r="U548" s="344"/>
      <c r="V548" s="388"/>
      <c r="W548" s="377"/>
      <c r="X548" s="377"/>
      <c r="Y548" s="378"/>
      <c r="Z548" s="379"/>
      <c r="AA548" s="380"/>
      <c r="AB548" s="380"/>
      <c r="AC548" s="380"/>
      <c r="AD548" s="380"/>
      <c r="AE548" s="327"/>
      <c r="AF548" s="372" t="s">
        <v>103</v>
      </c>
      <c r="AG548" s="344"/>
      <c r="AH548" s="328"/>
      <c r="AI548" s="343"/>
      <c r="AJ548" s="343"/>
      <c r="AK548" s="344"/>
      <c r="AL548" s="372" t="s">
        <v>103</v>
      </c>
      <c r="AM548" s="328"/>
      <c r="AN548" s="328"/>
      <c r="AO548" s="328"/>
      <c r="AP548" s="328"/>
      <c r="AQ548" s="328"/>
      <c r="AR548" s="328"/>
      <c r="AS548" s="328"/>
      <c r="BJ548" s="285">
        <f>COUNTIF(AT548:BI548,"*OP*")</f>
        <v>0</v>
      </c>
      <c r="BK548" s="328"/>
      <c r="BL548" s="328">
        <f>(COUNTIF(AT548:AV548,"*OK*")*3) + (COUNTIF(AW548:AY548,"*OK*")*2) + COUNTIF(AZ548:BB548,"*OK*")+COUNTIF(BK548:BK548,"SI")*0.5</f>
        <v>0</v>
      </c>
      <c r="BM548" s="328" t="str">
        <f>IF(BL548&lt;0.6,"Demasiado Riesgo",IF(BL548&lt;=5,"Riesgo Medio",IF(BL548&lt;=11,"Riesgo Bajo","Cliente Blindado")))</f>
        <v>Demasiado Riesgo</v>
      </c>
      <c r="BN548" s="328"/>
      <c r="BO548" s="328"/>
      <c r="BP548" s="328"/>
      <c r="BQ548" s="328"/>
      <c r="BR548" s="328"/>
      <c r="BS548" s="328"/>
      <c r="BT548" s="328"/>
      <c r="BU548" s="328"/>
      <c r="BV548" s="328"/>
      <c r="BW548" s="328"/>
      <c r="BX548" s="328"/>
      <c r="BY548" s="328"/>
      <c r="BZ548" s="328"/>
      <c r="CA548" s="328"/>
      <c r="CB548" s="328"/>
      <c r="CC548" s="328"/>
      <c r="CD548" s="328"/>
      <c r="CE548" s="328"/>
      <c r="CF548" s="328"/>
      <c r="CG548" s="328"/>
      <c r="CH548" s="328"/>
      <c r="CI548" s="328"/>
      <c r="CJ548" s="328"/>
      <c r="CK548" s="328"/>
      <c r="CL548" s="328">
        <f>COUNTIF(AT548:BH548,"*OK*")</f>
        <v>0</v>
      </c>
    </row>
    <row r="549" spans="1:90" ht="15" customHeight="1">
      <c r="A549" s="835"/>
      <c r="B549" s="349"/>
      <c r="C549" s="385"/>
      <c r="D549" s="352"/>
      <c r="E549" s="349"/>
      <c r="F549" s="368"/>
      <c r="G549" s="368"/>
      <c r="H549" s="335"/>
      <c r="I549" s="368"/>
      <c r="J549" s="349"/>
      <c r="K549" s="349"/>
      <c r="L549" s="349"/>
      <c r="M549" s="553"/>
      <c r="N549" s="352"/>
      <c r="O549" s="540"/>
      <c r="P549" s="540"/>
      <c r="Q549" s="540"/>
      <c r="R549" s="352"/>
      <c r="S549" s="352"/>
      <c r="T549" s="349"/>
      <c r="U549" s="362"/>
      <c r="V549" s="387"/>
      <c r="W549" s="381"/>
      <c r="X549" s="381"/>
      <c r="Y549" s="382"/>
      <c r="Z549" s="383"/>
      <c r="AA549" s="384"/>
      <c r="AB549" s="384"/>
      <c r="AC549" s="384"/>
      <c r="AD549" s="384"/>
      <c r="AE549" s="348"/>
      <c r="AF549" s="371" t="s">
        <v>103</v>
      </c>
      <c r="AG549" s="362"/>
      <c r="AH549" s="349"/>
      <c r="AI549" s="361"/>
      <c r="AJ549" s="361"/>
      <c r="AK549" s="362"/>
      <c r="AL549" s="371" t="s">
        <v>103</v>
      </c>
      <c r="AM549" s="349"/>
      <c r="AN549" s="349"/>
      <c r="AO549" s="349"/>
      <c r="AP549" s="349"/>
      <c r="AQ549" s="349"/>
      <c r="AR549" s="349"/>
      <c r="AS549" s="349"/>
      <c r="BJ549" s="285">
        <f>COUNTIF(AT549:BI549,"*OP*")</f>
        <v>0</v>
      </c>
      <c r="BK549" s="349"/>
      <c r="BL549" s="349">
        <f>(COUNTIF(AT549:AV549,"*OK*")*3) + (COUNTIF(AW549:AY549,"*OK*")*2) + COUNTIF(AZ549:BB549,"*OK*")+COUNTIF(BK549:BK549,"SI")*0.5</f>
        <v>0</v>
      </c>
      <c r="BM549" s="349" t="str">
        <f>IF(BL549&lt;0.6,"Demasiado Riesgo",IF(BL549&lt;=5,"Riesgo Medio",IF(BL549&lt;=11,"Riesgo Bajo","Cliente Blindado")))</f>
        <v>Demasiado Riesgo</v>
      </c>
      <c r="BN549" s="349"/>
      <c r="BO549" s="349"/>
      <c r="BP549" s="349"/>
      <c r="BQ549" s="349"/>
      <c r="BR549" s="349"/>
      <c r="BS549" s="349"/>
      <c r="BT549" s="349"/>
      <c r="BU549" s="349"/>
      <c r="BV549" s="349"/>
      <c r="BW549" s="349"/>
      <c r="BX549" s="349"/>
      <c r="BY549" s="349"/>
      <c r="BZ549" s="349"/>
      <c r="CA549" s="349"/>
      <c r="CB549" s="349"/>
      <c r="CC549" s="349"/>
      <c r="CD549" s="349"/>
      <c r="CE549" s="349"/>
      <c r="CF549" s="349"/>
      <c r="CG549" s="349"/>
      <c r="CH549" s="349"/>
      <c r="CI549" s="349"/>
      <c r="CJ549" s="349"/>
      <c r="CK549" s="349"/>
      <c r="CL549" s="349">
        <f>COUNTIF(AT549:BH549,"*OK*")</f>
        <v>0</v>
      </c>
    </row>
    <row r="550" spans="1:90" ht="15" customHeight="1">
      <c r="A550" s="834"/>
      <c r="B550" s="328"/>
      <c r="C550" s="386"/>
      <c r="D550" s="332"/>
      <c r="E550" s="328"/>
      <c r="F550" s="376"/>
      <c r="G550" s="376"/>
      <c r="H550" s="335"/>
      <c r="I550" s="376"/>
      <c r="J550" s="328"/>
      <c r="K550" s="328"/>
      <c r="L550" s="328"/>
      <c r="M550" s="391"/>
      <c r="N550" s="332"/>
      <c r="O550" s="541"/>
      <c r="P550" s="541"/>
      <c r="Q550" s="541"/>
      <c r="R550" s="332"/>
      <c r="S550" s="332"/>
      <c r="T550" s="328"/>
      <c r="U550" s="344"/>
      <c r="V550" s="388"/>
      <c r="W550" s="377"/>
      <c r="X550" s="377"/>
      <c r="Y550" s="378"/>
      <c r="Z550" s="379"/>
      <c r="AA550" s="380"/>
      <c r="AB550" s="380"/>
      <c r="AC550" s="380"/>
      <c r="AD550" s="380"/>
      <c r="AE550" s="327"/>
      <c r="AF550" s="372" t="s">
        <v>103</v>
      </c>
      <c r="AG550" s="344"/>
      <c r="AH550" s="328"/>
      <c r="AI550" s="343"/>
      <c r="AJ550" s="343"/>
      <c r="AK550" s="344"/>
      <c r="AL550" s="372" t="s">
        <v>103</v>
      </c>
      <c r="AM550" s="328"/>
      <c r="AN550" s="328"/>
      <c r="AO550" s="328"/>
      <c r="AP550" s="328"/>
      <c r="AQ550" s="328"/>
      <c r="AR550" s="328"/>
      <c r="AS550" s="328"/>
      <c r="BJ550" s="285">
        <f>COUNTIF(AT550:BI550,"*OP*")</f>
        <v>0</v>
      </c>
      <c r="BK550" s="328"/>
      <c r="BL550" s="328">
        <f>(COUNTIF(AT550:AV550,"*OK*")*3) + (COUNTIF(AW550:AY550,"*OK*")*2) + COUNTIF(AZ550:BB550,"*OK*")+COUNTIF(BK550:BK550,"SI")*0.5</f>
        <v>0</v>
      </c>
      <c r="BM550" s="328" t="str">
        <f>IF(BL550&lt;0.6,"Demasiado Riesgo",IF(BL550&lt;=5,"Riesgo Medio",IF(BL550&lt;=11,"Riesgo Bajo","Cliente Blindado")))</f>
        <v>Demasiado Riesgo</v>
      </c>
      <c r="BN550" s="328"/>
      <c r="BO550" s="328"/>
      <c r="BP550" s="328"/>
      <c r="BQ550" s="328"/>
      <c r="BR550" s="328"/>
      <c r="BS550" s="328"/>
      <c r="BT550" s="328"/>
      <c r="BU550" s="328"/>
      <c r="BV550" s="328"/>
      <c r="BW550" s="328"/>
      <c r="BX550" s="328"/>
      <c r="BY550" s="328"/>
      <c r="BZ550" s="328"/>
      <c r="CA550" s="328"/>
      <c r="CB550" s="328"/>
      <c r="CC550" s="328"/>
      <c r="CD550" s="328"/>
      <c r="CE550" s="328"/>
      <c r="CF550" s="328"/>
      <c r="CG550" s="328"/>
      <c r="CH550" s="328"/>
      <c r="CI550" s="328"/>
      <c r="CJ550" s="328"/>
      <c r="CK550" s="328"/>
      <c r="CL550" s="328">
        <f>COUNTIF(AT550:BH550,"*OK*")</f>
        <v>0</v>
      </c>
    </row>
    <row r="551" spans="1:90" ht="15" customHeight="1">
      <c r="A551" s="835"/>
      <c r="B551" s="349"/>
      <c r="C551" s="385"/>
      <c r="D551" s="352"/>
      <c r="E551" s="349"/>
      <c r="F551" s="368"/>
      <c r="G551" s="368"/>
      <c r="H551" s="335"/>
      <c r="I551" s="368"/>
      <c r="J551" s="349"/>
      <c r="K551" s="349"/>
      <c r="L551" s="349"/>
      <c r="M551" s="553"/>
      <c r="N551" s="352"/>
      <c r="O551" s="540"/>
      <c r="P551" s="540"/>
      <c r="Q551" s="540"/>
      <c r="R551" s="352"/>
      <c r="S551" s="352"/>
      <c r="T551" s="349"/>
      <c r="U551" s="362"/>
      <c r="V551" s="387"/>
      <c r="W551" s="381"/>
      <c r="X551" s="381"/>
      <c r="Y551" s="382"/>
      <c r="Z551" s="383"/>
      <c r="AA551" s="384"/>
      <c r="AB551" s="384"/>
      <c r="AC551" s="384"/>
      <c r="AD551" s="384"/>
      <c r="AE551" s="348"/>
      <c r="AF551" s="371" t="s">
        <v>103</v>
      </c>
      <c r="AG551" s="362"/>
      <c r="AH551" s="349"/>
      <c r="AI551" s="361"/>
      <c r="AJ551" s="361"/>
      <c r="AK551" s="362"/>
      <c r="AL551" s="371" t="s">
        <v>103</v>
      </c>
      <c r="AM551" s="349"/>
      <c r="AN551" s="349"/>
      <c r="AO551" s="349"/>
      <c r="AP551" s="349"/>
      <c r="AQ551" s="349"/>
      <c r="AR551" s="349"/>
      <c r="AS551" s="349"/>
      <c r="BJ551" s="285">
        <f>COUNTIF(AT551:BI551,"*OP*")</f>
        <v>0</v>
      </c>
      <c r="BK551" s="349"/>
      <c r="BL551" s="349">
        <f>(COUNTIF(AT551:AV551,"*OK*")*3) + (COUNTIF(AW551:AY551,"*OK*")*2) + COUNTIF(AZ551:BB551,"*OK*")+COUNTIF(BK551:BK551,"SI")*0.5</f>
        <v>0</v>
      </c>
      <c r="BM551" s="349" t="str">
        <f>IF(BL551&lt;0.6,"Demasiado Riesgo",IF(BL551&lt;=5,"Riesgo Medio",IF(BL551&lt;=11,"Riesgo Bajo","Cliente Blindado")))</f>
        <v>Demasiado Riesgo</v>
      </c>
      <c r="BN551" s="349"/>
      <c r="BO551" s="349"/>
      <c r="BP551" s="349"/>
      <c r="BQ551" s="349"/>
      <c r="BR551" s="349"/>
      <c r="BS551" s="349"/>
      <c r="BT551" s="349"/>
      <c r="BU551" s="349"/>
      <c r="BV551" s="349"/>
      <c r="BW551" s="349"/>
      <c r="BX551" s="349"/>
      <c r="BY551" s="349"/>
      <c r="BZ551" s="349"/>
      <c r="CA551" s="349"/>
      <c r="CB551" s="349"/>
      <c r="CC551" s="349"/>
      <c r="CD551" s="349"/>
      <c r="CE551" s="349"/>
      <c r="CF551" s="349"/>
      <c r="CG551" s="349"/>
      <c r="CH551" s="349"/>
      <c r="CI551" s="349"/>
      <c r="CJ551" s="349"/>
      <c r="CK551" s="349"/>
      <c r="CL551" s="349">
        <f>COUNTIF(AT551:BH551,"*OK*")</f>
        <v>0</v>
      </c>
    </row>
    <row r="552" spans="1:90" ht="15" customHeight="1">
      <c r="A552" s="834"/>
      <c r="B552" s="328"/>
      <c r="C552" s="386"/>
      <c r="D552" s="332"/>
      <c r="E552" s="328"/>
      <c r="F552" s="376"/>
      <c r="G552" s="376"/>
      <c r="H552" s="335"/>
      <c r="I552" s="376"/>
      <c r="J552" s="328"/>
      <c r="K552" s="328"/>
      <c r="L552" s="328"/>
      <c r="M552" s="391"/>
      <c r="N552" s="332"/>
      <c r="O552" s="541"/>
      <c r="P552" s="541"/>
      <c r="Q552" s="541"/>
      <c r="R552" s="332"/>
      <c r="S552" s="332"/>
      <c r="T552" s="328"/>
      <c r="U552" s="344"/>
      <c r="V552" s="388"/>
      <c r="W552" s="377"/>
      <c r="X552" s="377"/>
      <c r="Y552" s="378"/>
      <c r="Z552" s="379"/>
      <c r="AA552" s="380"/>
      <c r="AB552" s="380"/>
      <c r="AC552" s="380"/>
      <c r="AD552" s="380"/>
      <c r="AE552" s="327"/>
      <c r="AF552" s="372" t="s">
        <v>103</v>
      </c>
      <c r="AG552" s="344"/>
      <c r="AH552" s="328"/>
      <c r="AI552" s="343"/>
      <c r="AJ552" s="343"/>
      <c r="AK552" s="344"/>
      <c r="AL552" s="372" t="s">
        <v>103</v>
      </c>
      <c r="AM552" s="328"/>
      <c r="AN552" s="328"/>
      <c r="AO552" s="328"/>
      <c r="AP552" s="328"/>
      <c r="AQ552" s="328"/>
      <c r="AR552" s="328"/>
      <c r="AS552" s="328"/>
      <c r="BJ552" s="285">
        <f>COUNTIF(AT552:BI552,"*OP*")</f>
        <v>0</v>
      </c>
      <c r="BK552" s="328"/>
      <c r="BL552" s="328">
        <f>(COUNTIF(AT552:AV552,"*OK*")*3) + (COUNTIF(AW552:AY552,"*OK*")*2) + COUNTIF(AZ552:BB552,"*OK*")+COUNTIF(BK552:BK552,"SI")*0.5</f>
        <v>0</v>
      </c>
      <c r="BM552" s="328" t="str">
        <f>IF(BL552&lt;0.6,"Demasiado Riesgo",IF(BL552&lt;=5,"Riesgo Medio",IF(BL552&lt;=11,"Riesgo Bajo","Cliente Blindado")))</f>
        <v>Demasiado Riesgo</v>
      </c>
      <c r="BN552" s="328"/>
      <c r="BO552" s="328"/>
      <c r="BP552" s="328"/>
      <c r="BQ552" s="328"/>
      <c r="BR552" s="328"/>
      <c r="BS552" s="328"/>
      <c r="BT552" s="328"/>
      <c r="BU552" s="328"/>
      <c r="BV552" s="328"/>
      <c r="BW552" s="328"/>
      <c r="BX552" s="328"/>
      <c r="BY552" s="328"/>
      <c r="BZ552" s="328"/>
      <c r="CA552" s="328"/>
      <c r="CB552" s="328"/>
      <c r="CC552" s="328"/>
      <c r="CD552" s="328"/>
      <c r="CE552" s="328"/>
      <c r="CF552" s="328"/>
      <c r="CG552" s="328"/>
      <c r="CH552" s="328"/>
      <c r="CI552" s="328"/>
      <c r="CJ552" s="328"/>
      <c r="CK552" s="328"/>
      <c r="CL552" s="328">
        <f>COUNTIF(AT552:BH552,"*OK*")</f>
        <v>0</v>
      </c>
    </row>
    <row r="553" spans="1:90" ht="15" customHeight="1">
      <c r="A553" s="835"/>
      <c r="B553" s="349"/>
      <c r="C553" s="385"/>
      <c r="D553" s="352"/>
      <c r="E553" s="349"/>
      <c r="F553" s="368"/>
      <c r="G553" s="368"/>
      <c r="H553" s="335"/>
      <c r="I553" s="368"/>
      <c r="J553" s="349"/>
      <c r="K553" s="349"/>
      <c r="L553" s="349"/>
      <c r="M553" s="553"/>
      <c r="N553" s="352"/>
      <c r="O553" s="540"/>
      <c r="P553" s="540"/>
      <c r="Q553" s="540"/>
      <c r="R553" s="352"/>
      <c r="S553" s="352"/>
      <c r="T553" s="349"/>
      <c r="U553" s="362"/>
      <c r="V553" s="387"/>
      <c r="W553" s="381"/>
      <c r="X553" s="381"/>
      <c r="Y553" s="382"/>
      <c r="Z553" s="383"/>
      <c r="AA553" s="384"/>
      <c r="AB553" s="384"/>
      <c r="AC553" s="384"/>
      <c r="AD553" s="384"/>
      <c r="AE553" s="348"/>
      <c r="AF553" s="371" t="s">
        <v>103</v>
      </c>
      <c r="AG553" s="362"/>
      <c r="AH553" s="349"/>
      <c r="AI553" s="361"/>
      <c r="AJ553" s="361"/>
      <c r="AK553" s="362"/>
      <c r="AL553" s="371" t="s">
        <v>103</v>
      </c>
      <c r="AM553" s="349"/>
      <c r="AN553" s="349"/>
      <c r="AO553" s="349"/>
      <c r="AP553" s="349"/>
      <c r="AQ553" s="349"/>
      <c r="AR553" s="349"/>
      <c r="AS553" s="349"/>
      <c r="BJ553" s="285">
        <f>COUNTIF(AT553:BI553,"*OP*")</f>
        <v>0</v>
      </c>
      <c r="BK553" s="349"/>
      <c r="BL553" s="349">
        <f>(COUNTIF(AT553:AV553,"*OK*")*3) + (COUNTIF(AW553:AY553,"*OK*")*2) + COUNTIF(AZ553:BB553,"*OK*")+COUNTIF(BK553:BK553,"SI")*0.5</f>
        <v>0</v>
      </c>
      <c r="BM553" s="349" t="str">
        <f>IF(BL553&lt;0.6,"Demasiado Riesgo",IF(BL553&lt;=5,"Riesgo Medio",IF(BL553&lt;=11,"Riesgo Bajo","Cliente Blindado")))</f>
        <v>Demasiado Riesgo</v>
      </c>
      <c r="BN553" s="349"/>
      <c r="BO553" s="349"/>
      <c r="BP553" s="349"/>
      <c r="BQ553" s="349"/>
      <c r="BR553" s="349"/>
      <c r="BS553" s="349"/>
      <c r="BT553" s="349"/>
      <c r="BU553" s="349"/>
      <c r="BV553" s="349"/>
      <c r="BW553" s="349"/>
      <c r="BX553" s="349"/>
      <c r="BY553" s="349"/>
      <c r="BZ553" s="349"/>
      <c r="CA553" s="349"/>
      <c r="CB553" s="349"/>
      <c r="CC553" s="349"/>
      <c r="CD553" s="349"/>
      <c r="CE553" s="349"/>
      <c r="CF553" s="349"/>
      <c r="CG553" s="349"/>
      <c r="CH553" s="349"/>
      <c r="CI553" s="349"/>
      <c r="CJ553" s="349"/>
      <c r="CK553" s="349"/>
      <c r="CL553" s="349">
        <f>COUNTIF(AT553:BH553,"*OK*")</f>
        <v>0</v>
      </c>
    </row>
    <row r="554" spans="1:90" ht="15" customHeight="1">
      <c r="A554" s="834"/>
      <c r="B554" s="328"/>
      <c r="C554" s="386"/>
      <c r="D554" s="332"/>
      <c r="E554" s="328"/>
      <c r="F554" s="376"/>
      <c r="G554" s="376"/>
      <c r="H554" s="335"/>
      <c r="I554" s="376"/>
      <c r="J554" s="328"/>
      <c r="K554" s="328"/>
      <c r="L554" s="328"/>
      <c r="M554" s="391"/>
      <c r="N554" s="332"/>
      <c r="O554" s="541"/>
      <c r="P554" s="541"/>
      <c r="Q554" s="541"/>
      <c r="R554" s="332"/>
      <c r="S554" s="332"/>
      <c r="T554" s="328"/>
      <c r="U554" s="344"/>
      <c r="V554" s="388"/>
      <c r="W554" s="377"/>
      <c r="X554" s="377"/>
      <c r="Y554" s="378"/>
      <c r="Z554" s="379"/>
      <c r="AA554" s="380"/>
      <c r="AB554" s="380"/>
      <c r="AC554" s="380"/>
      <c r="AD554" s="380"/>
      <c r="AE554" s="327"/>
      <c r="AF554" s="372" t="s">
        <v>103</v>
      </c>
      <c r="AG554" s="344"/>
      <c r="AH554" s="328"/>
      <c r="AI554" s="343"/>
      <c r="AJ554" s="343"/>
      <c r="AK554" s="344"/>
      <c r="AL554" s="372" t="s">
        <v>103</v>
      </c>
      <c r="AM554" s="328"/>
      <c r="AN554" s="328"/>
      <c r="AO554" s="328"/>
      <c r="AP554" s="328"/>
      <c r="AQ554" s="328"/>
      <c r="AR554" s="328"/>
      <c r="AS554" s="328"/>
      <c r="BJ554" s="285">
        <f>COUNTIF(AT554:BI554,"*OP*")</f>
        <v>0</v>
      </c>
      <c r="BK554" s="328"/>
      <c r="BL554" s="328">
        <f>(COUNTIF(AT554:AV554,"*OK*")*3) + (COUNTIF(AW554:AY554,"*OK*")*2) + COUNTIF(AZ554:BB554,"*OK*")+COUNTIF(BK554:BK554,"SI")*0.5</f>
        <v>0</v>
      </c>
      <c r="BM554" s="328" t="str">
        <f>IF(BL554&lt;0.6,"Demasiado Riesgo",IF(BL554&lt;=5,"Riesgo Medio",IF(BL554&lt;=11,"Riesgo Bajo","Cliente Blindado")))</f>
        <v>Demasiado Riesgo</v>
      </c>
      <c r="BN554" s="328"/>
      <c r="BO554" s="328"/>
      <c r="BP554" s="328"/>
      <c r="BQ554" s="328"/>
      <c r="BR554" s="328"/>
      <c r="BS554" s="328"/>
      <c r="BT554" s="328"/>
      <c r="BU554" s="328"/>
      <c r="BV554" s="328"/>
      <c r="BW554" s="328"/>
      <c r="BX554" s="328"/>
      <c r="BY554" s="328"/>
      <c r="BZ554" s="328"/>
      <c r="CA554" s="328"/>
      <c r="CB554" s="328"/>
      <c r="CC554" s="328"/>
      <c r="CD554" s="328"/>
      <c r="CE554" s="328"/>
      <c r="CF554" s="328"/>
      <c r="CG554" s="328"/>
      <c r="CH554" s="328"/>
      <c r="CI554" s="328"/>
      <c r="CJ554" s="328"/>
      <c r="CK554" s="328"/>
      <c r="CL554" s="328">
        <f>COUNTIF(AT554:BH554,"*OK*")</f>
        <v>0</v>
      </c>
    </row>
    <row r="555" spans="1:90" ht="15" customHeight="1">
      <c r="A555" s="835"/>
      <c r="B555" s="349"/>
      <c r="C555" s="385"/>
      <c r="D555" s="352"/>
      <c r="E555" s="349"/>
      <c r="F555" s="368"/>
      <c r="G555" s="368"/>
      <c r="H555" s="335"/>
      <c r="I555" s="368"/>
      <c r="J555" s="349"/>
      <c r="K555" s="349"/>
      <c r="L555" s="349"/>
      <c r="M555" s="553"/>
      <c r="N555" s="352"/>
      <c r="O555" s="540"/>
      <c r="P555" s="540"/>
      <c r="Q555" s="540"/>
      <c r="R555" s="352"/>
      <c r="S555" s="352"/>
      <c r="T555" s="349"/>
      <c r="U555" s="362"/>
      <c r="V555" s="387"/>
      <c r="W555" s="381"/>
      <c r="X555" s="381"/>
      <c r="Y555" s="382"/>
      <c r="Z555" s="383"/>
      <c r="AA555" s="384"/>
      <c r="AB555" s="384"/>
      <c r="AC555" s="384"/>
      <c r="AD555" s="384"/>
      <c r="AE555" s="348"/>
      <c r="AF555" s="371" t="s">
        <v>103</v>
      </c>
      <c r="AG555" s="362"/>
      <c r="AH555" s="349"/>
      <c r="AI555" s="361"/>
      <c r="AJ555" s="361"/>
      <c r="AK555" s="362"/>
      <c r="AL555" s="371" t="s">
        <v>103</v>
      </c>
      <c r="AM555" s="349"/>
      <c r="AN555" s="349"/>
      <c r="AO555" s="349"/>
      <c r="AP555" s="349"/>
      <c r="AQ555" s="349"/>
      <c r="AR555" s="349"/>
      <c r="AS555" s="349"/>
      <c r="BJ555" s="285">
        <f>COUNTIF(AT555:BI555,"*OP*")</f>
        <v>0</v>
      </c>
      <c r="BK555" s="349"/>
      <c r="BL555" s="349">
        <f>(COUNTIF(AT555:AV555,"*OK*")*3) + (COUNTIF(AW555:AY555,"*OK*")*2) + COUNTIF(AZ555:BB555,"*OK*")+COUNTIF(BK555:BK555,"SI")*0.5</f>
        <v>0</v>
      </c>
      <c r="BM555" s="349" t="str">
        <f>IF(BL555&lt;0.6,"Demasiado Riesgo",IF(BL555&lt;=5,"Riesgo Medio",IF(BL555&lt;=11,"Riesgo Bajo","Cliente Blindado")))</f>
        <v>Demasiado Riesgo</v>
      </c>
      <c r="BN555" s="349"/>
      <c r="BO555" s="349"/>
      <c r="BP555" s="349"/>
      <c r="BQ555" s="349"/>
      <c r="BR555" s="349"/>
      <c r="BS555" s="349"/>
      <c r="BT555" s="349"/>
      <c r="BU555" s="349"/>
      <c r="BV555" s="349"/>
      <c r="BW555" s="349"/>
      <c r="BX555" s="349"/>
      <c r="BY555" s="349"/>
      <c r="BZ555" s="349"/>
      <c r="CA555" s="349"/>
      <c r="CB555" s="349"/>
      <c r="CC555" s="349"/>
      <c r="CD555" s="349"/>
      <c r="CE555" s="349"/>
      <c r="CF555" s="349"/>
      <c r="CG555" s="349"/>
      <c r="CH555" s="349"/>
      <c r="CI555" s="349"/>
      <c r="CJ555" s="349"/>
      <c r="CK555" s="349"/>
      <c r="CL555" s="349">
        <f>COUNTIF(AT555:BH555,"*OK*")</f>
        <v>0</v>
      </c>
    </row>
    <row r="556" spans="1:90" ht="15" customHeight="1">
      <c r="A556" s="834"/>
      <c r="B556" s="328"/>
      <c r="C556" s="386"/>
      <c r="D556" s="332"/>
      <c r="E556" s="328"/>
      <c r="F556" s="376"/>
      <c r="G556" s="376"/>
      <c r="H556" s="335"/>
      <c r="I556" s="376"/>
      <c r="J556" s="328"/>
      <c r="K556" s="328"/>
      <c r="L556" s="328"/>
      <c r="M556" s="391"/>
      <c r="N556" s="332"/>
      <c r="O556" s="541"/>
      <c r="P556" s="541"/>
      <c r="Q556" s="541"/>
      <c r="R556" s="332"/>
      <c r="S556" s="332"/>
      <c r="T556" s="328"/>
      <c r="U556" s="344"/>
      <c r="V556" s="388"/>
      <c r="W556" s="377"/>
      <c r="X556" s="377"/>
      <c r="Y556" s="378"/>
      <c r="Z556" s="379"/>
      <c r="AA556" s="380"/>
      <c r="AB556" s="380"/>
      <c r="AC556" s="380"/>
      <c r="AD556" s="380"/>
      <c r="AE556" s="327"/>
      <c r="AF556" s="372" t="s">
        <v>103</v>
      </c>
      <c r="AG556" s="344"/>
      <c r="AH556" s="328"/>
      <c r="AI556" s="343"/>
      <c r="AJ556" s="343"/>
      <c r="AK556" s="344"/>
      <c r="AL556" s="372" t="s">
        <v>103</v>
      </c>
      <c r="AM556" s="328"/>
      <c r="AN556" s="328"/>
      <c r="AO556" s="328"/>
      <c r="AP556" s="328"/>
      <c r="AQ556" s="328"/>
      <c r="AR556" s="328"/>
      <c r="AS556" s="328"/>
      <c r="BJ556" s="285">
        <f>COUNTIF(AT556:BI556,"*OP*")</f>
        <v>0</v>
      </c>
      <c r="BK556" s="328"/>
      <c r="BL556" s="328">
        <f>(COUNTIF(AT556:AV556,"*OK*")*3) + (COUNTIF(AW556:AY556,"*OK*")*2) + COUNTIF(AZ556:BB556,"*OK*")+COUNTIF(BK556:BK556,"SI")*0.5</f>
        <v>0</v>
      </c>
      <c r="BM556" s="328" t="str">
        <f>IF(BL556&lt;0.6,"Demasiado Riesgo",IF(BL556&lt;=5,"Riesgo Medio",IF(BL556&lt;=11,"Riesgo Bajo","Cliente Blindado")))</f>
        <v>Demasiado Riesgo</v>
      </c>
      <c r="BN556" s="328"/>
      <c r="BO556" s="328"/>
      <c r="BP556" s="328"/>
      <c r="BQ556" s="328"/>
      <c r="BR556" s="328"/>
      <c r="BS556" s="328"/>
      <c r="BT556" s="328"/>
      <c r="BU556" s="328"/>
      <c r="BV556" s="328"/>
      <c r="BW556" s="328"/>
      <c r="BX556" s="328"/>
      <c r="BY556" s="328"/>
      <c r="BZ556" s="328"/>
      <c r="CA556" s="328"/>
      <c r="CB556" s="328"/>
      <c r="CC556" s="328"/>
      <c r="CD556" s="328"/>
      <c r="CE556" s="328"/>
      <c r="CF556" s="328"/>
      <c r="CG556" s="328"/>
      <c r="CH556" s="328"/>
      <c r="CI556" s="328"/>
      <c r="CJ556" s="328"/>
      <c r="CK556" s="328"/>
      <c r="CL556" s="328">
        <f>COUNTIF(AT556:BH556,"*OK*")</f>
        <v>0</v>
      </c>
    </row>
    <row r="557" spans="1:90" ht="15" customHeight="1">
      <c r="A557" s="835"/>
      <c r="B557" s="349"/>
      <c r="C557" s="385"/>
      <c r="D557" s="352"/>
      <c r="E557" s="349"/>
      <c r="F557" s="368"/>
      <c r="G557" s="368"/>
      <c r="H557" s="335"/>
      <c r="I557" s="368"/>
      <c r="J557" s="349"/>
      <c r="K557" s="349"/>
      <c r="L557" s="349"/>
      <c r="M557" s="553"/>
      <c r="N557" s="352"/>
      <c r="O557" s="540"/>
      <c r="P557" s="540"/>
      <c r="Q557" s="540"/>
      <c r="R557" s="352"/>
      <c r="S557" s="352"/>
      <c r="T557" s="349"/>
      <c r="U557" s="362"/>
      <c r="V557" s="387"/>
      <c r="W557" s="381"/>
      <c r="X557" s="381"/>
      <c r="Y557" s="382"/>
      <c r="Z557" s="383"/>
      <c r="AA557" s="384"/>
      <c r="AB557" s="384"/>
      <c r="AC557" s="384"/>
      <c r="AD557" s="384"/>
      <c r="AE557" s="348"/>
      <c r="AF557" s="371" t="s">
        <v>103</v>
      </c>
      <c r="AG557" s="362"/>
      <c r="AH557" s="349"/>
      <c r="AI557" s="361"/>
      <c r="AJ557" s="361"/>
      <c r="AK557" s="362"/>
      <c r="AL557" s="371" t="s">
        <v>103</v>
      </c>
      <c r="AM557" s="349"/>
      <c r="AN557" s="349"/>
      <c r="AO557" s="349"/>
      <c r="AP557" s="349"/>
      <c r="AQ557" s="349"/>
      <c r="AR557" s="349"/>
      <c r="AS557" s="349"/>
      <c r="BJ557" s="285">
        <f>COUNTIF(AT557:BI557,"*OP*")</f>
        <v>0</v>
      </c>
      <c r="BK557" s="349"/>
      <c r="BL557" s="349">
        <f>(COUNTIF(AT557:AV557,"*OK*")*3) + (COUNTIF(AW557:AY557,"*OK*")*2) + COUNTIF(AZ557:BB557,"*OK*")+COUNTIF(BK557:BK557,"SI")*0.5</f>
        <v>0</v>
      </c>
      <c r="BM557" s="349" t="str">
        <f>IF(BL557&lt;0.6,"Demasiado Riesgo",IF(BL557&lt;=5,"Riesgo Medio",IF(BL557&lt;=11,"Riesgo Bajo","Cliente Blindado")))</f>
        <v>Demasiado Riesgo</v>
      </c>
      <c r="BN557" s="349"/>
      <c r="BO557" s="349"/>
      <c r="BP557" s="349"/>
      <c r="BQ557" s="349"/>
      <c r="BR557" s="349"/>
      <c r="BS557" s="349"/>
      <c r="BT557" s="349"/>
      <c r="BU557" s="349"/>
      <c r="BV557" s="349"/>
      <c r="BW557" s="349"/>
      <c r="BX557" s="349"/>
      <c r="BY557" s="349"/>
      <c r="BZ557" s="349"/>
      <c r="CA557" s="349"/>
      <c r="CB557" s="349"/>
      <c r="CC557" s="349"/>
      <c r="CD557" s="349"/>
      <c r="CE557" s="349"/>
      <c r="CF557" s="349"/>
      <c r="CG557" s="349"/>
      <c r="CH557" s="349"/>
      <c r="CI557" s="349"/>
      <c r="CJ557" s="349"/>
      <c r="CK557" s="349"/>
      <c r="CL557" s="349">
        <f>COUNTIF(AT557:BH557,"*OK*")</f>
        <v>0</v>
      </c>
    </row>
    <row r="558" spans="1:90" ht="15" customHeight="1">
      <c r="A558" s="834"/>
      <c r="B558" s="328"/>
      <c r="C558" s="386"/>
      <c r="D558" s="332"/>
      <c r="E558" s="328"/>
      <c r="F558" s="376"/>
      <c r="G558" s="376"/>
      <c r="H558" s="335"/>
      <c r="I558" s="376"/>
      <c r="J558" s="328"/>
      <c r="K558" s="328"/>
      <c r="L558" s="328"/>
      <c r="M558" s="391"/>
      <c r="N558" s="332"/>
      <c r="O558" s="541"/>
      <c r="P558" s="541"/>
      <c r="Q558" s="541"/>
      <c r="R558" s="332"/>
      <c r="S558" s="332"/>
      <c r="T558" s="328"/>
      <c r="U558" s="344"/>
      <c r="V558" s="388"/>
      <c r="W558" s="377"/>
      <c r="X558" s="377"/>
      <c r="Y558" s="378"/>
      <c r="Z558" s="379"/>
      <c r="AA558" s="380"/>
      <c r="AB558" s="380"/>
      <c r="AC558" s="380"/>
      <c r="AD558" s="380"/>
      <c r="AE558" s="327"/>
      <c r="AF558" s="372" t="s">
        <v>103</v>
      </c>
      <c r="AG558" s="344"/>
      <c r="AH558" s="328"/>
      <c r="AI558" s="343"/>
      <c r="AJ558" s="343"/>
      <c r="AK558" s="344"/>
      <c r="AL558" s="328"/>
      <c r="AM558" s="328"/>
      <c r="AN558" s="328"/>
      <c r="AO558" s="328"/>
      <c r="AP558" s="328"/>
      <c r="AQ558" s="328"/>
      <c r="AR558" s="328"/>
      <c r="AS558" s="328"/>
      <c r="BJ558" s="285">
        <f>COUNTIF(AT558:BI558,"*OP*")</f>
        <v>0</v>
      </c>
      <c r="BK558" s="328"/>
      <c r="BL558" s="328">
        <f>(COUNTIF(AT558:AV558,"*OK*")*3) + (COUNTIF(AW558:AY558,"*OK*")*2) + COUNTIF(AZ558:BB558,"*OK*")+COUNTIF(BK558:BK558,"SI")*0.5</f>
        <v>0</v>
      </c>
      <c r="BM558" s="328" t="str">
        <f>IF(BL558&lt;0.6,"Demasiado Riesgo",IF(BL558&lt;=5,"Riesgo Medio",IF(BL558&lt;=11,"Riesgo Bajo","Cliente Blindado")))</f>
        <v>Demasiado Riesgo</v>
      </c>
      <c r="BN558" s="328"/>
      <c r="BO558" s="328"/>
      <c r="BP558" s="328"/>
      <c r="BQ558" s="328"/>
      <c r="BR558" s="328"/>
      <c r="BS558" s="328"/>
      <c r="BT558" s="328"/>
      <c r="BU558" s="328"/>
      <c r="BV558" s="328"/>
      <c r="BW558" s="328"/>
      <c r="BX558" s="328"/>
      <c r="BY558" s="328"/>
      <c r="BZ558" s="328"/>
      <c r="CA558" s="328"/>
      <c r="CB558" s="328"/>
      <c r="CC558" s="328"/>
      <c r="CD558" s="328"/>
      <c r="CE558" s="328"/>
      <c r="CF558" s="328"/>
      <c r="CG558" s="328"/>
      <c r="CH558" s="328"/>
      <c r="CI558" s="328"/>
      <c r="CJ558" s="328"/>
      <c r="CK558" s="328"/>
      <c r="CL558" s="328">
        <f>COUNTIF(AT558:BH558,"*OK*")</f>
        <v>0</v>
      </c>
    </row>
    <row r="559" spans="1:90" ht="15" customHeight="1">
      <c r="A559" s="835"/>
      <c r="B559" s="349"/>
      <c r="C559" s="385"/>
      <c r="D559" s="352"/>
      <c r="E559" s="349"/>
      <c r="F559" s="368"/>
      <c r="G559" s="368"/>
      <c r="H559" s="335"/>
      <c r="I559" s="368"/>
      <c r="J559" s="349"/>
      <c r="K559" s="349"/>
      <c r="L559" s="349"/>
      <c r="M559" s="553"/>
      <c r="N559" s="352"/>
      <c r="O559" s="540"/>
      <c r="P559" s="540"/>
      <c r="Q559" s="540"/>
      <c r="R559" s="352"/>
      <c r="S559" s="352"/>
      <c r="T559" s="349"/>
      <c r="U559" s="362"/>
      <c r="V559" s="387"/>
      <c r="W559" s="381"/>
      <c r="X559" s="381"/>
      <c r="Y559" s="382"/>
      <c r="Z559" s="383"/>
      <c r="AA559" s="384"/>
      <c r="AB559" s="384"/>
      <c r="AC559" s="384"/>
      <c r="AD559" s="384"/>
      <c r="AE559" s="348"/>
      <c r="AF559" s="371" t="s">
        <v>103</v>
      </c>
      <c r="AG559" s="362"/>
      <c r="AH559" s="349"/>
      <c r="AI559" s="361"/>
      <c r="AJ559" s="361"/>
      <c r="AK559" s="362"/>
      <c r="AL559" s="349"/>
      <c r="AM559" s="349"/>
      <c r="AN559" s="349"/>
      <c r="AO559" s="349"/>
      <c r="AP559" s="349"/>
      <c r="AQ559" s="349"/>
      <c r="AR559" s="349"/>
      <c r="AS559" s="349"/>
      <c r="BJ559" s="285">
        <f>COUNTIF(AT559:BI559,"*OP*")</f>
        <v>0</v>
      </c>
      <c r="BK559" s="349"/>
      <c r="BL559" s="349"/>
      <c r="BM559" s="349"/>
      <c r="BN559" s="349"/>
      <c r="BO559" s="349"/>
      <c r="BP559" s="349"/>
      <c r="BQ559" s="349"/>
      <c r="BR559" s="349"/>
      <c r="BS559" s="349"/>
      <c r="BT559" s="349"/>
      <c r="BU559" s="349"/>
      <c r="BV559" s="349"/>
      <c r="BW559" s="349"/>
      <c r="BX559" s="349"/>
      <c r="BY559" s="349"/>
      <c r="BZ559" s="349"/>
      <c r="CA559" s="349"/>
      <c r="CB559" s="349"/>
      <c r="CC559" s="349"/>
      <c r="CD559" s="349"/>
      <c r="CE559" s="349"/>
      <c r="CF559" s="349"/>
      <c r="CG559" s="349"/>
      <c r="CH559" s="349"/>
      <c r="CI559" s="349"/>
      <c r="CJ559" s="349"/>
      <c r="CK559" s="349"/>
      <c r="CL559" s="349">
        <f>COUNTIF(AT559:BH559,"*OK*")</f>
        <v>0</v>
      </c>
    </row>
    <row r="560" spans="1:90" ht="15" customHeight="1">
      <c r="A560" s="834"/>
      <c r="B560" s="328"/>
      <c r="C560" s="386"/>
      <c r="D560" s="332"/>
      <c r="E560" s="328"/>
      <c r="F560" s="376"/>
      <c r="G560" s="376"/>
      <c r="H560" s="335"/>
      <c r="I560" s="376"/>
      <c r="J560" s="328"/>
      <c r="K560" s="328"/>
      <c r="L560" s="328"/>
      <c r="M560" s="391"/>
      <c r="N560" s="332"/>
      <c r="O560" s="541"/>
      <c r="P560" s="541"/>
      <c r="Q560" s="541"/>
      <c r="R560" s="332"/>
      <c r="S560" s="332"/>
      <c r="T560" s="328"/>
      <c r="U560" s="344"/>
      <c r="V560" s="388"/>
      <c r="W560" s="377"/>
      <c r="X560" s="377"/>
      <c r="Y560" s="378"/>
      <c r="Z560" s="379"/>
      <c r="AA560" s="380"/>
      <c r="AB560" s="380"/>
      <c r="AC560" s="380"/>
      <c r="AD560" s="380"/>
      <c r="AE560" s="327"/>
      <c r="AF560" s="372" t="s">
        <v>103</v>
      </c>
      <c r="AG560" s="344"/>
      <c r="AH560" s="328"/>
      <c r="AI560" s="343"/>
      <c r="AJ560" s="343"/>
      <c r="AK560" s="344"/>
      <c r="AL560" s="328"/>
      <c r="AM560" s="328"/>
      <c r="AN560" s="328"/>
      <c r="AO560" s="328"/>
      <c r="AP560" s="328"/>
      <c r="AQ560" s="328"/>
      <c r="AR560" s="328"/>
      <c r="AS560" s="328"/>
      <c r="BJ560" s="285">
        <f>COUNTIF(AT560:BI560,"*OP*")</f>
        <v>0</v>
      </c>
      <c r="BK560" s="328"/>
      <c r="BL560" s="328"/>
      <c r="BM560" s="328"/>
      <c r="BN560" s="328"/>
      <c r="BO560" s="328"/>
      <c r="BP560" s="328"/>
      <c r="BQ560" s="328"/>
      <c r="BR560" s="328"/>
      <c r="BS560" s="328"/>
      <c r="BT560" s="328"/>
      <c r="BU560" s="328"/>
      <c r="BV560" s="328"/>
      <c r="BW560" s="328"/>
      <c r="BX560" s="328"/>
      <c r="BY560" s="328"/>
      <c r="BZ560" s="328"/>
      <c r="CA560" s="328"/>
      <c r="CB560" s="328"/>
      <c r="CC560" s="328"/>
      <c r="CD560" s="328"/>
      <c r="CE560" s="328"/>
      <c r="CF560" s="328"/>
      <c r="CG560" s="328"/>
      <c r="CH560" s="328"/>
      <c r="CI560" s="328"/>
      <c r="CJ560" s="328"/>
      <c r="CK560" s="328"/>
      <c r="CL560" s="328">
        <f>COUNTIF(AT560:BH560,"*OK*")</f>
        <v>0</v>
      </c>
    </row>
    <row r="561" spans="1:90" ht="15" customHeight="1">
      <c r="A561" s="835"/>
      <c r="B561" s="349"/>
      <c r="C561" s="385"/>
      <c r="D561" s="352"/>
      <c r="E561" s="349"/>
      <c r="F561" s="368"/>
      <c r="G561" s="368"/>
      <c r="H561" s="335"/>
      <c r="I561" s="368"/>
      <c r="J561" s="349"/>
      <c r="K561" s="349"/>
      <c r="L561" s="349"/>
      <c r="M561" s="553"/>
      <c r="N561" s="352"/>
      <c r="O561" s="540"/>
      <c r="P561" s="540"/>
      <c r="Q561" s="540"/>
      <c r="R561" s="352"/>
      <c r="S561" s="352"/>
      <c r="T561" s="349"/>
      <c r="U561" s="362"/>
      <c r="V561" s="387"/>
      <c r="W561" s="381"/>
      <c r="X561" s="381"/>
      <c r="Y561" s="382"/>
      <c r="Z561" s="383"/>
      <c r="AA561" s="384"/>
      <c r="AB561" s="384"/>
      <c r="AC561" s="384"/>
      <c r="AD561" s="384"/>
      <c r="AE561" s="348"/>
      <c r="AF561" s="371" t="s">
        <v>103</v>
      </c>
      <c r="AG561" s="362"/>
      <c r="AH561" s="349"/>
      <c r="AI561" s="361"/>
      <c r="AJ561" s="361"/>
      <c r="AK561" s="362"/>
      <c r="AL561" s="349"/>
      <c r="AM561" s="349"/>
      <c r="AN561" s="349"/>
      <c r="AO561" s="349"/>
      <c r="AP561" s="349"/>
      <c r="AQ561" s="349"/>
      <c r="AR561" s="349"/>
      <c r="AS561" s="349"/>
      <c r="BJ561" s="285">
        <f>COUNTIF(AT561:BI561,"*OP*")</f>
        <v>0</v>
      </c>
      <c r="BK561" s="349"/>
      <c r="BL561" s="349"/>
      <c r="BM561" s="349"/>
      <c r="BN561" s="349"/>
      <c r="BO561" s="349"/>
      <c r="BP561" s="349"/>
      <c r="BQ561" s="349"/>
      <c r="BR561" s="349"/>
      <c r="BS561" s="349"/>
      <c r="BT561" s="349"/>
      <c r="BU561" s="349"/>
      <c r="BV561" s="349"/>
      <c r="BW561" s="349"/>
      <c r="BX561" s="349"/>
      <c r="BY561" s="349"/>
      <c r="BZ561" s="349"/>
      <c r="CA561" s="349"/>
      <c r="CB561" s="349"/>
      <c r="CC561" s="349"/>
      <c r="CD561" s="349"/>
      <c r="CE561" s="349"/>
      <c r="CF561" s="349"/>
      <c r="CG561" s="349"/>
      <c r="CH561" s="349"/>
      <c r="CI561" s="349"/>
      <c r="CJ561" s="349"/>
      <c r="CK561" s="349"/>
      <c r="CL561" s="349">
        <f>COUNTIF(AT561:BH561,"*OK*")</f>
        <v>0</v>
      </c>
    </row>
  </sheetData>
  <protectedRanges>
    <protectedRange sqref="V512:W561 V3:W497" name="Facturación"/>
    <protectedRange sqref="V498:W511" name="Facturación_1"/>
  </protectedRanges>
  <autoFilter ref="A2:CN561" xr:uid="{00000000-0001-0000-0200-000000000000}">
    <sortState xmlns:xlrd2="http://schemas.microsoft.com/office/spreadsheetml/2017/richdata2" ref="A3:CN561">
      <sortCondition descending="1" ref="C2:C561"/>
    </sortState>
  </autoFilter>
  <sortState xmlns:xlrd2="http://schemas.microsoft.com/office/spreadsheetml/2017/richdata2" ref="A3:CP511">
    <sortCondition ref="E3:E511"/>
  </sortState>
  <conditionalFormatting sqref="A3:B5 A7:B308 B3:B419 A310:B497">
    <cfRule type="containsBlanks" dxfId="241" priority="242">
      <formula>LEN(TRIM(A3))=0</formula>
    </cfRule>
  </conditionalFormatting>
  <conditionalFormatting sqref="A3:C3 A4:B5 I498:J650 U512:AL650 A7:B308 B3:B419 D47:F47 I47:J47 R498:S498 M499:S510 M3:S276 D3:J46 K499:K510 D48:J276 K511:S650 G499:H650 H3:H511 M3:M650 D277:D497 BK277:BM497 AT277:BJ498 U3:AB511 AD3:AL511 AM277:AS650 A310:B497 C4:C512 N277:S497 T3:T650 J3:J650 F277:J497 K3:L497 E277:E650 AM3:BM276">
    <cfRule type="expression" dxfId="240" priority="192">
      <formula>ISODD(ROW())</formula>
    </cfRule>
  </conditionalFormatting>
  <conditionalFormatting sqref="A3:C3 A4:B5 I498:J650 U512:AL650 A7:B308 B3:B419 D47:F47 I47:J47 R498:S498 M499:S510 M3:S276 D3:J46 K499:K510 D48:J276 K511:S650 G499:H650 H3:H511 U3:AB511 AD3:AL511 M3:M650 D277:D497 BK277:BM497 AT277:BJ498 AM277:AS650 A310:B497 C4:C512 N277:S497 T3:T650 J3:J650 F277:J497 K3:L497 E277:E650 AM3:BM276">
    <cfRule type="expression" dxfId="239" priority="193">
      <formula>ISEVEN(ROW())</formula>
    </cfRule>
  </conditionalFormatting>
  <conditionalFormatting sqref="B3:B419 A47:F47 A511:I519 B309:G309 A3:G46 A48:G308 K511:BO519 C4:C512 M3:T510 J460:J519 I3:K510 H3:H519 A310:G510">
    <cfRule type="expression" dxfId="238" priority="191">
      <formula>$M3="Recuperar"</formula>
    </cfRule>
  </conditionalFormatting>
  <conditionalFormatting sqref="M498:N498 G498:K498">
    <cfRule type="expression" dxfId="237" priority="16">
      <formula>ISEVEN(ROW())</formula>
    </cfRule>
    <cfRule type="expression" dxfId="236" priority="17">
      <formula>ISODD(ROW())</formula>
    </cfRule>
  </conditionalFormatting>
  <conditionalFormatting sqref="V512:AD598 V3:AB511 AD3:AD511">
    <cfRule type="expression" dxfId="235" priority="161">
      <formula>AND(V3&lt;U3, U3&gt;0)</formula>
    </cfRule>
    <cfRule type="expression" dxfId="234" priority="164">
      <formula>AND(V3&gt;U3, U3&gt;0)</formula>
    </cfRule>
  </conditionalFormatting>
  <conditionalFormatting sqref="Z3:Z467">
    <cfRule type="expression" dxfId="233" priority="255">
      <formula>ISEVEN(ROW())</formula>
    </cfRule>
  </conditionalFormatting>
  <conditionalFormatting sqref="AC3:AC511">
    <cfRule type="expression" dxfId="232" priority="12">
      <formula>ISODD(ROW())</formula>
    </cfRule>
    <cfRule type="expression" dxfId="231" priority="13">
      <formula>ISEVEN(ROW())</formula>
    </cfRule>
  </conditionalFormatting>
  <conditionalFormatting sqref="AT3:BJ562">
    <cfRule type="containsText" dxfId="230" priority="18" operator="containsText" text="OK">
      <formula>NOT(ISERROR(SEARCH("OK",AT3)))</formula>
    </cfRule>
    <cfRule type="containsText" dxfId="229" priority="19" operator="containsText" text="OP">
      <formula>NOT(ISERROR(SEARCH("OP",AT3)))</formula>
    </cfRule>
    <cfRule type="containsText" dxfId="228" priority="20" operator="containsText" text="NO">
      <formula>NOT(ISERROR(SEARCH("NO",AT3)))</formula>
    </cfRule>
  </conditionalFormatting>
  <conditionalFormatting sqref="AT499:CN650 BK3:CN6 BK7:BP7 BR7:CN7 BK8:CN498">
    <cfRule type="expression" dxfId="227" priority="155">
      <formula>AND(ISODD(ROW()),LEN(TRIM(AT3))=0)</formula>
    </cfRule>
  </conditionalFormatting>
  <conditionalFormatting sqref="BK3:CN6 BK7:BP7 BR7:CN7 AT499:CN650 BK8:CN498">
    <cfRule type="expression" dxfId="226" priority="156">
      <formula>AND(ISEVEN(ROW()),LEN(TRIM(AT3))=0)</formula>
    </cfRule>
  </conditionalFormatting>
  <conditionalFormatting sqref="BL2:BM2">
    <cfRule type="containsText" dxfId="225" priority="198" operator="containsText" text="NO">
      <formula>NOT(ISERROR(SEARCH("NO",BL2)))</formula>
    </cfRule>
    <cfRule type="containsText" dxfId="224" priority="199" operator="containsText" text="SI">
      <formula>NOT(ISERROR(SEARCH("SI",BL2)))</formula>
    </cfRule>
  </conditionalFormatting>
  <conditionalFormatting sqref="BM1:BM1048576">
    <cfRule type="containsText" dxfId="223" priority="194" operator="containsText" text="Riesgo bajo">
      <formula>NOT(ISERROR(SEARCH("Riesgo bajo",BM1)))</formula>
    </cfRule>
    <cfRule type="containsText" dxfId="222" priority="195" operator="containsText" text="Cliente blindado">
      <formula>NOT(ISERROR(SEARCH("Cliente blindado",BM1)))</formula>
    </cfRule>
    <cfRule type="containsText" dxfId="221" priority="196" operator="containsText" text="Riesgo medio">
      <formula>NOT(ISERROR(SEARCH("Riesgo medio",BM1)))</formula>
    </cfRule>
    <cfRule type="containsText" dxfId="220" priority="197" operator="containsText" text="Demasiado riesgo">
      <formula>NOT(ISERROR(SEARCH("Demasiado riesgo",BM1)))</formula>
    </cfRule>
  </conditionalFormatting>
  <conditionalFormatting sqref="L499:L510">
    <cfRule type="expression" dxfId="219" priority="8">
      <formula>ISODD(ROW())</formula>
    </cfRule>
  </conditionalFormatting>
  <conditionalFormatting sqref="L499:L510">
    <cfRule type="expression" dxfId="218" priority="9">
      <formula>ISEVEN(ROW())</formula>
    </cfRule>
  </conditionalFormatting>
  <conditionalFormatting sqref="L498">
    <cfRule type="expression" dxfId="217" priority="6">
      <formula>ISEVEN(ROW())</formula>
    </cfRule>
    <cfRule type="expression" dxfId="216" priority="7">
      <formula>ISODD(ROW())</formula>
    </cfRule>
  </conditionalFormatting>
  <conditionalFormatting sqref="A6:B6">
    <cfRule type="containsBlanks" dxfId="215" priority="3">
      <formula>LEN(TRIM(A6))=0</formula>
    </cfRule>
  </conditionalFormatting>
  <conditionalFormatting sqref="A6:B6">
    <cfRule type="expression" dxfId="214" priority="1">
      <formula>ISODD(ROW())</formula>
    </cfRule>
  </conditionalFormatting>
  <conditionalFormatting sqref="A6:B6">
    <cfRule type="expression" dxfId="213" priority="2">
      <formula>ISEVEN(ROW())</formula>
    </cfRule>
  </conditionalFormatting>
  <dataValidations count="2">
    <dataValidation allowBlank="1" showInputMessage="1" showErrorMessage="1" sqref="Q350:R361 Q363:R374 N497:S1048576 Q277:R348 S277:S293 N1:S276 N277:P468 Q376:R468 S295:S468" xr:uid="{D034EE26-D0D1-4118-8214-B6C8FF364CD6}"/>
    <dataValidation type="list" allowBlank="1" showInputMessage="1" showErrorMessage="1" sqref="BN3:BN561" xr:uid="{5EA632B7-8DA5-4878-B9AD-7E10336AE5A2}">
      <formula1>"Pedir referido,Usar como referencia,Ambos"</formula1>
    </dataValidation>
  </dataValidations>
  <hyperlinks>
    <hyperlink ref="F62" r:id="rId1" xr:uid="{80881E67-F1CA-483C-AC57-01EB78C545BB}"/>
    <hyperlink ref="F30" r:id="rId2" xr:uid="{73C493AC-6D36-485B-B844-465299D83A1A}"/>
    <hyperlink ref="F18" r:id="rId3" xr:uid="{88EC719F-FE2E-426E-A215-47C71AEF6944}"/>
    <hyperlink ref="F4" r:id="rId4" xr:uid="{647A0413-0527-4465-A77D-C6DF29634DD8}"/>
    <hyperlink ref="F21" r:id="rId5" xr:uid="{BAAC934D-A8DD-4533-AA2F-CE31A7EC6DA6}"/>
    <hyperlink ref="F7" r:id="rId6" xr:uid="{CEFD425C-A249-463D-9F18-4CD13E33D644}"/>
    <hyperlink ref="F5" r:id="rId7" display="SERVICIOS INTEGRALES RAMPER" xr:uid="{75C0BEFF-2D46-4B83-87C9-8F0D5C0AA567}"/>
    <hyperlink ref="F9" r:id="rId8" xr:uid="{A610A27A-D2EB-4DB7-90AE-A380CB179883}"/>
    <hyperlink ref="F8" r:id="rId9" xr:uid="{D09048C7-1EE1-466E-8652-705ABCA04740}"/>
    <hyperlink ref="F13" r:id="rId10" xr:uid="{E73E315F-F7FD-4E12-ABDD-8F21F2ECBCE0}"/>
    <hyperlink ref="F12" r:id="rId11" xr:uid="{14AD711E-DC39-4372-8CBE-04402CEF40E7}"/>
    <hyperlink ref="F33" r:id="rId12" xr:uid="{95630850-C7B5-4462-9992-EAE7A3E332A0}"/>
    <hyperlink ref="F376" r:id="rId13" xr:uid="{CD76B4BF-6AF4-436C-B8DB-A9DCBB46BAC3}"/>
    <hyperlink ref="F38" r:id="rId14" xr:uid="{A228C291-CB39-4C82-BB16-3658AAB77058}"/>
    <hyperlink ref="F144" r:id="rId15" xr:uid="{2240EC71-4564-441A-B1B2-13473118AE72}"/>
    <hyperlink ref="F216" r:id="rId16" xr:uid="{1BCF895B-AAFB-426C-A633-DE4CFE4D7819}"/>
    <hyperlink ref="F496" r:id="rId17" xr:uid="{C9D05962-472F-41BA-946C-BE88392E23F9}"/>
    <hyperlink ref="F162" r:id="rId18" xr:uid="{85F9A5BB-0119-4B1E-816F-046A46076613}"/>
    <hyperlink ref="F465" r:id="rId19" xr:uid="{1740F1F1-DEDF-4C58-99AF-632D5BB95969}"/>
    <hyperlink ref="F136" r:id="rId20" xr:uid="{200915FE-2E9F-4731-AFEA-FCD60495275B}"/>
    <hyperlink ref="F340" r:id="rId21" xr:uid="{53A2ECAE-1F81-417C-B6E5-E8645D8A79BD}"/>
    <hyperlink ref="F139" r:id="rId22" xr:uid="{BA642291-FED2-4108-ACC1-69057C1D167A}"/>
    <hyperlink ref="F190" r:id="rId23" xr:uid="{234D34F7-1A1F-4CCF-A041-AD0DA3674F84}"/>
    <hyperlink ref="F469" r:id="rId24" xr:uid="{C72D6AC6-9D84-4C0D-8AC5-CB0B6466C20C}"/>
    <hyperlink ref="F339" r:id="rId25" xr:uid="{27A2F3E7-611D-47A5-B123-418B25C8648C}"/>
    <hyperlink ref="F109" r:id="rId26" xr:uid="{1DE35F0A-A246-45B5-9BE9-B69571FF0280}"/>
    <hyperlink ref="F205" r:id="rId27" xr:uid="{C9115EAD-550F-4EDC-9568-6A573FEB70D5}"/>
    <hyperlink ref="F207" r:id="rId28" xr:uid="{EBCF17A8-B9FC-4D82-B661-A99DC3FD1D6D}"/>
    <hyperlink ref="F466" r:id="rId29" xr:uid="{EFAF4537-5704-413E-BD0C-0BA87C0805F4}"/>
    <hyperlink ref="F41" r:id="rId30" xr:uid="{D2DA3021-FD6B-4A78-B8A4-59BDF3B98DE6}"/>
    <hyperlink ref="F85" r:id="rId31" xr:uid="{5A66A79A-0664-4CC6-89F9-98F9482E547B}"/>
    <hyperlink ref="F244" r:id="rId32" xr:uid="{DAC0970E-247F-4A01-B40B-D83AC7C608EA}"/>
    <hyperlink ref="F182" r:id="rId33" xr:uid="{0EA934FD-CA51-45A3-92F1-7E8CD57D1F58}"/>
    <hyperlink ref="F36" r:id="rId34" xr:uid="{61705178-5A7E-48F1-82CE-4F30A286C329}"/>
    <hyperlink ref="F500" r:id="rId35" xr:uid="{B7040831-3784-4F51-8E56-27CE8DCACF9E}"/>
    <hyperlink ref="F454" r:id="rId36" xr:uid="{54AF8DD9-F3BD-4855-B27A-CF044FCCC77D}"/>
    <hyperlink ref="F52" r:id="rId37" xr:uid="{7D18DEE3-E01B-4EFF-BD76-D42440256101}"/>
    <hyperlink ref="F455" r:id="rId38" xr:uid="{B5770B17-F791-4E47-BC65-172709E90336}"/>
    <hyperlink ref="F51" r:id="rId39" xr:uid="{585943CD-541E-4418-BCB1-D52F657153C3}"/>
    <hyperlink ref="F473" r:id="rId40" xr:uid="{F4B2FC62-89E3-4189-8E0E-DC6E28935696}"/>
    <hyperlink ref="F27" r:id="rId41" xr:uid="{14BFBC9D-1553-4FB7-BE2F-F778358C7401}"/>
    <hyperlink ref="F214" r:id="rId42" xr:uid="{01C683FB-3D12-4E5F-8326-6402D78DC78B}"/>
    <hyperlink ref="F183" r:id="rId43" xr:uid="{5DFE119E-1777-490A-9367-E724EE56643D}"/>
    <hyperlink ref="Q102" r:id="rId44" xr:uid="{9AEB4020-D83D-4EA5-8F43-77ECE25C56B6}"/>
    <hyperlink ref="Q159" r:id="rId45" display="mailto:gcastro@interalimen.com" xr:uid="{104B7DA6-F1A9-4894-9AB7-D9E331722394}"/>
    <hyperlink ref="Q17" r:id="rId46" xr:uid="{D65CEFCA-A77F-4AC6-9B7F-5CCD9B09DA7A}"/>
    <hyperlink ref="Q49" r:id="rId47" xr:uid="{92E12D01-0786-4D16-8CCC-5387C2BF3C5D}"/>
    <hyperlink ref="Q83" r:id="rId48" xr:uid="{062D0503-BB28-4DAF-B16A-DB1A3B8B04E9}"/>
    <hyperlink ref="Q88" r:id="rId49" xr:uid="{78BC6659-6426-4CCA-98EA-A859E5C7EC2B}"/>
    <hyperlink ref="Q141" r:id="rId50" xr:uid="{F58F9D2F-EF4B-43CE-A961-5E8869EC86F9}"/>
    <hyperlink ref="Q18" r:id="rId51" xr:uid="{E8FB6B3A-943C-49CD-866A-40E6F30AE4C7}"/>
    <hyperlink ref="Q26" r:id="rId52" xr:uid="{A0370226-7609-44A6-BA81-BD49B1B889DF}"/>
    <hyperlink ref="Q69" r:id="rId53" xr:uid="{E0788513-F698-483B-9F4A-D460B2884B5A}"/>
    <hyperlink ref="Q92" r:id="rId54" xr:uid="{65A3758E-4AAA-4FDC-B555-02F8F5B6FCF6}"/>
    <hyperlink ref="Q153" r:id="rId55" xr:uid="{32D2D2BF-4BB1-4C22-BE7B-680804BD38CA}"/>
    <hyperlink ref="Q290" r:id="rId56" xr:uid="{F1B020F2-38BC-4E56-9C90-C89B45D3726A}"/>
    <hyperlink ref="F171" r:id="rId57" xr:uid="{F1E2959A-F3FA-4C45-855E-41246BBFABBD}"/>
  </hyperlinks>
  <pageMargins left="0.7" right="0.7" top="0.75" bottom="0.75" header="0.3" footer="0.3"/>
  <legacyDrawing r:id="rId58"/>
  <extLst>
    <ext xmlns:x14="http://schemas.microsoft.com/office/spreadsheetml/2009/9/main" uri="{CCE6A557-97BC-4b89-ADB6-D9C93CAAB3DF}">
      <x14:dataValidations xmlns:xm="http://schemas.microsoft.com/office/excel/2006/main" count="3">
        <x14:dataValidation type="list" allowBlank="1" showInputMessage="1" showErrorMessage="1" xr:uid="{0F1F109D-6AB8-4A9D-83B1-0285326A8437}">
          <x14:formula1>
            <xm:f>'Info general'!$K$2:$K$6</xm:f>
          </x14:formula1>
          <xm:sqref>AN3:AN561</xm:sqref>
        </x14:dataValidation>
        <x14:dataValidation type="list" allowBlank="1" showInputMessage="1" showErrorMessage="1" xr:uid="{C4747D54-EBFF-4C98-8A69-B02E381F4C0D}">
          <x14:formula1>
            <xm:f>'Info general'!$N$2:$N$7</xm:f>
          </x14:formula1>
          <xm:sqref>AO3:AO561</xm:sqref>
        </x14:dataValidation>
        <x14:dataValidation type="list" allowBlank="1" showInputMessage="1" showErrorMessage="1" xr:uid="{5DF4692F-1D1E-48FB-BDE2-991E1A3437EC}">
          <x14:formula1>
            <xm:f>'Info general'!$G$2:$G$7</xm:f>
          </x14:formula1>
          <xm:sqref>M3:M561 AM3:AM561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44E67-B748-4247-BC54-7DF0FECA5FA7}">
  <dimension ref="G2:G16"/>
  <sheetViews>
    <sheetView workbookViewId="0">
      <selection activeCell="G5" sqref="G5"/>
    </sheetView>
  </sheetViews>
  <sheetFormatPr defaultRowHeight="15"/>
  <sheetData>
    <row r="2" spans="7:7">
      <c r="G2" s="892" t="s">
        <v>2776</v>
      </c>
    </row>
    <row r="3" spans="7:7">
      <c r="G3" s="893" t="s">
        <v>490</v>
      </c>
    </row>
    <row r="4" spans="7:7">
      <c r="G4" s="892" t="s">
        <v>1536</v>
      </c>
    </row>
    <row r="5" spans="7:7">
      <c r="G5" s="893" t="s">
        <v>447</v>
      </c>
    </row>
    <row r="6" spans="7:7">
      <c r="G6" s="892" t="s">
        <v>2777</v>
      </c>
    </row>
    <row r="7" spans="7:7">
      <c r="G7" s="893" t="s">
        <v>1638</v>
      </c>
    </row>
    <row r="8" spans="7:7">
      <c r="G8" s="892" t="s">
        <v>2778</v>
      </c>
    </row>
    <row r="9" spans="7:7">
      <c r="G9" s="893" t="s">
        <v>302</v>
      </c>
    </row>
    <row r="10" spans="7:7">
      <c r="G10" s="892" t="s">
        <v>486</v>
      </c>
    </row>
    <row r="11" spans="7:7">
      <c r="G11" s="893" t="s">
        <v>963</v>
      </c>
    </row>
    <row r="12" spans="7:7">
      <c r="G12" s="892" t="s">
        <v>2779</v>
      </c>
    </row>
    <row r="13" spans="7:7">
      <c r="G13" s="893" t="s">
        <v>2780</v>
      </c>
    </row>
    <row r="14" spans="7:7">
      <c r="G14" s="892" t="s">
        <v>1075</v>
      </c>
    </row>
    <row r="15" spans="7:7">
      <c r="G15" s="892" t="s">
        <v>2781</v>
      </c>
    </row>
    <row r="16" spans="7:7">
      <c r="G16" s="893" t="s">
        <v>254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AB599-BEFC-4452-96BC-731757ACA9FD}">
  <dimension ref="A1:O100"/>
  <sheetViews>
    <sheetView workbookViewId="0">
      <selection activeCell="F88" sqref="F88"/>
    </sheetView>
  </sheetViews>
  <sheetFormatPr defaultColWidth="8.85546875" defaultRowHeight="15"/>
  <cols>
    <col min="1" max="1" width="19" customWidth="1"/>
    <col min="2" max="5" width="17.140625" customWidth="1"/>
    <col min="6" max="6" width="13.28515625" customWidth="1"/>
    <col min="7" max="7" width="11.85546875" customWidth="1"/>
    <col min="8" max="8" width="17.140625" customWidth="1"/>
    <col min="10" max="10" width="12.28515625" customWidth="1"/>
    <col min="12" max="12" width="10.85546875" customWidth="1"/>
    <col min="15" max="15" width="14.28515625" customWidth="1"/>
  </cols>
  <sheetData>
    <row r="1" spans="1:15" ht="18.399999999999999">
      <c r="A1" s="241" t="s">
        <v>2782</v>
      </c>
      <c r="B1" s="241"/>
      <c r="C1" s="241"/>
      <c r="D1" s="241"/>
      <c r="E1" s="241"/>
      <c r="F1" s="241"/>
      <c r="G1" s="241"/>
      <c r="H1" s="241"/>
    </row>
    <row r="2" spans="1:15">
      <c r="A2" s="242" t="s">
        <v>2783</v>
      </c>
      <c r="B2" s="242" t="s">
        <v>76</v>
      </c>
      <c r="C2" s="242" t="s">
        <v>562</v>
      </c>
      <c r="D2" s="242" t="s">
        <v>2784</v>
      </c>
      <c r="E2" s="242" t="s">
        <v>2785</v>
      </c>
      <c r="F2" s="242"/>
      <c r="G2" s="242" t="s">
        <v>2786</v>
      </c>
      <c r="H2" s="242" t="s">
        <v>2787</v>
      </c>
      <c r="K2" s="251" t="s">
        <v>2788</v>
      </c>
      <c r="L2" s="62" t="s">
        <v>4</v>
      </c>
      <c r="M2" s="62" t="s">
        <v>2789</v>
      </c>
      <c r="N2" s="62" t="s">
        <v>2790</v>
      </c>
      <c r="O2" s="252" t="s">
        <v>2791</v>
      </c>
    </row>
    <row r="3" spans="1:15">
      <c r="A3" t="s">
        <v>22</v>
      </c>
      <c r="B3" s="43">
        <f>SUMIFS('Ventas 2026'!$M:$M,'Ventas 2026'!$E:$E,"Cross selling",'Ventas 2026'!$P:$P,"ENTERPRISE",'Ventas 2026'!$C:$C,"Enero")</f>
        <v>0</v>
      </c>
      <c r="C3" s="43">
        <f>SUMIFS('Ventas 2026'!$M:$M,'Ventas 2026'!$E:$E,"Cross selling",'Ventas 2026'!$P:$P,"SMB",'Ventas 2026'!$C:$C,"Enero")</f>
        <v>0</v>
      </c>
      <c r="D3" s="43">
        <f>SUMIFS('Ventas 2026'!$M:$M,'Ventas 2026'!$E:$E,"Cross selling",'Ventas 2026'!$P:$P,"Sin dato",'Ventas 2026'!$C:$C,"Enero")</f>
        <v>0</v>
      </c>
      <c r="E3" s="43">
        <f t="shared" ref="E3:E14" si="0">B3+C3+D3</f>
        <v>0</v>
      </c>
      <c r="F3" s="43"/>
      <c r="G3" s="43" t="s">
        <v>2788</v>
      </c>
      <c r="H3" s="43">
        <f>SUM(E3:E5)</f>
        <v>0</v>
      </c>
      <c r="K3" s="253" t="s">
        <v>588</v>
      </c>
      <c r="L3" s="43">
        <f>B37+B38+B39</f>
        <v>0</v>
      </c>
      <c r="M3" t="s">
        <v>2792</v>
      </c>
      <c r="N3" s="56">
        <f>AVERAGE(G88:G90)</f>
        <v>9.9004551528760337E-3</v>
      </c>
      <c r="O3" s="254" t="s">
        <v>2793</v>
      </c>
    </row>
    <row r="4" spans="1:15">
      <c r="A4" t="s">
        <v>23</v>
      </c>
      <c r="B4" s="43">
        <f>SUMIFS('Ventas 2026'!$M:$M,'Ventas 2026'!$E:$E,"Cross selling",'Ventas 2026'!$P:$P,"ENTERPRISE",'Ventas 2026'!$C:$C,"Febrero")</f>
        <v>0</v>
      </c>
      <c r="C4" s="43">
        <f>SUMIFS('Ventas 2026'!$M:$M,'Ventas 2026'!$E:$E,"Cross selling",'Ventas 2026'!$P:$P,"SMB",'Ventas 2026'!$C:$C,"Febrero")</f>
        <v>0</v>
      </c>
      <c r="D4" s="43">
        <f>SUMIFS('Ventas 2026'!$M:$M,'Ventas 2026'!$E:$E,"Cross selling",'Ventas 2026'!$P:$P,"Sin dato",'Ventas 2026'!$C:$C,"Febrero")</f>
        <v>0</v>
      </c>
      <c r="E4" s="43">
        <f t="shared" si="0"/>
        <v>0</v>
      </c>
      <c r="F4" s="43"/>
      <c r="G4" s="43" t="s">
        <v>2794</v>
      </c>
      <c r="H4" s="43">
        <f>SUM(E6:E8)</f>
        <v>0</v>
      </c>
      <c r="K4" s="253" t="s">
        <v>2795</v>
      </c>
      <c r="L4" s="43">
        <f>D37+D38+D39</f>
        <v>0</v>
      </c>
      <c r="M4" t="s">
        <v>2796</v>
      </c>
      <c r="N4" s="56">
        <f>AVERAGE(K88:K90)</f>
        <v>5.0548041869954083E-3</v>
      </c>
      <c r="O4" s="254" t="s">
        <v>2793</v>
      </c>
    </row>
    <row r="5" spans="1:15">
      <c r="A5" t="s">
        <v>24</v>
      </c>
      <c r="B5" s="43">
        <f>SUMIFS('Ventas 2026'!$M:$M,'Ventas 2026'!$E:$E,"Cross selling",'Ventas 2026'!$P:$P,"ENTERPRISE",'Ventas 2026'!$C:$C,"Marzo")</f>
        <v>0</v>
      </c>
      <c r="C5" s="43">
        <f>SUMIFS('Ventas 2026'!$M:$M,'Ventas 2026'!$E:$E,"Cross selling",'Ventas 2026'!$P:$P,"SMB",'Ventas 2026'!$C:$C,"Marzo")</f>
        <v>0</v>
      </c>
      <c r="D5" s="43">
        <f>SUMIFS('Ventas 2026'!$M:$M,'Ventas 2026'!$E:$E,"Cross selling",'Ventas 2026'!$P:$P,"Sin dato",'Ventas 2026'!$C:$C,"Marzo")</f>
        <v>0</v>
      </c>
      <c r="E5" s="43">
        <f t="shared" si="0"/>
        <v>0</v>
      </c>
      <c r="F5" s="43"/>
      <c r="G5" s="43" t="s">
        <v>2797</v>
      </c>
      <c r="H5" s="43">
        <f>SUM(E9:E11)</f>
        <v>0</v>
      </c>
      <c r="K5" s="255" t="s">
        <v>417</v>
      </c>
      <c r="L5" s="256">
        <f>SUM(C37:C39)</f>
        <v>0</v>
      </c>
      <c r="M5" s="257" t="s">
        <v>2798</v>
      </c>
      <c r="N5" s="258">
        <f>AVERAGE(I88:I90)</f>
        <v>1.0611343710019788E-2</v>
      </c>
      <c r="O5" s="259" t="s">
        <v>2799</v>
      </c>
    </row>
    <row r="6" spans="1:15">
      <c r="A6" t="s">
        <v>25</v>
      </c>
      <c r="B6" s="43">
        <f>SUMIFS('Ventas 2026'!$M:$M,'Ventas 2026'!$E:$E,"Cross selling",'Ventas 2026'!$P:$P,"ENTERPRISE",'Ventas 2026'!$C:$C,"Abril")</f>
        <v>0</v>
      </c>
      <c r="C6" s="43">
        <f>SUMIFS('Ventas 2026'!$M:$M,'Ventas 2026'!$E:$E,"Cross selling",'Ventas 2026'!$P:$P,"SMB",'Ventas 2026'!$C:$C,"Abril")</f>
        <v>0</v>
      </c>
      <c r="D6" s="43">
        <f>SUMIFS('Ventas 2026'!$M:$M,'Ventas 2026'!$E:$E,"Cross selling",'Ventas 2026'!$P:$P,"Sin dato",'Ventas 2026'!$C:$C,"Abril")</f>
        <v>0</v>
      </c>
      <c r="E6" s="43">
        <f t="shared" si="0"/>
        <v>0</v>
      </c>
      <c r="F6" s="43"/>
      <c r="G6" s="43" t="s">
        <v>2800</v>
      </c>
      <c r="H6" s="43">
        <f>SUM(E12:E14)</f>
        <v>0</v>
      </c>
    </row>
    <row r="7" spans="1:15">
      <c r="A7" t="s">
        <v>26</v>
      </c>
      <c r="B7" s="43">
        <f>SUMIFS('Ventas 2026'!$M:$M,'Ventas 2026'!$E:$E,"Cross selling",'Ventas 2026'!$P:$P,"ENTERPRISE",'Ventas 2026'!$C:$C,"Mayo")</f>
        <v>0</v>
      </c>
      <c r="C7" s="43">
        <f>SUMIFS('Ventas 2026'!$M:$M,'Ventas 2026'!$E:$E,"Cross selling",'Ventas 2026'!$P:$P,"SMB",'Ventas 2026'!$C:$C,"Mayo")</f>
        <v>0</v>
      </c>
      <c r="D7" s="43">
        <f>SUMIFS('Ventas 2026'!$M:$M,'Ventas 2026'!$E:$E,"Cross selling",'Ventas 2026'!$P:$P,"Sin dato",'Ventas 2026'!$C:$C,"Mayo")</f>
        <v>0</v>
      </c>
      <c r="E7" s="43">
        <f t="shared" si="0"/>
        <v>0</v>
      </c>
      <c r="F7" s="43"/>
      <c r="G7" s="43"/>
      <c r="H7" s="43"/>
    </row>
    <row r="8" spans="1:15">
      <c r="A8" t="s">
        <v>27</v>
      </c>
      <c r="B8" s="43">
        <f>SUMIFS('Ventas 2026'!$M:$M,'Ventas 2026'!$E:$E,"Cross selling",'Ventas 2026'!$P:$P,"ENTERPRISE",'Ventas 2026'!$C:$C,"Junio")</f>
        <v>0</v>
      </c>
      <c r="C8" s="43">
        <f>SUMIFS('Ventas 2026'!$M:$M,'Ventas 2026'!$E:$E,"Cross selling",'Ventas 2026'!$P:$P,"SMB",'Ventas 2026'!$C:$C,"Junio")</f>
        <v>0</v>
      </c>
      <c r="D8" s="43">
        <f>SUMIFS('Ventas 2026'!$M:$M,'Ventas 2026'!$E:$E,"Cross selling",'Ventas 2026'!$P:$P,"Sin dato",'Ventas 2026'!$C:$C,"Junio")</f>
        <v>0</v>
      </c>
      <c r="E8" s="43">
        <f t="shared" si="0"/>
        <v>0</v>
      </c>
      <c r="F8" s="43"/>
      <c r="G8" s="43"/>
      <c r="H8" s="43"/>
      <c r="L8" t="s">
        <v>2801</v>
      </c>
    </row>
    <row r="9" spans="1:15">
      <c r="A9" t="s">
        <v>28</v>
      </c>
      <c r="B9" s="43">
        <f>SUMIFS('Ventas 2026'!$M:$M,'Ventas 2026'!$E:$E,"Cross selling",'Ventas 2026'!$P:$P,"ENTERPRISE",'Ventas 2026'!$C:$C,"Julio")</f>
        <v>0</v>
      </c>
      <c r="C9" s="43">
        <f>SUMIFS('Ventas 2026'!$M:$M,'Ventas 2026'!$E:$E,"Cross selling",'Ventas 2026'!$P:$P,"SMB",'Ventas 2026'!$C:$C,"Julio")</f>
        <v>0</v>
      </c>
      <c r="D9" s="43">
        <f>SUMIFS('Ventas 2026'!$M:$M,'Ventas 2026'!$E:$E,"Cross selling",'Ventas 2026'!$P:$P,"Sin dato",'Ventas 2026'!$C:$C,"Julio")</f>
        <v>0</v>
      </c>
      <c r="E9" s="43">
        <f t="shared" si="0"/>
        <v>0</v>
      </c>
      <c r="F9" s="43"/>
      <c r="G9" s="43"/>
      <c r="H9" s="43"/>
      <c r="K9" s="251" t="s">
        <v>2794</v>
      </c>
      <c r="L9" s="62" t="s">
        <v>4</v>
      </c>
      <c r="M9" s="62" t="s">
        <v>2789</v>
      </c>
      <c r="N9" s="62" t="s">
        <v>2790</v>
      </c>
      <c r="O9" s="252" t="s">
        <v>2791</v>
      </c>
    </row>
    <row r="10" spans="1:15">
      <c r="A10" t="s">
        <v>29</v>
      </c>
      <c r="B10" s="43">
        <f>SUMIFS('Ventas 2026'!$M:$M,'Ventas 2026'!$E:$E,"Cross selling",'Ventas 2026'!$P:$P,"ENTERPRISE",'Ventas 2026'!$C:$C,"Agosto")</f>
        <v>0</v>
      </c>
      <c r="C10" s="43">
        <f>SUMIFS('Ventas 2026'!$M:$M,'Ventas 2026'!$E:$E,"Cross selling",'Ventas 2026'!$P:$P,"SMB",'Ventas 2026'!$C:$C,"Agosto")</f>
        <v>0</v>
      </c>
      <c r="D10" s="43">
        <f>SUMIFS('Ventas 2026'!$M:$M,'Ventas 2026'!$E:$E,"Cross selling",'Ventas 2026'!$P:$P,"Sin dato",'Ventas 2026'!$C:$C,"Agosto")</f>
        <v>0</v>
      </c>
      <c r="E10" s="43">
        <f t="shared" si="0"/>
        <v>0</v>
      </c>
      <c r="F10" s="43"/>
      <c r="G10" s="43"/>
      <c r="H10" s="43"/>
      <c r="K10" s="253" t="s">
        <v>588</v>
      </c>
      <c r="L10" s="43">
        <f>SUM(B40:B42)</f>
        <v>0</v>
      </c>
      <c r="N10" s="56">
        <f>AVERAGE(G91:G93)</f>
        <v>2.291285406936408E-2</v>
      </c>
      <c r="O10" s="254"/>
    </row>
    <row r="11" spans="1:15">
      <c r="A11" t="s">
        <v>30</v>
      </c>
      <c r="B11" s="43">
        <f>SUMIFS('Ventas 2026'!$M:$M,'Ventas 2026'!$E:$E,"Cross selling",'Ventas 2026'!$P:$P,"ENTERPRISE",'Ventas 2026'!$C:$C,"Septiembre")</f>
        <v>0</v>
      </c>
      <c r="C11" s="43">
        <f>SUMIFS('Ventas 2026'!$M:$M,'Ventas 2026'!$E:$E,"Cross selling",'Ventas 2026'!$P:$P,"SMB",'Ventas 2026'!$C:$C,"Septiembre")</f>
        <v>0</v>
      </c>
      <c r="D11" s="43">
        <f>SUMIFS('Ventas 2026'!$M:$M,'Ventas 2026'!$E:$E,"Cross selling",'Ventas 2026'!$P:$P,"Sin dato",'Ventas 2026'!$C:$C,"Septiembre")</f>
        <v>0</v>
      </c>
      <c r="E11" s="43">
        <f t="shared" si="0"/>
        <v>0</v>
      </c>
      <c r="F11" s="43"/>
      <c r="G11" s="43"/>
      <c r="H11" s="43"/>
      <c r="K11" s="253" t="s">
        <v>2795</v>
      </c>
      <c r="L11" s="43">
        <f>SUM(D40:D42)</f>
        <v>0</v>
      </c>
      <c r="N11" s="56">
        <f>AVERAGE(I91:I93)</f>
        <v>7.9379989311852313E-3</v>
      </c>
      <c r="O11" s="254"/>
    </row>
    <row r="12" spans="1:15">
      <c r="A12" t="s">
        <v>2802</v>
      </c>
      <c r="B12" s="43">
        <f>SUMIFS('Ventas 2026'!$M:$M,'Ventas 2026'!$E:$E,"Cross selling",'Ventas 2026'!$P:$P,"ENTERPRISE",'Ventas 2026'!$C:$C,"Octubre")</f>
        <v>0</v>
      </c>
      <c r="C12" s="43">
        <f>SUMIFS('Ventas 2026'!$M:$M,'Ventas 2026'!$E:$E,"Cross selling",'Ventas 2026'!$P:$P,"SMB",'Ventas 2026'!$C:$C,"Octubre")</f>
        <v>0</v>
      </c>
      <c r="D12" s="43">
        <f>SUMIFS('Ventas 2026'!$M:$M,'Ventas 2026'!$E:$E,"Cross selling",'Ventas 2026'!$P:$P,"Sin dato",'Ventas 2026'!$C:$C,"Octubre")</f>
        <v>0</v>
      </c>
      <c r="E12" s="43">
        <f t="shared" si="0"/>
        <v>0</v>
      </c>
      <c r="F12" s="43"/>
      <c r="G12" s="43"/>
      <c r="H12" s="43"/>
      <c r="K12" s="255" t="s">
        <v>417</v>
      </c>
      <c r="L12" s="256">
        <f>SUM(C40:C42)</f>
        <v>0</v>
      </c>
      <c r="M12" s="257"/>
      <c r="N12" s="258">
        <f>AVERAGE(H91:H93)</f>
        <v>30767.679500000002</v>
      </c>
      <c r="O12" s="259"/>
    </row>
    <row r="13" spans="1:15">
      <c r="A13" t="s">
        <v>2803</v>
      </c>
      <c r="B13" s="43">
        <f>SUMIFS('Ventas 2026'!$M:$M,'Ventas 2026'!$E:$E,"Cross selling",'Ventas 2026'!$P:$P,"ENTERPRISE",'Ventas 2026'!$C:$C,"Noviembre")</f>
        <v>0</v>
      </c>
      <c r="C13" s="43">
        <f>SUMIFS('Ventas 2026'!$M:$M,'Ventas 2026'!$E:$E,"Cross selling",'Ventas 2026'!$P:$P,"SMB",'Ventas 2026'!$C:$C,"Noviembre")</f>
        <v>0</v>
      </c>
      <c r="D13" s="43">
        <f>SUMIFS('Ventas 2026'!$M:$M,'Ventas 2026'!$E:$E,"Cross selling",'Ventas 2026'!$P:$P,"Sin dato",'Ventas 2026'!$C:$C,"Noviembre")</f>
        <v>0</v>
      </c>
      <c r="E13" s="43">
        <f t="shared" si="0"/>
        <v>0</v>
      </c>
      <c r="F13" s="43"/>
      <c r="G13" s="43"/>
      <c r="H13" s="43"/>
    </row>
    <row r="14" spans="1:15">
      <c r="A14" t="s">
        <v>2804</v>
      </c>
      <c r="B14" s="43">
        <f>SUMIFS('Ventas 2026'!$M:$M,'Ventas 2026'!$E:$E,"Cross selling",'Ventas 2026'!$P:$P,"ENTERPRISE",'Ventas 2026'!$C:$C,"Diciembre")</f>
        <v>0</v>
      </c>
      <c r="C14" s="43">
        <f>SUMIFS('Ventas 2026'!$M:$M,'Ventas 2026'!$E:$E,"Cross selling",'Ventas 2026'!$P:$P,"SMB",'Ventas 2026'!$C:$C,"Diciembre")</f>
        <v>0</v>
      </c>
      <c r="D14" s="43">
        <f>SUMIFS('Ventas 2026'!$M:$M,'Ventas 2026'!$E:$E,"Cross selling",'Ventas 2026'!$P:$P,"Sin dato",'Ventas 2026'!$C:$C,"Diciembre")</f>
        <v>0</v>
      </c>
      <c r="E14" s="43">
        <f t="shared" si="0"/>
        <v>0</v>
      </c>
      <c r="F14" s="43"/>
      <c r="G14" s="43"/>
      <c r="H14" s="43"/>
    </row>
    <row r="15" spans="1:15">
      <c r="A15" s="53" t="s">
        <v>2805</v>
      </c>
      <c r="B15" s="43">
        <f>SUM(B3:B14)</f>
        <v>0</v>
      </c>
      <c r="C15" s="43">
        <f>SUM(C3:C14)</f>
        <v>0</v>
      </c>
      <c r="D15" s="43">
        <f>SUM(D3:D14)</f>
        <v>0</v>
      </c>
      <c r="E15" s="43">
        <f>SUM(E3:E14)</f>
        <v>0</v>
      </c>
      <c r="F15" s="43"/>
      <c r="G15" s="43"/>
      <c r="H15" s="43"/>
    </row>
    <row r="18" spans="1:8" ht="18.399999999999999">
      <c r="A18" s="243" t="s">
        <v>2806</v>
      </c>
      <c r="B18" s="243"/>
      <c r="C18" s="243"/>
      <c r="D18" s="243"/>
      <c r="E18" s="243"/>
      <c r="F18" s="243"/>
      <c r="G18" s="243"/>
      <c r="H18" s="243"/>
    </row>
    <row r="19" spans="1:8">
      <c r="A19" s="244" t="s">
        <v>2783</v>
      </c>
      <c r="B19" s="244" t="s">
        <v>76</v>
      </c>
      <c r="C19" s="244" t="s">
        <v>562</v>
      </c>
      <c r="D19" s="244" t="s">
        <v>2784</v>
      </c>
      <c r="E19" s="244" t="s">
        <v>2785</v>
      </c>
      <c r="F19" s="244"/>
      <c r="G19" s="244" t="s">
        <v>2786</v>
      </c>
      <c r="H19" s="244" t="s">
        <v>2787</v>
      </c>
    </row>
    <row r="20" spans="1:8">
      <c r="A20" t="s">
        <v>22</v>
      </c>
      <c r="B20" s="43">
        <f>SUMIFS('Ventas 2026'!$M:$M,'Ventas 2026'!$E:$E,"Up Selling",'Ventas 2026'!$P:$P,"ENTERPRISE",'Ventas 2026'!$C:$C,"Enero")</f>
        <v>0</v>
      </c>
      <c r="C20" s="43">
        <f>SUMIFS('Ventas 2026'!$M:$M,'Ventas 2026'!$E:$E,"Up Selling",'Ventas 2026'!$P:$P,"SMB",'Ventas 2026'!$C:$C,"Enero")</f>
        <v>0</v>
      </c>
      <c r="D20" s="43">
        <f>SUMIFS('Ventas 2026'!$M:$M,'Ventas 2026'!$E:$E,"Up Selling",'Ventas 2026'!$P:$P,"Sin dato",'Ventas 2026'!$C:$C,"Enero")</f>
        <v>0</v>
      </c>
      <c r="E20" s="43">
        <f t="shared" ref="E20:E31" si="1">B20+C20+D20</f>
        <v>0</v>
      </c>
      <c r="F20" s="43"/>
      <c r="G20" s="43" t="s">
        <v>2788</v>
      </c>
      <c r="H20" s="43">
        <f>SUM(E20:E22)</f>
        <v>0</v>
      </c>
    </row>
    <row r="21" spans="1:8">
      <c r="A21" t="s">
        <v>23</v>
      </c>
      <c r="B21" s="43">
        <f>SUMIFS('Ventas 2026'!$M:$M,'Ventas 2026'!$E:$E,"Up Selling",'Ventas 2026'!$P:$P,"ENTERPRISE",'Ventas 2026'!$C:$C,"Febrero")</f>
        <v>0</v>
      </c>
      <c r="C21" s="43">
        <f>SUMIFS('Ventas 2026'!$M:$M,'Ventas 2026'!$E:$E,"Up Selling",'Ventas 2026'!$P:$P,"SMB",'Ventas 2026'!$C:$C,"Febrero")</f>
        <v>0</v>
      </c>
      <c r="D21" s="43">
        <f>SUMIFS('Ventas 2026'!$M:$M,'Ventas 2026'!$E:$E,"Up Selling",'Ventas 2026'!$P:$P,"Sin dato",'Ventas 2026'!$C:$C,"Febrero")</f>
        <v>0</v>
      </c>
      <c r="E21" s="43">
        <f t="shared" si="1"/>
        <v>0</v>
      </c>
      <c r="F21" s="43"/>
      <c r="G21" s="43" t="s">
        <v>2794</v>
      </c>
      <c r="H21" s="43">
        <f>SUM(E23:E25)</f>
        <v>0</v>
      </c>
    </row>
    <row r="22" spans="1:8">
      <c r="A22" t="s">
        <v>24</v>
      </c>
      <c r="B22" s="43">
        <f>SUMIFS('Ventas 2026'!$M:$M,'Ventas 2026'!$E:$E,"Up Selling",'Ventas 2026'!$P:$P,"ENTERPRISE",'Ventas 2026'!$C:$C,"Marzo")</f>
        <v>0</v>
      </c>
      <c r="C22" s="43">
        <f>SUMIFS('Ventas 2026'!$M:$M,'Ventas 2026'!$E:$E,"Up Selling",'Ventas 2026'!$P:$P,"SMB",'Ventas 2026'!$C:$C,"Marzo")</f>
        <v>0</v>
      </c>
      <c r="D22" s="43">
        <f>SUMIFS('Ventas 2026'!$M:$M,'Ventas 2026'!$E:$E,"Up Selling",'Ventas 2026'!$P:$P,"Sin dato",'Ventas 2026'!$C:$C,"Marzo")</f>
        <v>0</v>
      </c>
      <c r="E22" s="43">
        <f t="shared" si="1"/>
        <v>0</v>
      </c>
      <c r="F22" s="43"/>
      <c r="G22" s="43" t="s">
        <v>2797</v>
      </c>
      <c r="H22" s="43">
        <f>SUM(E26:E28)</f>
        <v>0</v>
      </c>
    </row>
    <row r="23" spans="1:8">
      <c r="A23" t="s">
        <v>25</v>
      </c>
      <c r="B23" s="43">
        <f>SUMIFS('Ventas 2026'!$M:$M,'Ventas 2026'!$E:$E,"Up Selling",'Ventas 2026'!$P:$P,"ENTERPRISE",'Ventas 2026'!$C:$C,"Abril")</f>
        <v>0</v>
      </c>
      <c r="C23" s="43">
        <f>SUMIFS('Ventas 2026'!$M:$M,'Ventas 2026'!$E:$E,"Up Selling",'Ventas 2026'!$P:$P,"SMB",'Ventas 2026'!$C:$C,"Abril")</f>
        <v>0</v>
      </c>
      <c r="D23" s="43">
        <f>SUMIFS('Ventas 2026'!$M:$M,'Ventas 2026'!$E:$E,"Up Selling",'Ventas 2026'!$P:$P,"Sin dato",'Ventas 2026'!$C:$C,"Abril")</f>
        <v>0</v>
      </c>
      <c r="E23" s="43">
        <f t="shared" si="1"/>
        <v>0</v>
      </c>
      <c r="F23" s="43"/>
      <c r="G23" s="43" t="s">
        <v>2800</v>
      </c>
      <c r="H23" s="43">
        <f>SUM(E29:E31)</f>
        <v>0</v>
      </c>
    </row>
    <row r="24" spans="1:8">
      <c r="A24" t="s">
        <v>26</v>
      </c>
      <c r="B24" s="43">
        <f>SUMIFS('Ventas 2026'!$M:$M,'Ventas 2026'!$E:$E,"Up Selling",'Ventas 2026'!$P:$P,"ENTERPRISE",'Ventas 2026'!$C:$C,"Mayo")</f>
        <v>0</v>
      </c>
      <c r="C24" s="43">
        <f>SUMIFS('Ventas 2026'!$M:$M,'Ventas 2026'!$E:$E,"Up Selling",'Ventas 2026'!$P:$P,"SMB",'Ventas 2026'!$C:$C,"Mayo")</f>
        <v>0</v>
      </c>
      <c r="D24" s="43">
        <f>SUMIFS('Ventas 2026'!$M:$M,'Ventas 2026'!$E:$E,"Up Selling",'Ventas 2026'!$P:$P,"Sin dato",'Ventas 2026'!$C:$C,"Mayo")</f>
        <v>0</v>
      </c>
      <c r="E24" s="43">
        <f t="shared" si="1"/>
        <v>0</v>
      </c>
      <c r="F24" s="43"/>
      <c r="G24" s="43"/>
      <c r="H24" s="43"/>
    </row>
    <row r="25" spans="1:8">
      <c r="A25" t="s">
        <v>27</v>
      </c>
      <c r="B25" s="43">
        <f>SUMIFS('Ventas 2026'!$M:$M,'Ventas 2026'!$E:$E,"Up Selling",'Ventas 2026'!$P:$P,"ENTERPRISE",'Ventas 2026'!$C:$C,"Junio")</f>
        <v>0</v>
      </c>
      <c r="C25" s="43">
        <f>SUMIFS('Ventas 2026'!$M:$M,'Ventas 2026'!$E:$E,"Up Selling",'Ventas 2026'!$P:$P,"SMB",'Ventas 2026'!$C:$C,"Junio")</f>
        <v>0</v>
      </c>
      <c r="D25" s="43">
        <f>SUMIFS('Ventas 2026'!$M:$M,'Ventas 2026'!$E:$E,"Up Selling",'Ventas 2026'!$P:$P,"Sin dato",'Ventas 2026'!$C:$C,"Junio")</f>
        <v>0</v>
      </c>
      <c r="E25" s="43">
        <f t="shared" si="1"/>
        <v>0</v>
      </c>
      <c r="F25" s="43"/>
      <c r="G25" s="43"/>
      <c r="H25" s="43"/>
    </row>
    <row r="26" spans="1:8">
      <c r="A26" t="s">
        <v>28</v>
      </c>
      <c r="B26" s="43">
        <f>SUMIFS('Ventas 2026'!$M:$M,'Ventas 2026'!$E:$E,"Up Selling",'Ventas 2026'!$P:$P,"ENTERPRISE",'Ventas 2026'!$C:$C,"Julio")</f>
        <v>0</v>
      </c>
      <c r="C26" s="43">
        <f>SUMIFS('Ventas 2026'!$M:$M,'Ventas 2026'!$E:$E,"Up Selling",'Ventas 2026'!$P:$P,"SMB",'Ventas 2026'!$C:$C,"Julio")</f>
        <v>0</v>
      </c>
      <c r="D26" s="43">
        <f>SUMIFS('Ventas 2026'!$M:$M,'Ventas 2026'!$E:$E,"Up Selling",'Ventas 2026'!$P:$P,"Sin dato",'Ventas 2026'!$C:$C,"Julio")</f>
        <v>0</v>
      </c>
      <c r="E26" s="43">
        <f t="shared" si="1"/>
        <v>0</v>
      </c>
      <c r="F26" s="43"/>
      <c r="G26" s="43"/>
      <c r="H26" s="43"/>
    </row>
    <row r="27" spans="1:8">
      <c r="A27" t="s">
        <v>29</v>
      </c>
      <c r="B27" s="43">
        <f>SUMIFS('Ventas 2026'!$M:$M,'Ventas 2026'!$E:$E,"Up Selling",'Ventas 2026'!$P:$P,"ENTERPRISE",'Ventas 2026'!$C:$C,"Agosto")</f>
        <v>0</v>
      </c>
      <c r="C27" s="43">
        <f>SUMIFS('Ventas 2026'!$M:$M,'Ventas 2026'!$E:$E,"Up Selling",'Ventas 2026'!$P:$P,"SMB",'Ventas 2026'!$C:$C,"Agosto")</f>
        <v>0</v>
      </c>
      <c r="D27" s="43">
        <f>SUMIFS('Ventas 2026'!$M:$M,'Ventas 2026'!$E:$E,"Up Selling",'Ventas 2026'!$P:$P,"Sin dato",'Ventas 2026'!$C:$C,"Agosto")</f>
        <v>0</v>
      </c>
      <c r="E27" s="43">
        <f t="shared" si="1"/>
        <v>0</v>
      </c>
      <c r="F27" s="43"/>
      <c r="G27" s="43"/>
      <c r="H27" s="43"/>
    </row>
    <row r="28" spans="1:8">
      <c r="A28" t="s">
        <v>30</v>
      </c>
      <c r="B28" s="43">
        <f>SUMIFS('Ventas 2026'!$M:$M,'Ventas 2026'!$E:$E,"Up Selling",'Ventas 2026'!$P:$P,"ENTERPRISE",'Ventas 2026'!$C:$C,"Septiembre")</f>
        <v>0</v>
      </c>
      <c r="C28" s="43">
        <f>SUMIFS('Ventas 2026'!$M:$M,'Ventas 2026'!$E:$E,"Up Selling",'Ventas 2026'!$P:$P,"SMB",'Ventas 2026'!$C:$C,"Septiembre")</f>
        <v>0</v>
      </c>
      <c r="D28" s="43">
        <f>SUMIFS('Ventas 2026'!$M:$M,'Ventas 2026'!$E:$E,"Up Selling",'Ventas 2026'!$P:$P,"Sin dato",'Ventas 2026'!$C:$C,"Septiembre")</f>
        <v>0</v>
      </c>
      <c r="E28" s="43">
        <f t="shared" si="1"/>
        <v>0</v>
      </c>
      <c r="F28" s="43"/>
      <c r="G28" s="43"/>
      <c r="H28" s="43"/>
    </row>
    <row r="29" spans="1:8">
      <c r="A29" t="s">
        <v>2802</v>
      </c>
      <c r="B29" s="43">
        <f>SUMIFS('Ventas 2026'!$M:$M,'Ventas 2026'!$E:$E,"Up Selling",'Ventas 2026'!$P:$P,"ENTERPRISE",'Ventas 2026'!$C:$C,"Octubre")</f>
        <v>0</v>
      </c>
      <c r="C29" s="43">
        <f>SUMIFS('Ventas 2026'!$M:$M,'Ventas 2026'!$E:$E,"Up Selling",'Ventas 2026'!$P:$P,"SMB",'Ventas 2026'!$C:$C,"Octubre")</f>
        <v>0</v>
      </c>
      <c r="D29" s="43">
        <f>SUMIFS('Ventas 2026'!$M:$M,'Ventas 2026'!$E:$E,"Up Selling",'Ventas 2026'!$P:$P,"Sin dato",'Ventas 2026'!$C:$C,"Octubre")</f>
        <v>0</v>
      </c>
      <c r="E29" s="43">
        <f t="shared" si="1"/>
        <v>0</v>
      </c>
      <c r="F29" s="43"/>
      <c r="G29" s="43"/>
      <c r="H29" s="43"/>
    </row>
    <row r="30" spans="1:8">
      <c r="A30" t="s">
        <v>2803</v>
      </c>
      <c r="B30" s="43">
        <f>SUMIFS('Ventas 2026'!$M:$M,'Ventas 2026'!$E:$E,"Up Selling",'Ventas 2026'!$P:$P,"ENTERPRISE",'Ventas 2026'!$C:$C,"Noviembre")</f>
        <v>0</v>
      </c>
      <c r="C30" s="43">
        <f>SUMIFS('Ventas 2026'!$M:$M,'Ventas 2026'!$E:$E,"Up Selling",'Ventas 2026'!$P:$P,"SMB",'Ventas 2026'!$C:$C,"Noviembre")</f>
        <v>0</v>
      </c>
      <c r="D30" s="43">
        <f>SUMIFS('Ventas 2026'!$M:$M,'Ventas 2026'!$E:$E,"Up Selling",'Ventas 2026'!$P:$P,"Sin dato",'Ventas 2026'!$C:$C,"Noviembre")</f>
        <v>0</v>
      </c>
      <c r="E30" s="43">
        <f t="shared" si="1"/>
        <v>0</v>
      </c>
      <c r="F30" s="43"/>
      <c r="G30" s="43"/>
      <c r="H30" s="43"/>
    </row>
    <row r="31" spans="1:8">
      <c r="A31" t="s">
        <v>2804</v>
      </c>
      <c r="B31" s="43">
        <f>SUMIFS('Ventas 2026'!$M:$M,'Ventas 2026'!$E:$E,"Up Selling",'Ventas 2026'!$P:$P,"ENTERPRISE",'Ventas 2026'!$C:$C,"Diciembre")</f>
        <v>0</v>
      </c>
      <c r="C31" s="43">
        <f>SUMIFS('Ventas 2026'!$M:$M,'Ventas 2026'!$E:$E,"Up Selling",'Ventas 2026'!$P:$P,"SMB",'Ventas 2026'!$C:$C,"Diciembre")</f>
        <v>0</v>
      </c>
      <c r="D31" s="43">
        <f>SUMIFS('Ventas 2026'!$M:$M,'Ventas 2026'!$E:$E,"Up Selling",'Ventas 2026'!$P:$P,"Sin dato",'Ventas 2026'!$C:$C,"Diciembre")</f>
        <v>0</v>
      </c>
      <c r="E31" s="43">
        <f t="shared" si="1"/>
        <v>0</v>
      </c>
      <c r="F31" s="43"/>
      <c r="G31" s="43"/>
      <c r="H31" s="43"/>
    </row>
    <row r="32" spans="1:8">
      <c r="A32" s="53" t="s">
        <v>2805</v>
      </c>
      <c r="B32" s="43">
        <f>SUM(B20:B31)</f>
        <v>0</v>
      </c>
      <c r="C32" s="43">
        <f>SUM(C20:C31)</f>
        <v>0</v>
      </c>
      <c r="D32" s="43">
        <f>SUM(D20:D31)</f>
        <v>0</v>
      </c>
      <c r="E32" s="43">
        <f>SUM(E20:E31)</f>
        <v>0</v>
      </c>
      <c r="F32" s="43"/>
      <c r="G32" s="43"/>
      <c r="H32" s="43"/>
    </row>
    <row r="36" spans="7:8">
      <c r="G36" s="245" t="s">
        <v>2786</v>
      </c>
      <c r="H36" s="245" t="s">
        <v>2787</v>
      </c>
    </row>
    <row r="37" spans="7:8">
      <c r="G37" s="43" t="s">
        <v>2788</v>
      </c>
      <c r="H37" s="43">
        <f>SUM(E37:E39)</f>
        <v>0</v>
      </c>
    </row>
    <row r="38" spans="7:8">
      <c r="G38" s="43" t="s">
        <v>2794</v>
      </c>
      <c r="H38" s="43">
        <f>SUM(E40:E42)</f>
        <v>0</v>
      </c>
    </row>
    <row r="39" spans="7:8">
      <c r="G39" s="43" t="s">
        <v>2797</v>
      </c>
      <c r="H39" s="43">
        <f>SUM(E43:E45)</f>
        <v>0</v>
      </c>
    </row>
    <row r="40" spans="7:8">
      <c r="G40" s="43" t="s">
        <v>2800</v>
      </c>
      <c r="H40" s="43">
        <f>SUM(E46:E48)</f>
        <v>0</v>
      </c>
    </row>
    <row r="53" spans="7:8">
      <c r="G53" s="246" t="s">
        <v>2786</v>
      </c>
      <c r="H53" s="246" t="s">
        <v>2787</v>
      </c>
    </row>
    <row r="54" spans="7:8">
      <c r="G54" s="43" t="s">
        <v>2788</v>
      </c>
      <c r="H54" s="43">
        <f>SUM(E54:E56)</f>
        <v>0</v>
      </c>
    </row>
    <row r="55" spans="7:8">
      <c r="G55" s="43" t="s">
        <v>2794</v>
      </c>
      <c r="H55" s="43">
        <f>SUM(E57:E59)</f>
        <v>0</v>
      </c>
    </row>
    <row r="56" spans="7:8">
      <c r="G56" s="43" t="s">
        <v>2797</v>
      </c>
      <c r="H56" s="43">
        <f>SUM(E60:E62)</f>
        <v>0</v>
      </c>
    </row>
    <row r="57" spans="7:8">
      <c r="G57" s="43" t="s">
        <v>2800</v>
      </c>
      <c r="H57" s="43">
        <f>SUM(E63:E65)</f>
        <v>0</v>
      </c>
    </row>
    <row r="69" spans="1:8">
      <c r="A69" s="878" t="s">
        <v>2807</v>
      </c>
      <c r="B69" s="878"/>
      <c r="C69" s="878"/>
      <c r="D69" s="878"/>
      <c r="E69" s="878"/>
      <c r="F69" s="878"/>
      <c r="G69" s="878"/>
      <c r="H69" s="878"/>
    </row>
    <row r="70" spans="1:8">
      <c r="A70" s="248" t="s">
        <v>2783</v>
      </c>
      <c r="B70" s="248" t="s">
        <v>76</v>
      </c>
      <c r="C70" s="248" t="s">
        <v>562</v>
      </c>
      <c r="D70" s="248" t="s">
        <v>2784</v>
      </c>
      <c r="E70" s="248" t="s">
        <v>2785</v>
      </c>
      <c r="F70" s="248" t="s">
        <v>2808</v>
      </c>
      <c r="G70" s="249"/>
      <c r="H70" s="249"/>
    </row>
    <row r="71" spans="1:8">
      <c r="A71" t="s">
        <v>22</v>
      </c>
      <c r="B71" s="43">
        <f>SUMIFS('Detalle Fuga 2026'!$I:$I,'Detalle Fuga 2026'!$D:$D,"ENTERPRISE",'Detalle Fuga 2026'!$K:$K,"Enero")</f>
        <v>5450.65</v>
      </c>
      <c r="C71" s="43">
        <f>SUMIFS('Detalle Fuga 2026'!$I:$I,'Detalle Fuga 2026'!$D:$D,"SMB",'Detalle Fuga 2026'!$K:$K,"Enero")</f>
        <v>1202.93</v>
      </c>
      <c r="D71" s="43"/>
      <c r="E71" s="43">
        <f t="shared" ref="E71:E82" si="2">B71+C71+D71</f>
        <v>6653.58</v>
      </c>
      <c r="F71" s="247">
        <v>153375</v>
      </c>
      <c r="G71" s="43" t="s">
        <v>2788</v>
      </c>
      <c r="H71" s="43">
        <f>SUM(E71:E73)</f>
        <v>9859.2281000000003</v>
      </c>
    </row>
    <row r="72" spans="1:8">
      <c r="A72" t="s">
        <v>23</v>
      </c>
      <c r="B72" s="43">
        <f>SUMIFS('Detalle Fuga 2026'!$I:$I,'Detalle Fuga 2026'!$D:$D,"ENTERPRISE",'Detalle Fuga 2026'!$K:$K,"Febrero")</f>
        <v>675</v>
      </c>
      <c r="C72" s="43">
        <f>SUMIFS('Detalle Fuga 2026'!$I:$I,'Detalle Fuga 2026'!$D:$D,"SMB",'Detalle Fuga 2026'!$K:$K,"Febrero")</f>
        <v>1175</v>
      </c>
      <c r="D72" s="43"/>
      <c r="E72" s="43">
        <f t="shared" si="2"/>
        <v>1850</v>
      </c>
      <c r="F72" s="247">
        <v>154455</v>
      </c>
      <c r="G72" s="43" t="s">
        <v>2794</v>
      </c>
      <c r="H72" s="43">
        <f>SUM(E74:E76)</f>
        <v>3568</v>
      </c>
    </row>
    <row r="73" spans="1:8">
      <c r="A73" t="s">
        <v>24</v>
      </c>
      <c r="B73" s="43">
        <f>SUMIFS('Detalle Fuga 2026'!$I:$I,'Detalle Fuga 2026'!$D:$D,"ENTERPRISE",'Detalle Fuga 2026'!$K:$K,"Marzo")</f>
        <v>0</v>
      </c>
      <c r="C73" s="43">
        <f>SUMIFS('Detalle Fuga 2026'!$I:$I,'Detalle Fuga 2026'!$D:$D,"SMB",'Detalle Fuga 2026'!$K:$K,"Marzo")</f>
        <v>1355.6481000000001</v>
      </c>
      <c r="D73" s="43"/>
      <c r="E73" s="43">
        <f t="shared" si="2"/>
        <v>1355.6481000000001</v>
      </c>
      <c r="F73" s="247">
        <v>162290</v>
      </c>
      <c r="G73" s="43" t="s">
        <v>2797</v>
      </c>
      <c r="H73" s="43">
        <f>SUM(E77:E79)</f>
        <v>0</v>
      </c>
    </row>
    <row r="74" spans="1:8">
      <c r="A74" t="s">
        <v>25</v>
      </c>
      <c r="B74" s="43">
        <f>SUMIFS('Detalle Fuga 2026'!$I:$I,'Detalle Fuga 2026'!$D:$D,"ENTERPRISE",'Detalle Fuga 2026'!$K:$K,"Abril")</f>
        <v>511</v>
      </c>
      <c r="C74" s="43">
        <f>SUMIFS('Detalle Fuga 2026'!$I:$I,'Detalle Fuga 2026'!$D:$D,"SMB",'Detalle Fuga 2026'!$K:$K,"Abril")</f>
        <v>1473</v>
      </c>
      <c r="D74" s="43"/>
      <c r="E74" s="43">
        <f t="shared" si="2"/>
        <v>1984</v>
      </c>
      <c r="F74" s="247">
        <v>162968</v>
      </c>
      <c r="G74" s="43" t="s">
        <v>2800</v>
      </c>
      <c r="H74" s="43">
        <f>SUM(E80:E82)</f>
        <v>0</v>
      </c>
    </row>
    <row r="75" spans="1:8">
      <c r="A75" t="s">
        <v>26</v>
      </c>
      <c r="B75" s="43">
        <f>SUMIFS('Detalle Fuga 2026'!$I:$I,'Detalle Fuga 2026'!$D:$D,"ENTERPRISE",'Detalle Fuga 2026'!$K:$K,"Mayo")</f>
        <v>1282</v>
      </c>
      <c r="C75" s="43">
        <f>SUMIFS('Detalle Fuga 2026'!$I:$I,'Detalle Fuga 2026'!$D:$D,"SMB",'Detalle Fuga 2026'!$K:$K,"Mayo")</f>
        <v>302</v>
      </c>
      <c r="D75" s="43"/>
      <c r="E75" s="43">
        <f t="shared" si="2"/>
        <v>1584</v>
      </c>
      <c r="F75" s="247">
        <v>170313</v>
      </c>
      <c r="G75" s="43"/>
      <c r="H75" s="43"/>
    </row>
    <row r="76" spans="1:8">
      <c r="A76" t="s">
        <v>27</v>
      </c>
      <c r="B76" s="43">
        <f>SUMIFS('Detalle Fuga 2026'!$I:$I,'Detalle Fuga 2026'!$D:$D,"ENTERPRISE",'Detalle Fuga 2026'!$K:$K,"Junio")</f>
        <v>0</v>
      </c>
      <c r="C76" s="43">
        <f>SUMIFS('Detalle Fuga 2026'!$I:$I,'Detalle Fuga 2026'!$D:$D,"SMB",'Detalle Fuga 2026'!$K:$K,"Junio")</f>
        <v>0</v>
      </c>
      <c r="D76" s="43"/>
      <c r="E76" s="43">
        <f t="shared" si="2"/>
        <v>0</v>
      </c>
      <c r="F76" s="43"/>
      <c r="G76" s="43"/>
      <c r="H76" s="43"/>
    </row>
    <row r="77" spans="1:8">
      <c r="A77" t="s">
        <v>28</v>
      </c>
      <c r="B77" s="43">
        <f>SUMIFS('Detalle Fuga 2026'!$I:$I,'Detalle Fuga 2026'!$D:$D,"ENTERPRISE",'Detalle Fuga 2026'!$K:$K,"Julio")</f>
        <v>0</v>
      </c>
      <c r="C77" s="43">
        <f>SUMIFS('Detalle Fuga 2026'!$I:$I,'Detalle Fuga 2026'!$D:$D,"SMB",'Detalle Fuga 2026'!$K:$K,"Julio")</f>
        <v>0</v>
      </c>
      <c r="D77" s="43"/>
      <c r="E77" s="43">
        <f t="shared" si="2"/>
        <v>0</v>
      </c>
      <c r="F77" s="43"/>
      <c r="G77" s="43"/>
      <c r="H77" s="43"/>
    </row>
    <row r="78" spans="1:8">
      <c r="A78" t="s">
        <v>29</v>
      </c>
      <c r="B78" s="43">
        <f>SUMIFS('Detalle Fuga 2026'!$I:$I,'Detalle Fuga 2026'!$D:$D,"ENTERPRISE",'Detalle Fuga 2026'!$K:$K,"Agosto")</f>
        <v>0</v>
      </c>
      <c r="C78" s="43">
        <f>SUMIFS('Detalle Fuga 2026'!$I:$I,'Detalle Fuga 2026'!$D:$D,"SMB",'Detalle Fuga 2026'!$K:$K,"Agosto")</f>
        <v>0</v>
      </c>
      <c r="D78" s="43"/>
      <c r="E78" s="43">
        <f t="shared" si="2"/>
        <v>0</v>
      </c>
      <c r="F78" s="43"/>
      <c r="G78" s="43"/>
      <c r="H78" s="43"/>
    </row>
    <row r="79" spans="1:8">
      <c r="A79" t="s">
        <v>30</v>
      </c>
      <c r="B79" s="43">
        <f>SUMIFS('Detalle Fuga 2026'!$I:$I,'Detalle Fuga 2026'!$D:$D,"ENTERPRISE",'Detalle Fuga 2026'!$K:$K,"Septiembre")</f>
        <v>0</v>
      </c>
      <c r="C79" s="43">
        <f>SUMIFS('Detalle Fuga 2026'!$I:$I,'Detalle Fuga 2026'!$D:$D,"SMB",'Detalle Fuga 2026'!$K:$K,"Septiembre")</f>
        <v>0</v>
      </c>
      <c r="D79" s="43"/>
      <c r="E79" s="43">
        <f t="shared" si="2"/>
        <v>0</v>
      </c>
      <c r="F79" s="43"/>
      <c r="G79" s="43"/>
      <c r="H79" s="43"/>
    </row>
    <row r="80" spans="1:8">
      <c r="A80" t="s">
        <v>2802</v>
      </c>
      <c r="B80" s="43">
        <f>SUMIFS('Detalle Fuga 2026'!$I:$I,'Detalle Fuga 2026'!$D:$D,"ENTERPRISE",'Detalle Fuga 2026'!$K:$K,"Octubre")</f>
        <v>0</v>
      </c>
      <c r="C80" s="43">
        <f>SUMIFS('Detalle Fuga 2026'!$I:$I,'Detalle Fuga 2026'!$D:$D,"SMB",'Detalle Fuga 2026'!$K:$K,"Octubre")</f>
        <v>0</v>
      </c>
      <c r="D80" s="43"/>
      <c r="E80" s="43">
        <f t="shared" si="2"/>
        <v>0</v>
      </c>
      <c r="F80" s="43"/>
      <c r="G80" s="43"/>
      <c r="H80" s="43"/>
    </row>
    <row r="81" spans="1:15">
      <c r="A81" t="s">
        <v>2803</v>
      </c>
      <c r="B81" s="43">
        <f>SUMIFS('Detalle Fuga 2026'!$I:$I,'Detalle Fuga 2026'!$D:$D,"ENTERPRISE",'Detalle Fuga 2026'!$K:$K,"Noviembre")</f>
        <v>0</v>
      </c>
      <c r="C81" s="43">
        <f>SUMIFS('Detalle Fuga 2026'!$I:$I,'Detalle Fuga 2026'!$D:$D,"SMB",'Detalle Fuga 2026'!$K:$K,"Noviembre")</f>
        <v>0</v>
      </c>
      <c r="D81" s="43"/>
      <c r="E81" s="43">
        <f t="shared" si="2"/>
        <v>0</v>
      </c>
      <c r="F81" s="43"/>
      <c r="G81" s="43"/>
      <c r="H81" s="43"/>
    </row>
    <row r="82" spans="1:15">
      <c r="A82" t="s">
        <v>2804</v>
      </c>
      <c r="B82" s="43">
        <f>SUMIFS('Detalle Fuga 2026'!$I:$I,'Detalle Fuga 2026'!$D:$D,"ENTERPRISE",'Detalle Fuga 2026'!$K:$K,"Diciembre")</f>
        <v>0</v>
      </c>
      <c r="C82" s="43">
        <f>SUMIFS('Detalle Fuga 2026'!$I:$I,'Detalle Fuga 2026'!$D:$D,"SMB",'Detalle Fuga 2026'!$K:$K,"Diciembre")</f>
        <v>0</v>
      </c>
      <c r="D82" s="43"/>
      <c r="E82" s="43">
        <f t="shared" si="2"/>
        <v>0</v>
      </c>
      <c r="F82" s="43"/>
      <c r="G82" s="43"/>
      <c r="H82" s="43"/>
    </row>
    <row r="83" spans="1:15">
      <c r="A83" t="s">
        <v>2785</v>
      </c>
      <c r="B83" s="43">
        <f>SUM(B71:B82)</f>
        <v>7918.65</v>
      </c>
      <c r="C83" s="43">
        <f>SUM(C71:C82)</f>
        <v>5508.5781000000006</v>
      </c>
      <c r="D83" s="43">
        <f>SUM(D71:D82)</f>
        <v>0</v>
      </c>
      <c r="E83" s="43">
        <f>SUM(E71:E82)</f>
        <v>13427.2281</v>
      </c>
      <c r="F83" s="43"/>
      <c r="G83" s="43"/>
      <c r="H83" s="43"/>
    </row>
    <row r="86" spans="1:15">
      <c r="A86" s="879" t="s">
        <v>2809</v>
      </c>
      <c r="B86" s="879"/>
      <c r="C86" s="879"/>
      <c r="D86" s="879"/>
      <c r="E86" s="879"/>
      <c r="F86" s="879"/>
      <c r="G86" s="879"/>
      <c r="H86" s="879"/>
      <c r="I86" s="879"/>
    </row>
    <row r="87" spans="1:15">
      <c r="A87" s="250" t="s">
        <v>2783</v>
      </c>
      <c r="B87" s="250" t="s">
        <v>73</v>
      </c>
      <c r="C87" s="250" t="s">
        <v>439</v>
      </c>
      <c r="D87" s="250" t="s">
        <v>93</v>
      </c>
      <c r="E87" s="250" t="s">
        <v>2785</v>
      </c>
      <c r="F87" s="250" t="s">
        <v>2808</v>
      </c>
      <c r="G87" s="250" t="s">
        <v>73</v>
      </c>
      <c r="H87" t="s">
        <v>2810</v>
      </c>
      <c r="I87" s="250" t="s">
        <v>439</v>
      </c>
      <c r="J87" t="s">
        <v>2811</v>
      </c>
      <c r="K87" s="250" t="s">
        <v>93</v>
      </c>
    </row>
    <row r="88" spans="1:15">
      <c r="A88" t="s">
        <v>22</v>
      </c>
      <c r="B88" s="43">
        <v>788.66</v>
      </c>
      <c r="C88" s="43">
        <f>SUMIFS('Detalle Fuga 2026'!$I:$I,'Detalle Fuga 2026'!$C:$C,"Karla Patiño",'Detalle Fuga 2026'!$K:$K,"Enero")</f>
        <v>274.07</v>
      </c>
      <c r="D88" s="43">
        <v>0</v>
      </c>
      <c r="E88" s="43">
        <f t="shared" ref="E88:E99" si="3">B88+C88+D88</f>
        <v>1062.73</v>
      </c>
      <c r="F88" s="247">
        <f>SUMIFS('MARE MX'!$V$2:$V$560,'MARE MX'!$E$2:$E$560, "Dafne de la Rosa")</f>
        <v>42610.28</v>
      </c>
      <c r="G88" s="56">
        <f>B88/$F$88</f>
        <v>1.8508679126257796E-2</v>
      </c>
      <c r="H88" s="247">
        <f>SUMIFS('MARE MX'!$V$2:$V$560,'MARE MX'!$E$2:$E$560, "Karla Patiño")</f>
        <v>24670.389999999992</v>
      </c>
      <c r="I88" s="56">
        <f>C88/$F$88</f>
        <v>6.4320159360605001E-3</v>
      </c>
      <c r="J88" s="247">
        <f>SUMIFS('MARE MX'!$V$2:$V$560,'MARE MX'!$E$2:$E$560, "Raúl Campos")</f>
        <v>74210.709999999992</v>
      </c>
      <c r="K88" s="56">
        <f>D88/$F$88</f>
        <v>0</v>
      </c>
      <c r="N88" s="43" t="s">
        <v>2788</v>
      </c>
      <c r="O88" s="43">
        <f>SUM(E88:E90)</f>
        <v>3411.6617999999999</v>
      </c>
    </row>
    <row r="89" spans="1:15">
      <c r="A89" t="s">
        <v>23</v>
      </c>
      <c r="B89" s="43">
        <f>SUMIFS('Detalle Fuga 2026'!$I:$I,'Detalle Fuga 2026'!$C:$C,"Dafne de la Rosa",'Detalle Fuga 2026'!$K:$K,"Febrero")</f>
        <v>342</v>
      </c>
      <c r="C89" s="43">
        <f>SUMIFS('Detalle Fuga 2026'!$I:$I,'Detalle Fuga 2026'!$C:$C,"Karla Patiño",'Detalle Fuga 2026'!$K:$K,"Febrero")</f>
        <v>737</v>
      </c>
      <c r="D89" s="43">
        <f>SUMIFS('Detalle Fuga 2026'!$I:$I,'Detalle Fuga 2026'!$C:$C,"Raúl Campos",'Detalle Fuga 2026'!$K:$K,"Febrero")</f>
        <v>675</v>
      </c>
      <c r="E89" s="43">
        <f t="shared" si="3"/>
        <v>1754</v>
      </c>
      <c r="F89" s="247">
        <f>SUMIFS('MARE MX'!$W$2:$W$560,'MARE MX'!$E$2:$E$560, "Dafne de la Rosa")</f>
        <v>44512.109999999964</v>
      </c>
      <c r="G89" s="56">
        <f>B89/$F89</f>
        <v>7.6833023642330208E-3</v>
      </c>
      <c r="H89" s="247">
        <f>SUMIFS('MARE MX'!$W$2:$W$560,'MARE MX'!$E$2:$E$560, "Karla Patiño")</f>
        <v>25859.689999999984</v>
      </c>
      <c r="I89" s="56">
        <f>C89/$F89</f>
        <v>1.6557291936958294E-2</v>
      </c>
      <c r="J89" s="247">
        <f>SUMIFS('MARE MX'!$W$2:$W$560,'MARE MX'!$E$2:$E$560, "Raúl Campos")</f>
        <v>73236.989999999991</v>
      </c>
      <c r="K89" s="56">
        <f>D89/$F89</f>
        <v>1.5164412560986225E-2</v>
      </c>
      <c r="N89" s="43" t="s">
        <v>2794</v>
      </c>
      <c r="O89" s="43">
        <f>SUM(E91:E93)</f>
        <v>3101</v>
      </c>
    </row>
    <row r="90" spans="1:15">
      <c r="A90" t="s">
        <v>24</v>
      </c>
      <c r="B90" s="43">
        <f>SUMIFS('Detalle Fuga 2026'!$I:$I,'Detalle Fuga 2026'!$C:$C,"Dafne de la Rosa",'Detalle Fuga 2026'!$K:$K,"Marzo")</f>
        <v>169</v>
      </c>
      <c r="C90" s="43">
        <f>SUMIFS('Detalle Fuga 2026'!$I:$I,'Detalle Fuga 2026'!$C:$C,"Karla Patiño",'Detalle Fuga 2026'!$K:$K,"Marzo")</f>
        <v>425.93180000000001</v>
      </c>
      <c r="D90" s="43">
        <f>SUMIFS('Detalle Fuga 2026'!$I:$I,'Detalle Fuga 2026'!$C:$C,"Raúl Campos",'Detalle Fuga 2026'!$K:$K,"Marzo")</f>
        <v>0</v>
      </c>
      <c r="E90" s="43">
        <f t="shared" si="3"/>
        <v>594.93180000000007</v>
      </c>
      <c r="F90" s="247">
        <f>SUMIFS('MARE MX'!$X$2:$X$560,'MARE MX'!$E$2:$E$560, "Dafne de la Rosa")</f>
        <v>48156.600000000013</v>
      </c>
      <c r="G90" s="56">
        <f>B90/$F90</f>
        <v>3.5093839681372844E-3</v>
      </c>
      <c r="H90" s="247">
        <f>SUMIFS('MARE MX'!$X$2:$X$560,'MARE MX'!$E$2:$E$560, "Karla Patiño")</f>
        <v>27652.579999999984</v>
      </c>
      <c r="I90" s="56">
        <f>C90/$F90</f>
        <v>8.8447232570405699E-3</v>
      </c>
      <c r="J90" s="247">
        <f>SUMIFS('MARE MX'!$X$2:$X$560,'MARE MX'!$E$2:$E$560, "Raúl Campos")</f>
        <v>75768.56</v>
      </c>
      <c r="K90" s="56">
        <f>D90/$F90</f>
        <v>0</v>
      </c>
      <c r="N90" s="43" t="s">
        <v>2797</v>
      </c>
      <c r="O90" s="43">
        <f>SUM(E94:E96)</f>
        <v>3208.9529999999995</v>
      </c>
    </row>
    <row r="91" spans="1:15">
      <c r="A91" t="s">
        <v>25</v>
      </c>
      <c r="B91" s="43">
        <f>SUMIFS('Detalle Fuga 2026'!$I:$I,'Detalle Fuga 2026'!$C:$C,"Dafne de la Rosa",'Detalle Fuga 2026'!$K:$K,"Abril")</f>
        <v>1517</v>
      </c>
      <c r="C91" s="43">
        <f>SUMIFS('Detalle Fuga 2026'!$I:$I,'Detalle Fuga 2026'!$C:$C,"Karla Patiño",'Detalle Fuga 2026'!$K:$K,"Abril")</f>
        <v>0</v>
      </c>
      <c r="D91" s="43">
        <f>SUMIFS('Detalle Fuga 2026'!$I:$I,'Detalle Fuga 2026'!$C:$C,"Raúl Campos",'Detalle Fuga 2026'!$K:$K,"Abril")</f>
        <v>0</v>
      </c>
      <c r="E91" s="43">
        <f t="shared" si="3"/>
        <v>1517</v>
      </c>
      <c r="F91" s="247">
        <f>SUMIFS('MARE MX'!$Y$2:$Y$560,'MARE MX'!$E$2:$E$560, "Dafne de la Rosa")</f>
        <v>48881.990000000042</v>
      </c>
      <c r="G91" s="56">
        <f>B91/$F91</f>
        <v>3.1033924764519584E-2</v>
      </c>
      <c r="H91" s="247">
        <f>SUMIFS('MARE MX'!$Y$2:$Y$560,'MARE MX'!$E$2:$E$560, "Karla Patiño")</f>
        <v>29413.3688</v>
      </c>
      <c r="I91" s="56">
        <f>C91/$F91</f>
        <v>0</v>
      </c>
      <c r="J91" s="247">
        <f>SUMIFS('MARE MX'!$Y$2:$Y$560,'MARE MX'!$E$2:$E$560, "Raúl Campos")</f>
        <v>78845.520000000019</v>
      </c>
      <c r="K91" s="56">
        <f>D91/$F91</f>
        <v>0</v>
      </c>
      <c r="N91" s="43" t="s">
        <v>2800</v>
      </c>
      <c r="O91" s="43">
        <f>SUM(E97:E99)</f>
        <v>214.67150000000001</v>
      </c>
    </row>
    <row r="92" spans="1:15">
      <c r="A92" t="s">
        <v>26</v>
      </c>
      <c r="B92" s="43">
        <f>SUMIFS('Detalle Fuga 2026'!$I:$I,'Detalle Fuga 2026'!$C:$C,"Dafne de la Rosa",'Detalle Fuga 2026'!$K:$K,"Mayo")</f>
        <v>764</v>
      </c>
      <c r="C92" s="43">
        <f>SUMIFS('Detalle Fuga 2026'!$I:$I,'Detalle Fuga 2026'!$C:$C,"Karla Patiño",'Detalle Fuga 2026'!$K:$K,"Mayo")</f>
        <v>820</v>
      </c>
      <c r="D92" s="43">
        <f>SUMIFS('Detalle Fuga 2026'!$I:$I,'Detalle Fuga 2026'!$C:$C,"Raúl Campos",'Detalle Fuga 2026'!$K:$K,"Mayo")</f>
        <v>0</v>
      </c>
      <c r="E92" s="43">
        <f t="shared" si="3"/>
        <v>1584</v>
      </c>
      <c r="F92" s="247">
        <f>SUMIFS('MARE MX'!$Z$2:$Z$560,'MARE MX'!$E$2:$E$560, "Dafne de la Rosa")</f>
        <v>51650.296699999992</v>
      </c>
      <c r="G92" s="56">
        <f>B92/$F92</f>
        <v>1.4791783374208577E-2</v>
      </c>
      <c r="H92" s="247">
        <f>SUMIFS('MARE MX'!$Z$2:$Z$560,'MARE MX'!$E$2:$E$560, "Karla Patiño")</f>
        <v>32121.990200000004</v>
      </c>
      <c r="I92" s="56">
        <f>C92/$F92</f>
        <v>1.5875997862370463E-2</v>
      </c>
      <c r="J92" s="247">
        <f>SUMIFS('MARE MX'!$Z$2:$Z$560,'MARE MX'!$E$2:$E$560, "Raúl Campos")</f>
        <v>77200.103500000027</v>
      </c>
      <c r="K92" s="56">
        <f>D92/$F92</f>
        <v>0</v>
      </c>
    </row>
    <row r="93" spans="1:15">
      <c r="A93" t="s">
        <v>27</v>
      </c>
      <c r="B93" s="43">
        <f>SUMIFS('Detalle Fuga 2026'!$I:$I,'Detalle Fuga 2026'!$C:$C,"Dafne de la Rosa",'Detalle Fuga 2026'!$K:$K,"Junio")</f>
        <v>0</v>
      </c>
      <c r="C93" s="43">
        <f>SUMIFS('Detalle Fuga 2026'!$I:$I,'Detalle Fuga 2026'!$C:$C,"Karla Patiño",'Detalle Fuga 2026'!$K:$K,"Junio")</f>
        <v>0</v>
      </c>
      <c r="D93" s="43">
        <f>SUMIFS('Detalle Fuga 2026'!$I:$I,'Detalle Fuga 2026'!$C:$C,"Raúl Campos",'Detalle Fuga 2026'!$K:$K,"Junio")</f>
        <v>0</v>
      </c>
      <c r="E93" s="43">
        <f t="shared" si="3"/>
        <v>0</v>
      </c>
      <c r="F93" s="43"/>
      <c r="G93" s="43"/>
      <c r="H93" s="43"/>
    </row>
    <row r="94" spans="1:15">
      <c r="A94" t="s">
        <v>28</v>
      </c>
      <c r="B94" s="43">
        <f>SUMIFS('Detalle Fuga 2026'!$I:$I,'Detalle Fuga 2026'!$C:$C,"Dafne de la Rosa",'Detalle Fuga 2026'!$K:$K,"Julio")</f>
        <v>0</v>
      </c>
      <c r="C94" s="43">
        <f>SUMIFS('Detalle Fuga 2026'!$I:$I,'Detalle Fuga 2026'!$C:$C,"Karla Patiño",'Detalle Fuga 2026'!$K:$K,"Julio")</f>
        <v>182</v>
      </c>
      <c r="D94" s="43">
        <f>SUMIFS('Detalle Fuga 2026'!$I:$I,'Detalle Fuga 2026'!$C:$C,"Raúl Campos",'Detalle Fuga 2026'!$K:$K,"Julio")</f>
        <v>0</v>
      </c>
      <c r="E94" s="43">
        <f t="shared" si="3"/>
        <v>182</v>
      </c>
      <c r="F94" s="43"/>
      <c r="G94" s="43"/>
      <c r="H94" s="43"/>
    </row>
    <row r="95" spans="1:15">
      <c r="A95" t="s">
        <v>29</v>
      </c>
      <c r="B95" s="43">
        <f>SUMIFS('Detalle Fuga 2026'!$I:$I,'Detalle Fuga 2026'!$C:$C,"Dafne de la Rosa",'Detalle Fuga 2026'!$K:$K,"Agosto")</f>
        <v>2.3900999999999999</v>
      </c>
      <c r="C95" s="43">
        <f>SUMIFS('Detalle Fuga 2026'!$I:$I,'Detalle Fuga 2026'!$C:$C,"Karla Patiño",'Detalle Fuga 2026'!$K:$K,"Agosto")</f>
        <v>786.46870000000001</v>
      </c>
      <c r="D95" s="43">
        <f>SUMIFS('Detalle Fuga 2026'!$I:$I,'Detalle Fuga 2026'!$C:$C,"Raúl Campos",'Detalle Fuga 2026'!$K:$K,"Agosto")</f>
        <v>797.97410000000002</v>
      </c>
      <c r="E95" s="43">
        <f t="shared" si="3"/>
        <v>1586.8328999999999</v>
      </c>
      <c r="F95" s="43"/>
      <c r="G95" s="43"/>
      <c r="H95" s="43"/>
    </row>
    <row r="96" spans="1:15">
      <c r="A96" t="s">
        <v>30</v>
      </c>
      <c r="B96" s="43">
        <f>SUMIFS('Detalle Fuga 2026'!$I:$I,'Detalle Fuga 2026'!$C:$C,"Dafne de la Rosa",'Detalle Fuga 2026'!$K:$K,"Septiembre")</f>
        <v>1273.1347999999998</v>
      </c>
      <c r="C96" s="43">
        <f>SUMIFS('Detalle Fuga 2026'!$I:$I,'Detalle Fuga 2026'!$C:$C,"Karla Patiño",'Detalle Fuga 2026'!$K:$K,"Septiembre")</f>
        <v>166.9853</v>
      </c>
      <c r="D96" s="43">
        <f>SUMIFS('Detalle Fuga 2026'!$I:$I,'Detalle Fuga 2026'!$C:$C,"Raúl Campos",'Detalle Fuga 2026'!$K:$K,"Septiembre")</f>
        <v>0</v>
      </c>
      <c r="E96" s="43">
        <f t="shared" si="3"/>
        <v>1440.1200999999999</v>
      </c>
      <c r="F96" s="43"/>
      <c r="G96" s="43"/>
      <c r="H96" s="43"/>
    </row>
    <row r="97" spans="1:8">
      <c r="A97" t="s">
        <v>2802</v>
      </c>
      <c r="B97" s="43">
        <f>SUMIFS('Detalle Fuga 2026'!$I:$I,'Detalle Fuga 2026'!$C:$C,"Dafne de la Rosa",'Detalle Fuga 2026'!$K:$K,"Octubre")</f>
        <v>0</v>
      </c>
      <c r="C97" s="43">
        <f>SUMIFS('Detalle Fuga 2026'!$I:$I,'Detalle Fuga 2026'!$C:$C,"Karla Patiño",'Detalle Fuga 2026'!$K:$K,"Octubre")</f>
        <v>0</v>
      </c>
      <c r="D97" s="43">
        <f>SUMIFS('Detalle Fuga 2026'!$I:$I,'Detalle Fuga 2026'!$C:$C,"Raúl Campos",'Detalle Fuga 2026'!$K:$K,"Octubre")</f>
        <v>0</v>
      </c>
      <c r="E97" s="43">
        <f t="shared" si="3"/>
        <v>0</v>
      </c>
      <c r="F97" s="43"/>
      <c r="G97" s="43"/>
      <c r="H97" s="43"/>
    </row>
    <row r="98" spans="1:8">
      <c r="A98" t="s">
        <v>2803</v>
      </c>
      <c r="B98" s="43">
        <f>SUMIFS('Detalle Fuga 2026'!$I:$I,'Detalle Fuga 2026'!$C:$C,"Dafne de la Rosa",'Detalle Fuga 2026'!$K:$K,"Noviembre")</f>
        <v>0</v>
      </c>
      <c r="C98" s="43">
        <f>SUMIFS('Detalle Fuga 2026'!$I:$I,'Detalle Fuga 2026'!$C:$C,"Karla Patiño",'Detalle Fuga 2026'!$K:$K,"Noviembre")</f>
        <v>214.67150000000001</v>
      </c>
      <c r="D98" s="43">
        <f>SUMIFS('Detalle Fuga 2026'!$I:$I,'Detalle Fuga 2026'!$C:$C,"Raúl Campos",'Detalle Fuga 2026'!$K:$K,"Noviembre")</f>
        <v>0</v>
      </c>
      <c r="E98" s="43">
        <f t="shared" si="3"/>
        <v>214.67150000000001</v>
      </c>
      <c r="F98" s="43"/>
      <c r="G98" s="43"/>
      <c r="H98" s="43"/>
    </row>
    <row r="99" spans="1:8">
      <c r="A99" t="s">
        <v>2804</v>
      </c>
      <c r="B99" s="43">
        <f>SUMIFS('Detalle Fuga 2026'!$I:$I,'Detalle Fuga 2026'!$C:$C,"Dafne de la Rosa",'Detalle Fuga 2026'!$K:$K,"Diciembre")</f>
        <v>0</v>
      </c>
      <c r="C99" s="43">
        <f>SUMIFS('Detalle Fuga 2026'!$I:$I,'Detalle Fuga 2026'!$C:$C,"Karla Patiño",'Detalle Fuga 2026'!$K:$K,"Diciembre")</f>
        <v>0</v>
      </c>
      <c r="D99" s="43">
        <f>SUMIFS('Detalle Fuga 2026'!$I:$I,'Detalle Fuga 2026'!$C:$C,"Raúl Campos",'Detalle Fuga 2026'!$K:$K,"Diciembre")</f>
        <v>0</v>
      </c>
      <c r="E99" s="43">
        <f t="shared" si="3"/>
        <v>0</v>
      </c>
      <c r="F99" s="43"/>
      <c r="G99" s="43"/>
      <c r="H99" s="43"/>
    </row>
    <row r="100" spans="1:8">
      <c r="A100" t="s">
        <v>2785</v>
      </c>
      <c r="B100" s="43">
        <f>SUM(B88:B99)</f>
        <v>4856.1849000000002</v>
      </c>
      <c r="C100" s="43">
        <f>SUM(C88:C99)</f>
        <v>3607.1272999999997</v>
      </c>
      <c r="D100" s="43">
        <f>SUM(D88:D99)</f>
        <v>1472.9740999999999</v>
      </c>
      <c r="E100" s="43">
        <f>SUM(E88:E99)</f>
        <v>9936.2862999999998</v>
      </c>
      <c r="F100" s="43"/>
      <c r="G100" s="43"/>
      <c r="H100" s="43"/>
    </row>
  </sheetData>
  <mergeCells count="2">
    <mergeCell ref="A69:H69"/>
    <mergeCell ref="A86:I8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BI53"/>
  <sheetViews>
    <sheetView workbookViewId="0">
      <selection activeCell="A14" sqref="A14"/>
    </sheetView>
  </sheetViews>
  <sheetFormatPr defaultColWidth="11.42578125" defaultRowHeight="15" customHeight="1"/>
  <cols>
    <col min="1" max="1" width="29.85546875" customWidth="1"/>
    <col min="2" max="2" width="20.7109375" customWidth="1"/>
    <col min="3" max="11" width="15.85546875" customWidth="1"/>
    <col min="12" max="12" width="18.85546875" customWidth="1"/>
    <col min="13" max="13" width="17" customWidth="1"/>
    <col min="14" max="14" width="19.28515625" customWidth="1"/>
    <col min="15" max="15" width="16.42578125" customWidth="1"/>
    <col min="16" max="16" width="41.85546875" bestFit="1" customWidth="1"/>
    <col min="17" max="17" width="10.28515625" bestFit="1" customWidth="1"/>
    <col min="18" max="18" width="10.85546875" bestFit="1" customWidth="1"/>
    <col min="19" max="19" width="16.42578125" bestFit="1" customWidth="1"/>
    <col min="20" max="20" width="13.28515625" bestFit="1" customWidth="1"/>
    <col min="21" max="21" width="10.42578125" bestFit="1" customWidth="1"/>
    <col min="22" max="22" width="7.7109375" bestFit="1" customWidth="1"/>
    <col min="23" max="23" width="9.28515625" bestFit="1" customWidth="1"/>
    <col min="24" max="24" width="9.140625" bestFit="1" customWidth="1"/>
    <col min="25" max="25" width="12.42578125" bestFit="1" customWidth="1"/>
    <col min="26" max="26" width="12" bestFit="1" customWidth="1"/>
    <col min="27" max="27" width="6.28515625" bestFit="1" customWidth="1"/>
    <col min="28" max="28" width="6.140625" bestFit="1" customWidth="1"/>
    <col min="29" max="29" width="17.42578125" bestFit="1" customWidth="1"/>
    <col min="30" max="30" width="9.28515625" bestFit="1" customWidth="1"/>
    <col min="31" max="31" width="10.5703125" bestFit="1" customWidth="1"/>
    <col min="32" max="32" width="10.7109375" bestFit="1" customWidth="1"/>
    <col min="33" max="33" width="21.85546875" bestFit="1" customWidth="1"/>
    <col min="34" max="34" width="13.28515625" bestFit="1" customWidth="1"/>
    <col min="35" max="35" width="10.42578125" bestFit="1" customWidth="1"/>
    <col min="36" max="37" width="17.140625" customWidth="1"/>
    <col min="38" max="38" width="14.5703125" customWidth="1"/>
    <col min="39" max="39" width="17.140625" customWidth="1"/>
    <col min="40" max="40" width="12.42578125" bestFit="1" customWidth="1"/>
    <col min="41" max="41" width="12" bestFit="1" customWidth="1"/>
    <col min="42" max="42" width="14" customWidth="1"/>
    <col min="43" max="43" width="20.5703125" customWidth="1"/>
    <col min="44" max="44" width="17.42578125" bestFit="1" customWidth="1"/>
    <col min="45" max="45" width="19.5703125" customWidth="1"/>
    <col min="46" max="46" width="14.42578125" bestFit="1" customWidth="1"/>
    <col min="47" max="47" width="21.85546875" bestFit="1" customWidth="1"/>
    <col min="48" max="48" width="11.140625" bestFit="1" customWidth="1"/>
    <col min="49" max="49" width="22.140625" bestFit="1" customWidth="1"/>
    <col min="50" max="50" width="14" bestFit="1" customWidth="1"/>
    <col min="51" max="51" width="18.28515625" bestFit="1" customWidth="1"/>
    <col min="52" max="52" width="14.140625" bestFit="1" customWidth="1"/>
    <col min="53" max="53" width="15.140625" bestFit="1" customWidth="1"/>
    <col min="54" max="54" width="14.42578125" bestFit="1" customWidth="1"/>
    <col min="55" max="55" width="12" bestFit="1" customWidth="1"/>
    <col min="56" max="56" width="24.5703125" bestFit="1" customWidth="1"/>
    <col min="57" max="57" width="38.140625" bestFit="1" customWidth="1"/>
    <col min="58" max="58" width="17.42578125" bestFit="1" customWidth="1"/>
    <col min="59" max="59" width="17.42578125" customWidth="1"/>
    <col min="60" max="60" width="18.140625" bestFit="1" customWidth="1"/>
    <col min="61" max="61" width="19.42578125" bestFit="1" customWidth="1"/>
    <col min="62" max="62" width="20.28515625" bestFit="1" customWidth="1"/>
    <col min="63" max="63" width="8.42578125" bestFit="1" customWidth="1"/>
    <col min="64" max="64" width="35.28515625" bestFit="1" customWidth="1"/>
    <col min="65" max="65" width="11.42578125" bestFit="1" customWidth="1"/>
    <col min="66" max="66" width="7" bestFit="1" customWidth="1"/>
    <col min="67" max="67" width="29.140625" bestFit="1" customWidth="1"/>
    <col min="68" max="68" width="28.28515625" bestFit="1" customWidth="1"/>
    <col min="69" max="69" width="15.7109375" bestFit="1" customWidth="1"/>
    <col min="70" max="70" width="22.85546875" bestFit="1" customWidth="1"/>
    <col min="71" max="71" width="61.140625" bestFit="1" customWidth="1"/>
    <col min="72" max="72" width="38.28515625" bestFit="1" customWidth="1"/>
    <col min="73" max="73" width="34.7109375" bestFit="1" customWidth="1"/>
    <col min="74" max="74" width="12.5703125" bestFit="1" customWidth="1"/>
    <col min="75" max="76" width="21" bestFit="1" customWidth="1"/>
    <col min="77" max="77" width="66.7109375" bestFit="1" customWidth="1"/>
    <col min="78" max="78" width="18.42578125" bestFit="1" customWidth="1"/>
    <col min="79" max="79" width="19" bestFit="1" customWidth="1"/>
    <col min="80" max="80" width="31.5703125" bestFit="1" customWidth="1"/>
    <col min="81" max="81" width="33.28515625" bestFit="1" customWidth="1"/>
    <col min="82" max="82" width="25" bestFit="1" customWidth="1"/>
    <col min="83" max="83" width="35" bestFit="1" customWidth="1"/>
    <col min="84" max="84" width="20.28515625" bestFit="1" customWidth="1"/>
    <col min="85" max="85" width="24.42578125" bestFit="1" customWidth="1"/>
    <col min="86" max="86" width="8.42578125" bestFit="1" customWidth="1"/>
    <col min="87" max="87" width="55.42578125" bestFit="1" customWidth="1"/>
    <col min="88" max="88" width="28.28515625" bestFit="1" customWidth="1"/>
    <col min="89" max="89" width="40" bestFit="1" customWidth="1"/>
    <col min="90" max="90" width="38.7109375" bestFit="1" customWidth="1"/>
    <col min="91" max="91" width="41.7109375" bestFit="1" customWidth="1"/>
    <col min="92" max="92" width="29.85546875" bestFit="1" customWidth="1"/>
    <col min="93" max="93" width="24.140625" bestFit="1" customWidth="1"/>
    <col min="94" max="94" width="53.5703125" bestFit="1" customWidth="1"/>
    <col min="95" max="95" width="29.5703125" bestFit="1" customWidth="1"/>
    <col min="96" max="96" width="28.7109375" bestFit="1" customWidth="1"/>
    <col min="97" max="97" width="17.42578125" bestFit="1" customWidth="1"/>
    <col min="98" max="98" width="26.42578125" bestFit="1" customWidth="1"/>
    <col min="99" max="99" width="48.140625" bestFit="1" customWidth="1"/>
    <col min="100" max="100" width="25.42578125" bestFit="1" customWidth="1"/>
    <col min="101" max="101" width="19.5703125" bestFit="1" customWidth="1"/>
    <col min="102" max="102" width="18.7109375" bestFit="1" customWidth="1"/>
    <col min="103" max="103" width="16.5703125" bestFit="1" customWidth="1"/>
    <col min="104" max="104" width="29.28515625" bestFit="1" customWidth="1"/>
    <col min="105" max="105" width="18.85546875" bestFit="1" customWidth="1"/>
    <col min="106" max="106" width="24.85546875" bestFit="1" customWidth="1"/>
    <col min="107" max="107" width="19.7109375" bestFit="1" customWidth="1"/>
    <col min="108" max="108" width="31.85546875" bestFit="1" customWidth="1"/>
    <col min="109" max="109" width="34.85546875" bestFit="1" customWidth="1"/>
    <col min="110" max="110" width="53.7109375" bestFit="1" customWidth="1"/>
    <col min="111" max="111" width="38.140625" bestFit="1" customWidth="1"/>
    <col min="112" max="112" width="20" bestFit="1" customWidth="1"/>
    <col min="113" max="113" width="59.85546875" bestFit="1" customWidth="1"/>
    <col min="114" max="114" width="47" bestFit="1" customWidth="1"/>
    <col min="115" max="115" width="42" bestFit="1" customWidth="1"/>
    <col min="116" max="116" width="41.42578125" bestFit="1" customWidth="1"/>
    <col min="117" max="117" width="23.42578125" bestFit="1" customWidth="1"/>
    <col min="118" max="118" width="27.85546875" bestFit="1" customWidth="1"/>
    <col min="119" max="119" width="11.28515625" bestFit="1" customWidth="1"/>
    <col min="120" max="120" width="13.85546875" bestFit="1" customWidth="1"/>
    <col min="121" max="121" width="21.28515625" bestFit="1" customWidth="1"/>
    <col min="122" max="122" width="37.7109375" bestFit="1" customWidth="1"/>
    <col min="123" max="123" width="44.42578125" bestFit="1" customWidth="1"/>
    <col min="124" max="124" width="23.7109375" bestFit="1" customWidth="1"/>
    <col min="125" max="125" width="7.42578125" bestFit="1" customWidth="1"/>
    <col min="126" max="126" width="39.140625" bestFit="1" customWidth="1"/>
    <col min="127" max="127" width="24.42578125" bestFit="1" customWidth="1"/>
    <col min="128" max="128" width="27" bestFit="1" customWidth="1"/>
    <col min="129" max="129" width="30.28515625" bestFit="1" customWidth="1"/>
    <col min="130" max="130" width="24.85546875" bestFit="1" customWidth="1"/>
    <col min="131" max="131" width="37.7109375" bestFit="1" customWidth="1"/>
    <col min="132" max="132" width="30.42578125" bestFit="1" customWidth="1"/>
    <col min="133" max="133" width="7.5703125" bestFit="1" customWidth="1"/>
    <col min="134" max="134" width="17.85546875" bestFit="1" customWidth="1"/>
    <col min="135" max="135" width="8.7109375" bestFit="1" customWidth="1"/>
    <col min="136" max="136" width="12.7109375" bestFit="1" customWidth="1"/>
    <col min="137" max="137" width="24.5703125" bestFit="1" customWidth="1"/>
    <col min="138" max="138" width="21.140625" bestFit="1" customWidth="1"/>
    <col min="139" max="139" width="33.7109375" bestFit="1" customWidth="1"/>
    <col min="140" max="140" width="29.42578125" bestFit="1" customWidth="1"/>
    <col min="141" max="141" width="22.42578125" bestFit="1" customWidth="1"/>
    <col min="142" max="142" width="41.42578125" bestFit="1" customWidth="1"/>
    <col min="143" max="143" width="22.5703125" bestFit="1" customWidth="1"/>
    <col min="144" max="144" width="17.85546875" bestFit="1" customWidth="1"/>
    <col min="145" max="145" width="27" bestFit="1" customWidth="1"/>
    <col min="146" max="146" width="42.28515625" bestFit="1" customWidth="1"/>
    <col min="147" max="147" width="26.85546875" bestFit="1" customWidth="1"/>
    <col min="148" max="148" width="22" bestFit="1" customWidth="1"/>
    <col min="149" max="149" width="25" bestFit="1" customWidth="1"/>
    <col min="150" max="150" width="47.42578125" bestFit="1" customWidth="1"/>
    <col min="151" max="151" width="25.28515625" bestFit="1" customWidth="1"/>
    <col min="152" max="152" width="38.28515625" bestFit="1" customWidth="1"/>
    <col min="153" max="153" width="29.28515625" bestFit="1" customWidth="1"/>
    <col min="154" max="154" width="5.140625" bestFit="1" customWidth="1"/>
    <col min="155" max="155" width="17.85546875" bestFit="1" customWidth="1"/>
    <col min="156" max="156" width="31.7109375" bestFit="1" customWidth="1"/>
    <col min="157" max="157" width="23.85546875" bestFit="1" customWidth="1"/>
    <col min="158" max="158" width="38.7109375" bestFit="1" customWidth="1"/>
    <col min="159" max="159" width="26" bestFit="1" customWidth="1"/>
    <col min="160" max="160" width="36.85546875" bestFit="1" customWidth="1"/>
    <col min="161" max="161" width="23.5703125" bestFit="1" customWidth="1"/>
    <col min="162" max="162" width="50.140625" bestFit="1" customWidth="1"/>
    <col min="163" max="163" width="21.140625" bestFit="1" customWidth="1"/>
    <col min="164" max="164" width="46.42578125" bestFit="1" customWidth="1"/>
    <col min="165" max="165" width="26.7109375" bestFit="1" customWidth="1"/>
    <col min="166" max="166" width="18.85546875" bestFit="1" customWidth="1"/>
    <col min="167" max="167" width="23.7109375" bestFit="1" customWidth="1"/>
    <col min="168" max="168" width="23.42578125" bestFit="1" customWidth="1"/>
    <col min="169" max="169" width="28.5703125" bestFit="1" customWidth="1"/>
    <col min="170" max="170" width="35.85546875" bestFit="1" customWidth="1"/>
    <col min="171" max="171" width="20.140625" bestFit="1" customWidth="1"/>
    <col min="172" max="172" width="26.28515625" bestFit="1" customWidth="1"/>
    <col min="173" max="173" width="26.140625" bestFit="1" customWidth="1"/>
    <col min="174" max="174" width="35.5703125" bestFit="1" customWidth="1"/>
    <col min="175" max="175" width="17.140625" bestFit="1" customWidth="1"/>
    <col min="176" max="176" width="27" bestFit="1" customWidth="1"/>
    <col min="177" max="177" width="16.140625" bestFit="1" customWidth="1"/>
    <col min="178" max="178" width="38.140625" bestFit="1" customWidth="1"/>
    <col min="179" max="179" width="22" bestFit="1" customWidth="1"/>
    <col min="180" max="180" width="21.5703125" bestFit="1" customWidth="1"/>
    <col min="181" max="181" width="13" bestFit="1" customWidth="1"/>
    <col min="182" max="182" width="20.7109375" bestFit="1" customWidth="1"/>
    <col min="183" max="183" width="26.140625" bestFit="1" customWidth="1"/>
    <col min="184" max="184" width="32.28515625" bestFit="1" customWidth="1"/>
    <col min="185" max="185" width="38.7109375" bestFit="1" customWidth="1"/>
    <col min="186" max="186" width="32.140625" bestFit="1" customWidth="1"/>
    <col min="187" max="187" width="31.140625" bestFit="1" customWidth="1"/>
    <col min="188" max="188" width="9.5703125" bestFit="1" customWidth="1"/>
    <col min="189" max="189" width="16" bestFit="1" customWidth="1"/>
    <col min="190" max="190" width="19.5703125" bestFit="1" customWidth="1"/>
    <col min="191" max="191" width="32.7109375" bestFit="1" customWidth="1"/>
    <col min="192" max="192" width="22.42578125" bestFit="1" customWidth="1"/>
    <col min="193" max="193" width="8.5703125" bestFit="1" customWidth="1"/>
    <col min="194" max="194" width="23.28515625" bestFit="1" customWidth="1"/>
    <col min="195" max="195" width="19.5703125" bestFit="1" customWidth="1"/>
    <col min="196" max="196" width="18.28515625" bestFit="1" customWidth="1"/>
    <col min="197" max="197" width="34" bestFit="1" customWidth="1"/>
    <col min="198" max="198" width="35.5703125" bestFit="1" customWidth="1"/>
    <col min="199" max="199" width="9.42578125" bestFit="1" customWidth="1"/>
    <col min="200" max="200" width="18.42578125" bestFit="1" customWidth="1"/>
    <col min="201" max="201" width="35.28515625" bestFit="1" customWidth="1"/>
    <col min="202" max="202" width="32" bestFit="1" customWidth="1"/>
    <col min="203" max="203" width="26.5703125" bestFit="1" customWidth="1"/>
    <col min="204" max="204" width="23.28515625" bestFit="1" customWidth="1"/>
    <col min="205" max="205" width="36.140625" bestFit="1" customWidth="1"/>
    <col min="206" max="206" width="28.85546875" bestFit="1" customWidth="1"/>
    <col min="207" max="207" width="51.28515625" bestFit="1" customWidth="1"/>
    <col min="208" max="208" width="26.42578125" bestFit="1" customWidth="1"/>
    <col min="209" max="209" width="32.85546875" bestFit="1" customWidth="1"/>
    <col min="210" max="210" width="12.7109375" bestFit="1" customWidth="1"/>
    <col min="211" max="211" width="37.42578125" bestFit="1" customWidth="1"/>
    <col min="212" max="212" width="16.5703125" bestFit="1" customWidth="1"/>
    <col min="213" max="213" width="24.140625" bestFit="1" customWidth="1"/>
    <col min="214" max="214" width="16.140625" bestFit="1" customWidth="1"/>
    <col min="215" max="215" width="15.28515625" bestFit="1" customWidth="1"/>
    <col min="216" max="216" width="24.7109375" bestFit="1" customWidth="1"/>
    <col min="217" max="217" width="13" bestFit="1" customWidth="1"/>
    <col min="218" max="218" width="15.7109375" bestFit="1" customWidth="1"/>
    <col min="219" max="219" width="15.42578125" bestFit="1" customWidth="1"/>
    <col min="220" max="220" width="17.42578125" bestFit="1" customWidth="1"/>
    <col min="221" max="221" width="13.7109375" bestFit="1" customWidth="1"/>
    <col min="222" max="222" width="31.5703125" bestFit="1" customWidth="1"/>
    <col min="223" max="223" width="41.140625" bestFit="1" customWidth="1"/>
    <col min="224" max="224" width="26.140625" bestFit="1" customWidth="1"/>
    <col min="225" max="225" width="20.85546875" bestFit="1" customWidth="1"/>
    <col min="226" max="226" width="33.5703125" bestFit="1" customWidth="1"/>
    <col min="227" max="227" width="40.28515625" bestFit="1" customWidth="1"/>
    <col min="228" max="228" width="30.85546875" bestFit="1" customWidth="1"/>
    <col min="229" max="229" width="23.5703125" bestFit="1" customWidth="1"/>
    <col min="230" max="230" width="12.28515625" bestFit="1" customWidth="1"/>
    <col min="231" max="231" width="9" bestFit="1" customWidth="1"/>
    <col min="232" max="232" width="20.5703125" bestFit="1" customWidth="1"/>
    <col min="233" max="233" width="16.28515625" bestFit="1" customWidth="1"/>
    <col min="234" max="234" width="25.28515625" bestFit="1" customWidth="1"/>
    <col min="235" max="235" width="29.85546875" bestFit="1" customWidth="1"/>
    <col min="236" max="236" width="31.28515625" bestFit="1" customWidth="1"/>
    <col min="237" max="237" width="53.7109375" bestFit="1" customWidth="1"/>
    <col min="238" max="238" width="33.42578125" bestFit="1" customWidth="1"/>
    <col min="239" max="239" width="21.28515625" bestFit="1" customWidth="1"/>
    <col min="240" max="240" width="15.5703125" bestFit="1" customWidth="1"/>
    <col min="241" max="241" width="15" bestFit="1" customWidth="1"/>
    <col min="242" max="242" width="38.7109375" bestFit="1" customWidth="1"/>
    <col min="243" max="243" width="37" bestFit="1" customWidth="1"/>
    <col min="244" max="244" width="25" bestFit="1" customWidth="1"/>
    <col min="245" max="245" width="39.42578125" bestFit="1" customWidth="1"/>
    <col min="246" max="246" width="32.7109375" bestFit="1" customWidth="1"/>
    <col min="247" max="247" width="13.7109375" bestFit="1" customWidth="1"/>
    <col min="248" max="248" width="23.85546875" bestFit="1" customWidth="1"/>
    <col min="249" max="249" width="12.28515625" bestFit="1" customWidth="1"/>
    <col min="250" max="250" width="24.5703125" bestFit="1" customWidth="1"/>
    <col min="251" max="251" width="66.85546875" bestFit="1" customWidth="1"/>
    <col min="252" max="252" width="51.28515625" bestFit="1" customWidth="1"/>
    <col min="253" max="253" width="32.28515625" bestFit="1" customWidth="1"/>
    <col min="254" max="254" width="53.42578125" bestFit="1" customWidth="1"/>
    <col min="255" max="255" width="16.7109375" bestFit="1" customWidth="1"/>
    <col min="256" max="256" width="17.140625" bestFit="1" customWidth="1"/>
    <col min="257" max="257" width="33" bestFit="1" customWidth="1"/>
    <col min="258" max="258" width="32.42578125" bestFit="1" customWidth="1"/>
    <col min="259" max="259" width="31.7109375" bestFit="1" customWidth="1"/>
    <col min="260" max="260" width="20.7109375" bestFit="1" customWidth="1"/>
    <col min="261" max="261" width="42.42578125" bestFit="1" customWidth="1"/>
    <col min="262" max="262" width="29.140625" bestFit="1" customWidth="1"/>
    <col min="263" max="263" width="20.28515625" bestFit="1" customWidth="1"/>
    <col min="264" max="264" width="31.28515625" bestFit="1" customWidth="1"/>
    <col min="265" max="265" width="29.5703125" bestFit="1" customWidth="1"/>
    <col min="266" max="266" width="33.5703125" bestFit="1" customWidth="1"/>
    <col min="267" max="267" width="37.42578125" bestFit="1" customWidth="1"/>
    <col min="268" max="268" width="37.140625" bestFit="1" customWidth="1"/>
    <col min="269" max="269" width="23.140625" bestFit="1" customWidth="1"/>
    <col min="270" max="270" width="32" bestFit="1" customWidth="1"/>
    <col min="271" max="271" width="26.140625" bestFit="1" customWidth="1"/>
    <col min="272" max="272" width="8.85546875" bestFit="1" customWidth="1"/>
    <col min="273" max="273" width="26.85546875" bestFit="1" customWidth="1"/>
    <col min="274" max="274" width="21.140625" bestFit="1" customWidth="1"/>
    <col min="275" max="275" width="25.42578125" bestFit="1" customWidth="1"/>
    <col min="276" max="276" width="5" bestFit="1" customWidth="1"/>
    <col min="277" max="277" width="24" bestFit="1" customWidth="1"/>
    <col min="278" max="278" width="27.28515625" bestFit="1" customWidth="1"/>
    <col min="279" max="279" width="26.42578125" bestFit="1" customWidth="1"/>
    <col min="280" max="280" width="11.85546875" bestFit="1" customWidth="1"/>
    <col min="281" max="281" width="30.85546875" bestFit="1" customWidth="1"/>
    <col min="282" max="282" width="7.140625" bestFit="1" customWidth="1"/>
    <col min="283" max="283" width="18.42578125" bestFit="1" customWidth="1"/>
    <col min="284" max="284" width="21" bestFit="1" customWidth="1"/>
    <col min="285" max="285" width="14.5703125" bestFit="1" customWidth="1"/>
    <col min="286" max="286" width="37.7109375" bestFit="1" customWidth="1"/>
    <col min="287" max="287" width="29.42578125" bestFit="1" customWidth="1"/>
    <col min="288" max="288" width="53.85546875" bestFit="1" customWidth="1"/>
    <col min="289" max="289" width="23.42578125" bestFit="1" customWidth="1"/>
    <col min="290" max="290" width="57.28515625" bestFit="1" customWidth="1"/>
    <col min="291" max="291" width="27.28515625" bestFit="1" customWidth="1"/>
    <col min="292" max="292" width="16.85546875" bestFit="1" customWidth="1"/>
    <col min="293" max="293" width="29" bestFit="1" customWidth="1"/>
    <col min="294" max="294" width="18.42578125" bestFit="1" customWidth="1"/>
    <col min="295" max="295" width="17" bestFit="1" customWidth="1"/>
    <col min="296" max="296" width="20.28515625" bestFit="1" customWidth="1"/>
    <col min="297" max="297" width="23.5703125" bestFit="1" customWidth="1"/>
    <col min="298" max="298" width="6.42578125" bestFit="1" customWidth="1"/>
    <col min="299" max="299" width="26.5703125" bestFit="1" customWidth="1"/>
    <col min="300" max="300" width="27.7109375" bestFit="1" customWidth="1"/>
    <col min="301" max="301" width="27.5703125" bestFit="1" customWidth="1"/>
    <col min="302" max="302" width="36.42578125" bestFit="1" customWidth="1"/>
    <col min="303" max="303" width="36.85546875" bestFit="1" customWidth="1"/>
    <col min="304" max="304" width="14.42578125" bestFit="1" customWidth="1"/>
    <col min="305" max="305" width="26.5703125" bestFit="1" customWidth="1"/>
    <col min="306" max="306" width="33.5703125" bestFit="1" customWidth="1"/>
    <col min="307" max="307" width="25.42578125" bestFit="1" customWidth="1"/>
    <col min="308" max="308" width="24.140625" bestFit="1" customWidth="1"/>
    <col min="309" max="309" width="27.5703125" bestFit="1" customWidth="1"/>
    <col min="310" max="310" width="10.85546875" bestFit="1" customWidth="1"/>
    <col min="311" max="311" width="15.28515625" bestFit="1" customWidth="1"/>
    <col min="312" max="312" width="11" bestFit="1" customWidth="1"/>
    <col min="313" max="313" width="35.7109375" bestFit="1" customWidth="1"/>
    <col min="314" max="314" width="7.7109375" bestFit="1" customWidth="1"/>
    <col min="315" max="315" width="41.42578125" bestFit="1" customWidth="1"/>
    <col min="316" max="316" width="35" bestFit="1" customWidth="1"/>
    <col min="317" max="317" width="37.140625" bestFit="1" customWidth="1"/>
    <col min="318" max="318" width="42.7109375" bestFit="1" customWidth="1"/>
    <col min="319" max="319" width="48.28515625" bestFit="1" customWidth="1"/>
    <col min="320" max="320" width="31.7109375" bestFit="1" customWidth="1"/>
    <col min="321" max="321" width="17" bestFit="1" customWidth="1"/>
    <col min="322" max="322" width="23.5703125" bestFit="1" customWidth="1"/>
    <col min="323" max="323" width="20.140625" bestFit="1" customWidth="1"/>
    <col min="324" max="324" width="35.85546875" bestFit="1" customWidth="1"/>
    <col min="325" max="325" width="8.5703125" bestFit="1" customWidth="1"/>
    <col min="326" max="326" width="35.42578125" bestFit="1" customWidth="1"/>
    <col min="327" max="327" width="23.7109375" bestFit="1" customWidth="1"/>
    <col min="328" max="328" width="33.7109375" bestFit="1" customWidth="1"/>
    <col min="329" max="329" width="38.42578125" bestFit="1" customWidth="1"/>
    <col min="330" max="330" width="18.5703125" bestFit="1" customWidth="1"/>
    <col min="331" max="331" width="19" bestFit="1" customWidth="1"/>
    <col min="332" max="332" width="12.28515625" bestFit="1" customWidth="1"/>
    <col min="333" max="333" width="26.140625" bestFit="1" customWidth="1"/>
    <col min="334" max="334" width="12.42578125" bestFit="1" customWidth="1"/>
    <col min="335" max="335" width="26.7109375" bestFit="1" customWidth="1"/>
    <col min="336" max="336" width="28.7109375" bestFit="1" customWidth="1"/>
    <col min="337" max="337" width="39.85546875" bestFit="1" customWidth="1"/>
    <col min="338" max="338" width="10.42578125" bestFit="1" customWidth="1"/>
    <col min="339" max="339" width="34.5703125" bestFit="1" customWidth="1"/>
    <col min="340" max="340" width="19" bestFit="1" customWidth="1"/>
    <col min="341" max="341" width="9.42578125" bestFit="1" customWidth="1"/>
    <col min="342" max="342" width="13.42578125" bestFit="1" customWidth="1"/>
    <col min="343" max="343" width="47.42578125" bestFit="1" customWidth="1"/>
    <col min="344" max="344" width="18.85546875" bestFit="1" customWidth="1"/>
    <col min="345" max="345" width="11" bestFit="1" customWidth="1"/>
    <col min="346" max="346" width="39.42578125" bestFit="1" customWidth="1"/>
    <col min="347" max="347" width="36.140625" bestFit="1" customWidth="1"/>
    <col min="348" max="348" width="31.5703125" bestFit="1" customWidth="1"/>
    <col min="349" max="349" width="10.5703125" bestFit="1" customWidth="1"/>
    <col min="350" max="350" width="16" bestFit="1" customWidth="1"/>
    <col min="351" max="351" width="52.85546875" bestFit="1" customWidth="1"/>
    <col min="352" max="352" width="53.140625" bestFit="1" customWidth="1"/>
    <col min="353" max="353" width="18" bestFit="1" customWidth="1"/>
    <col min="354" max="354" width="59.85546875" bestFit="1" customWidth="1"/>
    <col min="355" max="355" width="25.140625" bestFit="1" customWidth="1"/>
    <col min="356" max="356" width="17.42578125" bestFit="1" customWidth="1"/>
    <col min="357" max="357" width="18.140625" bestFit="1" customWidth="1"/>
    <col min="358" max="358" width="55" bestFit="1" customWidth="1"/>
    <col min="359" max="359" width="16.7109375" bestFit="1" customWidth="1"/>
    <col min="360" max="360" width="26" bestFit="1" customWidth="1"/>
    <col min="361" max="361" width="12.7109375" bestFit="1" customWidth="1"/>
    <col min="362" max="362" width="22.85546875" bestFit="1" customWidth="1"/>
    <col min="363" max="363" width="19.140625" bestFit="1" customWidth="1"/>
    <col min="364" max="364" width="17.85546875" bestFit="1" customWidth="1"/>
    <col min="365" max="365" width="22.7109375" bestFit="1" customWidth="1"/>
    <col min="366" max="366" width="20.85546875" bestFit="1" customWidth="1"/>
    <col min="367" max="367" width="38.42578125" bestFit="1" customWidth="1"/>
    <col min="368" max="368" width="26.7109375" bestFit="1" customWidth="1"/>
    <col min="369" max="369" width="38.42578125" bestFit="1" customWidth="1"/>
    <col min="370" max="370" width="25.7109375" bestFit="1" customWidth="1"/>
    <col min="371" max="371" width="12" bestFit="1" customWidth="1"/>
    <col min="372" max="372" width="36.85546875" bestFit="1" customWidth="1"/>
    <col min="373" max="373" width="20" bestFit="1" customWidth="1"/>
    <col min="374" max="374" width="15.28515625" bestFit="1" customWidth="1"/>
    <col min="375" max="375" width="13.85546875" bestFit="1" customWidth="1"/>
    <col min="376" max="376" width="13" bestFit="1" customWidth="1"/>
    <col min="377" max="377" width="19.5703125" bestFit="1" customWidth="1"/>
    <col min="379" max="379" width="23" bestFit="1" customWidth="1"/>
    <col min="380" max="380" width="28.28515625" bestFit="1" customWidth="1"/>
    <col min="381" max="381" width="18.28515625" bestFit="1" customWidth="1"/>
    <col min="382" max="382" width="10" bestFit="1" customWidth="1"/>
    <col min="383" max="383" width="19" bestFit="1" customWidth="1"/>
    <col min="384" max="384" width="42.85546875" bestFit="1" customWidth="1"/>
    <col min="385" max="385" width="71" bestFit="1" customWidth="1"/>
    <col min="386" max="386" width="37" bestFit="1" customWidth="1"/>
    <col min="387" max="387" width="52.85546875" bestFit="1" customWidth="1"/>
    <col min="388" max="388" width="30.85546875" bestFit="1" customWidth="1"/>
    <col min="389" max="389" width="19.28515625" bestFit="1" customWidth="1"/>
    <col min="390" max="390" width="10.140625" bestFit="1" customWidth="1"/>
    <col min="391" max="391" width="15.42578125" bestFit="1" customWidth="1"/>
    <col min="392" max="392" width="34.42578125" bestFit="1" customWidth="1"/>
    <col min="393" max="393" width="28.5703125" bestFit="1" customWidth="1"/>
    <col min="394" max="394" width="16.85546875" bestFit="1" customWidth="1"/>
    <col min="395" max="395" width="42.42578125" bestFit="1" customWidth="1"/>
    <col min="396" max="396" width="34.140625" bestFit="1" customWidth="1"/>
    <col min="397" max="397" width="18.7109375" bestFit="1" customWidth="1"/>
    <col min="398" max="398" width="43.140625" bestFit="1" customWidth="1"/>
    <col min="399" max="399" width="41.28515625" bestFit="1" customWidth="1"/>
    <col min="400" max="400" width="70.140625" bestFit="1" customWidth="1"/>
    <col min="401" max="401" width="19.42578125" bestFit="1" customWidth="1"/>
    <col min="402" max="402" width="28" bestFit="1" customWidth="1"/>
    <col min="403" max="403" width="31" bestFit="1" customWidth="1"/>
    <col min="404" max="404" width="16.85546875" bestFit="1" customWidth="1"/>
    <col min="405" max="405" width="32.5703125" bestFit="1" customWidth="1"/>
    <col min="406" max="406" width="21.85546875" bestFit="1" customWidth="1"/>
    <col min="407" max="407" width="28.140625" bestFit="1" customWidth="1"/>
    <col min="408" max="408" width="15.140625" bestFit="1" customWidth="1"/>
    <col min="409" max="409" width="22.5703125" bestFit="1" customWidth="1"/>
    <col min="410" max="410" width="15.7109375" bestFit="1" customWidth="1"/>
    <col min="411" max="411" width="24.5703125" bestFit="1" customWidth="1"/>
    <col min="412" max="412" width="11.7109375" bestFit="1" customWidth="1"/>
    <col min="413" max="413" width="10.5703125" bestFit="1" customWidth="1"/>
    <col min="414" max="414" width="14" bestFit="1" customWidth="1"/>
    <col min="415" max="415" width="20.5703125" bestFit="1" customWidth="1"/>
    <col min="416" max="416" width="24.28515625" bestFit="1" customWidth="1"/>
    <col min="417" max="417" width="13.7109375" bestFit="1" customWidth="1"/>
    <col min="418" max="418" width="29.42578125" bestFit="1" customWidth="1"/>
    <col min="419" max="419" width="35.42578125" bestFit="1" customWidth="1"/>
    <col min="420" max="420" width="19.7109375" bestFit="1" customWidth="1"/>
    <col min="421" max="421" width="11.85546875" bestFit="1" customWidth="1"/>
    <col min="422" max="422" width="16.7109375" bestFit="1" customWidth="1"/>
    <col min="423" max="423" width="20.7109375" bestFit="1" customWidth="1"/>
    <col min="424" max="424" width="21.140625" bestFit="1" customWidth="1"/>
    <col min="425" max="425" width="47.5703125" bestFit="1" customWidth="1"/>
    <col min="426" max="426" width="35.140625" bestFit="1" customWidth="1"/>
    <col min="427" max="427" width="51.140625" bestFit="1" customWidth="1"/>
    <col min="428" max="428" width="42.5703125" bestFit="1" customWidth="1"/>
    <col min="429" max="429" width="21.5703125" bestFit="1" customWidth="1"/>
    <col min="430" max="430" width="32.85546875" bestFit="1" customWidth="1"/>
    <col min="431" max="431" width="27.28515625" bestFit="1" customWidth="1"/>
    <col min="432" max="432" width="60.140625" bestFit="1" customWidth="1"/>
    <col min="433" max="433" width="34.42578125" bestFit="1" customWidth="1"/>
    <col min="434" max="434" width="15" bestFit="1" customWidth="1"/>
    <col min="435" max="435" width="13.5703125" bestFit="1" customWidth="1"/>
    <col min="436" max="436" width="22.85546875" bestFit="1" customWidth="1"/>
    <col min="437" max="437" width="37" bestFit="1" customWidth="1"/>
    <col min="438" max="438" width="44" bestFit="1" customWidth="1"/>
    <col min="439" max="439" width="32" bestFit="1" customWidth="1"/>
    <col min="440" max="440" width="43.5703125" bestFit="1" customWidth="1"/>
    <col min="441" max="441" width="19.28515625" bestFit="1" customWidth="1"/>
    <col min="442" max="442" width="26.5703125" bestFit="1" customWidth="1"/>
    <col min="443" max="443" width="19.42578125" bestFit="1" customWidth="1"/>
    <col min="444" max="444" width="11.140625" bestFit="1" customWidth="1"/>
    <col min="445" max="445" width="21" bestFit="1" customWidth="1"/>
    <col min="446" max="446" width="36.140625" bestFit="1" customWidth="1"/>
    <col min="447" max="447" width="15.140625" bestFit="1" customWidth="1"/>
    <col min="448" max="448" width="24.85546875" bestFit="1" customWidth="1"/>
    <col min="449" max="449" width="19.28515625" bestFit="1" customWidth="1"/>
    <col min="450" max="450" width="20.42578125" bestFit="1" customWidth="1"/>
    <col min="451" max="451" width="14.42578125" bestFit="1" customWidth="1"/>
    <col min="452" max="452" width="22.7109375" bestFit="1" customWidth="1"/>
    <col min="454" max="454" width="26.140625" bestFit="1" customWidth="1"/>
    <col min="455" max="455" width="20.28515625" bestFit="1" customWidth="1"/>
    <col min="456" max="456" width="35.28515625" bestFit="1" customWidth="1"/>
    <col min="457" max="457" width="39.7109375" bestFit="1" customWidth="1"/>
    <col min="458" max="458" width="13.42578125" bestFit="1" customWidth="1"/>
    <col min="459" max="459" width="6.42578125" bestFit="1" customWidth="1"/>
    <col min="460" max="460" width="25.28515625" bestFit="1" customWidth="1"/>
    <col min="461" max="461" width="18.5703125" bestFit="1" customWidth="1"/>
    <col min="462" max="462" width="28.5703125" bestFit="1" customWidth="1"/>
    <col min="463" max="463" width="11.140625" bestFit="1" customWidth="1"/>
    <col min="464" max="464" width="12.5703125" bestFit="1" customWidth="1"/>
  </cols>
  <sheetData>
    <row r="2" spans="1:18">
      <c r="A2" s="17" t="s">
        <v>2812</v>
      </c>
      <c r="B2" s="18" t="s">
        <v>2805</v>
      </c>
      <c r="C2" s="18" t="s">
        <v>22</v>
      </c>
      <c r="D2" s="18" t="s">
        <v>23</v>
      </c>
      <c r="E2" s="18" t="s">
        <v>24</v>
      </c>
      <c r="F2" s="223" t="s">
        <v>2788</v>
      </c>
      <c r="G2" s="18" t="s">
        <v>25</v>
      </c>
      <c r="H2" s="18" t="s">
        <v>26</v>
      </c>
      <c r="I2" s="18" t="s">
        <v>27</v>
      </c>
      <c r="J2" s="223" t="s">
        <v>2794</v>
      </c>
      <c r="K2" s="18" t="s">
        <v>28</v>
      </c>
      <c r="L2" s="18" t="s">
        <v>29</v>
      </c>
      <c r="M2" s="18" t="s">
        <v>30</v>
      </c>
      <c r="N2" s="223" t="s">
        <v>2797</v>
      </c>
      <c r="O2" s="18" t="s">
        <v>2802</v>
      </c>
      <c r="P2" s="18" t="s">
        <v>2803</v>
      </c>
      <c r="Q2" s="19" t="s">
        <v>2804</v>
      </c>
      <c r="R2" s="223" t="s">
        <v>2800</v>
      </c>
    </row>
    <row r="3" spans="1:18">
      <c r="A3" s="20" t="s">
        <v>2813</v>
      </c>
      <c r="B3" s="21">
        <f>SUM(F3,J3,N3,R3)</f>
        <v>0</v>
      </c>
      <c r="C3" s="21">
        <f>SUMIFS('Ventas 2026'!$M:$M,'Ventas 2026'!$C:$C,C2,'Ventas 2026'!$E:$E,$A$3)</f>
        <v>0</v>
      </c>
      <c r="D3" s="21">
        <f>SUMIFS('Ventas 2026'!$M:$M,'Ventas 2026'!$C:$C,D2,'Ventas 2026'!$E:$E,$A$3)</f>
        <v>0</v>
      </c>
      <c r="E3" s="21">
        <f>SUMIFS('Ventas 2026'!$M:$M,'Ventas 2026'!$C:$C,E2,'Ventas 2026'!$E:$E,$A$3)</f>
        <v>0</v>
      </c>
      <c r="F3" s="224">
        <f>SUM(C3:E3)</f>
        <v>0</v>
      </c>
      <c r="G3" s="21">
        <f>SUMIFS('Ventas 2026'!$M:$M,'Ventas 2026'!$C:$C,G2,'Ventas 2026'!$E:$E,$A$3)</f>
        <v>0</v>
      </c>
      <c r="H3" s="21">
        <f>SUMIFS('Ventas 2026'!$M:$M,'Ventas 2026'!$C:$C,H2,'Ventas 2026'!$E:$E,$A$3)</f>
        <v>0</v>
      </c>
      <c r="I3" s="21">
        <f>SUMIFS('Ventas 2026'!$M:$M,'Ventas 2026'!$C:$C,I2,'Ventas 2026'!$E:$E,$A$3)</f>
        <v>0</v>
      </c>
      <c r="J3" s="224">
        <f>SUM(G3:I3)</f>
        <v>0</v>
      </c>
      <c r="K3" s="21">
        <f>SUMIFS('Ventas 2026'!$M:$M,'Ventas 2026'!$C:$C,K2,'Ventas 2026'!$E:$E,$A$3)</f>
        <v>0</v>
      </c>
      <c r="L3" s="21">
        <f>SUMIFS('Ventas 2026'!$M:$M,'Ventas 2026'!$C:$C,L2,'Ventas 2026'!$E:$E,$A$3)</f>
        <v>0</v>
      </c>
      <c r="M3" s="21">
        <f>SUMIFS('Ventas 2026'!$M:$M,'Ventas 2026'!$C:$C,M2,'Ventas 2026'!$E:$E,$A$3)</f>
        <v>0</v>
      </c>
      <c r="N3" s="224">
        <f t="shared" ref="N3:N4" si="0">SUM(K3:M3)</f>
        <v>0</v>
      </c>
      <c r="O3" s="21">
        <f>SUMIFS('Ventas 2026'!$M:$M,'Ventas 2026'!$C:$C,O2,'Ventas 2026'!$E:$E,$A$3)</f>
        <v>0</v>
      </c>
      <c r="P3" s="21">
        <f>SUMIFS('Ventas 2026'!$M:$M,'Ventas 2026'!$C:$C,P2,'Ventas 2026'!$E:$E,$A$3)</f>
        <v>0</v>
      </c>
      <c r="Q3" s="21">
        <f>SUMIFS('Ventas 2026'!$M:$M,'Ventas 2026'!$C:$C,Q2,'Ventas 2026'!$E:$E,$A$3)</f>
        <v>0</v>
      </c>
      <c r="R3" s="224">
        <f t="shared" ref="R3:R4" si="1">SUM(O3:Q3)</f>
        <v>0</v>
      </c>
    </row>
    <row r="4" spans="1:18">
      <c r="A4" s="20" t="s">
        <v>2814</v>
      </c>
      <c r="B4" s="21">
        <f>SUM(F4,J4,N4,R4)</f>
        <v>0</v>
      </c>
      <c r="C4" s="21">
        <f>SUMIFS('Ventas 2026'!$M:$M,'Ventas 2026'!$C:$C,C2,'Ventas 2026'!$E:$E,$A$4)</f>
        <v>0</v>
      </c>
      <c r="D4" s="21">
        <f>SUMIFS('Ventas 2026'!$M:$M,'Ventas 2026'!$C:$C,D2,'Ventas 2026'!$E:$E,$A$4)</f>
        <v>0</v>
      </c>
      <c r="E4" s="21">
        <f>SUMIFS('Ventas 2026'!$M:$M,'Ventas 2026'!$C:$C,E2,'Ventas 2026'!$E:$E,$A$4)</f>
        <v>0</v>
      </c>
      <c r="F4" s="224">
        <f>SUM(C4:E4)</f>
        <v>0</v>
      </c>
      <c r="G4" s="21">
        <f>SUMIFS('Ventas 2026'!$M:$M,'Ventas 2026'!$C:$C,G2,'Ventas 2026'!$E:$E,$A$4)</f>
        <v>0</v>
      </c>
      <c r="H4" s="21">
        <f>SUMIFS('Ventas 2026'!$M:$M,'Ventas 2026'!$C:$C,H2,'Ventas 2026'!$E:$E,$A$4)</f>
        <v>0</v>
      </c>
      <c r="I4" s="21">
        <f>SUMIFS('Ventas 2026'!$M:$M,'Ventas 2026'!$C:$C,I2,'Ventas 2026'!$E:$E,$A$4)</f>
        <v>0</v>
      </c>
      <c r="J4" s="224">
        <f>SUM(G4:I4)</f>
        <v>0</v>
      </c>
      <c r="K4" s="21">
        <f>SUMIFS('Ventas 2026'!$M:$M,'Ventas 2026'!$C:$C,K2,'Ventas 2026'!$E:$E,$A$4)</f>
        <v>0</v>
      </c>
      <c r="L4" s="21">
        <f>SUMIFS('Ventas 2026'!$M:$M,'Ventas 2026'!$C:$C,L2,'Ventas 2026'!$E:$E,$A$4)</f>
        <v>0</v>
      </c>
      <c r="M4" s="21">
        <f>SUMIFS('Ventas 2026'!$M:$M,'Ventas 2026'!$C:$C,M2,'Ventas 2026'!$E:$E,$A$4)</f>
        <v>0</v>
      </c>
      <c r="N4" s="224">
        <f t="shared" si="0"/>
        <v>0</v>
      </c>
      <c r="O4" s="21">
        <f>SUMIFS('Ventas 2026'!$M:$M,'Ventas 2026'!$C:$C,O2,'Ventas 2026'!$E:$E,$A$4)</f>
        <v>0</v>
      </c>
      <c r="P4" s="21">
        <f>SUMIFS('Ventas 2026'!$M:$M,'Ventas 2026'!$C:$C,P2,'Ventas 2026'!$E:$E,$A$4)</f>
        <v>0</v>
      </c>
      <c r="Q4" s="21">
        <f>SUMIFS('Ventas 2026'!$M:$M,'Ventas 2026'!$C:$C,Q2,'Ventas 2026'!$E:$E,$A$4)</f>
        <v>0</v>
      </c>
      <c r="R4" s="224">
        <f t="shared" si="1"/>
        <v>0</v>
      </c>
    </row>
    <row r="5" spans="1:18" s="227" customFormat="1">
      <c r="A5" s="225" t="s">
        <v>2815</v>
      </c>
      <c r="B5" s="226">
        <f>SUM(B3:B4)</f>
        <v>0</v>
      </c>
      <c r="C5" s="226">
        <f t="shared" ref="C5:R5" si="2">SUM(C3:C4)</f>
        <v>0</v>
      </c>
      <c r="D5" s="226">
        <f t="shared" si="2"/>
        <v>0</v>
      </c>
      <c r="E5" s="226">
        <f t="shared" si="2"/>
        <v>0</v>
      </c>
      <c r="F5" s="226">
        <f t="shared" si="2"/>
        <v>0</v>
      </c>
      <c r="G5" s="226">
        <f t="shared" si="2"/>
        <v>0</v>
      </c>
      <c r="H5" s="226">
        <f t="shared" si="2"/>
        <v>0</v>
      </c>
      <c r="I5" s="226">
        <f t="shared" si="2"/>
        <v>0</v>
      </c>
      <c r="J5" s="226">
        <f t="shared" si="2"/>
        <v>0</v>
      </c>
      <c r="K5" s="226">
        <f t="shared" si="2"/>
        <v>0</v>
      </c>
      <c r="L5" s="226">
        <f t="shared" si="2"/>
        <v>0</v>
      </c>
      <c r="M5" s="226">
        <f t="shared" si="2"/>
        <v>0</v>
      </c>
      <c r="N5" s="226">
        <f t="shared" si="2"/>
        <v>0</v>
      </c>
      <c r="O5" s="226">
        <f t="shared" si="2"/>
        <v>0</v>
      </c>
      <c r="P5" s="226">
        <f t="shared" si="2"/>
        <v>0</v>
      </c>
      <c r="Q5" s="226">
        <f t="shared" si="2"/>
        <v>0</v>
      </c>
      <c r="R5" s="226">
        <f t="shared" si="2"/>
        <v>0</v>
      </c>
    </row>
    <row r="6" spans="1:18"/>
    <row r="7" spans="1:18"/>
    <row r="8" spans="1:18" s="48" customFormat="1">
      <c r="A8" s="236" t="s">
        <v>2816</v>
      </c>
      <c r="B8" s="237" t="s">
        <v>2805</v>
      </c>
      <c r="C8" s="237" t="s">
        <v>22</v>
      </c>
      <c r="D8" s="237" t="s">
        <v>23</v>
      </c>
      <c r="E8" s="237" t="s">
        <v>24</v>
      </c>
      <c r="F8" s="239" t="s">
        <v>2788</v>
      </c>
      <c r="G8" s="237" t="s">
        <v>25</v>
      </c>
      <c r="H8" s="237" t="s">
        <v>26</v>
      </c>
      <c r="I8" s="237" t="s">
        <v>27</v>
      </c>
      <c r="J8" s="239" t="s">
        <v>2794</v>
      </c>
      <c r="K8" s="237" t="s">
        <v>28</v>
      </c>
      <c r="L8" s="237" t="s">
        <v>29</v>
      </c>
      <c r="M8" s="237" t="s">
        <v>30</v>
      </c>
      <c r="N8" s="239" t="s">
        <v>2797</v>
      </c>
      <c r="O8" s="237" t="s">
        <v>2802</v>
      </c>
      <c r="P8" s="237" t="s">
        <v>2803</v>
      </c>
      <c r="Q8" s="238" t="s">
        <v>2804</v>
      </c>
      <c r="R8" s="239" t="s">
        <v>2800</v>
      </c>
    </row>
    <row r="9" spans="1:18" s="230" customFormat="1">
      <c r="A9" s="228" t="s">
        <v>2817</v>
      </c>
      <c r="B9" s="229"/>
      <c r="C9" s="21">
        <v>153375</v>
      </c>
      <c r="D9" s="21">
        <v>154455</v>
      </c>
      <c r="E9" s="21">
        <v>162290</v>
      </c>
      <c r="F9" s="240">
        <f>SUM(C9:E9)</f>
        <v>470120</v>
      </c>
      <c r="G9" s="21">
        <v>162968</v>
      </c>
      <c r="H9" s="21">
        <v>170313</v>
      </c>
      <c r="I9" s="21">
        <v>193090</v>
      </c>
      <c r="J9" s="240">
        <f>SUM(G9:I9)</f>
        <v>526371</v>
      </c>
      <c r="K9" s="21">
        <v>188749</v>
      </c>
      <c r="L9" s="21">
        <v>193859</v>
      </c>
      <c r="M9" s="21">
        <v>196292</v>
      </c>
      <c r="N9" s="240">
        <f>SUM(K9:M9)</f>
        <v>578900</v>
      </c>
      <c r="O9" s="21"/>
      <c r="P9" s="21"/>
      <c r="Q9" s="21"/>
      <c r="R9" s="240"/>
    </row>
    <row r="10" spans="1:18">
      <c r="A10" s="20" t="s">
        <v>2818</v>
      </c>
      <c r="B10" s="21">
        <f>SUM(F10,J10,N10,R10)</f>
        <v>18266.349299999998</v>
      </c>
      <c r="C10" s="21">
        <f>SUMIFS('Detalle Fuga 2026'!$I:$I,'Detalle Fuga 2026'!$A:$A,"Baja",'Detalle Fuga 2026'!$K:$K,C8)</f>
        <v>1451.9200000000003</v>
      </c>
      <c r="D10" s="21">
        <f>SUMIFS('Detalle Fuga 2026'!$I:$I,'Detalle Fuga 2026'!$A:$A,"Baja",'Detalle Fuga 2026'!$K:$K,D8)</f>
        <v>1850</v>
      </c>
      <c r="E10" s="21">
        <f>SUMIFS('Detalle Fuga 2026'!$I:$I,'Detalle Fuga 2026'!$A:$A,"Baja",'Detalle Fuga 2026'!$K:$K,E8)</f>
        <v>1355.6481000000001</v>
      </c>
      <c r="F10" s="240">
        <f>SUM(C10:E10)</f>
        <v>4657.5681000000004</v>
      </c>
      <c r="G10" s="21">
        <f>SUMIFS('Detalle Fuga 2026'!$I:$I,'Detalle Fuga 2026'!$A:$A,"Baja",'Detalle Fuga 2026'!$K:$K,G8)</f>
        <v>761</v>
      </c>
      <c r="H10" s="21">
        <f>SUMIFS('Detalle Fuga 2026'!$I:$I,'Detalle Fuga 2026'!$A:$A,"Baja",'Detalle Fuga 2026'!$K:$K,H8)</f>
        <v>782</v>
      </c>
      <c r="I10" s="21">
        <f>SUMIFS('Detalle Fuga 2026'!$I:$I,'Detalle Fuga 2026'!$A:$A,"Baja",'Detalle Fuga 2026'!$K:$K,I8)</f>
        <v>953</v>
      </c>
      <c r="J10" s="240">
        <f>SUM(G10:I10)</f>
        <v>2496</v>
      </c>
      <c r="K10" s="21">
        <f>SUMIFS('Detalle Fuga 2026'!$I:$I,'Detalle Fuga 2026'!$A:$A,"Baja",'Detalle Fuga 2026'!$K:$K,K8)</f>
        <v>5105.88</v>
      </c>
      <c r="L10" s="21">
        <f>SUMIFS('Detalle Fuga 2026'!$I:$I,'Detalle Fuga 2026'!$A:$A,"Baja",'Detalle Fuga 2026'!$K:$K,L8)</f>
        <v>4216.3886000000002</v>
      </c>
      <c r="M10" s="21">
        <f>SUMIFS('Detalle Fuga 2026'!$I:$I,'Detalle Fuga 2026'!$A:$A,"Baja",'Detalle Fuga 2026'!$K:$K,M8)</f>
        <v>1375.7597999999998</v>
      </c>
      <c r="N10" s="240">
        <f>SUM(K10:M10)</f>
        <v>10698.028399999999</v>
      </c>
      <c r="O10" s="21">
        <f>SUMIFS('Detalle Fuga 2026'!$I:$I,'Detalle Fuga 2026'!$A:$A,"Baja",'Detalle Fuga 2026'!$K:$K,O8)</f>
        <v>200.0813</v>
      </c>
      <c r="P10" s="21">
        <f>SUMIFS('Detalle Fuga 2026'!$I:$I,'Detalle Fuga 2026'!$A:$A,"Baja",'Detalle Fuga 2026'!$K:$K,P8)</f>
        <v>214.67150000000001</v>
      </c>
      <c r="Q10" s="21">
        <f>SUMIFS('Detalle Fuga 2026'!$I:$I,'Detalle Fuga 2026'!$A:$A,"Baja",'Detalle Fuga 2026'!$K:$K,Q8)</f>
        <v>0</v>
      </c>
      <c r="R10" s="240">
        <f t="shared" ref="R10:R11" si="3">SUM(O10:Q10)</f>
        <v>414.75279999999998</v>
      </c>
    </row>
    <row r="11" spans="1:18">
      <c r="A11" s="20" t="s">
        <v>2819</v>
      </c>
      <c r="B11" s="21">
        <f>SUM(F11,J11,N11,R11)</f>
        <v>9045.0923999999995</v>
      </c>
      <c r="C11" s="21">
        <f>SUMIFS('Detalle Fuga 2026'!$I:$I,'Detalle Fuga 2026'!$A:$A,"Disminución",'Detalle Fuga 2026'!$K:$K,C8)</f>
        <v>5201.66</v>
      </c>
      <c r="D11" s="21">
        <f>SUMIFS('Detalle Fuga 2026'!$I:$I,'Detalle Fuga 2026'!$A:$A,"Disminución",'Detalle Fuga 2026'!$K:$K,D8)</f>
        <v>0</v>
      </c>
      <c r="E11" s="21">
        <f>SUMIFS('Detalle Fuga 2026'!$I:$I,'Detalle Fuga 2026'!$A:$A,"Disminución",'Detalle Fuga 2026'!$K:$K,E8)</f>
        <v>0</v>
      </c>
      <c r="F11" s="240">
        <f>SUM(C11:E11)</f>
        <v>5201.66</v>
      </c>
      <c r="G11" s="21">
        <f>SUMIFS('Detalle Fuga 2026'!$I:$I,'Detalle Fuga 2026'!$A:$A,"Disminución",'Detalle Fuga 2026'!$K:$K,G8)</f>
        <v>1156</v>
      </c>
      <c r="H11" s="21">
        <f>SUMIFS('Detalle Fuga 2026'!$I:$I,'Detalle Fuga 2026'!$A:$A,"Disminución",'Detalle Fuga 2026'!$K:$K,H8)</f>
        <v>587</v>
      </c>
      <c r="I11" s="21">
        <f>SUMIFS('Detalle Fuga 2026'!$I:$I,'Detalle Fuga 2026'!$A:$A,"Disminución",'Detalle Fuga 2026'!$K:$K,I8)</f>
        <v>366</v>
      </c>
      <c r="J11" s="240">
        <f>SUM(G11:I11)</f>
        <v>2109</v>
      </c>
      <c r="K11" s="21">
        <f>SUMIFS('Detalle Fuga 2026'!$I:$I,'Detalle Fuga 2026'!$A:$A,"Disminución",'Detalle Fuga 2026'!$K:$K,K8)</f>
        <v>725</v>
      </c>
      <c r="L11" s="21">
        <f>SUMIFS('Detalle Fuga 2026'!$I:$I,'Detalle Fuga 2026'!$A:$A,"Disminución",'Detalle Fuga 2026'!$K:$K,L8)</f>
        <v>797.97410000000002</v>
      </c>
      <c r="M11" s="21">
        <f>SUMIFS('Detalle Fuga 2026'!$I:$I,'Detalle Fuga 2026'!$A:$A,"Disminución",'Detalle Fuga 2026'!$K:$K,M8)</f>
        <v>211.45830000000001</v>
      </c>
      <c r="N11" s="240">
        <f>SUM(K11:M11)</f>
        <v>1734.4323999999999</v>
      </c>
      <c r="O11" s="21">
        <f>SUMIFS('Detalle Fuga 2026'!$I:$I,'Detalle Fuga 2026'!$A:$A,"Disminución",'Detalle Fuga 2026'!$K:$K,O8)</f>
        <v>0</v>
      </c>
      <c r="P11" s="21">
        <f>SUMIFS('Detalle Fuga 2026'!$I:$I,'Detalle Fuga 2026'!$A:$A,"Disminución",'Detalle Fuga 2026'!$K:$K,P8)</f>
        <v>0</v>
      </c>
      <c r="Q11" s="21">
        <f>SUMIFS('Detalle Fuga 2026'!$I:$I,'Detalle Fuga 2026'!$A:$A,"Disminución",'Detalle Fuga 2026'!$K:$K,Q8)</f>
        <v>0</v>
      </c>
      <c r="R11" s="240">
        <f t="shared" si="3"/>
        <v>0</v>
      </c>
    </row>
    <row r="12" spans="1:18" s="233" customFormat="1">
      <c r="A12" s="231" t="s">
        <v>2820</v>
      </c>
      <c r="B12" s="232"/>
      <c r="C12" s="234">
        <f>C10/C9</f>
        <v>9.466471067644663E-3</v>
      </c>
      <c r="D12" s="234">
        <f t="shared" ref="D12:R12" si="4">D10/D9</f>
        <v>1.1977598653329449E-2</v>
      </c>
      <c r="E12" s="234">
        <f t="shared" si="4"/>
        <v>8.3532448086758287E-3</v>
      </c>
      <c r="F12" s="234">
        <f t="shared" si="4"/>
        <v>9.9071898664170859E-3</v>
      </c>
      <c r="G12" s="234">
        <f t="shared" si="4"/>
        <v>4.6696283933042072E-3</v>
      </c>
      <c r="H12" s="234">
        <f t="shared" si="4"/>
        <v>4.5915461532589994E-3</v>
      </c>
      <c r="I12" s="234">
        <f t="shared" si="4"/>
        <v>4.9355222953027088E-3</v>
      </c>
      <c r="J12" s="234">
        <f t="shared" si="4"/>
        <v>4.7419025744199431E-3</v>
      </c>
      <c r="K12" s="234">
        <f t="shared" si="4"/>
        <v>2.7051163184970518E-2</v>
      </c>
      <c r="L12" s="234">
        <f t="shared" si="4"/>
        <v>2.1749769677961817E-2</v>
      </c>
      <c r="M12" s="234">
        <f t="shared" si="4"/>
        <v>7.0087410592382764E-3</v>
      </c>
      <c r="N12" s="234">
        <f t="shared" si="4"/>
        <v>1.8479924684746931E-2</v>
      </c>
      <c r="O12" s="234" t="e">
        <f t="shared" si="4"/>
        <v>#DIV/0!</v>
      </c>
      <c r="P12" s="234" t="e">
        <f t="shared" si="4"/>
        <v>#DIV/0!</v>
      </c>
      <c r="Q12" s="234" t="e">
        <f t="shared" si="4"/>
        <v>#DIV/0!</v>
      </c>
      <c r="R12" s="234" t="e">
        <f t="shared" si="4"/>
        <v>#DIV/0!</v>
      </c>
    </row>
    <row r="13" spans="1:18">
      <c r="C13" s="47" t="s">
        <v>2821</v>
      </c>
      <c r="G13" s="47" t="s">
        <v>2822</v>
      </c>
      <c r="K13" s="15" t="s">
        <v>2823</v>
      </c>
      <c r="L13" t="s">
        <v>2824</v>
      </c>
    </row>
    <row r="14" spans="1:18">
      <c r="K14" t="s">
        <v>2825</v>
      </c>
    </row>
    <row r="15" spans="1:18">
      <c r="E15" s="56">
        <f>AVERAGE(C12,D12,E12,G12)</f>
        <v>8.616735730738536E-3</v>
      </c>
    </row>
    <row r="17" spans="1:61">
      <c r="A17" s="42" t="s">
        <v>9</v>
      </c>
      <c r="B17" t="s">
        <v>76</v>
      </c>
      <c r="AJ17" s="882" t="s">
        <v>2826</v>
      </c>
      <c r="AK17" s="882"/>
      <c r="AL17" s="882"/>
      <c r="AM17" s="882"/>
      <c r="AN17" s="882"/>
      <c r="AP17" s="882" t="s">
        <v>2827</v>
      </c>
      <c r="AQ17" s="882"/>
      <c r="AR17" s="882"/>
      <c r="AS17" s="882"/>
      <c r="AT17" s="882"/>
      <c r="AU17" s="882"/>
      <c r="AV17" s="882"/>
      <c r="AX17" s="880" t="s">
        <v>2828</v>
      </c>
      <c r="AY17" s="880"/>
      <c r="AZ17" s="880"/>
      <c r="BA17" s="880"/>
      <c r="BB17" s="880"/>
      <c r="BC17" s="880"/>
    </row>
    <row r="18" spans="1:61" s="22" customFormat="1" ht="15" customHeight="1">
      <c r="A18"/>
      <c r="B18"/>
      <c r="C18"/>
      <c r="D18" t="s">
        <v>2829</v>
      </c>
      <c r="E18"/>
      <c r="F18"/>
      <c r="G18"/>
      <c r="H18"/>
      <c r="L18" s="881" t="s">
        <v>2830</v>
      </c>
      <c r="M18" s="881"/>
      <c r="N18"/>
      <c r="P18" s="67" t="s">
        <v>2831</v>
      </c>
      <c r="Q18"/>
      <c r="R18"/>
      <c r="S18"/>
      <c r="T18"/>
      <c r="U18"/>
      <c r="V18"/>
      <c r="W18"/>
      <c r="X18"/>
      <c r="Y18"/>
      <c r="Z18"/>
      <c r="AA18"/>
      <c r="AB18"/>
      <c r="AC18"/>
      <c r="AD18"/>
      <c r="AE18"/>
      <c r="AF18"/>
      <c r="AG18"/>
      <c r="AH18"/>
      <c r="AI18"/>
      <c r="AJ18" s="71" t="s">
        <v>2832</v>
      </c>
      <c r="AK18" s="71" t="s">
        <v>76</v>
      </c>
      <c r="AL18" s="71" t="s">
        <v>2833</v>
      </c>
      <c r="AM18" s="71" t="s">
        <v>562</v>
      </c>
      <c r="AN18" s="71" t="s">
        <v>2834</v>
      </c>
      <c r="AO18"/>
      <c r="AP18" s="74" t="s">
        <v>2832</v>
      </c>
      <c r="AQ18" s="74" t="s">
        <v>73</v>
      </c>
      <c r="AR18" s="74" t="s">
        <v>439</v>
      </c>
      <c r="AS18" s="74" t="s">
        <v>93</v>
      </c>
      <c r="AT18" s="74" t="s">
        <v>782</v>
      </c>
      <c r="AU18" s="74" t="s">
        <v>2526</v>
      </c>
      <c r="AV18" s="74" t="s">
        <v>2805</v>
      </c>
      <c r="AW18"/>
      <c r="AX18" s="78" t="s">
        <v>2832</v>
      </c>
      <c r="AY18" s="78" t="s">
        <v>73</v>
      </c>
      <c r="AZ18" s="78" t="s">
        <v>439</v>
      </c>
      <c r="BA18" s="78" t="s">
        <v>93</v>
      </c>
      <c r="BB18" s="78" t="s">
        <v>782</v>
      </c>
      <c r="BC18" s="78" t="s">
        <v>2805</v>
      </c>
    </row>
    <row r="19" spans="1:61" s="22" customFormat="1" ht="45.2">
      <c r="A19" s="45" t="s">
        <v>13</v>
      </c>
      <c r="B19" s="22" t="s">
        <v>2835</v>
      </c>
      <c r="C19" s="22" t="s">
        <v>2836</v>
      </c>
      <c r="D19" s="22" t="s">
        <v>2837</v>
      </c>
      <c r="F19" s="42" t="s">
        <v>5</v>
      </c>
      <c r="G19" s="45" t="s">
        <v>13</v>
      </c>
      <c r="H19" s="22" t="s">
        <v>2835</v>
      </c>
      <c r="I19" s="22" t="s">
        <v>2836</v>
      </c>
      <c r="J19" s="46" t="s">
        <v>2837</v>
      </c>
      <c r="L19" s="608" t="s">
        <v>2838</v>
      </c>
      <c r="M19" s="608" t="s">
        <v>76</v>
      </c>
      <c r="N19" s="608" t="s">
        <v>562</v>
      </c>
      <c r="O19"/>
      <c r="P19" s="609" t="s">
        <v>2838</v>
      </c>
      <c r="Q19" s="609" t="s">
        <v>222</v>
      </c>
      <c r="R19" s="609" t="s">
        <v>852</v>
      </c>
      <c r="S19" s="609" t="s">
        <v>345</v>
      </c>
      <c r="T19" s="609" t="s">
        <v>101</v>
      </c>
      <c r="U19" s="609" t="s">
        <v>161</v>
      </c>
      <c r="V19" s="609" t="s">
        <v>574</v>
      </c>
      <c r="W19" s="609" t="s">
        <v>728</v>
      </c>
      <c r="X19" s="609" t="s">
        <v>84</v>
      </c>
      <c r="Y19" s="609" t="s">
        <v>130</v>
      </c>
      <c r="Z19" s="609" t="s">
        <v>2839</v>
      </c>
      <c r="AA19" s="609" t="s">
        <v>143</v>
      </c>
      <c r="AB19" s="609" t="s">
        <v>199</v>
      </c>
      <c r="AC19" s="609" t="s">
        <v>234</v>
      </c>
      <c r="AD19" s="609" t="s">
        <v>396</v>
      </c>
      <c r="AE19" s="609" t="s">
        <v>120</v>
      </c>
      <c r="AF19" s="609" t="s">
        <v>150</v>
      </c>
      <c r="AG19" s="609" t="s">
        <v>297</v>
      </c>
      <c r="AH19"/>
      <c r="AI19"/>
      <c r="AJ19">
        <v>0</v>
      </c>
      <c r="AK19">
        <f>COUNTIFS('MARE MX'!$I:$I,"ENTERPRISE",'MARE MX'!$CL:$CL,0)</f>
        <v>103</v>
      </c>
      <c r="AL19" s="56">
        <f>AK19/$AK$24</f>
        <v>0.75182481751824815</v>
      </c>
      <c r="AM19">
        <f>COUNTIFS('MARE MX'!$I:$I,"SMB",'MARE MX'!$CL:$CL,0)</f>
        <v>335</v>
      </c>
      <c r="AN19" s="56">
        <f>AM19/$AM$24</f>
        <v>0.94366197183098588</v>
      </c>
      <c r="AO19"/>
      <c r="AP19" s="75">
        <v>0</v>
      </c>
      <c r="AQ19" s="75">
        <f>COUNTIFS('MARE MX'!I:I,"ENTERPRISE",'MARE MX'!E:E,"Dafne de la Rosa",'MARE MX'!D:D,0)</f>
        <v>42</v>
      </c>
      <c r="AR19" s="75">
        <f>COUNTIFS('MARE MX'!I:I,"ENTERPRISE",'MARE MX'!E:E,"Karla Patiño",'MARE MX'!D:D,0)</f>
        <v>5</v>
      </c>
      <c r="AS19" s="75">
        <f>COUNTIFS('MARE MX'!I:I,"ENTERPRISE",'MARE MX'!E:E,"Raúl Campos",'MARE MX'!CL:CL,0)</f>
        <v>50</v>
      </c>
      <c r="AT19" s="75">
        <f>COUNTIFS('MARE MX'!I:I,"ENTERPRISE",'MARE MX'!E:E,"No Asignado",'MARE MX'!CL:CL,0)</f>
        <v>2</v>
      </c>
      <c r="AU19" s="75">
        <f>COUNTIFS('MARE MX'!I:I,"ENTERPRISE",'MARE MX'!E:E,"Implementando",'MARE MX'!CL:CL,0)</f>
        <v>1</v>
      </c>
      <c r="AV19" s="75">
        <f>SUM(AQ19:AU19)</f>
        <v>100</v>
      </c>
      <c r="AW19"/>
      <c r="AX19" s="73">
        <v>0</v>
      </c>
      <c r="AY19" s="79">
        <f>COUNTIFS('MARE MX'!$I:$I,"SMB",'MARE MX'!$E:$E,"Dafne de la Rosa",'MARE MX'!$CL:$CL,0)</f>
        <v>47</v>
      </c>
      <c r="AZ19" s="79">
        <f>COUNTIFS('MARE MX'!$I:$I,"SMB",'MARE MX'!$E:$E,"Karla Patiño",'MARE MX'!$CL:$CL,0)</f>
        <v>144</v>
      </c>
      <c r="BA19" s="79">
        <f>COUNTIFS('MARE MX'!$I:$I,"SMB",'MARE MX'!$E:$E,"Raúl Campos",'MARE MX'!$CL:$CL,0)</f>
        <v>8</v>
      </c>
      <c r="BB19" s="79">
        <f>COUNTIFS('MARE MX'!$I:$I,"SMB",'MARE MX'!$E:$E,"No Asignado",'MARE MX'!$CL:$CL,0)</f>
        <v>136</v>
      </c>
      <c r="BC19" s="79">
        <f>SUM(AY19:BB19)</f>
        <v>335</v>
      </c>
    </row>
    <row r="20" spans="1:61">
      <c r="A20" t="s">
        <v>167</v>
      </c>
      <c r="B20">
        <v>8</v>
      </c>
      <c r="D20" s="43">
        <v>8275.7982000000011</v>
      </c>
      <c r="F20" t="s">
        <v>73</v>
      </c>
      <c r="G20" t="s">
        <v>167</v>
      </c>
      <c r="H20">
        <v>10</v>
      </c>
      <c r="J20" s="43">
        <v>3216.7566999999999</v>
      </c>
      <c r="L20" s="610" t="s">
        <v>45</v>
      </c>
      <c r="M20" s="611">
        <f>COUNTIFS('MARE MX'!$I:$I,"ENTERPRISE",'MARE MX'!$AT:$AT,"*OK*")</f>
        <v>3</v>
      </c>
      <c r="N20" s="611">
        <f>COUNTIFS('MARE MX'!$I:$I,"SMB",'MARE MX'!$AT:$AT,"*OK*")</f>
        <v>2</v>
      </c>
      <c r="P20" s="612" t="s">
        <v>45</v>
      </c>
      <c r="Q20" s="610">
        <f>COUNTIFS('MARE MX'!$I:$I,"ENTERPRISE",'MARE MX'!$AJ:$AJ,"Agrícola",'MARE MX'!$AT:$AT,"*OK*")</f>
        <v>0</v>
      </c>
      <c r="R20" s="610">
        <f>COUNTIFS('MARE MX'!$I:$I,"ENTERPRISE",'MARE MX'!$AJ:$AJ,"Automotriz",'MARE MX'!$AT:$AT,"*OK*")</f>
        <v>0</v>
      </c>
      <c r="S20" s="610">
        <f>COUNTIFS('MARE MX'!$I:$I,"ENTERPRISE",'MARE MX'!$AJ:$AJ,"Banca y Finanzas",'MARE MX'!$AT:$AT,"*OK*")</f>
        <v>0</v>
      </c>
      <c r="T20" s="610">
        <f>COUNTIFS('MARE MX'!$I:$I,"ENTERPRISE",'MARE MX'!$AJ:$AJ,"Construcción",'MARE MX'!$AT:$AT,"*OK*")</f>
        <v>0</v>
      </c>
      <c r="U20" s="610">
        <f>COUNTIFS('MARE MX'!$I:$I,"ENTERPRISE",'MARE MX'!$AJ:$AJ,"Educación",'MARE MX'!$AT:$AT,"*OK*")</f>
        <v>0</v>
      </c>
      <c r="V20" s="610">
        <f>COUNTIFS('MARE MX'!$I:$I,"ENTERPRISE",'MARE MX'!$AJ:$AJ,"Energía",'MARE MX'!$AT:$AT,"*OK*")</f>
        <v>0</v>
      </c>
      <c r="W20" s="610">
        <f>COUNTIFS('MARE MX'!$I:$I,"ENTERPRISE",'MARE MX'!$AJ:$AJ,"Gobierno",'MARE MX'!$AT:$AT,"*OK*")</f>
        <v>0</v>
      </c>
      <c r="X20" s="610">
        <f>COUNTIFS('MARE MX'!$I:$I,"ENTERPRISE",'MARE MX'!$AJ:$AJ,"Logística",'MARE MX'!$AT:$AT,"*OK*")</f>
        <v>0</v>
      </c>
      <c r="Y20" s="610">
        <f>COUNTIFS('MARE MX'!$I:$I,"ENTERPRISE",'MARE MX'!$AJ:$AJ,"Manufactura",'MARE MX'!$AT:$AT,"*OK*")</f>
        <v>1</v>
      </c>
      <c r="Z20" s="610">
        <f>COUNTIFS('MARE MX'!$I:$I,"ENTERPRISE",'MARE MX'!$AJ:$AJ,"Outsourcing",'MARE MX'!$AT:$AT,"*OK*")</f>
        <v>0</v>
      </c>
      <c r="AA20" s="610">
        <f>COUNTIFS('MARE MX'!$I:$I,"ENTERPRISE",'MARE MX'!$AJ:$AJ,"Retail",'MARE MX'!$AT:$AT,"*OK*")</f>
        <v>0</v>
      </c>
      <c r="AB20" s="610">
        <f>COUNTIFS('MARE MX'!$I:$I,"ENTERPRISE",'MARE MX'!$AJ:$AJ,"Salud",'MARE MX'!$AT:$AT,"*OK*")</f>
        <v>0</v>
      </c>
      <c r="AC20" s="610">
        <f>COUNTIFS('MARE MX'!$I:$I,"ENTERPRISE",'MARE MX'!$AJ:$AJ,"Seguridad Privada",'MARE MX'!$AT:$AT,"*OK*")</f>
        <v>0</v>
      </c>
      <c r="AD20" s="610">
        <f>COUNTIFS('MARE MX'!$I:$I,"ENTERPRISE",'MARE MX'!$AJ:$AJ,"Servicios",'MARE MX'!$AT:$AT,"*OK*")</f>
        <v>0</v>
      </c>
      <c r="AE20" s="610">
        <f>COUNTIFS('MARE MX'!$I:$I,"ENTERPRISE",'MARE MX'!$AJ:$AJ,"Tecnología",'MARE MX'!$AT:$AT,"*OK*")</f>
        <v>0</v>
      </c>
      <c r="AF20" s="610">
        <f>COUNTIFS('MARE MX'!$I:$I,"ENTERPRISE",'MARE MX'!$AJ:$AJ,"Transporte",'MARE MX'!$AT:$AT,"*OK*")</f>
        <v>0</v>
      </c>
      <c r="AG20" s="610">
        <f>COUNTIFS('MARE MX'!$I:$I,"ENTERPRISE",'MARE MX'!$AJ:$AJ,"Turismo y Gastronomía",'MARE MX'!$AT:$AT,"*OK*")</f>
        <v>1</v>
      </c>
      <c r="AJ20">
        <v>1</v>
      </c>
      <c r="AK20">
        <f>COUNTIFS('MARE MX'!$I:$I,"ENTERPRISE",'MARE MX'!$CL:$CL,1)</f>
        <v>24</v>
      </c>
      <c r="AL20" s="56">
        <f t="shared" ref="AL20:AL23" si="5">AK20/$AK$24</f>
        <v>0.17518248175182483</v>
      </c>
      <c r="AM20">
        <f>COUNTIFS('MARE MX'!$I:$I,"SMB",'MARE MX'!$CL:$CL,1)</f>
        <v>13</v>
      </c>
      <c r="AN20" s="56">
        <f t="shared" ref="AN20:AN23" si="6">AM20/$AM$24</f>
        <v>3.6619718309859155E-2</v>
      </c>
      <c r="AP20" s="76">
        <v>1</v>
      </c>
      <c r="AQ20" s="76">
        <f>COUNTIFS('MARE MX'!I:I,"ENTERPRISE",'MARE MX'!E:E,"Dafne de la Rosa",'MARE MX'!D:D,1)</f>
        <v>11</v>
      </c>
      <c r="AR20" s="76">
        <f>COUNTIFS('MARE MX'!I:I,"ENTERPRISE",'MARE MX'!E:E,"Karla Patiño",'MARE MX'!CL:CL,1)</f>
        <v>0</v>
      </c>
      <c r="AS20" s="76">
        <f>COUNTIFS('MARE MX'!I:I,"ENTERPRISE",'MARE MX'!E:E,"Raúl Campos",'MARE MX'!CL:CL,1)</f>
        <v>16</v>
      </c>
      <c r="AT20" s="76">
        <f>COUNTIFS('MARE MX'!I:I,"ENTERPRISE",'MARE MX'!E:E,"No Asignado",'MARE MX'!CL:CL,1)</f>
        <v>0</v>
      </c>
      <c r="AU20" s="76">
        <f>COUNTIFS('MARE MX'!I:I,"ENTERPRISE",'MARE MX'!E:E,"Implementando",'MARE MX'!CL:CL,1)</f>
        <v>0</v>
      </c>
      <c r="AV20" s="76">
        <f>SUM(AQ20:AU20)</f>
        <v>27</v>
      </c>
      <c r="AX20" s="73">
        <v>1</v>
      </c>
      <c r="AY20" s="73">
        <f>COUNTIFS('MARE MX'!$I:$I,"SMB",'MARE MX'!$E:$E,"Dafne de la Rosa",'MARE MX'!$CL:$CL,1)</f>
        <v>2</v>
      </c>
      <c r="AZ20" s="73">
        <f>COUNTIFS('MARE MX'!$I:$I,"SMB",'MARE MX'!$E:$E,"Karla Patiño",'MARE MX'!$CL:$CL,1)</f>
        <v>5</v>
      </c>
      <c r="BA20" s="73">
        <f>COUNTIFS('MARE MX'!$I:$I,"SMB",'MARE MX'!$E:$E,"Raúl Campos",'MARE MX'!$CL:$CL,1)</f>
        <v>1</v>
      </c>
      <c r="BB20" s="73">
        <f>COUNTIFS('MARE MX'!$I:$I,"SMB",'MARE MX'!$E:$E,"No Asignado",'MARE MX'!$CL:$CL,1)</f>
        <v>5</v>
      </c>
      <c r="BC20" s="73">
        <f>SUM(AY20:BB20)</f>
        <v>13</v>
      </c>
    </row>
    <row r="21" spans="1:61">
      <c r="A21" t="s">
        <v>77</v>
      </c>
      <c r="B21">
        <v>30</v>
      </c>
      <c r="D21" s="43">
        <v>39290.746199999994</v>
      </c>
      <c r="G21" t="s">
        <v>77</v>
      </c>
      <c r="H21">
        <v>16</v>
      </c>
      <c r="J21" s="43">
        <v>16538.4437</v>
      </c>
      <c r="L21" s="610" t="s">
        <v>46</v>
      </c>
      <c r="M21" s="611">
        <f>COUNTIFS('MARE MX'!$I:$I,"ENTERPRISE",'MARE MX'!$AU:$AU,"*OK*")</f>
        <v>1</v>
      </c>
      <c r="N21" s="611">
        <f>COUNTIFS('MARE MX'!$I:$I,"SMB",'MARE MX'!$AU:$AU,"*OK*")</f>
        <v>0</v>
      </c>
      <c r="P21" s="612" t="s">
        <v>46</v>
      </c>
      <c r="Q21" s="610">
        <f>COUNTIFS('MARE MX'!$I:$I,"ENTERPRISE",'MARE MX'!$AJ:$AJ,"Agrícola",'MARE MX'!$AU:$AU,"*OK*")</f>
        <v>0</v>
      </c>
      <c r="R21" s="610">
        <f>COUNTIFS('MARE MX'!$I:$I,"ENTERPRISE",'MARE MX'!$AJ:$AJ,"Automotriz",'MARE MX'!$AU:$AU,"*OK*")</f>
        <v>0</v>
      </c>
      <c r="S21" s="610">
        <f>COUNTIFS('MARE MX'!$I:$I,"ENTERPRISE",'MARE MX'!$AJ:$AJ,"Banca y Finanzas",'MARE MX'!$AU:$AU,"*OK*")</f>
        <v>0</v>
      </c>
      <c r="T21" s="610">
        <f>COUNTIFS('MARE MX'!$I:$I,"ENTERPRISE",'MARE MX'!$AJ:$AJ,"Construcción",'MARE MX'!$AU:$AU,"*OK*")</f>
        <v>0</v>
      </c>
      <c r="U21" s="610">
        <f>COUNTIFS('MARE MX'!$I:$I,"ENTERPRISE",'MARE MX'!$AJ:$AJ,"Educación",'MARE MX'!$AU:$AU,"*OK*")</f>
        <v>0</v>
      </c>
      <c r="V21" s="610">
        <f>COUNTIFS('MARE MX'!$I:$I,"ENTERPRISE",'MARE MX'!$AJ:$AJ,"Energía",'MARE MX'!$AU:$AU,"*OK*")</f>
        <v>0</v>
      </c>
      <c r="W21" s="610">
        <f>COUNTIFS('MARE MX'!$I:$I,"ENTERPRISE",'MARE MX'!$AJ:$AJ,"Gobierno",'MARE MX'!$AU:$AU,"*OK*")</f>
        <v>0</v>
      </c>
      <c r="X21" s="610">
        <f>COUNTIFS('MARE MX'!$I:$I,"ENTERPRISE",'MARE MX'!$AJ:$AJ,"Logística",'MARE MX'!$AU:$AU,"*OK*")</f>
        <v>0</v>
      </c>
      <c r="Y21" s="610">
        <f>COUNTIFS('MARE MX'!$I:$I,"ENTERPRISE",'MARE MX'!$AJ:$AJ,"Manufactura",'MARE MX'!$AU:$AU,"*OK*")</f>
        <v>0</v>
      </c>
      <c r="Z21" s="610">
        <f>COUNTIFS('MARE MX'!$I:$I,"ENTERPRISE",'MARE MX'!$AJ:$AJ,"Outsourcing",'MARE MX'!$AU:$AU,"*OK*")</f>
        <v>0</v>
      </c>
      <c r="AA21" s="610">
        <f>COUNTIFS('MARE MX'!$I:$I,"ENTERPRISE",'MARE MX'!$AJ:$AJ,"Retail",'MARE MX'!$AU:$AU,"*OK*")</f>
        <v>0</v>
      </c>
      <c r="AB21" s="610">
        <f>COUNTIFS('MARE MX'!$I:$I,"ENTERPRISE",'MARE MX'!$AJ:$AJ,"Salud",'MARE MX'!$AU:$AU,"*OK*")</f>
        <v>0</v>
      </c>
      <c r="AC21" s="610">
        <f>COUNTIFS('MARE MX'!$I:$I,"ENTERPRISE",'MARE MX'!$AJ:$AJ,"Seguridad Privada",'MARE MX'!$AU:$AU,"*OK*")</f>
        <v>0</v>
      </c>
      <c r="AD21" s="610">
        <f>COUNTIFS('MARE MX'!$I:$I,"ENTERPRISE",'MARE MX'!$AJ:$AJ,"Servicios",'MARE MX'!$AU:$AU,"*OK*")</f>
        <v>1</v>
      </c>
      <c r="AE21" s="610">
        <f>COUNTIFS('MARE MX'!$I:$I,"ENTERPRISE",'MARE MX'!$AJ:$AJ,"Tecnología",'MARE MX'!$AU:$AU,"*OK*")</f>
        <v>0</v>
      </c>
      <c r="AF21" s="610">
        <f>COUNTIFS('MARE MX'!$I:$I,"ENTERPRISE",'MARE MX'!$AJ:$AJ,"Transporte",'MARE MX'!$AU:$AU,"*OK*")</f>
        <v>0</v>
      </c>
      <c r="AG21" s="610">
        <f>COUNTIFS('MARE MX'!$I:$I,"ENTERPRISE",'MARE MX'!$AJ:$AJ,"Turismo y Gastronomía",'MARE MX'!$AU:$AU,"*OK*")</f>
        <v>0</v>
      </c>
      <c r="AJ21">
        <v>2</v>
      </c>
      <c r="AK21">
        <f>COUNTIFS('MARE MX'!$I:$I,"ENTERPRISE",'MARE MX'!$CL:$CL,2)</f>
        <v>6</v>
      </c>
      <c r="AL21" s="56">
        <f t="shared" si="5"/>
        <v>4.3795620437956206E-2</v>
      </c>
      <c r="AM21">
        <f>COUNTIFS('MARE MX'!$I:$I,"SMB",'MARE MX'!$CL:$CL,2)</f>
        <v>5</v>
      </c>
      <c r="AN21" s="56">
        <f t="shared" si="6"/>
        <v>1.4084507042253521E-2</v>
      </c>
      <c r="AP21" s="75">
        <v>2</v>
      </c>
      <c r="AQ21" s="75">
        <f>COUNTIFS('MARE MX'!I:I,"ENTERPRISE",'MARE MX'!E:E,"Dafne de la Rosa",'MARE MX'!D:D,2)</f>
        <v>3</v>
      </c>
      <c r="AR21" s="75">
        <f>COUNTIFS('MARE MX'!I:I,"ENTERPRISE",'MARE MX'!E:E,"Karla Patiño",'MARE MX'!CL:CL,2)</f>
        <v>0</v>
      </c>
      <c r="AS21" s="75">
        <f>COUNTIFS('MARE MX'!I:I,"ENTERPRISE",'MARE MX'!E:E,"Raúl Campos",'MARE MX'!CL:CL,2)</f>
        <v>3</v>
      </c>
      <c r="AT21" s="75">
        <f>COUNTIFS('MARE MX'!I:I,"ENTERPRISE",'MARE MX'!E:E,"No Asignado",'MARE MX'!CL:CL,2)</f>
        <v>0</v>
      </c>
      <c r="AU21" s="75">
        <f>COUNTIFS('MARE MX'!I:I,"ENTERPRISE",'MARE MX'!E:E,"Implementando",'MARE MX'!CL:CL,2)</f>
        <v>0</v>
      </c>
      <c r="AV21" s="75">
        <f>SUM(AQ21:AU21)</f>
        <v>6</v>
      </c>
      <c r="AX21" s="73">
        <v>2</v>
      </c>
      <c r="AY21" s="73">
        <f>COUNTIFS('MARE MX'!$I:$I,"SMB",'MARE MX'!$E:$E,"Dafne de la Rosa",'MARE MX'!$CL:$CL,2)</f>
        <v>1</v>
      </c>
      <c r="AZ21" s="73">
        <f>COUNTIFS('MARE MX'!$I:$I,"SMB",'MARE MX'!$E:$E,"Karla Patiño",'MARE MX'!$CL:$CL,2)</f>
        <v>3</v>
      </c>
      <c r="BA21" s="73">
        <f>COUNTIFS('MARE MX'!$I:$I,"SMB",'MARE MX'!$E:$E,"Raúl Campos",'MARE MX'!$CL:$CL,2)</f>
        <v>1</v>
      </c>
      <c r="BB21" s="73">
        <f>COUNTIFS('MARE MX'!$I:$I,"SMB",'MARE MX'!$E:$E,"No Asignado",'MARE MX'!$CL:$CL,2)</f>
        <v>0</v>
      </c>
      <c r="BC21" s="73">
        <f>SUM(AY21:BB21)</f>
        <v>5</v>
      </c>
    </row>
    <row r="22" spans="1:61">
      <c r="A22" t="s">
        <v>96</v>
      </c>
      <c r="B22">
        <v>65</v>
      </c>
      <c r="D22" s="43">
        <v>52098.481700000004</v>
      </c>
      <c r="G22" t="s">
        <v>96</v>
      </c>
      <c r="H22">
        <v>45</v>
      </c>
      <c r="J22" s="43">
        <v>20471.957399999999</v>
      </c>
      <c r="L22" s="610" t="s">
        <v>47</v>
      </c>
      <c r="M22" s="611">
        <f>COUNTIFS('MARE MX'!$I:$I,"ENTERPRISE",'MARE MX'!$AV:$AV,"*OK*")</f>
        <v>14</v>
      </c>
      <c r="N22" s="611">
        <f>COUNTIFS('MARE MX'!$I:$I,"SMB",'MARE MX'!$AV:$AV,"*OK*")</f>
        <v>14</v>
      </c>
      <c r="P22" s="612" t="s">
        <v>47</v>
      </c>
      <c r="Q22" s="610">
        <f>COUNTIFS('MARE MX'!$I:$I,"ENTERPRISE",'MARE MX'!$AJ:$AJ,"Agrícola",'MARE MX'!$AV:$AV,"*OK*")</f>
        <v>0</v>
      </c>
      <c r="R22" s="610">
        <f>COUNTIFS('MARE MX'!$I:$I,"ENTERPRISE",'MARE MX'!$AJ:$AJ,"Automotriz",'MARE MX'!$AV:$AV,"*OK*")</f>
        <v>0</v>
      </c>
      <c r="S22" s="610">
        <f>COUNTIFS('MARE MX'!$I:$I,"ENTERPRISE",'MARE MX'!$AJ:$AJ,"Banca y Finanzas",'MARE MX'!$AV:$AV,"*OK*")</f>
        <v>0</v>
      </c>
      <c r="T22" s="610">
        <f>COUNTIFS('MARE MX'!$I:$I,"ENTERPRISE",'MARE MX'!$AJ:$AJ,"Construcción",'MARE MX'!$AV:$AV,"*OK*")</f>
        <v>0</v>
      </c>
      <c r="U22" s="610">
        <f>COUNTIFS('MARE MX'!$I:$I,"ENTERPRISE",'MARE MX'!$AJ:$AJ,"Educación",'MARE MX'!$AV:$AV,"*OK*")</f>
        <v>0</v>
      </c>
      <c r="V22" s="610">
        <f>COUNTIFS('MARE MX'!$I:$I,"ENTERPRISE",'MARE MX'!$AJ:$AJ,"Energía",'MARE MX'!$AV:$AV,"*OK*")</f>
        <v>0</v>
      </c>
      <c r="W22" s="610">
        <f>COUNTIFS('MARE MX'!$I:$I,"ENTERPRISE",'MARE MX'!$AJ:$AJ,"Gobierno",'MARE MX'!$AV:$AV,"*OK*")</f>
        <v>0</v>
      </c>
      <c r="X22" s="610">
        <f>COUNTIFS('MARE MX'!$I:$I,"ENTERPRISE",'MARE MX'!$AJ:$AJ,"Logística",'MARE MX'!$AV:$AV,"*OK*")</f>
        <v>1</v>
      </c>
      <c r="Y22" s="610">
        <f>COUNTIFS('MARE MX'!$I:$I,"ENTERPRISE",'MARE MX'!$AJ:$AJ,"Manufactura",'MARE MX'!$AV:$AV,"*OK*")</f>
        <v>6</v>
      </c>
      <c r="Z22" s="610">
        <f>COUNTIFS('MARE MX'!$I:$I,"ENTERPRISE",'MARE MX'!$AJ:$AJ,"Outsourcing",'MARE MX'!$AV:$AV,"*OK*")</f>
        <v>0</v>
      </c>
      <c r="AA22" s="610">
        <f>COUNTIFS('MARE MX'!$I:$I,"ENTERPRISE",'MARE MX'!$AJ:$AJ,"Retail",'MARE MX'!$AV:$AV,"*OK*")</f>
        <v>2</v>
      </c>
      <c r="AB22" s="610">
        <f>COUNTIFS('MARE MX'!$I:$I,"ENTERPRISE",'MARE MX'!$AJ:$AJ,"Salud",'MARE MX'!$AV:$AV,"*OK*")</f>
        <v>0</v>
      </c>
      <c r="AC22" s="610">
        <f>COUNTIFS('MARE MX'!$I:$I,"ENTERPRISE",'MARE MX'!$AJ:$AJ,"Seguridad Privada",'MARE MX'!$AV:$AV,"*OK*")</f>
        <v>0</v>
      </c>
      <c r="AD22" s="610">
        <f>COUNTIFS('MARE MX'!$I:$I,"ENTERPRISE",'MARE MX'!$AJ:$AJ,"Servicios",'MARE MX'!$AV:$AV,"*OK*")</f>
        <v>2</v>
      </c>
      <c r="AE22" s="610">
        <f>COUNTIFS('MARE MX'!$I:$I,"ENTERPRISE",'MARE MX'!$AJ:$AJ,"Tecnología",'MARE MX'!$AV:$AV,"*OK*")</f>
        <v>0</v>
      </c>
      <c r="AF22" s="610">
        <f>COUNTIFS('MARE MX'!$I:$I,"ENTERPRISE",'MARE MX'!$AJ:$AJ,"Transporte",'MARE MX'!$AV:$AV,"*OK*")</f>
        <v>0</v>
      </c>
      <c r="AG22" s="610">
        <f>COUNTIFS('MARE MX'!$I:$I,"ENTERPRISE",'MARE MX'!$AJ:$AJ,"Turismo y Gastronomía",'MARE MX'!$AV:$AV,"*OK*")</f>
        <v>1</v>
      </c>
      <c r="AJ22">
        <v>3</v>
      </c>
      <c r="AK22">
        <f>COUNTIFS('MARE MX'!$I:$I,"ENTERPRISE",'MARE MX'!$CL:$CL,3)</f>
        <v>3</v>
      </c>
      <c r="AL22" s="56">
        <f t="shared" si="5"/>
        <v>2.1897810218978103E-2</v>
      </c>
      <c r="AM22">
        <f>COUNTIFS('MARE MX'!$I:$I,"SMB",'MARE MX'!$CL:$CL,3)</f>
        <v>2</v>
      </c>
      <c r="AN22" s="56">
        <f t="shared" si="6"/>
        <v>5.6338028169014088E-3</v>
      </c>
      <c r="AP22" s="76">
        <v>3</v>
      </c>
      <c r="AQ22" s="76">
        <f>COUNTIFS('MARE MX'!I:I,"ENTERPRISE",'MARE MX'!E:E,"Dafne de la Rosa",'MARE MX'!D:D,3)</f>
        <v>0</v>
      </c>
      <c r="AR22" s="76">
        <f>COUNTIFS('MARE MX'!I:I,"ENTERPRISE",'MARE MX'!E:E,"Karla Patiño",'MARE MX'!CL:CL,3)</f>
        <v>2</v>
      </c>
      <c r="AS22" s="76">
        <f>COUNTIFS('MARE MX'!I:I,"ENTERPRISE",'MARE MX'!E:E,"Raúl Campos",'MARE MX'!CL:CL,3)</f>
        <v>1</v>
      </c>
      <c r="AT22" s="76">
        <f>COUNTIFS('MARE MX'!I:I,"ENTERPRISE",'MARE MX'!E:E,"No Asignado",'MARE MX'!CL:CL,3)</f>
        <v>0</v>
      </c>
      <c r="AU22" s="76">
        <f>COUNTIFS('MARE MX'!I:I,"ENTERPRISE",'MARE MX'!E:E,"Implementando",'MARE MX'!CL:CL,3)</f>
        <v>0</v>
      </c>
      <c r="AV22" s="76">
        <f>SUM(AQ22:AU22)</f>
        <v>3</v>
      </c>
      <c r="AX22" s="73">
        <v>3</v>
      </c>
      <c r="AY22" s="73">
        <f>COUNTIFS('MARE MX'!$I:$I,"SMB",'MARE MX'!$E:$E,"Dafne de la Rosa",'MARE MX'!$CL:$CL,3)</f>
        <v>1</v>
      </c>
      <c r="AZ22" s="73">
        <f>COUNTIFS('MARE MX'!$I:$I,"SMB",'MARE MX'!$E:$E,"Karla Patiño",'MARE MX'!$CL:$CL,3)</f>
        <v>1</v>
      </c>
      <c r="BA22" s="73">
        <f>COUNTIFS('MARE MX'!$I:$I,"SMB",'MARE MX'!$E:$E,"Raúl Campos",'MARE MX'!$CL:$CL,3)</f>
        <v>0</v>
      </c>
      <c r="BB22" s="73">
        <f>COUNTIFS('MARE MX'!$I:$I,"SMB",'MARE MX'!$E:$E,"No Asignado",'MARE MX'!$CL:$CL,3)</f>
        <v>0</v>
      </c>
      <c r="BC22" s="73">
        <f>SUM(AY22:BB22)</f>
        <v>2</v>
      </c>
    </row>
    <row r="23" spans="1:61">
      <c r="A23" t="s">
        <v>787</v>
      </c>
      <c r="B23">
        <v>1</v>
      </c>
      <c r="D23" s="43">
        <v>652.53129999999999</v>
      </c>
      <c r="G23" t="s">
        <v>787</v>
      </c>
      <c r="H23">
        <v>6</v>
      </c>
      <c r="J23" s="43">
        <v>1189.6942999999999</v>
      </c>
      <c r="L23" s="610" t="s">
        <v>2840</v>
      </c>
      <c r="M23" s="611">
        <f>COUNTIFS('MARE MX'!$I:$I,"ENTERPRISE",'MARE MX'!$AW:$AW,"*OK*")</f>
        <v>4</v>
      </c>
      <c r="N23" s="611">
        <f>COUNTIFS('MARE MX'!$I:$I,"SMB",'MARE MX'!$AW:$AW,"*OK*")</f>
        <v>1</v>
      </c>
      <c r="P23" s="612" t="s">
        <v>2840</v>
      </c>
      <c r="Q23" s="610">
        <f>COUNTIFS('MARE MX'!$I:$I,"ENTERPRISE",'MARE MX'!$AJ:$AJ,"Agrícola",'MARE MX'!$AW:$AW,"*OK*")</f>
        <v>0</v>
      </c>
      <c r="R23" s="610">
        <f>COUNTIFS('MARE MX'!$I:$I,"ENTERPRISE",'MARE MX'!$AJ:$AJ,"Automotriz",'MARE MX'!$AW:$AW,"*OK*")</f>
        <v>0</v>
      </c>
      <c r="S23" s="610">
        <f>COUNTIFS('MARE MX'!$I:$I,"ENTERPRISE",'MARE MX'!$AJ:$AJ,"Banca y Finanzas",'MARE MX'!$AW:$AW,"*OK*")</f>
        <v>0</v>
      </c>
      <c r="T23" s="610">
        <f>COUNTIFS('MARE MX'!$I:$I,"ENTERPRISE",'MARE MX'!$AJ:$AJ,"Construcción",'MARE MX'!$AW:$AW,"*OK*")</f>
        <v>0</v>
      </c>
      <c r="U23" s="610">
        <f>COUNTIFS('MARE MX'!$I:$I,"ENTERPRISE",'MARE MX'!$AJ:$AJ,"Educación",'MARE MX'!$AW:$AW,"*OK*")</f>
        <v>0</v>
      </c>
      <c r="V23" s="610">
        <f>COUNTIFS('MARE MX'!$I:$I,"ENTERPRISE",'MARE MX'!$AJ:$AJ,"Energía",'MARE MX'!$AW:$AW,"*OK*")</f>
        <v>0</v>
      </c>
      <c r="W23" s="610">
        <f>COUNTIFS('MARE MX'!$I:$I,"ENTERPRISE",'MARE MX'!$AJ:$AJ,"Gobierno",'MARE MX'!$AW:$AW,"*OK*")</f>
        <v>0</v>
      </c>
      <c r="X23" s="610">
        <f>COUNTIFS('MARE MX'!$I:$I,"ENTERPRISE",'MARE MX'!$AJ:$AJ,"Logística",'MARE MX'!$AW:$AW,"*OK*")</f>
        <v>0</v>
      </c>
      <c r="Y23" s="610">
        <f>COUNTIFS('MARE MX'!$I:$I,"ENTERPRISE",'MARE MX'!$AJ:$AJ,"Manufactura",'MARE MX'!$AW:$AW,"*OK*")</f>
        <v>1</v>
      </c>
      <c r="Z23" s="610">
        <f>COUNTIFS('MARE MX'!$I:$I,"ENTERPRISE",'MARE MX'!$AJ:$AJ,"Outsourcing",'MARE MX'!$AW:$AW,"*OK*")</f>
        <v>2</v>
      </c>
      <c r="AA23" s="610">
        <f>COUNTIFS('MARE MX'!$I:$I,"ENTERPRISE",'MARE MX'!$AJ:$AJ,"Retail",'MARE MX'!$AW:$AW,"*OK*")</f>
        <v>0</v>
      </c>
      <c r="AB23" s="610">
        <f>COUNTIFS('MARE MX'!$I:$I,"ENTERPRISE",'MARE MX'!$AJ:$AJ,"Salud",'MARE MX'!$AW:$AW,"*OK*")</f>
        <v>0</v>
      </c>
      <c r="AC23" s="610">
        <f>COUNTIFS('MARE MX'!$I:$I,"ENTERPRISE",'MARE MX'!$AJ:$AJ,"Seguridad Privada",'MARE MX'!$AW:$AW,"*OK*")</f>
        <v>0</v>
      </c>
      <c r="AD23" s="610">
        <f>COUNTIFS('MARE MX'!$I:$I,"ENTERPRISE",'MARE MX'!$AJ:$AJ,"Servicios",'MARE MX'!$AW:$AW,"*OK*")</f>
        <v>0</v>
      </c>
      <c r="AE23" s="610">
        <f>COUNTIFS('MARE MX'!$I:$I,"ENTERPRISE",'MARE MX'!$AJ:$AJ,"Tecnología",'MARE MX'!$AW:$AW,"*OK*")</f>
        <v>0</v>
      </c>
      <c r="AF23" s="610">
        <f>COUNTIFS('MARE MX'!$I:$I,"ENTERPRISE",'MARE MX'!$AJ:$AJ,"Transporte",'MARE MX'!$AW:$AW,"*OK*")</f>
        <v>0</v>
      </c>
      <c r="AG23" s="610">
        <f>COUNTIFS('MARE MX'!$I:$I,"ENTERPRISE",'MARE MX'!$AJ:$AJ,"Turismo y Gastronomía",'MARE MX'!$AW:$AW,"*OK*")</f>
        <v>1</v>
      </c>
      <c r="AJ23">
        <v>4</v>
      </c>
      <c r="AK23">
        <f>COUNTIFS('MARE MX'!$I:$I,"ENTERPRISE",'MARE MX'!$CL:$CL,4)</f>
        <v>1</v>
      </c>
      <c r="AL23" s="56">
        <f t="shared" si="5"/>
        <v>7.2992700729927005E-3</v>
      </c>
      <c r="AM23">
        <f>COUNTIFS('MARE MX'!$I:$I,"SMB",'MARE MX'!$CL:$CL,4)</f>
        <v>0</v>
      </c>
      <c r="AN23" s="56">
        <f t="shared" si="6"/>
        <v>0</v>
      </c>
      <c r="AP23" s="75">
        <v>4</v>
      </c>
      <c r="AQ23" s="75">
        <f>COUNTIFS('MARE MX'!I:I,"ENTERPRISE",'MARE MX'!E:E,"Dafne de la Rosa",'MARE MX'!D:D,4)</f>
        <v>0</v>
      </c>
      <c r="AR23" s="75">
        <f>COUNTIFS('MARE MX'!I:I,"ENTERPRISE",'MARE MX'!E:E,"Karla Patiño",'MARE MX'!CL:CL,4)</f>
        <v>0</v>
      </c>
      <c r="AS23" s="75">
        <f>COUNTIFS('MARE MX'!I:I,"ENTERPRISE",'MARE MX'!E:E,"Raúl Campos",'MARE MX'!CL:CL,4)</f>
        <v>1</v>
      </c>
      <c r="AT23" s="75">
        <f>COUNTIFS('MARE MX'!I:I,"ENTERPRISE",'MARE MX'!E:E,"No Asignado",'MARE MX'!CL:CL,4)</f>
        <v>0</v>
      </c>
      <c r="AU23" s="75">
        <f>COUNTIFS('MARE MX'!I:I,"ENTERPRISE",'MARE MX'!E:E,"Implementando",'MARE MX'!CL:CL,4)</f>
        <v>0</v>
      </c>
      <c r="AV23" s="75">
        <f>SUM(AQ23:AU23)</f>
        <v>1</v>
      </c>
      <c r="AX23" s="73">
        <v>4</v>
      </c>
      <c r="AY23" s="73">
        <f>COUNTIFS('MARE MX'!$I:$I,"SMB",'MARE MX'!$E:$E,"Dafne de la Rosa",'MARE MX'!$CL:$CL,4)</f>
        <v>0</v>
      </c>
      <c r="AZ23" s="73">
        <f>COUNTIFS('MARE MX'!$I:$I,"SMB",'MARE MX'!$E:$E,"Karla Patiño",'MARE MX'!$CL:$CL,4)</f>
        <v>0</v>
      </c>
      <c r="BA23" s="73">
        <f>COUNTIFS('MARE MX'!$I:$I,"SMB",'MARE MX'!$E:$E,"Raúl Campos",'MARE MX'!$CL:$CL,4)</f>
        <v>0</v>
      </c>
      <c r="BB23" s="73">
        <f>COUNTIFS('MARE MX'!$I:$I,"SMB",'MARE MX'!$E:$E,"No Asignado",'MARE MX'!$CL:$CL,4)</f>
        <v>0</v>
      </c>
      <c r="BC23" s="73">
        <f>SUM(AY23:BB23)</f>
        <v>0</v>
      </c>
    </row>
    <row r="24" spans="1:61" ht="14.25" customHeight="1">
      <c r="A24" t="s">
        <v>2841</v>
      </c>
      <c r="B24">
        <v>13</v>
      </c>
      <c r="D24" s="43">
        <v>13647.3752</v>
      </c>
      <c r="G24" t="s">
        <v>2841</v>
      </c>
      <c r="H24">
        <v>11</v>
      </c>
      <c r="J24" s="43">
        <v>2187.7210999999998</v>
      </c>
      <c r="L24" s="610" t="s">
        <v>49</v>
      </c>
      <c r="M24" s="611">
        <f>COUNTIFS('MARE MX'!$I:$I,"ENTERPRISE",'MARE MX'!$AX:$AX,"*OK*")</f>
        <v>10</v>
      </c>
      <c r="N24" s="611">
        <f>COUNTIFS('MARE MX'!$I:$I,"SMB",'MARE MX'!$AX:$AX,"*OK*")</f>
        <v>3</v>
      </c>
      <c r="P24" s="612" t="s">
        <v>49</v>
      </c>
      <c r="Q24" s="610">
        <f>COUNTIFS('MARE MX'!$I:$I,"ENTERPRISE",'MARE MX'!$AJ:$AJ,"Agrícola",'MARE MX'!$AX:$AX,"*OK*")</f>
        <v>0</v>
      </c>
      <c r="R24" s="610">
        <f>COUNTIFS('MARE MX'!$I:$I,"ENTERPRISE",'MARE MX'!$AJ:$AJ,"Automotriz",'MARE MX'!$AX:$AX,"*OK*")</f>
        <v>0</v>
      </c>
      <c r="S24" s="610">
        <f>COUNTIFS('MARE MX'!$I:$I,"ENTERPRISE",'MARE MX'!$AJ:$AJ,"Banca y Finanzas",'MARE MX'!$AX:$AX,"*OK*")</f>
        <v>0</v>
      </c>
      <c r="T24" s="610">
        <f>COUNTIFS('MARE MX'!$I:$I,"ENTERPRISE",'MARE MX'!$AJ:$AJ,"Construcción",'MARE MX'!$AX:$AX,"*OK*")</f>
        <v>2</v>
      </c>
      <c r="U24" s="610">
        <f>COUNTIFS('MARE MX'!$I:$I,"ENTERPRISE",'MARE MX'!$AJ:$AJ,"Educación",'MARE MX'!$AX:$AX,"*OK*")</f>
        <v>0</v>
      </c>
      <c r="V24" s="610">
        <f>COUNTIFS('MARE MX'!$I:$I,"ENTERPRISE",'MARE MX'!$AJ:$AJ,"Energía",'MARE MX'!$AX:$AX,"*OK*")</f>
        <v>0</v>
      </c>
      <c r="W24" s="610">
        <f>COUNTIFS('MARE MX'!$I:$I,"ENTERPRISE",'MARE MX'!$AJ:$AJ,"Gobierno",'MARE MX'!$AX:$AX,"*OK*")</f>
        <v>0</v>
      </c>
      <c r="X24" s="610">
        <f>COUNTIFS('MARE MX'!$I:$I,"ENTERPRISE",'MARE MX'!$AJ:$AJ,"Logística",'MARE MX'!$AX:$AX,"*OK*")</f>
        <v>0</v>
      </c>
      <c r="Y24" s="610">
        <f>COUNTIFS('MARE MX'!$I:$I,"ENTERPRISE",'MARE MX'!$AJ:$AJ,"Manufactura",'MARE MX'!$AX:$AX,"*OK*")</f>
        <v>4</v>
      </c>
      <c r="Z24" s="610">
        <f>COUNTIFS('MARE MX'!$I:$I,"ENTERPRISE",'MARE MX'!$AJ:$AJ,"Outsourcing",'MARE MX'!$AX:$AX,"*OK*")</f>
        <v>0</v>
      </c>
      <c r="AA24" s="610">
        <f>COUNTIFS('MARE MX'!$I:$I,"ENTERPRISE",'MARE MX'!$AJ:$AJ,"Retail",'MARE MX'!$AX:$AX,"*OK*")</f>
        <v>1</v>
      </c>
      <c r="AB24" s="610">
        <f>COUNTIFS('MARE MX'!$I:$I,"ENTERPRISE",'MARE MX'!$AJ:$AJ,"Salud",'MARE MX'!$AX:$AX,"*OK*")</f>
        <v>0</v>
      </c>
      <c r="AC24" s="610">
        <f>COUNTIFS('MARE MX'!$I:$I,"ENTERPRISE",'MARE MX'!$AJ:$AJ,"Seguridad Privada",'MARE MX'!$AX:$AX,"*OK*")</f>
        <v>0</v>
      </c>
      <c r="AD24" s="610">
        <f>COUNTIFS('MARE MX'!$I:$I,"ENTERPRISE",'MARE MX'!$AJ:$AJ,"Servicios",'MARE MX'!$AX:$AX,"*OK*")</f>
        <v>0</v>
      </c>
      <c r="AE24" s="610">
        <f>COUNTIFS('MARE MX'!$I:$I,"ENTERPRISE",'MARE MX'!$AJ:$AJ,"Tecnología",'MARE MX'!$AX:$AX,"*OK*")</f>
        <v>1</v>
      </c>
      <c r="AF24" s="610">
        <f>COUNTIFS('MARE MX'!$I:$I,"ENTERPRISE",'MARE MX'!$AJ:$AJ,"Transporte",'MARE MX'!$AX:$AX,"*OK*")</f>
        <v>0</v>
      </c>
      <c r="AG24" s="610">
        <f>COUNTIFS('MARE MX'!$I:$I,"ENTERPRISE",'MARE MX'!$AJ:$AJ,"Turismo y Gastronomía",'MARE MX'!$AX:$AX,"*OK*")</f>
        <v>1</v>
      </c>
      <c r="AJ24" s="64" t="s">
        <v>2805</v>
      </c>
      <c r="AK24" s="64">
        <f>SUM(AK19:AK23)</f>
        <v>137</v>
      </c>
      <c r="AL24" s="64"/>
      <c r="AM24" s="64">
        <f>SUM(AM19:AM23)</f>
        <v>355</v>
      </c>
      <c r="AN24" s="64"/>
      <c r="AP24" s="67" t="s">
        <v>2805</v>
      </c>
      <c r="AQ24" s="72">
        <f t="shared" ref="AQ24:AV24" si="7">SUM(AQ19:AQ23)</f>
        <v>56</v>
      </c>
      <c r="AR24" s="72">
        <f t="shared" si="7"/>
        <v>7</v>
      </c>
      <c r="AS24" s="72">
        <f t="shared" si="7"/>
        <v>71</v>
      </c>
      <c r="AT24" s="72">
        <f t="shared" si="7"/>
        <v>2</v>
      </c>
      <c r="AU24" s="72">
        <f t="shared" si="7"/>
        <v>1</v>
      </c>
      <c r="AV24" s="72">
        <f t="shared" si="7"/>
        <v>137</v>
      </c>
      <c r="AX24" s="80" t="s">
        <v>2805</v>
      </c>
      <c r="AY24" s="80">
        <f>SUM(AY19:AY23)</f>
        <v>51</v>
      </c>
      <c r="AZ24" s="80">
        <f>SUM(AZ19:AZ23)</f>
        <v>153</v>
      </c>
      <c r="BA24" s="80">
        <f>SUM(BA19:BA23)</f>
        <v>10</v>
      </c>
      <c r="BB24" s="80">
        <f>SUM(BB19:BB23)</f>
        <v>141</v>
      </c>
      <c r="BC24" s="80">
        <f>SUM(BC19:BC23)</f>
        <v>355</v>
      </c>
    </row>
    <row r="25" spans="1:61" ht="14.25" customHeight="1">
      <c r="A25" t="s">
        <v>525</v>
      </c>
      <c r="B25">
        <v>2</v>
      </c>
      <c r="D25" s="43">
        <v>1793.5662</v>
      </c>
      <c r="G25" t="s">
        <v>525</v>
      </c>
      <c r="H25">
        <v>8</v>
      </c>
      <c r="J25" s="43">
        <v>3065.2405000000003</v>
      </c>
      <c r="L25" s="610" t="s">
        <v>50</v>
      </c>
      <c r="M25" s="611">
        <f>COUNTIFS('MARE MX'!$I:$I,"ENTERPRISE",'MARE MX'!$AY:$AY,"*OK*")</f>
        <v>5</v>
      </c>
      <c r="N25" s="611">
        <f>COUNTIFS('MARE MX'!$I:$I,"SMB",'MARE MX'!$AY:$AY,"*OK*")</f>
        <v>2</v>
      </c>
      <c r="P25" s="612" t="s">
        <v>50</v>
      </c>
      <c r="Q25" s="610">
        <f>COUNTIFS('MARE MX'!$I:$I,"ENTERPRISE",'MARE MX'!$AJ:$AJ,"Agrícola",'MARE MX'!$AY:$AY,"*OK*")</f>
        <v>0</v>
      </c>
      <c r="R25" s="610">
        <f>COUNTIFS('MARE MX'!$I:$I,"ENTERPRISE",'MARE MX'!$AJ:$AJ,"Automotriz",'MARE MX'!$AY:$AY,"*OK*")</f>
        <v>0</v>
      </c>
      <c r="S25" s="610">
        <f>COUNTIFS('MARE MX'!$I:$I,"ENTERPRISE",'MARE MX'!$AJ:$AJ,"Banca y Finanzas",'MARE MX'!$AY:$AY,"*OK*")</f>
        <v>0</v>
      </c>
      <c r="T25" s="610">
        <f>COUNTIFS('MARE MX'!$I:$I,"ENTERPRISE",'MARE MX'!$AJ:$AJ,"Construcción",'MARE MX'!$AY:$AY,"*OK*")</f>
        <v>0</v>
      </c>
      <c r="U25" s="610">
        <f>COUNTIFS('MARE MX'!$I:$I,"ENTERPRISE",'MARE MX'!$AJ:$AJ,"Educación",'MARE MX'!$AY:$AY,"*OK*")</f>
        <v>0</v>
      </c>
      <c r="V25" s="610">
        <f>COUNTIFS('MARE MX'!$I:$I,"ENTERPRISE",'MARE MX'!$AJ:$AJ,"Energía",'MARE MX'!$AY:$AY,"*OK*")</f>
        <v>1</v>
      </c>
      <c r="W25" s="610">
        <f>COUNTIFS('MARE MX'!$I:$I,"ENTERPRISE",'MARE MX'!$AJ:$AJ,"Gobierno",'MARE MX'!$AY:$AY,"*OK*")</f>
        <v>0</v>
      </c>
      <c r="X25" s="610">
        <f>COUNTIFS('MARE MX'!$I:$I,"ENTERPRISE",'MARE MX'!$AJ:$AJ,"Logística",'MARE MX'!$AY:$AY,"*OK*")</f>
        <v>0</v>
      </c>
      <c r="Y25" s="610">
        <f>COUNTIFS('MARE MX'!$I:$I,"ENTERPRISE",'MARE MX'!$AJ:$AJ,"Manufactura",'MARE MX'!$AY:$AY,"*OK*")</f>
        <v>1</v>
      </c>
      <c r="Z25" s="610">
        <f>COUNTIFS('MARE MX'!$I:$I,"ENTERPRISE",'MARE MX'!$AJ:$AJ,"Outsourcing",'MARE MX'!$AY:$AY,"*OK*")</f>
        <v>1</v>
      </c>
      <c r="AA25" s="610">
        <f>COUNTIFS('MARE MX'!$I:$I,"ENTERPRISE",'MARE MX'!$AJ:$AJ,"Retail",'MARE MX'!$AY:$AY,"*OK*")</f>
        <v>0</v>
      </c>
      <c r="AB25" s="610">
        <f>COUNTIFS('MARE MX'!$I:$I,"ENTERPRISE",'MARE MX'!$AJ:$AJ,"Salud",'MARE MX'!$AY:$AY,"*OK*")</f>
        <v>0</v>
      </c>
      <c r="AC25" s="610">
        <f>COUNTIFS('MARE MX'!$I:$I,"ENTERPRISE",'MARE MX'!$AJ:$AJ,"Seguridad Privada",'MARE MX'!$AY:$AY,"*OK*")</f>
        <v>0</v>
      </c>
      <c r="AD25" s="610">
        <f>COUNTIFS('MARE MX'!$I:$I,"ENTERPRISE",'MARE MX'!$AJ:$AJ,"Servicios",'MARE MX'!$AY:$AY,"*OK*")</f>
        <v>0</v>
      </c>
      <c r="AE25" s="610">
        <f>COUNTIFS('MARE MX'!$I:$I,"ENTERPRISE",'MARE MX'!$AJ:$AJ,"Tecnología",'MARE MX'!$AY:$AY,"*OK*")</f>
        <v>0</v>
      </c>
      <c r="AF25" s="610">
        <f>COUNTIFS('MARE MX'!$I:$I,"ENTERPRISE",'MARE MX'!$AJ:$AJ,"Transporte",'MARE MX'!$AY:$AY,"*OK*")</f>
        <v>1</v>
      </c>
      <c r="AG25" s="610">
        <f>COUNTIFS('MARE MX'!$I:$I,"ENTERPRISE",'MARE MX'!$AJ:$AJ,"Turismo y Gastronomía",'MARE MX'!$AY:$AY,"*OK*")</f>
        <v>1</v>
      </c>
    </row>
    <row r="26" spans="1:61" ht="14.25" customHeight="1">
      <c r="A26" t="s">
        <v>2815</v>
      </c>
      <c r="B26">
        <v>119</v>
      </c>
      <c r="D26" s="43">
        <v>115758.4988</v>
      </c>
      <c r="F26" t="s">
        <v>2842</v>
      </c>
      <c r="H26">
        <v>96</v>
      </c>
      <c r="J26" s="43">
        <v>46669.813700000006</v>
      </c>
      <c r="L26" s="610" t="s">
        <v>51</v>
      </c>
      <c r="M26" s="611">
        <f>COUNTIFS('MARE MX'!$I:$I,"ENTERPRISE",'MARE MX'!$AZ:$AZ,"*OK*")</f>
        <v>10</v>
      </c>
      <c r="N26" s="611">
        <f>COUNTIFS('MARE MX'!$I:$I,"SMB",'MARE MX'!$AZ:$AZ,"*OK*")</f>
        <v>1</v>
      </c>
      <c r="P26" s="612" t="s">
        <v>51</v>
      </c>
      <c r="Q26" s="610">
        <f>COUNTIFS('MARE MX'!$I:$I,"ENTERPRISE",'MARE MX'!$AJ:$AJ,"Agrícola",'MARE MX'!$AZ:$AZ,"*OK*")</f>
        <v>1</v>
      </c>
      <c r="R26" s="610">
        <f>COUNTIFS('MARE MX'!$I:$I,"ENTERPRISE",'MARE MX'!$AJ:$AJ,"Automotriz",'MARE MX'!$AZ:$AZ,"*OK*")</f>
        <v>0</v>
      </c>
      <c r="S26" s="610">
        <f>COUNTIFS('MARE MX'!$I:$I,"ENTERPRISE",'MARE MX'!$AJ:$AJ,"Banca y Finanzas",'MARE MX'!$AZ:$AZ,"*OK*")</f>
        <v>0</v>
      </c>
      <c r="T26" s="610">
        <f>COUNTIFS('MARE MX'!$I:$I,"ENTERPRISE",'MARE MX'!$AJ:$AJ,"Construcción",'MARE MX'!$AZ:$AZ,"*OK*")</f>
        <v>0</v>
      </c>
      <c r="U26" s="610">
        <f>COUNTIFS('MARE MX'!$I:$I,"ENTERPRISE",'MARE MX'!$AJ:$AJ,"Educación",'MARE MX'!$AZ:$AZ,"*OK*")</f>
        <v>0</v>
      </c>
      <c r="V26" s="610">
        <f>COUNTIFS('MARE MX'!$I:$I,"ENTERPRISE",'MARE MX'!$AJ:$AJ,"Energía",'MARE MX'!$AZ:$AZ,"*OK*")</f>
        <v>0</v>
      </c>
      <c r="W26" s="610">
        <f>COUNTIFS('MARE MX'!$I:$I,"ENTERPRISE",'MARE MX'!$AJ:$AJ,"Gobierno",'MARE MX'!$AZ:$AZ,"*OK*")</f>
        <v>0</v>
      </c>
      <c r="X26" s="610">
        <f>COUNTIFS('MARE MX'!$I:$I,"ENTERPRISE",'MARE MX'!$AJ:$AJ,"Logística",'MARE MX'!$AZ:$AZ,"*OK*")</f>
        <v>0</v>
      </c>
      <c r="Y26" s="610">
        <f>COUNTIFS('MARE MX'!$I:$I,"ENTERPRISE",'MARE MX'!$AJ:$AJ,"Manufactura",'MARE MX'!$AZ:$AZ,"*OK*")</f>
        <v>3</v>
      </c>
      <c r="Z26" s="610">
        <f>COUNTIFS('MARE MX'!$I:$I,"ENTERPRISE",'MARE MX'!$AJ:$AJ,"Outsourcing",'MARE MX'!$AZ:$AZ,"*OK*")</f>
        <v>2</v>
      </c>
      <c r="AA26" s="610">
        <f>COUNTIFS('MARE MX'!$I:$I,"ENTERPRISE",'MARE MX'!$AJ:$AJ,"Retail",'MARE MX'!$AZ:$AZ,"*OK*")</f>
        <v>1</v>
      </c>
      <c r="AB26" s="610">
        <f>COUNTIFS('MARE MX'!$I:$I,"ENTERPRISE",'MARE MX'!$AJ:$AJ,"Salud",'MARE MX'!$AZ:$AZ,"*OK*")</f>
        <v>2</v>
      </c>
      <c r="AC26" s="610">
        <f>COUNTIFS('MARE MX'!$I:$I,"ENTERPRISE",'MARE MX'!$AJ:$AJ,"Seguridad Privada",'MARE MX'!$AZ:$AZ,"*OK*")</f>
        <v>0</v>
      </c>
      <c r="AD26" s="610">
        <f>COUNTIFS('MARE MX'!$I:$I,"ENTERPRISE",'MARE MX'!$AJ:$AJ,"Servicios",'MARE MX'!$AZ:$AZ,"*OK*")</f>
        <v>1</v>
      </c>
      <c r="AE26" s="610">
        <f>COUNTIFS('MARE MX'!$I:$I,"ENTERPRISE",'MARE MX'!$AJ:$AJ,"Tecnología",'MARE MX'!$AZ:$AZ,"*OK*")</f>
        <v>0</v>
      </c>
      <c r="AF26" s="610">
        <f>COUNTIFS('MARE MX'!$I:$I,"ENTERPRISE",'MARE MX'!$AJ:$AJ,"Transporte",'MARE MX'!$AZ:$AZ,"*OK*")</f>
        <v>0</v>
      </c>
      <c r="AG26" s="610">
        <f>COUNTIFS('MARE MX'!$I:$I,"ENTERPRISE",'MARE MX'!$AJ:$AJ,"Turismo y Gastronomía",'MARE MX'!$AZ:$AZ,"*OK*")</f>
        <v>0</v>
      </c>
      <c r="AP26" s="81" t="s">
        <v>2843</v>
      </c>
      <c r="AQ26" s="82">
        <f>SUM(AQ20:AQ23)/AQ24</f>
        <v>0.25</v>
      </c>
      <c r="AR26" s="82">
        <f t="shared" ref="AR26:AU26" si="8">SUM(AR20:AR23)/AR24</f>
        <v>0.2857142857142857</v>
      </c>
      <c r="AS26" s="82">
        <f t="shared" si="8"/>
        <v>0.29577464788732394</v>
      </c>
      <c r="AT26" s="82">
        <f t="shared" si="8"/>
        <v>0</v>
      </c>
      <c r="AU26" s="82">
        <f t="shared" si="8"/>
        <v>0</v>
      </c>
      <c r="AV26" s="73"/>
      <c r="AW26" s="73"/>
      <c r="AX26" s="81" t="s">
        <v>2843</v>
      </c>
      <c r="AY26" s="82">
        <f>SUM(AY20:AY23)/AY24</f>
        <v>7.8431372549019607E-2</v>
      </c>
      <c r="AZ26" s="82">
        <f t="shared" ref="AZ26:BC26" si="9">SUM(AZ20:AZ23)/AZ24</f>
        <v>5.8823529411764705E-2</v>
      </c>
      <c r="BA26" s="82">
        <f t="shared" si="9"/>
        <v>0.2</v>
      </c>
      <c r="BB26" s="82">
        <f t="shared" si="9"/>
        <v>3.5460992907801421E-2</v>
      </c>
      <c r="BC26" s="82">
        <f t="shared" si="9"/>
        <v>5.6338028169014086E-2</v>
      </c>
    </row>
    <row r="27" spans="1:61" ht="15" customHeight="1">
      <c r="F27" t="s">
        <v>439</v>
      </c>
      <c r="G27" t="s">
        <v>167</v>
      </c>
      <c r="H27">
        <v>12</v>
      </c>
      <c r="J27" s="43">
        <v>2652.2347</v>
      </c>
      <c r="L27" s="610" t="s">
        <v>52</v>
      </c>
      <c r="M27" s="611">
        <f>COUNTIFS('MARE MX'!$I:$I,"ENTERPRISE",'MARE MX'!$BA:$BA,"*OK*")</f>
        <v>1</v>
      </c>
      <c r="N27" s="611">
        <f>COUNTIFS('MARE MX'!$I:$I,"SMB",'MARE MX'!$BA:$BA,"*OK*")</f>
        <v>1</v>
      </c>
      <c r="P27" s="612" t="s">
        <v>52</v>
      </c>
      <c r="Q27" s="610">
        <f>COUNTIFS('MARE MX'!$I:$I,"ENTERPRISE",'MARE MX'!$AJ:$AJ,"Agrícola",'MARE MX'!$BA:$BA,"*OK*")</f>
        <v>0</v>
      </c>
      <c r="R27" s="610">
        <f>COUNTIFS('MARE MX'!$I:$I,"ENTERPRISE",'MARE MX'!$AJ:$AJ,"Automotriz",'MARE MX'!$BA:$BA,"*OK*")</f>
        <v>0</v>
      </c>
      <c r="S27" s="610">
        <f>COUNTIFS('MARE MX'!$I:$I,"ENTERPRISE",'MARE MX'!$AJ:$AJ,"Banca y Finanzas",'MARE MX'!$BA:$BA,"*OK*")</f>
        <v>0</v>
      </c>
      <c r="T27" s="610">
        <f>COUNTIFS('MARE MX'!$I:$I,"ENTERPRISE",'MARE MX'!$AJ:$AJ,"Construcción",'MARE MX'!$BA:$BA,"*OK*")</f>
        <v>0</v>
      </c>
      <c r="U27" s="610">
        <f>COUNTIFS('MARE MX'!$I:$I,"ENTERPRISE",'MARE MX'!$AJ:$AJ,"Educación",'MARE MX'!$BA:$BA,"*OK*")</f>
        <v>0</v>
      </c>
      <c r="V27" s="610">
        <f>COUNTIFS('MARE MX'!$I:$I,"ENTERPRISE",'MARE MX'!$AJ:$AJ,"Energía",'MARE MX'!$BA:$BA,"*OK*")</f>
        <v>0</v>
      </c>
      <c r="W27" s="610">
        <f>COUNTIFS('MARE MX'!$I:$I,"ENTERPRISE",'MARE MX'!$AJ:$AJ,"Gobierno",'MARE MX'!$BA:$BA,"*OK*")</f>
        <v>0</v>
      </c>
      <c r="X27" s="610">
        <f>COUNTIFS('MARE MX'!$I:$I,"ENTERPRISE",'MARE MX'!$AJ:$AJ,"Logística",'MARE MX'!$BA:$BA,"*OK*")</f>
        <v>0</v>
      </c>
      <c r="Y27" s="610">
        <f>COUNTIFS('MARE MX'!$I:$I,"ENTERPRISE",'MARE MX'!$AJ:$AJ,"Manufactura",'MARE MX'!$BA:$BA,"*OK*")</f>
        <v>0</v>
      </c>
      <c r="Z27" s="610">
        <f>COUNTIFS('MARE MX'!$I:$I,"ENTERPRISE",'MARE MX'!$AJ:$AJ,"Outsourcing",'MARE MX'!$BA:$BA,"*OK*")</f>
        <v>0</v>
      </c>
      <c r="AA27" s="610">
        <f>COUNTIFS('MARE MX'!$I:$I,"ENTERPRISE",'MARE MX'!$AJ:$AJ,"Retail",'MARE MX'!$BA:$BA,"*OK*")</f>
        <v>0</v>
      </c>
      <c r="AB27" s="610">
        <f>COUNTIFS('MARE MX'!$I:$I,"ENTERPRISE",'MARE MX'!$AJ:$AJ,"Salud",'MARE MX'!$BA:$BA,"*OK*")</f>
        <v>0</v>
      </c>
      <c r="AC27" s="610">
        <f>COUNTIFS('MARE MX'!$I:$I,"ENTERPRISE",'MARE MX'!$AJ:$AJ,"Seguridad Privada",'MARE MX'!$BA:$BA,"*OK*")</f>
        <v>0</v>
      </c>
      <c r="AD27" s="610">
        <f>COUNTIFS('MARE MX'!$I:$I,"ENTERPRISE",'MARE MX'!$AJ:$AJ,"Servicios",'MARE MX'!$BA:$BA,"*OK*")</f>
        <v>1</v>
      </c>
      <c r="AE27" s="610">
        <f>COUNTIFS('MARE MX'!$I:$I,"ENTERPRISE",'MARE MX'!$AJ:$AJ,"Tecnología",'MARE MX'!$BA:$BA,"*OK*")</f>
        <v>0</v>
      </c>
      <c r="AF27" s="610">
        <f>COUNTIFS('MARE MX'!$I:$I,"ENTERPRISE",'MARE MX'!$AJ:$AJ,"Transporte",'MARE MX'!$BA:$BA,"*OK*")</f>
        <v>0</v>
      </c>
      <c r="AG27" s="610">
        <f>COUNTIFS('MARE MX'!$I:$I,"ENTERPRISE",'MARE MX'!$AJ:$AJ,"Turismo y Gastronomía",'MARE MX'!$BA:$BA,"*OK*")</f>
        <v>0</v>
      </c>
      <c r="AP27" s="73"/>
      <c r="AQ27" s="73"/>
      <c r="AR27" s="73"/>
      <c r="AS27" s="73"/>
      <c r="AT27" s="73"/>
      <c r="AU27" s="73"/>
      <c r="AV27" s="73"/>
      <c r="AW27" s="73"/>
      <c r="AX27" s="73"/>
      <c r="AY27" s="73"/>
      <c r="AZ27" s="73"/>
      <c r="BA27" s="73"/>
      <c r="BB27" s="73"/>
      <c r="BC27" s="73"/>
    </row>
    <row r="28" spans="1:61" ht="14.25" customHeight="1">
      <c r="G28" t="s">
        <v>1652</v>
      </c>
      <c r="H28">
        <v>1</v>
      </c>
      <c r="J28" s="43">
        <v>142.02889999999999</v>
      </c>
      <c r="L28" s="610" t="s">
        <v>53</v>
      </c>
      <c r="M28" s="611">
        <f>COUNTIFS('MARE MX'!$I:$I,"ENTERPRISE",'MARE MX'!$BB:$BB,"*OK*")</f>
        <v>0</v>
      </c>
      <c r="N28" s="611">
        <f>COUNTIFS('MARE MX'!$I:$I,"SMB",'MARE MX'!$BB:$BB,"*OK*")</f>
        <v>0</v>
      </c>
      <c r="P28" s="612" t="s">
        <v>53</v>
      </c>
      <c r="Q28" s="610">
        <f>COUNTIFS('MARE MX'!$I:$I,"ENTERPRISE",'MARE MX'!$AJ:$AJ,"Agrícola",'MARE MX'!$BB:$BB,"*OK*")</f>
        <v>0</v>
      </c>
      <c r="R28" s="610">
        <f>COUNTIFS('MARE MX'!$I:$I,"ENTERPRISE",'MARE MX'!$AJ:$AJ,"Automotriz",'MARE MX'!$BB:$BB,"*OK*")</f>
        <v>0</v>
      </c>
      <c r="S28" s="610">
        <f>COUNTIFS('MARE MX'!$I:$I,"ENTERPRISE",'MARE MX'!$AJ:$AJ,"Banca y Finanzas",'MARE MX'!$BB:$BB,"*OK*")</f>
        <v>0</v>
      </c>
      <c r="T28" s="610">
        <f>COUNTIFS('MARE MX'!$I:$I,"ENTERPRISE",'MARE MX'!$AJ:$AJ,"Construcción",'MARE MX'!$BB:$BB,"*OK*")</f>
        <v>0</v>
      </c>
      <c r="U28" s="610">
        <f>COUNTIFS('MARE MX'!$I:$I,"ENTERPRISE",'MARE MX'!$AJ:$AJ,"Educación",'MARE MX'!$BB:$BB,"*OK*")</f>
        <v>0</v>
      </c>
      <c r="V28" s="610">
        <f>COUNTIFS('MARE MX'!$I:$I,"ENTERPRISE",'MARE MX'!$AJ:$AJ,"Energía",'MARE MX'!$BB:$BB,"*OK*")</f>
        <v>0</v>
      </c>
      <c r="W28" s="610">
        <f>COUNTIFS('MARE MX'!$I:$I,"ENTERPRISE",'MARE MX'!$AJ:$AJ,"Gobierno",'MARE MX'!$BB:$BB,"*OK*")</f>
        <v>0</v>
      </c>
      <c r="X28" s="610">
        <f>COUNTIFS('MARE MX'!$I:$I,"ENTERPRISE",'MARE MX'!$AJ:$AJ,"Logística",'MARE MX'!$BB:$BB,"*OK*")</f>
        <v>0</v>
      </c>
      <c r="Y28" s="610">
        <f>COUNTIFS('MARE MX'!$I:$I,"ENTERPRISE",'MARE MX'!$AJ:$AJ,"Manufactura",'MARE MX'!$BB:$BB,"*OK*")</f>
        <v>0</v>
      </c>
      <c r="Z28" s="610">
        <f>COUNTIFS('MARE MX'!$I:$I,"ENTERPRISE",'MARE MX'!$AJ:$AJ,"Outsourcing",'MARE MX'!$BB:$BB,"*OK*")</f>
        <v>0</v>
      </c>
      <c r="AA28" s="610">
        <f>COUNTIFS('MARE MX'!$I:$I,"ENTERPRISE",'MARE MX'!$AJ:$AJ,"Retail",'MARE MX'!$BB:$BB,"*OK*")</f>
        <v>0</v>
      </c>
      <c r="AB28" s="610">
        <f>COUNTIFS('MARE MX'!$I:$I,"ENTERPRISE",'MARE MX'!$AJ:$AJ,"Salud",'MARE MX'!$BB:$BB,"*OK*")</f>
        <v>0</v>
      </c>
      <c r="AC28" s="610">
        <f>COUNTIFS('MARE MX'!$I:$I,"ENTERPRISE",'MARE MX'!$AJ:$AJ,"Seguridad Privada",'MARE MX'!$BB:$BB,"*OK*")</f>
        <v>0</v>
      </c>
      <c r="AD28" s="610">
        <f>COUNTIFS('MARE MX'!$I:$I,"ENTERPRISE",'MARE MX'!$AJ:$AJ,"Servicios",'MARE MX'!$BB:$BB,"*OK*")</f>
        <v>0</v>
      </c>
      <c r="AE28" s="610">
        <f>COUNTIFS('MARE MX'!$I:$I,"ENTERPRISE",'MARE MX'!$AJ:$AJ,"Tecnología",'MARE MX'!$BB:$BB,"*OK*")</f>
        <v>0</v>
      </c>
      <c r="AF28" s="610">
        <f>COUNTIFS('MARE MX'!$I:$I,"ENTERPRISE",'MARE MX'!$AJ:$AJ,"Transporte",'MARE MX'!$BB:$BB,"*OK*")</f>
        <v>0</v>
      </c>
      <c r="AG28" s="610">
        <f>COUNTIFS('MARE MX'!$I:$I,"ENTERPRISE",'MARE MX'!$AJ:$AJ,"Turismo y Gastronomía",'MARE MX'!$BB:$BB,"*OK*")</f>
        <v>0</v>
      </c>
      <c r="AP28" s="73"/>
      <c r="AQ28" s="73"/>
      <c r="AR28" s="73"/>
      <c r="AS28" s="73"/>
      <c r="AT28" s="73"/>
      <c r="AU28" s="73"/>
      <c r="AV28" s="73"/>
      <c r="AW28" s="73"/>
      <c r="AX28" s="73"/>
      <c r="AY28" s="73"/>
      <c r="AZ28" s="73"/>
      <c r="BA28" s="73"/>
      <c r="BB28" s="73"/>
      <c r="BC28" s="73"/>
    </row>
    <row r="29" spans="1:61" ht="14.25" customHeight="1">
      <c r="D29" s="43"/>
      <c r="G29" t="s">
        <v>77</v>
      </c>
      <c r="H29">
        <v>26</v>
      </c>
      <c r="J29" s="43">
        <v>6669.9067999999997</v>
      </c>
      <c r="L29" s="610" t="s">
        <v>54</v>
      </c>
      <c r="M29" s="611">
        <f>COUNTIFS('MARE MX'!$I:$I,"ENTERPRISE",'MARE MX'!$BC:$BC,"*OK*")</f>
        <v>0</v>
      </c>
      <c r="N29" s="611">
        <f>COUNTIFS('MARE MX'!$I:$I,"SMB",'MARE MX'!$BC:$BC,"*OK*")</f>
        <v>0</v>
      </c>
      <c r="P29" s="612" t="s">
        <v>54</v>
      </c>
      <c r="Q29" s="610">
        <f>COUNTIFS('MARE MX'!$I:$I,"ENTERPRISE",'MARE MX'!$AJ:$AJ,"Agrícola",'MARE MX'!$BC:$BC,"*OK*")</f>
        <v>0</v>
      </c>
      <c r="R29" s="610">
        <f>COUNTIFS('MARE MX'!$I:$I,"ENTERPRISE",'MARE MX'!$AJ:$AJ,"Automotriz",'MARE MX'!$BC:$BC,"*OK*")</f>
        <v>0</v>
      </c>
      <c r="S29" s="610">
        <f>COUNTIFS('MARE MX'!$I:$I,"ENTERPRISE",'MARE MX'!$AJ:$AJ,"Banca y Finanzas",'MARE MX'!$BC:$BC,"*OK*")</f>
        <v>0</v>
      </c>
      <c r="T29" s="610">
        <f>COUNTIFS('MARE MX'!$I:$I,"ENTERPRISE",'MARE MX'!$AJ:$AJ,"Construcción",'MARE MX'!$BC:$BC,"*OK*")</f>
        <v>0</v>
      </c>
      <c r="U29" s="610">
        <f>COUNTIFS('MARE MX'!$I:$I,"ENTERPRISE",'MARE MX'!$AJ:$AJ,"Educación",'MARE MX'!$BC:$BC,"*OK*")</f>
        <v>0</v>
      </c>
      <c r="V29" s="610">
        <f>COUNTIFS('MARE MX'!$I:$I,"ENTERPRISE",'MARE MX'!$AJ:$AJ,"Energía",'MARE MX'!$BC:$BC,"*OK*")</f>
        <v>0</v>
      </c>
      <c r="W29" s="610">
        <f>COUNTIFS('MARE MX'!$I:$I,"ENTERPRISE",'MARE MX'!$AJ:$AJ,"Gobierno",'MARE MX'!$BC:$BC,"*OK*")</f>
        <v>0</v>
      </c>
      <c r="X29" s="610">
        <f>COUNTIFS('MARE MX'!$I:$I,"ENTERPRISE",'MARE MX'!$AJ:$AJ,"Logística",'MARE MX'!$BC:$BC,"*OK*")</f>
        <v>0</v>
      </c>
      <c r="Y29" s="610">
        <f>COUNTIFS('MARE MX'!$I:$I,"ENTERPRISE",'MARE MX'!$AJ:$AJ,"Manufactura",'MARE MX'!$BC:$BC,"*OK*")</f>
        <v>0</v>
      </c>
      <c r="Z29" s="610">
        <f>COUNTIFS('MARE MX'!$I:$I,"ENTERPRISE",'MARE MX'!$AJ:$AJ,"Outsourcing",'MARE MX'!$BC:$BC,"*OK*")</f>
        <v>0</v>
      </c>
      <c r="AA29" s="610">
        <f>COUNTIFS('MARE MX'!$I:$I,"ENTERPRISE",'MARE MX'!$AJ:$AJ,"Retail",'MARE MX'!$BC:$BC,"*OK*")</f>
        <v>0</v>
      </c>
      <c r="AB29" s="610">
        <f>COUNTIFS('MARE MX'!$I:$I,"ENTERPRISE",'MARE MX'!$AJ:$AJ,"Salud",'MARE MX'!$BC:$BC,"*OK*")</f>
        <v>0</v>
      </c>
      <c r="AC29" s="610">
        <f>COUNTIFS('MARE MX'!$I:$I,"ENTERPRISE",'MARE MX'!$AJ:$AJ,"Seguridad Privada",'MARE MX'!$BC:$BC,"*OK*")</f>
        <v>0</v>
      </c>
      <c r="AD29" s="610">
        <f>COUNTIFS('MARE MX'!$I:$I,"ENTERPRISE",'MARE MX'!$AJ:$AJ,"Servicios",'MARE MX'!$BC:$BC,"*OK*")</f>
        <v>0</v>
      </c>
      <c r="AE29" s="610">
        <f>COUNTIFS('MARE MX'!$I:$I,"ENTERPRISE",'MARE MX'!$AJ:$AJ,"Tecnología",'MARE MX'!$BC:$BC,"*OK*")</f>
        <v>0</v>
      </c>
      <c r="AF29" s="610">
        <f>COUNTIFS('MARE MX'!$I:$I,"ENTERPRISE",'MARE MX'!$AJ:$AJ,"Transporte",'MARE MX'!$BC:$BC,"*OK*")</f>
        <v>0</v>
      </c>
      <c r="AG29" s="610">
        <f>COUNTIFS('MARE MX'!$I:$I,"ENTERPRISE",'MARE MX'!$AJ:$AJ,"Turismo y Gastronomía",'MARE MX'!$BC:$BC,"*OK*")</f>
        <v>0</v>
      </c>
      <c r="AP29" s="73"/>
      <c r="AQ29" s="73"/>
      <c r="AR29" s="73"/>
      <c r="AS29" s="73"/>
      <c r="AT29" s="73"/>
      <c r="AU29" s="73"/>
      <c r="AV29" s="73"/>
      <c r="AW29" s="73"/>
      <c r="AX29" s="73"/>
      <c r="AY29" s="73"/>
      <c r="AZ29" s="73"/>
      <c r="BA29" s="73"/>
      <c r="BB29" s="73"/>
      <c r="BC29" s="73"/>
    </row>
    <row r="30" spans="1:61" ht="14.25" customHeight="1">
      <c r="A30" s="42" t="s">
        <v>9</v>
      </c>
      <c r="B30" t="s">
        <v>562</v>
      </c>
      <c r="D30" s="43"/>
      <c r="G30" t="s">
        <v>943</v>
      </c>
      <c r="H30">
        <v>5</v>
      </c>
      <c r="J30" s="43">
        <v>1210.5227</v>
      </c>
      <c r="L30" s="610" t="s">
        <v>55</v>
      </c>
      <c r="M30" s="611">
        <f>COUNTIFS('MARE MX'!$I:$I,"ENTERPRISE",'MARE MX'!$BD:$BD,"*OK*")</f>
        <v>1</v>
      </c>
      <c r="N30" s="611">
        <f>COUNTIFS('MARE MX'!$I:$I,"SMB",'MARE MX'!$BD:$BD,"*OK*")</f>
        <v>4</v>
      </c>
      <c r="P30" s="612" t="s">
        <v>55</v>
      </c>
      <c r="Q30" s="610">
        <f>COUNTIFS('MARE MX'!$I:$I,"ENTERPRISE",'MARE MX'!$AJ:$AJ,"Agrícola",'MARE MX'!$BD:$BD,"*OK*")</f>
        <v>0</v>
      </c>
      <c r="R30" s="610">
        <f>COUNTIFS('MARE MX'!$I:$I,"ENTERPRISE",'MARE MX'!$AJ:$AJ,"Automotriz",'MARE MX'!$BD:$BD,"*OK*")</f>
        <v>0</v>
      </c>
      <c r="S30" s="610">
        <f>COUNTIFS('MARE MX'!$I:$I,"ENTERPRISE",'MARE MX'!$AJ:$AJ,"Banca y Finanzas",'MARE MX'!$BD:$BD,"*OK*")</f>
        <v>0</v>
      </c>
      <c r="T30" s="610">
        <f>COUNTIFS('MARE MX'!$I:$I,"ENTERPRISE",'MARE MX'!$AJ:$AJ,"Construcción",'MARE MX'!$BD:$BD,"*OK*")</f>
        <v>0</v>
      </c>
      <c r="U30" s="610">
        <f>COUNTIFS('MARE MX'!$I:$I,"ENTERPRISE",'MARE MX'!$AJ:$AJ,"Educación",'MARE MX'!$BD:$BD,"*OK*")</f>
        <v>0</v>
      </c>
      <c r="V30" s="610">
        <f>COUNTIFS('MARE MX'!$I:$I,"ENTERPRISE",'MARE MX'!$AJ:$AJ,"Energía",'MARE MX'!$BD:$BD,"*OK*")</f>
        <v>0</v>
      </c>
      <c r="W30" s="610">
        <f>COUNTIFS('MARE MX'!$I:$I,"ENTERPRISE",'MARE MX'!$AJ:$AJ,"Gobierno",'MARE MX'!$BD:$BD,"*OK*")</f>
        <v>0</v>
      </c>
      <c r="X30" s="610">
        <f>COUNTIFS('MARE MX'!$I:$I,"ENTERPRISE",'MARE MX'!$AJ:$AJ,"Logística",'MARE MX'!$BD:$BD,"*OK*")</f>
        <v>0</v>
      </c>
      <c r="Y30" s="610">
        <f>COUNTIFS('MARE MX'!$I:$I,"ENTERPRISE",'MARE MX'!$AJ:$AJ,"Manufactura",'MARE MX'!$BD:$BD,"*OK*")</f>
        <v>1</v>
      </c>
      <c r="Z30" s="610">
        <f>COUNTIFS('MARE MX'!$I:$I,"ENTERPRISE",'MARE MX'!$AJ:$AJ,"Outsourcing",'MARE MX'!$BD:$BD,"*OK*")</f>
        <v>0</v>
      </c>
      <c r="AA30" s="610">
        <f>COUNTIFS('MARE MX'!$I:$I,"ENTERPRISE",'MARE MX'!$AJ:$AJ,"Retail",'MARE MX'!$BD:$BD,"*OK*")</f>
        <v>0</v>
      </c>
      <c r="AB30" s="610">
        <f>COUNTIFS('MARE MX'!$I:$I,"ENTERPRISE",'MARE MX'!$AJ:$AJ,"Salud",'MARE MX'!$BD:$BD,"*OK*")</f>
        <v>0</v>
      </c>
      <c r="AC30" s="610">
        <f>COUNTIFS('MARE MX'!$I:$I,"ENTERPRISE",'MARE MX'!$AJ:$AJ,"Seguridad Privada",'MARE MX'!$BD:$BD,"*OK*")</f>
        <v>0</v>
      </c>
      <c r="AD30" s="610">
        <f>COUNTIFS('MARE MX'!$I:$I,"ENTERPRISE",'MARE MX'!$AJ:$AJ,"Servicios",'MARE MX'!$BD:$BD,"*OK*")</f>
        <v>0</v>
      </c>
      <c r="AE30" s="610">
        <f>COUNTIFS('MARE MX'!$I:$I,"ENTERPRISE",'MARE MX'!$AJ:$AJ,"Tecnología",'MARE MX'!$BD:$BD,"*OK*")</f>
        <v>0</v>
      </c>
      <c r="AF30" s="610">
        <f>COUNTIFS('MARE MX'!$I:$I,"ENTERPRISE",'MARE MX'!$AJ:$AJ,"Transporte",'MARE MX'!$BD:$BD,"*OK*")</f>
        <v>0</v>
      </c>
      <c r="AG30" s="610">
        <f>COUNTIFS('MARE MX'!$I:$I,"ENTERPRISE",'MARE MX'!$AJ:$AJ,"Turismo y Gastronomía",'MARE MX'!$BD:$BD,"*OK*")</f>
        <v>0</v>
      </c>
      <c r="AP30" s="73"/>
      <c r="AQ30" s="73"/>
      <c r="AR30" s="73"/>
      <c r="AS30" s="73"/>
      <c r="AT30" s="73"/>
      <c r="AU30" s="73"/>
      <c r="AV30" s="73"/>
      <c r="AW30" s="73"/>
      <c r="AX30" s="73"/>
      <c r="AY30" s="73"/>
      <c r="AZ30" s="73"/>
      <c r="BA30" s="73"/>
      <c r="BB30" s="73"/>
      <c r="BC30" s="73"/>
    </row>
    <row r="31" spans="1:61">
      <c r="A31" s="22"/>
      <c r="D31" s="43"/>
      <c r="G31" t="s">
        <v>96</v>
      </c>
      <c r="H31">
        <v>27</v>
      </c>
      <c r="J31" s="43">
        <v>5235.6856999999991</v>
      </c>
      <c r="L31" s="610" t="s">
        <v>56</v>
      </c>
      <c r="M31" s="611">
        <f>COUNTIFS('MARE MX'!$I:$I,"ENTERPRISE",'MARE MX'!$BE:$BE,"*OK*")</f>
        <v>0</v>
      </c>
      <c r="N31" s="611">
        <f>COUNTIFS('MARE MX'!$I:$I,"SMB",'MARE MX'!$BE:$BE,"*OK*")</f>
        <v>0</v>
      </c>
      <c r="P31" s="612" t="s">
        <v>56</v>
      </c>
      <c r="Q31" s="610">
        <f>COUNTIFS('MARE MX'!$I:$I,"ENTERPRISE",'MARE MX'!$AJ:$AJ,"Agrícola",'MARE MX'!$BE:$BE,"*OK*")</f>
        <v>0</v>
      </c>
      <c r="R31" s="610">
        <f>COUNTIFS('MARE MX'!$I:$I,"ENTERPRISE",'MARE MX'!$AJ:$AJ,"Automotriz",'MARE MX'!$BE:$BE,"*OK*")</f>
        <v>0</v>
      </c>
      <c r="S31" s="610">
        <f>COUNTIFS('MARE MX'!$I:$I,"ENTERPRISE",'MARE MX'!$AJ:$AJ,"Banca y Finanzas",'MARE MX'!$BE:$BE,"*OK*")</f>
        <v>0</v>
      </c>
      <c r="T31" s="610">
        <f>COUNTIFS('MARE MX'!$I:$I,"ENTERPRISE",'MARE MX'!$AJ:$AJ,"Construcción",'MARE MX'!$BE:$BE,"*OK*")</f>
        <v>0</v>
      </c>
      <c r="U31" s="610">
        <f>COUNTIFS('MARE MX'!$I:$I,"ENTERPRISE",'MARE MX'!$AJ:$AJ,"Educación",'MARE MX'!$BE:$BE,"*OK*")</f>
        <v>0</v>
      </c>
      <c r="V31" s="610">
        <f>COUNTIFS('MARE MX'!$I:$I,"ENTERPRISE",'MARE MX'!$AJ:$AJ,"Energía",'MARE MX'!$BE:$BE,"*OK*")</f>
        <v>0</v>
      </c>
      <c r="W31" s="610">
        <f>COUNTIFS('MARE MX'!$I:$I,"ENTERPRISE",'MARE MX'!$AJ:$AJ,"Gobierno",'MARE MX'!$BE:$BE,"*OK*")</f>
        <v>0</v>
      </c>
      <c r="X31" s="610">
        <f>COUNTIFS('MARE MX'!$I:$I,"ENTERPRISE",'MARE MX'!$AJ:$AJ,"Logística",'MARE MX'!$BE:$BE,"*OK*")</f>
        <v>0</v>
      </c>
      <c r="Y31" s="610">
        <f>COUNTIFS('MARE MX'!$I:$I,"ENTERPRISE",'MARE MX'!$AJ:$AJ,"Manufactura",'MARE MX'!$BE:$BE,"*OK*")</f>
        <v>0</v>
      </c>
      <c r="Z31" s="610">
        <f>COUNTIFS('MARE MX'!$I:$I,"ENTERPRISE",'MARE MX'!$AJ:$AJ,"Outsourcing",'MARE MX'!$BE:$BE,"*OK*")</f>
        <v>0</v>
      </c>
      <c r="AA31" s="610">
        <f>COUNTIFS('MARE MX'!$I:$I,"ENTERPRISE",'MARE MX'!$AJ:$AJ,"Retail",'MARE MX'!$BE:$BE,"*OK*")</f>
        <v>0</v>
      </c>
      <c r="AB31" s="610">
        <f>COUNTIFS('MARE MX'!$I:$I,"ENTERPRISE",'MARE MX'!$AJ:$AJ,"Salud",'MARE MX'!$BE:$BE,"*OK*")</f>
        <v>0</v>
      </c>
      <c r="AC31" s="610">
        <f>COUNTIFS('MARE MX'!$I:$I,"ENTERPRISE",'MARE MX'!$AJ:$AJ,"Seguridad Privada",'MARE MX'!$BE:$BE,"*OK*")</f>
        <v>0</v>
      </c>
      <c r="AD31" s="610">
        <f>COUNTIFS('MARE MX'!$I:$I,"ENTERPRISE",'MARE MX'!$AJ:$AJ,"Servicios",'MARE MX'!$BE:$BE,"*OK*")</f>
        <v>0</v>
      </c>
      <c r="AE31" s="610">
        <f>COUNTIFS('MARE MX'!$I:$I,"ENTERPRISE",'MARE MX'!$AJ:$AJ,"Tecnología",'MARE MX'!$BE:$BE,"*OK*")</f>
        <v>0</v>
      </c>
      <c r="AF31" s="610">
        <f>COUNTIFS('MARE MX'!$I:$I,"ENTERPRISE",'MARE MX'!$AJ:$AJ,"Transporte",'MARE MX'!$BE:$BE,"*OK*")</f>
        <v>0</v>
      </c>
      <c r="AG31" s="610">
        <f>COUNTIFS('MARE MX'!$I:$I,"ENTERPRISE",'MARE MX'!$AJ:$AJ,"Turismo y Gastronomía",'MARE MX'!$BE:$BE,"*OK*")</f>
        <v>0</v>
      </c>
      <c r="AJ31" s="882" t="s">
        <v>2844</v>
      </c>
      <c r="AK31" s="882"/>
      <c r="AL31" s="882"/>
      <c r="AM31" s="882"/>
      <c r="AN31" s="882"/>
      <c r="AP31" s="882" t="s">
        <v>2845</v>
      </c>
      <c r="AQ31" s="882"/>
      <c r="AR31" s="882"/>
      <c r="AS31" s="882"/>
      <c r="AT31" s="882"/>
      <c r="AU31" s="882"/>
      <c r="AV31" s="882"/>
      <c r="AW31" s="73"/>
      <c r="AX31" s="880" t="s">
        <v>2846</v>
      </c>
      <c r="AY31" s="880"/>
      <c r="AZ31" s="880"/>
      <c r="BA31" s="880"/>
      <c r="BB31" s="880"/>
      <c r="BC31" s="880"/>
      <c r="BE31" s="881" t="s">
        <v>2847</v>
      </c>
      <c r="BF31" s="881"/>
      <c r="BG31" s="72"/>
    </row>
    <row r="32" spans="1:61" s="22" customFormat="1" ht="45.2">
      <c r="A32" s="45" t="s">
        <v>13</v>
      </c>
      <c r="B32" s="22" t="s">
        <v>2835</v>
      </c>
      <c r="C32" s="22" t="s">
        <v>2836</v>
      </c>
      <c r="D32" s="46" t="s">
        <v>2837</v>
      </c>
      <c r="F32"/>
      <c r="G32" t="s">
        <v>803</v>
      </c>
      <c r="H32">
        <v>2</v>
      </c>
      <c r="I32"/>
      <c r="J32" s="43">
        <v>386.09949999999998</v>
      </c>
      <c r="L32" s="610" t="s">
        <v>57</v>
      </c>
      <c r="M32" s="611">
        <f>COUNTIFS('MARE MX'!$I:$I,"ENTERPRISE",'MARE MX'!$BF:$BF,"*OK*")</f>
        <v>0</v>
      </c>
      <c r="N32" s="611">
        <f>COUNTIFS('MARE MX'!$I:$I,"SMB",'MARE MX'!$BF:$BF,"*OK*")</f>
        <v>0</v>
      </c>
      <c r="P32" s="612" t="s">
        <v>57</v>
      </c>
      <c r="Q32" s="610">
        <f>COUNTIFS('MARE MX'!$I:$I,"ENTERPRISE",'MARE MX'!$AJ:$AJ,"Agrícola",'MARE MX'!$BF:$BF,"*OK*")</f>
        <v>0</v>
      </c>
      <c r="R32" s="610">
        <f>COUNTIFS('MARE MX'!$I:$I,"ENTERPRISE",'MARE MX'!$AJ:$AJ,"Automotriz",'MARE MX'!$BF:$BF,"*OK*")</f>
        <v>0</v>
      </c>
      <c r="S32" s="610">
        <f>COUNTIFS('MARE MX'!$I:$I,"ENTERPRISE",'MARE MX'!$AJ:$AJ,"Banca y Finanzas",'MARE MX'!$BF:$BF,"*OK*")</f>
        <v>0</v>
      </c>
      <c r="T32" s="610">
        <f>COUNTIFS('MARE MX'!$I:$I,"ENTERPRISE",'MARE MX'!$AJ:$AJ,"Construcción",'MARE MX'!$BF:$BF,"*OK*")</f>
        <v>0</v>
      </c>
      <c r="U32" s="610">
        <f>COUNTIFS('MARE MX'!$I:$I,"ENTERPRISE",'MARE MX'!$AJ:$AJ,"Educación",'MARE MX'!$BF:$BF,"*OK*")</f>
        <v>0</v>
      </c>
      <c r="V32" s="610">
        <f>COUNTIFS('MARE MX'!$I:$I,"ENTERPRISE",'MARE MX'!$AJ:$AJ,"Energía",'MARE MX'!$BF:$BF,"*OK*")</f>
        <v>0</v>
      </c>
      <c r="W32" s="610">
        <f>COUNTIFS('MARE MX'!$I:$I,"ENTERPRISE",'MARE MX'!$AJ:$AJ,"Gobierno",'MARE MX'!$BF:$BF,"*OK*")</f>
        <v>0</v>
      </c>
      <c r="X32" s="610">
        <f>COUNTIFS('MARE MX'!$I:$I,"ENTERPRISE",'MARE MX'!$AJ:$AJ,"Logística",'MARE MX'!$BF:$BF,"*OK*")</f>
        <v>0</v>
      </c>
      <c r="Y32" s="610">
        <f>COUNTIFS('MARE MX'!$I:$I,"ENTERPRISE",'MARE MX'!$AJ:$AJ,"Manufactura",'MARE MX'!$BF:$BF,"*OK*")</f>
        <v>0</v>
      </c>
      <c r="Z32" s="610">
        <f>COUNTIFS('MARE MX'!$I:$I,"ENTERPRISE",'MARE MX'!$AJ:$AJ,"Outsourcing",'MARE MX'!$BF:$BF,"*OK*")</f>
        <v>0</v>
      </c>
      <c r="AA32" s="610">
        <f>COUNTIFS('MARE MX'!$I:$I,"ENTERPRISE",'MARE MX'!$AJ:$AJ,"Retail",'MARE MX'!$BF:$BF,"*OK*")</f>
        <v>0</v>
      </c>
      <c r="AB32" s="610">
        <f>COUNTIFS('MARE MX'!$I:$I,"ENTERPRISE",'MARE MX'!$AJ:$AJ,"Salud",'MARE MX'!$BF:$BF,"*OK*")</f>
        <v>0</v>
      </c>
      <c r="AC32" s="610">
        <f>COUNTIFS('MARE MX'!$I:$I,"ENTERPRISE",'MARE MX'!$AJ:$AJ,"Seguridad Privada",'MARE MX'!$BF:$BF,"*OK*")</f>
        <v>0</v>
      </c>
      <c r="AD32" s="610">
        <f>COUNTIFS('MARE MX'!$I:$I,"ENTERPRISE",'MARE MX'!$AJ:$AJ,"Servicios",'MARE MX'!$BF:$BF,"*OK*")</f>
        <v>0</v>
      </c>
      <c r="AE32" s="610">
        <f>COUNTIFS('MARE MX'!$I:$I,"ENTERPRISE",'MARE MX'!$AJ:$AJ,"Tecnología",'MARE MX'!$BF:$BF,"*OK*")</f>
        <v>0</v>
      </c>
      <c r="AF32" s="610">
        <f>COUNTIFS('MARE MX'!$I:$I,"ENTERPRISE",'MARE MX'!$AJ:$AJ,"Transporte",'MARE MX'!$BF:$BF,"*OK*")</f>
        <v>0</v>
      </c>
      <c r="AG32" s="610">
        <f>COUNTIFS('MARE MX'!$I:$I,"ENTERPRISE",'MARE MX'!$AJ:$AJ,"Turismo y Gastronomía",'MARE MX'!$BF:$BF,"*OK*")</f>
        <v>0</v>
      </c>
      <c r="AJ32" s="71" t="s">
        <v>2832</v>
      </c>
      <c r="AK32" s="71" t="s">
        <v>76</v>
      </c>
      <c r="AL32" s="71" t="s">
        <v>2833</v>
      </c>
      <c r="AM32" s="71" t="s">
        <v>562</v>
      </c>
      <c r="AN32" s="71" t="s">
        <v>2834</v>
      </c>
      <c r="AO32"/>
      <c r="AP32" s="74" t="s">
        <v>2832</v>
      </c>
      <c r="AQ32" s="74" t="s">
        <v>73</v>
      </c>
      <c r="AR32" s="74" t="s">
        <v>439</v>
      </c>
      <c r="AS32" s="74" t="s">
        <v>93</v>
      </c>
      <c r="AT32" s="74" t="s">
        <v>782</v>
      </c>
      <c r="AU32" s="74" t="s">
        <v>2526</v>
      </c>
      <c r="AV32" s="74" t="s">
        <v>2805</v>
      </c>
      <c r="AW32" s="73"/>
      <c r="AX32" s="78" t="s">
        <v>2832</v>
      </c>
      <c r="AY32" s="78" t="s">
        <v>73</v>
      </c>
      <c r="AZ32" s="78" t="s">
        <v>439</v>
      </c>
      <c r="BA32" s="78" t="s">
        <v>93</v>
      </c>
      <c r="BB32" s="78" t="s">
        <v>782</v>
      </c>
      <c r="BC32" s="78" t="s">
        <v>2805</v>
      </c>
      <c r="BE32" s="608" t="s">
        <v>2838</v>
      </c>
      <c r="BF32" s="608" t="s">
        <v>76</v>
      </c>
      <c r="BG32" s="608" t="s">
        <v>2848</v>
      </c>
      <c r="BH32" s="608" t="s">
        <v>562</v>
      </c>
      <c r="BI32" s="608" t="s">
        <v>2848</v>
      </c>
    </row>
    <row r="33" spans="1:61" ht="14.25" customHeight="1">
      <c r="A33" t="s">
        <v>167</v>
      </c>
      <c r="B33">
        <v>22</v>
      </c>
      <c r="D33" s="43">
        <v>5430.0419999999995</v>
      </c>
      <c r="G33" t="s">
        <v>787</v>
      </c>
      <c r="H33">
        <v>2</v>
      </c>
      <c r="J33" s="43">
        <v>0</v>
      </c>
      <c r="L33" s="610" t="s">
        <v>58</v>
      </c>
      <c r="M33" s="611">
        <f>COUNTIFS('MARE MX'!$I:$I,"ENTERPRISE",'MARE MX'!$BG:$BG,"*OK*")</f>
        <v>0</v>
      </c>
      <c r="N33" s="611">
        <f>COUNTIFS('MARE MX'!$I:$I,"SMB",'MARE MX'!$BG:$BG,"*OK*")</f>
        <v>0</v>
      </c>
      <c r="P33" s="612" t="s">
        <v>58</v>
      </c>
      <c r="Q33" s="610">
        <f>COUNTIFS('MARE MX'!$I:$I,"ENTERPRISE",'MARE MX'!$AJ:$AJ,"Agrícola",'MARE MX'!$BG:$BG,"*OK*")</f>
        <v>0</v>
      </c>
      <c r="R33" s="610">
        <f>COUNTIFS('MARE MX'!$I:$I,"ENTERPRISE",'MARE MX'!$AJ:$AJ,"Automotriz",'MARE MX'!$BG:$BG,"*OK*")</f>
        <v>0</v>
      </c>
      <c r="S33" s="610">
        <f>COUNTIFS('MARE MX'!$I:$I,"ENTERPRISE",'MARE MX'!$AJ:$AJ,"Banca y Finanzas",'MARE MX'!$BG:$BG,"*OK*")</f>
        <v>0</v>
      </c>
      <c r="T33" s="610">
        <f>COUNTIFS('MARE MX'!$I:$I,"ENTERPRISE",'MARE MX'!$AJ:$AJ,"Construcción",'MARE MX'!$BG:$BG,"*OK*")</f>
        <v>0</v>
      </c>
      <c r="U33" s="610">
        <f>COUNTIFS('MARE MX'!$I:$I,"ENTERPRISE",'MARE MX'!$AJ:$AJ,"Educación",'MARE MX'!$BG:$BG,"*OK*")</f>
        <v>0</v>
      </c>
      <c r="V33" s="610">
        <f>COUNTIFS('MARE MX'!$I:$I,"ENTERPRISE",'MARE MX'!$AJ:$AJ,"Energía",'MARE MX'!$BG:$BG,"*OK*")</f>
        <v>0</v>
      </c>
      <c r="W33" s="610">
        <f>COUNTIFS('MARE MX'!$I:$I,"ENTERPRISE",'MARE MX'!$AJ:$AJ,"Gobierno",'MARE MX'!$BG:$BG,"*OK*")</f>
        <v>0</v>
      </c>
      <c r="X33" s="610">
        <f>COUNTIFS('MARE MX'!$I:$I,"ENTERPRISE",'MARE MX'!$AJ:$AJ,"Logística",'MARE MX'!$BG:$BG,"*OK*")</f>
        <v>0</v>
      </c>
      <c r="Y33" s="610">
        <f>COUNTIFS('MARE MX'!$I:$I,"ENTERPRISE",'MARE MX'!$AJ:$AJ,"Manufactura",'MARE MX'!$BG:$BG,"*OK*")</f>
        <v>0</v>
      </c>
      <c r="Z33" s="610">
        <f>COUNTIFS('MARE MX'!$I:$I,"ENTERPRISE",'MARE MX'!$AJ:$AJ,"Outsourcing",'MARE MX'!$BG:$BG,"*OK*")</f>
        <v>0</v>
      </c>
      <c r="AA33" s="610">
        <f>COUNTIFS('MARE MX'!$I:$I,"ENTERPRISE",'MARE MX'!$AJ:$AJ,"Retail",'MARE MX'!$BG:$BG,"*OK*")</f>
        <v>0</v>
      </c>
      <c r="AB33" s="610">
        <f>COUNTIFS('MARE MX'!$I:$I,"ENTERPRISE",'MARE MX'!$AJ:$AJ,"Salud",'MARE MX'!$BG:$BG,"*OK*")</f>
        <v>0</v>
      </c>
      <c r="AC33" s="610">
        <f>COUNTIFS('MARE MX'!$I:$I,"ENTERPRISE",'MARE MX'!$AJ:$AJ,"Seguridad Privada",'MARE MX'!$BG:$BG,"*OK*")</f>
        <v>0</v>
      </c>
      <c r="AD33" s="610">
        <f>COUNTIFS('MARE MX'!$I:$I,"ENTERPRISE",'MARE MX'!$AJ:$AJ,"Servicios",'MARE MX'!$BG:$BG,"*OK*")</f>
        <v>0</v>
      </c>
      <c r="AE33" s="610">
        <f>COUNTIFS('MARE MX'!$I:$I,"ENTERPRISE",'MARE MX'!$AJ:$AJ,"Tecnología",'MARE MX'!$BG:$BG,"*OK*")</f>
        <v>0</v>
      </c>
      <c r="AF33" s="610">
        <f>COUNTIFS('MARE MX'!$I:$I,"ENTERPRISE",'MARE MX'!$AJ:$AJ,"Transporte",'MARE MX'!$BG:$BG,"*OK*")</f>
        <v>0</v>
      </c>
      <c r="AG33" s="610">
        <f>COUNTIFS('MARE MX'!$I:$I,"ENTERPRISE",'MARE MX'!$AJ:$AJ,"Turismo y Gastronomía",'MARE MX'!$BG:$BG,"*OK*")</f>
        <v>0</v>
      </c>
      <c r="AJ33">
        <v>0</v>
      </c>
      <c r="AK33">
        <f>COUNTIFS('MARE MX'!$I:$I,"ENTERPRISE",'MARE MX'!$CN:$CN,0)</f>
        <v>91</v>
      </c>
      <c r="AL33" s="56">
        <f>AK33/$AK$24</f>
        <v>0.66423357664233573</v>
      </c>
      <c r="AM33">
        <f>COUNTIFS('MARE MX'!$I:$I,"SMB",'MARE MX'!$CN:$CN,0)</f>
        <v>291</v>
      </c>
      <c r="AN33" s="56">
        <f>AM33/$AM$24</f>
        <v>0.81971830985915495</v>
      </c>
      <c r="AP33" s="75">
        <v>0</v>
      </c>
      <c r="AQ33" s="75">
        <f>COUNTIFS('MARE MX'!I:I,"ENTERPRISE",'MARE MX'!E:E,"Dafne de la Rosa",'MARE MX'!CN:CN,0)</f>
        <v>42</v>
      </c>
      <c r="AR33" s="75">
        <f>COUNTIFS('MARE MX'!I:I,"ENTERPRISE",'MARE MX'!E:E,"Karla Patiño",'MARE MX'!CN:CN,0)</f>
        <v>4</v>
      </c>
      <c r="AS33" s="75">
        <f>COUNTIFS('MARE MX'!I:I,"ENTERPRISE",'MARE MX'!E:E,"Raúl Campos",'MARE MX'!CN:CN,0)</f>
        <v>42</v>
      </c>
      <c r="AT33" s="75">
        <f>COUNTIFS('MARE MX'!I:I,"ENTERPRISE",'MARE MX'!E:E,"No Asignado",'MARE MX'!CN:CN,0)</f>
        <v>2</v>
      </c>
      <c r="AU33" s="75">
        <f>COUNTIFS('MARE MX'!I:I,"ENTERPRISE",'MARE MX'!E:E,"Implementando",'MARE MX'!CN:CN,0)</f>
        <v>0</v>
      </c>
      <c r="AV33" s="75">
        <f>SUM(AQ33:AU33)</f>
        <v>90</v>
      </c>
      <c r="AW33" s="73"/>
      <c r="AX33" s="73">
        <v>0</v>
      </c>
      <c r="AY33" s="79">
        <f>COUNTIFS('MARE MX'!$I:$I,"SMB",'MARE MX'!$E:$E,"Dafne de la Rosa",'MARE MX'!$CN:$CN,0)</f>
        <v>48</v>
      </c>
      <c r="AZ33" s="79">
        <f>COUNTIFS('MARE MX'!$I:$I,"SMB",'MARE MX'!$E:$E,"Karla Patiño",'MARE MX'!$CN:$CN,0)</f>
        <v>113</v>
      </c>
      <c r="BA33" s="79">
        <f>COUNTIFS('MARE MX'!$I:$I,"SMB",'MARE MX'!$E:$E,"Raúl Campos",'MARE MX'!$CN:$CN,0)</f>
        <v>9</v>
      </c>
      <c r="BB33" s="79">
        <f>COUNTIFS('MARE MX'!$I:$I,"SMB",'MARE MX'!$E:$E,"No Asignado",'MARE MX'!$CN:$CN,0)</f>
        <v>121</v>
      </c>
      <c r="BC33" s="79">
        <f>SUM(AY33:BB33)</f>
        <v>291</v>
      </c>
      <c r="BE33" s="610" t="s">
        <v>45</v>
      </c>
      <c r="BF33" s="611">
        <f>COUNTIFS('MARE MX'!$I:$I,"ENTERPRISE",'MARE MX'!$AT:$AT,"*OP*")</f>
        <v>9</v>
      </c>
      <c r="BG33" s="613">
        <f>BF33/$BF$49</f>
        <v>0.12676056338028169</v>
      </c>
      <c r="BH33" s="611">
        <f>COUNTIFS('MARE MX'!$I:$I,"SMB",'MARE MX'!$AT:$AT,"*OP*")</f>
        <v>5</v>
      </c>
      <c r="BI33" s="613">
        <f>BH33/$BH$49</f>
        <v>0.10204081632653061</v>
      </c>
    </row>
    <row r="34" spans="1:61" ht="14.25" customHeight="1">
      <c r="A34" t="s">
        <v>1652</v>
      </c>
      <c r="B34">
        <v>1</v>
      </c>
      <c r="D34" s="43">
        <v>142.02889999999999</v>
      </c>
      <c r="G34" t="s">
        <v>2841</v>
      </c>
      <c r="H34">
        <v>6</v>
      </c>
      <c r="J34" s="43">
        <v>1650.1166999999998</v>
      </c>
      <c r="L34" s="610" t="s">
        <v>59</v>
      </c>
      <c r="M34" s="611">
        <f>COUNTIFS('MARE MX'!$I:$I,"ENTERPRISE",'MARE MX'!$BH:$BH,"*OK*")</f>
        <v>0</v>
      </c>
      <c r="N34" s="611">
        <f>COUNTIFS('MARE MX'!$I:$I,"SMB",'MARE MX'!$BH:$BH,"*OK*")</f>
        <v>1</v>
      </c>
      <c r="P34" s="612" t="s">
        <v>59</v>
      </c>
      <c r="Q34" s="610">
        <f>COUNTIFS('MARE MX'!$I:$I,"ENTERPRISE",'MARE MX'!$AJ:$AJ,"Agrícola",'MARE MX'!$BH:$BH,"*OK*")</f>
        <v>0</v>
      </c>
      <c r="R34" s="610">
        <f>COUNTIFS('MARE MX'!$I:$I,"ENTERPRISE",'MARE MX'!$AJ:$AJ,"Automotriz",'MARE MX'!$BH:$BH,"*OK*")</f>
        <v>0</v>
      </c>
      <c r="S34" s="610">
        <f>COUNTIFS('MARE MX'!$I:$I,"ENTERPRISE",'MARE MX'!$AJ:$AJ,"Banca y Finanzas",'MARE MX'!$BH:$BH,"*OK*")</f>
        <v>0</v>
      </c>
      <c r="T34" s="610">
        <f>COUNTIFS('MARE MX'!$I:$I,"ENTERPRISE",'MARE MX'!$AJ:$AJ,"Construcción",'MARE MX'!$BH:$BH,"*OK*")</f>
        <v>0</v>
      </c>
      <c r="U34" s="610">
        <f>COUNTIFS('MARE MX'!$I:$I,"ENTERPRISE",'MARE MX'!$AJ:$AJ,"Educación",'MARE MX'!$BH:$BH,"*OK*")</f>
        <v>0</v>
      </c>
      <c r="V34" s="610">
        <f>COUNTIFS('MARE MX'!$I:$I,"ENTERPRISE",'MARE MX'!$AJ:$AJ,"Energía",'MARE MX'!$BH:$BH,"*OK*")</f>
        <v>0</v>
      </c>
      <c r="W34" s="610">
        <f>COUNTIFS('MARE MX'!$I:$I,"ENTERPRISE",'MARE MX'!$AJ:$AJ,"Gobierno",'MARE MX'!$BH:$BH,"*OK*")</f>
        <v>0</v>
      </c>
      <c r="X34" s="610">
        <f>COUNTIFS('MARE MX'!$I:$I,"ENTERPRISE",'MARE MX'!$AJ:$AJ,"Logística",'MARE MX'!$BH:$BH,"*OK*")</f>
        <v>0</v>
      </c>
      <c r="Y34" s="610">
        <f>COUNTIFS('MARE MX'!$I:$I,"ENTERPRISE",'MARE MX'!$AJ:$AJ,"Manufactura",'MARE MX'!$BH:$BH,"*OK*")</f>
        <v>0</v>
      </c>
      <c r="Z34" s="610">
        <f>COUNTIFS('MARE MX'!$I:$I,"ENTERPRISE",'MARE MX'!$AJ:$AJ,"Outsourcing",'MARE MX'!$BH:$BH,"*OK*")</f>
        <v>0</v>
      </c>
      <c r="AA34" s="610">
        <f>COUNTIFS('MARE MX'!$I:$I,"ENTERPRISE",'MARE MX'!$AJ:$AJ,"Retail",'MARE MX'!$BH:$BH,"*OK*")</f>
        <v>0</v>
      </c>
      <c r="AB34" s="610">
        <f>COUNTIFS('MARE MX'!$I:$I,"ENTERPRISE",'MARE MX'!$AJ:$AJ,"Salud",'MARE MX'!$BH:$BH,"*OK*")</f>
        <v>0</v>
      </c>
      <c r="AC34" s="610">
        <f>COUNTIFS('MARE MX'!$I:$I,"ENTERPRISE",'MARE MX'!$AJ:$AJ,"Seguridad Privada",'MARE MX'!$BH:$BH,"*OK*")</f>
        <v>0</v>
      </c>
      <c r="AD34" s="610">
        <f>COUNTIFS('MARE MX'!$I:$I,"ENTERPRISE",'MARE MX'!$AJ:$AJ,"Servicios",'MARE MX'!$BH:$BH,"*OK*")</f>
        <v>0</v>
      </c>
      <c r="AE34" s="610">
        <f>COUNTIFS('MARE MX'!$I:$I,"ENTERPRISE",'MARE MX'!$AJ:$AJ,"Tecnología",'MARE MX'!$BH:$BH,"*OK*")</f>
        <v>0</v>
      </c>
      <c r="AF34" s="610">
        <f>COUNTIFS('MARE MX'!$I:$I,"ENTERPRISE",'MARE MX'!$AJ:$AJ,"Transporte",'MARE MX'!$BH:$BH,"*OK*")</f>
        <v>0</v>
      </c>
      <c r="AG34" s="610">
        <f>COUNTIFS('MARE MX'!$I:$I,"ENTERPRISE",'MARE MX'!$AJ:$AJ,"Turismo y Gastronomía",'MARE MX'!$BH:$BH,"*OK*")</f>
        <v>0</v>
      </c>
      <c r="AJ34">
        <v>1</v>
      </c>
      <c r="AK34">
        <f>COUNTIFS('MARE MX'!$I:$I,"ENTERPRISE",'MARE MX'!$CN:$CN,1)</f>
        <v>17</v>
      </c>
      <c r="AL34" s="56">
        <f t="shared" ref="AL34:AL37" si="10">AK34/$AK$24</f>
        <v>0.12408759124087591</v>
      </c>
      <c r="AM34">
        <f>COUNTIFS('MARE MX'!$I:$I,"SMB",'MARE MX'!$CN:$CN,1)</f>
        <v>26</v>
      </c>
      <c r="AN34" s="56">
        <f t="shared" ref="AN34:AN37" si="11">AM34/$AM$24</f>
        <v>7.3239436619718309E-2</v>
      </c>
      <c r="AP34" s="76">
        <v>1</v>
      </c>
      <c r="AQ34" s="76">
        <f>COUNTIFS('MARE MX'!I:I,"ENTERPRISE",'MARE MX'!E:E,"Dafne de la Rosa",'MARE MX'!CN:CN,1)</f>
        <v>5</v>
      </c>
      <c r="AR34" s="76">
        <f>COUNTIFS('MARE MX'!I:I,"ENTERPRISE",'MARE MX'!E:E,"Karla Patiño",'MARE MX'!CN:CN,1)</f>
        <v>1</v>
      </c>
      <c r="AS34" s="76">
        <f>COUNTIFS('MARE MX'!I:I,"ENTERPRISE",'MARE MX'!E:E,"Raúl Campos",'MARE MX'!CN:CN,1)</f>
        <v>11</v>
      </c>
      <c r="AT34" s="76">
        <f>COUNTIFS('MARE MX'!I:I,"ENTERPRISE",'MARE MX'!E:E,"No Asignado",'MARE MX'!CN:CN,1)</f>
        <v>0</v>
      </c>
      <c r="AU34" s="76">
        <f>COUNTIFS('MARE MX'!I:I,"ENTERPRISE",'MARE MX'!E:E,"Implementando",'MARE MX'!CN:CN,1)</f>
        <v>0</v>
      </c>
      <c r="AV34" s="76">
        <f>SUM(AQ34:AU34)</f>
        <v>17</v>
      </c>
      <c r="AW34" s="73"/>
      <c r="AX34" s="73">
        <v>1</v>
      </c>
      <c r="AY34" s="73">
        <f>COUNTIFS('MARE MX'!$I:$I,"SMB",'MARE MX'!$E:$E,"Dafne de la Rosa",'MARE MX'!$CN:$CN,1)</f>
        <v>1</v>
      </c>
      <c r="AZ34" s="73">
        <f>COUNTIFS('MARE MX'!$I:$I,"SMB",'MARE MX'!$E:$E,"Karla Patiño",'MARE MX'!$CN:$CN,1)</f>
        <v>21</v>
      </c>
      <c r="BA34" s="73">
        <f>COUNTIFS('MARE MX'!$I:$I,"SMB",'MARE MX'!$E:$E,"Raúl Campos",'MARE MX'!$CN:$CN,1)</f>
        <v>1</v>
      </c>
      <c r="BB34" s="73">
        <f>COUNTIFS('MARE MX'!$I:$I,"SMB",'MARE MX'!$E:$E,"No Asignado",'MARE MX'!$CN:$CN,1)</f>
        <v>3</v>
      </c>
      <c r="BC34" s="73">
        <f>SUM(AY34:BB34)</f>
        <v>26</v>
      </c>
      <c r="BE34" s="610" t="s">
        <v>46</v>
      </c>
      <c r="BF34" s="611">
        <f>COUNTIFS('MARE MX'!$I:$I,"ENTERPRISE",'MARE MX'!$AU:$AU,"*OP*")</f>
        <v>10</v>
      </c>
      <c r="BG34" s="613">
        <f t="shared" ref="BG34:BG47" si="12">BF34/$BF$49</f>
        <v>0.14084507042253522</v>
      </c>
      <c r="BH34" s="611">
        <f>COUNTIFS('MARE MX'!$I:$I,"SMB",'MARE MX'!$AU:$AU,"*OP*")</f>
        <v>6</v>
      </c>
      <c r="BI34" s="613">
        <f t="shared" ref="BI34:BI47" si="13">BH34/$BH$49</f>
        <v>0.12244897959183673</v>
      </c>
    </row>
    <row r="35" spans="1:61">
      <c r="A35" t="s">
        <v>77</v>
      </c>
      <c r="B35">
        <v>31</v>
      </c>
      <c r="D35" s="43">
        <v>6174.6441999999988</v>
      </c>
      <c r="G35" t="s">
        <v>525</v>
      </c>
      <c r="H35">
        <v>3</v>
      </c>
      <c r="I35">
        <v>3</v>
      </c>
      <c r="J35" s="43">
        <v>546.95180000000005</v>
      </c>
      <c r="L35" s="614" t="s">
        <v>60</v>
      </c>
      <c r="M35" s="615">
        <f>COUNTIFS('MARE MX'!$I:$I,"ENTERPRISE",'MARE MX'!$BI:$BI,"*OK*")</f>
        <v>1</v>
      </c>
      <c r="N35" s="615">
        <f>COUNTIFS('MARE MX'!$I:$I,"SMB",'MARE MX'!$BI:$BI,"*OK*")</f>
        <v>1</v>
      </c>
      <c r="P35" s="612" t="s">
        <v>60</v>
      </c>
      <c r="Q35" s="610">
        <f>COUNTIFS('MARE MX'!$I:$I,"ENTERPRISE",'MARE MX'!$AJ:$AJ,"Agrícola",'MARE MX'!$BI:$BI,"*OK*")</f>
        <v>0</v>
      </c>
      <c r="R35" s="610">
        <f>COUNTIFS('MARE MX'!$I:$I,"ENTERPRISE",'MARE MX'!$AJ:$AJ,"Automotriz",'MARE MX'!$BI:$BI,"*OK*")</f>
        <v>0</v>
      </c>
      <c r="S35" s="610">
        <f>COUNTIFS('MARE MX'!$I:$I,"ENTERPRISE",'MARE MX'!$AJ:$AJ,"Banca y Finanzas",'MARE MX'!$BI:$BI,"*OK*")</f>
        <v>0</v>
      </c>
      <c r="T35" s="610">
        <f>COUNTIFS('MARE MX'!$I:$I,"ENTERPRISE",'MARE MX'!$AJ:$AJ,"Construcción",'MARE MX'!$BI:$BI,"*OK*")</f>
        <v>0</v>
      </c>
      <c r="U35" s="610">
        <f>COUNTIFS('MARE MX'!$I:$I,"ENTERPRISE",'MARE MX'!$AJ:$AJ,"Educación",'MARE MX'!$BI:$BI,"*OK*")</f>
        <v>0</v>
      </c>
      <c r="V35" s="610">
        <f>COUNTIFS('MARE MX'!$I:$I,"ENTERPRISE",'MARE MX'!$AJ:$AJ,"Energía",'MARE MX'!$BI:$BI,"*OK*")</f>
        <v>0</v>
      </c>
      <c r="W35" s="610">
        <f>COUNTIFS('MARE MX'!$I:$I,"ENTERPRISE",'MARE MX'!$AJ:$AJ,"Gobierno",'MARE MX'!$BI:$BI,"*OK*")</f>
        <v>0</v>
      </c>
      <c r="X35" s="610">
        <f>COUNTIFS('MARE MX'!$I:$I,"ENTERPRISE",'MARE MX'!$AJ:$AJ,"Logística",'MARE MX'!$BI:$BI,"*OK*")</f>
        <v>0</v>
      </c>
      <c r="Y35" s="610">
        <f>COUNTIFS('MARE MX'!$I:$I,"ENTERPRISE",'MARE MX'!$AJ:$AJ,"Manufactura",'MARE MX'!$BI:$BI,"*OK*")</f>
        <v>1</v>
      </c>
      <c r="Z35" s="610">
        <f>COUNTIFS('MARE MX'!$I:$I,"ENTERPRISE",'MARE MX'!$AJ:$AJ,"Outsourcing",'MARE MX'!$BI:$BI,"*OK*")</f>
        <v>0</v>
      </c>
      <c r="AA35" s="610">
        <f>COUNTIFS('MARE MX'!$I:$I,"ENTERPRISE",'MARE MX'!$AJ:$AJ,"Retail",'MARE MX'!$BI:$BI,"*OK*")</f>
        <v>0</v>
      </c>
      <c r="AB35" s="610">
        <f>COUNTIFS('MARE MX'!$I:$I,"ENTERPRISE",'MARE MX'!$AJ:$AJ,"Salud",'MARE MX'!$BI:$BI,"*OK*")</f>
        <v>0</v>
      </c>
      <c r="AC35" s="610">
        <f>COUNTIFS('MARE MX'!$I:$I,"ENTERPRISE",'MARE MX'!$AJ:$AJ,"Seguridad Privada",'MARE MX'!$BI:$BI,"*OK*")</f>
        <v>0</v>
      </c>
      <c r="AD35" s="610">
        <f>COUNTIFS('MARE MX'!$I:$I,"ENTERPRISE",'MARE MX'!$AJ:$AJ,"Servicios",'MARE MX'!$BI:$BI,"*OK*")</f>
        <v>0</v>
      </c>
      <c r="AE35" s="610">
        <f>COUNTIFS('MARE MX'!$I:$I,"ENTERPRISE",'MARE MX'!$AJ:$AJ,"Tecnología",'MARE MX'!$BI:$BI,"*OK*")</f>
        <v>0</v>
      </c>
      <c r="AF35" s="610">
        <f>COUNTIFS('MARE MX'!$I:$I,"ENTERPRISE",'MARE MX'!$AJ:$AJ,"Transporte",'MARE MX'!$BI:$BI,"*OK*")</f>
        <v>0</v>
      </c>
      <c r="AG35" s="610">
        <f>COUNTIFS('MARE MX'!$I:$I,"ENTERPRISE",'MARE MX'!$AJ:$AJ,"Turismo y Gastronomía",'MARE MX'!$BI:$BI,"*OK*")</f>
        <v>0</v>
      </c>
      <c r="AJ35">
        <v>2</v>
      </c>
      <c r="AK35">
        <f>COUNTIFS('MARE MX'!$I:$I,"ENTERPRISE",'MARE MX'!$CN:$CN,2)</f>
        <v>16</v>
      </c>
      <c r="AL35" s="56">
        <f t="shared" si="10"/>
        <v>0.11678832116788321</v>
      </c>
      <c r="AM35">
        <f>COUNTIFS('MARE MX'!$I:$I,"SMB",'MARE MX'!$CN:$CN,2)</f>
        <v>7</v>
      </c>
      <c r="AN35" s="56">
        <f t="shared" si="11"/>
        <v>1.9718309859154931E-2</v>
      </c>
      <c r="AP35" s="75">
        <v>2</v>
      </c>
      <c r="AQ35" s="75">
        <f>COUNTIFS('MARE MX'!I:I,"ENTERPRISE",'MARE MX'!E:E,"Dafne de la Rosa",'MARE MX'!CN:CN,2)</f>
        <v>6</v>
      </c>
      <c r="AR35" s="75">
        <f>COUNTIFS('MARE MX'!I:I,"ENTERPRISE",'MARE MX'!E:E,"Karla Patiño",'MARE MX'!CN:CN,2)</f>
        <v>1</v>
      </c>
      <c r="AS35" s="75">
        <f>COUNTIFS('MARE MX'!I:I,"ENTERPRISE",'MARE MX'!E:E,"Raúl Campos",'MARE MX'!CN:CN,2)</f>
        <v>8</v>
      </c>
      <c r="AT35" s="75">
        <f>COUNTIFS('MARE MX'!I:I,"ENTERPRISE",'MARE MX'!E:E,"No Asignado",'MARE MX'!CN:CN,2)</f>
        <v>0</v>
      </c>
      <c r="AU35" s="75">
        <f>COUNTIFS('MARE MX'!I:I,"ENTERPRISE",'MARE MX'!E:E,"Implementando",'MARE MX'!CN:CN,2)</f>
        <v>1</v>
      </c>
      <c r="AV35" s="75">
        <f>SUM(AQ35:AU35)</f>
        <v>16</v>
      </c>
      <c r="AW35" s="73"/>
      <c r="AX35" s="73">
        <v>2</v>
      </c>
      <c r="AY35" s="73">
        <f>COUNTIFS('MARE MX'!$I:$I,"SMB",'MARE MX'!$E:$E,"Dafne de la Rosa",'MARE MX'!$CN:$CN,2)</f>
        <v>1</v>
      </c>
      <c r="AZ35" s="73">
        <f>COUNTIFS('MARE MX'!$I:$I,"SMB",'MARE MX'!$E:$E,"Karla Patiño",'MARE MX'!$CN:$CN,2)</f>
        <v>6</v>
      </c>
      <c r="BA35" s="73">
        <f>COUNTIFS('MARE MX'!$I:$I,"SMB",'MARE MX'!$E:$E,"Raúl Campos",'MARE MX'!$CN:$CN,2)</f>
        <v>0</v>
      </c>
      <c r="BB35" s="73">
        <f>COUNTIFS('MARE MX'!$I:$I,"SMB",'MARE MX'!$E:$E,"No Asignado",'MARE MX'!$CN:$CN,2)</f>
        <v>0</v>
      </c>
      <c r="BC35" s="73">
        <f>SUM(AY35:BB35)</f>
        <v>7</v>
      </c>
      <c r="BE35" s="610" t="s">
        <v>47</v>
      </c>
      <c r="BF35" s="611">
        <f>COUNTIFS('MARE MX'!$I:$I,"ENTERPRISE",'MARE MX'!$AV:$AV,"*OP*")</f>
        <v>16</v>
      </c>
      <c r="BG35" s="613">
        <f t="shared" si="12"/>
        <v>0.22535211267605634</v>
      </c>
      <c r="BH35" s="611">
        <f>COUNTIFS('MARE MX'!$I:$I,"SMB",'MARE MX'!$AV:$AV,"*OP*")</f>
        <v>18</v>
      </c>
      <c r="BI35" s="613">
        <f t="shared" si="13"/>
        <v>0.36734693877551022</v>
      </c>
    </row>
    <row r="36" spans="1:61" ht="14.25" customHeight="1">
      <c r="A36" t="s">
        <v>943</v>
      </c>
      <c r="B36">
        <v>5</v>
      </c>
      <c r="D36" s="43">
        <v>1210.5227</v>
      </c>
      <c r="F36" t="s">
        <v>2849</v>
      </c>
      <c r="H36">
        <v>84</v>
      </c>
      <c r="I36">
        <v>3</v>
      </c>
      <c r="J36" s="43">
        <v>18493.546800000007</v>
      </c>
      <c r="L36" t="s">
        <v>2805</v>
      </c>
      <c r="M36">
        <f>SUM(M20:M35)</f>
        <v>50</v>
      </c>
      <c r="N36">
        <f>SUM(N20:N35)</f>
        <v>30</v>
      </c>
      <c r="P36" s="616" t="s">
        <v>2805</v>
      </c>
      <c r="Q36" s="616">
        <f t="shared" ref="Q36:AG36" si="14">SUM(Q20:Q35)</f>
        <v>1</v>
      </c>
      <c r="R36" s="616">
        <f t="shared" si="14"/>
        <v>0</v>
      </c>
      <c r="S36" s="616">
        <f t="shared" si="14"/>
        <v>0</v>
      </c>
      <c r="T36" s="616">
        <f t="shared" si="14"/>
        <v>2</v>
      </c>
      <c r="U36" s="616">
        <f t="shared" si="14"/>
        <v>0</v>
      </c>
      <c r="V36" s="616">
        <f t="shared" si="14"/>
        <v>1</v>
      </c>
      <c r="W36" s="616">
        <f t="shared" si="14"/>
        <v>0</v>
      </c>
      <c r="X36" s="616">
        <f t="shared" si="14"/>
        <v>1</v>
      </c>
      <c r="Y36" s="616">
        <f t="shared" si="14"/>
        <v>18</v>
      </c>
      <c r="Z36" s="616">
        <f t="shared" si="14"/>
        <v>5</v>
      </c>
      <c r="AA36" s="616">
        <f t="shared" si="14"/>
        <v>4</v>
      </c>
      <c r="AB36" s="616">
        <f t="shared" si="14"/>
        <v>2</v>
      </c>
      <c r="AC36" s="616">
        <f t="shared" si="14"/>
        <v>0</v>
      </c>
      <c r="AD36" s="616">
        <f t="shared" si="14"/>
        <v>5</v>
      </c>
      <c r="AE36" s="616">
        <f t="shared" si="14"/>
        <v>1</v>
      </c>
      <c r="AF36" s="616">
        <f t="shared" si="14"/>
        <v>1</v>
      </c>
      <c r="AG36" s="616">
        <f t="shared" si="14"/>
        <v>5</v>
      </c>
      <c r="AJ36">
        <v>3</v>
      </c>
      <c r="AK36">
        <f>COUNTIFS('MARE MX'!$I:$I,"ENTERPRISE",'MARE MX'!$CN:$CN,3)</f>
        <v>5</v>
      </c>
      <c r="AL36" s="56">
        <f t="shared" si="10"/>
        <v>3.6496350364963501E-2</v>
      </c>
      <c r="AM36">
        <f>COUNTIFS('MARE MX'!$I:$I,"SMB",'MARE MX'!$CN:$CN,3)</f>
        <v>0</v>
      </c>
      <c r="AN36" s="56">
        <f t="shared" si="11"/>
        <v>0</v>
      </c>
      <c r="AP36" s="76">
        <v>3</v>
      </c>
      <c r="AQ36" s="76">
        <f>COUNTIFS('MARE MX'!I:I,"ENTERPRISE",'MARE MX'!E:E,"Dafne de la Rosa",'MARE MX'!CN:CN,3)</f>
        <v>2</v>
      </c>
      <c r="AR36" s="76">
        <f>COUNTIFS('MARE MX'!I:I,"ENTERPRISE",'MARE MX'!E:E,"Karla Patiño",'MARE MX'!CN:CN,3)</f>
        <v>0</v>
      </c>
      <c r="AS36" s="76">
        <f>COUNTIFS('MARE MX'!I:I,"ENTERPRISE",'MARE MX'!E:E,"Raúl Campos",'MARE MX'!CN:CN,3)</f>
        <v>3</v>
      </c>
      <c r="AT36" s="76">
        <f>COUNTIFS('MARE MX'!I:I,"ENTERPRISE",'MARE MX'!E:E,"No Asignado",'MARE MX'!CN:CN,3)</f>
        <v>0</v>
      </c>
      <c r="AU36" s="76">
        <f>COUNTIFS('MARE MX'!I:I,"ENTERPRISE",'MARE MX'!E:E,"Implementando",'MARE MX'!CN:CN,3)</f>
        <v>0</v>
      </c>
      <c r="AV36" s="76">
        <f>SUM(AQ36:AU36)</f>
        <v>5</v>
      </c>
      <c r="AW36" s="73"/>
      <c r="AX36" s="73">
        <v>3</v>
      </c>
      <c r="AY36" s="73">
        <f>COUNTIFS('MARE MX'!$I:$I,"SMB",'MARE MX'!$E:$E,"Dafne de la Rosa",'MARE MX'!$CN:$CN,3)</f>
        <v>0</v>
      </c>
      <c r="AZ36" s="73">
        <f>COUNTIFS('MARE MX'!$I:$I,"SMB",'MARE MX'!$E:$E,"Karla Patiño",'MARE MX'!$CN:$CN,3)</f>
        <v>0</v>
      </c>
      <c r="BA36" s="73">
        <f>COUNTIFS('MARE MX'!$I:$I,"SMB",'MARE MX'!$E:$E,"Raúl Campos",'MARE MX'!$CN:$CN,3)</f>
        <v>0</v>
      </c>
      <c r="BB36" s="73">
        <f>COUNTIFS('MARE MX'!$I:$I,"SMB",'MARE MX'!$E:$E,"No Asignado",'MARE MX'!$CN:$CN,3)</f>
        <v>0</v>
      </c>
      <c r="BC36" s="73">
        <f>SUM(AY36:BB36)</f>
        <v>0</v>
      </c>
      <c r="BE36" s="610" t="s">
        <v>2840</v>
      </c>
      <c r="BF36" s="611">
        <f>COUNTIFS('MARE MX'!$I:$I,"ENTERPRISE",'MARE MX'!$AW:$AW,"*OP*")</f>
        <v>18</v>
      </c>
      <c r="BG36" s="613">
        <f t="shared" si="12"/>
        <v>0.25352112676056338</v>
      </c>
      <c r="BH36" s="611">
        <f>COUNTIFS('MARE MX'!$I:$I,"SMB",'MARE MX'!$AW:$AW,"*OP*")</f>
        <v>9</v>
      </c>
      <c r="BI36" s="613">
        <f t="shared" si="13"/>
        <v>0.18367346938775511</v>
      </c>
    </row>
    <row r="37" spans="1:61" ht="14.25" customHeight="1">
      <c r="A37" t="s">
        <v>96</v>
      </c>
      <c r="B37">
        <v>52</v>
      </c>
      <c r="D37" s="43">
        <v>10953.939600000002</v>
      </c>
      <c r="F37" t="s">
        <v>1443</v>
      </c>
      <c r="G37" t="s">
        <v>2841</v>
      </c>
      <c r="H37">
        <v>1</v>
      </c>
      <c r="J37" s="43">
        <v>319.36290000000002</v>
      </c>
      <c r="P37" s="610" t="s">
        <v>2850</v>
      </c>
      <c r="Q37" s="610">
        <f>COUNTIFS('MARE MX'!$I:$I,"ENTERPRISE",'MARE MX'!$AJ:$AJ,"Agrícola")</f>
        <v>3</v>
      </c>
      <c r="R37" s="610">
        <f>COUNTIFS('MARE MX'!$I:$I,"ENTERPRISE",'MARE MX'!$AJ:$AJ,"Automotriz")</f>
        <v>5</v>
      </c>
      <c r="S37" s="610">
        <f>COUNTIFS('MARE MX'!$I:$I,"ENTERPRISE",'MARE MX'!$AJ:$AJ,"Banca y Finanzas")</f>
        <v>1</v>
      </c>
      <c r="T37" s="610">
        <f>COUNTIFS('MARE MX'!$I:$I,"ENTERPRISE",'MARE MX'!$AJ:$AJ,"Construcción")</f>
        <v>6</v>
      </c>
      <c r="U37" s="610">
        <f>COUNTIFS('MARE MX'!$I:$I,"ENTERPRISE",'MARE MX'!$AJ:$AJ,"Educación")</f>
        <v>2</v>
      </c>
      <c r="V37" s="610">
        <f>COUNTIFS('MARE MX'!$I:$I,"ENTERPRISE",'MARE MX'!$AJ:$AJ,"Energía")</f>
        <v>3</v>
      </c>
      <c r="W37" s="610">
        <f>COUNTIFS('MARE MX'!$I:$I,"ENTERPRISE",'MARE MX'!$AJ:$AJ,"Gobierno")</f>
        <v>1</v>
      </c>
      <c r="X37" s="610">
        <f>COUNTIFS('MARE MX'!$I:$I,"ENTERPRISE",'MARE MX'!$AJ:$AJ,"Logística")</f>
        <v>6</v>
      </c>
      <c r="Y37" s="610">
        <f>COUNTIFS('MARE MX'!$I:$I,"ENTERPRISE",'MARE MX'!$AJ:$AJ,"Manufactura")</f>
        <v>22</v>
      </c>
      <c r="Z37" s="610">
        <f>COUNTIFS('MARE MX'!$I:$I,"ENTERPRISE",'MARE MX'!$AJ:$AJ,"Outsourcing")</f>
        <v>10</v>
      </c>
      <c r="AA37" s="610">
        <f>COUNTIFS('MARE MX'!$I:$I,"ENTERPRISE",'MARE MX'!$AJ:$AJ,"Retail")</f>
        <v>14</v>
      </c>
      <c r="AB37" s="610">
        <f>COUNTIFS('MARE MX'!$I:$I,"ENTERPRISE",'MARE MX'!$AJ:$AJ,"Salud")</f>
        <v>10</v>
      </c>
      <c r="AC37" s="610">
        <f>COUNTIFS('MARE MX'!$I:$I,"ENTERPRISE",'MARE MX'!$AJ:$AJ,"Seguridad Privada")</f>
        <v>2</v>
      </c>
      <c r="AD37" s="610">
        <f>COUNTIFS('MARE MX'!$I:$I,"ENTERPRISE",'MARE MX'!$AJ:$AJ,"Servicios")</f>
        <v>13</v>
      </c>
      <c r="AE37" s="610">
        <f>COUNTIFS('MARE MX'!$I:$I,"ENTERPRISE",'MARE MX'!$AJ:$AJ,"Tecnología")</f>
        <v>6</v>
      </c>
      <c r="AF37" s="610">
        <f>COUNTIFS('MARE MX'!$I:$I,"ENTERPRISE",'MARE MX'!$AJ:$AJ,"Transporte")</f>
        <v>8</v>
      </c>
      <c r="AG37" s="610">
        <f>COUNTIFS('MARE MX'!$I:$I,"ENTERPRISE",'MARE MX'!$AJ:$AJ,"Turismo y Gastronomía")</f>
        <v>10</v>
      </c>
      <c r="AJ37">
        <v>4</v>
      </c>
      <c r="AK37">
        <f>COUNTIFS('MARE MX'!$I:$I,"ENTERPRISE",'MARE MX'!$CN:$CN,4)</f>
        <v>1</v>
      </c>
      <c r="AL37" s="56">
        <f t="shared" si="10"/>
        <v>7.2992700729927005E-3</v>
      </c>
      <c r="AM37">
        <f>COUNTIFS('MARE MX'!$I:$I,"SMB",'MARE MX'!$CN:$CN,4)</f>
        <v>0</v>
      </c>
      <c r="AN37" s="56">
        <f t="shared" si="11"/>
        <v>0</v>
      </c>
      <c r="AP37" s="75">
        <v>4</v>
      </c>
      <c r="AQ37" s="75">
        <f>COUNTIFS('MARE MX'!I:I,"ENTERPRISE",'MARE MX'!E:E,"Dafne de la Rosa",'MARE MX'!CN:CN,4)</f>
        <v>0</v>
      </c>
      <c r="AR37" s="75">
        <f>COUNTIFS('MARE MX'!I:I,"ENTERPRISE",'MARE MX'!E:E,"Karla Patiño",'MARE MX'!CN:CN,4)</f>
        <v>0</v>
      </c>
      <c r="AS37" s="75">
        <f>COUNTIFS('MARE MX'!I:I,"ENTERPRISE",'MARE MX'!E:E,"Raúl Campos",'MARE MX'!CN:CN,4)</f>
        <v>1</v>
      </c>
      <c r="AT37" s="75">
        <f>COUNTIFS('MARE MX'!I:I,"ENTERPRISE",'MARE MX'!E:E,"No Asignado",'MARE MX'!CN:CN,4)</f>
        <v>0</v>
      </c>
      <c r="AU37" s="75">
        <f>COUNTIFS('MARE MX'!I:I,"ENTERPRISE",'MARE MX'!E:E,"Implementando",'MARE MX'!CN:CN,4)</f>
        <v>0</v>
      </c>
      <c r="AV37" s="75">
        <f>SUM(AQ37:AU37)</f>
        <v>1</v>
      </c>
      <c r="AW37" s="73"/>
      <c r="AX37" s="73">
        <v>4</v>
      </c>
      <c r="AY37" s="73">
        <f>COUNTIFS('MARE MX'!$I:$I,"SMB",'MARE MX'!$E:$E,"Dafne de la Rosa",'MARE MX'!$CN:$CN,4)</f>
        <v>0</v>
      </c>
      <c r="AZ37" s="73">
        <f>COUNTIFS('MARE MX'!$I:$I,"SMB",'MARE MX'!$E:$E,"Karla Patiño",'MARE MX'!$CN:$CN,4)</f>
        <v>0</v>
      </c>
      <c r="BA37" s="73">
        <f>COUNTIFS('MARE MX'!$I:$I,"SMB",'MARE MX'!$E:$E,"Raúl Campos",'MARE MX'!$CN:$CN,4)</f>
        <v>0</v>
      </c>
      <c r="BB37" s="73">
        <f>COUNTIFS('MARE MX'!$I:$I,"SMB",'MARE MX'!$E:$E,"No Asignado",'MARE MX'!$CN:$CN,4)</f>
        <v>0</v>
      </c>
      <c r="BC37" s="73">
        <f>SUM(AY37:BB37)</f>
        <v>0</v>
      </c>
      <c r="BE37" s="610" t="s">
        <v>49</v>
      </c>
      <c r="BF37" s="611">
        <f>COUNTIFS('MARE MX'!$I:$I,"ENTERPRISE",'MARE MX'!$AX:$AX,"*OP*")</f>
        <v>5</v>
      </c>
      <c r="BG37" s="613">
        <f t="shared" si="12"/>
        <v>7.0422535211267609E-2</v>
      </c>
      <c r="BH37" s="611">
        <f>COUNTIFS('MARE MX'!$I:$I,"SMB",'MARE MX'!$AX:$AX,"*OP*")</f>
        <v>1</v>
      </c>
      <c r="BI37" s="613">
        <f t="shared" si="13"/>
        <v>2.0408163265306121E-2</v>
      </c>
    </row>
    <row r="38" spans="1:61" ht="14.25" customHeight="1">
      <c r="A38" t="s">
        <v>803</v>
      </c>
      <c r="B38">
        <v>2</v>
      </c>
      <c r="D38" s="43">
        <v>386.09949999999998</v>
      </c>
      <c r="F38" t="s">
        <v>2851</v>
      </c>
      <c r="H38">
        <v>1</v>
      </c>
      <c r="J38" s="43">
        <v>319.36290000000002</v>
      </c>
      <c r="AJ38" s="64" t="s">
        <v>2805</v>
      </c>
      <c r="AK38" s="64">
        <f>SUM(AK33:AK37)</f>
        <v>130</v>
      </c>
      <c r="AL38" s="64"/>
      <c r="AM38" s="64">
        <f>SUM(AM33:AM37)</f>
        <v>324</v>
      </c>
      <c r="AN38" s="64"/>
      <c r="AP38" s="72" t="s">
        <v>2805</v>
      </c>
      <c r="AQ38" s="72">
        <f t="shared" ref="AQ38:AV38" si="15">SUM(AQ33:AQ37)</f>
        <v>55</v>
      </c>
      <c r="AR38" s="72">
        <f t="shared" si="15"/>
        <v>6</v>
      </c>
      <c r="AS38" s="72">
        <f t="shared" si="15"/>
        <v>65</v>
      </c>
      <c r="AT38" s="72">
        <f t="shared" si="15"/>
        <v>2</v>
      </c>
      <c r="AU38" s="72">
        <f t="shared" si="15"/>
        <v>1</v>
      </c>
      <c r="AV38" s="72">
        <f t="shared" si="15"/>
        <v>129</v>
      </c>
      <c r="AW38" s="73"/>
      <c r="AX38" s="80" t="s">
        <v>2805</v>
      </c>
      <c r="AY38" s="80">
        <f>SUM(AY33:AY37)</f>
        <v>50</v>
      </c>
      <c r="AZ38" s="80">
        <f>SUM(AZ33:AZ37)</f>
        <v>140</v>
      </c>
      <c r="BA38" s="80">
        <f>SUM(BA33:BA37)</f>
        <v>10</v>
      </c>
      <c r="BB38" s="80">
        <f>SUM(BB33:BB37)</f>
        <v>124</v>
      </c>
      <c r="BC38" s="80">
        <f>SUM(BC33:BC37)</f>
        <v>324</v>
      </c>
      <c r="BE38" s="610" t="s">
        <v>50</v>
      </c>
      <c r="BF38" s="611">
        <f>COUNTIFS('MARE MX'!$I:$I,"ENTERPRISE",'MARE MX'!$AY:$AY,"*OP*")</f>
        <v>5</v>
      </c>
      <c r="BG38" s="613">
        <f t="shared" si="12"/>
        <v>7.0422535211267609E-2</v>
      </c>
      <c r="BH38" s="611">
        <f>COUNTIFS('MARE MX'!$I:$I,"SMB",'MARE MX'!$AY:$AY,"*OP*")</f>
        <v>2</v>
      </c>
      <c r="BI38" s="613">
        <f t="shared" si="13"/>
        <v>4.0816326530612242E-2</v>
      </c>
    </row>
    <row r="39" spans="1:61" ht="14.25" customHeight="1">
      <c r="A39" t="s">
        <v>787</v>
      </c>
      <c r="B39">
        <v>7</v>
      </c>
      <c r="D39" s="43">
        <v>537.1629999999999</v>
      </c>
      <c r="F39" t="s">
        <v>782</v>
      </c>
      <c r="G39" t="s">
        <v>2841</v>
      </c>
      <c r="H39">
        <v>185</v>
      </c>
      <c r="J39" s="43">
        <v>18244.459599999998</v>
      </c>
      <c r="AP39" s="73"/>
      <c r="AQ39" s="73"/>
      <c r="AR39" s="73"/>
      <c r="AS39" s="73"/>
      <c r="AT39" s="73"/>
      <c r="AU39" s="73"/>
      <c r="AV39" s="73"/>
      <c r="AW39" s="73"/>
      <c r="AX39" s="73"/>
      <c r="AY39" s="73"/>
      <c r="AZ39" s="73"/>
      <c r="BA39" s="73"/>
      <c r="BB39" s="73"/>
      <c r="BC39" s="73"/>
      <c r="BE39" s="610" t="s">
        <v>51</v>
      </c>
      <c r="BF39" s="611">
        <f>COUNTIFS('MARE MX'!$I:$I,"ENTERPRISE",'MARE MX'!$AZ:$AZ,"*OP*")</f>
        <v>3</v>
      </c>
      <c r="BG39" s="613">
        <f t="shared" si="12"/>
        <v>4.2253521126760563E-2</v>
      </c>
      <c r="BH39" s="611">
        <f>COUNTIFS('MARE MX'!$I:$I,"SMB",'MARE MX'!$AZ:$AZ,"*OP*")</f>
        <v>0</v>
      </c>
      <c r="BI39" s="613">
        <f t="shared" si="13"/>
        <v>0</v>
      </c>
    </row>
    <row r="40" spans="1:61">
      <c r="A40" t="s">
        <v>2841</v>
      </c>
      <c r="B40">
        <v>197</v>
      </c>
      <c r="D40" s="43">
        <v>18096.47849999999</v>
      </c>
      <c r="F40" t="s">
        <v>2852</v>
      </c>
      <c r="H40">
        <v>185</v>
      </c>
      <c r="J40" s="43">
        <v>18244.459599999998</v>
      </c>
      <c r="AP40" s="81" t="s">
        <v>2843</v>
      </c>
      <c r="AQ40" s="82">
        <f>SUM(AQ34:AQ37)/AQ38</f>
        <v>0.23636363636363636</v>
      </c>
      <c r="AR40" s="82">
        <f t="shared" ref="AR40:AU40" si="16">SUM(AR34:AR37)/AR38</f>
        <v>0.33333333333333331</v>
      </c>
      <c r="AS40" s="82">
        <f t="shared" si="16"/>
        <v>0.35384615384615387</v>
      </c>
      <c r="AT40" s="82">
        <f t="shared" si="16"/>
        <v>0</v>
      </c>
      <c r="AU40" s="82">
        <f t="shared" si="16"/>
        <v>1</v>
      </c>
      <c r="AV40" s="73"/>
      <c r="AW40" s="73"/>
      <c r="AX40" s="81" t="s">
        <v>2843</v>
      </c>
      <c r="AY40" s="82">
        <f>SUM(AY34:AY37)/AY38</f>
        <v>0.04</v>
      </c>
      <c r="AZ40" s="82">
        <f t="shared" ref="AZ40:BC40" si="17">SUM(AZ34:AZ37)/AZ38</f>
        <v>0.19285714285714287</v>
      </c>
      <c r="BA40" s="82">
        <f t="shared" si="17"/>
        <v>0.1</v>
      </c>
      <c r="BB40" s="82">
        <f t="shared" si="17"/>
        <v>2.4193548387096774E-2</v>
      </c>
      <c r="BC40" s="82">
        <f t="shared" si="17"/>
        <v>0.10185185185185185</v>
      </c>
      <c r="BE40" s="610" t="s">
        <v>52</v>
      </c>
      <c r="BF40" s="611">
        <f>COUNTIFS('MARE MX'!$I:$I,"ENTERPRISE",'MARE MX'!$BA:$BA,"*OP*")</f>
        <v>2</v>
      </c>
      <c r="BG40" s="613">
        <f t="shared" si="12"/>
        <v>2.8169014084507043E-2</v>
      </c>
      <c r="BH40" s="611">
        <f>COUNTIFS('MARE MX'!$I:$I,"SMB",'MARE MX'!$BA:$BA,"*OP*")</f>
        <v>0</v>
      </c>
      <c r="BI40" s="613">
        <f t="shared" si="13"/>
        <v>0</v>
      </c>
    </row>
    <row r="41" spans="1:61">
      <c r="A41" t="s">
        <v>525</v>
      </c>
      <c r="B41">
        <v>10</v>
      </c>
      <c r="C41">
        <v>3</v>
      </c>
      <c r="D41" s="43">
        <v>2004.3418000000001</v>
      </c>
      <c r="F41" t="s">
        <v>93</v>
      </c>
      <c r="G41" t="s">
        <v>167</v>
      </c>
      <c r="H41">
        <v>8</v>
      </c>
      <c r="J41" s="43">
        <v>7836.8487999999998</v>
      </c>
      <c r="BE41" s="610" t="s">
        <v>53</v>
      </c>
      <c r="BF41" s="611">
        <f>COUNTIFS('MARE MX'!$I:$I,"ENTERPRISE",'MARE MX'!$BB:$BB,"*OP*")</f>
        <v>2</v>
      </c>
      <c r="BG41" s="613">
        <f t="shared" si="12"/>
        <v>2.8169014084507043E-2</v>
      </c>
      <c r="BH41" s="611">
        <f>COUNTIFS('MARE MX'!$I:$I,"SMB",'MARE MX'!$BB:$BB,"*OP*")</f>
        <v>0</v>
      </c>
      <c r="BI41" s="613">
        <f t="shared" si="13"/>
        <v>0</v>
      </c>
    </row>
    <row r="42" spans="1:61">
      <c r="A42" t="s">
        <v>2815</v>
      </c>
      <c r="B42">
        <v>327</v>
      </c>
      <c r="C42">
        <v>3</v>
      </c>
      <c r="D42" s="43">
        <v>44935.260200000019</v>
      </c>
      <c r="G42" t="s">
        <v>77</v>
      </c>
      <c r="H42">
        <v>19</v>
      </c>
      <c r="J42" s="43">
        <v>22257.039900000003</v>
      </c>
      <c r="BE42" s="610" t="s">
        <v>54</v>
      </c>
      <c r="BF42" s="611">
        <f>COUNTIFS('MARE MX'!$I:$I,"ENTERPRISE",'MARE MX'!$BC:$BC,"*OP*")</f>
        <v>0</v>
      </c>
      <c r="BG42" s="613">
        <f t="shared" si="12"/>
        <v>0</v>
      </c>
      <c r="BH42" s="611">
        <f>COUNTIFS('MARE MX'!$I:$I,"SMB",'MARE MX'!$BC:$BC,"*OP*")</f>
        <v>0</v>
      </c>
      <c r="BI42" s="613">
        <f t="shared" si="13"/>
        <v>0</v>
      </c>
    </row>
    <row r="43" spans="1:61">
      <c r="G43" t="s">
        <v>96</v>
      </c>
      <c r="H43">
        <v>45</v>
      </c>
      <c r="J43" s="43">
        <v>37344.778199999986</v>
      </c>
      <c r="BE43" s="610" t="s">
        <v>55</v>
      </c>
      <c r="BF43" s="611">
        <f>COUNTIFS('MARE MX'!$I:$I,"ENTERPRISE",'MARE MX'!$BD:$BD,"*OP*")</f>
        <v>0</v>
      </c>
      <c r="BG43" s="613">
        <f t="shared" si="12"/>
        <v>0</v>
      </c>
      <c r="BH43" s="611">
        <f>COUNTIFS('MARE MX'!$I:$I,"SMB",'MARE MX'!$BD:$BD,"*OP*")</f>
        <v>1</v>
      </c>
      <c r="BI43" s="613">
        <f t="shared" si="13"/>
        <v>2.0408163265306121E-2</v>
      </c>
    </row>
    <row r="44" spans="1:61">
      <c r="G44" t="s">
        <v>2841</v>
      </c>
      <c r="H44">
        <v>2</v>
      </c>
      <c r="J44" s="43">
        <v>4103.2622000000001</v>
      </c>
      <c r="BE44" s="610" t="s">
        <v>56</v>
      </c>
      <c r="BF44" s="611">
        <f>COUNTIFS('MARE MX'!$I:$I,"ENTERPRISE",'MARE MX'!$BE:$BE,"*OP*")</f>
        <v>0</v>
      </c>
      <c r="BG44" s="613">
        <f t="shared" si="12"/>
        <v>0</v>
      </c>
      <c r="BH44" s="611">
        <f>COUNTIFS('MARE MX'!$I:$I,"SMB",'MARE MX'!$BE:$BE,"*OP*")</f>
        <v>0</v>
      </c>
      <c r="BI44" s="613">
        <f t="shared" si="13"/>
        <v>0</v>
      </c>
    </row>
    <row r="45" spans="1:61" s="22" customFormat="1">
      <c r="F45"/>
      <c r="G45" t="s">
        <v>525</v>
      </c>
      <c r="H45">
        <v>1</v>
      </c>
      <c r="I45"/>
      <c r="J45" s="43">
        <v>185.7157</v>
      </c>
      <c r="BE45" s="610" t="s">
        <v>57</v>
      </c>
      <c r="BF45" s="611">
        <f>COUNTIFS('MARE MX'!$I:$I,"ENTERPRISE",'MARE MX'!$BF:$BF,"*OP*")</f>
        <v>0</v>
      </c>
      <c r="BG45" s="613">
        <f t="shared" si="12"/>
        <v>0</v>
      </c>
      <c r="BH45" s="611">
        <f>COUNTIFS('MARE MX'!$I:$I,"SMB",'MARE MX'!$BF:$BF,"*OP*")</f>
        <v>0</v>
      </c>
      <c r="BI45" s="613">
        <f t="shared" si="13"/>
        <v>0</v>
      </c>
    </row>
    <row r="46" spans="1:61">
      <c r="F46" t="s">
        <v>2853</v>
      </c>
      <c r="H46">
        <v>75</v>
      </c>
      <c r="J46" s="43">
        <v>71727.64479999998</v>
      </c>
      <c r="AJ46" t="s">
        <v>2854</v>
      </c>
      <c r="BE46" s="610" t="s">
        <v>58</v>
      </c>
      <c r="BF46" s="611">
        <f>COUNTIFS('MARE MX'!$I:$I,"ENTERPRISE",'MARE MX'!$BG:$BG,"*OP*")</f>
        <v>0</v>
      </c>
      <c r="BG46" s="613">
        <f t="shared" si="12"/>
        <v>0</v>
      </c>
      <c r="BH46" s="611">
        <f>COUNTIFS('MARE MX'!$I:$I,"SMB",'MARE MX'!$BG:$BG,"*OP*")</f>
        <v>0</v>
      </c>
      <c r="BI46" s="613">
        <f t="shared" si="13"/>
        <v>0</v>
      </c>
    </row>
    <row r="47" spans="1:61">
      <c r="F47" t="s">
        <v>2841</v>
      </c>
      <c r="G47" t="s">
        <v>2841</v>
      </c>
      <c r="J47" s="43"/>
      <c r="BE47" s="610" t="s">
        <v>59</v>
      </c>
      <c r="BF47" s="611">
        <f>COUNTIFS('MARE MX'!$I:$I,"ENTERPRISE",'MARE MX'!$BH:$BH,"*OP*")</f>
        <v>0</v>
      </c>
      <c r="BG47" s="613">
        <f t="shared" si="12"/>
        <v>0</v>
      </c>
      <c r="BH47" s="611">
        <f>COUNTIFS('MARE MX'!$I:$I,"SMB",'MARE MX'!$BH:$BH,"*OP*")</f>
        <v>0</v>
      </c>
      <c r="BI47" s="613">
        <f t="shared" si="13"/>
        <v>0</v>
      </c>
    </row>
    <row r="48" spans="1:61">
      <c r="F48" t="s">
        <v>2855</v>
      </c>
      <c r="J48" s="43"/>
      <c r="BE48" s="614" t="s">
        <v>60</v>
      </c>
      <c r="BF48" s="615">
        <f>COUNTIFS('MARE MX'!$I:$I,"ENTERPRISE",'MARE MX'!$BI:$BI,"*OK*")</f>
        <v>1</v>
      </c>
      <c r="BG48" s="615"/>
      <c r="BH48" s="615">
        <f>COUNTIFS('MARE MX'!$I:$I,"SMB",'MARE MX'!$BI:$BI,"*OP*")</f>
        <v>7</v>
      </c>
    </row>
    <row r="49" spans="1:60">
      <c r="A49" t="s">
        <v>2856</v>
      </c>
      <c r="F49" t="s">
        <v>2526</v>
      </c>
      <c r="G49" t="s">
        <v>2841</v>
      </c>
      <c r="H49">
        <v>5</v>
      </c>
      <c r="J49" s="43">
        <v>5238.9311999999991</v>
      </c>
      <c r="BE49" t="s">
        <v>2805</v>
      </c>
      <c r="BF49" s="73">
        <f>SUM(BF33:BF48)</f>
        <v>71</v>
      </c>
      <c r="BG49" s="73"/>
      <c r="BH49" s="73">
        <f>SUM(BH33:BH48)</f>
        <v>49</v>
      </c>
    </row>
    <row r="50" spans="1:60">
      <c r="A50" s="42" t="s">
        <v>9</v>
      </c>
      <c r="B50" t="s">
        <v>2857</v>
      </c>
      <c r="F50" t="s">
        <v>2858</v>
      </c>
      <c r="H50">
        <v>5</v>
      </c>
      <c r="J50" s="43">
        <v>5238.9311999999991</v>
      </c>
    </row>
    <row r="51" spans="1:60">
      <c r="F51" t="s">
        <v>2815</v>
      </c>
      <c r="H51">
        <v>446</v>
      </c>
      <c r="I51">
        <v>3</v>
      </c>
      <c r="J51" s="43">
        <v>160693.7589999999</v>
      </c>
    </row>
    <row r="52" spans="1:60" ht="45.2">
      <c r="A52" s="45" t="s">
        <v>13</v>
      </c>
      <c r="B52" s="22" t="s">
        <v>2835</v>
      </c>
      <c r="C52" s="22" t="s">
        <v>2836</v>
      </c>
      <c r="D52" s="46" t="s">
        <v>2837</v>
      </c>
    </row>
    <row r="53" spans="1:60">
      <c r="A53" t="s">
        <v>2815</v>
      </c>
      <c r="D53" s="43"/>
    </row>
  </sheetData>
  <mergeCells count="8">
    <mergeCell ref="AX31:BC31"/>
    <mergeCell ref="BE31:BF31"/>
    <mergeCell ref="L18:M18"/>
    <mergeCell ref="AP17:AV17"/>
    <mergeCell ref="AX17:BC17"/>
    <mergeCell ref="AJ17:AN17"/>
    <mergeCell ref="AJ31:AN31"/>
    <mergeCell ref="AP31:AV31"/>
  </mergeCells>
  <conditionalFormatting sqref="Q20:AG35">
    <cfRule type="colorScale" priority="1">
      <colorScale>
        <cfvo type="min"/>
        <cfvo type="max"/>
        <color rgb="FFFFEF9C"/>
        <color rgb="FF63BE7B"/>
      </colorScale>
    </cfRule>
  </conditionalFormatting>
  <pageMargins left="0.7" right="0.7" top="0.75" bottom="0.75" header="0.3" footer="0.3"/>
  <pageSetup orientation="portrait"/>
  <tableParts count="6">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D4A04-C65E-4490-AE7B-491C3F9C82F1}">
  <sheetPr filterMode="1"/>
  <dimension ref="A1:V279"/>
  <sheetViews>
    <sheetView workbookViewId="0">
      <pane ySplit="5" topLeftCell="F47" activePane="bottomLeft" state="frozen"/>
      <selection pane="bottomLeft" activeCell="F48" sqref="F48"/>
    </sheetView>
  </sheetViews>
  <sheetFormatPr defaultColWidth="0" defaultRowHeight="15"/>
  <cols>
    <col min="1" max="1" width="17.140625" customWidth="1"/>
    <col min="2" max="2" width="13.7109375" customWidth="1"/>
    <col min="3" max="3" width="8" customWidth="1"/>
    <col min="4" max="4" width="17.5703125" customWidth="1"/>
    <col min="5" max="5" width="22.42578125" customWidth="1"/>
    <col min="6" max="6" width="40.28515625" customWidth="1"/>
    <col min="7" max="7" width="17.140625" customWidth="1"/>
    <col min="8" max="8" width="28.5703125" customWidth="1"/>
    <col min="9" max="9" width="15.5703125" customWidth="1"/>
    <col min="10" max="10" width="17.140625" customWidth="1"/>
    <col min="11" max="11" width="15.5703125" customWidth="1"/>
    <col min="12" max="12" width="19" customWidth="1"/>
    <col min="13" max="13" width="17.28515625" customWidth="1"/>
    <col min="14" max="14" width="20.140625" style="235" customWidth="1"/>
    <col min="15" max="15" width="27.5703125" style="22" customWidth="1"/>
    <col min="16" max="16" width="21.7109375" customWidth="1"/>
    <col min="17" max="17" width="14.85546875" customWidth="1"/>
    <col min="18" max="18" width="22.85546875" customWidth="1"/>
    <col min="19" max="19" width="15.7109375" customWidth="1"/>
    <col min="20" max="20" width="16.42578125" customWidth="1"/>
    <col min="21" max="21" width="12" customWidth="1"/>
  </cols>
  <sheetData>
    <row r="1" spans="1:21" s="219" customFormat="1" ht="27.95" customHeight="1">
      <c r="A1" s="741" t="s">
        <v>2859</v>
      </c>
      <c r="B1" s="741"/>
      <c r="C1" s="741"/>
      <c r="D1" s="741"/>
      <c r="E1" s="741"/>
      <c r="F1" s="741"/>
      <c r="G1" s="741"/>
      <c r="H1" s="741"/>
      <c r="I1" s="741"/>
      <c r="J1" s="741"/>
      <c r="K1" s="741"/>
      <c r="L1" s="877" t="s">
        <v>2794</v>
      </c>
      <c r="M1" s="877"/>
      <c r="N1" s="877"/>
      <c r="O1" s="877" t="s">
        <v>2797</v>
      </c>
      <c r="P1" s="877"/>
      <c r="Q1" s="877"/>
      <c r="R1" s="877" t="s">
        <v>2800</v>
      </c>
      <c r="S1" s="877"/>
      <c r="T1" s="877"/>
      <c r="U1"/>
    </row>
    <row r="2" spans="1:21" s="99" customFormat="1" ht="21.75" customHeight="1">
      <c r="A2" s="743" t="s">
        <v>2860</v>
      </c>
      <c r="B2" s="742" t="s">
        <v>2788</v>
      </c>
      <c r="C2" s="742" t="s">
        <v>2794</v>
      </c>
      <c r="D2" s="742" t="s">
        <v>2797</v>
      </c>
      <c r="E2" s="742" t="s">
        <v>2800</v>
      </c>
      <c r="F2" s="740"/>
      <c r="G2" s="740"/>
      <c r="H2" s="775" t="s">
        <v>2861</v>
      </c>
      <c r="I2" s="777" t="s">
        <v>2862</v>
      </c>
      <c r="J2" s="779" t="s">
        <v>2863</v>
      </c>
      <c r="K2" s="740"/>
      <c r="L2" s="783" t="s">
        <v>439</v>
      </c>
      <c r="M2" s="783" t="s">
        <v>73</v>
      </c>
      <c r="N2" s="743" t="s">
        <v>93</v>
      </c>
      <c r="O2" s="804" t="s">
        <v>439</v>
      </c>
      <c r="P2" s="783" t="s">
        <v>73</v>
      </c>
      <c r="Q2" s="743" t="s">
        <v>93</v>
      </c>
      <c r="R2" s="804" t="s">
        <v>439</v>
      </c>
      <c r="S2" s="783" t="s">
        <v>73</v>
      </c>
      <c r="T2" s="743" t="s">
        <v>93</v>
      </c>
      <c r="U2"/>
    </row>
    <row r="3" spans="1:21" s="99" customFormat="1" ht="19.5" customHeight="1">
      <c r="A3" s="740"/>
      <c r="B3" s="744">
        <v>17.649999999999999</v>
      </c>
      <c r="C3" s="744">
        <v>17.5</v>
      </c>
      <c r="D3" s="744">
        <v>18</v>
      </c>
      <c r="E3" s="744">
        <v>18</v>
      </c>
      <c r="F3" s="740"/>
      <c r="G3" s="740"/>
      <c r="H3" s="776">
        <f>SUMIF(B6:B252,"Facturado",M6:M252)</f>
        <v>15510.438767030893</v>
      </c>
      <c r="I3" s="778">
        <f>SUMIF(B6:B252,"Perdido",M6:M252)</f>
        <v>24799.504761904765</v>
      </c>
      <c r="J3" s="780">
        <f>SUMIF(B6:B252,"Proyectado",M6:M252)</f>
        <v>44830.264634920626</v>
      </c>
      <c r="K3" s="740" t="s">
        <v>2864</v>
      </c>
      <c r="L3" s="784" cm="1">
        <f t="array" ref="L3">SUM(SUMIFS($L$6:$L$292,$E$6:$E$292,L2,$D$6:$D$292,{"Abril";"Mayo";"Junio"},$G$6:$G$292,"Cross selling",$B$6:$B292,"&lt;&gt;Perdido"))</f>
        <v>16340</v>
      </c>
      <c r="M3" s="784" cm="1">
        <f t="array" ref="M3">SUM(SUMIFS($L$6:$L$292,$E$6:$E$292,M2,$D$6:$D$292,{"Abril";"Mayo";"Junio"},$G$6:$G$292,"Cross selling",$B$6:$B292,"&lt;&gt;Perdido"))</f>
        <v>27800</v>
      </c>
      <c r="N3" s="784" cm="1">
        <f t="array" ref="N3">SUM(SUMIFS($L$6:$L$292,$E$6:$E$292,N2,$D$6:$D$292,{"Abril";"Mayo";"Junio"},$G$6:$G$292,"Cross selling",$B$6:$B292,"&lt;&gt;Perdido"))</f>
        <v>21256.35</v>
      </c>
      <c r="O3" s="805" cm="1">
        <f t="array" ref="O3">SUM(SUMIFS($L$6:$L$292,$E$6:$E$292,O2,$D$6:$D$292,{"Julio";"Agosto";"Septiembre"},$G$6:$G$292,"Cross selling",$B$6:$B292,"&lt;&gt;Perdido"))</f>
        <v>1120</v>
      </c>
      <c r="P3" s="784" cm="1">
        <f t="array" ref="P3">SUM(SUMIFS($L$6:$L$292,$E$6:$E$292,P2,$D$6:$D$292,{"Julio";"Agosto";"Septiembre"},$G$6:$G$292,"Cross selling",$B$6:$B292,"&lt;&gt;Perdido"))</f>
        <v>4150</v>
      </c>
      <c r="Q3" s="781" cm="1">
        <f t="array" ref="Q3">SUM(SUMIFS($L$6:$L$292,$E$6:$E$292,Q2,$D$6:$D$292,{"Julio";"Agosto";"Septiembre"},$G$6:$G$292,"Cross selling",$B$6:$B292,"&lt;&gt;Perdido"))</f>
        <v>26450</v>
      </c>
      <c r="R3" s="805" cm="1">
        <f t="array" ref="R3">SUM(SUMIFS($L$6:$L$292,$E$6:$E$292,R2,$D$6:$D$292,{"Octubre";"Noviembre";"Diciembre"},$G$6:$G$292,"Cross selling",$B$6:$B292,"&lt;&gt;Perdido"))</f>
        <v>4251</v>
      </c>
      <c r="S3" s="805" cm="1">
        <f t="array" ref="S3">SUM(SUMIFS($L$6:$L$292,$E$6:$E$292,S2,$D$6:$D$292,{"Octubre";"Noviembre";"Diciembre"},$G$6:$G$292,"Cross selling",$B$6:$B292,"&lt;&gt;Perdido"))</f>
        <v>5208</v>
      </c>
      <c r="T3" s="805" cm="1">
        <f t="array" ref="T3">SUM(SUMIFS($L$6:$L$292,$E$6:$E$292,T2,$D$6:$D$292,{"Octubre";"Noviembre";"Diciembre"},$G$6:$G$292,"Cross selling",$B$6:$B292,"&lt;&gt;Perdido"))</f>
        <v>25589.739999999998</v>
      </c>
      <c r="U3" s="43">
        <f>U4*D3</f>
        <v>13248</v>
      </c>
    </row>
    <row r="4" spans="1:21" s="99" customFormat="1" ht="18.95" customHeight="1">
      <c r="A4" s="740"/>
      <c r="B4" s="740"/>
      <c r="C4" s="740"/>
      <c r="D4" s="740"/>
      <c r="E4" s="740"/>
      <c r="F4" s="740"/>
      <c r="G4" s="740"/>
      <c r="H4" s="740"/>
      <c r="I4" s="740"/>
      <c r="J4" s="740"/>
      <c r="K4" s="740" t="s">
        <v>2865</v>
      </c>
      <c r="L4" s="784" cm="1">
        <f t="array" ref="L4">SUM(SUMIFS($M$6:$M$292,$E$6:$E$292,L2,$D$6:$D$292,{"Abril";"Mayo";"Junio"},$G$6:$G$292,"Cross selling",$B$6:$B292,"&lt;&gt;Perdido"))</f>
        <v>933.71428571428567</v>
      </c>
      <c r="M4" s="784" cm="1">
        <f t="array" ref="M4">SUM(SUMIFS($M$6:$M$292,$E$6:$E$292,M2,$D$6:$D$292,{"Abril";"Mayo";"Junio"},$G$6:$G$292,"Cross selling",$B$6:$B292,"&lt;&gt;Perdido"))</f>
        <v>1588.5714285714284</v>
      </c>
      <c r="N4" s="784" cm="1">
        <f t="array" ref="N4">SUM(SUMIFS($M$6:$M$292,$E$6:$E$292,N2,$D$6:$D$292,{"Abril";"Mayo";"Junio"},$G$6:$G$292,"Cross selling",$B$6:$B292,"&lt;&gt;Perdido"))</f>
        <v>1214.6485714285714</v>
      </c>
      <c r="O4" s="805" cm="1">
        <f t="array" ref="O4">SUM(SUMIFS($M$6:$M$292,$E$6:$E$292,O2,$D$6:$D$292,{"Julio";"Agosto";"Septiembre"},$G$6:$G$292,"Cross selling",$B$6:$B292,"&lt;&gt;Perdido"))</f>
        <v>62.222222222222221</v>
      </c>
      <c r="P4" s="784" cm="1">
        <f t="array" ref="P4">SUM(SUMIFS($M$6:$M$292,$E$6:$E$292,P2,$D$6:$D$292,{"Julio";"Agosto";"Septiembre"},$G$6:$G$292,"Cross selling",$B$6:$B292,"&lt;&gt;Perdido"))</f>
        <v>230.55555555555554</v>
      </c>
      <c r="Q4" s="781" cm="1">
        <f t="array" ref="Q4">SUM(SUMIFS($M$6:$M$292,$E$6:$E$292,Q2,$D$6:$D$292,{"Julio";"Agosto";"Septiembre"},$G$6:$G$292,"Cross selling",$B$6:$B292,"&lt;&gt;Perdido"))</f>
        <v>1469.4444444444443</v>
      </c>
      <c r="R4" s="805" cm="1">
        <f t="array" ref="R4">SUM(SUMIFS($M$6:$M$292,$E$6:$E$292,R2,$D$6:$D$292,{"Octubre";"Noviembre";"Diciembre"},$G$6:$G$292,"Cross selling",$B$6:$B292,"&lt;&gt;Perdido"))</f>
        <v>242.11111111111109</v>
      </c>
      <c r="S4" s="805" cm="1">
        <f t="array" ref="S4">SUM(SUMIFS($M$6:$M$292,$E$6:$E$292,S2,$D$6:$D$292,{"Octubre";"Noviembre";"Diciembre"},$G$6:$G$292,"Cross selling",$B$6:$B292,"&lt;&gt;Perdido"))</f>
        <v>297.60000000000002</v>
      </c>
      <c r="T4" s="805" cm="1">
        <f t="array" ref="T4">SUM(SUMIFS($M$6:$M$292,$E$6:$E$292,T2,$D$6:$D$292,{"Octubre";"Noviembre";"Diciembre"},$G$6:$G$292,"Cross selling",$B$6:$B292,"&lt;&gt;Perdido"))</f>
        <v>1433.1442857142858</v>
      </c>
      <c r="U4" s="43">
        <v>736</v>
      </c>
    </row>
    <row r="5" spans="1:21" s="99" customFormat="1" ht="30" customHeight="1">
      <c r="A5" s="745" t="s">
        <v>2866</v>
      </c>
      <c r="B5" s="745" t="s">
        <v>33</v>
      </c>
      <c r="C5" s="745" t="s">
        <v>2786</v>
      </c>
      <c r="D5" s="745" t="s">
        <v>2867</v>
      </c>
      <c r="E5" s="745" t="s">
        <v>5</v>
      </c>
      <c r="F5" s="745" t="s">
        <v>2868</v>
      </c>
      <c r="G5" s="745" t="s">
        <v>2869</v>
      </c>
      <c r="H5" s="745" t="s">
        <v>2838</v>
      </c>
      <c r="I5" s="745" t="s">
        <v>2870</v>
      </c>
      <c r="J5" s="745" t="s">
        <v>2871</v>
      </c>
      <c r="K5" s="745" t="s">
        <v>2872</v>
      </c>
      <c r="L5" s="745" t="s">
        <v>2864</v>
      </c>
      <c r="M5" s="745" t="s">
        <v>2865</v>
      </c>
      <c r="N5" s="745" t="s">
        <v>2873</v>
      </c>
      <c r="O5" s="745" t="s">
        <v>2874</v>
      </c>
      <c r="P5" s="745" t="s">
        <v>19</v>
      </c>
      <c r="Q5" s="745" t="s">
        <v>2875</v>
      </c>
      <c r="R5" s="745" t="s">
        <v>2876</v>
      </c>
      <c r="S5"/>
      <c r="T5"/>
      <c r="U5"/>
    </row>
    <row r="6" spans="1:21" s="99" customFormat="1" hidden="1">
      <c r="A6" s="746"/>
      <c r="B6" s="757" t="s">
        <v>2877</v>
      </c>
      <c r="C6" s="757" t="s">
        <v>2788</v>
      </c>
      <c r="D6" s="757" t="s">
        <v>22</v>
      </c>
      <c r="E6" s="746" t="s">
        <v>73</v>
      </c>
      <c r="F6" s="746" t="s">
        <v>2878</v>
      </c>
      <c r="G6" s="746" t="s">
        <v>2814</v>
      </c>
      <c r="H6" s="746" t="s">
        <v>52</v>
      </c>
      <c r="I6" s="746" t="str">
        <f>IFERROR(INDEX('[1]MARE MX'!$H:$H,MATCH("*"&amp;F6&amp;"*",'[1]MARE MX'!$F:$F,0)),"Sin dato")</f>
        <v>ENTERPRISE</v>
      </c>
      <c r="J6" s="761">
        <v>197</v>
      </c>
      <c r="K6" s="762">
        <v>10</v>
      </c>
      <c r="L6" s="762">
        <f>K6*J6</f>
        <v>1970</v>
      </c>
      <c r="M6" s="762">
        <f>L6/$B$3</f>
        <v>111.61473087818698</v>
      </c>
      <c r="N6" s="746" t="s">
        <v>2879</v>
      </c>
      <c r="O6" s="753"/>
      <c r="P6" s="746"/>
      <c r="Q6" s="746"/>
      <c r="R6" s="772"/>
      <c r="S6"/>
      <c r="T6"/>
      <c r="U6"/>
    </row>
    <row r="7" spans="1:21" s="99" customFormat="1" hidden="1">
      <c r="A7" s="748" t="s">
        <v>2880</v>
      </c>
      <c r="B7" s="758" t="s">
        <v>2877</v>
      </c>
      <c r="C7" s="758" t="s">
        <v>2788</v>
      </c>
      <c r="D7" s="758" t="s">
        <v>22</v>
      </c>
      <c r="E7" s="747" t="s">
        <v>439</v>
      </c>
      <c r="F7" s="747" t="s">
        <v>2881</v>
      </c>
      <c r="G7" s="747" t="s">
        <v>2882</v>
      </c>
      <c r="H7" s="747" t="s">
        <v>2883</v>
      </c>
      <c r="I7" s="747" t="str">
        <f>IFERROR(INDEX('[1]MARE MX'!$H:$H,MATCH("*"&amp;F7&amp;"*",'[1]MARE MX'!$F:$F,0)),"Sin dato")</f>
        <v>SMB</v>
      </c>
      <c r="J7" s="763">
        <v>7</v>
      </c>
      <c r="K7" s="764">
        <v>287</v>
      </c>
      <c r="L7" s="764">
        <f>K7*J7</f>
        <v>2009</v>
      </c>
      <c r="M7" s="764">
        <f>L7/$B$3</f>
        <v>113.8243626062323</v>
      </c>
      <c r="N7" s="747"/>
      <c r="O7" s="754"/>
      <c r="P7" s="747"/>
      <c r="Q7" s="747"/>
      <c r="R7" s="773"/>
      <c r="S7"/>
      <c r="T7"/>
      <c r="U7"/>
    </row>
    <row r="8" spans="1:21" s="99" customFormat="1" hidden="1">
      <c r="A8" s="748" t="s">
        <v>2880</v>
      </c>
      <c r="B8" s="758" t="s">
        <v>2877</v>
      </c>
      <c r="C8" s="758" t="s">
        <v>2788</v>
      </c>
      <c r="D8" s="758" t="s">
        <v>22</v>
      </c>
      <c r="E8" s="747" t="s">
        <v>93</v>
      </c>
      <c r="F8" s="747" t="s">
        <v>2884</v>
      </c>
      <c r="G8" s="747" t="s">
        <v>2814</v>
      </c>
      <c r="H8" s="747" t="s">
        <v>2885</v>
      </c>
      <c r="I8" s="747" t="str">
        <f>IFERROR(INDEX('[1]MARE MX'!$H:$H,MATCH("*"&amp;F8&amp;"*",'[1]MARE MX'!$F:$F,0)),"Sin dato")</f>
        <v>ENTERPRISE</v>
      </c>
      <c r="J8" s="763">
        <v>900</v>
      </c>
      <c r="K8" s="764">
        <f>0.25*0.9</f>
        <v>0.22500000000000001</v>
      </c>
      <c r="L8" s="785"/>
      <c r="M8" s="785">
        <f>L8/$D$3</f>
        <v>0</v>
      </c>
      <c r="N8" s="747" t="s">
        <v>2879</v>
      </c>
      <c r="O8" s="754"/>
      <c r="P8" s="747"/>
      <c r="Q8" s="747"/>
      <c r="R8" s="773"/>
      <c r="S8"/>
      <c r="T8"/>
      <c r="U8"/>
    </row>
    <row r="9" spans="1:21" s="99" customFormat="1" hidden="1">
      <c r="A9" s="747"/>
      <c r="B9" s="758" t="s">
        <v>2877</v>
      </c>
      <c r="C9" s="758" t="s">
        <v>2788</v>
      </c>
      <c r="D9" s="758" t="s">
        <v>23</v>
      </c>
      <c r="E9" s="747" t="s">
        <v>73</v>
      </c>
      <c r="F9" s="747" t="s">
        <v>2886</v>
      </c>
      <c r="G9" s="747" t="s">
        <v>2814</v>
      </c>
      <c r="H9" s="747" t="s">
        <v>2887</v>
      </c>
      <c r="I9" s="747" t="str">
        <f>IFERROR(INDEX('[1]MARE MX'!$H:$H,MATCH("*"&amp;F9&amp;"*",'[1]MARE MX'!$F:$F,0)),"Sin dato")</f>
        <v>ENTERPRISE</v>
      </c>
      <c r="J9" s="763">
        <v>197</v>
      </c>
      <c r="K9" s="764">
        <v>10</v>
      </c>
      <c r="L9" s="764">
        <f>K9*J9</f>
        <v>1970</v>
      </c>
      <c r="M9" s="764">
        <f>L9/$B$3</f>
        <v>111.61473087818698</v>
      </c>
      <c r="N9" s="747" t="s">
        <v>2879</v>
      </c>
      <c r="O9" s="754"/>
      <c r="P9" s="747"/>
      <c r="Q9" s="747"/>
      <c r="R9" s="773"/>
      <c r="S9"/>
      <c r="T9"/>
      <c r="U9"/>
    </row>
    <row r="10" spans="1:21" s="99" customFormat="1" hidden="1">
      <c r="A10" s="747"/>
      <c r="B10" s="758" t="s">
        <v>2877</v>
      </c>
      <c r="C10" s="758" t="s">
        <v>2788</v>
      </c>
      <c r="D10" s="758" t="s">
        <v>23</v>
      </c>
      <c r="E10" s="747" t="s">
        <v>73</v>
      </c>
      <c r="F10" s="747" t="s">
        <v>2888</v>
      </c>
      <c r="G10" s="747" t="s">
        <v>2814</v>
      </c>
      <c r="H10" s="747" t="s">
        <v>2889</v>
      </c>
      <c r="I10" s="747" t="str">
        <f>IFERROR(INDEX('[1]MARE MX'!$H:$H,MATCH("*"&amp;F10&amp;"*",'[1]MARE MX'!$F:$F,0)),"Sin dato")</f>
        <v>ENTERPRISE</v>
      </c>
      <c r="J10" s="763"/>
      <c r="K10" s="764"/>
      <c r="L10" s="764">
        <v>5389</v>
      </c>
      <c r="M10" s="764">
        <f>L10/$B$3</f>
        <v>305.32577903682721</v>
      </c>
      <c r="N10" s="747" t="s">
        <v>2879</v>
      </c>
      <c r="O10" s="754"/>
      <c r="P10" s="747"/>
      <c r="Q10" s="747"/>
      <c r="R10" s="773"/>
      <c r="S10"/>
      <c r="T10"/>
      <c r="U10"/>
    </row>
    <row r="11" spans="1:21" s="99" customFormat="1" hidden="1">
      <c r="A11" s="748" t="s">
        <v>2880</v>
      </c>
      <c r="B11" s="758" t="s">
        <v>2877</v>
      </c>
      <c r="C11" s="758" t="s">
        <v>2788</v>
      </c>
      <c r="D11" s="758" t="s">
        <v>23</v>
      </c>
      <c r="E11" s="747" t="s">
        <v>73</v>
      </c>
      <c r="F11" s="747" t="s">
        <v>2890</v>
      </c>
      <c r="G11" s="747" t="s">
        <v>2813</v>
      </c>
      <c r="H11" s="747" t="s">
        <v>2891</v>
      </c>
      <c r="I11" s="747" t="str">
        <f>IFERROR(INDEX('[1]MARE MX'!$H:$H,MATCH("*"&amp;F11&amp;"*",'[1]MARE MX'!$F:$F,0)),"Sin dato")</f>
        <v>ENTERPRISE</v>
      </c>
      <c r="J11" s="763">
        <v>558</v>
      </c>
      <c r="K11" s="764">
        <v>22</v>
      </c>
      <c r="L11" s="764">
        <f>K11*J11</f>
        <v>12276</v>
      </c>
      <c r="M11" s="764">
        <f>L11/$B$3</f>
        <v>695.5240793201134</v>
      </c>
      <c r="N11" s="747" t="s">
        <v>2892</v>
      </c>
      <c r="O11" s="754"/>
      <c r="P11" s="747"/>
      <c r="Q11" s="747"/>
      <c r="R11" s="773"/>
      <c r="S11"/>
      <c r="T11"/>
      <c r="U11"/>
    </row>
    <row r="12" spans="1:21" s="99" customFormat="1">
      <c r="A12" s="748" t="s">
        <v>2880</v>
      </c>
      <c r="B12" s="758" t="s">
        <v>2877</v>
      </c>
      <c r="C12" s="758" t="s">
        <v>2788</v>
      </c>
      <c r="D12" s="758" t="s">
        <v>23</v>
      </c>
      <c r="E12" s="747" t="s">
        <v>439</v>
      </c>
      <c r="F12" s="747" t="s">
        <v>2893</v>
      </c>
      <c r="G12" s="747" t="s">
        <v>2814</v>
      </c>
      <c r="H12" s="747" t="s">
        <v>2894</v>
      </c>
      <c r="I12" s="747" t="str">
        <f>IFERROR(INDEX('[1]MARE MX'!$H:$H,MATCH("*"&amp;F12&amp;"*",'[1]MARE MX'!$F:$F,0)),"Sin dato")</f>
        <v>SMB</v>
      </c>
      <c r="J12" s="763">
        <v>74</v>
      </c>
      <c r="K12" s="764">
        <v>6</v>
      </c>
      <c r="L12" s="764">
        <f>K12*J12</f>
        <v>444</v>
      </c>
      <c r="M12" s="764">
        <f>L12/$B$3</f>
        <v>25.155807365439095</v>
      </c>
      <c r="N12" s="747" t="s">
        <v>2895</v>
      </c>
      <c r="O12" s="754"/>
      <c r="P12" s="747"/>
      <c r="Q12" s="747"/>
      <c r="R12" s="773"/>
      <c r="S12"/>
      <c r="T12"/>
      <c r="U12"/>
    </row>
    <row r="13" spans="1:21" s="217" customFormat="1" hidden="1">
      <c r="A13" s="748" t="s">
        <v>2880</v>
      </c>
      <c r="B13" s="758" t="s">
        <v>2877</v>
      </c>
      <c r="C13" s="758" t="s">
        <v>2788</v>
      </c>
      <c r="D13" s="758" t="s">
        <v>23</v>
      </c>
      <c r="E13" s="747" t="s">
        <v>439</v>
      </c>
      <c r="F13" s="747" t="s">
        <v>2896</v>
      </c>
      <c r="G13" s="747" t="s">
        <v>2813</v>
      </c>
      <c r="H13" s="747" t="s">
        <v>2897</v>
      </c>
      <c r="I13" s="747" t="str">
        <f>IFERROR(INDEX('[1]MARE MX'!$H:$H,MATCH("*"&amp;F13&amp;"*",'[1]MARE MX'!$F:$F,0)),"Sin dato")</f>
        <v>SMB</v>
      </c>
      <c r="J13" s="763">
        <v>100</v>
      </c>
      <c r="K13" s="764">
        <v>29</v>
      </c>
      <c r="L13" s="764">
        <f>K13*J13</f>
        <v>2900</v>
      </c>
      <c r="M13" s="764">
        <f>L13/$B$3</f>
        <v>164.3059490084986</v>
      </c>
      <c r="N13" s="747"/>
      <c r="O13" s="754"/>
      <c r="P13" s="747"/>
      <c r="Q13" s="747"/>
      <c r="R13" s="773"/>
      <c r="S13"/>
      <c r="T13"/>
      <c r="U13"/>
    </row>
    <row r="14" spans="1:21" s="217" customFormat="1" hidden="1">
      <c r="A14" s="748" t="s">
        <v>2880</v>
      </c>
      <c r="B14" s="758" t="s">
        <v>2877</v>
      </c>
      <c r="C14" s="758" t="s">
        <v>2788</v>
      </c>
      <c r="D14" s="758" t="s">
        <v>24</v>
      </c>
      <c r="E14" s="747" t="s">
        <v>73</v>
      </c>
      <c r="F14" s="747" t="s">
        <v>2890</v>
      </c>
      <c r="G14" s="747" t="s">
        <v>2814</v>
      </c>
      <c r="H14" s="747" t="s">
        <v>2887</v>
      </c>
      <c r="I14" s="747" t="str">
        <f>IFERROR(INDEX('[1]MARE MX'!$H:$H,MATCH("*"&amp;F14&amp;"*",'[1]MARE MX'!$F:$F,0)),"Sin dato")</f>
        <v>ENTERPRISE</v>
      </c>
      <c r="J14" s="763">
        <v>15</v>
      </c>
      <c r="K14" s="764">
        <v>22</v>
      </c>
      <c r="L14" s="764">
        <f>K14*J14</f>
        <v>330</v>
      </c>
      <c r="M14" s="764">
        <f>L14/$B$3</f>
        <v>18.696883852691219</v>
      </c>
      <c r="N14" s="747" t="s">
        <v>2879</v>
      </c>
      <c r="O14" s="754"/>
      <c r="P14" s="747"/>
      <c r="Q14" s="747"/>
      <c r="R14" s="773"/>
      <c r="S14"/>
      <c r="T14"/>
      <c r="U14"/>
    </row>
    <row r="15" spans="1:21" s="217" customFormat="1" hidden="1">
      <c r="A15" s="748" t="s">
        <v>2880</v>
      </c>
      <c r="B15" s="758" t="s">
        <v>2877</v>
      </c>
      <c r="C15" s="758" t="s">
        <v>2788</v>
      </c>
      <c r="D15" s="758" t="s">
        <v>24</v>
      </c>
      <c r="E15" s="747" t="s">
        <v>73</v>
      </c>
      <c r="F15" s="747" t="s">
        <v>2890</v>
      </c>
      <c r="G15" s="747" t="s">
        <v>2813</v>
      </c>
      <c r="H15" s="747" t="s">
        <v>2898</v>
      </c>
      <c r="I15" s="747" t="str">
        <f>IFERROR(INDEX('[1]MARE MX'!$H:$H,MATCH("*"&amp;F15&amp;"*",'[1]MARE MX'!$F:$F,0)),"Sin dato")</f>
        <v>ENTERPRISE</v>
      </c>
      <c r="J15" s="763">
        <v>200</v>
      </c>
      <c r="K15" s="764">
        <v>22</v>
      </c>
      <c r="L15" s="764">
        <f>K15*J15</f>
        <v>4400</v>
      </c>
      <c r="M15" s="764">
        <f>L15/$B$3</f>
        <v>249.29178470254959</v>
      </c>
      <c r="N15" s="747" t="s">
        <v>2892</v>
      </c>
      <c r="O15" s="754"/>
      <c r="P15" s="747"/>
      <c r="Q15" s="747"/>
      <c r="R15" s="773"/>
      <c r="S15"/>
      <c r="T15"/>
      <c r="U15"/>
    </row>
    <row r="16" spans="1:21" s="217" customFormat="1" hidden="1">
      <c r="A16" s="748" t="s">
        <v>2880</v>
      </c>
      <c r="B16" s="758" t="s">
        <v>2877</v>
      </c>
      <c r="C16" s="758" t="s">
        <v>2788</v>
      </c>
      <c r="D16" s="758" t="s">
        <v>24</v>
      </c>
      <c r="E16" s="747" t="s">
        <v>73</v>
      </c>
      <c r="F16" s="747" t="s">
        <v>2899</v>
      </c>
      <c r="G16" s="747" t="s">
        <v>2814</v>
      </c>
      <c r="H16" s="747" t="s">
        <v>2900</v>
      </c>
      <c r="I16" s="747" t="str">
        <f>IFERROR(INDEX('[1]MARE MX'!$H:$H,MATCH("*"&amp;F16&amp;"*",'[1]MARE MX'!$F:$F,0)),"Sin dato")</f>
        <v>ENTERPRISE</v>
      </c>
      <c r="J16" s="763">
        <v>228</v>
      </c>
      <c r="K16" s="764">
        <v>12</v>
      </c>
      <c r="L16" s="764">
        <f>K16*J16</f>
        <v>2736</v>
      </c>
      <c r="M16" s="764">
        <f>L16/$B$3</f>
        <v>155.01416430594901</v>
      </c>
      <c r="N16" s="747" t="s">
        <v>2879</v>
      </c>
      <c r="O16" s="754"/>
      <c r="P16" s="747"/>
      <c r="Q16" s="747"/>
      <c r="R16" s="773"/>
      <c r="S16"/>
      <c r="T16"/>
      <c r="U16"/>
    </row>
    <row r="17" spans="1:21" s="217" customFormat="1" hidden="1">
      <c r="A17" s="748" t="s">
        <v>2880</v>
      </c>
      <c r="B17" s="758" t="s">
        <v>2877</v>
      </c>
      <c r="C17" s="758" t="s">
        <v>2788</v>
      </c>
      <c r="D17" s="758" t="s">
        <v>24</v>
      </c>
      <c r="E17" s="747" t="s">
        <v>73</v>
      </c>
      <c r="F17" s="747" t="s">
        <v>2899</v>
      </c>
      <c r="G17" s="747" t="s">
        <v>2813</v>
      </c>
      <c r="H17" s="747" t="s">
        <v>2901</v>
      </c>
      <c r="I17" s="747" t="str">
        <f>IFERROR(INDEX('[1]MARE MX'!$H:$H,MATCH("*"&amp;F17&amp;"*",'[1]MARE MX'!$F:$F,0)),"Sin dato")</f>
        <v>ENTERPRISE</v>
      </c>
      <c r="J17" s="763">
        <v>228</v>
      </c>
      <c r="K17" s="764">
        <v>32</v>
      </c>
      <c r="L17" s="764">
        <f>K17*J17</f>
        <v>7296</v>
      </c>
      <c r="M17" s="764">
        <f>L17/$B$3</f>
        <v>413.37110481586404</v>
      </c>
      <c r="N17" s="747" t="s">
        <v>2892</v>
      </c>
      <c r="O17" s="754"/>
      <c r="P17" s="747"/>
      <c r="Q17" s="747"/>
      <c r="R17" s="773"/>
      <c r="S17"/>
      <c r="T17"/>
      <c r="U17"/>
    </row>
    <row r="18" spans="1:21" s="217" customFormat="1" hidden="1">
      <c r="A18" s="748" t="s">
        <v>2880</v>
      </c>
      <c r="B18" s="758" t="s">
        <v>2877</v>
      </c>
      <c r="C18" s="758" t="s">
        <v>2788</v>
      </c>
      <c r="D18" s="758" t="s">
        <v>24</v>
      </c>
      <c r="E18" s="747" t="s">
        <v>73</v>
      </c>
      <c r="F18" s="747" t="s">
        <v>2899</v>
      </c>
      <c r="G18" s="747" t="s">
        <v>2813</v>
      </c>
      <c r="H18" s="747" t="s">
        <v>2902</v>
      </c>
      <c r="I18" s="747" t="str">
        <f>IFERROR(INDEX('[1]MARE MX'!$H:$H,MATCH("*"&amp;F18&amp;"*",'[1]MARE MX'!$F:$F,0)),"Sin dato")</f>
        <v>ENTERPRISE</v>
      </c>
      <c r="J18" s="763">
        <v>319</v>
      </c>
      <c r="K18" s="764">
        <v>32</v>
      </c>
      <c r="L18" s="764">
        <f>K18*J18</f>
        <v>10208</v>
      </c>
      <c r="M18" s="764">
        <f>L18/$B$3</f>
        <v>578.35694050991503</v>
      </c>
      <c r="N18" s="747" t="s">
        <v>2892</v>
      </c>
      <c r="O18" s="754"/>
      <c r="P18" s="747"/>
      <c r="Q18" s="747"/>
      <c r="R18" s="773"/>
      <c r="S18"/>
      <c r="T18"/>
      <c r="U18"/>
    </row>
    <row r="19" spans="1:21" s="217" customFormat="1" hidden="1">
      <c r="A19" s="747"/>
      <c r="B19" s="758" t="s">
        <v>2877</v>
      </c>
      <c r="C19" s="758" t="s">
        <v>2788</v>
      </c>
      <c r="D19" s="758" t="s">
        <v>24</v>
      </c>
      <c r="E19" s="747" t="s">
        <v>73</v>
      </c>
      <c r="F19" s="747" t="s">
        <v>2903</v>
      </c>
      <c r="G19" s="747" t="s">
        <v>2814</v>
      </c>
      <c r="H19" s="747" t="s">
        <v>2904</v>
      </c>
      <c r="I19" s="747" t="str">
        <f>IFERROR(INDEX('[1]MARE MX'!$H:$H,MATCH("*"&amp;F19&amp;"*",'[1]MARE MX'!$F:$F,0)),"Sin dato")</f>
        <v>SMB</v>
      </c>
      <c r="J19" s="763">
        <v>97</v>
      </c>
      <c r="K19" s="764">
        <v>10</v>
      </c>
      <c r="L19" s="764">
        <f>K19*J19</f>
        <v>970</v>
      </c>
      <c r="M19" s="764">
        <f>L19/$B$3</f>
        <v>54.957507082152979</v>
      </c>
      <c r="N19" s="747" t="s">
        <v>2879</v>
      </c>
      <c r="O19" s="754"/>
      <c r="P19" s="747"/>
      <c r="Q19" s="747"/>
      <c r="R19" s="773"/>
      <c r="S19"/>
      <c r="T19"/>
      <c r="U19"/>
    </row>
    <row r="20" spans="1:21" s="217" customFormat="1" hidden="1">
      <c r="A20" s="747"/>
      <c r="B20" s="758" t="s">
        <v>2877</v>
      </c>
      <c r="C20" s="758" t="s">
        <v>2788</v>
      </c>
      <c r="D20" s="758" t="s">
        <v>24</v>
      </c>
      <c r="E20" s="747" t="s">
        <v>73</v>
      </c>
      <c r="F20" s="747" t="s">
        <v>2903</v>
      </c>
      <c r="G20" s="747" t="s">
        <v>2814</v>
      </c>
      <c r="H20" s="747" t="s">
        <v>53</v>
      </c>
      <c r="I20" s="747" t="str">
        <f>IFERROR(INDEX('[1]MARE MX'!$H:$H,MATCH("*"&amp;F20&amp;"*",'[1]MARE MX'!$F:$F,0)),"Sin dato")</f>
        <v>SMB</v>
      </c>
      <c r="J20" s="763">
        <v>97</v>
      </c>
      <c r="K20" s="764">
        <v>10</v>
      </c>
      <c r="L20" s="764">
        <f>K20*J20</f>
        <v>970</v>
      </c>
      <c r="M20" s="764">
        <f>L20/$B$3</f>
        <v>54.957507082152979</v>
      </c>
      <c r="N20" s="747" t="s">
        <v>2879</v>
      </c>
      <c r="O20" s="754"/>
      <c r="P20" s="747"/>
      <c r="Q20" s="747"/>
      <c r="R20" s="773"/>
      <c r="S20"/>
      <c r="T20"/>
      <c r="U20"/>
    </row>
    <row r="21" spans="1:21" s="218" customFormat="1" hidden="1">
      <c r="A21" s="748" t="s">
        <v>2880</v>
      </c>
      <c r="B21" s="758" t="s">
        <v>2877</v>
      </c>
      <c r="C21" s="758" t="s">
        <v>2788</v>
      </c>
      <c r="D21" s="758" t="s">
        <v>24</v>
      </c>
      <c r="E21" s="747" t="s">
        <v>439</v>
      </c>
      <c r="F21" s="747" t="s">
        <v>2905</v>
      </c>
      <c r="G21" s="747" t="s">
        <v>2813</v>
      </c>
      <c r="H21" s="747" t="s">
        <v>2897</v>
      </c>
      <c r="I21" s="747" t="str">
        <f>IFERROR(INDEX('[1]MARE MX'!$H:$H,MATCH("*"&amp;F21&amp;"*",'[1]MARE MX'!$F:$F,0)),"Sin dato")</f>
        <v>SMB</v>
      </c>
      <c r="J21" s="763">
        <v>38</v>
      </c>
      <c r="K21" s="764">
        <v>34.04</v>
      </c>
      <c r="L21" s="764">
        <f>K21*J21</f>
        <v>1293.52</v>
      </c>
      <c r="M21" s="764">
        <f>L21/$B$3</f>
        <v>73.287252124645903</v>
      </c>
      <c r="N21" s="747"/>
      <c r="O21" s="754"/>
      <c r="P21" s="747"/>
      <c r="Q21" s="747"/>
      <c r="R21" s="773"/>
      <c r="S21"/>
      <c r="T21"/>
      <c r="U21"/>
    </row>
    <row r="22" spans="1:21" s="218" customFormat="1" hidden="1">
      <c r="A22" s="748" t="s">
        <v>2880</v>
      </c>
      <c r="B22" s="758" t="s">
        <v>2877</v>
      </c>
      <c r="C22" s="758" t="s">
        <v>2788</v>
      </c>
      <c r="D22" s="758" t="s">
        <v>24</v>
      </c>
      <c r="E22" s="747" t="s">
        <v>439</v>
      </c>
      <c r="F22" s="747" t="s">
        <v>2906</v>
      </c>
      <c r="G22" s="747" t="s">
        <v>2813</v>
      </c>
      <c r="H22" s="747" t="s">
        <v>2897</v>
      </c>
      <c r="I22" s="747" t="str">
        <f>IFERROR(INDEX('[1]MARE MX'!$H:$H,MATCH("*"&amp;F22&amp;"*",'[1]MARE MX'!$F:$F,0)),"Sin dato")</f>
        <v>SMB</v>
      </c>
      <c r="J22" s="763">
        <v>57</v>
      </c>
      <c r="K22" s="764">
        <v>46.66</v>
      </c>
      <c r="L22" s="764">
        <f>K22*J22</f>
        <v>2659.62</v>
      </c>
      <c r="M22" s="764">
        <f>L22/$B$3</f>
        <v>150.68668555240794</v>
      </c>
      <c r="N22" s="747"/>
      <c r="O22" s="754"/>
      <c r="P22" s="747"/>
      <c r="Q22" s="747"/>
      <c r="R22" s="773"/>
      <c r="S22"/>
      <c r="T22"/>
      <c r="U22"/>
    </row>
    <row r="23" spans="1:21" s="218" customFormat="1">
      <c r="A23" s="748" t="s">
        <v>2880</v>
      </c>
      <c r="B23" s="758" t="s">
        <v>2877</v>
      </c>
      <c r="C23" s="758" t="s">
        <v>2788</v>
      </c>
      <c r="D23" s="758" t="s">
        <v>24</v>
      </c>
      <c r="E23" s="747" t="s">
        <v>439</v>
      </c>
      <c r="F23" s="747" t="s">
        <v>2907</v>
      </c>
      <c r="G23" s="747" t="s">
        <v>2814</v>
      </c>
      <c r="H23" s="747" t="s">
        <v>2887</v>
      </c>
      <c r="I23" s="747" t="str">
        <f>IFERROR(INDEX('[1]MARE MX'!$H:$H,MATCH("*"&amp;F23&amp;"*",'[1]MARE MX'!$F:$F,0)),"Sin dato")</f>
        <v>SMB</v>
      </c>
      <c r="J23" s="763">
        <v>40</v>
      </c>
      <c r="K23" s="764">
        <v>10</v>
      </c>
      <c r="L23" s="764">
        <f>K23*J23</f>
        <v>400</v>
      </c>
      <c r="M23" s="764">
        <f>L23/$B$3</f>
        <v>22.6628895184136</v>
      </c>
      <c r="N23" s="747"/>
      <c r="O23" s="754"/>
      <c r="P23" s="747"/>
      <c r="Q23" s="747"/>
      <c r="R23" s="773"/>
      <c r="S23"/>
      <c r="T23"/>
      <c r="U23"/>
    </row>
    <row r="24" spans="1:21" s="218" customFormat="1">
      <c r="A24" s="748" t="s">
        <v>2880</v>
      </c>
      <c r="B24" s="758" t="s">
        <v>2877</v>
      </c>
      <c r="C24" s="758" t="s">
        <v>2788</v>
      </c>
      <c r="D24" s="758" t="s">
        <v>24</v>
      </c>
      <c r="E24" s="747" t="s">
        <v>439</v>
      </c>
      <c r="F24" s="747" t="s">
        <v>2908</v>
      </c>
      <c r="G24" s="747" t="s">
        <v>2814</v>
      </c>
      <c r="H24" s="747" t="s">
        <v>2904</v>
      </c>
      <c r="I24" s="747" t="str">
        <f>IFERROR(INDEX('[1]MARE MX'!$H:$H,MATCH("*"&amp;F24&amp;"*",'[1]MARE MX'!$F:$F,0)),"Sin dato")</f>
        <v>Sin dato</v>
      </c>
      <c r="J24" s="763">
        <v>10</v>
      </c>
      <c r="K24" s="764">
        <v>35</v>
      </c>
      <c r="L24" s="764">
        <f>K24*J24</f>
        <v>350</v>
      </c>
      <c r="M24" s="764">
        <f>L24/$B$3</f>
        <v>19.830028328611899</v>
      </c>
      <c r="N24" s="747" t="s">
        <v>2909</v>
      </c>
      <c r="O24" s="754"/>
      <c r="P24" s="747"/>
      <c r="Q24" s="747"/>
      <c r="R24" s="773"/>
      <c r="S24"/>
      <c r="T24"/>
      <c r="U24"/>
    </row>
    <row r="25" spans="1:21" s="218" customFormat="1">
      <c r="A25" s="748" t="s">
        <v>2880</v>
      </c>
      <c r="B25" s="758" t="s">
        <v>2877</v>
      </c>
      <c r="C25" s="758" t="s">
        <v>2788</v>
      </c>
      <c r="D25" s="758" t="s">
        <v>24</v>
      </c>
      <c r="E25" s="747" t="s">
        <v>439</v>
      </c>
      <c r="F25" s="747" t="s">
        <v>2910</v>
      </c>
      <c r="G25" s="747" t="s">
        <v>2814</v>
      </c>
      <c r="H25" s="747" t="s">
        <v>2904</v>
      </c>
      <c r="I25" s="747" t="str">
        <f>IFERROR(INDEX('[1]MARE MX'!$H:$H,MATCH("*"&amp;F25&amp;"*",'[1]MARE MX'!$F:$F,0)),"Sin dato")</f>
        <v>SMB</v>
      </c>
      <c r="J25" s="763">
        <v>35</v>
      </c>
      <c r="K25" s="764">
        <v>15</v>
      </c>
      <c r="L25" s="764">
        <f>K25*J25</f>
        <v>525</v>
      </c>
      <c r="M25" s="764">
        <f>L25/$B$3</f>
        <v>29.74504249291785</v>
      </c>
      <c r="N25" s="747" t="s">
        <v>2911</v>
      </c>
      <c r="O25" s="754"/>
      <c r="P25" s="747"/>
      <c r="Q25" s="747"/>
      <c r="R25" s="773"/>
      <c r="S25"/>
      <c r="T25"/>
      <c r="U25"/>
    </row>
    <row r="26" spans="1:21" s="218" customFormat="1" hidden="1">
      <c r="A26" s="748" t="s">
        <v>2880</v>
      </c>
      <c r="B26" s="758" t="s">
        <v>2877</v>
      </c>
      <c r="C26" s="758" t="s">
        <v>2788</v>
      </c>
      <c r="D26" s="758" t="s">
        <v>24</v>
      </c>
      <c r="E26" s="747" t="s">
        <v>93</v>
      </c>
      <c r="F26" s="747" t="s">
        <v>2912</v>
      </c>
      <c r="G26" s="747" t="s">
        <v>2814</v>
      </c>
      <c r="H26" s="747" t="s">
        <v>50</v>
      </c>
      <c r="I26" s="747" t="str">
        <f>IFERROR(INDEX('[1]MARE MX'!$H:$H,MATCH("*"&amp;F26&amp;"*",'[1]MARE MX'!$F:$F,0)),"Sin dato")</f>
        <v>ENTERPRISE</v>
      </c>
      <c r="J26" s="763">
        <v>5071</v>
      </c>
      <c r="K26" s="764">
        <v>2</v>
      </c>
      <c r="L26" s="785">
        <f>K26*J26</f>
        <v>10142</v>
      </c>
      <c r="M26" s="785">
        <f>L26/$B$3</f>
        <v>574.61756373937681</v>
      </c>
      <c r="N26" s="747" t="s">
        <v>2879</v>
      </c>
      <c r="O26" s="754"/>
      <c r="P26" s="747"/>
      <c r="Q26" s="747"/>
      <c r="R26" s="773"/>
      <c r="S26"/>
      <c r="T26"/>
      <c r="U26"/>
    </row>
    <row r="27" spans="1:21" s="222" customFormat="1" hidden="1">
      <c r="A27" s="748" t="s">
        <v>2880</v>
      </c>
      <c r="B27" s="758" t="s">
        <v>2877</v>
      </c>
      <c r="C27" s="758" t="s">
        <v>2788</v>
      </c>
      <c r="D27" s="758" t="s">
        <v>24</v>
      </c>
      <c r="E27" s="747" t="s">
        <v>93</v>
      </c>
      <c r="F27" s="747" t="s">
        <v>598</v>
      </c>
      <c r="G27" s="747" t="s">
        <v>2814</v>
      </c>
      <c r="H27" s="747" t="s">
        <v>2885</v>
      </c>
      <c r="I27" s="747" t="str">
        <f>IFERROR(INDEX('[1]MARE MX'!$H:$H,MATCH("*"&amp;F27&amp;"*",'[1]MARE MX'!$F:$F,0)),"Sin dato")</f>
        <v>ENTERPRISE</v>
      </c>
      <c r="J27" s="763">
        <v>714</v>
      </c>
      <c r="K27" s="764">
        <v>4.5</v>
      </c>
      <c r="L27" s="785">
        <f>K27*J27</f>
        <v>3213</v>
      </c>
      <c r="M27" s="785">
        <f>L27/$B$3</f>
        <v>182.03966005665723</v>
      </c>
      <c r="N27" s="747" t="s">
        <v>2879</v>
      </c>
      <c r="O27" s="754"/>
      <c r="P27" s="747"/>
      <c r="Q27" s="747"/>
      <c r="R27" s="773"/>
      <c r="S27"/>
      <c r="T27"/>
      <c r="U27"/>
    </row>
    <row r="28" spans="1:21" s="222" customFormat="1" hidden="1">
      <c r="A28" s="748" t="s">
        <v>2880</v>
      </c>
      <c r="B28" s="758" t="s">
        <v>2877</v>
      </c>
      <c r="C28" s="758" t="s">
        <v>2788</v>
      </c>
      <c r="D28" s="758" t="s">
        <v>24</v>
      </c>
      <c r="E28" s="747" t="s">
        <v>93</v>
      </c>
      <c r="F28" s="747" t="s">
        <v>539</v>
      </c>
      <c r="G28" s="747" t="s">
        <v>2813</v>
      </c>
      <c r="H28" s="747" t="s">
        <v>2897</v>
      </c>
      <c r="I28" s="747" t="str">
        <f>IFERROR(INDEX('[1]MARE MX'!$H:$H,MATCH("*"&amp;F28&amp;"*",'[1]MARE MX'!$F:$F,0)),"Sin dato")</f>
        <v>ENTERPRISE</v>
      </c>
      <c r="J28" s="763">
        <v>72</v>
      </c>
      <c r="K28" s="764">
        <v>47</v>
      </c>
      <c r="L28" s="764">
        <f>K28*J28</f>
        <v>3384</v>
      </c>
      <c r="M28" s="764">
        <f>L28/$B$3</f>
        <v>191.72804532577905</v>
      </c>
      <c r="N28" s="747"/>
      <c r="O28" s="754"/>
      <c r="P28" s="747"/>
      <c r="Q28" s="747"/>
      <c r="R28" s="773"/>
      <c r="S28"/>
      <c r="T28"/>
      <c r="U28"/>
    </row>
    <row r="29" spans="1:21" s="222" customFormat="1" hidden="1">
      <c r="A29" s="748" t="s">
        <v>2880</v>
      </c>
      <c r="B29" s="758" t="s">
        <v>2877</v>
      </c>
      <c r="C29" s="758" t="s">
        <v>2788</v>
      </c>
      <c r="D29" s="758" t="s">
        <v>24</v>
      </c>
      <c r="E29" s="747" t="s">
        <v>93</v>
      </c>
      <c r="F29" s="747" t="s">
        <v>2913</v>
      </c>
      <c r="G29" s="747" t="s">
        <v>2814</v>
      </c>
      <c r="H29" s="747" t="s">
        <v>2914</v>
      </c>
      <c r="I29" s="747" t="str">
        <f>IFERROR(INDEX('[1]MARE MX'!$H:$H,MATCH("*"&amp;F29&amp;"*",'[1]MARE MX'!$F:$F,0)),"Sin dato")</f>
        <v>SMB</v>
      </c>
      <c r="J29" s="763"/>
      <c r="K29" s="764"/>
      <c r="L29" s="785"/>
      <c r="M29" s="785">
        <f>L29/$D$3</f>
        <v>0</v>
      </c>
      <c r="N29" s="747" t="s">
        <v>2879</v>
      </c>
      <c r="O29" s="754"/>
      <c r="P29" s="747"/>
      <c r="Q29" s="747"/>
      <c r="R29" s="773"/>
      <c r="S29"/>
      <c r="T29"/>
      <c r="U29"/>
    </row>
    <row r="30" spans="1:21" s="222" customFormat="1" hidden="1">
      <c r="A30" s="748" t="s">
        <v>2880</v>
      </c>
      <c r="B30" s="758" t="s">
        <v>2877</v>
      </c>
      <c r="C30" s="758" t="s">
        <v>2788</v>
      </c>
      <c r="D30" s="758" t="s">
        <v>24</v>
      </c>
      <c r="E30" s="747" t="s">
        <v>93</v>
      </c>
      <c r="F30" s="747" t="s">
        <v>2915</v>
      </c>
      <c r="G30" s="747" t="s">
        <v>2814</v>
      </c>
      <c r="H30" s="747" t="s">
        <v>52</v>
      </c>
      <c r="I30" s="747" t="str">
        <f>IFERROR(INDEX('[1]MARE MX'!$H:$H,MATCH("*"&amp;F30&amp;"*",'[1]MARE MX'!$F:$F,0)),"Sin dato")</f>
        <v>ENTERPRISE</v>
      </c>
      <c r="J30" s="763">
        <v>444</v>
      </c>
      <c r="K30" s="764">
        <v>8</v>
      </c>
      <c r="L30" s="785">
        <f>K30*J30</f>
        <v>3552</v>
      </c>
      <c r="M30" s="785">
        <f>L30/$B$3</f>
        <v>201.24645892351276</v>
      </c>
      <c r="N30" s="747" t="s">
        <v>2879</v>
      </c>
      <c r="O30" s="754"/>
      <c r="P30" s="747"/>
      <c r="Q30" s="747"/>
      <c r="R30" s="773"/>
      <c r="S30"/>
      <c r="T30"/>
      <c r="U30"/>
    </row>
    <row r="31" spans="1:21" s="222" customFormat="1" hidden="1">
      <c r="A31" s="748" t="s">
        <v>2880</v>
      </c>
      <c r="B31" s="758" t="s">
        <v>2877</v>
      </c>
      <c r="C31" s="758" t="s">
        <v>2794</v>
      </c>
      <c r="D31" s="758" t="s">
        <v>25</v>
      </c>
      <c r="E31" s="747" t="s">
        <v>439</v>
      </c>
      <c r="F31" s="747" t="s">
        <v>2916</v>
      </c>
      <c r="G31" s="747" t="s">
        <v>2813</v>
      </c>
      <c r="H31" s="747" t="s">
        <v>2897</v>
      </c>
      <c r="I31" s="747" t="str">
        <f>IFERROR(INDEX('[1]MARE MX'!$H:$H,MATCH("*"&amp;F31&amp;"*",'[1]MARE MX'!$F:$F,0)),"Sin dato")</f>
        <v>ENTERPRISE</v>
      </c>
      <c r="J31" s="763">
        <v>216</v>
      </c>
      <c r="K31" s="764">
        <v>57</v>
      </c>
      <c r="L31" s="764">
        <f>K31*J31</f>
        <v>12312</v>
      </c>
      <c r="M31" s="764">
        <f>L31/$C$3</f>
        <v>703.54285714285709</v>
      </c>
      <c r="N31" s="747"/>
      <c r="O31" s="754"/>
      <c r="P31" s="747"/>
      <c r="Q31" s="747"/>
      <c r="R31" s="773"/>
      <c r="S31"/>
      <c r="T31"/>
      <c r="U31"/>
    </row>
    <row r="32" spans="1:21" s="222" customFormat="1" hidden="1">
      <c r="A32" s="748" t="s">
        <v>2880</v>
      </c>
      <c r="B32" s="758" t="s">
        <v>2877</v>
      </c>
      <c r="C32" s="758" t="s">
        <v>2794</v>
      </c>
      <c r="D32" s="758" t="s">
        <v>25</v>
      </c>
      <c r="E32" s="747" t="s">
        <v>439</v>
      </c>
      <c r="F32" s="747" t="s">
        <v>633</v>
      </c>
      <c r="G32" s="747" t="s">
        <v>2813</v>
      </c>
      <c r="H32" s="747" t="s">
        <v>2897</v>
      </c>
      <c r="I32" s="747" t="str">
        <f>IFERROR(INDEX('[1]MARE MX'!$H:$H,MATCH("*"&amp;F32&amp;"*",'[1]MARE MX'!$F:$F,0)),"Sin dato")</f>
        <v>ENTERPRISE</v>
      </c>
      <c r="J32" s="763">
        <v>160</v>
      </c>
      <c r="K32" s="764">
        <v>43.77</v>
      </c>
      <c r="L32" s="764">
        <f>K32*J32</f>
        <v>7003.2000000000007</v>
      </c>
      <c r="M32" s="764">
        <f>L32/$C$3</f>
        <v>400.18285714285719</v>
      </c>
      <c r="N32" s="747" t="s">
        <v>2917</v>
      </c>
      <c r="O32" s="754"/>
      <c r="P32" s="747"/>
      <c r="Q32" s="747"/>
      <c r="R32" s="773"/>
      <c r="S32"/>
      <c r="T32"/>
      <c r="U32"/>
    </row>
    <row r="33" spans="1:21" s="222" customFormat="1">
      <c r="A33" s="748" t="s">
        <v>2880</v>
      </c>
      <c r="B33" s="758" t="s">
        <v>2877</v>
      </c>
      <c r="C33" s="758" t="s">
        <v>2794</v>
      </c>
      <c r="D33" s="758" t="s">
        <v>25</v>
      </c>
      <c r="E33" s="747" t="s">
        <v>439</v>
      </c>
      <c r="F33" s="747" t="s">
        <v>633</v>
      </c>
      <c r="G33" s="747" t="s">
        <v>2814</v>
      </c>
      <c r="H33" s="747" t="s">
        <v>45</v>
      </c>
      <c r="I33" s="747" t="str">
        <f>IFERROR(INDEX('[1]MARE MX'!$H:$H,MATCH("*"&amp;F33&amp;"*",'[1]MARE MX'!$F:$F,0)),"Sin dato")</f>
        <v>ENTERPRISE</v>
      </c>
      <c r="J33" s="763">
        <v>160</v>
      </c>
      <c r="K33" s="764">
        <v>10</v>
      </c>
      <c r="L33" s="764">
        <f>K33*J33</f>
        <v>1600</v>
      </c>
      <c r="M33" s="764">
        <f>L33/$C$3</f>
        <v>91.428571428571431</v>
      </c>
      <c r="N33" s="747" t="s">
        <v>2917</v>
      </c>
      <c r="O33" s="754" t="s">
        <v>2918</v>
      </c>
      <c r="P33" s="747"/>
      <c r="Q33" s="747" t="s">
        <v>88</v>
      </c>
      <c r="R33" s="773"/>
      <c r="S33"/>
      <c r="T33"/>
      <c r="U33"/>
    </row>
    <row r="34" spans="1:21" s="99" customFormat="1">
      <c r="A34" s="748" t="s">
        <v>2880</v>
      </c>
      <c r="B34" s="758" t="s">
        <v>2877</v>
      </c>
      <c r="C34" s="758" t="s">
        <v>2794</v>
      </c>
      <c r="D34" s="758" t="s">
        <v>25</v>
      </c>
      <c r="E34" s="747" t="s">
        <v>439</v>
      </c>
      <c r="F34" s="747" t="s">
        <v>633</v>
      </c>
      <c r="G34" s="747" t="s">
        <v>2814</v>
      </c>
      <c r="H34" s="747" t="s">
        <v>2904</v>
      </c>
      <c r="I34" s="747" t="str">
        <f>IFERROR(INDEX('[1]MARE MX'!$H:$H,MATCH("*"&amp;F34&amp;"*",'[1]MARE MX'!$F:$F,0)),"Sin dato")</f>
        <v>ENTERPRISE</v>
      </c>
      <c r="J34" s="763">
        <v>160</v>
      </c>
      <c r="K34" s="764">
        <v>10</v>
      </c>
      <c r="L34" s="764">
        <f>K34*J34</f>
        <v>1600</v>
      </c>
      <c r="M34" s="764">
        <f>L34/$C$3</f>
        <v>91.428571428571431</v>
      </c>
      <c r="N34" s="747" t="s">
        <v>2917</v>
      </c>
      <c r="O34" s="754" t="s">
        <v>2918</v>
      </c>
      <c r="P34" s="747"/>
      <c r="Q34" s="747" t="s">
        <v>88</v>
      </c>
      <c r="R34" s="773"/>
      <c r="S34"/>
      <c r="T34"/>
      <c r="U34"/>
    </row>
    <row r="35" spans="1:21" s="221" customFormat="1" hidden="1">
      <c r="A35" s="748" t="s">
        <v>2880</v>
      </c>
      <c r="B35" s="758" t="s">
        <v>2877</v>
      </c>
      <c r="C35" s="758" t="s">
        <v>2794</v>
      </c>
      <c r="D35" s="758" t="s">
        <v>25</v>
      </c>
      <c r="E35" s="747" t="s">
        <v>439</v>
      </c>
      <c r="F35" s="747" t="s">
        <v>633</v>
      </c>
      <c r="G35" s="747" t="s">
        <v>2882</v>
      </c>
      <c r="H35" s="747" t="s">
        <v>2919</v>
      </c>
      <c r="I35" s="747" t="str">
        <f>IFERROR(INDEX('[1]MARE MX'!$H:$H,MATCH("*"&amp;F35&amp;"*",'[1]MARE MX'!$F:$F,0)),"Sin dato")</f>
        <v>ENTERPRISE</v>
      </c>
      <c r="J35" s="763"/>
      <c r="K35" s="764"/>
      <c r="L35" s="764">
        <v>1925</v>
      </c>
      <c r="M35" s="764">
        <f>L35/$C$3</f>
        <v>110</v>
      </c>
      <c r="N35" s="747" t="s">
        <v>2917</v>
      </c>
      <c r="O35" s="754" t="s">
        <v>2920</v>
      </c>
      <c r="P35" s="747"/>
      <c r="Q35" s="747"/>
      <c r="R35" s="773"/>
      <c r="S35"/>
      <c r="T35"/>
      <c r="U35"/>
    </row>
    <row r="36" spans="1:21" s="221" customFormat="1" hidden="1">
      <c r="A36" s="748" t="s">
        <v>2880</v>
      </c>
      <c r="B36" s="758" t="s">
        <v>2921</v>
      </c>
      <c r="C36" s="758" t="s">
        <v>2794</v>
      </c>
      <c r="D36" s="758"/>
      <c r="E36" s="747" t="s">
        <v>93</v>
      </c>
      <c r="F36" s="747" t="s">
        <v>95</v>
      </c>
      <c r="G36" s="747" t="s">
        <v>2813</v>
      </c>
      <c r="H36" s="747" t="s">
        <v>2897</v>
      </c>
      <c r="I36" s="747" t="str">
        <f>IFERROR(INDEX('[1]MARE MX'!$H:$H,MATCH("*"&amp;F36&amp;"*",'[1]MARE MX'!$F:$F,0)),"Sin dato")</f>
        <v>ENTERPRISE</v>
      </c>
      <c r="J36" s="763">
        <v>300</v>
      </c>
      <c r="K36" s="764">
        <v>20</v>
      </c>
      <c r="L36" s="764">
        <f>K36*J36</f>
        <v>6000</v>
      </c>
      <c r="M36" s="764">
        <f>L36/$C$3</f>
        <v>342.85714285714283</v>
      </c>
      <c r="N36" s="747"/>
      <c r="O36" s="754"/>
      <c r="P36" s="747"/>
      <c r="Q36" s="747"/>
      <c r="R36" s="773"/>
      <c r="S36"/>
      <c r="T36"/>
      <c r="U36"/>
    </row>
    <row r="37" spans="1:21" s="221" customFormat="1" hidden="1">
      <c r="A37" s="748" t="s">
        <v>2880</v>
      </c>
      <c r="B37" s="758" t="s">
        <v>2877</v>
      </c>
      <c r="C37" s="758" t="s">
        <v>2794</v>
      </c>
      <c r="D37" s="758" t="s">
        <v>27</v>
      </c>
      <c r="E37" s="747" t="s">
        <v>73</v>
      </c>
      <c r="F37" s="747" t="s">
        <v>2890</v>
      </c>
      <c r="G37" s="747" t="s">
        <v>2814</v>
      </c>
      <c r="H37" s="747" t="s">
        <v>49</v>
      </c>
      <c r="I37" s="747" t="str">
        <f>IFERROR(INDEX('[1]MARE MX'!$H:$H,MATCH("*"&amp;F37&amp;"*",'[1]MARE MX'!$F:$F,0)),"Sin dato")</f>
        <v>ENTERPRISE</v>
      </c>
      <c r="J37" s="763">
        <v>2200</v>
      </c>
      <c r="K37" s="764">
        <v>8</v>
      </c>
      <c r="L37" s="764">
        <f>K37*J37</f>
        <v>17600</v>
      </c>
      <c r="M37" s="764">
        <f>L37/$C$3</f>
        <v>1005.7142857142857</v>
      </c>
      <c r="N37" s="747" t="s">
        <v>2922</v>
      </c>
      <c r="O37" s="755" t="s">
        <v>2923</v>
      </c>
      <c r="P37" s="747"/>
      <c r="Q37" s="747" t="s">
        <v>88</v>
      </c>
      <c r="R37" s="773"/>
      <c r="S37"/>
      <c r="T37"/>
      <c r="U37"/>
    </row>
    <row r="38" spans="1:21" s="221" customFormat="1" hidden="1">
      <c r="A38" s="748" t="s">
        <v>2880</v>
      </c>
      <c r="B38" s="758" t="s">
        <v>2877</v>
      </c>
      <c r="C38" s="758" t="s">
        <v>2794</v>
      </c>
      <c r="D38" s="758" t="s">
        <v>27</v>
      </c>
      <c r="E38" s="747" t="s">
        <v>73</v>
      </c>
      <c r="F38" s="747" t="s">
        <v>2899</v>
      </c>
      <c r="G38" s="747" t="s">
        <v>2813</v>
      </c>
      <c r="H38" s="747" t="s">
        <v>2924</v>
      </c>
      <c r="I38" s="747" t="str">
        <f>IFERROR(INDEX('[1]MARE MX'!$H:$H,MATCH("*"&amp;F38&amp;"*",'[1]MARE MX'!$F:$F,0)),"Sin dato")</f>
        <v>ENTERPRISE</v>
      </c>
      <c r="J38" s="763">
        <v>224</v>
      </c>
      <c r="K38" s="764">
        <v>28</v>
      </c>
      <c r="L38" s="764">
        <f>K38*J38</f>
        <v>6272</v>
      </c>
      <c r="M38" s="764">
        <f>L38/$C$3</f>
        <v>358.4</v>
      </c>
      <c r="N38" s="747" t="s">
        <v>2925</v>
      </c>
      <c r="O38" s="754" t="s">
        <v>2926</v>
      </c>
      <c r="P38" s="747"/>
      <c r="Q38" s="747" t="s">
        <v>88</v>
      </c>
      <c r="R38" s="773"/>
      <c r="S38"/>
      <c r="T38"/>
      <c r="U38"/>
    </row>
    <row r="39" spans="1:21" s="221" customFormat="1" hidden="1">
      <c r="A39" s="747" t="s">
        <v>2927</v>
      </c>
      <c r="B39" s="758" t="s">
        <v>2877</v>
      </c>
      <c r="C39" s="758" t="s">
        <v>2794</v>
      </c>
      <c r="D39" s="758" t="s">
        <v>27</v>
      </c>
      <c r="E39" s="747" t="s">
        <v>73</v>
      </c>
      <c r="F39" s="747" t="s">
        <v>2899</v>
      </c>
      <c r="G39" s="747" t="s">
        <v>2813</v>
      </c>
      <c r="H39" s="747" t="s">
        <v>2928</v>
      </c>
      <c r="I39" s="747" t="str">
        <f>IFERROR(INDEX('[1]MARE MX'!$H:$H,MATCH("*"&amp;F39&amp;"*",'[1]MARE MX'!$F:$F,0)),"Sin dato")</f>
        <v>ENTERPRISE</v>
      </c>
      <c r="J39" s="763">
        <v>575</v>
      </c>
      <c r="K39" s="764">
        <v>28</v>
      </c>
      <c r="L39" s="764">
        <f>K39*J39</f>
        <v>16100</v>
      </c>
      <c r="M39" s="764">
        <f>L39/$C$3</f>
        <v>920</v>
      </c>
      <c r="N39" s="747" t="s">
        <v>2929</v>
      </c>
      <c r="O39" s="754" t="s">
        <v>2926</v>
      </c>
      <c r="P39" s="747"/>
      <c r="Q39" s="747" t="s">
        <v>88</v>
      </c>
      <c r="R39" s="773"/>
      <c r="S39"/>
      <c r="T39"/>
      <c r="U39"/>
    </row>
    <row r="40" spans="1:21" s="221" customFormat="1" ht="29.25" hidden="1">
      <c r="A40" s="748" t="s">
        <v>2880</v>
      </c>
      <c r="B40" s="758" t="s">
        <v>2877</v>
      </c>
      <c r="C40" s="758" t="s">
        <v>2794</v>
      </c>
      <c r="D40" s="758" t="s">
        <v>27</v>
      </c>
      <c r="E40" s="747" t="s">
        <v>73</v>
      </c>
      <c r="F40" s="747" t="s">
        <v>2899</v>
      </c>
      <c r="G40" s="747" t="s">
        <v>2814</v>
      </c>
      <c r="H40" s="747" t="s">
        <v>2930</v>
      </c>
      <c r="I40" s="747" t="str">
        <f>IFERROR(INDEX('[1]MARE MX'!$H:$H,MATCH("*"&amp;F40&amp;"*",'[1]MARE MX'!$F:$F,0)),"Sin dato")</f>
        <v>ENTERPRISE</v>
      </c>
      <c r="J40" s="763">
        <v>575</v>
      </c>
      <c r="K40" s="764">
        <v>8</v>
      </c>
      <c r="L40" s="764">
        <f>K40*J40</f>
        <v>4600</v>
      </c>
      <c r="M40" s="764">
        <f>L40/$C$3</f>
        <v>262.85714285714283</v>
      </c>
      <c r="N40" s="747" t="s">
        <v>2929</v>
      </c>
      <c r="O40" s="754" t="s">
        <v>2931</v>
      </c>
      <c r="P40" s="747"/>
      <c r="Q40" s="747" t="s">
        <v>88</v>
      </c>
      <c r="R40" s="773"/>
      <c r="S40"/>
      <c r="T40"/>
      <c r="U40"/>
    </row>
    <row r="41" spans="1:21" s="221" customFormat="1" ht="29.25" hidden="1">
      <c r="A41" s="748" t="s">
        <v>2880</v>
      </c>
      <c r="B41" s="758" t="s">
        <v>2877</v>
      </c>
      <c r="C41" s="758" t="s">
        <v>2794</v>
      </c>
      <c r="D41" s="758" t="s">
        <v>27</v>
      </c>
      <c r="E41" s="747" t="s">
        <v>73</v>
      </c>
      <c r="F41" s="747" t="s">
        <v>2899</v>
      </c>
      <c r="G41" s="747" t="s">
        <v>2814</v>
      </c>
      <c r="H41" s="747" t="s">
        <v>2932</v>
      </c>
      <c r="I41" s="747" t="str">
        <f>IFERROR(INDEX('[1]MARE MX'!$H:$H,MATCH("*"&amp;F41&amp;"*",'[1]MARE MX'!$F:$F,0)),"Sin dato")</f>
        <v>ENTERPRISE</v>
      </c>
      <c r="J41" s="763">
        <v>575</v>
      </c>
      <c r="K41" s="764">
        <v>8</v>
      </c>
      <c r="L41" s="764">
        <f>K41*J41</f>
        <v>4600</v>
      </c>
      <c r="M41" s="764">
        <f>L41/$C$3</f>
        <v>262.85714285714283</v>
      </c>
      <c r="N41" s="747" t="s">
        <v>2929</v>
      </c>
      <c r="O41" s="754" t="s">
        <v>2933</v>
      </c>
      <c r="P41" s="747"/>
      <c r="Q41" s="747" t="s">
        <v>88</v>
      </c>
      <c r="R41" s="773"/>
      <c r="S41"/>
      <c r="T41"/>
      <c r="U41"/>
    </row>
    <row r="42" spans="1:21" s="221" customFormat="1" hidden="1">
      <c r="A42" s="748" t="s">
        <v>2880</v>
      </c>
      <c r="B42" s="758" t="s">
        <v>2877</v>
      </c>
      <c r="C42" s="758" t="s">
        <v>2794</v>
      </c>
      <c r="D42" s="758" t="s">
        <v>27</v>
      </c>
      <c r="E42" s="747" t="s">
        <v>73</v>
      </c>
      <c r="F42" s="747" t="s">
        <v>2899</v>
      </c>
      <c r="G42" s="747" t="s">
        <v>2813</v>
      </c>
      <c r="H42" s="747" t="s">
        <v>2934</v>
      </c>
      <c r="I42" s="747" t="str">
        <f>IFERROR(INDEX('[1]MARE MX'!$H:$H,MATCH("*"&amp;F42&amp;"*",'[1]MARE MX'!$F:$F,0)),"Sin dato")</f>
        <v>ENTERPRISE</v>
      </c>
      <c r="J42" s="763">
        <v>125</v>
      </c>
      <c r="K42" s="764">
        <v>28</v>
      </c>
      <c r="L42" s="764">
        <f>K42*J42</f>
        <v>3500</v>
      </c>
      <c r="M42" s="764">
        <f>L42/$C$3</f>
        <v>200</v>
      </c>
      <c r="N42" s="747" t="s">
        <v>2935</v>
      </c>
      <c r="O42" s="754" t="s">
        <v>2926</v>
      </c>
      <c r="P42" s="747"/>
      <c r="Q42" s="747" t="s">
        <v>88</v>
      </c>
      <c r="R42" s="773"/>
      <c r="S42"/>
      <c r="T42"/>
      <c r="U42"/>
    </row>
    <row r="43" spans="1:21" s="221" customFormat="1" ht="29.25" hidden="1">
      <c r="A43" s="748" t="s">
        <v>2880</v>
      </c>
      <c r="B43" s="758" t="s">
        <v>2877</v>
      </c>
      <c r="C43" s="758" t="s">
        <v>2794</v>
      </c>
      <c r="D43" s="758" t="s">
        <v>27</v>
      </c>
      <c r="E43" s="747" t="s">
        <v>73</v>
      </c>
      <c r="F43" s="747" t="s">
        <v>2899</v>
      </c>
      <c r="G43" s="747" t="s">
        <v>2814</v>
      </c>
      <c r="H43" s="747" t="s">
        <v>2936</v>
      </c>
      <c r="I43" s="747" t="str">
        <f>IFERROR(INDEX('[1]MARE MX'!$H:$H,MATCH("*"&amp;F43&amp;"*",'[1]MARE MX'!$F:$F,0)),"Sin dato")</f>
        <v>ENTERPRISE</v>
      </c>
      <c r="J43" s="763">
        <v>125</v>
      </c>
      <c r="K43" s="764">
        <v>8</v>
      </c>
      <c r="L43" s="764">
        <f>K43*J43</f>
        <v>1000</v>
      </c>
      <c r="M43" s="764">
        <f>L43/$C$3</f>
        <v>57.142857142857146</v>
      </c>
      <c r="N43" s="747" t="s">
        <v>2935</v>
      </c>
      <c r="O43" s="754" t="s">
        <v>2937</v>
      </c>
      <c r="P43" s="747"/>
      <c r="Q43" s="747" t="s">
        <v>88</v>
      </c>
      <c r="R43" s="773"/>
      <c r="S43"/>
      <c r="T43"/>
      <c r="U43"/>
    </row>
    <row r="44" spans="1:21" s="221" customFormat="1" ht="29.25" hidden="1">
      <c r="A44" s="748" t="s">
        <v>2880</v>
      </c>
      <c r="B44" s="758" t="s">
        <v>2877</v>
      </c>
      <c r="C44" s="758" t="s">
        <v>2794</v>
      </c>
      <c r="D44" s="758" t="s">
        <v>27</v>
      </c>
      <c r="E44" s="747" t="s">
        <v>73</v>
      </c>
      <c r="F44" s="747" t="s">
        <v>2938</v>
      </c>
      <c r="G44" s="747" t="s">
        <v>2813</v>
      </c>
      <c r="H44" s="747" t="s">
        <v>2897</v>
      </c>
      <c r="I44" s="747" t="str">
        <f>IFERROR(INDEX('[1]MARE MX'!$H:$H,MATCH("*"&amp;F44&amp;"*",'[1]MARE MX'!$F:$F,0)),"Sin dato")</f>
        <v>Sin dato</v>
      </c>
      <c r="J44" s="763">
        <v>262</v>
      </c>
      <c r="K44" s="764">
        <v>28</v>
      </c>
      <c r="L44" s="764">
        <f>K44*J44</f>
        <v>7336</v>
      </c>
      <c r="M44" s="764">
        <f>L44/$C$3</f>
        <v>419.2</v>
      </c>
      <c r="N44" s="747" t="s">
        <v>2939</v>
      </c>
      <c r="O44" s="754" t="s">
        <v>2940</v>
      </c>
      <c r="P44" s="747"/>
      <c r="Q44" s="747"/>
      <c r="R44" s="773"/>
      <c r="S44"/>
      <c r="T44"/>
      <c r="U44"/>
    </row>
    <row r="45" spans="1:21" s="221" customFormat="1">
      <c r="A45" s="748" t="s">
        <v>2880</v>
      </c>
      <c r="B45" s="758" t="s">
        <v>2877</v>
      </c>
      <c r="C45" s="758" t="s">
        <v>2794</v>
      </c>
      <c r="D45" s="758" t="s">
        <v>27</v>
      </c>
      <c r="E45" s="747" t="s">
        <v>439</v>
      </c>
      <c r="F45" s="747" t="s">
        <v>633</v>
      </c>
      <c r="G45" s="747" t="s">
        <v>2814</v>
      </c>
      <c r="H45" s="747" t="s">
        <v>49</v>
      </c>
      <c r="I45" s="747" t="str">
        <f>IFERROR(INDEX('[1]MARE MX'!$H:$H,MATCH("*"&amp;F45&amp;"*",'[1]MARE MX'!$F:$F,0)),"Sin dato")</f>
        <v>ENTERPRISE</v>
      </c>
      <c r="J45" s="763">
        <v>150</v>
      </c>
      <c r="K45" s="764">
        <v>8</v>
      </c>
      <c r="L45" s="764">
        <f>K45*J45</f>
        <v>1200</v>
      </c>
      <c r="M45" s="764">
        <f>L45/$C$3</f>
        <v>68.571428571428569</v>
      </c>
      <c r="N45" s="747" t="s">
        <v>2941</v>
      </c>
      <c r="O45" s="754"/>
      <c r="P45" s="747"/>
      <c r="Q45" s="747"/>
      <c r="R45" s="773"/>
      <c r="S45"/>
      <c r="T45"/>
      <c r="U45"/>
    </row>
    <row r="46" spans="1:21" s="221" customFormat="1" ht="57.75">
      <c r="A46" s="748" t="s">
        <v>2880</v>
      </c>
      <c r="B46" s="758" t="s">
        <v>2877</v>
      </c>
      <c r="C46" s="758" t="s">
        <v>2794</v>
      </c>
      <c r="D46" s="758" t="s">
        <v>27</v>
      </c>
      <c r="E46" s="747" t="s">
        <v>439</v>
      </c>
      <c r="F46" s="747" t="s">
        <v>2942</v>
      </c>
      <c r="G46" s="747" t="s">
        <v>2814</v>
      </c>
      <c r="H46" s="747" t="s">
        <v>2887</v>
      </c>
      <c r="I46" s="747" t="str">
        <f>IFERROR(INDEX('[1]MARE MX'!$H:$H,MATCH("*"&amp;F46&amp;"*",'[1]MARE MX'!$F:$F,0)),"Sin dato")</f>
        <v>SMB</v>
      </c>
      <c r="J46" s="763">
        <v>25</v>
      </c>
      <c r="K46" s="764">
        <v>20</v>
      </c>
      <c r="L46" s="764">
        <f>K46*J46</f>
        <v>500</v>
      </c>
      <c r="M46" s="764">
        <f>L46/$C$3</f>
        <v>28.571428571428573</v>
      </c>
      <c r="N46" s="747" t="s">
        <v>2943</v>
      </c>
      <c r="O46" s="754" t="s">
        <v>2944</v>
      </c>
      <c r="P46" s="747"/>
      <c r="Q46" s="747" t="s">
        <v>88</v>
      </c>
      <c r="R46" s="773"/>
      <c r="S46"/>
      <c r="T46"/>
      <c r="U46"/>
    </row>
    <row r="47" spans="1:21" s="221" customFormat="1" ht="43.5">
      <c r="A47" s="748" t="s">
        <v>2880</v>
      </c>
      <c r="B47" s="758" t="s">
        <v>2877</v>
      </c>
      <c r="C47" s="758" t="s">
        <v>2794</v>
      </c>
      <c r="D47" s="758" t="s">
        <v>27</v>
      </c>
      <c r="E47" s="747" t="s">
        <v>439</v>
      </c>
      <c r="F47" s="747" t="s">
        <v>2945</v>
      </c>
      <c r="G47" s="747" t="s">
        <v>2814</v>
      </c>
      <c r="H47" s="747" t="s">
        <v>2946</v>
      </c>
      <c r="I47" s="747" t="str">
        <f>IFERROR(INDEX('[1]MARE MX'!$H:$H,MATCH("*"&amp;F47&amp;"*",'[1]MARE MX'!$F:$F,0)),"Sin dato")</f>
        <v>Sin dato</v>
      </c>
      <c r="J47" s="763">
        <v>150</v>
      </c>
      <c r="K47" s="764">
        <v>12</v>
      </c>
      <c r="L47" s="764">
        <f>K47*J47</f>
        <v>1800</v>
      </c>
      <c r="M47" s="764">
        <f>L47/$C$3</f>
        <v>102.85714285714286</v>
      </c>
      <c r="N47" s="747" t="s">
        <v>2947</v>
      </c>
      <c r="O47" s="754" t="s">
        <v>2948</v>
      </c>
      <c r="P47" s="747"/>
      <c r="Q47" s="747" t="s">
        <v>88</v>
      </c>
      <c r="R47" s="773"/>
      <c r="S47"/>
      <c r="T47"/>
      <c r="U47"/>
    </row>
    <row r="48" spans="1:21" s="221" customFormat="1" ht="29.25">
      <c r="A48" s="748" t="s">
        <v>2880</v>
      </c>
      <c r="B48" s="758" t="s">
        <v>2877</v>
      </c>
      <c r="C48" s="758" t="s">
        <v>2794</v>
      </c>
      <c r="D48" s="758" t="s">
        <v>27</v>
      </c>
      <c r="E48" s="747" t="s">
        <v>439</v>
      </c>
      <c r="F48" s="747" t="s">
        <v>2949</v>
      </c>
      <c r="G48" s="747" t="s">
        <v>2814</v>
      </c>
      <c r="H48" s="747" t="s">
        <v>45</v>
      </c>
      <c r="I48" s="747" t="str">
        <f>IFERROR(INDEX('[1]MARE MX'!$H:$H,MATCH("*"&amp;F48&amp;"*",'[1]MARE MX'!$F:$F,0)),"Sin dato")</f>
        <v>Sin dato</v>
      </c>
      <c r="J48" s="763">
        <v>300</v>
      </c>
      <c r="K48" s="764">
        <v>8</v>
      </c>
      <c r="L48" s="764">
        <f>K48*J48</f>
        <v>2400</v>
      </c>
      <c r="M48" s="764">
        <f>L48/$C$3</f>
        <v>137.14285714285714</v>
      </c>
      <c r="N48" s="747" t="s">
        <v>2950</v>
      </c>
      <c r="O48" s="754" t="s">
        <v>2951</v>
      </c>
      <c r="P48" s="747"/>
      <c r="Q48" s="747" t="s">
        <v>88</v>
      </c>
      <c r="R48" s="773"/>
      <c r="S48"/>
      <c r="T48"/>
      <c r="U48"/>
    </row>
    <row r="49" spans="1:21" s="221" customFormat="1" ht="29.25">
      <c r="A49" s="748" t="s">
        <v>2880</v>
      </c>
      <c r="B49" s="758" t="s">
        <v>2877</v>
      </c>
      <c r="C49" s="758" t="s">
        <v>2794</v>
      </c>
      <c r="D49" s="758" t="s">
        <v>27</v>
      </c>
      <c r="E49" s="747" t="s">
        <v>439</v>
      </c>
      <c r="F49" s="747" t="s">
        <v>2949</v>
      </c>
      <c r="G49" s="747" t="s">
        <v>2814</v>
      </c>
      <c r="H49" s="747" t="s">
        <v>2904</v>
      </c>
      <c r="I49" s="747" t="str">
        <f>IFERROR(INDEX('[1]MARE MX'!$H:$H,MATCH("*"&amp;F49&amp;"*",'[1]MARE MX'!$F:$F,0)),"Sin dato")</f>
        <v>Sin dato</v>
      </c>
      <c r="J49" s="763">
        <v>300</v>
      </c>
      <c r="K49" s="764">
        <v>6</v>
      </c>
      <c r="L49" s="764">
        <f>K49*J49</f>
        <v>1800</v>
      </c>
      <c r="M49" s="764">
        <f>L49/$C$3</f>
        <v>102.85714285714286</v>
      </c>
      <c r="N49" s="747" t="s">
        <v>2952</v>
      </c>
      <c r="O49" s="754" t="s">
        <v>2951</v>
      </c>
      <c r="P49" s="747"/>
      <c r="Q49" s="747" t="s">
        <v>88</v>
      </c>
      <c r="R49" s="773"/>
      <c r="S49"/>
      <c r="T49"/>
      <c r="U49"/>
    </row>
    <row r="50" spans="1:21" s="221" customFormat="1" ht="29.25">
      <c r="A50" s="748" t="s">
        <v>2880</v>
      </c>
      <c r="B50" s="758" t="s">
        <v>2877</v>
      </c>
      <c r="C50" s="758" t="s">
        <v>2794</v>
      </c>
      <c r="D50" s="758" t="s">
        <v>27</v>
      </c>
      <c r="E50" s="747" t="s">
        <v>439</v>
      </c>
      <c r="F50" s="747" t="s">
        <v>2953</v>
      </c>
      <c r="G50" s="747" t="s">
        <v>2814</v>
      </c>
      <c r="H50" s="747" t="s">
        <v>52</v>
      </c>
      <c r="I50" s="747" t="str">
        <f>IFERROR(INDEX('[1]MARE MX'!$H:$H,MATCH("*"&amp;F50&amp;"*",'[1]MARE MX'!$F:$F,0)),"Sin dato")</f>
        <v>SMB</v>
      </c>
      <c r="J50" s="763">
        <v>220</v>
      </c>
      <c r="K50" s="764">
        <v>12</v>
      </c>
      <c r="L50" s="764">
        <f>K50*J50</f>
        <v>2640</v>
      </c>
      <c r="M50" s="764">
        <f>L50/$C$3</f>
        <v>150.85714285714286</v>
      </c>
      <c r="N50" s="747" t="s">
        <v>2954</v>
      </c>
      <c r="O50" s="754" t="s">
        <v>2955</v>
      </c>
      <c r="P50" s="747"/>
      <c r="Q50" s="747" t="s">
        <v>88</v>
      </c>
      <c r="R50" s="773"/>
      <c r="S50"/>
      <c r="T50"/>
      <c r="U50"/>
    </row>
    <row r="51" spans="1:21" s="221" customFormat="1" ht="29.25">
      <c r="A51" s="747"/>
      <c r="B51" s="758"/>
      <c r="C51" s="758" t="s">
        <v>2794</v>
      </c>
      <c r="D51" s="758" t="s">
        <v>27</v>
      </c>
      <c r="E51" s="747" t="s">
        <v>439</v>
      </c>
      <c r="F51" s="747" t="s">
        <v>2953</v>
      </c>
      <c r="G51" s="747" t="s">
        <v>2814</v>
      </c>
      <c r="H51" s="747" t="s">
        <v>50</v>
      </c>
      <c r="I51" s="747" t="str">
        <f>IFERROR(INDEX('[1]MARE MX'!$H:$H,MATCH("*"&amp;F51&amp;"*",'[1]MARE MX'!$F:$F,0)),"Sin dato")</f>
        <v>SMB</v>
      </c>
      <c r="J51" s="763"/>
      <c r="K51" s="764"/>
      <c r="L51" s="764"/>
      <c r="M51" s="764">
        <f>L51/$D$3</f>
        <v>0</v>
      </c>
      <c r="N51" s="747"/>
      <c r="O51" s="754" t="s">
        <v>2956</v>
      </c>
      <c r="P51" s="747"/>
      <c r="Q51" s="747"/>
      <c r="R51" s="773"/>
      <c r="S51"/>
      <c r="T51"/>
      <c r="U51"/>
    </row>
    <row r="52" spans="1:21" s="221" customFormat="1" ht="29.25">
      <c r="A52" s="748" t="s">
        <v>2880</v>
      </c>
      <c r="B52" s="758" t="s">
        <v>2877</v>
      </c>
      <c r="C52" s="758" t="s">
        <v>2794</v>
      </c>
      <c r="D52" s="758" t="s">
        <v>27</v>
      </c>
      <c r="E52" s="747" t="s">
        <v>439</v>
      </c>
      <c r="F52" s="747" t="s">
        <v>2953</v>
      </c>
      <c r="G52" s="747" t="s">
        <v>2814</v>
      </c>
      <c r="H52" s="747" t="s">
        <v>2957</v>
      </c>
      <c r="I52" s="747" t="str">
        <f>IFERROR(INDEX('[1]MARE MX'!$H:$H,MATCH("*"&amp;F52&amp;"*",'[1]MARE MX'!$F:$F,0)),"Sin dato")</f>
        <v>SMB</v>
      </c>
      <c r="J52" s="763">
        <v>220</v>
      </c>
      <c r="K52" s="764">
        <v>9</v>
      </c>
      <c r="L52" s="764">
        <f>K52*J52</f>
        <v>1980</v>
      </c>
      <c r="M52" s="764">
        <f>L52/$C$3</f>
        <v>113.14285714285714</v>
      </c>
      <c r="N52" s="747" t="s">
        <v>2954</v>
      </c>
      <c r="O52" s="754" t="s">
        <v>2955</v>
      </c>
      <c r="P52" s="747"/>
      <c r="Q52" s="747" t="s">
        <v>88</v>
      </c>
      <c r="R52" s="773"/>
      <c r="S52"/>
      <c r="T52"/>
      <c r="U52"/>
    </row>
    <row r="53" spans="1:21" s="217" customFormat="1" ht="29.25">
      <c r="A53" s="748" t="s">
        <v>2880</v>
      </c>
      <c r="B53" s="758" t="s">
        <v>2877</v>
      </c>
      <c r="C53" s="758" t="s">
        <v>2794</v>
      </c>
      <c r="D53" s="758" t="s">
        <v>27</v>
      </c>
      <c r="E53" s="747" t="s">
        <v>439</v>
      </c>
      <c r="F53" s="747" t="s">
        <v>2958</v>
      </c>
      <c r="G53" s="747" t="s">
        <v>2814</v>
      </c>
      <c r="H53" s="747" t="s">
        <v>50</v>
      </c>
      <c r="I53" s="747" t="str">
        <f>IFERROR(INDEX('[1]MARE MX'!$H:$H,MATCH("*"&amp;F53&amp;"*",'[1]MARE MX'!$F:$F,0)),"Sin dato")</f>
        <v>SMB</v>
      </c>
      <c r="J53" s="763"/>
      <c r="K53" s="764"/>
      <c r="L53" s="764">
        <v>720</v>
      </c>
      <c r="M53" s="764">
        <f>L53/$C$3</f>
        <v>41.142857142857146</v>
      </c>
      <c r="N53" s="747" t="s">
        <v>2959</v>
      </c>
      <c r="O53" s="754" t="s">
        <v>2960</v>
      </c>
      <c r="P53" s="747"/>
      <c r="Q53" s="747" t="s">
        <v>88</v>
      </c>
      <c r="R53" s="773"/>
      <c r="S53"/>
      <c r="T53"/>
      <c r="U53"/>
    </row>
    <row r="54" spans="1:21" s="217" customFormat="1" hidden="1">
      <c r="A54" s="748" t="s">
        <v>2880</v>
      </c>
      <c r="B54" s="758" t="s">
        <v>2877</v>
      </c>
      <c r="C54" s="758" t="s">
        <v>2794</v>
      </c>
      <c r="D54" s="758" t="s">
        <v>27</v>
      </c>
      <c r="E54" s="747" t="s">
        <v>439</v>
      </c>
      <c r="F54" s="747" t="s">
        <v>2961</v>
      </c>
      <c r="G54" s="747" t="s">
        <v>2882</v>
      </c>
      <c r="H54" s="747" t="s">
        <v>2919</v>
      </c>
      <c r="I54" s="747" t="str">
        <f>IFERROR(INDEX('[1]MARE MX'!$H:$H,MATCH("*"&amp;F54&amp;"*",'[1]MARE MX'!$F:$F,0)),"Sin dato")</f>
        <v>Sin dato</v>
      </c>
      <c r="J54" s="763"/>
      <c r="K54" s="764">
        <v>300</v>
      </c>
      <c r="L54" s="764">
        <v>300</v>
      </c>
      <c r="M54" s="764">
        <f>L54/$C$3</f>
        <v>17.142857142857142</v>
      </c>
      <c r="N54" s="747"/>
      <c r="O54" s="754" t="s">
        <v>2962</v>
      </c>
      <c r="P54" s="747"/>
      <c r="Q54" s="747" t="s">
        <v>88</v>
      </c>
      <c r="R54" s="773"/>
      <c r="S54"/>
      <c r="T54"/>
      <c r="U54"/>
    </row>
    <row r="55" spans="1:21" s="220" customFormat="1" hidden="1">
      <c r="A55" s="747"/>
      <c r="B55" s="758" t="s">
        <v>2877</v>
      </c>
      <c r="C55" s="758" t="s">
        <v>2794</v>
      </c>
      <c r="D55" s="758" t="s">
        <v>27</v>
      </c>
      <c r="E55" s="747" t="s">
        <v>439</v>
      </c>
      <c r="F55" s="747" t="s">
        <v>2963</v>
      </c>
      <c r="G55" s="747" t="s">
        <v>2813</v>
      </c>
      <c r="H55" s="747" t="s">
        <v>2813</v>
      </c>
      <c r="I55" s="747" t="str">
        <f>IFERROR(INDEX('[1]MARE MX'!$H:$H,MATCH("*"&amp;F55&amp;"*",'[1]MARE MX'!$F:$F,0)),"Sin dato")</f>
        <v>Sin dato</v>
      </c>
      <c r="J55" s="763">
        <v>10</v>
      </c>
      <c r="K55" s="764">
        <v>47</v>
      </c>
      <c r="L55" s="764">
        <f>K55*J55</f>
        <v>470</v>
      </c>
      <c r="M55" s="764">
        <f>L55/$C$3</f>
        <v>26.857142857142858</v>
      </c>
      <c r="N55" s="747"/>
      <c r="O55" s="754" t="s">
        <v>2962</v>
      </c>
      <c r="P55" s="747"/>
      <c r="Q55" s="747" t="s">
        <v>88</v>
      </c>
      <c r="R55" s="773"/>
      <c r="S55"/>
      <c r="T55"/>
      <c r="U55"/>
    </row>
    <row r="56" spans="1:21" s="220" customFormat="1" hidden="1">
      <c r="A56" s="748" t="s">
        <v>2880</v>
      </c>
      <c r="B56" s="758" t="s">
        <v>2877</v>
      </c>
      <c r="C56" s="758" t="s">
        <v>2794</v>
      </c>
      <c r="D56" s="758" t="s">
        <v>27</v>
      </c>
      <c r="E56" s="747" t="s">
        <v>93</v>
      </c>
      <c r="F56" s="747" t="s">
        <v>2964</v>
      </c>
      <c r="G56" s="747" t="s">
        <v>2814</v>
      </c>
      <c r="H56" s="747" t="s">
        <v>2885</v>
      </c>
      <c r="I56" s="747" t="str">
        <f>IFERROR(INDEX('[1]MARE MX'!$H:$H,MATCH("*"&amp;F56&amp;"*",'[1]MARE MX'!$F:$F,0)),"Sin dato")</f>
        <v>ENTERPRISE</v>
      </c>
      <c r="J56" s="763">
        <v>1255</v>
      </c>
      <c r="K56" s="764">
        <v>2</v>
      </c>
      <c r="L56" s="785">
        <f>K56*J56</f>
        <v>2510</v>
      </c>
      <c r="M56" s="785">
        <f>L56/$C$3</f>
        <v>143.42857142857142</v>
      </c>
      <c r="N56" s="747" t="s">
        <v>2965</v>
      </c>
      <c r="O56" s="754"/>
      <c r="P56" s="747"/>
      <c r="Q56" s="747"/>
      <c r="R56" s="773"/>
      <c r="S56"/>
      <c r="T56"/>
      <c r="U56"/>
    </row>
    <row r="57" spans="1:21" s="220" customFormat="1" hidden="1">
      <c r="A57" s="748" t="s">
        <v>2880</v>
      </c>
      <c r="B57" s="758" t="s">
        <v>2877</v>
      </c>
      <c r="C57" s="758" t="s">
        <v>2794</v>
      </c>
      <c r="D57" s="758" t="s">
        <v>27</v>
      </c>
      <c r="E57" s="747" t="s">
        <v>93</v>
      </c>
      <c r="F57" s="747" t="s">
        <v>2964</v>
      </c>
      <c r="G57" s="747" t="s">
        <v>2814</v>
      </c>
      <c r="H57" s="747" t="s">
        <v>45</v>
      </c>
      <c r="I57" s="747" t="str">
        <f>IFERROR(INDEX('[1]MARE MX'!$H:$H,MATCH("*"&amp;F57&amp;"*",'[1]MARE MX'!$F:$F,0)),"Sin dato")</f>
        <v>ENTERPRISE</v>
      </c>
      <c r="J57" s="763">
        <v>1255</v>
      </c>
      <c r="K57" s="764">
        <v>2</v>
      </c>
      <c r="L57" s="785">
        <f>K57*J57</f>
        <v>2510</v>
      </c>
      <c r="M57" s="785">
        <f>L57/$C$3</f>
        <v>143.42857142857142</v>
      </c>
      <c r="N57" s="747" t="s">
        <v>2965</v>
      </c>
      <c r="O57" s="754"/>
      <c r="P57" s="747"/>
      <c r="Q57" s="747"/>
      <c r="R57" s="773"/>
      <c r="S57"/>
      <c r="T57"/>
      <c r="U57"/>
    </row>
    <row r="58" spans="1:21" s="220" customFormat="1" ht="29.25" hidden="1">
      <c r="A58" s="748" t="s">
        <v>2880</v>
      </c>
      <c r="B58" s="758" t="s">
        <v>2877</v>
      </c>
      <c r="C58" s="758" t="s">
        <v>2794</v>
      </c>
      <c r="D58" s="758" t="s">
        <v>27</v>
      </c>
      <c r="E58" s="747" t="s">
        <v>93</v>
      </c>
      <c r="F58" s="747" t="s">
        <v>2966</v>
      </c>
      <c r="G58" s="747" t="s">
        <v>2814</v>
      </c>
      <c r="H58" s="747" t="s">
        <v>2967</v>
      </c>
      <c r="I58" s="747" t="str">
        <f>IFERROR(INDEX('[1]MARE MX'!$H:$H,MATCH("*"&amp;F58&amp;"*",'[1]MARE MX'!$F:$F,0)),"Sin dato")</f>
        <v>Sin dato</v>
      </c>
      <c r="J58" s="763"/>
      <c r="K58" s="764"/>
      <c r="L58" s="785">
        <f>M58*$C$3</f>
        <v>3500</v>
      </c>
      <c r="M58" s="785">
        <v>200</v>
      </c>
      <c r="N58" s="747" t="s">
        <v>2968</v>
      </c>
      <c r="O58" s="754" t="s">
        <v>2969</v>
      </c>
      <c r="P58" s="747"/>
      <c r="Q58" s="747" t="s">
        <v>88</v>
      </c>
      <c r="R58" s="773"/>
      <c r="S58"/>
      <c r="T58"/>
      <c r="U58"/>
    </row>
    <row r="59" spans="1:21" s="220" customFormat="1" hidden="1">
      <c r="A59" s="748" t="s">
        <v>2880</v>
      </c>
      <c r="B59" s="758" t="s">
        <v>2877</v>
      </c>
      <c r="C59" s="758" t="s">
        <v>2794</v>
      </c>
      <c r="D59" s="758" t="s">
        <v>27</v>
      </c>
      <c r="E59" s="747" t="s">
        <v>93</v>
      </c>
      <c r="F59" s="747" t="s">
        <v>720</v>
      </c>
      <c r="G59" s="747" t="s">
        <v>2813</v>
      </c>
      <c r="H59" s="747" t="s">
        <v>2897</v>
      </c>
      <c r="I59" s="747" t="str">
        <f>IFERROR(INDEX('[1]MARE MX'!$H:$H,MATCH("*"&amp;F59&amp;"*",'[1]MARE MX'!$F:$F,0)),"Sin dato")</f>
        <v>ENTERPRISE</v>
      </c>
      <c r="J59" s="763">
        <v>150</v>
      </c>
      <c r="K59" s="764">
        <v>24</v>
      </c>
      <c r="L59" s="764">
        <f>K59*J59</f>
        <v>3600</v>
      </c>
      <c r="M59" s="764">
        <f>L59/$C$3</f>
        <v>205.71428571428572</v>
      </c>
      <c r="N59" s="747"/>
      <c r="O59" s="754" t="s">
        <v>2970</v>
      </c>
      <c r="P59" s="747"/>
      <c r="Q59" s="747"/>
      <c r="R59" s="773"/>
      <c r="S59"/>
      <c r="T59"/>
      <c r="U59"/>
    </row>
    <row r="60" spans="1:21" s="220" customFormat="1" hidden="1">
      <c r="A60" s="748" t="s">
        <v>2880</v>
      </c>
      <c r="B60" s="758" t="s">
        <v>2921</v>
      </c>
      <c r="C60" s="758" t="s">
        <v>2794</v>
      </c>
      <c r="D60" s="758"/>
      <c r="E60" s="747" t="s">
        <v>73</v>
      </c>
      <c r="F60" s="747" t="s">
        <v>2971</v>
      </c>
      <c r="G60" s="747" t="s">
        <v>2813</v>
      </c>
      <c r="H60" s="747" t="s">
        <v>2885</v>
      </c>
      <c r="I60" s="747" t="str">
        <f>IFERROR(INDEX('[1]MARE MX'!$H:$H,MATCH("*"&amp;F60&amp;"*",'[1]MARE MX'!$F:$F,0)),"Sin dato")</f>
        <v>Sin dato</v>
      </c>
      <c r="J60" s="763">
        <v>282</v>
      </c>
      <c r="K60" s="764">
        <v>10</v>
      </c>
      <c r="L60" s="764">
        <f>K60*J60</f>
        <v>2820</v>
      </c>
      <c r="M60" s="764">
        <f>L60/$C$3</f>
        <v>161.14285714285714</v>
      </c>
      <c r="N60" s="747"/>
      <c r="O60" s="754"/>
      <c r="P60" s="747"/>
      <c r="Q60" s="747"/>
      <c r="R60" s="773"/>
      <c r="S60"/>
      <c r="T60"/>
      <c r="U60"/>
    </row>
    <row r="61" spans="1:21" s="222" customFormat="1" hidden="1">
      <c r="A61" s="748" t="s">
        <v>2880</v>
      </c>
      <c r="B61" s="758" t="s">
        <v>2877</v>
      </c>
      <c r="C61" s="758" t="s">
        <v>2794</v>
      </c>
      <c r="D61" s="758" t="s">
        <v>27</v>
      </c>
      <c r="E61" s="747" t="s">
        <v>73</v>
      </c>
      <c r="F61" s="747" t="s">
        <v>182</v>
      </c>
      <c r="G61" s="747" t="s">
        <v>2813</v>
      </c>
      <c r="H61" s="747" t="s">
        <v>2897</v>
      </c>
      <c r="I61" s="747" t="str">
        <f>IFERROR(INDEX('[1]MARE MX'!$H:$H,MATCH("*"&amp;F61&amp;"*",'[1]MARE MX'!$F:$F,0)),"Sin dato")</f>
        <v>ENTERPRISE</v>
      </c>
      <c r="J61" s="763">
        <v>60</v>
      </c>
      <c r="K61" s="764">
        <v>25</v>
      </c>
      <c r="L61" s="764">
        <f>K61*J61</f>
        <v>1500</v>
      </c>
      <c r="M61" s="764">
        <f>L61/$C$3</f>
        <v>85.714285714285708</v>
      </c>
      <c r="N61" s="747"/>
      <c r="O61" s="754"/>
      <c r="P61" s="747"/>
      <c r="Q61" s="747"/>
      <c r="R61" s="773"/>
      <c r="S61"/>
      <c r="T61"/>
      <c r="U61"/>
    </row>
    <row r="62" spans="1:21" s="222" customFormat="1" hidden="1">
      <c r="A62" s="748" t="s">
        <v>2880</v>
      </c>
      <c r="B62" s="758" t="s">
        <v>2921</v>
      </c>
      <c r="C62" s="758" t="s">
        <v>2794</v>
      </c>
      <c r="D62" s="758"/>
      <c r="E62" s="747" t="s">
        <v>73</v>
      </c>
      <c r="F62" s="747" t="s">
        <v>245</v>
      </c>
      <c r="G62" s="747" t="s">
        <v>2813</v>
      </c>
      <c r="H62" s="747" t="s">
        <v>2897</v>
      </c>
      <c r="I62" s="747" t="str">
        <f>IFERROR(INDEX('[1]MARE MX'!$H:$H,MATCH("*"&amp;F62&amp;"*",'[1]MARE MX'!$F:$F,0)),"Sin dato")</f>
        <v>ENTERPRISE</v>
      </c>
      <c r="J62" s="763">
        <v>700</v>
      </c>
      <c r="K62" s="764">
        <v>22</v>
      </c>
      <c r="L62" s="764">
        <f>K62*J62</f>
        <v>15400</v>
      </c>
      <c r="M62" s="764">
        <f>L62/$C$3</f>
        <v>880</v>
      </c>
      <c r="N62" s="747"/>
      <c r="O62" s="754"/>
      <c r="P62" s="747"/>
      <c r="Q62" s="747"/>
      <c r="R62" s="773"/>
      <c r="S62"/>
      <c r="T62"/>
      <c r="U62"/>
    </row>
    <row r="63" spans="1:21" s="222" customFormat="1" hidden="1">
      <c r="A63" s="748" t="s">
        <v>2880</v>
      </c>
      <c r="B63" s="758" t="s">
        <v>2921</v>
      </c>
      <c r="C63" s="758" t="s">
        <v>2794</v>
      </c>
      <c r="D63" s="758"/>
      <c r="E63" s="747" t="s">
        <v>93</v>
      </c>
      <c r="F63" s="747" t="s">
        <v>2972</v>
      </c>
      <c r="G63" s="747" t="s">
        <v>2813</v>
      </c>
      <c r="H63" s="747" t="s">
        <v>2897</v>
      </c>
      <c r="I63" s="747" t="str">
        <f>IFERROR(INDEX('[1]MARE MX'!$H:$H,MATCH("*"&amp;F63&amp;"*",'[1]MARE MX'!$F:$F,0)),"Sin dato")</f>
        <v>ENTERPRISE</v>
      </c>
      <c r="J63" s="763">
        <v>100</v>
      </c>
      <c r="K63" s="764"/>
      <c r="L63" s="764">
        <v>0</v>
      </c>
      <c r="M63" s="764">
        <f>L63/$C$3</f>
        <v>0</v>
      </c>
      <c r="N63" s="747"/>
      <c r="O63" s="754"/>
      <c r="P63" s="747"/>
      <c r="Q63" s="747"/>
      <c r="R63" s="773"/>
      <c r="S63"/>
      <c r="T63"/>
      <c r="U63"/>
    </row>
    <row r="64" spans="1:21" s="99" customFormat="1" hidden="1">
      <c r="A64" s="748" t="s">
        <v>2880</v>
      </c>
      <c r="B64" s="758" t="s">
        <v>2877</v>
      </c>
      <c r="C64" s="758" t="s">
        <v>2794</v>
      </c>
      <c r="D64" s="758" t="s">
        <v>27</v>
      </c>
      <c r="E64" s="747" t="s">
        <v>439</v>
      </c>
      <c r="F64" s="747" t="s">
        <v>2961</v>
      </c>
      <c r="G64" s="747" t="s">
        <v>2882</v>
      </c>
      <c r="H64" s="747" t="s">
        <v>2973</v>
      </c>
      <c r="I64" s="747" t="str">
        <f>IFERROR(INDEX('[1]MARE MX'!$H:$H,MATCH("*"&amp;F64&amp;"*",'[1]MARE MX'!$F:$F,0)),"Sin dato")</f>
        <v>Sin dato</v>
      </c>
      <c r="J64" s="763">
        <v>75</v>
      </c>
      <c r="K64" s="764"/>
      <c r="L64" s="764">
        <v>300</v>
      </c>
      <c r="M64" s="764">
        <f>L64/$C$3</f>
        <v>17.142857142857142</v>
      </c>
      <c r="N64" s="747"/>
      <c r="O64" s="754"/>
      <c r="P64" s="747"/>
      <c r="Q64" s="747"/>
      <c r="R64" s="773"/>
      <c r="S64"/>
      <c r="T64"/>
      <c r="U64"/>
    </row>
    <row r="65" spans="1:21" s="99" customFormat="1" ht="29.25">
      <c r="A65" s="748" t="s">
        <v>2880</v>
      </c>
      <c r="B65" s="758" t="s">
        <v>2877</v>
      </c>
      <c r="C65" s="758" t="s">
        <v>2794</v>
      </c>
      <c r="D65" s="758" t="s">
        <v>26</v>
      </c>
      <c r="E65" s="747" t="s">
        <v>439</v>
      </c>
      <c r="F65" s="747" t="s">
        <v>2974</v>
      </c>
      <c r="G65" s="747" t="s">
        <v>2814</v>
      </c>
      <c r="H65" s="747" t="s">
        <v>2946</v>
      </c>
      <c r="I65" s="747" t="str">
        <f>IFERROR(INDEX('[1]MARE MX'!$H:$H,MATCH("*"&amp;F65&amp;"*",'[1]MARE MX'!$F:$F,0)),"Sin dato")</f>
        <v>Sin dato</v>
      </c>
      <c r="J65" s="763">
        <v>10</v>
      </c>
      <c r="K65" s="764">
        <v>10</v>
      </c>
      <c r="L65" s="764">
        <f>K65*J65</f>
        <v>100</v>
      </c>
      <c r="M65" s="764">
        <f>L65/$C$3</f>
        <v>5.7142857142857144</v>
      </c>
      <c r="N65" s="747" t="s">
        <v>2975</v>
      </c>
      <c r="O65" s="754" t="s">
        <v>2976</v>
      </c>
      <c r="P65" s="747"/>
      <c r="Q65" s="747" t="s">
        <v>88</v>
      </c>
      <c r="R65" s="773"/>
      <c r="S65"/>
      <c r="T65"/>
      <c r="U65"/>
    </row>
    <row r="66" spans="1:21" s="99" customFormat="1" ht="29.25" hidden="1">
      <c r="A66" s="748" t="s">
        <v>2880</v>
      </c>
      <c r="B66" s="758" t="s">
        <v>2877</v>
      </c>
      <c r="C66" s="758" t="s">
        <v>2794</v>
      </c>
      <c r="D66" s="758" t="s">
        <v>26</v>
      </c>
      <c r="E66" s="747" t="s">
        <v>439</v>
      </c>
      <c r="F66" s="747" t="s">
        <v>2953</v>
      </c>
      <c r="G66" s="747" t="s">
        <v>2813</v>
      </c>
      <c r="H66" s="747" t="s">
        <v>2897</v>
      </c>
      <c r="I66" s="747" t="str">
        <f>IFERROR(INDEX('[1]MARE MX'!$H:$H,MATCH("*"&amp;F66&amp;"*",'[1]MARE MX'!$F:$F,0)),"Sin dato")</f>
        <v>SMB</v>
      </c>
      <c r="J66" s="763">
        <v>170</v>
      </c>
      <c r="K66" s="764">
        <v>31</v>
      </c>
      <c r="L66" s="764">
        <f>K66*J66</f>
        <v>5270</v>
      </c>
      <c r="M66" s="764">
        <f>L66/$C$3</f>
        <v>301.14285714285717</v>
      </c>
      <c r="N66" s="747" t="s">
        <v>2977</v>
      </c>
      <c r="O66" s="754" t="s">
        <v>2978</v>
      </c>
      <c r="P66" s="747"/>
      <c r="Q66" s="747"/>
      <c r="R66" s="773"/>
      <c r="S66"/>
      <c r="T66"/>
      <c r="U66"/>
    </row>
    <row r="67" spans="1:21" s="99" customFormat="1" hidden="1">
      <c r="A67" s="748" t="s">
        <v>2880</v>
      </c>
      <c r="B67" s="758" t="s">
        <v>2877</v>
      </c>
      <c r="C67" s="758" t="s">
        <v>2794</v>
      </c>
      <c r="D67" s="758" t="s">
        <v>26</v>
      </c>
      <c r="E67" s="747" t="s">
        <v>439</v>
      </c>
      <c r="F67" s="747" t="s">
        <v>2979</v>
      </c>
      <c r="G67" s="747" t="s">
        <v>2882</v>
      </c>
      <c r="H67" s="747" t="s">
        <v>2919</v>
      </c>
      <c r="I67" s="747" t="str">
        <f>IFERROR(INDEX('[1]MARE MX'!$H:$H,MATCH("*"&amp;F67&amp;"*",'[1]MARE MX'!$F:$F,0)),"Sin dato")</f>
        <v>SMB</v>
      </c>
      <c r="J67" s="763">
        <v>15</v>
      </c>
      <c r="K67" s="764"/>
      <c r="L67" s="764">
        <v>300</v>
      </c>
      <c r="M67" s="764">
        <f>L67/$C$3</f>
        <v>17.142857142857142</v>
      </c>
      <c r="N67" s="747"/>
      <c r="O67" s="754"/>
      <c r="P67" s="747"/>
      <c r="Q67" s="747"/>
      <c r="R67" s="773"/>
      <c r="S67"/>
      <c r="T67"/>
      <c r="U67"/>
    </row>
    <row r="68" spans="1:21" s="222" customFormat="1" hidden="1">
      <c r="A68" s="748" t="s">
        <v>2880</v>
      </c>
      <c r="B68" s="758" t="s">
        <v>2877</v>
      </c>
      <c r="C68" s="758" t="s">
        <v>2794</v>
      </c>
      <c r="D68" s="758" t="s">
        <v>26</v>
      </c>
      <c r="E68" s="747" t="s">
        <v>439</v>
      </c>
      <c r="F68" s="747" t="s">
        <v>2979</v>
      </c>
      <c r="G68" s="747" t="s">
        <v>2813</v>
      </c>
      <c r="H68" s="747" t="s">
        <v>2813</v>
      </c>
      <c r="I68" s="747" t="str">
        <f>IFERROR(INDEX('[1]MARE MX'!$H:$H,MATCH("*"&amp;F68&amp;"*",'[1]MARE MX'!$F:$F,0)),"Sin dato")</f>
        <v>SMB</v>
      </c>
      <c r="J68" s="763">
        <v>25</v>
      </c>
      <c r="K68" s="764">
        <v>65</v>
      </c>
      <c r="L68" s="764">
        <f>K68*J68</f>
        <v>1625</v>
      </c>
      <c r="M68" s="764">
        <f>L68/$C$3</f>
        <v>92.857142857142861</v>
      </c>
      <c r="N68" s="747"/>
      <c r="O68" s="754"/>
      <c r="P68" s="747"/>
      <c r="Q68" s="747"/>
      <c r="R68" s="773"/>
      <c r="S68"/>
      <c r="T68"/>
      <c r="U68"/>
    </row>
    <row r="69" spans="1:21" s="222" customFormat="1" hidden="1">
      <c r="A69" s="748" t="s">
        <v>2880</v>
      </c>
      <c r="B69" s="758" t="s">
        <v>2877</v>
      </c>
      <c r="C69" s="758" t="s">
        <v>2794</v>
      </c>
      <c r="D69" s="758" t="s">
        <v>26</v>
      </c>
      <c r="E69" s="747" t="s">
        <v>93</v>
      </c>
      <c r="F69" s="747" t="s">
        <v>2980</v>
      </c>
      <c r="G69" s="747" t="s">
        <v>2813</v>
      </c>
      <c r="H69" s="747" t="s">
        <v>2897</v>
      </c>
      <c r="I69" s="747" t="str">
        <f>IFERROR(INDEX('[1]MARE MX'!$H:$H,MATCH("*"&amp;F69&amp;"*",'[1]MARE MX'!$F:$F,0)),"Sin dato")</f>
        <v>ENTERPRISE</v>
      </c>
      <c r="J69" s="763">
        <v>366</v>
      </c>
      <c r="K69" s="764">
        <v>19</v>
      </c>
      <c r="L69" s="764">
        <f>K69*J69</f>
        <v>6954</v>
      </c>
      <c r="M69" s="764">
        <f>L69/$C$3</f>
        <v>397.37142857142857</v>
      </c>
      <c r="N69" s="747"/>
      <c r="O69" s="754" t="s">
        <v>2981</v>
      </c>
      <c r="P69" s="747"/>
      <c r="Q69" s="747"/>
      <c r="R69" s="773"/>
      <c r="S69"/>
      <c r="T69"/>
      <c r="U69"/>
    </row>
    <row r="70" spans="1:21" s="222" customFormat="1" hidden="1">
      <c r="A70" s="748" t="s">
        <v>2880</v>
      </c>
      <c r="B70" s="758" t="s">
        <v>2877</v>
      </c>
      <c r="C70" s="758" t="s">
        <v>2794</v>
      </c>
      <c r="D70" s="758" t="s">
        <v>26</v>
      </c>
      <c r="E70" s="747" t="s">
        <v>93</v>
      </c>
      <c r="F70" s="747" t="s">
        <v>2982</v>
      </c>
      <c r="G70" s="747" t="s">
        <v>2814</v>
      </c>
      <c r="H70" s="747" t="s">
        <v>2885</v>
      </c>
      <c r="I70" s="747" t="str">
        <f>IFERROR(INDEX('[1]MARE MX'!$H:$H,MATCH("*"&amp;F70&amp;"*",'[1]MARE MX'!$F:$F,0)),"Sin dato")</f>
        <v>ENTERPRISE</v>
      </c>
      <c r="J70" s="763">
        <v>363</v>
      </c>
      <c r="K70" s="764">
        <v>4</v>
      </c>
      <c r="L70" s="785">
        <f>K70*J70</f>
        <v>1452</v>
      </c>
      <c r="M70" s="785">
        <f>L70/$C$3</f>
        <v>82.971428571428575</v>
      </c>
      <c r="N70" s="747" t="s">
        <v>2983</v>
      </c>
      <c r="O70" s="754" t="s">
        <v>2984</v>
      </c>
      <c r="P70" s="747"/>
      <c r="Q70" s="747"/>
      <c r="R70" s="773"/>
      <c r="S70"/>
      <c r="T70"/>
      <c r="U70"/>
    </row>
    <row r="71" spans="1:21" ht="29.25" hidden="1">
      <c r="A71" s="748" t="s">
        <v>2880</v>
      </c>
      <c r="B71" s="758" t="s">
        <v>2877</v>
      </c>
      <c r="C71" s="758" t="s">
        <v>2794</v>
      </c>
      <c r="D71" s="758" t="s">
        <v>26</v>
      </c>
      <c r="E71" s="747" t="s">
        <v>93</v>
      </c>
      <c r="F71" s="747" t="s">
        <v>2966</v>
      </c>
      <c r="G71" s="747" t="s">
        <v>2814</v>
      </c>
      <c r="H71" s="747" t="s">
        <v>2887</v>
      </c>
      <c r="I71" s="747" t="str">
        <f>IFERROR(INDEX('[1]MARE MX'!$H:$H,MATCH("*"&amp;F71&amp;"*",'[1]MARE MX'!$F:$F,0)),"Sin dato")</f>
        <v>Sin dato</v>
      </c>
      <c r="J71" s="763">
        <v>1954</v>
      </c>
      <c r="K71" s="764">
        <v>0.33</v>
      </c>
      <c r="L71" s="785">
        <f>M71*$C$3</f>
        <v>11284.35</v>
      </c>
      <c r="M71" s="785">
        <f>K71*J71</f>
        <v>644.82000000000005</v>
      </c>
      <c r="N71" s="747" t="s">
        <v>2985</v>
      </c>
      <c r="O71" s="754" t="s">
        <v>2986</v>
      </c>
      <c r="P71" s="747"/>
      <c r="Q71" s="747"/>
      <c r="R71" s="773"/>
    </row>
    <row r="72" spans="1:21" hidden="1">
      <c r="A72" s="748" t="s">
        <v>2880</v>
      </c>
      <c r="B72" s="758" t="s">
        <v>2921</v>
      </c>
      <c r="C72" s="758" t="s">
        <v>2794</v>
      </c>
      <c r="D72" s="758"/>
      <c r="E72" s="747" t="s">
        <v>93</v>
      </c>
      <c r="F72" s="747" t="s">
        <v>2987</v>
      </c>
      <c r="G72" s="747" t="s">
        <v>2813</v>
      </c>
      <c r="H72" s="747" t="s">
        <v>2897</v>
      </c>
      <c r="I72" s="747" t="str">
        <f>IFERROR(INDEX('[1]MARE MX'!$H:$H,MATCH("*"&amp;F72&amp;"*",'[1]MARE MX'!$F:$F,0)),"Sin dato")</f>
        <v>Sin dato</v>
      </c>
      <c r="J72" s="763">
        <v>150</v>
      </c>
      <c r="K72" s="764">
        <v>14</v>
      </c>
      <c r="L72" s="764">
        <f>K72*J72</f>
        <v>2100</v>
      </c>
      <c r="M72" s="764">
        <f>L72/$C$3</f>
        <v>120</v>
      </c>
      <c r="N72" s="747"/>
      <c r="O72" s="754"/>
      <c r="P72" s="747"/>
      <c r="Q72" s="747"/>
      <c r="R72" s="773"/>
    </row>
    <row r="73" spans="1:21" hidden="1">
      <c r="A73" s="748" t="s">
        <v>2880</v>
      </c>
      <c r="B73" s="758" t="s">
        <v>2921</v>
      </c>
      <c r="C73" s="758" t="s">
        <v>2794</v>
      </c>
      <c r="D73" s="758"/>
      <c r="E73" s="747" t="s">
        <v>93</v>
      </c>
      <c r="F73" s="747" t="s">
        <v>2988</v>
      </c>
      <c r="G73" s="747" t="s">
        <v>2813</v>
      </c>
      <c r="H73" s="747" t="s">
        <v>2897</v>
      </c>
      <c r="I73" s="747" t="str">
        <f>IFERROR(INDEX('[1]MARE MX'!$H:$H,MATCH("*"&amp;F73&amp;"*",'[1]MARE MX'!$F:$F,0)),"Sin dato")</f>
        <v>Sin dato</v>
      </c>
      <c r="J73" s="763">
        <v>10000</v>
      </c>
      <c r="K73" s="764">
        <v>19</v>
      </c>
      <c r="L73" s="764">
        <f>K73*J73</f>
        <v>190000</v>
      </c>
      <c r="M73" s="764">
        <f>L73/$C$3</f>
        <v>10857.142857142857</v>
      </c>
      <c r="N73" s="747"/>
      <c r="O73" s="754"/>
      <c r="P73" s="747"/>
      <c r="Q73" s="747"/>
      <c r="R73" s="773"/>
    </row>
    <row r="74" spans="1:21" hidden="1">
      <c r="A74" s="748" t="s">
        <v>2880</v>
      </c>
      <c r="B74" s="758" t="s">
        <v>2921</v>
      </c>
      <c r="C74" s="758" t="s">
        <v>2794</v>
      </c>
      <c r="D74" s="758"/>
      <c r="E74" s="747" t="s">
        <v>73</v>
      </c>
      <c r="F74" s="747" t="s">
        <v>1821</v>
      </c>
      <c r="G74" s="747" t="s">
        <v>2814</v>
      </c>
      <c r="H74" s="747" t="s">
        <v>2885</v>
      </c>
      <c r="I74" s="747" t="str">
        <f>IFERROR(INDEX('[1]MARE MX'!$H:$H,MATCH("*"&amp;F74&amp;"*",'[1]MARE MX'!$F:$F,0)),"Sin dato")</f>
        <v>Sin dato</v>
      </c>
      <c r="J74" s="763">
        <v>150</v>
      </c>
      <c r="K74" s="764">
        <v>15</v>
      </c>
      <c r="L74" s="764">
        <f>K74*J74</f>
        <v>2250</v>
      </c>
      <c r="M74" s="764">
        <f>L74/$C$3</f>
        <v>128.57142857142858</v>
      </c>
      <c r="N74" s="747"/>
      <c r="O74" s="754"/>
      <c r="P74" s="747"/>
      <c r="Q74" s="747"/>
      <c r="R74" s="773"/>
    </row>
    <row r="75" spans="1:21" hidden="1">
      <c r="A75" s="748" t="s">
        <v>2880</v>
      </c>
      <c r="B75" s="758" t="s">
        <v>2921</v>
      </c>
      <c r="C75" s="758" t="s">
        <v>2794</v>
      </c>
      <c r="D75" s="758"/>
      <c r="E75" s="747" t="s">
        <v>73</v>
      </c>
      <c r="F75" s="747" t="s">
        <v>2989</v>
      </c>
      <c r="G75" s="747" t="s">
        <v>2814</v>
      </c>
      <c r="H75" s="747" t="s">
        <v>2885</v>
      </c>
      <c r="I75" s="747" t="str">
        <f>IFERROR(INDEX('[1]MARE MX'!$H:$H,MATCH("*"&amp;F75&amp;"*",'[1]MARE MX'!$F:$F,0)),"Sin dato")</f>
        <v>Sin dato</v>
      </c>
      <c r="J75" s="763">
        <v>300</v>
      </c>
      <c r="K75" s="764">
        <v>12</v>
      </c>
      <c r="L75" s="764">
        <f>K75*J75</f>
        <v>3600</v>
      </c>
      <c r="M75" s="764">
        <f>L75/$C$3</f>
        <v>205.71428571428572</v>
      </c>
      <c r="N75" s="747"/>
      <c r="O75" s="754"/>
      <c r="P75" s="747"/>
      <c r="Q75" s="747"/>
      <c r="R75" s="773"/>
    </row>
    <row r="76" spans="1:21">
      <c r="A76" s="748" t="s">
        <v>2880</v>
      </c>
      <c r="B76" s="758" t="s">
        <v>2921</v>
      </c>
      <c r="C76" s="758" t="s">
        <v>2794</v>
      </c>
      <c r="D76" s="758"/>
      <c r="E76" s="747" t="s">
        <v>439</v>
      </c>
      <c r="F76" s="747" t="s">
        <v>2990</v>
      </c>
      <c r="G76" s="747" t="s">
        <v>2814</v>
      </c>
      <c r="H76" s="747" t="s">
        <v>2991</v>
      </c>
      <c r="I76" s="747" t="str">
        <f>IFERROR(INDEX('[1]MARE MX'!$H:$H,MATCH("*"&amp;F76&amp;"*",'[1]MARE MX'!$F:$F,0)),"Sin dato")</f>
        <v>Sin dato</v>
      </c>
      <c r="J76" s="763">
        <v>100</v>
      </c>
      <c r="K76" s="764">
        <v>6</v>
      </c>
      <c r="L76" s="764">
        <f>K76*J76</f>
        <v>600</v>
      </c>
      <c r="M76" s="764">
        <f>L76/$C$3</f>
        <v>34.285714285714285</v>
      </c>
      <c r="N76" s="747"/>
      <c r="O76" s="754"/>
      <c r="P76" s="747"/>
      <c r="Q76" s="747"/>
      <c r="R76" s="773"/>
    </row>
    <row r="77" spans="1:21" hidden="1">
      <c r="A77" s="748" t="s">
        <v>2880</v>
      </c>
      <c r="B77" s="758" t="s">
        <v>2921</v>
      </c>
      <c r="C77" s="758" t="s">
        <v>2794</v>
      </c>
      <c r="D77" s="758"/>
      <c r="E77" s="747" t="s">
        <v>93</v>
      </c>
      <c r="F77" s="747" t="s">
        <v>2992</v>
      </c>
      <c r="G77" s="747" t="s">
        <v>2814</v>
      </c>
      <c r="H77" s="747" t="s">
        <v>53</v>
      </c>
      <c r="I77" s="747" t="str">
        <f>IFERROR(INDEX('[1]MARE MX'!$H:$H,MATCH("*"&amp;F77&amp;"*",'[1]MARE MX'!$F:$F,0)),"Sin dato")</f>
        <v>ENTERPRISE</v>
      </c>
      <c r="J77" s="763">
        <v>900</v>
      </c>
      <c r="K77" s="764">
        <v>0.5</v>
      </c>
      <c r="L77" s="764">
        <f>K77*J77</f>
        <v>450</v>
      </c>
      <c r="M77" s="764">
        <f>L77/$C$3</f>
        <v>25.714285714285715</v>
      </c>
      <c r="N77" s="747"/>
      <c r="O77" s="754"/>
      <c r="P77" s="747"/>
      <c r="Q77" s="747"/>
      <c r="R77" s="773"/>
    </row>
    <row r="78" spans="1:21" hidden="1">
      <c r="A78" s="748" t="s">
        <v>2880</v>
      </c>
      <c r="B78" s="758" t="s">
        <v>2921</v>
      </c>
      <c r="C78" s="758" t="s">
        <v>2794</v>
      </c>
      <c r="D78" s="758"/>
      <c r="E78" s="747" t="s">
        <v>73</v>
      </c>
      <c r="F78" s="747" t="s">
        <v>2993</v>
      </c>
      <c r="G78" s="747" t="s">
        <v>2814</v>
      </c>
      <c r="H78" s="747" t="s">
        <v>2904</v>
      </c>
      <c r="I78" s="747" t="str">
        <f>IFERROR(INDEX('[1]MARE MX'!$H:$H,MATCH("*"&amp;F78&amp;"*",'[1]MARE MX'!$F:$F,0)),"Sin dato")</f>
        <v>ENTERPRISE</v>
      </c>
      <c r="J78" s="763">
        <v>804</v>
      </c>
      <c r="K78" s="764">
        <v>12</v>
      </c>
      <c r="L78" s="764">
        <f>K78*J78</f>
        <v>9648</v>
      </c>
      <c r="M78" s="764">
        <f>L78/$C$3</f>
        <v>551.31428571428569</v>
      </c>
      <c r="N78" s="747"/>
      <c r="O78" s="754"/>
      <c r="P78" s="747"/>
      <c r="Q78" s="747"/>
      <c r="R78" s="773"/>
    </row>
    <row r="79" spans="1:21" hidden="1">
      <c r="A79" s="748" t="s">
        <v>2880</v>
      </c>
      <c r="B79" s="758" t="s">
        <v>2921</v>
      </c>
      <c r="C79" s="758" t="s">
        <v>2794</v>
      </c>
      <c r="D79" s="758"/>
      <c r="E79" s="747" t="s">
        <v>73</v>
      </c>
      <c r="F79" s="747" t="s">
        <v>2971</v>
      </c>
      <c r="G79" s="747" t="s">
        <v>2814</v>
      </c>
      <c r="H79" s="747" t="s">
        <v>2904</v>
      </c>
      <c r="I79" s="747" t="str">
        <f>IFERROR(INDEX('[1]MARE MX'!$H:$H,MATCH("*"&amp;F79&amp;"*",'[1]MARE MX'!$F:$F,0)),"Sin dato")</f>
        <v>Sin dato</v>
      </c>
      <c r="J79" s="763">
        <v>271</v>
      </c>
      <c r="K79" s="764">
        <v>15</v>
      </c>
      <c r="L79" s="764">
        <f>K79*J79</f>
        <v>4065</v>
      </c>
      <c r="M79" s="764">
        <f>L79/$C$3</f>
        <v>232.28571428571428</v>
      </c>
      <c r="N79" s="747"/>
      <c r="O79" s="754"/>
      <c r="P79" s="747"/>
      <c r="Q79" s="747"/>
      <c r="R79" s="773"/>
    </row>
    <row r="80" spans="1:21" hidden="1">
      <c r="A80" s="748" t="s">
        <v>2880</v>
      </c>
      <c r="B80" s="758" t="s">
        <v>2921</v>
      </c>
      <c r="C80" s="758" t="s">
        <v>2794</v>
      </c>
      <c r="D80" s="758"/>
      <c r="E80" s="747" t="s">
        <v>73</v>
      </c>
      <c r="F80" s="747" t="s">
        <v>2994</v>
      </c>
      <c r="G80" s="747" t="s">
        <v>2814</v>
      </c>
      <c r="H80" s="747" t="s">
        <v>2887</v>
      </c>
      <c r="I80" s="747" t="str">
        <f>IFERROR(INDEX('[1]MARE MX'!$H:$H,MATCH("*"&amp;F80&amp;"*",'[1]MARE MX'!$F:$F,0)),"Sin dato")</f>
        <v>ENTERPRISE</v>
      </c>
      <c r="J80" s="763">
        <v>333</v>
      </c>
      <c r="K80" s="764"/>
      <c r="L80" s="764">
        <v>0</v>
      </c>
      <c r="M80" s="764">
        <f>L80/$C$3</f>
        <v>0</v>
      </c>
      <c r="N80" s="747"/>
      <c r="O80" s="754"/>
      <c r="P80" s="747"/>
      <c r="Q80" s="747"/>
      <c r="R80" s="773"/>
    </row>
    <row r="81" spans="1:21">
      <c r="A81" s="748" t="s">
        <v>2880</v>
      </c>
      <c r="B81" s="758" t="s">
        <v>2921</v>
      </c>
      <c r="C81" s="758" t="s">
        <v>2794</v>
      </c>
      <c r="D81" s="758"/>
      <c r="E81" s="747" t="s">
        <v>439</v>
      </c>
      <c r="F81" s="747" t="s">
        <v>1416</v>
      </c>
      <c r="G81" s="747" t="s">
        <v>2814</v>
      </c>
      <c r="H81" s="747" t="s">
        <v>2904</v>
      </c>
      <c r="I81" s="747" t="str">
        <f>IFERROR(INDEX('[1]MARE MX'!$H:$H,MATCH("*"&amp;F81&amp;"*",'[1]MARE MX'!$F:$F,0)),"Sin dato")</f>
        <v>SMB</v>
      </c>
      <c r="J81" s="763">
        <v>70</v>
      </c>
      <c r="K81" s="764">
        <v>10</v>
      </c>
      <c r="L81" s="764">
        <f>K81*J81</f>
        <v>700</v>
      </c>
      <c r="M81" s="764">
        <f>L81/$C$3</f>
        <v>40</v>
      </c>
      <c r="N81" s="747"/>
      <c r="O81" s="754"/>
      <c r="P81" s="747"/>
      <c r="Q81" s="747"/>
      <c r="R81" s="773"/>
    </row>
    <row r="82" spans="1:21">
      <c r="A82" s="748" t="s">
        <v>2880</v>
      </c>
      <c r="B82" s="758" t="s">
        <v>2921</v>
      </c>
      <c r="C82" s="758" t="s">
        <v>2794</v>
      </c>
      <c r="D82" s="758"/>
      <c r="E82" s="747" t="s">
        <v>439</v>
      </c>
      <c r="F82" s="747" t="s">
        <v>2995</v>
      </c>
      <c r="G82" s="747" t="s">
        <v>2814</v>
      </c>
      <c r="H82" s="747" t="s">
        <v>45</v>
      </c>
      <c r="I82" s="747" t="str">
        <f>IFERROR(INDEX('[1]MARE MX'!$H:$H,MATCH("*"&amp;F82&amp;"*",'[1]MARE MX'!$F:$F,0)),"Sin dato")</f>
        <v>Sin dato</v>
      </c>
      <c r="J82" s="763">
        <v>21</v>
      </c>
      <c r="K82" s="764">
        <v>10</v>
      </c>
      <c r="L82" s="764">
        <f>K82*J82</f>
        <v>210</v>
      </c>
      <c r="M82" s="764">
        <f>L82/$C$3</f>
        <v>12</v>
      </c>
      <c r="N82" s="747"/>
      <c r="O82" s="754"/>
      <c r="P82" s="747"/>
      <c r="Q82" s="747"/>
      <c r="R82" s="773"/>
    </row>
    <row r="83" spans="1:21" s="221" customFormat="1" hidden="1">
      <c r="A83" s="748" t="s">
        <v>2880</v>
      </c>
      <c r="B83" s="758" t="s">
        <v>2921</v>
      </c>
      <c r="C83" s="758" t="s">
        <v>2794</v>
      </c>
      <c r="D83" s="758"/>
      <c r="E83" s="747" t="s">
        <v>93</v>
      </c>
      <c r="F83" s="747" t="s">
        <v>2996</v>
      </c>
      <c r="G83" s="747" t="s">
        <v>2814</v>
      </c>
      <c r="H83" s="747" t="s">
        <v>2885</v>
      </c>
      <c r="I83" s="747" t="str">
        <f>IFERROR(INDEX('[1]MARE MX'!$H:$H,MATCH("*"&amp;F83&amp;"*",'[1]MARE MX'!$F:$F,0)),"Sin dato")</f>
        <v>Sin dato</v>
      </c>
      <c r="J83" s="763">
        <v>5000</v>
      </c>
      <c r="K83" s="764">
        <v>2</v>
      </c>
      <c r="L83" s="764">
        <f>K83*J83</f>
        <v>10000</v>
      </c>
      <c r="M83" s="764">
        <f>L83/$C$3</f>
        <v>571.42857142857144</v>
      </c>
      <c r="N83" s="747"/>
      <c r="O83" s="754"/>
      <c r="P83" s="747"/>
      <c r="Q83" s="747"/>
      <c r="R83" s="773"/>
      <c r="S83"/>
      <c r="T83"/>
      <c r="U83"/>
    </row>
    <row r="84" spans="1:21" s="221" customFormat="1">
      <c r="A84" s="748" t="s">
        <v>2880</v>
      </c>
      <c r="B84" s="758" t="s">
        <v>2921</v>
      </c>
      <c r="C84" s="758" t="s">
        <v>2794</v>
      </c>
      <c r="D84" s="758"/>
      <c r="E84" s="747" t="s">
        <v>439</v>
      </c>
      <c r="F84" s="747" t="s">
        <v>2997</v>
      </c>
      <c r="G84" s="747" t="s">
        <v>2814</v>
      </c>
      <c r="H84" s="747" t="s">
        <v>50</v>
      </c>
      <c r="I84" s="747" t="str">
        <f>IFERROR(INDEX('[1]MARE MX'!$H:$H,MATCH("*"&amp;F84&amp;"*",'[1]MARE MX'!$F:$F,0)),"Sin dato")</f>
        <v>SMB</v>
      </c>
      <c r="J84" s="763">
        <v>65</v>
      </c>
      <c r="K84" s="764"/>
      <c r="L84" s="764">
        <v>560</v>
      </c>
      <c r="M84" s="764">
        <f>L84/$C$3</f>
        <v>32</v>
      </c>
      <c r="N84" s="747"/>
      <c r="O84" s="754"/>
      <c r="P84" s="747"/>
      <c r="Q84" s="747"/>
      <c r="R84" s="773"/>
      <c r="S84"/>
      <c r="T84"/>
      <c r="U84"/>
    </row>
    <row r="85" spans="1:21" s="221" customFormat="1" hidden="1">
      <c r="A85" s="748" t="s">
        <v>2880</v>
      </c>
      <c r="B85" s="758" t="s">
        <v>2877</v>
      </c>
      <c r="C85" s="758" t="s">
        <v>2797</v>
      </c>
      <c r="D85" s="758" t="s">
        <v>29</v>
      </c>
      <c r="E85" s="747" t="s">
        <v>73</v>
      </c>
      <c r="F85" s="747" t="s">
        <v>2899</v>
      </c>
      <c r="G85" s="747" t="s">
        <v>2813</v>
      </c>
      <c r="H85" s="747" t="s">
        <v>2998</v>
      </c>
      <c r="I85" s="747" t="str">
        <f>IFERROR(INDEX('[1]MARE MX'!$H:$H,MATCH("*"&amp;F85&amp;"*",'[1]MARE MX'!$F:$F,0)),"Sin dato")</f>
        <v>ENTERPRISE</v>
      </c>
      <c r="J85" s="763">
        <v>250</v>
      </c>
      <c r="K85" s="764">
        <v>23</v>
      </c>
      <c r="L85" s="764">
        <f>K85*J85</f>
        <v>5750</v>
      </c>
      <c r="M85" s="765">
        <f>L85/$C$3</f>
        <v>328.57142857142856</v>
      </c>
      <c r="N85" s="747"/>
      <c r="O85" s="754" t="s">
        <v>2999</v>
      </c>
      <c r="P85" s="747"/>
      <c r="Q85" s="747"/>
      <c r="R85" s="773"/>
      <c r="S85"/>
      <c r="T85"/>
      <c r="U85"/>
    </row>
    <row r="86" spans="1:21" hidden="1">
      <c r="A86" s="748" t="s">
        <v>2880</v>
      </c>
      <c r="B86" s="758" t="s">
        <v>2877</v>
      </c>
      <c r="C86" s="758" t="s">
        <v>2797</v>
      </c>
      <c r="D86" s="758" t="s">
        <v>29</v>
      </c>
      <c r="E86" s="747" t="s">
        <v>73</v>
      </c>
      <c r="F86" s="747" t="s">
        <v>2899</v>
      </c>
      <c r="G86" s="747" t="s">
        <v>2814</v>
      </c>
      <c r="H86" s="747" t="s">
        <v>3000</v>
      </c>
      <c r="I86" s="747" t="str">
        <f>IFERROR(INDEX('[1]MARE MX'!$H:$H,MATCH("*"&amp;F86&amp;"*",'[1]MARE MX'!$F:$F,0)),"Sin dato")</f>
        <v>ENTERPRISE</v>
      </c>
      <c r="J86" s="763">
        <v>250</v>
      </c>
      <c r="K86" s="787">
        <v>8</v>
      </c>
      <c r="L86" s="786">
        <f>K86*J86</f>
        <v>2000</v>
      </c>
      <c r="M86" s="786">
        <f>L86/$D$3</f>
        <v>111.11111111111111</v>
      </c>
      <c r="N86" s="747" t="s">
        <v>3001</v>
      </c>
      <c r="O86" s="754" t="s">
        <v>2999</v>
      </c>
      <c r="P86" s="747"/>
      <c r="Q86" s="747"/>
      <c r="R86" s="773"/>
    </row>
    <row r="87" spans="1:21" s="217" customFormat="1">
      <c r="A87" s="749" t="s">
        <v>2880</v>
      </c>
      <c r="B87" s="759" t="s">
        <v>2877</v>
      </c>
      <c r="C87" s="759" t="s">
        <v>2797</v>
      </c>
      <c r="D87" s="759" t="s">
        <v>29</v>
      </c>
      <c r="E87" s="750" t="s">
        <v>439</v>
      </c>
      <c r="F87" s="750" t="s">
        <v>3002</v>
      </c>
      <c r="G87" s="750" t="s">
        <v>2814</v>
      </c>
      <c r="H87" s="750" t="s">
        <v>3003</v>
      </c>
      <c r="I87" s="750" t="str">
        <f>IFERROR(INDEX('[1]MARE MX'!$H:$H,MATCH("*"&amp;F87&amp;"*",'[1]MARE MX'!$F:$F,0)),"Sin dato")</f>
        <v>Sin dato</v>
      </c>
      <c r="J87" s="766">
        <v>53</v>
      </c>
      <c r="K87" s="767">
        <v>10</v>
      </c>
      <c r="L87" s="786">
        <f>K87*J87</f>
        <v>530</v>
      </c>
      <c r="M87" s="786">
        <f>L87/$D$3</f>
        <v>29.444444444444443</v>
      </c>
      <c r="N87" s="747" t="s">
        <v>3004</v>
      </c>
      <c r="O87" s="771" t="s">
        <v>300</v>
      </c>
      <c r="P87" s="750"/>
      <c r="Q87" s="750"/>
      <c r="R87" s="771"/>
      <c r="S87"/>
      <c r="T87"/>
      <c r="U87"/>
    </row>
    <row r="88" spans="1:21">
      <c r="A88" s="749" t="s">
        <v>2880</v>
      </c>
      <c r="B88" s="759" t="s">
        <v>3005</v>
      </c>
      <c r="C88" s="759" t="s">
        <v>2800</v>
      </c>
      <c r="D88" s="759"/>
      <c r="E88" s="750" t="s">
        <v>439</v>
      </c>
      <c r="F88" s="750" t="s">
        <v>3006</v>
      </c>
      <c r="G88" s="750" t="s">
        <v>2814</v>
      </c>
      <c r="H88" s="750" t="s">
        <v>50</v>
      </c>
      <c r="I88" s="750" t="str">
        <f>IFERROR(INDEX('[1]MARE MX'!$H:$H,MATCH("*"&amp;F88&amp;"*",'[1]MARE MX'!$F:$F,0)),"Sin dato")</f>
        <v>SMB</v>
      </c>
      <c r="J88" s="766">
        <v>200</v>
      </c>
      <c r="K88" s="767">
        <v>5</v>
      </c>
      <c r="L88" s="786">
        <f>K88*J88</f>
        <v>1000</v>
      </c>
      <c r="M88" s="786">
        <f>L88/$D$3</f>
        <v>55.555555555555557</v>
      </c>
      <c r="N88" s="750"/>
      <c r="O88" s="771" t="s">
        <v>3007</v>
      </c>
      <c r="P88" s="750" t="s">
        <v>3008</v>
      </c>
      <c r="Q88" s="750"/>
      <c r="R88" s="771"/>
    </row>
    <row r="89" spans="1:21" hidden="1">
      <c r="A89" s="750" t="s">
        <v>3009</v>
      </c>
      <c r="B89" s="759" t="s">
        <v>3005</v>
      </c>
      <c r="C89" s="759" t="s">
        <v>2797</v>
      </c>
      <c r="D89" s="759" t="s">
        <v>29</v>
      </c>
      <c r="E89" s="750" t="s">
        <v>439</v>
      </c>
      <c r="F89" s="750" t="s">
        <v>3010</v>
      </c>
      <c r="G89" s="750" t="s">
        <v>2813</v>
      </c>
      <c r="H89" s="750" t="s">
        <v>2897</v>
      </c>
      <c r="I89" s="750" t="str">
        <f>IFERROR(INDEX('[1]MARE MX'!$H:$H,MATCH("*"&amp;F89&amp;"*",'[1]MARE MX'!$F:$F,0)),"Sin dato")</f>
        <v>Sin dato</v>
      </c>
      <c r="J89" s="766">
        <v>200</v>
      </c>
      <c r="K89" s="767">
        <v>40</v>
      </c>
      <c r="L89" s="768">
        <f>K89*J89</f>
        <v>8000</v>
      </c>
      <c r="M89" s="768">
        <f>L89/$C$3</f>
        <v>457.14285714285717</v>
      </c>
      <c r="N89" s="750"/>
      <c r="O89" s="750" t="s">
        <v>3011</v>
      </c>
      <c r="P89" s="750"/>
      <c r="Q89" s="750"/>
      <c r="R89" s="771"/>
    </row>
    <row r="90" spans="1:21" hidden="1">
      <c r="A90" s="749" t="s">
        <v>2880</v>
      </c>
      <c r="B90" s="759" t="s">
        <v>3005</v>
      </c>
      <c r="C90" s="759" t="s">
        <v>2797</v>
      </c>
      <c r="D90" s="759" t="s">
        <v>29</v>
      </c>
      <c r="E90" s="750" t="s">
        <v>439</v>
      </c>
      <c r="F90" s="750" t="s">
        <v>3012</v>
      </c>
      <c r="G90" s="750" t="s">
        <v>2813</v>
      </c>
      <c r="H90" s="750" t="s">
        <v>2897</v>
      </c>
      <c r="I90" s="750" t="str">
        <f>IFERROR(INDEX('[1]MARE MX'!$H:$H,MATCH("*"&amp;F90&amp;"*",'[1]MARE MX'!$F:$F,0)),"Sin dato")</f>
        <v>SMB</v>
      </c>
      <c r="J90" s="766">
        <v>300</v>
      </c>
      <c r="K90" s="767"/>
      <c r="L90" s="768">
        <f>K90*J90</f>
        <v>0</v>
      </c>
      <c r="M90" s="768">
        <f>L90/$C$3</f>
        <v>0</v>
      </c>
      <c r="N90" s="750"/>
      <c r="O90" s="750" t="s">
        <v>3013</v>
      </c>
      <c r="P90" s="750"/>
      <c r="Q90" s="750"/>
      <c r="R90" s="771"/>
    </row>
    <row r="91" spans="1:21" hidden="1">
      <c r="A91" s="749" t="s">
        <v>2880</v>
      </c>
      <c r="B91" s="759" t="s">
        <v>3005</v>
      </c>
      <c r="C91" s="759" t="s">
        <v>2797</v>
      </c>
      <c r="D91" s="759" t="s">
        <v>29</v>
      </c>
      <c r="E91" s="750" t="s">
        <v>439</v>
      </c>
      <c r="F91" s="750" t="s">
        <v>2961</v>
      </c>
      <c r="G91" s="750" t="s">
        <v>2813</v>
      </c>
      <c r="H91" s="750" t="s">
        <v>2897</v>
      </c>
      <c r="I91" s="750" t="str">
        <f>IFERROR(INDEX('[1]MARE MX'!$H:$H,MATCH("*"&amp;F91&amp;"*",'[1]MARE MX'!$F:$F,0)),"Sin dato")</f>
        <v>Sin dato</v>
      </c>
      <c r="J91" s="766"/>
      <c r="K91" s="767"/>
      <c r="L91" s="768">
        <f>K91*J91</f>
        <v>0</v>
      </c>
      <c r="M91" s="768">
        <f>L91/$C$3</f>
        <v>0</v>
      </c>
      <c r="N91" s="750"/>
      <c r="O91" s="771"/>
      <c r="P91" s="750"/>
      <c r="Q91" s="750"/>
      <c r="R91" s="771"/>
    </row>
    <row r="92" spans="1:21" hidden="1">
      <c r="A92" s="748" t="s">
        <v>2880</v>
      </c>
      <c r="B92" s="758" t="s">
        <v>2877</v>
      </c>
      <c r="C92" s="758" t="s">
        <v>2797</v>
      </c>
      <c r="D92" s="758" t="s">
        <v>29</v>
      </c>
      <c r="E92" s="747" t="s">
        <v>93</v>
      </c>
      <c r="F92" s="747" t="s">
        <v>720</v>
      </c>
      <c r="G92" s="747" t="s">
        <v>2814</v>
      </c>
      <c r="H92" s="747" t="s">
        <v>2904</v>
      </c>
      <c r="I92" s="747" t="str">
        <f>IFERROR(INDEX('[1]MARE MX'!$H:$H,MATCH("*"&amp;F92&amp;"*",'[1]MARE MX'!$F:$F,0)),"Sin dato")</f>
        <v>ENTERPRISE</v>
      </c>
      <c r="J92" s="763">
        <v>241</v>
      </c>
      <c r="K92" s="764">
        <v>10</v>
      </c>
      <c r="L92" s="782">
        <f>K92*J92</f>
        <v>2410</v>
      </c>
      <c r="M92" s="786">
        <f>L92/$D$3</f>
        <v>133.88888888888889</v>
      </c>
      <c r="N92" s="747" t="s">
        <v>3014</v>
      </c>
      <c r="O92" s="754" t="s">
        <v>29</v>
      </c>
      <c r="P92" s="747"/>
      <c r="Q92" s="747"/>
      <c r="R92" s="773"/>
    </row>
    <row r="93" spans="1:21" hidden="1">
      <c r="A93" s="748" t="s">
        <v>2880</v>
      </c>
      <c r="B93" s="758" t="s">
        <v>2877</v>
      </c>
      <c r="C93" s="758" t="s">
        <v>2797</v>
      </c>
      <c r="D93" s="758" t="s">
        <v>29</v>
      </c>
      <c r="E93" s="747" t="s">
        <v>93</v>
      </c>
      <c r="F93" s="747" t="s">
        <v>720</v>
      </c>
      <c r="G93" s="747" t="s">
        <v>2814</v>
      </c>
      <c r="H93" s="747" t="s">
        <v>2887</v>
      </c>
      <c r="I93" s="747" t="str">
        <f>IFERROR(INDEX('[1]MARE MX'!$H:$H,MATCH("*"&amp;F93&amp;"*",'[1]MARE MX'!$F:$F,0)),"Sin dato")</f>
        <v>ENTERPRISE</v>
      </c>
      <c r="J93" s="763">
        <v>150</v>
      </c>
      <c r="K93" s="764">
        <v>12</v>
      </c>
      <c r="L93" s="782">
        <f>K93*J93</f>
        <v>1800</v>
      </c>
      <c r="M93" s="786">
        <f>L93/$D$3</f>
        <v>100</v>
      </c>
      <c r="N93" s="747" t="s">
        <v>3014</v>
      </c>
      <c r="O93" s="754" t="s">
        <v>29</v>
      </c>
      <c r="P93" s="747"/>
      <c r="Q93" s="747"/>
      <c r="R93" s="773"/>
    </row>
    <row r="94" spans="1:21" hidden="1">
      <c r="A94" s="748" t="s">
        <v>2880</v>
      </c>
      <c r="B94" s="758" t="s">
        <v>3005</v>
      </c>
      <c r="C94" s="758" t="s">
        <v>2797</v>
      </c>
      <c r="D94" s="758" t="s">
        <v>29</v>
      </c>
      <c r="E94" s="747" t="s">
        <v>93</v>
      </c>
      <c r="F94" s="747" t="s">
        <v>2972</v>
      </c>
      <c r="G94" s="747" t="s">
        <v>2813</v>
      </c>
      <c r="H94" s="747" t="s">
        <v>2897</v>
      </c>
      <c r="I94" s="747" t="str">
        <f>IFERROR(INDEX('[1]MARE MX'!$H:$H,MATCH("*"&amp;F94&amp;"*",'[1]MARE MX'!$F:$F,0)),"Sin dato")</f>
        <v>ENTERPRISE</v>
      </c>
      <c r="J94" s="763">
        <v>93</v>
      </c>
      <c r="K94" s="764">
        <v>40.64</v>
      </c>
      <c r="L94" s="764">
        <f>K94*J94</f>
        <v>3779.52</v>
      </c>
      <c r="M94" s="764">
        <f>L94/$C$3</f>
        <v>215.97257142857143</v>
      </c>
      <c r="N94" s="747"/>
      <c r="O94" s="754" t="s">
        <v>3015</v>
      </c>
      <c r="P94" s="747" t="s">
        <v>3008</v>
      </c>
      <c r="Q94" s="747"/>
      <c r="R94" s="773"/>
    </row>
    <row r="95" spans="1:21" s="221" customFormat="1" hidden="1">
      <c r="A95" s="748" t="s">
        <v>2880</v>
      </c>
      <c r="B95" s="758" t="s">
        <v>2921</v>
      </c>
      <c r="C95" s="758" t="s">
        <v>2797</v>
      </c>
      <c r="D95" s="758"/>
      <c r="E95" s="747" t="s">
        <v>439</v>
      </c>
      <c r="F95" s="747" t="s">
        <v>3016</v>
      </c>
      <c r="G95" s="747"/>
      <c r="H95" s="747" t="s">
        <v>2897</v>
      </c>
      <c r="I95" s="747" t="str">
        <f>IFERROR(INDEX('[1]MARE MX'!$H:$H,MATCH("*"&amp;F95&amp;"*",'[1]MARE MX'!$F:$F,0)),"Sin dato")</f>
        <v>Sin dato</v>
      </c>
      <c r="J95" s="763">
        <v>50</v>
      </c>
      <c r="K95" s="764"/>
      <c r="L95" s="764">
        <v>0</v>
      </c>
      <c r="M95" s="764">
        <f>L95/$D$3</f>
        <v>0</v>
      </c>
      <c r="N95" s="747"/>
      <c r="O95" s="754"/>
      <c r="P95" s="747"/>
      <c r="Q95" s="747"/>
      <c r="R95" s="773"/>
      <c r="S95"/>
      <c r="T95"/>
      <c r="U95"/>
    </row>
    <row r="96" spans="1:21" s="221" customFormat="1" hidden="1">
      <c r="A96" s="748" t="s">
        <v>2880</v>
      </c>
      <c r="B96" s="758" t="s">
        <v>2921</v>
      </c>
      <c r="C96" s="758" t="s">
        <v>2797</v>
      </c>
      <c r="D96" s="758"/>
      <c r="E96" s="747" t="s">
        <v>93</v>
      </c>
      <c r="F96" s="747" t="s">
        <v>2996</v>
      </c>
      <c r="G96" s="747" t="s">
        <v>2813</v>
      </c>
      <c r="H96" s="747" t="s">
        <v>2897</v>
      </c>
      <c r="I96" s="747" t="str">
        <f>IFERROR(INDEX('[1]MARE MX'!$H:$H,MATCH("*"&amp;F96&amp;"*",'[1]MARE MX'!$F:$F,0)),"Sin dato")</f>
        <v>Sin dato</v>
      </c>
      <c r="J96" s="763">
        <v>5000</v>
      </c>
      <c r="K96" s="764">
        <v>27</v>
      </c>
      <c r="L96" s="764">
        <f>K96*J96</f>
        <v>135000</v>
      </c>
      <c r="M96" s="764">
        <f>L96/$D$3</f>
        <v>7500</v>
      </c>
      <c r="N96" s="747"/>
      <c r="O96" s="754"/>
      <c r="P96" s="747"/>
      <c r="Q96" s="747"/>
      <c r="R96" s="773"/>
      <c r="S96"/>
      <c r="T96"/>
      <c r="U96"/>
    </row>
    <row r="97" spans="1:21" s="221" customFormat="1" hidden="1">
      <c r="A97" s="748" t="s">
        <v>2880</v>
      </c>
      <c r="B97" s="758" t="s">
        <v>2877</v>
      </c>
      <c r="C97" s="758" t="s">
        <v>2797</v>
      </c>
      <c r="D97" s="758" t="s">
        <v>29</v>
      </c>
      <c r="E97" s="747" t="s">
        <v>73</v>
      </c>
      <c r="F97" s="747" t="s">
        <v>3017</v>
      </c>
      <c r="G97" s="747" t="s">
        <v>2813</v>
      </c>
      <c r="H97" s="747" t="s">
        <v>2897</v>
      </c>
      <c r="I97" s="747" t="str">
        <f>IFERROR(INDEX('[1]MARE MX'!$H:$H,MATCH("*"&amp;F97&amp;"*",'[1]MARE MX'!$F:$F,0)),"Sin dato")</f>
        <v>Sin dato</v>
      </c>
      <c r="J97" s="763">
        <v>50</v>
      </c>
      <c r="K97" s="764">
        <v>15</v>
      </c>
      <c r="L97" s="764">
        <f>K97*J97</f>
        <v>750</v>
      </c>
      <c r="M97" s="765">
        <f>L97/$D$3</f>
        <v>41.666666666666664</v>
      </c>
      <c r="N97" s="747"/>
      <c r="O97" s="754"/>
      <c r="P97" s="747"/>
      <c r="Q97" s="747"/>
      <c r="R97" s="773"/>
      <c r="S97"/>
      <c r="T97"/>
      <c r="U97"/>
    </row>
    <row r="98" spans="1:21" hidden="1">
      <c r="A98" s="748" t="s">
        <v>2880</v>
      </c>
      <c r="B98" s="758" t="s">
        <v>2877</v>
      </c>
      <c r="C98" s="758" t="s">
        <v>2797</v>
      </c>
      <c r="D98" s="758" t="s">
        <v>29</v>
      </c>
      <c r="E98" s="747" t="s">
        <v>73</v>
      </c>
      <c r="F98" s="747" t="s">
        <v>3018</v>
      </c>
      <c r="G98" s="747" t="s">
        <v>2813</v>
      </c>
      <c r="H98" s="747" t="s">
        <v>2904</v>
      </c>
      <c r="I98" s="747" t="str">
        <f>IFERROR(INDEX('[1]MARE MX'!$H:$H,MATCH("*"&amp;F98&amp;"*",'[1]MARE MX'!$F:$F,0)),"Sin dato")</f>
        <v>Sin dato</v>
      </c>
      <c r="J98" s="763">
        <v>90</v>
      </c>
      <c r="K98" s="764">
        <v>10</v>
      </c>
      <c r="L98" s="764">
        <f>K98*J98</f>
        <v>900</v>
      </c>
      <c r="M98" s="765">
        <f>L98/$D$3</f>
        <v>50</v>
      </c>
      <c r="N98" s="747"/>
      <c r="O98" s="754"/>
      <c r="P98" s="747"/>
      <c r="Q98" s="747"/>
      <c r="R98" s="773"/>
    </row>
    <row r="99" spans="1:21" hidden="1">
      <c r="A99" s="748" t="s">
        <v>2880</v>
      </c>
      <c r="B99" s="758" t="s">
        <v>2877</v>
      </c>
      <c r="C99" s="758" t="s">
        <v>2797</v>
      </c>
      <c r="D99" s="758" t="s">
        <v>29</v>
      </c>
      <c r="E99" s="747" t="s">
        <v>73</v>
      </c>
      <c r="F99" s="747" t="s">
        <v>2899</v>
      </c>
      <c r="G99" s="747" t="s">
        <v>2813</v>
      </c>
      <c r="H99" s="747" t="s">
        <v>2885</v>
      </c>
      <c r="I99" s="747" t="str">
        <f>IFERROR(INDEX('[1]MARE MX'!$H:$H,MATCH("*"&amp;F99&amp;"*",'[1]MARE MX'!$F:$F,0)),"Sin dato")</f>
        <v>ENTERPRISE</v>
      </c>
      <c r="J99" s="763">
        <v>125</v>
      </c>
      <c r="K99" s="764">
        <v>8</v>
      </c>
      <c r="L99" s="764">
        <f>K99*J99</f>
        <v>1000</v>
      </c>
      <c r="M99" s="765">
        <f>L99/$D$3</f>
        <v>55.555555555555557</v>
      </c>
      <c r="N99" s="747"/>
      <c r="O99" s="754"/>
      <c r="P99" s="747"/>
      <c r="Q99" s="747"/>
      <c r="R99" s="773"/>
    </row>
    <row r="100" spans="1:21" hidden="1">
      <c r="A100" s="748" t="s">
        <v>2880</v>
      </c>
      <c r="B100" s="758" t="s">
        <v>2921</v>
      </c>
      <c r="C100" s="758" t="s">
        <v>2797</v>
      </c>
      <c r="D100" s="758"/>
      <c r="E100" s="747" t="s">
        <v>73</v>
      </c>
      <c r="F100" s="747" t="s">
        <v>3019</v>
      </c>
      <c r="G100" s="747" t="s">
        <v>2813</v>
      </c>
      <c r="H100" s="747" t="s">
        <v>2897</v>
      </c>
      <c r="I100" s="747" t="str">
        <f>IFERROR(INDEX('[1]MARE MX'!$H:$H,MATCH("*"&amp;F100&amp;"*",'[1]MARE MX'!$F:$F,0)),"Sin dato")</f>
        <v>Sin dato</v>
      </c>
      <c r="J100" s="763">
        <v>480</v>
      </c>
      <c r="K100" s="764"/>
      <c r="L100" s="764">
        <v>0</v>
      </c>
      <c r="M100" s="764">
        <f>L100/$D$3</f>
        <v>0</v>
      </c>
      <c r="N100" s="747"/>
      <c r="O100" s="754"/>
      <c r="P100" s="747"/>
      <c r="Q100" s="747"/>
      <c r="R100" s="773"/>
    </row>
    <row r="101" spans="1:21">
      <c r="A101" s="749" t="s">
        <v>2880</v>
      </c>
      <c r="B101" s="759" t="s">
        <v>2877</v>
      </c>
      <c r="C101" s="759" t="s">
        <v>2797</v>
      </c>
      <c r="D101" s="759" t="s">
        <v>28</v>
      </c>
      <c r="E101" s="750" t="s">
        <v>439</v>
      </c>
      <c r="F101" s="750" t="s">
        <v>3020</v>
      </c>
      <c r="G101" s="750" t="s">
        <v>2814</v>
      </c>
      <c r="H101" s="750" t="s">
        <v>2946</v>
      </c>
      <c r="I101" s="750" t="str">
        <f>IFERROR(INDEX('[1]MARE MX'!$H:$H,MATCH("*"&amp;F101&amp;"*",'[1]MARE MX'!$F:$F,0)),"Sin dato")</f>
        <v>SMB</v>
      </c>
      <c r="J101" s="766">
        <v>19</v>
      </c>
      <c r="K101" s="767">
        <v>10</v>
      </c>
      <c r="L101" s="786">
        <f>K101*J101</f>
        <v>190</v>
      </c>
      <c r="M101" s="786">
        <f>L101/$D$3</f>
        <v>10.555555555555555</v>
      </c>
      <c r="N101" s="750" t="s">
        <v>3021</v>
      </c>
      <c r="O101" s="771" t="s">
        <v>3022</v>
      </c>
      <c r="P101" s="750"/>
      <c r="Q101" s="750"/>
      <c r="R101" s="771"/>
    </row>
    <row r="102" spans="1:21" hidden="1">
      <c r="A102" s="749" t="s">
        <v>2880</v>
      </c>
      <c r="B102" s="759" t="s">
        <v>3005</v>
      </c>
      <c r="C102" s="759" t="s">
        <v>2797</v>
      </c>
      <c r="D102" s="759" t="s">
        <v>28</v>
      </c>
      <c r="E102" s="750" t="s">
        <v>439</v>
      </c>
      <c r="F102" s="750" t="s">
        <v>3023</v>
      </c>
      <c r="G102" s="750" t="s">
        <v>2813</v>
      </c>
      <c r="H102" s="750" t="s">
        <v>2897</v>
      </c>
      <c r="I102" s="750" t="str">
        <f>IFERROR(INDEX('[1]MARE MX'!$H:$H,MATCH("*"&amp;F102&amp;"*",'[1]MARE MX'!$F:$F,0)),"Sin dato")</f>
        <v>Sin dato</v>
      </c>
      <c r="J102" s="766">
        <v>28</v>
      </c>
      <c r="K102" s="767">
        <v>60</v>
      </c>
      <c r="L102" s="768">
        <f>K102*J102</f>
        <v>1680</v>
      </c>
      <c r="M102" s="768">
        <f>L102/$C$3</f>
        <v>96</v>
      </c>
      <c r="N102" s="750"/>
      <c r="O102" s="750" t="s">
        <v>3024</v>
      </c>
      <c r="P102" s="750"/>
      <c r="Q102" s="750"/>
      <c r="R102" s="771"/>
    </row>
    <row r="103" spans="1:21" hidden="1">
      <c r="A103" s="748" t="s">
        <v>2880</v>
      </c>
      <c r="B103" s="758" t="s">
        <v>2921</v>
      </c>
      <c r="C103" s="758" t="s">
        <v>2797</v>
      </c>
      <c r="D103" s="758"/>
      <c r="E103" s="747" t="s">
        <v>73</v>
      </c>
      <c r="F103" s="747" t="s">
        <v>3025</v>
      </c>
      <c r="G103" s="747" t="s">
        <v>2813</v>
      </c>
      <c r="H103" s="747" t="s">
        <v>2897</v>
      </c>
      <c r="I103" s="747" t="str">
        <f>IFERROR(INDEX('[1]MARE MX'!$H:$H,MATCH("*"&amp;F103&amp;"*",'[1]MARE MX'!$F:$F,0)),"Sin dato")</f>
        <v>Sin dato</v>
      </c>
      <c r="J103" s="763">
        <v>150</v>
      </c>
      <c r="K103" s="764"/>
      <c r="L103" s="764">
        <v>0</v>
      </c>
      <c r="M103" s="764">
        <f>L103/$D$3</f>
        <v>0</v>
      </c>
      <c r="N103" s="747"/>
      <c r="O103" s="754"/>
      <c r="P103" s="747"/>
      <c r="Q103" s="747"/>
      <c r="R103" s="773"/>
    </row>
    <row r="104" spans="1:21" hidden="1">
      <c r="A104" s="748" t="s">
        <v>2880</v>
      </c>
      <c r="B104" s="758" t="s">
        <v>2877</v>
      </c>
      <c r="C104" s="758" t="s">
        <v>2797</v>
      </c>
      <c r="D104" s="758" t="s">
        <v>28</v>
      </c>
      <c r="E104" s="747" t="s">
        <v>439</v>
      </c>
      <c r="F104" s="747" t="s">
        <v>3026</v>
      </c>
      <c r="G104" s="747" t="s">
        <v>2813</v>
      </c>
      <c r="H104" s="747" t="s">
        <v>2897</v>
      </c>
      <c r="I104" s="747" t="str">
        <f>IFERROR(INDEX('[1]MARE MX'!$H:$H,MATCH("*"&amp;F104&amp;"*",'[1]MARE MX'!$F:$F,0)),"Sin dato")</f>
        <v>Sin dato</v>
      </c>
      <c r="J104" s="763">
        <v>220</v>
      </c>
      <c r="K104" s="764">
        <v>31</v>
      </c>
      <c r="L104" s="764">
        <f>K104*J104</f>
        <v>6820</v>
      </c>
      <c r="M104" s="764">
        <f>L104/$D$3</f>
        <v>378.88888888888891</v>
      </c>
      <c r="N104" s="747"/>
      <c r="O104" s="754"/>
      <c r="P104" s="747"/>
      <c r="Q104" s="747"/>
      <c r="R104" s="773"/>
    </row>
    <row r="105" spans="1:21" hidden="1">
      <c r="A105" s="748" t="s">
        <v>2880</v>
      </c>
      <c r="B105" s="758" t="s">
        <v>3005</v>
      </c>
      <c r="C105" s="758" t="s">
        <v>2800</v>
      </c>
      <c r="D105" s="758" t="s">
        <v>3027</v>
      </c>
      <c r="E105" s="747" t="s">
        <v>73</v>
      </c>
      <c r="F105" s="747" t="s">
        <v>2899</v>
      </c>
      <c r="G105" s="747" t="s">
        <v>2814</v>
      </c>
      <c r="H105" s="747" t="s">
        <v>3028</v>
      </c>
      <c r="I105" s="747" t="str">
        <f>IFERROR(INDEX('[1]MARE MX'!$H:$H,MATCH("*"&amp;F105&amp;"*",'[1]MARE MX'!$F:$F,0)),"Sin dato")</f>
        <v>ENTERPRISE</v>
      </c>
      <c r="J105" s="763">
        <v>210</v>
      </c>
      <c r="K105" s="787">
        <v>12</v>
      </c>
      <c r="L105" s="787">
        <f>K105*J105</f>
        <v>2520</v>
      </c>
      <c r="M105" s="787">
        <f>L105/$C$3</f>
        <v>144</v>
      </c>
      <c r="N105" s="747"/>
      <c r="O105" s="755" t="s">
        <v>3029</v>
      </c>
      <c r="P105" s="747"/>
      <c r="Q105" s="747"/>
      <c r="R105" s="773"/>
    </row>
    <row r="106" spans="1:21">
      <c r="A106" s="747"/>
      <c r="B106" s="758" t="s">
        <v>3005</v>
      </c>
      <c r="C106" s="758" t="s">
        <v>2800</v>
      </c>
      <c r="D106" s="758" t="s">
        <v>2802</v>
      </c>
      <c r="E106" s="747" t="s">
        <v>439</v>
      </c>
      <c r="F106" s="747" t="s">
        <v>3030</v>
      </c>
      <c r="G106" s="747" t="s">
        <v>2814</v>
      </c>
      <c r="H106" s="747" t="s">
        <v>2904</v>
      </c>
      <c r="I106" s="747"/>
      <c r="J106" s="763">
        <v>46</v>
      </c>
      <c r="K106" s="764">
        <v>11</v>
      </c>
      <c r="L106" s="819">
        <f>K106*J106</f>
        <v>506</v>
      </c>
      <c r="M106" s="820">
        <f>L106/$D$3</f>
        <v>28.111111111111111</v>
      </c>
      <c r="N106" s="747"/>
      <c r="O106" s="755" t="s">
        <v>3031</v>
      </c>
      <c r="P106" s="747"/>
      <c r="Q106" s="747"/>
      <c r="R106" s="773"/>
    </row>
    <row r="107" spans="1:21">
      <c r="A107" s="749" t="s">
        <v>2880</v>
      </c>
      <c r="B107" s="758" t="s">
        <v>3005</v>
      </c>
      <c r="C107" s="759" t="s">
        <v>2800</v>
      </c>
      <c r="D107" s="758" t="s">
        <v>2802</v>
      </c>
      <c r="E107" s="750" t="s">
        <v>439</v>
      </c>
      <c r="F107" s="750" t="s">
        <v>3032</v>
      </c>
      <c r="G107" s="750" t="s">
        <v>2814</v>
      </c>
      <c r="H107" s="750" t="s">
        <v>2904</v>
      </c>
      <c r="I107" s="750" t="str">
        <f>IFERROR(INDEX('[1]MARE MX'!$H:$H,MATCH("*"&amp;F107&amp;"*",'[1]MARE MX'!$F:$F,0)),"Sin dato")</f>
        <v>SMB</v>
      </c>
      <c r="J107" s="766">
        <v>50</v>
      </c>
      <c r="K107" s="767">
        <v>25</v>
      </c>
      <c r="L107" s="819">
        <f>K107*J107</f>
        <v>1250</v>
      </c>
      <c r="M107" s="820">
        <f>L107/$C$3</f>
        <v>71.428571428571431</v>
      </c>
      <c r="N107" s="750"/>
      <c r="O107" s="750" t="s">
        <v>3033</v>
      </c>
      <c r="P107" s="750"/>
      <c r="Q107" s="750"/>
      <c r="R107" s="771"/>
    </row>
    <row r="108" spans="1:21">
      <c r="A108" s="749" t="s">
        <v>2880</v>
      </c>
      <c r="B108" s="758" t="s">
        <v>3005</v>
      </c>
      <c r="C108" s="759" t="s">
        <v>2800</v>
      </c>
      <c r="D108" s="758" t="s">
        <v>2802</v>
      </c>
      <c r="E108" s="750" t="s">
        <v>439</v>
      </c>
      <c r="F108" s="750" t="s">
        <v>3032</v>
      </c>
      <c r="G108" s="750" t="s">
        <v>2814</v>
      </c>
      <c r="H108" s="750" t="s">
        <v>2904</v>
      </c>
      <c r="I108" s="750" t="str">
        <f>IFERROR(INDEX('[1]MARE MX'!$H:$H,MATCH("*"&amp;F108&amp;"*",'[1]MARE MX'!$F:$F,0)),"Sin dato")</f>
        <v>SMB</v>
      </c>
      <c r="J108" s="766">
        <v>25</v>
      </c>
      <c r="K108" s="767">
        <v>15</v>
      </c>
      <c r="L108" s="819">
        <f>K108*J108</f>
        <v>375</v>
      </c>
      <c r="M108" s="820">
        <f>L108/$C$3</f>
        <v>21.428571428571427</v>
      </c>
      <c r="N108" s="750"/>
      <c r="O108" s="754" t="s">
        <v>3034</v>
      </c>
      <c r="P108" s="750"/>
      <c r="Q108" s="750"/>
      <c r="R108" s="771"/>
    </row>
    <row r="109" spans="1:21">
      <c r="A109" s="748"/>
      <c r="B109" s="758" t="s">
        <v>3005</v>
      </c>
      <c r="C109" s="758" t="s">
        <v>2800</v>
      </c>
      <c r="D109" s="758" t="s">
        <v>2802</v>
      </c>
      <c r="E109" s="747" t="s">
        <v>439</v>
      </c>
      <c r="F109" s="747" t="s">
        <v>2997</v>
      </c>
      <c r="G109" s="747" t="s">
        <v>2814</v>
      </c>
      <c r="H109" s="747" t="s">
        <v>2904</v>
      </c>
      <c r="I109" s="747" t="str">
        <f>IFERROR(INDEX('[1]MARE MX'!$H:$H,MATCH("*"&amp;F109&amp;"*",'[1]MARE MX'!$F:$F,0)),"Sin dato")</f>
        <v>SMB</v>
      </c>
      <c r="J109" s="763">
        <v>65</v>
      </c>
      <c r="K109" s="764">
        <v>7</v>
      </c>
      <c r="L109" s="819">
        <v>560</v>
      </c>
      <c r="M109" s="820">
        <f>L109/$C$3</f>
        <v>32</v>
      </c>
      <c r="N109" s="747"/>
      <c r="O109" s="755"/>
      <c r="P109" s="747"/>
      <c r="Q109" s="747"/>
      <c r="R109" s="773"/>
    </row>
    <row r="110" spans="1:21" ht="43.5">
      <c r="A110" s="748" t="s">
        <v>2880</v>
      </c>
      <c r="B110" s="758" t="s">
        <v>3005</v>
      </c>
      <c r="C110" s="758" t="s">
        <v>2800</v>
      </c>
      <c r="D110" s="758" t="s">
        <v>3027</v>
      </c>
      <c r="E110" s="747" t="s">
        <v>439</v>
      </c>
      <c r="F110" s="747" t="s">
        <v>3035</v>
      </c>
      <c r="G110" s="747" t="s">
        <v>2814</v>
      </c>
      <c r="H110" s="747" t="s">
        <v>2904</v>
      </c>
      <c r="I110" s="747" t="str">
        <f>IFERROR(INDEX('[1]MARE MX'!$H:$H,MATCH("*"&amp;F110&amp;"*",'[1]MARE MX'!$F:$F,0)),"Sin dato")</f>
        <v>Sin dato</v>
      </c>
      <c r="J110" s="763">
        <v>270</v>
      </c>
      <c r="K110" s="764">
        <v>13</v>
      </c>
      <c r="L110" s="764">
        <f>K110*J110</f>
        <v>3510</v>
      </c>
      <c r="M110" s="764">
        <f>L110/$D$3</f>
        <v>195</v>
      </c>
      <c r="N110" s="747"/>
      <c r="O110" s="754" t="s">
        <v>3036</v>
      </c>
      <c r="P110" s="747" t="s">
        <v>3037</v>
      </c>
      <c r="Q110" s="747"/>
      <c r="R110" s="773"/>
    </row>
    <row r="111" spans="1:21" s="218" customFormat="1" hidden="1">
      <c r="A111" s="748" t="s">
        <v>2880</v>
      </c>
      <c r="B111" s="758" t="s">
        <v>3005</v>
      </c>
      <c r="C111" s="758" t="s">
        <v>2800</v>
      </c>
      <c r="D111" s="758" t="s">
        <v>3038</v>
      </c>
      <c r="E111" s="747" t="s">
        <v>73</v>
      </c>
      <c r="F111" s="747" t="s">
        <v>3039</v>
      </c>
      <c r="G111" s="747" t="s">
        <v>2814</v>
      </c>
      <c r="H111" s="747" t="s">
        <v>2904</v>
      </c>
      <c r="I111" s="747" t="str">
        <f>IFERROR(INDEX('[1]MARE MX'!$H:$H,MATCH("*"&amp;F111&amp;"*",'[1]MARE MX'!$F:$F,0)),"Sin dato")</f>
        <v>ENTERPRISE</v>
      </c>
      <c r="J111" s="763">
        <v>210</v>
      </c>
      <c r="K111" s="787">
        <v>10</v>
      </c>
      <c r="L111" s="787">
        <f>K111*J111</f>
        <v>2100</v>
      </c>
      <c r="M111" s="787">
        <f>L111/$C$3</f>
        <v>120</v>
      </c>
      <c r="N111" s="747"/>
      <c r="O111" s="755" t="s">
        <v>3040</v>
      </c>
      <c r="P111" s="747"/>
      <c r="Q111" s="747"/>
      <c r="R111" s="773"/>
      <c r="S111"/>
      <c r="T111"/>
      <c r="U111"/>
    </row>
    <row r="112" spans="1:21" s="218" customFormat="1" ht="43.5" hidden="1">
      <c r="A112" s="748" t="s">
        <v>2880</v>
      </c>
      <c r="B112" s="758" t="s">
        <v>3005</v>
      </c>
      <c r="C112" s="758" t="s">
        <v>2800</v>
      </c>
      <c r="D112" s="758" t="s">
        <v>3038</v>
      </c>
      <c r="E112" s="747" t="s">
        <v>73</v>
      </c>
      <c r="F112" s="747" t="s">
        <v>3039</v>
      </c>
      <c r="G112" s="747" t="s">
        <v>2814</v>
      </c>
      <c r="H112" s="747" t="s">
        <v>45</v>
      </c>
      <c r="I112" s="747" t="str">
        <f>IFERROR(INDEX('[1]MARE MX'!$H:$H,MATCH("*"&amp;F112&amp;"*",'[1]MARE MX'!$F:$F,0)),"Sin dato")</f>
        <v>ENTERPRISE</v>
      </c>
      <c r="J112" s="763">
        <v>210</v>
      </c>
      <c r="K112" s="787">
        <v>8</v>
      </c>
      <c r="L112" s="787">
        <f>K112*J112</f>
        <v>1680</v>
      </c>
      <c r="M112" s="787">
        <f>L112/$C$3</f>
        <v>96</v>
      </c>
      <c r="N112" s="747"/>
      <c r="O112" s="754" t="s">
        <v>3041</v>
      </c>
      <c r="P112" s="747"/>
      <c r="Q112" s="747"/>
      <c r="R112" s="773"/>
      <c r="S112"/>
      <c r="T112"/>
      <c r="U112"/>
    </row>
    <row r="113" spans="1:21">
      <c r="A113" s="748"/>
      <c r="B113" s="758" t="s">
        <v>3005</v>
      </c>
      <c r="C113" s="758" t="s">
        <v>2800</v>
      </c>
      <c r="D113" s="758" t="s">
        <v>2802</v>
      </c>
      <c r="E113" s="747" t="s">
        <v>439</v>
      </c>
      <c r="F113" s="747" t="s">
        <v>2997</v>
      </c>
      <c r="G113" s="747" t="s">
        <v>2814</v>
      </c>
      <c r="H113" s="747" t="s">
        <v>45</v>
      </c>
      <c r="I113" s="747" t="str">
        <f>IFERROR(INDEX('[1]MARE MX'!$H:$H,MATCH("*"&amp;F113&amp;"*",'[1]MARE MX'!$F:$F,0)),"Sin dato")</f>
        <v>SMB</v>
      </c>
      <c r="J113" s="763">
        <v>65</v>
      </c>
      <c r="K113" s="764">
        <v>8</v>
      </c>
      <c r="L113" s="819">
        <v>560</v>
      </c>
      <c r="M113" s="820">
        <f>L113/$C$3</f>
        <v>32</v>
      </c>
      <c r="N113" s="747"/>
      <c r="O113" s="755"/>
      <c r="P113" s="747"/>
      <c r="Q113" s="747"/>
      <c r="R113" s="773"/>
    </row>
    <row r="114" spans="1:21" s="218" customFormat="1">
      <c r="A114" s="749" t="s">
        <v>2880</v>
      </c>
      <c r="B114" s="759" t="s">
        <v>3005</v>
      </c>
      <c r="C114" s="758" t="s">
        <v>2800</v>
      </c>
      <c r="D114" s="758"/>
      <c r="E114" s="750" t="s">
        <v>439</v>
      </c>
      <c r="F114" s="818" t="s">
        <v>3042</v>
      </c>
      <c r="G114" s="750" t="s">
        <v>2814</v>
      </c>
      <c r="H114" s="750" t="s">
        <v>3003</v>
      </c>
      <c r="I114" s="750" t="str">
        <f>IFERROR(INDEX('[1]MARE MX'!$H:$H,MATCH("*"&amp;F114&amp;"*",'[1]MARE MX'!$F:$F,0)),"Sin dato")</f>
        <v>Sin dato</v>
      </c>
      <c r="J114" s="766">
        <v>409</v>
      </c>
      <c r="K114" s="767">
        <v>12</v>
      </c>
      <c r="L114" s="787">
        <f>K114*J114</f>
        <v>4908</v>
      </c>
      <c r="M114" s="787">
        <f>L114/$D$3</f>
        <v>272.66666666666669</v>
      </c>
      <c r="N114" s="750"/>
      <c r="O114" s="750" t="s">
        <v>3043</v>
      </c>
      <c r="P114" s="750" t="s">
        <v>3037</v>
      </c>
      <c r="Q114" s="750"/>
      <c r="R114" s="771"/>
      <c r="S114"/>
      <c r="T114"/>
      <c r="U114"/>
    </row>
    <row r="115" spans="1:21" s="218" customFormat="1">
      <c r="A115" s="747"/>
      <c r="B115" s="758"/>
      <c r="C115" s="758" t="s">
        <v>2800</v>
      </c>
      <c r="D115" s="758"/>
      <c r="E115" s="747" t="s">
        <v>439</v>
      </c>
      <c r="F115" s="747" t="s">
        <v>3044</v>
      </c>
      <c r="G115" s="747" t="s">
        <v>2814</v>
      </c>
      <c r="H115" s="747" t="s">
        <v>52</v>
      </c>
      <c r="I115" s="747" t="str">
        <f>IFERROR(INDEX('[1]MARE MX'!$H:$H,MATCH("*"&amp;F115&amp;"*",'[1]MARE MX'!$F:$F,0)),"Sin dato")</f>
        <v>SMB</v>
      </c>
      <c r="J115" s="763">
        <v>156</v>
      </c>
      <c r="K115" s="764">
        <v>12</v>
      </c>
      <c r="L115" s="787">
        <f>K115*J115</f>
        <v>1872</v>
      </c>
      <c r="M115" s="787">
        <f>L115/$C$3</f>
        <v>106.97142857142858</v>
      </c>
      <c r="N115" s="747"/>
      <c r="O115" s="754" t="s">
        <v>3045</v>
      </c>
      <c r="P115" s="747"/>
      <c r="Q115" s="747"/>
      <c r="R115" s="773"/>
      <c r="S115"/>
      <c r="T115"/>
      <c r="U115"/>
    </row>
    <row r="116" spans="1:21" s="220" customFormat="1" hidden="1">
      <c r="A116" s="748" t="s">
        <v>2880</v>
      </c>
      <c r="B116" s="758" t="s">
        <v>3005</v>
      </c>
      <c r="C116" s="830" t="s">
        <v>2800</v>
      </c>
      <c r="D116" s="830" t="s">
        <v>3038</v>
      </c>
      <c r="E116" s="831" t="s">
        <v>73</v>
      </c>
      <c r="F116" s="831" t="s">
        <v>3046</v>
      </c>
      <c r="G116" s="747" t="s">
        <v>2814</v>
      </c>
      <c r="H116" s="747" t="s">
        <v>47</v>
      </c>
      <c r="I116" s="747" t="str">
        <f>IFERROR(INDEX('[1]MARE MX'!$H:$H,MATCH("*"&amp;F116&amp;"*",'[1]MARE MX'!$F:$F,0)),"Sin dato")</f>
        <v>ENTERPRISE</v>
      </c>
      <c r="J116" s="763">
        <v>500</v>
      </c>
      <c r="K116" s="787">
        <v>9</v>
      </c>
      <c r="L116" s="787">
        <f>K116*J116</f>
        <v>4500</v>
      </c>
      <c r="M116" s="787">
        <f>L116/$D$3</f>
        <v>250</v>
      </c>
      <c r="N116" s="747"/>
      <c r="O116" s="755" t="s">
        <v>3047</v>
      </c>
      <c r="P116" s="747"/>
      <c r="Q116" s="747"/>
      <c r="R116" s="773"/>
      <c r="S116"/>
      <c r="T116"/>
      <c r="U116"/>
    </row>
    <row r="117" spans="1:21" s="220" customFormat="1" hidden="1">
      <c r="A117" s="748" t="s">
        <v>2880</v>
      </c>
      <c r="B117" s="758" t="s">
        <v>2877</v>
      </c>
      <c r="C117" s="758" t="s">
        <v>2797</v>
      </c>
      <c r="D117" s="758" t="s">
        <v>30</v>
      </c>
      <c r="E117" s="747" t="s">
        <v>73</v>
      </c>
      <c r="F117" s="747" t="s">
        <v>3048</v>
      </c>
      <c r="G117" s="747" t="s">
        <v>3049</v>
      </c>
      <c r="H117" s="747" t="s">
        <v>51</v>
      </c>
      <c r="I117" s="747" t="str">
        <f>IFERROR(INDEX('[1]MARE MX'!$H:$H,MATCH("*"&amp;F117&amp;"*",'[1]MARE MX'!$F:$F,0)),"Sin dato")</f>
        <v>ENTERPRISE</v>
      </c>
      <c r="J117" s="763">
        <v>135</v>
      </c>
      <c r="K117" s="787">
        <v>10</v>
      </c>
      <c r="L117" s="786">
        <f>K117*J117</f>
        <v>1350</v>
      </c>
      <c r="M117" s="786">
        <f>L117/$D$3</f>
        <v>75</v>
      </c>
      <c r="N117" s="747"/>
      <c r="O117" s="755" t="s">
        <v>3050</v>
      </c>
      <c r="P117" s="747"/>
      <c r="Q117" s="747"/>
      <c r="R117" s="773"/>
      <c r="S117"/>
      <c r="T117"/>
      <c r="U117"/>
    </row>
    <row r="118" spans="1:21" s="220" customFormat="1" hidden="1">
      <c r="A118" s="747" t="s">
        <v>3009</v>
      </c>
      <c r="B118" s="758"/>
      <c r="C118" s="758" t="s">
        <v>2797</v>
      </c>
      <c r="D118" s="758" t="s">
        <v>30</v>
      </c>
      <c r="E118" s="747" t="s">
        <v>73</v>
      </c>
      <c r="F118" s="747" t="s">
        <v>2899</v>
      </c>
      <c r="G118" s="747" t="s">
        <v>2813</v>
      </c>
      <c r="H118" s="747" t="s">
        <v>3051</v>
      </c>
      <c r="I118" s="747" t="str">
        <f>IFERROR(INDEX('[1]MARE MX'!$H:$H,MATCH("*"&amp;F118&amp;"*",'[1]MARE MX'!$F:$F,0)),"Sin dato")</f>
        <v>ENTERPRISE</v>
      </c>
      <c r="J118" s="763">
        <v>100</v>
      </c>
      <c r="K118" s="764">
        <v>23</v>
      </c>
      <c r="L118" s="764">
        <f>K118*J118</f>
        <v>2300</v>
      </c>
      <c r="M118" s="765">
        <f>L118/$C$3</f>
        <v>131.42857142857142</v>
      </c>
      <c r="N118" s="747"/>
      <c r="O118" s="754" t="s">
        <v>3052</v>
      </c>
      <c r="P118" s="747"/>
      <c r="Q118" s="747"/>
      <c r="R118" s="773"/>
      <c r="S118"/>
      <c r="T118"/>
      <c r="U118"/>
    </row>
    <row r="119" spans="1:21" s="218" customFormat="1" hidden="1">
      <c r="A119" s="748" t="s">
        <v>2880</v>
      </c>
      <c r="B119" s="758" t="s">
        <v>2877</v>
      </c>
      <c r="C119" s="758" t="s">
        <v>2797</v>
      </c>
      <c r="D119" s="758" t="s">
        <v>30</v>
      </c>
      <c r="E119" s="747" t="s">
        <v>73</v>
      </c>
      <c r="F119" s="747" t="s">
        <v>2899</v>
      </c>
      <c r="G119" s="747" t="s">
        <v>2814</v>
      </c>
      <c r="H119" s="747" t="s">
        <v>3053</v>
      </c>
      <c r="I119" s="747" t="str">
        <f>IFERROR(INDEX('[1]MARE MX'!$H:$H,MATCH("*"&amp;F119&amp;"*",'[1]MARE MX'!$F:$F,0)),"Sin dato")</f>
        <v>ENTERPRISE</v>
      </c>
      <c r="J119" s="763">
        <v>100</v>
      </c>
      <c r="K119" s="787">
        <v>8</v>
      </c>
      <c r="L119" s="786">
        <f>K119*J119</f>
        <v>800</v>
      </c>
      <c r="M119" s="786">
        <f>L119/$D$3</f>
        <v>44.444444444444443</v>
      </c>
      <c r="N119" s="747" t="s">
        <v>3001</v>
      </c>
      <c r="O119" s="754" t="s">
        <v>3052</v>
      </c>
      <c r="P119" s="747"/>
      <c r="Q119" s="747"/>
      <c r="R119" s="773"/>
      <c r="S119"/>
      <c r="T119"/>
      <c r="U119"/>
    </row>
    <row r="120" spans="1:21" s="218" customFormat="1">
      <c r="A120" s="749" t="s">
        <v>2880</v>
      </c>
      <c r="B120" s="759" t="s">
        <v>3005</v>
      </c>
      <c r="C120" s="759" t="s">
        <v>2800</v>
      </c>
      <c r="D120" s="759"/>
      <c r="E120" s="750" t="s">
        <v>439</v>
      </c>
      <c r="F120" s="750" t="s">
        <v>3054</v>
      </c>
      <c r="G120" s="750" t="s">
        <v>2814</v>
      </c>
      <c r="H120" s="750" t="s">
        <v>2991</v>
      </c>
      <c r="I120" s="750" t="str">
        <f>IFERROR(INDEX('[1]MARE MX'!$H:$H,MATCH("*"&amp;F120&amp;"*",'[1]MARE MX'!$F:$F,0)),"Sin dato")</f>
        <v>SMB</v>
      </c>
      <c r="J120" s="766"/>
      <c r="K120" s="767"/>
      <c r="L120" s="786">
        <v>450</v>
      </c>
      <c r="M120" s="786">
        <f>L120/$D$3</f>
        <v>25</v>
      </c>
      <c r="N120" s="750"/>
      <c r="O120" s="750" t="s">
        <v>3055</v>
      </c>
      <c r="P120" s="750"/>
      <c r="Q120" s="750"/>
      <c r="R120" s="771"/>
      <c r="S120"/>
      <c r="T120"/>
      <c r="U120"/>
    </row>
    <row r="121" spans="1:21" s="218" customFormat="1">
      <c r="A121" s="750"/>
      <c r="B121" s="759" t="s">
        <v>2877</v>
      </c>
      <c r="C121" s="759" t="s">
        <v>2797</v>
      </c>
      <c r="D121" s="759" t="s">
        <v>30</v>
      </c>
      <c r="E121" s="750" t="s">
        <v>439</v>
      </c>
      <c r="F121" s="750" t="s">
        <v>3056</v>
      </c>
      <c r="G121" s="750" t="s">
        <v>2814</v>
      </c>
      <c r="H121" s="750" t="s">
        <v>2904</v>
      </c>
      <c r="I121" s="750" t="str">
        <f>IFERROR(INDEX('[1]MARE MX'!$H:$H,MATCH("*"&amp;F121&amp;"*",'[1]MARE MX'!$F:$F,0)),"Sin dato")</f>
        <v>SMB</v>
      </c>
      <c r="J121" s="766"/>
      <c r="K121" s="767"/>
      <c r="L121" s="786">
        <v>400</v>
      </c>
      <c r="M121" s="786">
        <f>L121/$D$3</f>
        <v>22.222222222222221</v>
      </c>
      <c r="N121" s="750" t="s">
        <v>3057</v>
      </c>
      <c r="O121" s="771"/>
      <c r="P121" s="750"/>
      <c r="Q121" s="750"/>
      <c r="R121" s="771"/>
      <c r="S121"/>
      <c r="T121"/>
      <c r="U121"/>
    </row>
    <row r="122" spans="1:21" s="218" customFormat="1" hidden="1">
      <c r="A122" s="748" t="s">
        <v>2880</v>
      </c>
      <c r="B122" s="758" t="s">
        <v>2877</v>
      </c>
      <c r="C122" s="758" t="s">
        <v>2797</v>
      </c>
      <c r="D122" s="758" t="s">
        <v>30</v>
      </c>
      <c r="E122" s="747" t="s">
        <v>93</v>
      </c>
      <c r="F122" s="747" t="s">
        <v>3058</v>
      </c>
      <c r="G122" s="747" t="s">
        <v>2814</v>
      </c>
      <c r="H122" s="747" t="s">
        <v>3059</v>
      </c>
      <c r="I122" s="747" t="str">
        <f>IFERROR(INDEX('[1]MARE MX'!$H:$H,MATCH("*"&amp;F122&amp;"*",'[1]MARE MX'!$F:$F,0)),"Sin dato")</f>
        <v>Sin dato</v>
      </c>
      <c r="J122" s="763">
        <v>1420</v>
      </c>
      <c r="K122" s="764">
        <v>3</v>
      </c>
      <c r="L122" s="782">
        <f>K122*J122</f>
        <v>4260</v>
      </c>
      <c r="M122" s="786">
        <f>L122/$D$3</f>
        <v>236.66666666666666</v>
      </c>
      <c r="N122" s="747" t="s">
        <v>3060</v>
      </c>
      <c r="O122" s="754" t="s">
        <v>3061</v>
      </c>
      <c r="P122" s="747"/>
      <c r="Q122" s="747"/>
      <c r="R122" s="773"/>
      <c r="S122"/>
      <c r="T122"/>
      <c r="U122"/>
    </row>
    <row r="123" spans="1:21" s="218" customFormat="1" hidden="1">
      <c r="A123" s="748" t="s">
        <v>2880</v>
      </c>
      <c r="B123" s="758" t="s">
        <v>2877</v>
      </c>
      <c r="C123" s="758" t="s">
        <v>2797</v>
      </c>
      <c r="D123" s="758" t="s">
        <v>30</v>
      </c>
      <c r="E123" s="747" t="s">
        <v>93</v>
      </c>
      <c r="F123" s="747" t="s">
        <v>3058</v>
      </c>
      <c r="G123" s="747" t="s">
        <v>2814</v>
      </c>
      <c r="H123" s="747" t="s">
        <v>45</v>
      </c>
      <c r="I123" s="747" t="str">
        <f>IFERROR(INDEX('[1]MARE MX'!$H:$H,MATCH("*"&amp;F123&amp;"*",'[1]MARE MX'!$F:$F,0)),"Sin dato")</f>
        <v>Sin dato</v>
      </c>
      <c r="J123" s="763">
        <v>1420</v>
      </c>
      <c r="K123" s="764">
        <v>8</v>
      </c>
      <c r="L123" s="782">
        <f>K123*J123</f>
        <v>11360</v>
      </c>
      <c r="M123" s="786">
        <f>L123/$D$3</f>
        <v>631.11111111111109</v>
      </c>
      <c r="N123" s="747" t="s">
        <v>3060</v>
      </c>
      <c r="O123" s="754" t="s">
        <v>3061</v>
      </c>
      <c r="P123" s="747"/>
      <c r="Q123" s="747"/>
      <c r="R123" s="773"/>
      <c r="S123"/>
      <c r="T123"/>
      <c r="U123"/>
    </row>
    <row r="124" spans="1:21" s="218" customFormat="1" hidden="1">
      <c r="A124" s="748" t="s">
        <v>2880</v>
      </c>
      <c r="B124" s="758" t="s">
        <v>2877</v>
      </c>
      <c r="C124" s="758" t="s">
        <v>2797</v>
      </c>
      <c r="D124" s="758" t="s">
        <v>30</v>
      </c>
      <c r="E124" s="747" t="s">
        <v>93</v>
      </c>
      <c r="F124" s="747" t="s">
        <v>3058</v>
      </c>
      <c r="G124" s="747" t="s">
        <v>2814</v>
      </c>
      <c r="H124" s="747" t="s">
        <v>50</v>
      </c>
      <c r="I124" s="747" t="str">
        <f>IFERROR(INDEX('[1]MARE MX'!$H:$H,MATCH("*"&amp;F124&amp;"*",'[1]MARE MX'!$F:$F,0)),"Sin dato")</f>
        <v>Sin dato</v>
      </c>
      <c r="J124" s="763">
        <v>1420</v>
      </c>
      <c r="K124" s="764">
        <v>3</v>
      </c>
      <c r="L124" s="782">
        <f>K124*J124</f>
        <v>4260</v>
      </c>
      <c r="M124" s="786">
        <f>L124/$D$3</f>
        <v>236.66666666666666</v>
      </c>
      <c r="N124" s="747" t="s">
        <v>3060</v>
      </c>
      <c r="O124" s="754" t="s">
        <v>3061</v>
      </c>
      <c r="P124" s="747"/>
      <c r="Q124" s="747"/>
      <c r="R124" s="773"/>
      <c r="S124"/>
      <c r="T124"/>
      <c r="U124"/>
    </row>
    <row r="125" spans="1:21" s="218" customFormat="1" hidden="1">
      <c r="A125" s="748" t="s">
        <v>2880</v>
      </c>
      <c r="B125" s="758" t="s">
        <v>2877</v>
      </c>
      <c r="C125" s="758" t="s">
        <v>2797</v>
      </c>
      <c r="D125" s="758" t="s">
        <v>29</v>
      </c>
      <c r="E125" s="747" t="s">
        <v>93</v>
      </c>
      <c r="F125" s="747" t="s">
        <v>3062</v>
      </c>
      <c r="G125" s="747" t="s">
        <v>2814</v>
      </c>
      <c r="H125" s="747" t="s">
        <v>50</v>
      </c>
      <c r="I125" s="747" t="str">
        <f>IFERROR(INDEX('[1]MARE MX'!$H:$H,MATCH("*"&amp;F125&amp;"*",'[1]MARE MX'!$F:$F,0)),"Sin dato")</f>
        <v>Enterprise</v>
      </c>
      <c r="J125" s="763">
        <v>236</v>
      </c>
      <c r="K125" s="764">
        <v>2</v>
      </c>
      <c r="L125" s="782">
        <f>K125*J125</f>
        <v>472</v>
      </c>
      <c r="M125" s="786">
        <f>L125/$D$3</f>
        <v>26.222222222222221</v>
      </c>
      <c r="N125" s="747" t="s">
        <v>3063</v>
      </c>
      <c r="O125" s="754"/>
      <c r="P125" s="747"/>
      <c r="Q125" s="747"/>
      <c r="R125" s="773"/>
      <c r="S125"/>
      <c r="T125"/>
      <c r="U125"/>
    </row>
    <row r="126" spans="1:21" s="218" customFormat="1" hidden="1">
      <c r="A126" s="748" t="s">
        <v>2880</v>
      </c>
      <c r="B126" s="758" t="s">
        <v>2877</v>
      </c>
      <c r="C126" s="758" t="s">
        <v>2797</v>
      </c>
      <c r="D126" s="758" t="s">
        <v>29</v>
      </c>
      <c r="E126" s="747" t="s">
        <v>93</v>
      </c>
      <c r="F126" s="747" t="s">
        <v>3062</v>
      </c>
      <c r="G126" s="747" t="s">
        <v>2814</v>
      </c>
      <c r="H126" s="747" t="s">
        <v>47</v>
      </c>
      <c r="I126" s="747" t="str">
        <f>IFERROR(INDEX('[1]MARE MX'!$H:$H,MATCH("*"&amp;F126&amp;"*",'[1]MARE MX'!$F:$F,0)),"Sin dato")</f>
        <v>Enterprise</v>
      </c>
      <c r="J126" s="763">
        <v>236</v>
      </c>
      <c r="K126" s="764">
        <v>8</v>
      </c>
      <c r="L126" s="782">
        <f>K126*J126</f>
        <v>1888</v>
      </c>
      <c r="M126" s="786">
        <f>L126/$D$3</f>
        <v>104.88888888888889</v>
      </c>
      <c r="N126" s="747" t="s">
        <v>3063</v>
      </c>
      <c r="O126" s="755" t="s">
        <v>3064</v>
      </c>
      <c r="P126" s="747" t="s">
        <v>3037</v>
      </c>
      <c r="Q126" s="747"/>
      <c r="R126" s="773"/>
      <c r="S126"/>
      <c r="T126"/>
      <c r="U126"/>
    </row>
    <row r="127" spans="1:21" s="218" customFormat="1" hidden="1">
      <c r="A127" s="748" t="s">
        <v>2880</v>
      </c>
      <c r="B127" s="758" t="s">
        <v>2877</v>
      </c>
      <c r="C127" s="758" t="s">
        <v>2797</v>
      </c>
      <c r="D127" s="758" t="s">
        <v>30</v>
      </c>
      <c r="E127" s="747" t="s">
        <v>93</v>
      </c>
      <c r="F127" s="747" t="s">
        <v>3065</v>
      </c>
      <c r="G127" s="747" t="s">
        <v>2813</v>
      </c>
      <c r="H127" s="747" t="s">
        <v>2897</v>
      </c>
      <c r="I127" s="747" t="str">
        <f>IFERROR(INDEX('[1]MARE MX'!$H:$H,MATCH("*"&amp;F127&amp;"*",'[1]MARE MX'!$F:$F,0)),"Sin dato")</f>
        <v>ENTERPRISE</v>
      </c>
      <c r="J127" s="763">
        <v>366</v>
      </c>
      <c r="K127" s="764">
        <v>19</v>
      </c>
      <c r="L127" s="764">
        <f>K127*J127</f>
        <v>6954</v>
      </c>
      <c r="M127" s="764">
        <f>L127/$D$3</f>
        <v>386.33333333333331</v>
      </c>
      <c r="N127" s="747"/>
      <c r="O127" s="754"/>
      <c r="P127" s="747"/>
      <c r="Q127" s="747"/>
      <c r="R127" s="773"/>
      <c r="S127"/>
      <c r="T127"/>
      <c r="U127"/>
    </row>
    <row r="128" spans="1:21" s="218" customFormat="1" hidden="1">
      <c r="A128" s="747" t="s">
        <v>3009</v>
      </c>
      <c r="B128" s="758" t="s">
        <v>3005</v>
      </c>
      <c r="C128" s="758" t="s">
        <v>2797</v>
      </c>
      <c r="D128" s="758" t="s">
        <v>3066</v>
      </c>
      <c r="E128" s="747" t="s">
        <v>73</v>
      </c>
      <c r="F128" s="747" t="s">
        <v>3048</v>
      </c>
      <c r="G128" s="747" t="s">
        <v>2813</v>
      </c>
      <c r="H128" s="747" t="s">
        <v>2897</v>
      </c>
      <c r="I128" s="747" t="str">
        <f>IFERROR(INDEX('[1]MARE MX'!$H:$H,MATCH("*"&amp;F128&amp;"*",'[1]MARE MX'!$F:$F,0)),"Sin dato")</f>
        <v>ENTERPRISE</v>
      </c>
      <c r="J128" s="763">
        <v>135</v>
      </c>
      <c r="K128" s="764">
        <v>40</v>
      </c>
      <c r="L128" s="764">
        <f>K128*J128</f>
        <v>5400</v>
      </c>
      <c r="M128" s="764">
        <f>L128/$C$3</f>
        <v>308.57142857142856</v>
      </c>
      <c r="N128" s="747"/>
      <c r="O128" s="755" t="s">
        <v>3067</v>
      </c>
      <c r="P128" s="747"/>
      <c r="Q128" s="747"/>
      <c r="R128" s="773"/>
      <c r="S128"/>
      <c r="T128"/>
      <c r="U128"/>
    </row>
    <row r="129" spans="1:21" s="218" customFormat="1" ht="29.25" hidden="1">
      <c r="A129" s="748" t="s">
        <v>2880</v>
      </c>
      <c r="B129" s="758" t="s">
        <v>2921</v>
      </c>
      <c r="C129" s="758" t="s">
        <v>2797</v>
      </c>
      <c r="D129" s="758"/>
      <c r="E129" s="747" t="s">
        <v>73</v>
      </c>
      <c r="F129" s="747" t="s">
        <v>3068</v>
      </c>
      <c r="G129" s="747" t="s">
        <v>2814</v>
      </c>
      <c r="H129" s="747" t="s">
        <v>49</v>
      </c>
      <c r="I129" s="747" t="str">
        <f>IFERROR(INDEX('[1]MARE MX'!$H:$H,MATCH("*"&amp;F129&amp;"*",'[1]MARE MX'!$F:$F,0)),"Sin dato")</f>
        <v>SMB</v>
      </c>
      <c r="J129" s="763">
        <v>102</v>
      </c>
      <c r="K129" s="787">
        <v>15</v>
      </c>
      <c r="L129" s="788">
        <f>K129*J129</f>
        <v>1530</v>
      </c>
      <c r="M129" s="788">
        <f>L129/$C$3</f>
        <v>87.428571428571431</v>
      </c>
      <c r="N129" s="747"/>
      <c r="O129" s="754" t="s">
        <v>3069</v>
      </c>
      <c r="P129" s="747"/>
      <c r="Q129" s="747"/>
      <c r="R129" s="773"/>
      <c r="S129"/>
      <c r="T129"/>
      <c r="U129"/>
    </row>
    <row r="130" spans="1:21" s="218" customFormat="1" ht="29.25" hidden="1">
      <c r="A130" s="748" t="s">
        <v>2880</v>
      </c>
      <c r="B130" s="758" t="s">
        <v>3005</v>
      </c>
      <c r="C130" s="758" t="s">
        <v>2800</v>
      </c>
      <c r="D130" s="758"/>
      <c r="E130" s="747" t="s">
        <v>73</v>
      </c>
      <c r="F130" s="747" t="s">
        <v>3070</v>
      </c>
      <c r="G130" s="747" t="s">
        <v>2814</v>
      </c>
      <c r="H130" s="747" t="s">
        <v>45</v>
      </c>
      <c r="I130" s="747" t="str">
        <f>IFERROR(INDEX('[1]MARE MX'!$H:$H,MATCH("*"&amp;F130&amp;"*",'[1]MARE MX'!$F:$F,0)),"Sin dato")</f>
        <v>ENTERPRISE</v>
      </c>
      <c r="J130" s="763">
        <v>1566</v>
      </c>
      <c r="K130" s="787">
        <v>10</v>
      </c>
      <c r="L130" s="787">
        <f>K130*J130</f>
        <v>15660</v>
      </c>
      <c r="M130" s="787">
        <f>L130/$C$3</f>
        <v>894.85714285714289</v>
      </c>
      <c r="N130" s="747"/>
      <c r="O130" s="754" t="s">
        <v>3071</v>
      </c>
      <c r="P130" s="747" t="s">
        <v>3072</v>
      </c>
      <c r="Q130" s="747"/>
      <c r="R130" s="773"/>
      <c r="S130"/>
      <c r="T130"/>
      <c r="U130"/>
    </row>
    <row r="131" spans="1:21" s="218" customFormat="1">
      <c r="A131" s="748" t="s">
        <v>2880</v>
      </c>
      <c r="B131" s="758" t="s">
        <v>3005</v>
      </c>
      <c r="C131" s="758" t="s">
        <v>2800</v>
      </c>
      <c r="D131" s="758"/>
      <c r="E131" s="747" t="s">
        <v>439</v>
      </c>
      <c r="F131" s="747" t="s">
        <v>3073</v>
      </c>
      <c r="G131" s="747" t="s">
        <v>2814</v>
      </c>
      <c r="H131" s="747" t="s">
        <v>45</v>
      </c>
      <c r="I131" s="747" t="str">
        <f>IFERROR(INDEX('[1]MARE MX'!$H:$H,MATCH("*"&amp;F131&amp;"*",'[1]MARE MX'!$F:$F,0)),"Sin dato")</f>
        <v>SMB</v>
      </c>
      <c r="J131" s="763">
        <v>72</v>
      </c>
      <c r="K131" s="764">
        <v>12</v>
      </c>
      <c r="L131" s="787">
        <f>K131*J131</f>
        <v>864</v>
      </c>
      <c r="M131" s="787">
        <f>L131/$C$3</f>
        <v>49.371428571428574</v>
      </c>
      <c r="N131" s="747"/>
      <c r="O131" s="755" t="s">
        <v>3074</v>
      </c>
      <c r="P131" s="747"/>
      <c r="Q131" s="747"/>
      <c r="R131" s="773"/>
      <c r="S131"/>
      <c r="T131"/>
      <c r="U131"/>
    </row>
    <row r="132" spans="1:21" hidden="1">
      <c r="A132" s="748" t="s">
        <v>2880</v>
      </c>
      <c r="B132" s="758" t="s">
        <v>3005</v>
      </c>
      <c r="C132" s="758" t="s">
        <v>2797</v>
      </c>
      <c r="D132" s="758" t="s">
        <v>3066</v>
      </c>
      <c r="E132" s="747" t="s">
        <v>93</v>
      </c>
      <c r="F132" s="747" t="s">
        <v>28</v>
      </c>
      <c r="G132" s="747" t="s">
        <v>2814</v>
      </c>
      <c r="H132" s="747" t="s">
        <v>3075</v>
      </c>
      <c r="I132" s="747" t="str">
        <f>IFERROR(INDEX('[1]MARE MX'!$H:$H,MATCH("*"&amp;F132&amp;"*",'[1]MARE MX'!$F:$F,0)),"Sin dato")</f>
        <v>ENTERPRISE</v>
      </c>
      <c r="J132" s="763"/>
      <c r="K132" s="764">
        <v>4</v>
      </c>
      <c r="L132" s="785">
        <f>K132*J132</f>
        <v>0</v>
      </c>
      <c r="M132" s="785">
        <f>L132/$C$3</f>
        <v>0</v>
      </c>
      <c r="N132" s="747"/>
      <c r="O132" s="754"/>
      <c r="P132" s="747"/>
      <c r="Q132" s="747"/>
      <c r="R132" s="773"/>
    </row>
    <row r="133" spans="1:21" hidden="1">
      <c r="A133" s="748" t="s">
        <v>2880</v>
      </c>
      <c r="B133" s="758" t="s">
        <v>2921</v>
      </c>
      <c r="C133" s="758" t="s">
        <v>2797</v>
      </c>
      <c r="D133" s="758"/>
      <c r="E133" s="747" t="s">
        <v>73</v>
      </c>
      <c r="F133" s="747" t="s">
        <v>3048</v>
      </c>
      <c r="G133" s="747" t="s">
        <v>3049</v>
      </c>
      <c r="H133" s="747" t="s">
        <v>2991</v>
      </c>
      <c r="I133" s="747" t="str">
        <f>IFERROR(INDEX('[1]MARE MX'!$H:$H,MATCH("*"&amp;F133&amp;"*",'[1]MARE MX'!$F:$F,0)),"Sin dato")</f>
        <v>ENTERPRISE</v>
      </c>
      <c r="J133" s="763"/>
      <c r="K133" s="764"/>
      <c r="L133" s="764">
        <f>K133*J133</f>
        <v>0</v>
      </c>
      <c r="M133" s="764">
        <f>L133/$C$3</f>
        <v>0</v>
      </c>
      <c r="N133" s="747"/>
      <c r="O133" s="754" t="s">
        <v>3076</v>
      </c>
      <c r="P133" s="747"/>
      <c r="Q133" s="747"/>
      <c r="R133" s="773"/>
    </row>
    <row r="134" spans="1:21" s="220" customFormat="1" hidden="1">
      <c r="A134" s="747" t="s">
        <v>3009</v>
      </c>
      <c r="B134" s="758" t="s">
        <v>3005</v>
      </c>
      <c r="C134" s="758" t="s">
        <v>2797</v>
      </c>
      <c r="D134" s="758"/>
      <c r="E134" s="747" t="s">
        <v>73</v>
      </c>
      <c r="F134" s="747" t="s">
        <v>3048</v>
      </c>
      <c r="G134" s="747" t="s">
        <v>2882</v>
      </c>
      <c r="H134" s="747" t="s">
        <v>2883</v>
      </c>
      <c r="I134" s="747" t="str">
        <f>IFERROR(INDEX('[1]MARE MX'!$H:$H,MATCH("*"&amp;F134&amp;"*",'[1]MARE MX'!$F:$F,0)),"Sin dato")</f>
        <v>ENTERPRISE</v>
      </c>
      <c r="J134" s="763">
        <v>30</v>
      </c>
      <c r="K134" s="764">
        <v>250</v>
      </c>
      <c r="L134" s="764">
        <f>K134*J134</f>
        <v>7500</v>
      </c>
      <c r="M134" s="764">
        <f>L134/$C$3</f>
        <v>428.57142857142856</v>
      </c>
      <c r="N134" s="747"/>
      <c r="O134" s="755" t="s">
        <v>3077</v>
      </c>
      <c r="P134" s="747"/>
      <c r="Q134" s="747"/>
      <c r="R134" s="773"/>
      <c r="S134"/>
      <c r="T134"/>
      <c r="U134"/>
    </row>
    <row r="135" spans="1:21" ht="29.25" hidden="1">
      <c r="A135" s="747" t="s">
        <v>3009</v>
      </c>
      <c r="B135" s="758"/>
      <c r="C135" s="758" t="s">
        <v>2797</v>
      </c>
      <c r="D135" s="758"/>
      <c r="E135" s="747" t="s">
        <v>73</v>
      </c>
      <c r="F135" s="747" t="s">
        <v>2878</v>
      </c>
      <c r="G135" s="747" t="s">
        <v>2813</v>
      </c>
      <c r="H135" s="747" t="s">
        <v>2897</v>
      </c>
      <c r="I135" s="747" t="str">
        <f>IFERROR(INDEX('[1]MARE MX'!$H:$H,MATCH("*"&amp;F135&amp;"*",'[1]MARE MX'!$F:$F,0)),"Sin dato")</f>
        <v>ENTERPRISE</v>
      </c>
      <c r="J135" s="763"/>
      <c r="K135" s="764"/>
      <c r="L135" s="764"/>
      <c r="M135" s="764">
        <f>L135/$C$3</f>
        <v>0</v>
      </c>
      <c r="N135" s="747"/>
      <c r="O135" s="754" t="s">
        <v>3078</v>
      </c>
      <c r="P135" s="747"/>
      <c r="Q135" s="747"/>
      <c r="R135" s="773"/>
    </row>
    <row r="136" spans="1:21" hidden="1">
      <c r="A136" s="747" t="s">
        <v>3009</v>
      </c>
      <c r="B136" s="758"/>
      <c r="C136" s="758" t="s">
        <v>2797</v>
      </c>
      <c r="D136" s="758"/>
      <c r="E136" s="747" t="s">
        <v>73</v>
      </c>
      <c r="F136" s="747" t="s">
        <v>3079</v>
      </c>
      <c r="G136" s="747" t="s">
        <v>2813</v>
      </c>
      <c r="H136" s="747" t="s">
        <v>2897</v>
      </c>
      <c r="I136" s="747" t="str">
        <f>IFERROR(INDEX('[1]MARE MX'!$H:$H,MATCH("*"&amp;F136&amp;"*",'[1]MARE MX'!$F:$F,0)),"Sin dato")</f>
        <v>ENTERPRISE</v>
      </c>
      <c r="J136" s="763">
        <v>60</v>
      </c>
      <c r="K136" s="764"/>
      <c r="L136" s="764"/>
      <c r="M136" s="764">
        <f>L136/$D$3</f>
        <v>0</v>
      </c>
      <c r="N136" s="747"/>
      <c r="O136" s="754" t="s">
        <v>3080</v>
      </c>
      <c r="P136" s="747"/>
      <c r="Q136" s="747"/>
      <c r="R136" s="773"/>
    </row>
    <row r="137" spans="1:21" hidden="1">
      <c r="A137" s="748" t="s">
        <v>2880</v>
      </c>
      <c r="B137" s="758" t="s">
        <v>3005</v>
      </c>
      <c r="C137" s="758" t="s">
        <v>2800</v>
      </c>
      <c r="D137" s="758" t="s">
        <v>3081</v>
      </c>
      <c r="E137" s="747" t="s">
        <v>73</v>
      </c>
      <c r="F137" s="747" t="s">
        <v>3068</v>
      </c>
      <c r="G137" s="747" t="s">
        <v>2814</v>
      </c>
      <c r="H137" s="747" t="s">
        <v>50</v>
      </c>
      <c r="I137" s="747" t="str">
        <f>IFERROR(INDEX('[1]MARE MX'!$H:$H,MATCH("*"&amp;F137&amp;"*",'[1]MARE MX'!$F:$F,0)),"Sin dato")</f>
        <v>SMB</v>
      </c>
      <c r="J137" s="763"/>
      <c r="K137" s="787">
        <v>0</v>
      </c>
      <c r="L137" s="787">
        <f>K137*J137</f>
        <v>0</v>
      </c>
      <c r="M137" s="787">
        <f>L137/$C$3</f>
        <v>0</v>
      </c>
      <c r="N137" s="747"/>
      <c r="O137" s="754" t="s">
        <v>3082</v>
      </c>
      <c r="P137" s="747"/>
      <c r="Q137" s="747"/>
      <c r="R137" s="773"/>
    </row>
    <row r="138" spans="1:21" hidden="1">
      <c r="A138" s="747"/>
      <c r="B138" s="758"/>
      <c r="C138" s="758" t="s">
        <v>2797</v>
      </c>
      <c r="D138" s="758"/>
      <c r="E138" s="747" t="s">
        <v>73</v>
      </c>
      <c r="F138" s="747" t="s">
        <v>3083</v>
      </c>
      <c r="G138" s="747" t="s">
        <v>2813</v>
      </c>
      <c r="H138" s="747" t="s">
        <v>2897</v>
      </c>
      <c r="I138" s="747" t="str">
        <f>IFERROR(INDEX('[1]MARE MX'!$H:$H,MATCH("*"&amp;F138&amp;"*",'[1]MARE MX'!$F:$F,0)),"Sin dato")</f>
        <v>ENTERPRISE</v>
      </c>
      <c r="J138" s="763">
        <v>280</v>
      </c>
      <c r="K138" s="764">
        <v>50</v>
      </c>
      <c r="L138" s="764">
        <f>K138*J138</f>
        <v>14000</v>
      </c>
      <c r="M138" s="764">
        <f>L138/$C$3</f>
        <v>800</v>
      </c>
      <c r="N138" s="747"/>
      <c r="O138" s="754" t="s">
        <v>3084</v>
      </c>
      <c r="P138" s="747"/>
      <c r="Q138" s="747"/>
      <c r="R138" s="773"/>
    </row>
    <row r="139" spans="1:21" ht="29.25" hidden="1">
      <c r="A139" s="748" t="s">
        <v>2880</v>
      </c>
      <c r="B139" s="758" t="s">
        <v>3005</v>
      </c>
      <c r="C139" s="758" t="s">
        <v>2797</v>
      </c>
      <c r="D139" s="758"/>
      <c r="E139" s="747" t="s">
        <v>439</v>
      </c>
      <c r="F139" s="747" t="s">
        <v>3085</v>
      </c>
      <c r="G139" s="747" t="s">
        <v>2813</v>
      </c>
      <c r="H139" s="747" t="s">
        <v>2897</v>
      </c>
      <c r="I139" s="747" t="str">
        <f>IFERROR(INDEX('[1]MARE MX'!$H:$H,MATCH("*"&amp;F139&amp;"*",'[1]MARE MX'!$F:$F,0)),"Sin dato")</f>
        <v>SMB</v>
      </c>
      <c r="J139" s="763">
        <v>15</v>
      </c>
      <c r="K139" s="764">
        <v>75</v>
      </c>
      <c r="L139" s="765">
        <f>K139*J139</f>
        <v>1125</v>
      </c>
      <c r="M139" s="765">
        <f>L139/$C$3</f>
        <v>64.285714285714292</v>
      </c>
      <c r="N139" s="747"/>
      <c r="O139" s="754" t="s">
        <v>3086</v>
      </c>
      <c r="P139" s="747" t="s">
        <v>3037</v>
      </c>
      <c r="Q139" s="747"/>
      <c r="R139" s="773" t="s">
        <v>3087</v>
      </c>
    </row>
    <row r="140" spans="1:21" hidden="1">
      <c r="A140" s="747" t="s">
        <v>3009</v>
      </c>
      <c r="B140" s="758" t="s">
        <v>3005</v>
      </c>
      <c r="C140" s="758" t="s">
        <v>2797</v>
      </c>
      <c r="D140" s="758"/>
      <c r="E140" s="747" t="s">
        <v>439</v>
      </c>
      <c r="F140" s="747" t="s">
        <v>3020</v>
      </c>
      <c r="G140" s="747" t="s">
        <v>2813</v>
      </c>
      <c r="H140" s="747" t="s">
        <v>2897</v>
      </c>
      <c r="I140" s="747" t="str">
        <f>IFERROR(INDEX('[1]MARE MX'!$H:$H,MATCH("*"&amp;F140&amp;"*",'[1]MARE MX'!$F:$F,0)),"Sin dato")</f>
        <v>SMB</v>
      </c>
      <c r="J140" s="763">
        <v>11</v>
      </c>
      <c r="K140" s="764">
        <v>55</v>
      </c>
      <c r="L140" s="765">
        <f>K140*J140</f>
        <v>605</v>
      </c>
      <c r="M140" s="765">
        <f>L140/$C$3</f>
        <v>34.571428571428569</v>
      </c>
      <c r="N140" s="747"/>
      <c r="O140" s="755" t="s">
        <v>3088</v>
      </c>
      <c r="P140" s="747"/>
      <c r="Q140" s="747"/>
      <c r="R140" s="773"/>
    </row>
    <row r="141" spans="1:21" s="218" customFormat="1" hidden="1">
      <c r="A141" s="749" t="s">
        <v>2880</v>
      </c>
      <c r="B141" s="759" t="s">
        <v>3005</v>
      </c>
      <c r="C141" s="759" t="s">
        <v>2797</v>
      </c>
      <c r="D141" s="759"/>
      <c r="E141" s="750" t="s">
        <v>439</v>
      </c>
      <c r="F141" s="750" t="s">
        <v>3089</v>
      </c>
      <c r="G141" s="750" t="s">
        <v>2813</v>
      </c>
      <c r="H141" s="750" t="s">
        <v>2897</v>
      </c>
      <c r="I141" s="750" t="str">
        <f>IFERROR(INDEX('[1]MARE MX'!$H:$H,MATCH("*"&amp;F141&amp;"*",'[1]MARE MX'!$F:$F,0)),"Sin dato")</f>
        <v>SMB</v>
      </c>
      <c r="J141" s="766">
        <v>186</v>
      </c>
      <c r="K141" s="767">
        <v>40</v>
      </c>
      <c r="L141" s="768">
        <f>K141*J141</f>
        <v>7440</v>
      </c>
      <c r="M141" s="768">
        <f>L141/$C$3</f>
        <v>425.14285714285717</v>
      </c>
      <c r="N141" s="750"/>
      <c r="O141" s="750" t="s">
        <v>3090</v>
      </c>
      <c r="P141" s="750"/>
      <c r="Q141" s="750"/>
      <c r="R141" s="771"/>
      <c r="S141"/>
      <c r="T141"/>
      <c r="U141"/>
    </row>
    <row r="142" spans="1:21" s="221" customFormat="1" hidden="1">
      <c r="A142" s="748" t="s">
        <v>2880</v>
      </c>
      <c r="B142" s="758" t="s">
        <v>3005</v>
      </c>
      <c r="C142" s="758" t="s">
        <v>2797</v>
      </c>
      <c r="D142" s="758"/>
      <c r="E142" s="747" t="s">
        <v>93</v>
      </c>
      <c r="F142" s="747" t="s">
        <v>3091</v>
      </c>
      <c r="G142" s="747" t="s">
        <v>2813</v>
      </c>
      <c r="H142" s="747" t="s">
        <v>2897</v>
      </c>
      <c r="I142" s="747" t="str">
        <f>IFERROR(INDEX('[1]MARE MX'!$H:$H,MATCH("*"&amp;F142&amp;"*",'[1]MARE MX'!$F:$F,0)),"Sin dato")</f>
        <v>Sin dato</v>
      </c>
      <c r="J142" s="763">
        <v>11622</v>
      </c>
      <c r="K142" s="764">
        <v>19</v>
      </c>
      <c r="L142" s="764">
        <f>K142*J142</f>
        <v>220818</v>
      </c>
      <c r="M142" s="764">
        <f>L142/$C$3</f>
        <v>12618.171428571428</v>
      </c>
      <c r="N142" s="747"/>
      <c r="O142" s="754"/>
      <c r="P142" s="747"/>
      <c r="Q142" s="747"/>
      <c r="R142" s="773"/>
      <c r="S142"/>
      <c r="T142"/>
      <c r="U142"/>
    </row>
    <row r="143" spans="1:21" s="221" customFormat="1">
      <c r="A143" s="748" t="s">
        <v>2880</v>
      </c>
      <c r="B143" s="758" t="s">
        <v>2921</v>
      </c>
      <c r="C143" s="758" t="s">
        <v>2797</v>
      </c>
      <c r="D143" s="758"/>
      <c r="E143" s="747" t="s">
        <v>439</v>
      </c>
      <c r="F143" s="747" t="s">
        <v>3092</v>
      </c>
      <c r="G143" s="747" t="s">
        <v>2814</v>
      </c>
      <c r="H143" s="747" t="s">
        <v>2885</v>
      </c>
      <c r="I143" s="747" t="str">
        <f>IFERROR(INDEX('[1]MARE MX'!$H:$H,MATCH("*"&amp;F143&amp;"*",'[1]MARE MX'!$F:$F,0)),"Sin dato")</f>
        <v>ENTERPRISE</v>
      </c>
      <c r="J143" s="763">
        <v>100</v>
      </c>
      <c r="K143" s="764">
        <v>10</v>
      </c>
      <c r="L143" s="787">
        <f>K143*J143</f>
        <v>1000</v>
      </c>
      <c r="M143" s="787">
        <f>L143/$C$3</f>
        <v>57.142857142857146</v>
      </c>
      <c r="N143" s="747"/>
      <c r="O143" s="754" t="s">
        <v>3093</v>
      </c>
      <c r="P143" s="747" t="s">
        <v>3008</v>
      </c>
      <c r="Q143" s="747"/>
      <c r="R143" s="773"/>
      <c r="S143"/>
      <c r="T143"/>
      <c r="U143"/>
    </row>
    <row r="144" spans="1:21" s="221" customFormat="1" hidden="1">
      <c r="A144" s="748" t="s">
        <v>2880</v>
      </c>
      <c r="B144" s="758" t="s">
        <v>2921</v>
      </c>
      <c r="C144" s="758" t="s">
        <v>2797</v>
      </c>
      <c r="D144" s="758"/>
      <c r="E144" s="747" t="s">
        <v>93</v>
      </c>
      <c r="F144" s="747" t="s">
        <v>2988</v>
      </c>
      <c r="G144" s="747" t="s">
        <v>2814</v>
      </c>
      <c r="H144" s="747" t="s">
        <v>2946</v>
      </c>
      <c r="I144" s="747" t="str">
        <f>IFERROR(INDEX('[1]MARE MX'!$H:$H,MATCH("*"&amp;F144&amp;"*",'[1]MARE MX'!$F:$F,0)),"Sin dato")</f>
        <v>Sin dato</v>
      </c>
      <c r="J144" s="763">
        <v>2000</v>
      </c>
      <c r="K144" s="764"/>
      <c r="L144" s="764">
        <v>0</v>
      </c>
      <c r="M144" s="764">
        <f>L144/$D$3</f>
        <v>0</v>
      </c>
      <c r="N144" s="747"/>
      <c r="O144" s="754"/>
      <c r="P144" s="747"/>
      <c r="Q144" s="747"/>
      <c r="R144" s="773"/>
      <c r="S144"/>
      <c r="T144"/>
      <c r="U144"/>
    </row>
    <row r="145" spans="1:21" s="221" customFormat="1" hidden="1">
      <c r="A145" s="748" t="s">
        <v>2880</v>
      </c>
      <c r="B145" s="758" t="s">
        <v>2921</v>
      </c>
      <c r="C145" s="758" t="s">
        <v>2797</v>
      </c>
      <c r="D145" s="758"/>
      <c r="E145" s="747" t="s">
        <v>439</v>
      </c>
      <c r="F145" s="747" t="s">
        <v>3094</v>
      </c>
      <c r="G145" s="747" t="s">
        <v>2813</v>
      </c>
      <c r="H145" s="747" t="s">
        <v>2897</v>
      </c>
      <c r="I145" s="747" t="str">
        <f>IFERROR(INDEX('[1]MARE MX'!$H:$H,MATCH("*"&amp;F145&amp;"*",'[1]MARE MX'!$F:$F,0)),"Sin dato")</f>
        <v>Sin dato</v>
      </c>
      <c r="J145" s="763">
        <v>10</v>
      </c>
      <c r="K145" s="764">
        <v>47</v>
      </c>
      <c r="L145" s="764">
        <f>K145*J145</f>
        <v>470</v>
      </c>
      <c r="M145" s="764">
        <f>L145/$D$3</f>
        <v>26.111111111111111</v>
      </c>
      <c r="N145" s="747"/>
      <c r="O145" s="754"/>
      <c r="P145" s="747"/>
      <c r="Q145" s="747"/>
      <c r="R145" s="773"/>
      <c r="S145"/>
      <c r="T145"/>
      <c r="U145"/>
    </row>
    <row r="146" spans="1:21" s="220" customFormat="1" hidden="1">
      <c r="A146" s="748" t="s">
        <v>2880</v>
      </c>
      <c r="B146" s="758" t="s">
        <v>2921</v>
      </c>
      <c r="C146" s="758" t="s">
        <v>2797</v>
      </c>
      <c r="D146" s="758"/>
      <c r="E146" s="747" t="s">
        <v>93</v>
      </c>
      <c r="F146" s="747" t="s">
        <v>3095</v>
      </c>
      <c r="G146" s="747" t="s">
        <v>2814</v>
      </c>
      <c r="H146" s="747" t="s">
        <v>49</v>
      </c>
      <c r="I146" s="747" t="str">
        <f>IFERROR(INDEX('[1]MARE MX'!$H:$H,MATCH("*"&amp;F146&amp;"*",'[1]MARE MX'!$F:$F,0)),"Sin dato")</f>
        <v>Sin dato</v>
      </c>
      <c r="J146" s="763">
        <v>3100</v>
      </c>
      <c r="K146" s="764">
        <v>10</v>
      </c>
      <c r="L146" s="764">
        <f>K146*J146</f>
        <v>31000</v>
      </c>
      <c r="M146" s="764">
        <f>L146/$D$3</f>
        <v>1722.2222222222222</v>
      </c>
      <c r="N146" s="747"/>
      <c r="O146" s="754"/>
      <c r="P146" s="747"/>
      <c r="Q146" s="747"/>
      <c r="R146" s="773"/>
      <c r="S146"/>
      <c r="T146"/>
      <c r="U146"/>
    </row>
    <row r="147" spans="1:21" s="220" customFormat="1" hidden="1">
      <c r="A147" s="748" t="s">
        <v>2880</v>
      </c>
      <c r="B147" s="758" t="s">
        <v>2921</v>
      </c>
      <c r="C147" s="758" t="s">
        <v>2797</v>
      </c>
      <c r="D147" s="758"/>
      <c r="E147" s="747" t="s">
        <v>93</v>
      </c>
      <c r="F147" s="747" t="s">
        <v>3096</v>
      </c>
      <c r="G147" s="747" t="s">
        <v>2814</v>
      </c>
      <c r="H147" s="747" t="s">
        <v>2946</v>
      </c>
      <c r="I147" s="747" t="str">
        <f>IFERROR(INDEX('[1]MARE MX'!$H:$H,MATCH("*"&amp;F147&amp;"*",'[1]MARE MX'!$F:$F,0)),"Sin dato")</f>
        <v>Sin dato</v>
      </c>
      <c r="J147" s="763">
        <v>190</v>
      </c>
      <c r="K147" s="764">
        <v>0</v>
      </c>
      <c r="L147" s="764">
        <f>K147*J147</f>
        <v>0</v>
      </c>
      <c r="M147" s="764">
        <f>L147/$D$3</f>
        <v>0</v>
      </c>
      <c r="N147" s="747"/>
      <c r="O147" s="754"/>
      <c r="P147" s="747"/>
      <c r="Q147" s="747"/>
      <c r="R147" s="773"/>
      <c r="S147"/>
      <c r="T147"/>
      <c r="U147"/>
    </row>
    <row r="148" spans="1:21" hidden="1">
      <c r="A148" s="748" t="s">
        <v>2880</v>
      </c>
      <c r="B148" s="758" t="s">
        <v>2921</v>
      </c>
      <c r="C148" s="758" t="s">
        <v>2797</v>
      </c>
      <c r="D148" s="758"/>
      <c r="E148" s="747" t="s">
        <v>73</v>
      </c>
      <c r="F148" s="747" t="s">
        <v>3097</v>
      </c>
      <c r="G148" s="747" t="s">
        <v>2814</v>
      </c>
      <c r="H148" s="747" t="s">
        <v>2885</v>
      </c>
      <c r="I148" s="747" t="str">
        <f>IFERROR(INDEX('[1]MARE MX'!$H:$H,MATCH("*"&amp;F148&amp;"*",'[1]MARE MX'!$F:$F,0)),"Sin dato")</f>
        <v>SMB</v>
      </c>
      <c r="J148" s="763">
        <v>100</v>
      </c>
      <c r="K148" s="764"/>
      <c r="L148" s="764">
        <v>0</v>
      </c>
      <c r="M148" s="764">
        <f>L148/$D$3</f>
        <v>0</v>
      </c>
      <c r="N148" s="747"/>
      <c r="O148" s="754"/>
      <c r="P148" s="747"/>
      <c r="Q148" s="747"/>
      <c r="R148" s="773"/>
    </row>
    <row r="149" spans="1:21" hidden="1">
      <c r="A149" s="748" t="s">
        <v>2880</v>
      </c>
      <c r="B149" s="758" t="s">
        <v>2921</v>
      </c>
      <c r="C149" s="758" t="s">
        <v>2797</v>
      </c>
      <c r="D149" s="758"/>
      <c r="E149" s="747" t="s">
        <v>73</v>
      </c>
      <c r="F149" s="747" t="s">
        <v>2899</v>
      </c>
      <c r="G149" s="747" t="s">
        <v>2814</v>
      </c>
      <c r="H149" s="747" t="s">
        <v>49</v>
      </c>
      <c r="I149" s="747" t="str">
        <f>IFERROR(INDEX('[1]MARE MX'!$H:$H,MATCH("*"&amp;F149&amp;"*",'[1]MARE MX'!$F:$F,0)),"Sin dato")</f>
        <v>ENTERPRISE</v>
      </c>
      <c r="J149" s="763">
        <v>270</v>
      </c>
      <c r="K149" s="764">
        <v>8</v>
      </c>
      <c r="L149" s="764">
        <f>K149*J149</f>
        <v>2160</v>
      </c>
      <c r="M149" s="764">
        <f>L149/$D$3</f>
        <v>120</v>
      </c>
      <c r="N149" s="747"/>
      <c r="O149" s="754"/>
      <c r="P149" s="747"/>
      <c r="Q149" s="747"/>
      <c r="R149" s="773"/>
    </row>
    <row r="150" spans="1:21" hidden="1">
      <c r="A150" s="748" t="s">
        <v>2880</v>
      </c>
      <c r="B150" s="758" t="s">
        <v>2921</v>
      </c>
      <c r="C150" s="758" t="s">
        <v>2797</v>
      </c>
      <c r="D150" s="758"/>
      <c r="E150" s="747" t="s">
        <v>93</v>
      </c>
      <c r="F150" s="747" t="s">
        <v>3098</v>
      </c>
      <c r="G150" s="747" t="s">
        <v>2814</v>
      </c>
      <c r="H150" s="747" t="s">
        <v>2885</v>
      </c>
      <c r="I150" s="747" t="str">
        <f>IFERROR(INDEX('[1]MARE MX'!$H:$H,MATCH("*"&amp;F150&amp;"*",'[1]MARE MX'!$F:$F,0)),"Sin dato")</f>
        <v>ENTERPRISE</v>
      </c>
      <c r="J150" s="763">
        <v>1027</v>
      </c>
      <c r="K150" s="764">
        <v>6</v>
      </c>
      <c r="L150" s="764">
        <f>K150*J150</f>
        <v>6162</v>
      </c>
      <c r="M150" s="764">
        <f>L150/$D$3</f>
        <v>342.33333333333331</v>
      </c>
      <c r="N150" s="747"/>
      <c r="O150" s="754"/>
      <c r="P150" s="747"/>
      <c r="Q150" s="747"/>
      <c r="R150" s="773"/>
    </row>
    <row r="151" spans="1:21" hidden="1">
      <c r="A151" s="748" t="s">
        <v>2880</v>
      </c>
      <c r="B151" s="758" t="s">
        <v>2921</v>
      </c>
      <c r="C151" s="758" t="s">
        <v>2797</v>
      </c>
      <c r="D151" s="758"/>
      <c r="E151" s="747" t="s">
        <v>93</v>
      </c>
      <c r="F151" s="747" t="s">
        <v>2988</v>
      </c>
      <c r="G151" s="747" t="s">
        <v>2814</v>
      </c>
      <c r="H151" s="747" t="s">
        <v>2897</v>
      </c>
      <c r="I151" s="747" t="str">
        <f>IFERROR(INDEX('[1]MARE MX'!$H:$H,MATCH("*"&amp;F151&amp;"*",'[1]MARE MX'!$F:$F,0)),"Sin dato")</f>
        <v>Sin dato</v>
      </c>
      <c r="J151" s="763">
        <v>300</v>
      </c>
      <c r="K151" s="764">
        <v>10</v>
      </c>
      <c r="L151" s="764">
        <f>K151*J151</f>
        <v>3000</v>
      </c>
      <c r="M151" s="764">
        <f>L151/$D$3</f>
        <v>166.66666666666666</v>
      </c>
      <c r="N151" s="747"/>
      <c r="O151" s="754"/>
      <c r="P151" s="747"/>
      <c r="Q151" s="747"/>
      <c r="R151" s="773"/>
    </row>
    <row r="152" spans="1:21" s="220" customFormat="1">
      <c r="A152" s="748" t="s">
        <v>2880</v>
      </c>
      <c r="B152" s="758" t="s">
        <v>2921</v>
      </c>
      <c r="C152" s="758" t="s">
        <v>2797</v>
      </c>
      <c r="D152" s="758"/>
      <c r="E152" s="747" t="s">
        <v>439</v>
      </c>
      <c r="F152" s="747" t="s">
        <v>3099</v>
      </c>
      <c r="G152" s="747" t="s">
        <v>2814</v>
      </c>
      <c r="H152" s="747" t="s">
        <v>50</v>
      </c>
      <c r="I152" s="747" t="str">
        <f>IFERROR(INDEX('[1]MARE MX'!$H:$H,MATCH("*"&amp;F152&amp;"*",'[1]MARE MX'!$F:$F,0)),"Sin dato")</f>
        <v>Sin dato</v>
      </c>
      <c r="J152" s="763">
        <v>90</v>
      </c>
      <c r="K152" s="764"/>
      <c r="L152" s="764">
        <v>0</v>
      </c>
      <c r="M152" s="764">
        <f>L152/$D$3</f>
        <v>0</v>
      </c>
      <c r="N152" s="747"/>
      <c r="O152" s="754"/>
      <c r="P152" s="747"/>
      <c r="Q152" s="747"/>
      <c r="R152" s="773"/>
      <c r="S152"/>
      <c r="T152"/>
      <c r="U152"/>
    </row>
    <row r="153" spans="1:21" hidden="1">
      <c r="A153" s="748" t="s">
        <v>2880</v>
      </c>
      <c r="B153" s="758" t="s">
        <v>2921</v>
      </c>
      <c r="C153" s="758" t="s">
        <v>2797</v>
      </c>
      <c r="D153" s="758"/>
      <c r="E153" s="747" t="s">
        <v>73</v>
      </c>
      <c r="F153" s="747" t="s">
        <v>3048</v>
      </c>
      <c r="G153" s="747" t="s">
        <v>2814</v>
      </c>
      <c r="H153" s="747" t="s">
        <v>2991</v>
      </c>
      <c r="I153" s="747" t="str">
        <f>IFERROR(INDEX('[1]MARE MX'!$H:$H,MATCH("*"&amp;F153&amp;"*",'[1]MARE MX'!$F:$F,0)),"Sin dato")</f>
        <v>ENTERPRISE</v>
      </c>
      <c r="J153" s="763">
        <v>135</v>
      </c>
      <c r="K153" s="764">
        <v>0</v>
      </c>
      <c r="L153" s="764">
        <f>K153*J153</f>
        <v>0</v>
      </c>
      <c r="M153" s="764">
        <f>L153/$D$3</f>
        <v>0</v>
      </c>
      <c r="N153" s="747"/>
      <c r="O153" s="754"/>
      <c r="P153" s="747"/>
      <c r="Q153" s="747"/>
      <c r="R153" s="773"/>
    </row>
    <row r="154" spans="1:21" hidden="1">
      <c r="A154" s="748" t="s">
        <v>2880</v>
      </c>
      <c r="B154" s="758" t="s">
        <v>2921</v>
      </c>
      <c r="C154" s="758" t="s">
        <v>2797</v>
      </c>
      <c r="D154" s="758"/>
      <c r="E154" s="747" t="s">
        <v>73</v>
      </c>
      <c r="F154" s="747" t="s">
        <v>2899</v>
      </c>
      <c r="G154" s="747" t="s">
        <v>2814</v>
      </c>
      <c r="H154" s="747" t="s">
        <v>49</v>
      </c>
      <c r="I154" s="747" t="str">
        <f>IFERROR(INDEX('[1]MARE MX'!$H:$H,MATCH("*"&amp;F154&amp;"*",'[1]MARE MX'!$F:$F,0)),"Sin dato")</f>
        <v>ENTERPRISE</v>
      </c>
      <c r="J154" s="763">
        <v>1500</v>
      </c>
      <c r="K154" s="764"/>
      <c r="L154" s="764">
        <v>0</v>
      </c>
      <c r="M154" s="764">
        <f>L154/$D$3</f>
        <v>0</v>
      </c>
      <c r="N154" s="747"/>
      <c r="O154" s="754"/>
      <c r="P154" s="747"/>
      <c r="Q154" s="747"/>
      <c r="R154" s="773"/>
    </row>
    <row r="155" spans="1:21" s="220" customFormat="1" hidden="1">
      <c r="A155" s="748" t="s">
        <v>2880</v>
      </c>
      <c r="B155" s="758" t="s">
        <v>3005</v>
      </c>
      <c r="C155" s="758" t="s">
        <v>2800</v>
      </c>
      <c r="D155" s="758" t="s">
        <v>3027</v>
      </c>
      <c r="E155" s="747" t="s">
        <v>73</v>
      </c>
      <c r="F155" s="747" t="s">
        <v>3100</v>
      </c>
      <c r="G155" s="747" t="s">
        <v>2814</v>
      </c>
      <c r="H155" s="747" t="s">
        <v>2904</v>
      </c>
      <c r="I155" s="747" t="str">
        <f>IFERROR(INDEX('[1]MARE MX'!$H:$H,MATCH("*"&amp;F155&amp;"*",'[1]MARE MX'!$F:$F,0)),"Sin dato")</f>
        <v>ENTERPRISE</v>
      </c>
      <c r="J155" s="763">
        <v>400</v>
      </c>
      <c r="K155" s="787">
        <v>10</v>
      </c>
      <c r="L155" s="787">
        <f>K155*J155</f>
        <v>4000</v>
      </c>
      <c r="M155" s="787">
        <f>L155/$C$3</f>
        <v>228.57142857142858</v>
      </c>
      <c r="N155" s="747"/>
      <c r="O155" s="754" t="s">
        <v>3101</v>
      </c>
      <c r="P155" s="747" t="s">
        <v>3008</v>
      </c>
      <c r="Q155" s="747"/>
      <c r="R155" s="773"/>
      <c r="S155"/>
      <c r="T155"/>
      <c r="U155"/>
    </row>
    <row r="156" spans="1:21" ht="29.25" hidden="1">
      <c r="A156" s="748" t="s">
        <v>2880</v>
      </c>
      <c r="B156" s="758" t="s">
        <v>3005</v>
      </c>
      <c r="C156" s="758" t="s">
        <v>2800</v>
      </c>
      <c r="D156" s="758" t="s">
        <v>3027</v>
      </c>
      <c r="E156" s="747" t="s">
        <v>73</v>
      </c>
      <c r="F156" s="747" t="s">
        <v>3100</v>
      </c>
      <c r="G156" s="747" t="s">
        <v>2814</v>
      </c>
      <c r="H156" s="747" t="s">
        <v>45</v>
      </c>
      <c r="I156" s="747" t="str">
        <f>IFERROR(INDEX('[1]MARE MX'!$H:$H,MATCH("*"&amp;F156&amp;"*",'[1]MARE MX'!$F:$F,0)),"Sin dato")</f>
        <v>ENTERPRISE</v>
      </c>
      <c r="J156" s="763">
        <v>400</v>
      </c>
      <c r="K156" s="787">
        <v>10</v>
      </c>
      <c r="L156" s="787">
        <f>K156*J156</f>
        <v>4000</v>
      </c>
      <c r="M156" s="787">
        <f>L156/$C$3</f>
        <v>228.57142857142858</v>
      </c>
      <c r="N156" s="747"/>
      <c r="O156" s="754" t="s">
        <v>3102</v>
      </c>
      <c r="P156" s="747" t="s">
        <v>3008</v>
      </c>
      <c r="Q156" s="747"/>
      <c r="R156" s="773"/>
    </row>
    <row r="157" spans="1:21" hidden="1">
      <c r="A157" s="748" t="s">
        <v>2880</v>
      </c>
      <c r="B157" s="758" t="s">
        <v>3005</v>
      </c>
      <c r="C157" s="758" t="s">
        <v>2800</v>
      </c>
      <c r="D157" s="758" t="s">
        <v>2803</v>
      </c>
      <c r="E157" s="747" t="s">
        <v>93</v>
      </c>
      <c r="F157" s="747" t="s">
        <v>3103</v>
      </c>
      <c r="G157" s="747" t="s">
        <v>2814</v>
      </c>
      <c r="H157" s="747" t="s">
        <v>45</v>
      </c>
      <c r="I157" s="747" t="str">
        <f>IFERROR(INDEX('[1]MARE MX'!$H:$H,MATCH("*"&amp;F157&amp;"*",'[1]MARE MX'!$F:$F,0)),"Sin dato")</f>
        <v>ENTERPRISE</v>
      </c>
      <c r="J157" s="763">
        <v>724</v>
      </c>
      <c r="K157" s="764">
        <v>10</v>
      </c>
      <c r="L157" s="785">
        <f>K157*J157</f>
        <v>7240</v>
      </c>
      <c r="M157" s="785">
        <f>L157/$C$3</f>
        <v>413.71428571428572</v>
      </c>
      <c r="N157" s="747"/>
      <c r="O157" s="755" t="s">
        <v>3104</v>
      </c>
      <c r="P157" s="747"/>
      <c r="Q157" s="747"/>
      <c r="R157" s="773"/>
    </row>
    <row r="158" spans="1:21" hidden="1">
      <c r="A158" s="748" t="s">
        <v>2880</v>
      </c>
      <c r="B158" s="758" t="s">
        <v>3005</v>
      </c>
      <c r="C158" s="758" t="s">
        <v>2800</v>
      </c>
      <c r="D158" s="758" t="s">
        <v>2802</v>
      </c>
      <c r="E158" s="747" t="s">
        <v>93</v>
      </c>
      <c r="F158" s="747" t="s">
        <v>2996</v>
      </c>
      <c r="G158" s="747" t="s">
        <v>3105</v>
      </c>
      <c r="H158" s="747" t="s">
        <v>2897</v>
      </c>
      <c r="I158" s="747" t="str">
        <f>IFERROR(INDEX('[1]MARE MX'!$H:$H,MATCH("*"&amp;F158&amp;"*",'[1]MARE MX'!$F:$F,0)),"Sin dato")</f>
        <v>Sin dato</v>
      </c>
      <c r="J158" s="763">
        <v>3000</v>
      </c>
      <c r="K158" s="764">
        <v>19</v>
      </c>
      <c r="L158" s="764">
        <f>K158*J158</f>
        <v>57000</v>
      </c>
      <c r="M158" s="764">
        <f>L158/$D$3</f>
        <v>3166.6666666666665</v>
      </c>
      <c r="N158" s="747"/>
      <c r="O158" s="754"/>
      <c r="P158" s="747"/>
      <c r="Q158" s="747"/>
      <c r="R158" s="773"/>
    </row>
    <row r="159" spans="1:21" hidden="1">
      <c r="A159" s="748" t="s">
        <v>2880</v>
      </c>
      <c r="B159" s="758" t="s">
        <v>3005</v>
      </c>
      <c r="C159" s="758" t="s">
        <v>2800</v>
      </c>
      <c r="D159" s="758" t="s">
        <v>3038</v>
      </c>
      <c r="E159" s="747" t="s">
        <v>73</v>
      </c>
      <c r="F159" s="747" t="s">
        <v>3083</v>
      </c>
      <c r="G159" s="747" t="s">
        <v>2814</v>
      </c>
      <c r="H159" s="747" t="s">
        <v>51</v>
      </c>
      <c r="I159" s="747" t="str">
        <f>IFERROR(INDEX('[1]MARE MX'!$H:$H,MATCH("*"&amp;F159&amp;"*",'[1]MARE MX'!$F:$F,0)),"Sin dato")</f>
        <v>ENTERPRISE</v>
      </c>
      <c r="J159" s="763">
        <v>410</v>
      </c>
      <c r="K159" s="787">
        <v>11</v>
      </c>
      <c r="L159" s="787">
        <f>K159*J159</f>
        <v>4510</v>
      </c>
      <c r="M159" s="787">
        <f>L159/$C$3</f>
        <v>257.71428571428572</v>
      </c>
      <c r="N159" s="747"/>
      <c r="O159" s="755" t="s">
        <v>3106</v>
      </c>
      <c r="P159" s="747"/>
      <c r="Q159" s="747"/>
      <c r="R159" s="773"/>
    </row>
    <row r="160" spans="1:21">
      <c r="A160" s="748" t="s">
        <v>2880</v>
      </c>
      <c r="B160" s="758" t="s">
        <v>3005</v>
      </c>
      <c r="C160" s="758" t="s">
        <v>2800</v>
      </c>
      <c r="D160" s="758" t="s">
        <v>2803</v>
      </c>
      <c r="E160" s="747" t="s">
        <v>439</v>
      </c>
      <c r="F160" s="747" t="s">
        <v>3085</v>
      </c>
      <c r="G160" s="747" t="s">
        <v>2814</v>
      </c>
      <c r="H160" s="747" t="s">
        <v>3003</v>
      </c>
      <c r="I160" s="747" t="str">
        <f>IFERROR(INDEX('[1]MARE MX'!$H:$H,MATCH("*"&amp;F160&amp;"*",'[1]MARE MX'!$F:$F,0)),"Sin dato")</f>
        <v>SMB</v>
      </c>
      <c r="J160" s="763">
        <v>30</v>
      </c>
      <c r="K160" s="764">
        <v>20</v>
      </c>
      <c r="L160" s="764">
        <f>K160*J160</f>
        <v>600</v>
      </c>
      <c r="M160" s="764">
        <f>L160/$C$3</f>
        <v>34.285714285714285</v>
      </c>
      <c r="N160" s="747"/>
      <c r="O160" s="754" t="s">
        <v>3107</v>
      </c>
      <c r="P160" s="747" t="s">
        <v>3037</v>
      </c>
      <c r="Q160" s="747"/>
      <c r="R160" s="773" t="s">
        <v>3087</v>
      </c>
    </row>
    <row r="161" spans="1:21" ht="29.25" hidden="1">
      <c r="A161" s="748" t="s">
        <v>2880</v>
      </c>
      <c r="B161" s="758" t="s">
        <v>3005</v>
      </c>
      <c r="C161" s="758" t="s">
        <v>2800</v>
      </c>
      <c r="D161" s="758" t="s">
        <v>3038</v>
      </c>
      <c r="E161" s="747" t="s">
        <v>439</v>
      </c>
      <c r="F161" s="747" t="s">
        <v>3085</v>
      </c>
      <c r="G161" s="747" t="s">
        <v>2813</v>
      </c>
      <c r="H161" s="747" t="s">
        <v>2897</v>
      </c>
      <c r="I161" s="747" t="str">
        <f>IFERROR(INDEX('[1]MARE MX'!$H:$H,MATCH("*"&amp;F161&amp;"*",'[1]MARE MX'!$F:$F,0)),"Sin dato")</f>
        <v>SMB</v>
      </c>
      <c r="J161" s="763">
        <v>15</v>
      </c>
      <c r="K161" s="764"/>
      <c r="L161" s="764">
        <f>K161*J161</f>
        <v>0</v>
      </c>
      <c r="M161" s="764">
        <f>L161/$C$3</f>
        <v>0</v>
      </c>
      <c r="N161" s="747"/>
      <c r="O161" s="754" t="s">
        <v>3107</v>
      </c>
      <c r="P161" s="747" t="s">
        <v>3037</v>
      </c>
      <c r="Q161" s="747"/>
      <c r="R161" s="773" t="s">
        <v>3087</v>
      </c>
    </row>
    <row r="162" spans="1:21" hidden="1">
      <c r="A162" s="748" t="s">
        <v>2880</v>
      </c>
      <c r="B162" s="758" t="s">
        <v>3005</v>
      </c>
      <c r="C162" s="758" t="s">
        <v>2800</v>
      </c>
      <c r="D162" s="758"/>
      <c r="E162" s="747" t="s">
        <v>73</v>
      </c>
      <c r="F162" s="747" t="s">
        <v>3108</v>
      </c>
      <c r="G162" s="747" t="s">
        <v>2814</v>
      </c>
      <c r="H162" s="747" t="s">
        <v>45</v>
      </c>
      <c r="I162" s="747" t="str">
        <f>IFERROR(INDEX('[1]MARE MX'!$H:$H,MATCH("*"&amp;F162&amp;"*",'[1]MARE MX'!$F:$F,0)),"Sin dato")</f>
        <v>ENTERPRISE</v>
      </c>
      <c r="J162" s="763">
        <v>343</v>
      </c>
      <c r="K162" s="787">
        <v>10</v>
      </c>
      <c r="L162" s="787">
        <f>K162*J162</f>
        <v>3430</v>
      </c>
      <c r="M162" s="787">
        <f>L162/$C$3</f>
        <v>196</v>
      </c>
      <c r="N162" s="747"/>
      <c r="O162" s="754" t="s">
        <v>3109</v>
      </c>
      <c r="P162" s="747"/>
      <c r="Q162" s="747"/>
      <c r="R162" s="773"/>
    </row>
    <row r="163" spans="1:21">
      <c r="A163" s="749" t="s">
        <v>2880</v>
      </c>
      <c r="B163" s="759" t="s">
        <v>3005</v>
      </c>
      <c r="C163" s="759" t="s">
        <v>2800</v>
      </c>
      <c r="D163" s="759"/>
      <c r="E163" s="750" t="s">
        <v>439</v>
      </c>
      <c r="F163" s="750" t="s">
        <v>3054</v>
      </c>
      <c r="G163" s="750" t="s">
        <v>2814</v>
      </c>
      <c r="H163" s="750" t="s">
        <v>2946</v>
      </c>
      <c r="I163" s="750" t="str">
        <f>IFERROR(INDEX('[1]MARE MX'!$H:$H,MATCH("*"&amp;F163&amp;"*",'[1]MARE MX'!$F:$F,0)),"Sin dato")</f>
        <v>SMB</v>
      </c>
      <c r="J163" s="766"/>
      <c r="K163" s="767"/>
      <c r="L163" s="787">
        <v>350</v>
      </c>
      <c r="M163" s="787">
        <f>L163/$C$3</f>
        <v>20</v>
      </c>
      <c r="N163" s="750"/>
      <c r="O163" s="750" t="s">
        <v>3110</v>
      </c>
      <c r="P163" s="750"/>
      <c r="Q163" s="750"/>
      <c r="R163" s="771"/>
    </row>
    <row r="164" spans="1:21">
      <c r="A164" s="748" t="s">
        <v>2880</v>
      </c>
      <c r="B164" s="758" t="s">
        <v>3005</v>
      </c>
      <c r="C164" s="758" t="s">
        <v>2800</v>
      </c>
      <c r="D164" s="758"/>
      <c r="E164" s="747" t="s">
        <v>439</v>
      </c>
      <c r="F164" s="747" t="s">
        <v>3111</v>
      </c>
      <c r="G164" s="747" t="s">
        <v>2814</v>
      </c>
      <c r="H164" s="747" t="s">
        <v>2991</v>
      </c>
      <c r="I164" s="747" t="str">
        <f>IFERROR(INDEX('[1]MARE MX'!$H:$H,MATCH("*"&amp;F164&amp;"*",'[1]MARE MX'!$F:$F,0)),"Sin dato")</f>
        <v>Sin dato</v>
      </c>
      <c r="J164" s="763">
        <v>194</v>
      </c>
      <c r="K164" s="764">
        <v>8</v>
      </c>
      <c r="L164" s="787">
        <f>K164*J164</f>
        <v>1552</v>
      </c>
      <c r="M164" s="787">
        <f>L164/$C$3</f>
        <v>88.685714285714283</v>
      </c>
      <c r="N164" s="747"/>
      <c r="O164" s="755" t="s">
        <v>3112</v>
      </c>
      <c r="P164" s="747"/>
      <c r="Q164" s="747"/>
      <c r="R164" s="773"/>
    </row>
    <row r="165" spans="1:21">
      <c r="A165" s="748" t="s">
        <v>2880</v>
      </c>
      <c r="B165" s="758" t="s">
        <v>3005</v>
      </c>
      <c r="C165" s="758" t="s">
        <v>2800</v>
      </c>
      <c r="D165" s="758"/>
      <c r="E165" s="747" t="s">
        <v>439</v>
      </c>
      <c r="F165" s="747" t="s">
        <v>3113</v>
      </c>
      <c r="G165" s="747" t="s">
        <v>2814</v>
      </c>
      <c r="H165" s="747" t="s">
        <v>45</v>
      </c>
      <c r="I165" s="747" t="str">
        <f>IFERROR(INDEX('[1]MARE MX'!$H:$H,MATCH("*"&amp;F165&amp;"*",'[1]MARE MX'!$F:$F,0)),"Sin dato")</f>
        <v>SMB</v>
      </c>
      <c r="J165" s="763">
        <v>200</v>
      </c>
      <c r="K165" s="764">
        <v>10</v>
      </c>
      <c r="L165" s="787">
        <f>K165*J165</f>
        <v>2000</v>
      </c>
      <c r="M165" s="787">
        <f>L165/$C$3</f>
        <v>114.28571428571429</v>
      </c>
      <c r="N165" s="747"/>
      <c r="O165" s="755" t="s">
        <v>3074</v>
      </c>
      <c r="P165" s="747"/>
      <c r="Q165" s="747"/>
      <c r="R165" s="773"/>
    </row>
    <row r="166" spans="1:21" hidden="1">
      <c r="A166" s="748" t="s">
        <v>2880</v>
      </c>
      <c r="B166" s="758" t="s">
        <v>3005</v>
      </c>
      <c r="C166" s="758" t="s">
        <v>2800</v>
      </c>
      <c r="D166" s="758"/>
      <c r="E166" s="747" t="s">
        <v>93</v>
      </c>
      <c r="F166" s="747" t="s">
        <v>3114</v>
      </c>
      <c r="G166" s="747" t="s">
        <v>2814</v>
      </c>
      <c r="H166" s="747" t="s">
        <v>2885</v>
      </c>
      <c r="I166" s="747" t="str">
        <f>IFERROR(INDEX('[1]MARE MX'!$H:$H,MATCH("*"&amp;F166&amp;"*",'[1]MARE MX'!$F:$F,0)),"Sin dato")</f>
        <v>ENTERPRISE</v>
      </c>
      <c r="J166" s="763">
        <v>3100</v>
      </c>
      <c r="K166" s="764">
        <v>6</v>
      </c>
      <c r="L166" s="785">
        <f>K166*J166</f>
        <v>18600</v>
      </c>
      <c r="M166" s="785">
        <f>L166/$C$3</f>
        <v>1062.8571428571429</v>
      </c>
      <c r="N166" s="747"/>
      <c r="O166" s="755" t="s">
        <v>3115</v>
      </c>
      <c r="P166" s="747"/>
      <c r="Q166" s="747"/>
      <c r="R166" s="773"/>
    </row>
    <row r="167" spans="1:21" hidden="1">
      <c r="A167" s="748" t="s">
        <v>2880</v>
      </c>
      <c r="B167" s="758" t="s">
        <v>3005</v>
      </c>
      <c r="C167" s="758" t="s">
        <v>2800</v>
      </c>
      <c r="D167" s="758"/>
      <c r="E167" s="747" t="s">
        <v>93</v>
      </c>
      <c r="F167" s="747" t="s">
        <v>3116</v>
      </c>
      <c r="G167" s="747" t="s">
        <v>2814</v>
      </c>
      <c r="H167" s="747" t="s">
        <v>2991</v>
      </c>
      <c r="I167" s="747" t="str">
        <f>IFERROR(INDEX('[1]MARE MX'!$H:$H,MATCH("*"&amp;F167&amp;"*",'[1]MARE MX'!$F:$F,0)),"Sin dato")</f>
        <v>ENTERPRISE</v>
      </c>
      <c r="J167" s="763">
        <v>1030</v>
      </c>
      <c r="K167" s="764">
        <v>5</v>
      </c>
      <c r="L167" s="785">
        <f>K167*J167</f>
        <v>5150</v>
      </c>
      <c r="M167" s="785">
        <f>L167/$C$3</f>
        <v>294.28571428571428</v>
      </c>
      <c r="N167" s="747"/>
      <c r="O167" s="754" t="s">
        <v>3117</v>
      </c>
      <c r="P167" s="747"/>
      <c r="Q167" s="747"/>
      <c r="R167" s="773"/>
    </row>
    <row r="168" spans="1:21" hidden="1">
      <c r="A168" s="748" t="s">
        <v>2880</v>
      </c>
      <c r="B168" s="758" t="s">
        <v>3005</v>
      </c>
      <c r="C168" s="758" t="s">
        <v>2800</v>
      </c>
      <c r="D168" s="758"/>
      <c r="E168" s="747" t="s">
        <v>93</v>
      </c>
      <c r="F168" s="747" t="s">
        <v>3116</v>
      </c>
      <c r="G168" s="747" t="s">
        <v>2814</v>
      </c>
      <c r="H168" s="747" t="s">
        <v>45</v>
      </c>
      <c r="I168" s="747" t="str">
        <f>IFERROR(INDEX('[1]MARE MX'!$H:$H,MATCH("*"&amp;F168&amp;"*",'[1]MARE MX'!$F:$F,0)),"Sin dato")</f>
        <v>ENTERPRISE</v>
      </c>
      <c r="J168" s="763">
        <v>1030</v>
      </c>
      <c r="K168" s="764">
        <v>10</v>
      </c>
      <c r="L168" s="785">
        <f>K168*J168</f>
        <v>10300</v>
      </c>
      <c r="M168" s="785">
        <f>L168/$C$3</f>
        <v>588.57142857142856</v>
      </c>
      <c r="N168" s="747"/>
      <c r="O168" s="754" t="s">
        <v>3118</v>
      </c>
      <c r="P168" s="747"/>
      <c r="Q168" s="747"/>
      <c r="R168" s="773"/>
    </row>
    <row r="169" spans="1:21" hidden="1">
      <c r="A169" s="748" t="s">
        <v>2880</v>
      </c>
      <c r="B169" s="758" t="s">
        <v>3005</v>
      </c>
      <c r="C169" s="758" t="s">
        <v>2800</v>
      </c>
      <c r="D169" s="758"/>
      <c r="E169" s="747" t="s">
        <v>93</v>
      </c>
      <c r="F169" s="747" t="s">
        <v>3119</v>
      </c>
      <c r="G169" s="747" t="s">
        <v>2814</v>
      </c>
      <c r="H169" s="747" t="s">
        <v>2885</v>
      </c>
      <c r="I169" s="747" t="str">
        <f>IFERROR(INDEX('[1]MARE MX'!$H:$H,MATCH("*"&amp;F169&amp;"*",'[1]MARE MX'!$F:$F,0)),"Sin dato")</f>
        <v>ENTERPRISE</v>
      </c>
      <c r="J169" s="763">
        <v>1156</v>
      </c>
      <c r="K169" s="764">
        <v>0</v>
      </c>
      <c r="L169" s="785"/>
      <c r="M169" s="785"/>
      <c r="N169" s="747"/>
      <c r="O169" s="755" t="s">
        <v>3120</v>
      </c>
      <c r="P169" s="747" t="s">
        <v>3008</v>
      </c>
      <c r="Q169" s="747"/>
      <c r="R169" s="773"/>
    </row>
    <row r="170" spans="1:21" hidden="1">
      <c r="A170" s="748" t="s">
        <v>2880</v>
      </c>
      <c r="B170" s="758" t="s">
        <v>3005</v>
      </c>
      <c r="C170" s="758" t="s">
        <v>2800</v>
      </c>
      <c r="D170" s="758"/>
      <c r="E170" s="747" t="s">
        <v>93</v>
      </c>
      <c r="F170" s="747" t="s">
        <v>3119</v>
      </c>
      <c r="G170" s="747" t="s">
        <v>2814</v>
      </c>
      <c r="H170" s="747" t="s">
        <v>45</v>
      </c>
      <c r="I170" s="747" t="str">
        <f>IFERROR(INDEX('[1]MARE MX'!$H:$H,MATCH("*"&amp;F170&amp;"*",'[1]MARE MX'!$F:$F,0)),"Sin dato")</f>
        <v>ENTERPRISE</v>
      </c>
      <c r="J170" s="763">
        <v>1156</v>
      </c>
      <c r="K170" s="764">
        <v>0.8</v>
      </c>
      <c r="L170" s="785"/>
      <c r="M170" s="785">
        <f t="shared" ref="M170:M172" si="0">J170*K170</f>
        <v>924.80000000000007</v>
      </c>
      <c r="N170" s="747"/>
      <c r="O170" s="755" t="s">
        <v>3120</v>
      </c>
      <c r="P170" s="747" t="s">
        <v>3008</v>
      </c>
      <c r="Q170" s="747"/>
      <c r="R170" s="773"/>
    </row>
    <row r="171" spans="1:21" hidden="1">
      <c r="A171" s="748" t="s">
        <v>2880</v>
      </c>
      <c r="B171" s="758" t="s">
        <v>3005</v>
      </c>
      <c r="C171" s="758" t="s">
        <v>2800</v>
      </c>
      <c r="D171" s="758"/>
      <c r="E171" s="747" t="s">
        <v>93</v>
      </c>
      <c r="F171" s="747" t="s">
        <v>3119</v>
      </c>
      <c r="G171" s="747" t="s">
        <v>2814</v>
      </c>
      <c r="H171" s="747" t="s">
        <v>2904</v>
      </c>
      <c r="I171" s="747" t="str">
        <f>IFERROR(INDEX('[1]MARE MX'!$H:$H,MATCH("*"&amp;F171&amp;"*",'[1]MARE MX'!$F:$F,0)),"Sin dato")</f>
        <v>ENTERPRISE</v>
      </c>
      <c r="J171" s="763">
        <v>1156</v>
      </c>
      <c r="K171" s="764">
        <v>0.35</v>
      </c>
      <c r="L171" s="785"/>
      <c r="M171" s="785">
        <f t="shared" si="0"/>
        <v>404.59999999999997</v>
      </c>
      <c r="N171" s="747"/>
      <c r="O171" s="755" t="s">
        <v>3120</v>
      </c>
      <c r="P171" s="747" t="s">
        <v>3008</v>
      </c>
      <c r="Q171" s="747"/>
      <c r="R171" s="773"/>
    </row>
    <row r="172" spans="1:21" hidden="1">
      <c r="A172" s="748" t="s">
        <v>2880</v>
      </c>
      <c r="B172" s="758" t="s">
        <v>3005</v>
      </c>
      <c r="C172" s="758" t="s">
        <v>2800</v>
      </c>
      <c r="D172" s="758"/>
      <c r="E172" s="747" t="s">
        <v>93</v>
      </c>
      <c r="F172" s="747" t="s">
        <v>3119</v>
      </c>
      <c r="G172" s="747" t="s">
        <v>2814</v>
      </c>
      <c r="H172" s="747" t="s">
        <v>2991</v>
      </c>
      <c r="I172" s="747" t="str">
        <f>IFERROR(INDEX('[1]MARE MX'!$H:$H,MATCH("*"&amp;F172&amp;"*",'[1]MARE MX'!$F:$F,0)),"Sin dato")</f>
        <v>ENTERPRISE</v>
      </c>
      <c r="J172" s="763">
        <v>1156</v>
      </c>
      <c r="K172" s="764">
        <v>0.6</v>
      </c>
      <c r="L172" s="785"/>
      <c r="M172" s="785">
        <f t="shared" si="0"/>
        <v>693.6</v>
      </c>
      <c r="N172" s="747"/>
      <c r="O172" s="755" t="s">
        <v>3121</v>
      </c>
      <c r="P172" s="747" t="s">
        <v>3008</v>
      </c>
      <c r="Q172" s="747"/>
      <c r="R172" s="773"/>
    </row>
    <row r="173" spans="1:21" hidden="1">
      <c r="A173" s="748" t="s">
        <v>2880</v>
      </c>
      <c r="B173" s="758" t="s">
        <v>3005</v>
      </c>
      <c r="C173" s="758" t="s">
        <v>2800</v>
      </c>
      <c r="D173" s="758"/>
      <c r="E173" s="747" t="s">
        <v>93</v>
      </c>
      <c r="F173" s="747" t="s">
        <v>2972</v>
      </c>
      <c r="G173" s="747" t="s">
        <v>2814</v>
      </c>
      <c r="H173" s="747" t="s">
        <v>2991</v>
      </c>
      <c r="I173" s="747" t="str">
        <f>IFERROR(INDEX('[1]MARE MX'!$H:$H,MATCH("*"&amp;F173&amp;"*",'[1]MARE MX'!$F:$F,0)),"Sin dato")</f>
        <v>ENTERPRISE</v>
      </c>
      <c r="J173" s="763">
        <v>912</v>
      </c>
      <c r="K173" s="764">
        <v>10</v>
      </c>
      <c r="L173" s="785">
        <f>K173*J173</f>
        <v>9120</v>
      </c>
      <c r="M173" s="785">
        <f>L173/$C$3</f>
        <v>521.14285714285711</v>
      </c>
      <c r="N173" s="747"/>
      <c r="O173" s="754" t="s">
        <v>3122</v>
      </c>
      <c r="P173" s="747" t="s">
        <v>3008</v>
      </c>
      <c r="Q173" s="747"/>
      <c r="R173" s="773"/>
    </row>
    <row r="174" spans="1:21" hidden="1">
      <c r="A174" s="748" t="s">
        <v>2880</v>
      </c>
      <c r="B174" s="758" t="s">
        <v>3005</v>
      </c>
      <c r="C174" s="758" t="s">
        <v>2800</v>
      </c>
      <c r="D174" s="758"/>
      <c r="E174" s="747" t="s">
        <v>93</v>
      </c>
      <c r="F174" s="747" t="s">
        <v>2972</v>
      </c>
      <c r="G174" s="747" t="s">
        <v>2814</v>
      </c>
      <c r="H174" s="747" t="s">
        <v>2904</v>
      </c>
      <c r="I174" s="747" t="str">
        <f>IFERROR(INDEX('[1]MARE MX'!$H:$H,MATCH("*"&amp;F174&amp;"*",'[1]MARE MX'!$F:$F,0)),"Sin dato")</f>
        <v>ENTERPRISE</v>
      </c>
      <c r="J174" s="763">
        <v>912</v>
      </c>
      <c r="K174" s="764">
        <v>6</v>
      </c>
      <c r="L174" s="785">
        <f>K174*J174</f>
        <v>5472</v>
      </c>
      <c r="M174" s="785">
        <f>L174/$C$3</f>
        <v>312.68571428571431</v>
      </c>
      <c r="N174" s="747"/>
      <c r="O174" s="755" t="s">
        <v>3123</v>
      </c>
      <c r="P174" s="747" t="s">
        <v>3008</v>
      </c>
      <c r="Q174" s="747"/>
      <c r="R174" s="773"/>
    </row>
    <row r="175" spans="1:21" s="222" customFormat="1" hidden="1">
      <c r="A175" s="748" t="s">
        <v>2880</v>
      </c>
      <c r="B175" s="758" t="s">
        <v>3005</v>
      </c>
      <c r="C175" s="758" t="s">
        <v>2800</v>
      </c>
      <c r="D175" s="758"/>
      <c r="E175" s="747" t="s">
        <v>93</v>
      </c>
      <c r="F175" s="747" t="s">
        <v>2972</v>
      </c>
      <c r="G175" s="747" t="s">
        <v>2814</v>
      </c>
      <c r="H175" s="747" t="s">
        <v>45</v>
      </c>
      <c r="I175" s="747" t="str">
        <f>IFERROR(INDEX('[1]MARE MX'!$H:$H,MATCH("*"&amp;F175&amp;"*",'[1]MARE MX'!$F:$F,0)),"Sin dato")</f>
        <v>ENTERPRISE</v>
      </c>
      <c r="J175" s="763">
        <v>912</v>
      </c>
      <c r="K175" s="764">
        <v>10</v>
      </c>
      <c r="L175" s="785">
        <f>K175*J175</f>
        <v>9120</v>
      </c>
      <c r="M175" s="785">
        <f>L175/$C$3</f>
        <v>521.14285714285711</v>
      </c>
      <c r="N175" s="747"/>
      <c r="O175" s="755" t="s">
        <v>3123</v>
      </c>
      <c r="P175" s="747" t="s">
        <v>3008</v>
      </c>
      <c r="Q175" s="747"/>
      <c r="R175" s="773"/>
      <c r="S175"/>
      <c r="T175"/>
      <c r="U175"/>
    </row>
    <row r="176" spans="1:21" s="222" customFormat="1" hidden="1">
      <c r="A176" s="748" t="s">
        <v>2880</v>
      </c>
      <c r="B176" s="758" t="s">
        <v>3005</v>
      </c>
      <c r="C176" s="758" t="s">
        <v>2800</v>
      </c>
      <c r="D176" s="758"/>
      <c r="E176" s="747" t="s">
        <v>93</v>
      </c>
      <c r="F176" s="747" t="s">
        <v>28</v>
      </c>
      <c r="G176" s="747" t="s">
        <v>2814</v>
      </c>
      <c r="H176" s="747" t="s">
        <v>49</v>
      </c>
      <c r="I176" s="747" t="str">
        <f>IFERROR(INDEX('[1]MARE MX'!$H:$H,MATCH("*"&amp;F176&amp;"*",'[1]MARE MX'!$F:$F,0)),"Sin dato")</f>
        <v>ENTERPRISE</v>
      </c>
      <c r="J176" s="763">
        <v>1569</v>
      </c>
      <c r="K176" s="764">
        <v>4</v>
      </c>
      <c r="L176" s="785">
        <f>K176*J176</f>
        <v>6276</v>
      </c>
      <c r="M176" s="785">
        <f>L176/$C$3</f>
        <v>358.62857142857143</v>
      </c>
      <c r="N176" s="747"/>
      <c r="O176" s="754"/>
      <c r="P176" s="747"/>
      <c r="Q176" s="747"/>
      <c r="R176" s="773"/>
      <c r="S176"/>
      <c r="T176"/>
      <c r="U176"/>
    </row>
    <row r="177" spans="1:21" hidden="1">
      <c r="A177" s="748" t="s">
        <v>2880</v>
      </c>
      <c r="B177" s="758" t="s">
        <v>3005</v>
      </c>
      <c r="C177" s="758" t="s">
        <v>2800</v>
      </c>
      <c r="D177" s="758"/>
      <c r="E177" s="747" t="s">
        <v>93</v>
      </c>
      <c r="F177" s="747" t="s">
        <v>28</v>
      </c>
      <c r="G177" s="747" t="s">
        <v>2814</v>
      </c>
      <c r="H177" s="747" t="s">
        <v>50</v>
      </c>
      <c r="I177" s="747" t="str">
        <f>IFERROR(INDEX('[1]MARE MX'!$H:$H,MATCH("*"&amp;F177&amp;"*",'[1]MARE MX'!$F:$F,0)),"Sin dato")</f>
        <v>ENTERPRISE</v>
      </c>
      <c r="J177" s="763">
        <v>1580</v>
      </c>
      <c r="K177" s="764">
        <v>4</v>
      </c>
      <c r="L177" s="785">
        <f>K177*J177</f>
        <v>6320</v>
      </c>
      <c r="M177" s="785">
        <f>L177/$C$3</f>
        <v>361.14285714285717</v>
      </c>
      <c r="N177" s="747"/>
      <c r="O177" s="754" t="s">
        <v>3124</v>
      </c>
      <c r="P177" s="747"/>
      <c r="Q177" s="747"/>
      <c r="R177" s="773"/>
    </row>
    <row r="178" spans="1:21" s="222" customFormat="1" hidden="1">
      <c r="A178" s="748" t="s">
        <v>2880</v>
      </c>
      <c r="B178" s="758" t="s">
        <v>3005</v>
      </c>
      <c r="C178" s="758" t="s">
        <v>2800</v>
      </c>
      <c r="D178" s="758"/>
      <c r="E178" s="747" t="s">
        <v>93</v>
      </c>
      <c r="F178" s="747" t="s">
        <v>28</v>
      </c>
      <c r="G178" s="747" t="s">
        <v>2814</v>
      </c>
      <c r="H178" s="747" t="s">
        <v>3125</v>
      </c>
      <c r="I178" s="747" t="str">
        <f>IFERROR(INDEX('[1]MARE MX'!$H:$H,MATCH("*"&amp;F178&amp;"*",'[1]MARE MX'!$F:$F,0)),"Sin dato")</f>
        <v>ENTERPRISE</v>
      </c>
      <c r="J178" s="763">
        <v>1580</v>
      </c>
      <c r="K178" s="764">
        <v>10</v>
      </c>
      <c r="L178" s="785">
        <f>K178*J178</f>
        <v>15800</v>
      </c>
      <c r="M178" s="785">
        <f>L178/$C$3</f>
        <v>902.85714285714289</v>
      </c>
      <c r="N178" s="747"/>
      <c r="O178" s="754"/>
      <c r="P178" s="747"/>
      <c r="Q178" s="747"/>
      <c r="R178" s="773"/>
      <c r="S178"/>
      <c r="T178"/>
      <c r="U178"/>
    </row>
    <row r="179" spans="1:21" hidden="1">
      <c r="A179" s="748" t="s">
        <v>2880</v>
      </c>
      <c r="B179" s="758" t="s">
        <v>3005</v>
      </c>
      <c r="C179" s="758" t="s">
        <v>2800</v>
      </c>
      <c r="D179" s="758"/>
      <c r="E179" s="747" t="s">
        <v>93</v>
      </c>
      <c r="F179" s="747" t="s">
        <v>28</v>
      </c>
      <c r="G179" s="747" t="s">
        <v>2814</v>
      </c>
      <c r="H179" s="747" t="s">
        <v>3059</v>
      </c>
      <c r="I179" s="747" t="str">
        <f>IFERROR(INDEX('[1]MARE MX'!$H:$H,MATCH("*"&amp;F179&amp;"*",'[1]MARE MX'!$F:$F,0)),"Sin dato")</f>
        <v>ENTERPRISE</v>
      </c>
      <c r="J179" s="763">
        <v>1580</v>
      </c>
      <c r="K179" s="764">
        <v>7</v>
      </c>
      <c r="L179" s="785">
        <f>K179*J179</f>
        <v>11060</v>
      </c>
      <c r="M179" s="785">
        <f>L179/$C$3</f>
        <v>632</v>
      </c>
      <c r="N179" s="747"/>
      <c r="O179" s="754"/>
      <c r="P179" s="747"/>
      <c r="Q179" s="747"/>
      <c r="R179" s="773"/>
    </row>
    <row r="180" spans="1:21" hidden="1">
      <c r="A180" s="807" t="s">
        <v>2880</v>
      </c>
      <c r="B180" s="758" t="s">
        <v>3005</v>
      </c>
      <c r="C180" s="758" t="s">
        <v>2800</v>
      </c>
      <c r="D180" s="808"/>
      <c r="E180" s="747" t="s">
        <v>93</v>
      </c>
      <c r="F180" s="809" t="s">
        <v>28</v>
      </c>
      <c r="G180" s="809" t="s">
        <v>2814</v>
      </c>
      <c r="H180" s="809" t="s">
        <v>2904</v>
      </c>
      <c r="I180" s="809" t="str">
        <f>IFERROR(INDEX('[1]MARE MX'!$H:$H,MATCH("*"&amp;F180&amp;"*",'[1]MARE MX'!$F:$F,0)),"Sin dato")</f>
        <v>ENTERPRISE</v>
      </c>
      <c r="J180" s="810">
        <v>1580</v>
      </c>
      <c r="K180" s="811">
        <v>4</v>
      </c>
      <c r="L180" s="785">
        <f>K180*J180</f>
        <v>6320</v>
      </c>
      <c r="M180" s="785">
        <f>L180/$C$3</f>
        <v>361.14285714285717</v>
      </c>
      <c r="N180" s="809"/>
      <c r="O180" s="815"/>
      <c r="P180" s="809"/>
      <c r="Q180" s="809"/>
      <c r="R180" s="817"/>
    </row>
    <row r="181" spans="1:21" hidden="1">
      <c r="A181" s="748" t="s">
        <v>2880</v>
      </c>
      <c r="B181" s="758" t="s">
        <v>3005</v>
      </c>
      <c r="C181" s="758" t="s">
        <v>2800</v>
      </c>
      <c r="D181" s="758"/>
      <c r="E181" s="747" t="s">
        <v>93</v>
      </c>
      <c r="F181" s="747" t="s">
        <v>28</v>
      </c>
      <c r="G181" s="747" t="s">
        <v>2814</v>
      </c>
      <c r="H181" s="747" t="s">
        <v>3126</v>
      </c>
      <c r="I181" s="747" t="str">
        <f>IFERROR(INDEX('[1]MARE MX'!$H:$H,MATCH("*"&amp;F181&amp;"*",'[1]MARE MX'!$F:$F,0)),"Sin dato")</f>
        <v>ENTERPRISE</v>
      </c>
      <c r="J181" s="763">
        <v>1580</v>
      </c>
      <c r="K181" s="764"/>
      <c r="L181" s="785">
        <f>K181*J181</f>
        <v>0</v>
      </c>
      <c r="M181" s="785">
        <f>L181/$C$3</f>
        <v>0</v>
      </c>
      <c r="N181" s="747"/>
      <c r="O181" s="754"/>
      <c r="P181" s="747"/>
      <c r="Q181" s="747"/>
      <c r="R181" s="773"/>
    </row>
    <row r="182" spans="1:21" hidden="1">
      <c r="A182" s="748" t="s">
        <v>2880</v>
      </c>
      <c r="B182" s="758" t="s">
        <v>3005</v>
      </c>
      <c r="C182" s="758" t="s">
        <v>2800</v>
      </c>
      <c r="D182" s="758"/>
      <c r="E182" s="747" t="s">
        <v>93</v>
      </c>
      <c r="F182" s="747" t="s">
        <v>3127</v>
      </c>
      <c r="G182" s="747" t="s">
        <v>2814</v>
      </c>
      <c r="H182" s="747" t="s">
        <v>3059</v>
      </c>
      <c r="I182" s="747" t="str">
        <f>IFERROR(INDEX('[1]MARE MX'!$H:$H,MATCH("*"&amp;F182&amp;"*",'[1]MARE MX'!$F:$F,0)),"Sin dato")</f>
        <v>Sin dato</v>
      </c>
      <c r="J182" s="763">
        <v>1164</v>
      </c>
      <c r="K182" s="764">
        <v>4</v>
      </c>
      <c r="L182" s="785">
        <f>K182*J182</f>
        <v>4656</v>
      </c>
      <c r="M182" s="785">
        <f>L182/$C$3</f>
        <v>266.05714285714288</v>
      </c>
      <c r="N182" s="747"/>
      <c r="O182" s="754" t="s">
        <v>3128</v>
      </c>
      <c r="P182" s="747"/>
      <c r="Q182" s="747"/>
      <c r="R182" s="773"/>
    </row>
    <row r="183" spans="1:21" s="220" customFormat="1" hidden="1">
      <c r="A183" s="748" t="s">
        <v>2880</v>
      </c>
      <c r="B183" s="758" t="s">
        <v>3005</v>
      </c>
      <c r="C183" s="758" t="s">
        <v>2800</v>
      </c>
      <c r="D183" s="758"/>
      <c r="E183" s="747" t="s">
        <v>93</v>
      </c>
      <c r="F183" s="747" t="s">
        <v>3127</v>
      </c>
      <c r="G183" s="747" t="s">
        <v>2814</v>
      </c>
      <c r="H183" s="747" t="s">
        <v>49</v>
      </c>
      <c r="I183" s="747" t="str">
        <f>IFERROR(INDEX('[1]MARE MX'!$H:$H,MATCH("*"&amp;F183&amp;"*",'[1]MARE MX'!$F:$F,0)),"Sin dato")</f>
        <v>Sin dato</v>
      </c>
      <c r="J183" s="763">
        <v>1164</v>
      </c>
      <c r="K183" s="764">
        <v>6</v>
      </c>
      <c r="L183" s="785">
        <f>K183*J183</f>
        <v>6984</v>
      </c>
      <c r="M183" s="785">
        <f>L183/$C$3</f>
        <v>399.08571428571429</v>
      </c>
      <c r="N183" s="747"/>
      <c r="O183" s="754"/>
      <c r="P183" s="747"/>
      <c r="Q183" s="747"/>
      <c r="R183" s="773"/>
      <c r="S183"/>
      <c r="T183"/>
      <c r="U183"/>
    </row>
    <row r="184" spans="1:21" s="220" customFormat="1" hidden="1">
      <c r="A184" s="747"/>
      <c r="B184" s="758" t="s">
        <v>3005</v>
      </c>
      <c r="C184" s="758" t="s">
        <v>2800</v>
      </c>
      <c r="D184" s="758"/>
      <c r="E184" s="747" t="s">
        <v>93</v>
      </c>
      <c r="F184" s="747" t="s">
        <v>3129</v>
      </c>
      <c r="G184" s="747" t="s">
        <v>2814</v>
      </c>
      <c r="H184" s="747" t="s">
        <v>45</v>
      </c>
      <c r="I184" s="747" t="str">
        <f>IFERROR(INDEX('[1]MARE MX'!$H:$H,MATCH("*"&amp;F184&amp;"*",'[1]MARE MX'!$F:$F,0)),"Sin dato")</f>
        <v>ENTERPRISE</v>
      </c>
      <c r="J184" s="763"/>
      <c r="K184" s="764"/>
      <c r="L184" s="785">
        <f>K184*J184</f>
        <v>0</v>
      </c>
      <c r="M184" s="785">
        <f>L184/$C$3</f>
        <v>0</v>
      </c>
      <c r="N184" s="747"/>
      <c r="O184" s="754"/>
      <c r="P184" s="747"/>
      <c r="Q184" s="747"/>
      <c r="R184" s="773"/>
      <c r="S184"/>
      <c r="T184"/>
      <c r="U184"/>
    </row>
    <row r="185" spans="1:21" s="218" customFormat="1" hidden="1">
      <c r="A185" s="747"/>
      <c r="B185" s="758" t="s">
        <v>3005</v>
      </c>
      <c r="C185" s="758" t="s">
        <v>2800</v>
      </c>
      <c r="D185" s="758"/>
      <c r="E185" s="747" t="s">
        <v>93</v>
      </c>
      <c r="F185" s="747" t="s">
        <v>3129</v>
      </c>
      <c r="G185" s="747" t="s">
        <v>2814</v>
      </c>
      <c r="H185" s="747" t="s">
        <v>2904</v>
      </c>
      <c r="I185" s="747" t="str">
        <f>IFERROR(INDEX('[1]MARE MX'!$H:$H,MATCH("*"&amp;F185&amp;"*",'[1]MARE MX'!$F:$F,0)),"Sin dato")</f>
        <v>ENTERPRISE</v>
      </c>
      <c r="J185" s="763"/>
      <c r="K185" s="764"/>
      <c r="L185" s="785">
        <f>K185*J185</f>
        <v>0</v>
      </c>
      <c r="M185" s="785">
        <f>L185/$C$3</f>
        <v>0</v>
      </c>
      <c r="N185" s="747"/>
      <c r="O185" s="754"/>
      <c r="P185" s="747"/>
      <c r="Q185" s="747"/>
      <c r="R185" s="773"/>
      <c r="S185"/>
      <c r="T185"/>
      <c r="U185"/>
    </row>
    <row r="186" spans="1:21" s="218" customFormat="1" hidden="1">
      <c r="A186" s="747"/>
      <c r="B186" s="758" t="s">
        <v>3005</v>
      </c>
      <c r="C186" s="758" t="s">
        <v>2800</v>
      </c>
      <c r="D186" s="758"/>
      <c r="E186" s="747" t="s">
        <v>93</v>
      </c>
      <c r="F186" s="747" t="s">
        <v>3129</v>
      </c>
      <c r="G186" s="747" t="s">
        <v>2814</v>
      </c>
      <c r="H186" s="747" t="s">
        <v>2991</v>
      </c>
      <c r="I186" s="747" t="str">
        <f>IFERROR(INDEX('[1]MARE MX'!$H:$H,MATCH("*"&amp;F186&amp;"*",'[1]MARE MX'!$F:$F,0)),"Sin dato")</f>
        <v>ENTERPRISE</v>
      </c>
      <c r="J186" s="763"/>
      <c r="K186" s="764"/>
      <c r="L186" s="785">
        <f>K186*J186</f>
        <v>0</v>
      </c>
      <c r="M186" s="785">
        <f>L186/$C$3</f>
        <v>0</v>
      </c>
      <c r="N186" s="747"/>
      <c r="O186" s="754"/>
      <c r="P186" s="747"/>
      <c r="Q186" s="747"/>
      <c r="R186" s="773"/>
      <c r="S186"/>
      <c r="T186"/>
      <c r="U186"/>
    </row>
    <row r="187" spans="1:21" s="218" customFormat="1" hidden="1">
      <c r="A187" s="748" t="s">
        <v>2880</v>
      </c>
      <c r="B187" s="758" t="s">
        <v>3005</v>
      </c>
      <c r="C187" s="758" t="s">
        <v>2800</v>
      </c>
      <c r="D187" s="758"/>
      <c r="E187" s="747" t="s">
        <v>93</v>
      </c>
      <c r="F187" s="747" t="s">
        <v>3130</v>
      </c>
      <c r="G187" s="747" t="s">
        <v>2814</v>
      </c>
      <c r="H187" s="747" t="s">
        <v>45</v>
      </c>
      <c r="I187" s="747" t="str">
        <f>IFERROR(INDEX('[1]MARE MX'!$H:$H,MATCH("*"&amp;F187&amp;"*",'[1]MARE MX'!$F:$F,0)),"Sin dato")</f>
        <v>ENTERPRISE</v>
      </c>
      <c r="J187" s="763">
        <v>951</v>
      </c>
      <c r="K187" s="764">
        <v>6</v>
      </c>
      <c r="L187" s="785">
        <f>K187*J187</f>
        <v>5706</v>
      </c>
      <c r="M187" s="785">
        <f>L187/$C$3</f>
        <v>326.05714285714288</v>
      </c>
      <c r="N187" s="747"/>
      <c r="O187" s="754"/>
      <c r="P187" s="747"/>
      <c r="Q187" s="747"/>
      <c r="R187" s="773"/>
      <c r="S187"/>
      <c r="T187"/>
      <c r="U187"/>
    </row>
    <row r="188" spans="1:21" s="218" customFormat="1" hidden="1">
      <c r="A188" s="748" t="s">
        <v>2880</v>
      </c>
      <c r="B188" s="758" t="s">
        <v>3005</v>
      </c>
      <c r="C188" s="758" t="s">
        <v>2800</v>
      </c>
      <c r="D188" s="758"/>
      <c r="E188" s="747" t="s">
        <v>93</v>
      </c>
      <c r="F188" s="747" t="s">
        <v>3127</v>
      </c>
      <c r="G188" s="747" t="s">
        <v>2814</v>
      </c>
      <c r="H188" s="747" t="s">
        <v>50</v>
      </c>
      <c r="I188" s="747" t="str">
        <f>IFERROR(INDEX('[1]MARE MX'!$H:$H,MATCH("*"&amp;F188&amp;"*",'[1]MARE MX'!$F:$F,0)),"Sin dato")</f>
        <v>Sin dato</v>
      </c>
      <c r="J188" s="763">
        <v>1164</v>
      </c>
      <c r="K188" s="764">
        <v>8</v>
      </c>
      <c r="L188" s="785">
        <f>K188*J188</f>
        <v>9312</v>
      </c>
      <c r="M188" s="785">
        <f>L188/$C$3</f>
        <v>532.11428571428576</v>
      </c>
      <c r="N188" s="747"/>
      <c r="O188" s="754" t="s">
        <v>3131</v>
      </c>
      <c r="P188" s="747"/>
      <c r="Q188" s="747"/>
      <c r="R188" s="773"/>
      <c r="S188"/>
      <c r="T188"/>
      <c r="U188"/>
    </row>
    <row r="189" spans="1:21" s="221" customFormat="1" hidden="1">
      <c r="A189" s="747"/>
      <c r="B189" s="758" t="s">
        <v>3005</v>
      </c>
      <c r="C189" s="758" t="s">
        <v>2800</v>
      </c>
      <c r="D189" s="758"/>
      <c r="E189" s="747" t="s">
        <v>93</v>
      </c>
      <c r="F189" s="747" t="s">
        <v>3132</v>
      </c>
      <c r="G189" s="747" t="s">
        <v>2814</v>
      </c>
      <c r="H189" s="747" t="s">
        <v>50</v>
      </c>
      <c r="I189" s="747" t="str">
        <f>IFERROR(INDEX('[1]MARE MX'!$H:$H,MATCH("*"&amp;F189&amp;"*",'[1]MARE MX'!$F:$F,0)),"Sin dato")</f>
        <v>Sin dato</v>
      </c>
      <c r="J189" s="763"/>
      <c r="K189" s="764"/>
      <c r="L189" s="785">
        <f>K189*J189</f>
        <v>0</v>
      </c>
      <c r="M189" s="785">
        <f>L189/$C$3</f>
        <v>0</v>
      </c>
      <c r="N189" s="747"/>
      <c r="O189" s="754" t="s">
        <v>3131</v>
      </c>
      <c r="P189" s="747"/>
      <c r="Q189" s="747"/>
      <c r="R189" s="773"/>
      <c r="S189"/>
      <c r="T189"/>
      <c r="U189"/>
    </row>
    <row r="190" spans="1:21" s="273" customFormat="1" hidden="1">
      <c r="A190" s="747"/>
      <c r="B190" s="758" t="s">
        <v>3005</v>
      </c>
      <c r="C190" s="758" t="s">
        <v>2800</v>
      </c>
      <c r="D190" s="758"/>
      <c r="E190" s="747" t="s">
        <v>93</v>
      </c>
      <c r="F190" s="747" t="s">
        <v>3129</v>
      </c>
      <c r="G190" s="747" t="s">
        <v>2814</v>
      </c>
      <c r="H190" s="747" t="s">
        <v>50</v>
      </c>
      <c r="I190" s="747" t="str">
        <f>IFERROR(INDEX('[1]MARE MX'!$H:$H,MATCH("*"&amp;F190&amp;"*",'[1]MARE MX'!$F:$F,0)),"Sin dato")</f>
        <v>ENTERPRISE</v>
      </c>
      <c r="J190" s="763"/>
      <c r="K190" s="764"/>
      <c r="L190" s="785">
        <f>K190*J190</f>
        <v>0</v>
      </c>
      <c r="M190" s="785">
        <f>L190/$C$3</f>
        <v>0</v>
      </c>
      <c r="N190" s="747"/>
      <c r="O190" s="754" t="s">
        <v>3131</v>
      </c>
      <c r="P190" s="747"/>
      <c r="Q190" s="747"/>
      <c r="R190" s="773"/>
      <c r="S190"/>
      <c r="T190"/>
      <c r="U190"/>
    </row>
    <row r="191" spans="1:21" s="272" customFormat="1" hidden="1">
      <c r="A191" s="748" t="s">
        <v>2880</v>
      </c>
      <c r="B191" s="758" t="s">
        <v>3005</v>
      </c>
      <c r="C191" s="758" t="s">
        <v>2800</v>
      </c>
      <c r="D191" s="758"/>
      <c r="E191" s="747" t="s">
        <v>93</v>
      </c>
      <c r="F191" s="747" t="s">
        <v>3058</v>
      </c>
      <c r="G191" s="747" t="s">
        <v>2814</v>
      </c>
      <c r="H191" s="747" t="s">
        <v>2991</v>
      </c>
      <c r="I191" s="747" t="str">
        <f>IFERROR(INDEX('[1]MARE MX'!$H:$H,MATCH("*"&amp;F191&amp;"*",'[1]MARE MX'!$F:$F,0)),"Sin dato")</f>
        <v>Sin dato</v>
      </c>
      <c r="J191" s="763">
        <v>1420</v>
      </c>
      <c r="K191" s="764">
        <v>8</v>
      </c>
      <c r="L191" s="785">
        <f>K191*J191</f>
        <v>11360</v>
      </c>
      <c r="M191" s="785">
        <f>L191/$C$3</f>
        <v>649.14285714285711</v>
      </c>
      <c r="N191" s="747"/>
      <c r="O191" s="754" t="s">
        <v>3133</v>
      </c>
      <c r="P191" s="747"/>
      <c r="Q191" s="747"/>
      <c r="R191" s="773"/>
      <c r="S191"/>
      <c r="T191"/>
      <c r="U191"/>
    </row>
    <row r="192" spans="1:21" s="217" customFormat="1" hidden="1">
      <c r="A192" s="748" t="s">
        <v>2880</v>
      </c>
      <c r="B192" s="758" t="s">
        <v>3005</v>
      </c>
      <c r="C192" s="758" t="s">
        <v>2800</v>
      </c>
      <c r="D192" s="758"/>
      <c r="E192" s="747" t="s">
        <v>93</v>
      </c>
      <c r="F192" s="747" t="s">
        <v>3114</v>
      </c>
      <c r="G192" s="747" t="s">
        <v>2814</v>
      </c>
      <c r="H192" s="747" t="s">
        <v>3134</v>
      </c>
      <c r="I192" s="747" t="str">
        <f>IFERROR(INDEX('[1]MARE MX'!$H:$H,MATCH("*"&amp;F192&amp;"*",'[1]MARE MX'!$F:$F,0)),"Sin dato")</f>
        <v>ENTERPRISE</v>
      </c>
      <c r="J192" s="763">
        <v>3000</v>
      </c>
      <c r="K192" s="764">
        <v>2</v>
      </c>
      <c r="L192" s="785">
        <f>K192*J192</f>
        <v>6000</v>
      </c>
      <c r="M192" s="785">
        <f>L192/$D$3</f>
        <v>333.33333333333331</v>
      </c>
      <c r="N192" s="747"/>
      <c r="O192" s="755" t="s">
        <v>3135</v>
      </c>
      <c r="P192" s="747"/>
      <c r="Q192" s="747"/>
      <c r="R192" s="773"/>
      <c r="S192"/>
      <c r="T192"/>
      <c r="U192"/>
    </row>
    <row r="193" spans="1:21" s="221" customFormat="1" ht="29.25" hidden="1">
      <c r="A193" s="748" t="s">
        <v>2880</v>
      </c>
      <c r="B193" s="758"/>
      <c r="C193" s="758" t="s">
        <v>2800</v>
      </c>
      <c r="D193" s="758"/>
      <c r="E193" s="747" t="s">
        <v>93</v>
      </c>
      <c r="F193" s="747" t="s">
        <v>28</v>
      </c>
      <c r="G193" s="747" t="s">
        <v>2814</v>
      </c>
      <c r="H193" s="747" t="s">
        <v>2904</v>
      </c>
      <c r="I193" s="747" t="str">
        <f>IFERROR(INDEX('[1]MARE MX'!$H:$H,MATCH("*"&amp;F193&amp;"*",'[1]MARE MX'!$F:$F,0)),"Sin dato")</f>
        <v>ENTERPRISE</v>
      </c>
      <c r="J193" s="763">
        <v>1569</v>
      </c>
      <c r="K193" s="764">
        <v>4</v>
      </c>
      <c r="L193" s="785">
        <f>K193*J193</f>
        <v>6276</v>
      </c>
      <c r="M193" s="785">
        <f>L193/$C$3</f>
        <v>358.62857142857143</v>
      </c>
      <c r="N193" s="747"/>
      <c r="O193" s="754" t="s">
        <v>3136</v>
      </c>
      <c r="P193" s="747"/>
      <c r="Q193" s="747"/>
      <c r="R193" s="773"/>
      <c r="S193"/>
      <c r="T193"/>
      <c r="U193"/>
    </row>
    <row r="194" spans="1:21" s="217" customFormat="1">
      <c r="A194" s="748" t="s">
        <v>2880</v>
      </c>
      <c r="B194" s="758" t="s">
        <v>2921</v>
      </c>
      <c r="C194" s="758" t="s">
        <v>2800</v>
      </c>
      <c r="D194" s="758"/>
      <c r="E194" s="747" t="s">
        <v>439</v>
      </c>
      <c r="F194" s="747" t="s">
        <v>3137</v>
      </c>
      <c r="G194" s="747" t="s">
        <v>2814</v>
      </c>
      <c r="H194" s="747" t="s">
        <v>45</v>
      </c>
      <c r="I194" s="747" t="str">
        <f>IFERROR(INDEX('[1]MARE MX'!$H:$H,MATCH("*"&amp;F194&amp;"*",'[1]MARE MX'!$F:$F,0)),"Sin dato")</f>
        <v>SMB</v>
      </c>
      <c r="J194" s="763">
        <v>64</v>
      </c>
      <c r="K194" s="764">
        <v>8</v>
      </c>
      <c r="L194" s="787">
        <f>K194*J194</f>
        <v>512</v>
      </c>
      <c r="M194" s="787">
        <f>L194/$C$3</f>
        <v>29.257142857142856</v>
      </c>
      <c r="N194" s="747"/>
      <c r="O194" s="754" t="s">
        <v>3138</v>
      </c>
      <c r="P194" s="747"/>
      <c r="Q194" s="747"/>
      <c r="R194" s="773"/>
      <c r="S194"/>
      <c r="T194"/>
      <c r="U194"/>
    </row>
    <row r="195" spans="1:21" s="217" customFormat="1" ht="29.25">
      <c r="A195" s="748" t="s">
        <v>2880</v>
      </c>
      <c r="B195" s="758" t="s">
        <v>3005</v>
      </c>
      <c r="C195" s="758" t="s">
        <v>2800</v>
      </c>
      <c r="D195" s="758"/>
      <c r="E195" s="747" t="s">
        <v>439</v>
      </c>
      <c r="F195" s="747" t="s">
        <v>3139</v>
      </c>
      <c r="G195" s="747" t="s">
        <v>2814</v>
      </c>
      <c r="H195" s="747" t="s">
        <v>45</v>
      </c>
      <c r="I195" s="747" t="str">
        <f>IFERROR(INDEX('[1]MARE MX'!$H:$H,MATCH("*"&amp;F195&amp;"*",'[1]MARE MX'!$F:$F,0)),"Sin dato")</f>
        <v>SMB</v>
      </c>
      <c r="J195" s="763">
        <v>155</v>
      </c>
      <c r="K195" s="764">
        <v>0.6</v>
      </c>
      <c r="L195" s="787"/>
      <c r="M195" s="787">
        <f>L195/$D$3</f>
        <v>0</v>
      </c>
      <c r="N195" s="747"/>
      <c r="O195" s="754" t="s">
        <v>3140</v>
      </c>
      <c r="P195" s="747"/>
      <c r="Q195" s="747"/>
      <c r="R195" s="773"/>
      <c r="S195"/>
      <c r="T195"/>
      <c r="U195"/>
    </row>
    <row r="196" spans="1:21" s="217" customFormat="1">
      <c r="A196" s="748" t="s">
        <v>2880</v>
      </c>
      <c r="B196" s="758" t="s">
        <v>3005</v>
      </c>
      <c r="C196" s="758" t="s">
        <v>2800</v>
      </c>
      <c r="D196" s="758"/>
      <c r="E196" s="747" t="s">
        <v>439</v>
      </c>
      <c r="F196" s="747" t="s">
        <v>3141</v>
      </c>
      <c r="G196" s="747" t="s">
        <v>2814</v>
      </c>
      <c r="H196" s="747" t="s">
        <v>2904</v>
      </c>
      <c r="I196" s="747" t="str">
        <f>IFERROR(INDEX('[1]MARE MX'!$H:$H,MATCH("*"&amp;F196&amp;"*",'[1]MARE MX'!$F:$F,0)),"Sin dato")</f>
        <v>Sin dato</v>
      </c>
      <c r="J196" s="763">
        <v>5</v>
      </c>
      <c r="K196" s="764">
        <v>400</v>
      </c>
      <c r="L196" s="787">
        <v>400</v>
      </c>
      <c r="M196" s="787">
        <f>L196/$C$3</f>
        <v>22.857142857142858</v>
      </c>
      <c r="N196" s="747"/>
      <c r="O196" s="754"/>
      <c r="P196" s="747"/>
      <c r="Q196" s="747"/>
      <c r="R196" s="773"/>
      <c r="S196"/>
      <c r="T196"/>
      <c r="U196"/>
    </row>
    <row r="197" spans="1:21">
      <c r="A197" s="747" t="s">
        <v>3009</v>
      </c>
      <c r="B197" s="758" t="s">
        <v>3005</v>
      </c>
      <c r="C197" s="758" t="s">
        <v>2800</v>
      </c>
      <c r="D197" s="758"/>
      <c r="E197" s="747" t="s">
        <v>439</v>
      </c>
      <c r="F197" s="747" t="s">
        <v>3142</v>
      </c>
      <c r="G197" s="747" t="s">
        <v>2814</v>
      </c>
      <c r="H197" s="747" t="s">
        <v>45</v>
      </c>
      <c r="I197" s="747" t="str">
        <f>IFERROR(INDEX('[1]MARE MX'!$H:$H,MATCH("*"&amp;F197&amp;"*",'[1]MARE MX'!$F:$F,0)),"Sin dato")</f>
        <v>ENTERPRISE</v>
      </c>
      <c r="J197" s="763"/>
      <c r="K197" s="764"/>
      <c r="L197" s="787">
        <f>K197*J197</f>
        <v>0</v>
      </c>
      <c r="M197" s="787">
        <f>L197/$C$3</f>
        <v>0</v>
      </c>
      <c r="N197" s="747"/>
      <c r="O197" s="754" t="s">
        <v>3143</v>
      </c>
      <c r="P197" s="747"/>
      <c r="Q197" s="747"/>
      <c r="R197" s="773"/>
    </row>
    <row r="198" spans="1:21" ht="29.25" hidden="1">
      <c r="A198" s="748" t="s">
        <v>2880</v>
      </c>
      <c r="B198" s="758" t="s">
        <v>3005</v>
      </c>
      <c r="C198" s="758" t="s">
        <v>2800</v>
      </c>
      <c r="D198" s="758"/>
      <c r="E198" s="747" t="s">
        <v>93</v>
      </c>
      <c r="F198" s="747" t="s">
        <v>2964</v>
      </c>
      <c r="G198" s="747" t="s">
        <v>2813</v>
      </c>
      <c r="H198" s="747" t="s">
        <v>2897</v>
      </c>
      <c r="I198" s="747" t="str">
        <f>IFERROR(INDEX('[1]MARE MX'!$H:$H,MATCH("*"&amp;F198&amp;"*",'[1]MARE MX'!$F:$F,0)),"Sin dato")</f>
        <v>ENTERPRISE</v>
      </c>
      <c r="J198" s="763">
        <v>5000</v>
      </c>
      <c r="K198" s="764">
        <v>13</v>
      </c>
      <c r="L198" s="764">
        <f>K198*J198</f>
        <v>65000</v>
      </c>
      <c r="M198" s="764">
        <f>L198/$C$3</f>
        <v>3714.2857142857142</v>
      </c>
      <c r="N198" s="747"/>
      <c r="O198" s="754" t="s">
        <v>3144</v>
      </c>
      <c r="P198" s="747"/>
      <c r="Q198" s="747"/>
      <c r="R198" s="773"/>
    </row>
    <row r="199" spans="1:21" hidden="1">
      <c r="A199" s="748" t="s">
        <v>2880</v>
      </c>
      <c r="B199" s="758" t="s">
        <v>3005</v>
      </c>
      <c r="C199" s="758" t="s">
        <v>2800</v>
      </c>
      <c r="D199" s="758"/>
      <c r="E199" s="747" t="s">
        <v>93</v>
      </c>
      <c r="F199" s="747" t="s">
        <v>2964</v>
      </c>
      <c r="G199" s="747" t="s">
        <v>2814</v>
      </c>
      <c r="H199" s="747" t="s">
        <v>45</v>
      </c>
      <c r="I199" s="747" t="str">
        <f>IFERROR(INDEX('[1]MARE MX'!$H:$H,MATCH("*"&amp;F199&amp;"*",'[1]MARE MX'!$F:$F,0)),"Sin dato")</f>
        <v>ENTERPRISE</v>
      </c>
      <c r="J199" s="763">
        <v>5000</v>
      </c>
      <c r="K199" s="764">
        <v>2</v>
      </c>
      <c r="L199" s="785">
        <f>K199*J199</f>
        <v>10000</v>
      </c>
      <c r="M199" s="785">
        <f>L199/$C$3</f>
        <v>571.42857142857144</v>
      </c>
      <c r="N199" s="747"/>
      <c r="O199" s="755" t="s">
        <v>3144</v>
      </c>
      <c r="P199" s="747"/>
      <c r="Q199" s="747"/>
      <c r="R199" s="773"/>
    </row>
    <row r="200" spans="1:21" hidden="1">
      <c r="A200" s="748" t="s">
        <v>2880</v>
      </c>
      <c r="B200" s="758"/>
      <c r="C200" s="758" t="s">
        <v>2800</v>
      </c>
      <c r="D200" s="758"/>
      <c r="E200" s="747" t="s">
        <v>93</v>
      </c>
      <c r="F200" s="747" t="s">
        <v>3145</v>
      </c>
      <c r="G200" s="747" t="s">
        <v>2814</v>
      </c>
      <c r="H200" s="747" t="s">
        <v>3146</v>
      </c>
      <c r="I200" s="747" t="str">
        <f>IFERROR(INDEX('[1]MARE MX'!$H:$H,MATCH("*"&amp;F200&amp;"*",'[1]MARE MX'!$F:$F,0)),"Sin dato")</f>
        <v>SMB</v>
      </c>
      <c r="J200" s="763">
        <v>75</v>
      </c>
      <c r="K200" s="764">
        <v>5</v>
      </c>
      <c r="L200" s="785">
        <f>K200*J200</f>
        <v>375</v>
      </c>
      <c r="M200" s="785">
        <f>L200/$C$3</f>
        <v>21.428571428571427</v>
      </c>
      <c r="N200" s="747"/>
      <c r="O200" s="754"/>
      <c r="P200" s="747"/>
      <c r="Q200" s="747"/>
      <c r="R200" s="773"/>
    </row>
    <row r="201" spans="1:21" hidden="1">
      <c r="A201" s="748" t="s">
        <v>2880</v>
      </c>
      <c r="B201" s="758"/>
      <c r="C201" s="758" t="s">
        <v>2800</v>
      </c>
      <c r="D201" s="758"/>
      <c r="E201" s="747" t="s">
        <v>93</v>
      </c>
      <c r="F201" s="747" t="s">
        <v>3145</v>
      </c>
      <c r="G201" s="747" t="s">
        <v>2814</v>
      </c>
      <c r="H201" s="747" t="s">
        <v>45</v>
      </c>
      <c r="I201" s="747" t="str">
        <f>IFERROR(INDEX('[1]MARE MX'!$H:$H,MATCH("*"&amp;F201&amp;"*",'[1]MARE MX'!$F:$F,0)),"Sin dato")</f>
        <v>SMB</v>
      </c>
      <c r="J201" s="763">
        <v>75</v>
      </c>
      <c r="K201" s="764">
        <v>10</v>
      </c>
      <c r="L201" s="785">
        <f>K201*J201</f>
        <v>750</v>
      </c>
      <c r="M201" s="785">
        <f>L201/$C$3</f>
        <v>42.857142857142854</v>
      </c>
      <c r="N201" s="747"/>
      <c r="O201" s="754"/>
      <c r="P201" s="747"/>
      <c r="Q201" s="747"/>
      <c r="R201" s="773"/>
    </row>
    <row r="202" spans="1:21" ht="29.25" hidden="1">
      <c r="A202" s="748" t="s">
        <v>2880</v>
      </c>
      <c r="B202" s="758"/>
      <c r="C202" s="758" t="s">
        <v>2800</v>
      </c>
      <c r="D202" s="758"/>
      <c r="E202" s="747" t="s">
        <v>93</v>
      </c>
      <c r="F202" s="747" t="s">
        <v>2966</v>
      </c>
      <c r="G202" s="747" t="s">
        <v>2814</v>
      </c>
      <c r="H202" s="747" t="s">
        <v>2887</v>
      </c>
      <c r="I202" s="747" t="str">
        <f>IFERROR(INDEX('[1]MARE MX'!$H:$H,MATCH("*"&amp;F202&amp;"*",'[1]MARE MX'!$F:$F,0)),"Sin dato")</f>
        <v>Sin dato</v>
      </c>
      <c r="J202" s="763">
        <v>1271</v>
      </c>
      <c r="K202" s="764">
        <v>0.33</v>
      </c>
      <c r="L202" s="785"/>
      <c r="M202" s="785">
        <f>L202/$D$3</f>
        <v>0</v>
      </c>
      <c r="N202" s="747"/>
      <c r="O202" s="754" t="s">
        <v>3147</v>
      </c>
      <c r="P202" s="747"/>
      <c r="Q202" s="747"/>
      <c r="R202" s="773" t="s">
        <v>3148</v>
      </c>
    </row>
    <row r="203" spans="1:21" hidden="1">
      <c r="A203" s="748" t="s">
        <v>2880</v>
      </c>
      <c r="B203" s="758" t="s">
        <v>3005</v>
      </c>
      <c r="C203" s="758" t="s">
        <v>2800</v>
      </c>
      <c r="D203" s="758"/>
      <c r="E203" s="747" t="s">
        <v>93</v>
      </c>
      <c r="F203" s="747" t="s">
        <v>3062</v>
      </c>
      <c r="G203" s="747" t="s">
        <v>2814</v>
      </c>
      <c r="H203" s="747" t="s">
        <v>47</v>
      </c>
      <c r="I203" s="747" t="str">
        <f>IFERROR(INDEX('[1]MARE MX'!$H:$H,MATCH("*"&amp;F203&amp;"*",'[1]MARE MX'!$F:$F,0)),"Sin dato")</f>
        <v>Enterprise</v>
      </c>
      <c r="J203" s="763">
        <v>2200</v>
      </c>
      <c r="K203" s="764">
        <v>8</v>
      </c>
      <c r="L203" s="785">
        <f>K203*J203</f>
        <v>17600</v>
      </c>
      <c r="M203" s="785">
        <f>L203/$C$3</f>
        <v>1005.7142857142857</v>
      </c>
      <c r="N203" s="747"/>
      <c r="O203" s="755" t="s">
        <v>3064</v>
      </c>
      <c r="P203" s="747" t="s">
        <v>3037</v>
      </c>
      <c r="Q203" s="747"/>
      <c r="R203" s="773"/>
    </row>
    <row r="204" spans="1:21" hidden="1">
      <c r="A204" s="748" t="s">
        <v>2880</v>
      </c>
      <c r="B204" s="758" t="s">
        <v>3005</v>
      </c>
      <c r="C204" s="758" t="s">
        <v>2800</v>
      </c>
      <c r="D204" s="758"/>
      <c r="E204" s="747" t="s">
        <v>93</v>
      </c>
      <c r="F204" s="747" t="s">
        <v>3149</v>
      </c>
      <c r="G204" s="747" t="s">
        <v>2814</v>
      </c>
      <c r="H204" s="747" t="s">
        <v>2885</v>
      </c>
      <c r="I204" s="747" t="str">
        <f>IFERROR(INDEX('[1]MARE MX'!$H:$H,MATCH("*"&amp;F204&amp;"*",'[1]MARE MX'!$F:$F,0)),"Sin dato")</f>
        <v>ENTERPRISE</v>
      </c>
      <c r="J204" s="763">
        <v>964</v>
      </c>
      <c r="K204" s="764">
        <v>6</v>
      </c>
      <c r="L204" s="785">
        <f>K204*J204</f>
        <v>5784</v>
      </c>
      <c r="M204" s="785">
        <f>L204/$C$3</f>
        <v>330.51428571428573</v>
      </c>
      <c r="N204" s="747"/>
      <c r="O204" s="755" t="s">
        <v>3150</v>
      </c>
      <c r="P204" s="747" t="s">
        <v>3008</v>
      </c>
      <c r="Q204" s="747"/>
      <c r="R204" s="773"/>
    </row>
    <row r="205" spans="1:21" ht="29.25" hidden="1">
      <c r="A205" s="748" t="s">
        <v>2880</v>
      </c>
      <c r="B205" s="758" t="s">
        <v>3005</v>
      </c>
      <c r="C205" s="758" t="s">
        <v>2800</v>
      </c>
      <c r="D205" s="758"/>
      <c r="E205" s="747" t="s">
        <v>93</v>
      </c>
      <c r="F205" s="747" t="s">
        <v>3149</v>
      </c>
      <c r="G205" s="747" t="s">
        <v>2814</v>
      </c>
      <c r="H205" s="747" t="s">
        <v>2991</v>
      </c>
      <c r="I205" s="747" t="str">
        <f>IFERROR(INDEX('[1]MARE MX'!$H:$H,MATCH("*"&amp;F205&amp;"*",'[1]MARE MX'!$F:$F,0)),"Sin dato")</f>
        <v>ENTERPRISE</v>
      </c>
      <c r="J205" s="763">
        <v>964</v>
      </c>
      <c r="K205" s="764">
        <v>8</v>
      </c>
      <c r="L205" s="785">
        <f>K205*J205</f>
        <v>7712</v>
      </c>
      <c r="M205" s="785">
        <f>L205/$C$3</f>
        <v>440.68571428571431</v>
      </c>
      <c r="N205" s="747"/>
      <c r="O205" s="754" t="s">
        <v>3151</v>
      </c>
      <c r="P205" s="747" t="s">
        <v>3008</v>
      </c>
      <c r="Q205" s="747"/>
      <c r="R205" s="773"/>
    </row>
    <row r="206" spans="1:21" hidden="1">
      <c r="A206" s="748" t="s">
        <v>2880</v>
      </c>
      <c r="B206" s="758" t="s">
        <v>3005</v>
      </c>
      <c r="C206" s="758" t="s">
        <v>2800</v>
      </c>
      <c r="D206" s="758"/>
      <c r="E206" s="747" t="s">
        <v>93</v>
      </c>
      <c r="F206" s="747" t="s">
        <v>607</v>
      </c>
      <c r="G206" s="747" t="s">
        <v>2814</v>
      </c>
      <c r="H206" s="747" t="s">
        <v>2885</v>
      </c>
      <c r="I206" s="747" t="str">
        <f>IFERROR(INDEX('[1]MARE MX'!$H:$H,MATCH("*"&amp;F206&amp;"*",'[1]MARE MX'!$F:$F,0)),"Sin dato")</f>
        <v>ENTERPRISE</v>
      </c>
      <c r="J206" s="763">
        <v>1027</v>
      </c>
      <c r="K206" s="764">
        <v>6</v>
      </c>
      <c r="L206" s="785">
        <f>K206*J206</f>
        <v>6162</v>
      </c>
      <c r="M206" s="785">
        <f>L206/$C$3</f>
        <v>352.1142857142857</v>
      </c>
      <c r="N206" s="747"/>
      <c r="O206" s="755" t="s">
        <v>3152</v>
      </c>
      <c r="P206" s="747"/>
      <c r="Q206" s="747"/>
      <c r="R206" s="773"/>
    </row>
    <row r="207" spans="1:21" hidden="1">
      <c r="A207" s="829" t="s">
        <v>3153</v>
      </c>
      <c r="B207" s="758" t="s">
        <v>3005</v>
      </c>
      <c r="C207" s="758" t="s">
        <v>2800</v>
      </c>
      <c r="D207" s="758"/>
      <c r="E207" s="747" t="s">
        <v>73</v>
      </c>
      <c r="F207" s="747" t="s">
        <v>3154</v>
      </c>
      <c r="G207" s="747" t="s">
        <v>2814</v>
      </c>
      <c r="H207" s="747" t="s">
        <v>50</v>
      </c>
      <c r="I207" s="747" t="str">
        <f>IFERROR(INDEX('[1]MARE MX'!$H:$H,MATCH("*"&amp;F207&amp;"*",'[1]MARE MX'!$F:$F,0)),"Sin dato")</f>
        <v>ENTERPRISE</v>
      </c>
      <c r="J207" s="763">
        <v>467</v>
      </c>
      <c r="K207" s="785">
        <v>2</v>
      </c>
      <c r="L207" s="789">
        <f>K207*J207</f>
        <v>934</v>
      </c>
      <c r="M207" s="789">
        <f>L207/$C$3</f>
        <v>53.371428571428574</v>
      </c>
      <c r="N207" s="747">
        <v>4</v>
      </c>
      <c r="O207" s="754" t="s">
        <v>3155</v>
      </c>
      <c r="P207" s="747"/>
      <c r="Q207" s="747"/>
      <c r="R207" s="773"/>
    </row>
    <row r="208" spans="1:21" hidden="1">
      <c r="A208" s="829" t="s">
        <v>3156</v>
      </c>
      <c r="B208" s="758" t="s">
        <v>3005</v>
      </c>
      <c r="C208" s="758" t="s">
        <v>2800</v>
      </c>
      <c r="D208" s="758"/>
      <c r="E208" s="747" t="s">
        <v>73</v>
      </c>
      <c r="F208" s="747" t="s">
        <v>3154</v>
      </c>
      <c r="G208" s="747" t="s">
        <v>2814</v>
      </c>
      <c r="H208" s="747" t="s">
        <v>3157</v>
      </c>
      <c r="I208" s="747" t="str">
        <f>IFERROR(INDEX('[1]MARE MX'!$H:$H,MATCH("*"&amp;F208&amp;"*",'[1]MARE MX'!$F:$F,0)),"Sin dato")</f>
        <v>ENTERPRISE</v>
      </c>
      <c r="J208" s="763">
        <v>467</v>
      </c>
      <c r="K208" s="785">
        <v>5</v>
      </c>
      <c r="L208" s="785">
        <f>K208*J208</f>
        <v>2335</v>
      </c>
      <c r="M208" s="785">
        <f>L208/$C$3</f>
        <v>133.42857142857142</v>
      </c>
      <c r="N208" s="747">
        <v>8</v>
      </c>
      <c r="O208" s="755" t="s">
        <v>3158</v>
      </c>
      <c r="P208" s="747"/>
      <c r="Q208" s="747"/>
      <c r="R208" s="773"/>
    </row>
    <row r="209" spans="1:18" hidden="1">
      <c r="A209" s="829" t="s">
        <v>3159</v>
      </c>
      <c r="B209" s="758" t="s">
        <v>3005</v>
      </c>
      <c r="C209" s="758" t="s">
        <v>2800</v>
      </c>
      <c r="D209" s="758"/>
      <c r="E209" s="747" t="s">
        <v>73</v>
      </c>
      <c r="F209" s="747" t="s">
        <v>3154</v>
      </c>
      <c r="G209" s="747" t="s">
        <v>2814</v>
      </c>
      <c r="H209" s="747" t="s">
        <v>3160</v>
      </c>
      <c r="I209" s="747" t="str">
        <f>IFERROR(INDEX('[1]MARE MX'!$H:$H,MATCH("*"&amp;F209&amp;"*",'[1]MARE MX'!$F:$F,0)),"Sin dato")</f>
        <v>ENTERPRISE</v>
      </c>
      <c r="J209" s="763">
        <v>467</v>
      </c>
      <c r="K209" s="785">
        <v>5</v>
      </c>
      <c r="L209" s="785">
        <f>K209*J209</f>
        <v>2335</v>
      </c>
      <c r="M209" s="785">
        <f>L209/$C$3</f>
        <v>133.42857142857142</v>
      </c>
      <c r="N209" s="747">
        <v>8</v>
      </c>
      <c r="O209" s="755" t="s">
        <v>3158</v>
      </c>
      <c r="P209" s="747"/>
      <c r="Q209" s="747"/>
      <c r="R209" s="773"/>
    </row>
    <row r="210" spans="1:18" hidden="1">
      <c r="A210" s="829" t="s">
        <v>3161</v>
      </c>
      <c r="B210" s="758" t="s">
        <v>3005</v>
      </c>
      <c r="C210" s="758" t="s">
        <v>2800</v>
      </c>
      <c r="D210" s="758"/>
      <c r="E210" s="747" t="s">
        <v>73</v>
      </c>
      <c r="F210" s="747" t="s">
        <v>3154</v>
      </c>
      <c r="G210" s="747" t="s">
        <v>2814</v>
      </c>
      <c r="H210" s="747" t="s">
        <v>3162</v>
      </c>
      <c r="I210" s="747" t="str">
        <f>IFERROR(INDEX('[1]MARE MX'!$H:$H,MATCH("*"&amp;F210&amp;"*",'[1]MARE MX'!$F:$F,0)),"Sin dato")</f>
        <v>ENTERPRISE</v>
      </c>
      <c r="J210" s="763">
        <v>467</v>
      </c>
      <c r="K210" s="785">
        <v>8</v>
      </c>
      <c r="L210" s="785">
        <f>K210*J210</f>
        <v>3736</v>
      </c>
      <c r="M210" s="785">
        <f>L210/$C$3</f>
        <v>213.48571428571429</v>
      </c>
      <c r="N210" s="747">
        <v>10</v>
      </c>
      <c r="O210" s="755" t="s">
        <v>3158</v>
      </c>
      <c r="P210" s="747"/>
      <c r="Q210" s="747"/>
      <c r="R210" s="773"/>
    </row>
    <row r="211" spans="1:18" hidden="1">
      <c r="A211" s="829" t="s">
        <v>3163</v>
      </c>
      <c r="B211" s="758" t="s">
        <v>2921</v>
      </c>
      <c r="C211" s="758" t="s">
        <v>2800</v>
      </c>
      <c r="D211" s="758"/>
      <c r="E211" s="747" t="s">
        <v>73</v>
      </c>
      <c r="F211" s="747" t="s">
        <v>3164</v>
      </c>
      <c r="G211" s="747" t="s">
        <v>2814</v>
      </c>
      <c r="H211" s="747" t="s">
        <v>3157</v>
      </c>
      <c r="I211" s="747" t="str">
        <f>IFERROR(INDEX('[1]MARE MX'!$H:$H,MATCH("*"&amp;F211&amp;"*",'[1]MARE MX'!$F:$F,0)),"Sin dato")</f>
        <v>ENTERPRISE</v>
      </c>
      <c r="J211" s="763">
        <v>651</v>
      </c>
      <c r="K211" s="785">
        <v>4</v>
      </c>
      <c r="L211" s="785">
        <f>K211*J211</f>
        <v>2604</v>
      </c>
      <c r="M211" s="785">
        <f>L211/$C$3</f>
        <v>148.80000000000001</v>
      </c>
      <c r="N211" s="747">
        <v>8</v>
      </c>
      <c r="O211" s="754" t="s">
        <v>3165</v>
      </c>
      <c r="P211" s="747"/>
      <c r="Q211" s="747"/>
      <c r="R211" s="773"/>
    </row>
    <row r="212" spans="1:18" ht="43.5" hidden="1">
      <c r="A212" s="829" t="s">
        <v>3166</v>
      </c>
      <c r="B212" s="758" t="s">
        <v>3005</v>
      </c>
      <c r="C212" s="758" t="s">
        <v>2800</v>
      </c>
      <c r="D212" s="758"/>
      <c r="E212" s="747" t="s">
        <v>73</v>
      </c>
      <c r="F212" s="747" t="s">
        <v>3164</v>
      </c>
      <c r="G212" s="747" t="s">
        <v>2814</v>
      </c>
      <c r="H212" s="747" t="s">
        <v>2904</v>
      </c>
      <c r="I212" s="747" t="str">
        <f>IFERROR(INDEX('[1]MARE MX'!$H:$H,MATCH("*"&amp;F212&amp;"*",'[1]MARE MX'!$F:$F,0)),"Sin dato")</f>
        <v>ENTERPRISE</v>
      </c>
      <c r="J212" s="763">
        <v>651</v>
      </c>
      <c r="K212" s="785">
        <v>6</v>
      </c>
      <c r="L212" s="785">
        <f>K212*J212</f>
        <v>3906</v>
      </c>
      <c r="M212" s="785">
        <f>L212/$C$3</f>
        <v>223.2</v>
      </c>
      <c r="N212" s="747"/>
      <c r="O212" s="754" t="s">
        <v>3167</v>
      </c>
      <c r="P212" s="747"/>
      <c r="Q212" s="747"/>
      <c r="R212" s="773"/>
    </row>
    <row r="213" spans="1:18" hidden="1">
      <c r="A213" s="829" t="s">
        <v>3168</v>
      </c>
      <c r="B213" s="758" t="s">
        <v>3005</v>
      </c>
      <c r="C213" s="758" t="s">
        <v>2800</v>
      </c>
      <c r="D213" s="758"/>
      <c r="E213" s="747" t="s">
        <v>73</v>
      </c>
      <c r="F213" s="747" t="s">
        <v>3164</v>
      </c>
      <c r="G213" s="747" t="s">
        <v>2814</v>
      </c>
      <c r="H213" s="747" t="s">
        <v>3160</v>
      </c>
      <c r="I213" s="747" t="str">
        <f>IFERROR(INDEX('[1]MARE MX'!$H:$H,MATCH("*"&amp;F213&amp;"*",'[1]MARE MX'!$F:$F,0)),"Sin dato")</f>
        <v>ENTERPRISE</v>
      </c>
      <c r="J213" s="763">
        <v>651</v>
      </c>
      <c r="K213" s="785">
        <v>4</v>
      </c>
      <c r="L213" s="785">
        <f>K213*J213</f>
        <v>2604</v>
      </c>
      <c r="M213" s="785">
        <f>L213/$C$3</f>
        <v>148.80000000000001</v>
      </c>
      <c r="N213" s="747">
        <v>8</v>
      </c>
      <c r="O213" s="755"/>
      <c r="P213" s="747"/>
      <c r="Q213" s="747"/>
      <c r="R213" s="773"/>
    </row>
    <row r="214" spans="1:18" hidden="1">
      <c r="A214" s="829" t="s">
        <v>3169</v>
      </c>
      <c r="B214" s="758" t="s">
        <v>3005</v>
      </c>
      <c r="C214" s="758" t="s">
        <v>2800</v>
      </c>
      <c r="D214" s="758" t="s">
        <v>2802</v>
      </c>
      <c r="E214" s="747" t="s">
        <v>73</v>
      </c>
      <c r="F214" s="747" t="s">
        <v>3164</v>
      </c>
      <c r="G214" s="747" t="s">
        <v>2814</v>
      </c>
      <c r="H214" s="747" t="s">
        <v>45</v>
      </c>
      <c r="I214" s="747" t="str">
        <f>IFERROR(INDEX('[1]MARE MX'!$H:$H,MATCH("*"&amp;F214&amp;"*",'[1]MARE MX'!$F:$F,0)),"Sin dato")</f>
        <v>ENTERPRISE</v>
      </c>
      <c r="J214" s="763">
        <v>651</v>
      </c>
      <c r="K214" s="785">
        <v>8</v>
      </c>
      <c r="L214" s="785">
        <f>K214*J214</f>
        <v>5208</v>
      </c>
      <c r="M214" s="785">
        <f>L214/$C$3</f>
        <v>297.60000000000002</v>
      </c>
      <c r="N214" s="747"/>
      <c r="O214" s="754" t="s">
        <v>3165</v>
      </c>
      <c r="P214" s="747"/>
      <c r="Q214" s="747"/>
      <c r="R214" s="773"/>
    </row>
    <row r="215" spans="1:18" hidden="1">
      <c r="A215" s="747"/>
      <c r="B215" s="758" t="s">
        <v>3005</v>
      </c>
      <c r="C215" s="758" t="s">
        <v>2800</v>
      </c>
      <c r="D215" s="758"/>
      <c r="E215" s="747" t="s">
        <v>73</v>
      </c>
      <c r="F215" s="747" t="s">
        <v>2899</v>
      </c>
      <c r="G215" s="747" t="s">
        <v>2814</v>
      </c>
      <c r="H215" s="747" t="s">
        <v>3170</v>
      </c>
      <c r="I215" s="747" t="str">
        <f>IFERROR(INDEX('[1]MARE MX'!$H:$H,MATCH("*"&amp;F215&amp;"*",'[1]MARE MX'!$F:$F,0)),"Sin dato")</f>
        <v>ENTERPRISE</v>
      </c>
      <c r="J215" s="763">
        <v>2000</v>
      </c>
      <c r="K215" s="785">
        <v>0</v>
      </c>
      <c r="L215" s="785">
        <f>K215*J215</f>
        <v>0</v>
      </c>
      <c r="M215" s="785">
        <f>L215/$C$3</f>
        <v>0</v>
      </c>
      <c r="N215" s="747"/>
      <c r="O215" s="755" t="s">
        <v>3171</v>
      </c>
      <c r="P215" s="747"/>
      <c r="Q215" s="747"/>
      <c r="R215" s="773"/>
    </row>
    <row r="216" spans="1:18" hidden="1">
      <c r="A216" s="747"/>
      <c r="B216" s="758" t="s">
        <v>3005</v>
      </c>
      <c r="C216" s="758" t="s">
        <v>2800</v>
      </c>
      <c r="D216" s="758"/>
      <c r="E216" s="747" t="s">
        <v>73</v>
      </c>
      <c r="F216" s="747" t="s">
        <v>2899</v>
      </c>
      <c r="G216" s="747" t="s">
        <v>2814</v>
      </c>
      <c r="H216" s="747" t="s">
        <v>3172</v>
      </c>
      <c r="I216" s="747" t="str">
        <f>IFERROR(INDEX('[1]MARE MX'!$H:$H,MATCH("*"&amp;F216&amp;"*",'[1]MARE MX'!$F:$F,0)),"Sin dato")</f>
        <v>ENTERPRISE</v>
      </c>
      <c r="J216" s="763">
        <v>2000</v>
      </c>
      <c r="K216" s="785">
        <v>5</v>
      </c>
      <c r="L216" s="785">
        <f>K216*J216</f>
        <v>10000</v>
      </c>
      <c r="M216" s="785">
        <f>L216/$C$3</f>
        <v>571.42857142857144</v>
      </c>
      <c r="N216" s="747"/>
      <c r="O216" s="755" t="s">
        <v>3171</v>
      </c>
      <c r="P216" s="747"/>
      <c r="Q216" s="747"/>
      <c r="R216" s="773"/>
    </row>
    <row r="217" spans="1:18" hidden="1">
      <c r="A217" s="747"/>
      <c r="B217" s="758" t="s">
        <v>3005</v>
      </c>
      <c r="C217" s="758" t="s">
        <v>2800</v>
      </c>
      <c r="D217" s="758"/>
      <c r="E217" s="747" t="s">
        <v>73</v>
      </c>
      <c r="F217" s="747" t="s">
        <v>2899</v>
      </c>
      <c r="G217" s="747" t="s">
        <v>2814</v>
      </c>
      <c r="H217" s="747" t="s">
        <v>3173</v>
      </c>
      <c r="I217" s="747" t="str">
        <f>IFERROR(INDEX('[1]MARE MX'!$H:$H,MATCH("*"&amp;F217&amp;"*",'[1]MARE MX'!$F:$F,0)),"Sin dato")</f>
        <v>ENTERPRISE</v>
      </c>
      <c r="J217" s="763">
        <v>2000</v>
      </c>
      <c r="K217" s="785">
        <v>5</v>
      </c>
      <c r="L217" s="785">
        <f>K217*J217</f>
        <v>10000</v>
      </c>
      <c r="M217" s="785">
        <f>L217/$C$3</f>
        <v>571.42857142857144</v>
      </c>
      <c r="N217" s="747"/>
      <c r="O217" s="755" t="s">
        <v>3171</v>
      </c>
      <c r="P217" s="747"/>
      <c r="Q217" s="747"/>
      <c r="R217" s="773"/>
    </row>
    <row r="218" spans="1:18" hidden="1">
      <c r="A218" s="747"/>
      <c r="B218" s="758" t="s">
        <v>3005</v>
      </c>
      <c r="C218" s="758" t="s">
        <v>2800</v>
      </c>
      <c r="D218" s="758"/>
      <c r="E218" s="747" t="s">
        <v>73</v>
      </c>
      <c r="F218" s="747" t="s">
        <v>3174</v>
      </c>
      <c r="G218" s="747" t="s">
        <v>3105</v>
      </c>
      <c r="H218" s="747" t="s">
        <v>2897</v>
      </c>
      <c r="I218" s="747"/>
      <c r="J218" s="763">
        <v>330</v>
      </c>
      <c r="K218" s="785"/>
      <c r="L218" s="785"/>
      <c r="M218" s="785">
        <f>L218/$D$3</f>
        <v>0</v>
      </c>
      <c r="N218" s="747"/>
      <c r="O218" s="754"/>
      <c r="P218" s="747"/>
      <c r="Q218" s="747"/>
      <c r="R218" s="773"/>
    </row>
    <row r="219" spans="1:18" hidden="1">
      <c r="A219" s="748" t="s">
        <v>2880</v>
      </c>
      <c r="B219" s="758" t="s">
        <v>2921</v>
      </c>
      <c r="C219" s="758" t="s">
        <v>2800</v>
      </c>
      <c r="D219" s="758"/>
      <c r="E219" s="747" t="s">
        <v>73</v>
      </c>
      <c r="F219" s="747" t="s">
        <v>3175</v>
      </c>
      <c r="G219" s="747" t="s">
        <v>2814</v>
      </c>
      <c r="H219" s="747" t="s">
        <v>2904</v>
      </c>
      <c r="I219" s="747" t="str">
        <f>IFERROR(INDEX('[1]MARE MX'!$H:$H,MATCH("*"&amp;F219&amp;"*",'[1]MARE MX'!$F:$F,0)),"Sin dato")</f>
        <v>SMB</v>
      </c>
      <c r="J219" s="763">
        <v>152</v>
      </c>
      <c r="K219" s="785">
        <v>12</v>
      </c>
      <c r="L219" s="785">
        <f>K219*J219</f>
        <v>1824</v>
      </c>
      <c r="M219" s="785">
        <f>L219/$C$3</f>
        <v>104.22857142857143</v>
      </c>
      <c r="N219" s="747"/>
      <c r="O219" s="755" t="s">
        <v>3176</v>
      </c>
      <c r="P219" s="747"/>
      <c r="Q219" s="747"/>
      <c r="R219" s="773"/>
    </row>
    <row r="220" spans="1:18" hidden="1">
      <c r="A220" s="748" t="s">
        <v>2880</v>
      </c>
      <c r="B220" s="758" t="s">
        <v>3005</v>
      </c>
      <c r="C220" s="758" t="s">
        <v>2800</v>
      </c>
      <c r="D220" s="758"/>
      <c r="E220" s="747" t="s">
        <v>73</v>
      </c>
      <c r="F220" s="747" t="s">
        <v>3177</v>
      </c>
      <c r="G220" s="747" t="s">
        <v>2814</v>
      </c>
      <c r="H220" s="747" t="s">
        <v>50</v>
      </c>
      <c r="I220" s="747" t="str">
        <f>IFERROR(INDEX('[1]MARE MX'!$H:$H,MATCH("*"&amp;F220&amp;"*",'[1]MARE MX'!$F:$F,0)),"Sin dato")</f>
        <v>ENTERPRISE</v>
      </c>
      <c r="J220" s="763">
        <v>410</v>
      </c>
      <c r="K220" s="785">
        <v>3</v>
      </c>
      <c r="L220" s="789">
        <f>K220*J220</f>
        <v>1230</v>
      </c>
      <c r="M220" s="789">
        <f>L220/$C$3</f>
        <v>70.285714285714292</v>
      </c>
      <c r="N220" s="747"/>
      <c r="O220" s="755" t="s">
        <v>3178</v>
      </c>
      <c r="P220" s="747"/>
      <c r="Q220" s="747"/>
      <c r="R220" s="773"/>
    </row>
    <row r="221" spans="1:18">
      <c r="A221" s="748" t="s">
        <v>2880</v>
      </c>
      <c r="B221" s="758" t="s">
        <v>3005</v>
      </c>
      <c r="C221" s="758" t="s">
        <v>2800</v>
      </c>
      <c r="D221" s="758"/>
      <c r="E221" s="747" t="s">
        <v>439</v>
      </c>
      <c r="F221" s="747" t="s">
        <v>1468</v>
      </c>
      <c r="G221" s="747" t="s">
        <v>2814</v>
      </c>
      <c r="H221" s="747" t="s">
        <v>45</v>
      </c>
      <c r="I221" s="747" t="str">
        <f>IFERROR(INDEX('[1]MARE MX'!$H:$H,MATCH("*"&amp;F221&amp;"*",'[1]MARE MX'!$F:$F,0)),"Sin dato")</f>
        <v>SMB</v>
      </c>
      <c r="J221" s="763">
        <v>20</v>
      </c>
      <c r="K221" s="764">
        <v>10</v>
      </c>
      <c r="L221" s="787">
        <f>K221*J221</f>
        <v>200</v>
      </c>
      <c r="M221" s="787">
        <f>L221/$C$3</f>
        <v>11.428571428571429</v>
      </c>
      <c r="N221" s="747"/>
      <c r="O221" s="754" t="s">
        <v>3179</v>
      </c>
      <c r="P221" s="747"/>
      <c r="Q221" s="747"/>
      <c r="R221" s="773"/>
    </row>
    <row r="222" spans="1:18" hidden="1">
      <c r="A222" s="806"/>
      <c r="B222" s="806"/>
      <c r="C222" s="806" t="s">
        <v>2800</v>
      </c>
      <c r="D222" s="806"/>
      <c r="E222" s="747" t="s">
        <v>439</v>
      </c>
      <c r="F222" s="806" t="s">
        <v>3180</v>
      </c>
      <c r="G222" s="806" t="s">
        <v>3105</v>
      </c>
      <c r="H222" s="806" t="s">
        <v>2897</v>
      </c>
      <c r="I222" s="806" t="s">
        <v>2784</v>
      </c>
      <c r="J222" s="806"/>
      <c r="K222" s="806"/>
      <c r="L222" s="806"/>
      <c r="M222" s="806"/>
      <c r="N222" s="813"/>
      <c r="O222" s="814"/>
      <c r="P222" s="806"/>
      <c r="Q222" s="806"/>
      <c r="R222" s="806"/>
    </row>
    <row r="223" spans="1:18" hidden="1">
      <c r="A223" s="806"/>
      <c r="B223" s="758" t="s">
        <v>3005</v>
      </c>
      <c r="C223" s="758" t="s">
        <v>2800</v>
      </c>
      <c r="D223" s="758"/>
      <c r="E223" s="747" t="s">
        <v>73</v>
      </c>
      <c r="F223" s="806" t="s">
        <v>2890</v>
      </c>
      <c r="G223" s="806" t="s">
        <v>3105</v>
      </c>
      <c r="H223" s="806"/>
      <c r="I223" s="806"/>
      <c r="J223" s="806"/>
      <c r="K223" s="806"/>
      <c r="L223" s="806"/>
      <c r="M223" s="806"/>
      <c r="N223" s="813"/>
      <c r="O223" s="814"/>
      <c r="P223" s="806"/>
      <c r="Q223" s="806"/>
      <c r="R223" s="806"/>
    </row>
    <row r="224" spans="1:18" hidden="1">
      <c r="A224" s="806"/>
      <c r="B224" s="758" t="s">
        <v>3005</v>
      </c>
      <c r="C224" s="758" t="s">
        <v>2800</v>
      </c>
      <c r="D224" s="758"/>
      <c r="E224" s="747" t="s">
        <v>73</v>
      </c>
      <c r="F224" s="806" t="s">
        <v>3181</v>
      </c>
      <c r="G224" s="806" t="s">
        <v>3105</v>
      </c>
      <c r="H224" s="806" t="s">
        <v>2897</v>
      </c>
      <c r="I224" s="806"/>
      <c r="J224" s="806">
        <v>1200</v>
      </c>
      <c r="K224" s="806">
        <v>35</v>
      </c>
      <c r="L224" s="785">
        <f>K224*J224</f>
        <v>42000</v>
      </c>
      <c r="M224" s="785">
        <f>L224/$C$3</f>
        <v>2400</v>
      </c>
      <c r="N224" s="813"/>
      <c r="O224" s="814"/>
      <c r="P224" s="806"/>
      <c r="Q224" s="806"/>
      <c r="R224" s="806"/>
    </row>
    <row r="225" spans="1:18" hidden="1">
      <c r="A225" s="806"/>
      <c r="B225" s="758" t="s">
        <v>3005</v>
      </c>
      <c r="C225" s="758" t="s">
        <v>2800</v>
      </c>
      <c r="D225" s="758"/>
      <c r="E225" s="747" t="s">
        <v>73</v>
      </c>
      <c r="F225" s="806" t="s">
        <v>2890</v>
      </c>
      <c r="G225" s="806" t="s">
        <v>2814</v>
      </c>
      <c r="H225" s="806" t="s">
        <v>3160</v>
      </c>
      <c r="I225" s="806" t="s">
        <v>76</v>
      </c>
      <c r="J225" s="806"/>
      <c r="K225" s="806">
        <v>8</v>
      </c>
      <c r="L225" s="785">
        <f>K225*J225</f>
        <v>0</v>
      </c>
      <c r="M225" s="785">
        <f>L225/$C$3</f>
        <v>0</v>
      </c>
      <c r="N225" s="813"/>
      <c r="O225" s="814" t="s">
        <v>3182</v>
      </c>
      <c r="P225" s="806"/>
      <c r="Q225" s="806"/>
      <c r="R225" s="806"/>
    </row>
    <row r="226" spans="1:18" hidden="1">
      <c r="A226" s="806"/>
      <c r="B226" s="758" t="s">
        <v>3005</v>
      </c>
      <c r="C226" s="758" t="s">
        <v>2800</v>
      </c>
      <c r="D226" s="758"/>
      <c r="E226" s="747" t="s">
        <v>73</v>
      </c>
      <c r="F226" s="806" t="s">
        <v>2890</v>
      </c>
      <c r="G226" s="806" t="s">
        <v>2814</v>
      </c>
      <c r="H226" s="806" t="s">
        <v>45</v>
      </c>
      <c r="I226" s="806" t="s">
        <v>76</v>
      </c>
      <c r="J226" s="806"/>
      <c r="K226" s="806"/>
      <c r="L226" s="785">
        <f>K226*J226</f>
        <v>0</v>
      </c>
      <c r="M226" s="785">
        <f>L226/$C$3</f>
        <v>0</v>
      </c>
      <c r="N226" s="813"/>
      <c r="O226" s="814" t="s">
        <v>3183</v>
      </c>
      <c r="P226" s="806"/>
      <c r="Q226" s="806"/>
      <c r="R226" s="806"/>
    </row>
    <row r="227" spans="1:18" hidden="1">
      <c r="A227" s="806"/>
      <c r="B227" s="758" t="s">
        <v>3005</v>
      </c>
      <c r="C227" s="758" t="s">
        <v>2800</v>
      </c>
      <c r="D227" s="758"/>
      <c r="E227" s="747" t="s">
        <v>73</v>
      </c>
      <c r="F227" s="806" t="s">
        <v>2890</v>
      </c>
      <c r="G227" s="806" t="s">
        <v>2814</v>
      </c>
      <c r="H227" s="806" t="s">
        <v>3157</v>
      </c>
      <c r="I227" s="806" t="s">
        <v>76</v>
      </c>
      <c r="J227" s="806"/>
      <c r="K227" s="806"/>
      <c r="L227" s="785">
        <f>K227*J227</f>
        <v>0</v>
      </c>
      <c r="M227" s="785">
        <f>L227/$C$3</f>
        <v>0</v>
      </c>
      <c r="N227" s="813"/>
      <c r="O227" s="814" t="s">
        <v>3183</v>
      </c>
      <c r="P227" s="806"/>
      <c r="Q227" s="806"/>
      <c r="R227" s="806"/>
    </row>
    <row r="228" spans="1:18" hidden="1">
      <c r="A228" s="806"/>
      <c r="B228" s="758" t="s">
        <v>3005</v>
      </c>
      <c r="C228" s="758" t="s">
        <v>2800</v>
      </c>
      <c r="D228" s="758"/>
      <c r="E228" s="747" t="s">
        <v>73</v>
      </c>
      <c r="F228" s="806" t="s">
        <v>2890</v>
      </c>
      <c r="G228" s="806" t="s">
        <v>2814</v>
      </c>
      <c r="H228" s="806" t="s">
        <v>47</v>
      </c>
      <c r="I228" s="806" t="s">
        <v>76</v>
      </c>
      <c r="J228" s="806"/>
      <c r="K228" s="806"/>
      <c r="L228" s="785">
        <f>K228*J228</f>
        <v>0</v>
      </c>
      <c r="M228" s="785">
        <f>L228/$C$3</f>
        <v>0</v>
      </c>
      <c r="N228" s="813"/>
      <c r="O228" s="814" t="s">
        <v>3184</v>
      </c>
      <c r="P228" s="806"/>
      <c r="Q228" s="806"/>
      <c r="R228" s="806"/>
    </row>
    <row r="229" spans="1:18" hidden="1">
      <c r="A229" s="806"/>
      <c r="B229" s="758" t="s">
        <v>3005</v>
      </c>
      <c r="C229" s="758" t="s">
        <v>2800</v>
      </c>
      <c r="D229" s="758"/>
      <c r="E229" s="747" t="s">
        <v>73</v>
      </c>
      <c r="F229" s="806" t="s">
        <v>2890</v>
      </c>
      <c r="G229" s="806" t="s">
        <v>2814</v>
      </c>
      <c r="H229" s="806" t="s">
        <v>2991</v>
      </c>
      <c r="I229" s="806" t="s">
        <v>76</v>
      </c>
      <c r="J229" s="806"/>
      <c r="K229" s="806"/>
      <c r="L229" s="785">
        <f>K229*J229</f>
        <v>0</v>
      </c>
      <c r="M229" s="785">
        <f>L229/$C$3</f>
        <v>0</v>
      </c>
      <c r="N229" s="813"/>
      <c r="O229" s="806" t="s">
        <v>3185</v>
      </c>
      <c r="P229" s="806"/>
      <c r="Q229" s="806"/>
      <c r="R229" s="806"/>
    </row>
    <row r="230" spans="1:18" hidden="1">
      <c r="A230" s="806"/>
      <c r="B230" s="758" t="s">
        <v>3005</v>
      </c>
      <c r="C230" s="758" t="s">
        <v>2800</v>
      </c>
      <c r="D230" s="758"/>
      <c r="E230" s="747" t="s">
        <v>73</v>
      </c>
      <c r="F230" s="806" t="s">
        <v>3186</v>
      </c>
      <c r="G230" s="806" t="s">
        <v>2814</v>
      </c>
      <c r="H230" s="806" t="s">
        <v>45</v>
      </c>
      <c r="I230" s="806"/>
      <c r="J230" s="806">
        <v>270</v>
      </c>
      <c r="K230" s="806">
        <v>8</v>
      </c>
      <c r="L230" s="785">
        <f>K230*J230</f>
        <v>2160</v>
      </c>
      <c r="M230" s="785">
        <f>L230/$C$3</f>
        <v>123.42857142857143</v>
      </c>
      <c r="N230" s="813"/>
      <c r="O230" s="806" t="s">
        <v>3187</v>
      </c>
      <c r="P230" s="806"/>
      <c r="Q230" s="806"/>
      <c r="R230" s="806"/>
    </row>
    <row r="231" spans="1:18" hidden="1">
      <c r="A231" s="806"/>
      <c r="B231" s="758" t="s">
        <v>3005</v>
      </c>
      <c r="C231" s="758" t="s">
        <v>2800</v>
      </c>
      <c r="D231" s="758"/>
      <c r="E231" s="747" t="s">
        <v>73</v>
      </c>
      <c r="F231" s="806" t="s">
        <v>3186</v>
      </c>
      <c r="G231" s="806" t="s">
        <v>2814</v>
      </c>
      <c r="H231" s="806" t="s">
        <v>3059</v>
      </c>
      <c r="I231" s="806"/>
      <c r="J231" s="806">
        <v>270</v>
      </c>
      <c r="K231" s="806">
        <v>5</v>
      </c>
      <c r="L231" s="785">
        <f>K231*J231</f>
        <v>1350</v>
      </c>
      <c r="M231" s="785">
        <f>L231/$C$3</f>
        <v>77.142857142857139</v>
      </c>
      <c r="N231" s="813"/>
      <c r="O231" s="806" t="s">
        <v>3187</v>
      </c>
      <c r="P231" s="806"/>
      <c r="Q231" s="806"/>
      <c r="R231" s="806"/>
    </row>
    <row r="232" spans="1:18" hidden="1">
      <c r="A232" s="806"/>
      <c r="B232" s="758" t="s">
        <v>3005</v>
      </c>
      <c r="C232" s="758" t="s">
        <v>2800</v>
      </c>
      <c r="D232" s="758"/>
      <c r="E232" s="747" t="s">
        <v>73</v>
      </c>
      <c r="F232" s="806" t="s">
        <v>3186</v>
      </c>
      <c r="G232" s="806" t="s">
        <v>2814</v>
      </c>
      <c r="H232" s="806" t="s">
        <v>2991</v>
      </c>
      <c r="I232" s="806"/>
      <c r="J232" s="806"/>
      <c r="K232" s="806"/>
      <c r="L232" s="785">
        <f>K232*J232</f>
        <v>0</v>
      </c>
      <c r="M232" s="785">
        <f>L232/$C$3</f>
        <v>0</v>
      </c>
      <c r="N232" s="813"/>
      <c r="O232" s="806" t="s">
        <v>115</v>
      </c>
      <c r="P232" s="806"/>
      <c r="Q232" s="806"/>
      <c r="R232" s="806"/>
    </row>
    <row r="233" spans="1:18" ht="72.75" hidden="1">
      <c r="A233" s="748" t="s">
        <v>2880</v>
      </c>
      <c r="B233" s="758" t="s">
        <v>3005</v>
      </c>
      <c r="C233" s="758"/>
      <c r="D233" s="758"/>
      <c r="E233" s="747" t="s">
        <v>93</v>
      </c>
      <c r="F233" s="747" t="s">
        <v>3119</v>
      </c>
      <c r="G233" s="747" t="s">
        <v>2814</v>
      </c>
      <c r="H233" s="747" t="s">
        <v>52</v>
      </c>
      <c r="I233" s="747" t="str">
        <f>IFERROR(INDEX('[1]MARE MX'!$H:$H,MATCH("*"&amp;F233&amp;"*",'[1]MARE MX'!$F:$F,0)),"Sin dato")</f>
        <v>ENTERPRISE</v>
      </c>
      <c r="J233" s="763">
        <v>800</v>
      </c>
      <c r="K233" s="764">
        <v>10</v>
      </c>
      <c r="L233" s="785">
        <f>K233*J233</f>
        <v>8000</v>
      </c>
      <c r="M233" s="785">
        <f>L233/$D$3</f>
        <v>444.44444444444446</v>
      </c>
      <c r="N233" s="747"/>
      <c r="O233" s="754" t="s">
        <v>3188</v>
      </c>
      <c r="P233" s="747" t="s">
        <v>3008</v>
      </c>
      <c r="Q233" s="747"/>
      <c r="R233" s="773"/>
    </row>
    <row r="234" spans="1:18" hidden="1">
      <c r="A234" s="747"/>
      <c r="B234" s="758"/>
      <c r="C234" s="758"/>
      <c r="D234" s="758"/>
      <c r="E234" s="747" t="s">
        <v>93</v>
      </c>
      <c r="F234" s="747" t="s">
        <v>3189</v>
      </c>
      <c r="G234" s="747" t="s">
        <v>2813</v>
      </c>
      <c r="H234" s="806" t="s">
        <v>2897</v>
      </c>
      <c r="I234" s="747" t="str">
        <f>IFERROR(INDEX('[1]MARE MX'!$H:$H,MATCH("*"&amp;#REF!&amp;"*",'[1]MARE MX'!$F:$F,0)),"Sin dato")</f>
        <v>Sin dato</v>
      </c>
      <c r="J234" s="763"/>
      <c r="K234" s="764"/>
      <c r="L234" s="764"/>
      <c r="M234" s="764">
        <f>L234/$D$3</f>
        <v>0</v>
      </c>
      <c r="N234" s="747"/>
      <c r="O234" s="754"/>
      <c r="P234" s="747"/>
      <c r="Q234" s="747"/>
      <c r="R234" s="773"/>
    </row>
    <row r="235" spans="1:18" hidden="1">
      <c r="A235" s="747"/>
      <c r="B235" s="758"/>
      <c r="C235" s="758"/>
      <c r="D235" s="758"/>
      <c r="E235" s="747" t="s">
        <v>93</v>
      </c>
      <c r="F235" s="747" t="s">
        <v>3190</v>
      </c>
      <c r="G235" s="747" t="s">
        <v>2813</v>
      </c>
      <c r="H235" s="806" t="s">
        <v>2897</v>
      </c>
      <c r="I235" s="747" t="str">
        <f>IFERROR(INDEX('[1]MARE MX'!$H:$H,MATCH("*"&amp;#REF!&amp;"*",'[1]MARE MX'!$F:$F,0)),"Sin dato")</f>
        <v>Sin dato</v>
      </c>
      <c r="J235" s="763"/>
      <c r="K235" s="764"/>
      <c r="L235" s="764"/>
      <c r="M235" s="764">
        <f>L235/$D$3</f>
        <v>0</v>
      </c>
      <c r="N235" s="747"/>
      <c r="O235" s="754"/>
      <c r="P235" s="747"/>
      <c r="Q235" s="747"/>
      <c r="R235" s="773"/>
    </row>
    <row r="236" spans="1:18" hidden="1">
      <c r="A236" s="747"/>
      <c r="B236" s="758"/>
      <c r="C236" s="758"/>
      <c r="D236" s="758"/>
      <c r="E236" s="747" t="s">
        <v>93</v>
      </c>
      <c r="F236" s="747" t="s">
        <v>3191</v>
      </c>
      <c r="G236" s="747" t="s">
        <v>2813</v>
      </c>
      <c r="H236" s="806" t="s">
        <v>2897</v>
      </c>
      <c r="I236" s="747" t="str">
        <f>IFERROR(INDEX('[1]MARE MX'!$H:$H,MATCH("*"&amp;#REF!&amp;"*",'[1]MARE MX'!$F:$F,0)),"Sin dato")</f>
        <v>Sin dato</v>
      </c>
      <c r="J236" s="763"/>
      <c r="K236" s="764"/>
      <c r="L236" s="764"/>
      <c r="M236" s="764">
        <f>L236/$D$3</f>
        <v>0</v>
      </c>
      <c r="N236" s="747"/>
      <c r="O236" s="754"/>
      <c r="P236" s="747"/>
      <c r="Q236" s="747"/>
      <c r="R236" s="773"/>
    </row>
    <row r="237" spans="1:18" hidden="1">
      <c r="A237" s="747"/>
      <c r="B237" s="758"/>
      <c r="C237" s="758"/>
      <c r="D237" s="758"/>
      <c r="E237" s="747" t="s">
        <v>93</v>
      </c>
      <c r="F237" s="747" t="s">
        <v>2964</v>
      </c>
      <c r="G237" s="747" t="s">
        <v>2813</v>
      </c>
      <c r="H237" s="806" t="s">
        <v>2897</v>
      </c>
      <c r="I237" s="747" t="str">
        <f>IFERROR(INDEX('[1]MARE MX'!$H:$H,MATCH("*"&amp;#REF!&amp;"*",'[1]MARE MX'!$F:$F,0)),"Sin dato")</f>
        <v>Sin dato</v>
      </c>
      <c r="J237" s="763"/>
      <c r="K237" s="764"/>
      <c r="L237" s="764"/>
      <c r="M237" s="764">
        <f>L237/$D$3</f>
        <v>0</v>
      </c>
      <c r="N237" s="747"/>
      <c r="O237" s="754"/>
      <c r="P237" s="747"/>
      <c r="Q237" s="747"/>
      <c r="R237" s="773"/>
    </row>
    <row r="238" spans="1:18" hidden="1">
      <c r="A238" s="747"/>
      <c r="B238" s="758"/>
      <c r="C238" s="758"/>
      <c r="D238" s="758"/>
      <c r="E238" s="747" t="s">
        <v>93</v>
      </c>
      <c r="F238" s="747" t="s">
        <v>3192</v>
      </c>
      <c r="G238" s="747" t="s">
        <v>2813</v>
      </c>
      <c r="H238" s="806" t="s">
        <v>2897</v>
      </c>
      <c r="I238" s="747" t="str">
        <f>IFERROR(INDEX('[1]MARE MX'!$H:$H,MATCH("*"&amp;#REF!&amp;"*",'[1]MARE MX'!$F:$F,0)),"Sin dato")</f>
        <v>Sin dato</v>
      </c>
      <c r="J238" s="763"/>
      <c r="K238" s="764"/>
      <c r="L238" s="764"/>
      <c r="M238" s="764">
        <f>L238/$D$3</f>
        <v>0</v>
      </c>
      <c r="N238" s="747"/>
      <c r="O238" s="754"/>
      <c r="P238" s="747"/>
      <c r="Q238" s="747"/>
      <c r="R238" s="773"/>
    </row>
    <row r="239" spans="1:18" hidden="1">
      <c r="A239" s="747"/>
      <c r="B239" s="758"/>
      <c r="C239" s="758"/>
      <c r="D239" s="758"/>
      <c r="E239" s="747"/>
      <c r="F239" s="747"/>
      <c r="G239" s="747"/>
      <c r="H239" s="747"/>
      <c r="I239" s="747" t="str">
        <f>IFERROR(INDEX('[1]MARE MX'!$H:$H,MATCH("*"&amp;F239&amp;"*",'[1]MARE MX'!$F:$F,0)),"Sin dato")</f>
        <v>Cartera</v>
      </c>
      <c r="J239" s="763"/>
      <c r="K239" s="764"/>
      <c r="L239" s="764"/>
      <c r="M239" s="764">
        <f>L239/$D$3</f>
        <v>0</v>
      </c>
      <c r="N239" s="747"/>
      <c r="O239" s="754"/>
      <c r="P239" s="747"/>
      <c r="Q239" s="747"/>
      <c r="R239" s="773"/>
    </row>
    <row r="240" spans="1:18" hidden="1">
      <c r="A240" s="747"/>
      <c r="B240" s="758"/>
      <c r="C240" s="758"/>
      <c r="D240" s="758"/>
      <c r="E240" s="747"/>
      <c r="F240" s="747"/>
      <c r="G240" s="747"/>
      <c r="H240" s="747"/>
      <c r="I240" s="747" t="str">
        <f>IFERROR(INDEX('[1]MARE MX'!$H:$H,MATCH("*"&amp;F240&amp;"*",'[1]MARE MX'!$F:$F,0)),"Sin dato")</f>
        <v>Cartera</v>
      </c>
      <c r="J240" s="763"/>
      <c r="K240" s="764"/>
      <c r="L240" s="764"/>
      <c r="M240" s="764">
        <f>L240/$D$3</f>
        <v>0</v>
      </c>
      <c r="N240" s="747"/>
      <c r="O240" s="754"/>
      <c r="P240" s="747"/>
      <c r="Q240" s="747"/>
      <c r="R240" s="773"/>
    </row>
    <row r="241" spans="1:18" hidden="1">
      <c r="A241" s="748" t="s">
        <v>2880</v>
      </c>
      <c r="B241" s="758" t="s">
        <v>2921</v>
      </c>
      <c r="C241" s="758"/>
      <c r="D241" s="758"/>
      <c r="E241" s="747" t="s">
        <v>73</v>
      </c>
      <c r="F241" s="747" t="s">
        <v>3193</v>
      </c>
      <c r="G241" s="747" t="s">
        <v>2814</v>
      </c>
      <c r="H241" s="747" t="s">
        <v>2885</v>
      </c>
      <c r="I241" s="747" t="str">
        <f>IFERROR(INDEX('[1]MARE MX'!$H:$H,MATCH("*"&amp;F241&amp;"*",'[1]MARE MX'!$F:$F,0)),"Sin dato")</f>
        <v>Sin dato</v>
      </c>
      <c r="J241" s="763">
        <v>182</v>
      </c>
      <c r="K241" s="764">
        <v>15</v>
      </c>
      <c r="L241" s="764"/>
      <c r="M241" s="764">
        <f>L241/$C$3</f>
        <v>0</v>
      </c>
      <c r="N241" s="747"/>
      <c r="O241" s="755" t="s">
        <v>3194</v>
      </c>
      <c r="P241" s="747"/>
      <c r="Q241" s="747"/>
      <c r="R241" s="773"/>
    </row>
    <row r="242" spans="1:18" hidden="1">
      <c r="A242" s="748" t="s">
        <v>2880</v>
      </c>
      <c r="B242" s="758" t="s">
        <v>2921</v>
      </c>
      <c r="C242" s="758"/>
      <c r="D242" s="758"/>
      <c r="E242" s="747" t="s">
        <v>73</v>
      </c>
      <c r="F242" s="747" t="s">
        <v>2512</v>
      </c>
      <c r="G242" s="747" t="s">
        <v>2814</v>
      </c>
      <c r="H242" s="747" t="s">
        <v>2904</v>
      </c>
      <c r="I242" s="747" t="str">
        <f>IFERROR(INDEX('[1]MARE MX'!$H:$H,MATCH("*"&amp;F242&amp;"*",'[1]MARE MX'!$F:$F,0)),"Sin dato")</f>
        <v>ENTERPRISE</v>
      </c>
      <c r="J242" s="763">
        <v>282</v>
      </c>
      <c r="K242" s="764">
        <v>10</v>
      </c>
      <c r="L242" s="764">
        <f>K242*J242</f>
        <v>2820</v>
      </c>
      <c r="M242" s="764">
        <f>L242/$C$3</f>
        <v>161.14285714285714</v>
      </c>
      <c r="N242" s="747"/>
      <c r="O242" s="754" t="s">
        <v>3195</v>
      </c>
      <c r="P242" s="747" t="s">
        <v>3008</v>
      </c>
      <c r="Q242" s="747"/>
      <c r="R242" s="773"/>
    </row>
    <row r="243" spans="1:18" ht="29.25" hidden="1">
      <c r="A243" s="748" t="s">
        <v>2880</v>
      </c>
      <c r="B243" s="758" t="s">
        <v>2921</v>
      </c>
      <c r="C243" s="758"/>
      <c r="D243" s="758"/>
      <c r="E243" s="747" t="s">
        <v>73</v>
      </c>
      <c r="F243" s="747" t="s">
        <v>2512</v>
      </c>
      <c r="G243" s="747" t="s">
        <v>2814</v>
      </c>
      <c r="H243" s="747" t="s">
        <v>2885</v>
      </c>
      <c r="I243" s="747" t="str">
        <f>IFERROR(INDEX('[1]MARE MX'!$H:$H,MATCH("*"&amp;F243&amp;"*",'[1]MARE MX'!$F:$F,0)),"Sin dato")</f>
        <v>ENTERPRISE</v>
      </c>
      <c r="J243" s="763">
        <v>282</v>
      </c>
      <c r="K243" s="764">
        <v>2</v>
      </c>
      <c r="L243" s="764">
        <f>K243*J243</f>
        <v>564</v>
      </c>
      <c r="M243" s="764">
        <f>L243/$C$3</f>
        <v>32.228571428571428</v>
      </c>
      <c r="N243" s="747"/>
      <c r="O243" s="754" t="s">
        <v>3196</v>
      </c>
      <c r="P243" s="747" t="s">
        <v>3008</v>
      </c>
      <c r="Q243" s="747"/>
      <c r="R243" s="773"/>
    </row>
    <row r="244" spans="1:18" hidden="1">
      <c r="A244" s="748" t="s">
        <v>2880</v>
      </c>
      <c r="B244" s="758" t="s">
        <v>2921</v>
      </c>
      <c r="C244" s="758"/>
      <c r="D244" s="758"/>
      <c r="E244" s="747" t="s">
        <v>73</v>
      </c>
      <c r="F244" s="747" t="s">
        <v>3197</v>
      </c>
      <c r="G244" s="747" t="s">
        <v>2814</v>
      </c>
      <c r="H244" s="747" t="s">
        <v>2885</v>
      </c>
      <c r="I244" s="747" t="str">
        <f>IFERROR(INDEX('[1]MARE MX'!$H:$H,MATCH("*"&amp;F244&amp;"*",'[1]MARE MX'!$F:$F,0)),"Sin dato")</f>
        <v>ENTERPRISE</v>
      </c>
      <c r="J244" s="763">
        <v>7</v>
      </c>
      <c r="K244" s="764">
        <v>10</v>
      </c>
      <c r="L244" s="764">
        <f>K244*J244</f>
        <v>70</v>
      </c>
      <c r="M244" s="764">
        <f>L244/$C$3</f>
        <v>4</v>
      </c>
      <c r="N244" s="747"/>
      <c r="O244" s="754" t="s">
        <v>2526</v>
      </c>
      <c r="P244" s="747"/>
      <c r="Q244" s="747"/>
      <c r="R244" s="773"/>
    </row>
    <row r="245" spans="1:18" ht="29.25" hidden="1">
      <c r="A245" s="747"/>
      <c r="B245" s="758" t="s">
        <v>2921</v>
      </c>
      <c r="C245" s="758"/>
      <c r="D245" s="758"/>
      <c r="E245" s="747" t="s">
        <v>73</v>
      </c>
      <c r="F245" s="747" t="s">
        <v>3197</v>
      </c>
      <c r="G245" s="747" t="s">
        <v>2814</v>
      </c>
      <c r="H245" s="747" t="s">
        <v>49</v>
      </c>
      <c r="I245" s="747" t="str">
        <f>IFERROR(INDEX('[1]MARE MX'!$H:$H,MATCH("*"&amp;F245&amp;"*",'[1]MARE MX'!$F:$F,0)),"Sin dato")</f>
        <v>ENTERPRISE</v>
      </c>
      <c r="J245" s="763"/>
      <c r="K245" s="764"/>
      <c r="L245" s="764">
        <f>K245*J245</f>
        <v>0</v>
      </c>
      <c r="M245" s="764">
        <f>L245/$C$3</f>
        <v>0</v>
      </c>
      <c r="N245" s="747"/>
      <c r="O245" s="754" t="s">
        <v>3198</v>
      </c>
      <c r="P245" s="747"/>
      <c r="Q245" s="747"/>
      <c r="R245" s="773"/>
    </row>
    <row r="246" spans="1:18" ht="43.5" hidden="1">
      <c r="A246" s="748" t="s">
        <v>2880</v>
      </c>
      <c r="B246" s="758" t="s">
        <v>3005</v>
      </c>
      <c r="C246" s="758"/>
      <c r="D246" s="758"/>
      <c r="E246" s="747" t="s">
        <v>93</v>
      </c>
      <c r="F246" s="747" t="s">
        <v>3199</v>
      </c>
      <c r="G246" s="747" t="s">
        <v>2814</v>
      </c>
      <c r="H246" s="747" t="s">
        <v>47</v>
      </c>
      <c r="I246" s="747" t="str">
        <f>IFERROR(INDEX('[1]MARE MX'!$H:$H,MATCH("*"&amp;F246&amp;"*",'[1]MARE MX'!$F:$F,0)),"Sin dato")</f>
        <v>ENTERPRISE</v>
      </c>
      <c r="J246" s="763"/>
      <c r="K246" s="764">
        <v>0</v>
      </c>
      <c r="L246" s="785"/>
      <c r="M246" s="785">
        <f>L246/$D$3</f>
        <v>0</v>
      </c>
      <c r="N246" s="747"/>
      <c r="O246" s="754" t="s">
        <v>3200</v>
      </c>
      <c r="P246" s="747" t="s">
        <v>3037</v>
      </c>
      <c r="Q246" s="747"/>
      <c r="R246" s="773"/>
    </row>
    <row r="247" spans="1:18" hidden="1">
      <c r="A247" s="748" t="s">
        <v>2880</v>
      </c>
      <c r="B247" s="758" t="s">
        <v>3005</v>
      </c>
      <c r="C247" s="758"/>
      <c r="D247" s="758"/>
      <c r="E247" s="747" t="s">
        <v>93</v>
      </c>
      <c r="F247" s="747" t="s">
        <v>2980</v>
      </c>
      <c r="G247" s="747" t="s">
        <v>2814</v>
      </c>
      <c r="H247" s="747" t="s">
        <v>2887</v>
      </c>
      <c r="I247" s="747" t="str">
        <f>IFERROR(INDEX('[1]MARE MX'!$H:$H,MATCH("*"&amp;F247&amp;"*",'[1]MARE MX'!$F:$F,0)),"Sin dato")</f>
        <v>ENTERPRISE</v>
      </c>
      <c r="J247" s="763"/>
      <c r="K247" s="764"/>
      <c r="L247" s="785">
        <v>5500</v>
      </c>
      <c r="M247" s="785">
        <f>L247/$C$3</f>
        <v>314.28571428571428</v>
      </c>
      <c r="N247" s="747"/>
      <c r="O247" s="754" t="s">
        <v>3201</v>
      </c>
      <c r="P247" s="747"/>
      <c r="Q247" s="747"/>
      <c r="R247" s="773"/>
    </row>
    <row r="248" spans="1:18" hidden="1">
      <c r="A248" s="748" t="s">
        <v>2880</v>
      </c>
      <c r="B248" s="758" t="s">
        <v>3005</v>
      </c>
      <c r="C248" s="758"/>
      <c r="D248" s="758"/>
      <c r="E248" s="747" t="s">
        <v>93</v>
      </c>
      <c r="F248" s="747" t="s">
        <v>3202</v>
      </c>
      <c r="G248" s="747" t="s">
        <v>2814</v>
      </c>
      <c r="H248" s="747" t="s">
        <v>2885</v>
      </c>
      <c r="I248" s="747" t="str">
        <f>IFERROR(INDEX('[1]MARE MX'!$H:$H,MATCH("*"&amp;F248&amp;"*",'[1]MARE MX'!$F:$F,0)),"Sin dato")</f>
        <v>ENTERPRISE</v>
      </c>
      <c r="J248" s="763">
        <v>900</v>
      </c>
      <c r="K248" s="764">
        <v>5</v>
      </c>
      <c r="L248" s="785">
        <f>K248*J248</f>
        <v>4500</v>
      </c>
      <c r="M248" s="785">
        <f>L248/$C$3</f>
        <v>257.14285714285717</v>
      </c>
      <c r="N248" s="747"/>
      <c r="O248" s="754" t="s">
        <v>3203</v>
      </c>
      <c r="P248" s="747"/>
      <c r="Q248" s="747"/>
      <c r="R248" s="773"/>
    </row>
    <row r="249" spans="1:18" hidden="1">
      <c r="A249" s="748" t="s">
        <v>2880</v>
      </c>
      <c r="B249" s="758" t="s">
        <v>3005</v>
      </c>
      <c r="C249" s="758"/>
      <c r="D249" s="758"/>
      <c r="E249" s="747" t="s">
        <v>93</v>
      </c>
      <c r="F249" s="747" t="s">
        <v>3204</v>
      </c>
      <c r="G249" s="747" t="s">
        <v>2814</v>
      </c>
      <c r="H249" s="747" t="s">
        <v>2885</v>
      </c>
      <c r="I249" s="747" t="str">
        <f>IFERROR(INDEX('[1]MARE MX'!$H:$H,MATCH("*"&amp;F249&amp;"*",'[1]MARE MX'!$F:$F,0)),"Sin dato")</f>
        <v>ENTERPRISE</v>
      </c>
      <c r="J249" s="763">
        <v>300</v>
      </c>
      <c r="K249" s="764">
        <v>5</v>
      </c>
      <c r="L249" s="785">
        <f>K249*J249</f>
        <v>1500</v>
      </c>
      <c r="M249" s="785">
        <f>L249/$C$3</f>
        <v>85.714285714285708</v>
      </c>
      <c r="N249" s="747"/>
      <c r="O249" s="754" t="s">
        <v>3205</v>
      </c>
      <c r="P249" s="747"/>
      <c r="Q249" s="747"/>
      <c r="R249" s="773"/>
    </row>
    <row r="250" spans="1:18" ht="43.5" hidden="1">
      <c r="A250" s="748" t="s">
        <v>2880</v>
      </c>
      <c r="B250" s="758" t="s">
        <v>3005</v>
      </c>
      <c r="C250" s="758"/>
      <c r="D250" s="758"/>
      <c r="E250" s="747" t="s">
        <v>93</v>
      </c>
      <c r="F250" s="747" t="s">
        <v>3132</v>
      </c>
      <c r="G250" s="747" t="s">
        <v>2814</v>
      </c>
      <c r="H250" s="747" t="s">
        <v>2887</v>
      </c>
      <c r="I250" s="747" t="str">
        <f>IFERROR(INDEX('[1]MARE MX'!$H:$H,MATCH("*"&amp;F250&amp;"*",'[1]MARE MX'!$F:$F,0)),"Sin dato")</f>
        <v>Sin dato</v>
      </c>
      <c r="J250" s="763">
        <v>291</v>
      </c>
      <c r="K250" s="764">
        <v>8</v>
      </c>
      <c r="L250" s="785">
        <f>K250*J250</f>
        <v>2328</v>
      </c>
      <c r="M250" s="785">
        <f>L250/$C$3</f>
        <v>133.02857142857144</v>
      </c>
      <c r="N250" s="747"/>
      <c r="O250" s="754" t="s">
        <v>3206</v>
      </c>
      <c r="P250" s="747"/>
      <c r="Q250" s="747"/>
      <c r="R250" s="773"/>
    </row>
    <row r="251" spans="1:18">
      <c r="A251" s="748" t="s">
        <v>2880</v>
      </c>
      <c r="B251" s="758" t="s">
        <v>2921</v>
      </c>
      <c r="C251" s="758"/>
      <c r="D251" s="758"/>
      <c r="E251" s="747" t="s">
        <v>439</v>
      </c>
      <c r="F251" s="747" t="s">
        <v>2997</v>
      </c>
      <c r="G251" s="747" t="s">
        <v>2814</v>
      </c>
      <c r="H251" s="747" t="s">
        <v>50</v>
      </c>
      <c r="I251" s="747" t="str">
        <f>IFERROR(INDEX('[1]MARE MX'!$H:$H,MATCH("*"&amp;F251&amp;"*",'[1]MARE MX'!$F:$F,0)),"Sin dato")</f>
        <v>SMB</v>
      </c>
      <c r="J251" s="763"/>
      <c r="K251" s="764"/>
      <c r="L251" s="787">
        <v>560</v>
      </c>
      <c r="M251" s="787">
        <f>L251/$C$3</f>
        <v>32</v>
      </c>
      <c r="N251" s="747"/>
      <c r="O251" s="755" t="s">
        <v>3207</v>
      </c>
      <c r="P251" s="747"/>
      <c r="Q251" s="747"/>
      <c r="R251" s="773"/>
    </row>
    <row r="252" spans="1:18" ht="29.25">
      <c r="A252" s="751" t="s">
        <v>2880</v>
      </c>
      <c r="B252" s="760" t="s">
        <v>2921</v>
      </c>
      <c r="C252" s="760"/>
      <c r="D252" s="760"/>
      <c r="E252" s="752" t="s">
        <v>439</v>
      </c>
      <c r="F252" s="752" t="s">
        <v>3006</v>
      </c>
      <c r="G252" s="752" t="s">
        <v>2814</v>
      </c>
      <c r="H252" s="752" t="s">
        <v>2885</v>
      </c>
      <c r="I252" s="752" t="str">
        <f>IFERROR(INDEX('[1]MARE MX'!$H:$H,MATCH("*"&amp;F252&amp;"*",'[1]MARE MX'!$F:$F,0)),"Sin dato")</f>
        <v>SMB</v>
      </c>
      <c r="J252" s="769">
        <v>139</v>
      </c>
      <c r="K252" s="770">
        <v>9</v>
      </c>
      <c r="L252" s="770">
        <f>K252*J252</f>
        <v>1251</v>
      </c>
      <c r="M252" s="770">
        <f>L252/$C$3</f>
        <v>71.48571428571428</v>
      </c>
      <c r="N252" s="752"/>
      <c r="O252" s="756" t="s">
        <v>3208</v>
      </c>
      <c r="P252" s="752" t="s">
        <v>3008</v>
      </c>
      <c r="Q252" s="752"/>
      <c r="R252" s="774"/>
    </row>
    <row r="253" spans="1:18" ht="43.5">
      <c r="A253" s="807" t="s">
        <v>2880</v>
      </c>
      <c r="B253" s="760" t="s">
        <v>2921</v>
      </c>
      <c r="C253" s="808"/>
      <c r="D253" s="808"/>
      <c r="E253" s="747" t="s">
        <v>439</v>
      </c>
      <c r="F253" s="809" t="s">
        <v>3209</v>
      </c>
      <c r="G253" s="809" t="s">
        <v>2814</v>
      </c>
      <c r="H253" s="809" t="s">
        <v>2885</v>
      </c>
      <c r="I253" s="809" t="str">
        <f>IFERROR(INDEX('[1]MARE MX'!$H:$H,MATCH("*"&amp;F253&amp;"*",'[1]MARE MX'!$F:$F,0)),"Sin dato")</f>
        <v>SMB</v>
      </c>
      <c r="J253" s="810">
        <v>65</v>
      </c>
      <c r="K253" s="811">
        <v>10</v>
      </c>
      <c r="L253" s="811">
        <f>K253*J253</f>
        <v>650</v>
      </c>
      <c r="M253" s="811">
        <f>L253/$C$3</f>
        <v>37.142857142857146</v>
      </c>
      <c r="N253" s="809"/>
      <c r="O253" s="816" t="s">
        <v>3210</v>
      </c>
      <c r="P253" s="809" t="s">
        <v>3008</v>
      </c>
      <c r="Q253" s="809"/>
      <c r="R253" s="817" t="s">
        <v>3211</v>
      </c>
    </row>
    <row r="254" spans="1:18" ht="57.75">
      <c r="A254" s="807" t="s">
        <v>2880</v>
      </c>
      <c r="B254" s="760" t="s">
        <v>2921</v>
      </c>
      <c r="C254" s="808"/>
      <c r="D254" s="808"/>
      <c r="E254" s="747" t="s">
        <v>439</v>
      </c>
      <c r="F254" s="809" t="s">
        <v>3212</v>
      </c>
      <c r="G254" s="747" t="s">
        <v>2814</v>
      </c>
      <c r="H254" s="809" t="s">
        <v>2904</v>
      </c>
      <c r="I254" s="809" t="str">
        <f>IFERROR(INDEX('[1]MARE MX'!$H:$H,MATCH("*"&amp;F254&amp;"*",'[1]MARE MX'!$F:$F,0)),"Sin dato")</f>
        <v>Sin dato</v>
      </c>
      <c r="J254" s="810">
        <v>447</v>
      </c>
      <c r="K254" s="811">
        <v>13</v>
      </c>
      <c r="L254" s="811">
        <f>K254*J254</f>
        <v>5811</v>
      </c>
      <c r="M254" s="811">
        <f>L254/$C$3</f>
        <v>332.05714285714288</v>
      </c>
      <c r="N254" s="809"/>
      <c r="O254" s="815" t="s">
        <v>3213</v>
      </c>
      <c r="P254" s="809"/>
      <c r="Q254" s="809"/>
      <c r="R254" s="817" t="s">
        <v>3214</v>
      </c>
    </row>
    <row r="255" spans="1:18" hidden="1">
      <c r="A255" s="807" t="s">
        <v>2880</v>
      </c>
      <c r="B255" s="760" t="s">
        <v>2921</v>
      </c>
      <c r="C255" s="808"/>
      <c r="D255" s="808"/>
      <c r="E255" s="747" t="s">
        <v>73</v>
      </c>
      <c r="F255" s="809" t="s">
        <v>3215</v>
      </c>
      <c r="G255" s="747" t="s">
        <v>2814</v>
      </c>
      <c r="H255" s="809" t="s">
        <v>49</v>
      </c>
      <c r="I255" s="809" t="str">
        <f>IFERROR(INDEX('[1]MARE MX'!$H:$H,MATCH("*"&amp;F255&amp;"*",'[1]MARE MX'!$F:$F,0)),"Sin dato")</f>
        <v>Sin dato</v>
      </c>
      <c r="J255" s="810">
        <v>7</v>
      </c>
      <c r="K255" s="812">
        <v>10</v>
      </c>
      <c r="L255" s="812">
        <f>K255*J255</f>
        <v>70</v>
      </c>
      <c r="M255" s="812">
        <f>L255/$D$3</f>
        <v>3.8888888888888888</v>
      </c>
      <c r="N255" s="809"/>
      <c r="O255" s="815"/>
      <c r="P255" s="809"/>
      <c r="Q255" s="809"/>
      <c r="R255" s="817"/>
    </row>
    <row r="256" spans="1:18" hidden="1">
      <c r="A256" s="807" t="s">
        <v>2880</v>
      </c>
      <c r="B256" s="758" t="s">
        <v>3005</v>
      </c>
      <c r="C256" s="758"/>
      <c r="D256" s="758"/>
      <c r="E256" s="747" t="s">
        <v>73</v>
      </c>
      <c r="F256" s="809" t="s">
        <v>245</v>
      </c>
      <c r="G256" s="809" t="s">
        <v>2813</v>
      </c>
      <c r="H256" s="809" t="s">
        <v>2897</v>
      </c>
      <c r="I256" s="809" t="str">
        <f>IFERROR(INDEX('[1]MARE MX'!$H:$H,MATCH("*"&amp;F256&amp;"*",'[1]MARE MX'!$F:$F,0)),"Sin dato")</f>
        <v>ENTERPRISE</v>
      </c>
      <c r="J256" s="810">
        <v>200</v>
      </c>
      <c r="K256" s="811">
        <v>30</v>
      </c>
      <c r="L256" s="811">
        <f>K256*J256</f>
        <v>6000</v>
      </c>
      <c r="M256" s="811">
        <f>L256/$D$3</f>
        <v>333.33333333333331</v>
      </c>
      <c r="N256" s="809"/>
      <c r="O256" s="815"/>
      <c r="P256" s="809"/>
      <c r="Q256" s="809"/>
      <c r="R256" s="817"/>
    </row>
    <row r="257" spans="1:18" hidden="1">
      <c r="A257" s="807" t="s">
        <v>2880</v>
      </c>
      <c r="B257" s="758" t="s">
        <v>3005</v>
      </c>
      <c r="C257" s="758"/>
      <c r="D257" s="758"/>
      <c r="E257" s="747" t="s">
        <v>439</v>
      </c>
      <c r="F257" s="809" t="s">
        <v>2979</v>
      </c>
      <c r="G257" s="809" t="s">
        <v>2882</v>
      </c>
      <c r="H257" s="809" t="s">
        <v>2973</v>
      </c>
      <c r="I257" s="809" t="str">
        <f>IFERROR(INDEX('[1]MARE MX'!$H:$H,MATCH("*"&amp;F257&amp;"*",'[1]MARE MX'!$F:$F,0)),"Sin dato")</f>
        <v>SMB</v>
      </c>
      <c r="J257" s="810">
        <v>15</v>
      </c>
      <c r="K257" s="811"/>
      <c r="L257" s="764">
        <v>300</v>
      </c>
      <c r="M257" s="764">
        <f>L257/$D$3</f>
        <v>16.666666666666668</v>
      </c>
      <c r="N257" s="809"/>
      <c r="O257" s="815"/>
      <c r="P257" s="809"/>
      <c r="Q257" s="809"/>
      <c r="R257" s="817"/>
    </row>
    <row r="258" spans="1:18" hidden="1">
      <c r="A258" s="807" t="s">
        <v>2880</v>
      </c>
      <c r="B258" s="758" t="s">
        <v>3005</v>
      </c>
      <c r="C258" s="758"/>
      <c r="D258" s="758"/>
      <c r="E258" s="747" t="s">
        <v>439</v>
      </c>
      <c r="F258" s="809" t="s">
        <v>3216</v>
      </c>
      <c r="G258" s="809" t="s">
        <v>2882</v>
      </c>
      <c r="H258" s="809" t="s">
        <v>2973</v>
      </c>
      <c r="I258" s="809" t="str">
        <f>IFERROR(INDEX('[1]MARE MX'!$H:$H,MATCH("*"&amp;F258&amp;"*",'[1]MARE MX'!$F:$F,0)),"Sin dato")</f>
        <v>Sin dato</v>
      </c>
      <c r="J258" s="810">
        <v>160</v>
      </c>
      <c r="K258" s="811"/>
      <c r="L258" s="764">
        <v>1925</v>
      </c>
      <c r="M258" s="764">
        <f>L258/$D$3</f>
        <v>106.94444444444444</v>
      </c>
      <c r="N258" s="809"/>
      <c r="O258" s="815"/>
      <c r="P258" s="809"/>
      <c r="Q258" s="809"/>
      <c r="R258" s="817"/>
    </row>
    <row r="259" spans="1:18" hidden="1">
      <c r="A259" s="807" t="s">
        <v>2880</v>
      </c>
      <c r="B259" s="758" t="s">
        <v>3005</v>
      </c>
      <c r="C259" s="758"/>
      <c r="D259" s="758"/>
      <c r="E259" s="747" t="s">
        <v>439</v>
      </c>
      <c r="F259" s="809" t="s">
        <v>3216</v>
      </c>
      <c r="G259" s="809" t="s">
        <v>2813</v>
      </c>
      <c r="H259" s="809" t="s">
        <v>2897</v>
      </c>
      <c r="I259" s="809" t="str">
        <f>IFERROR(INDEX('[1]MARE MX'!$H:$H,MATCH("*"&amp;F259&amp;"*",'[1]MARE MX'!$F:$F,0)),"Sin dato")</f>
        <v>Sin dato</v>
      </c>
      <c r="J259" s="810">
        <v>130</v>
      </c>
      <c r="K259" s="811">
        <v>43.77</v>
      </c>
      <c r="L259" s="764">
        <f>K259*J259</f>
        <v>5690.1</v>
      </c>
      <c r="M259" s="764">
        <f>L259/$D$3</f>
        <v>316.11666666666667</v>
      </c>
      <c r="N259" s="809"/>
      <c r="O259" s="815"/>
      <c r="P259" s="809"/>
      <c r="Q259" s="809"/>
      <c r="R259" s="817"/>
    </row>
    <row r="260" spans="1:18" hidden="1">
      <c r="A260" s="807" t="s">
        <v>2880</v>
      </c>
      <c r="B260" s="758" t="s">
        <v>3005</v>
      </c>
      <c r="C260" s="758"/>
      <c r="D260" s="758"/>
      <c r="E260" s="747" t="s">
        <v>439</v>
      </c>
      <c r="F260" s="809" t="s">
        <v>3217</v>
      </c>
      <c r="G260" s="809" t="s">
        <v>2813</v>
      </c>
      <c r="H260" s="809" t="s">
        <v>2897</v>
      </c>
      <c r="I260" s="809" t="str">
        <f>IFERROR(INDEX('[1]MARE MX'!$H:$H,MATCH("*"&amp;F260&amp;"*",'[1]MARE MX'!$F:$F,0)),"Sin dato")</f>
        <v>Sin dato</v>
      </c>
      <c r="J260" s="810">
        <v>400</v>
      </c>
      <c r="K260" s="811">
        <v>35</v>
      </c>
      <c r="L260" s="764">
        <f>K260*J260</f>
        <v>14000</v>
      </c>
      <c r="M260" s="764">
        <f>L260/$D$3</f>
        <v>777.77777777777783</v>
      </c>
      <c r="N260" s="809"/>
      <c r="O260" s="815"/>
      <c r="P260" s="809"/>
      <c r="Q260" s="809"/>
      <c r="R260" s="817"/>
    </row>
    <row r="261" spans="1:18" hidden="1">
      <c r="A261" s="807" t="s">
        <v>2880</v>
      </c>
      <c r="B261" s="758" t="s">
        <v>3005</v>
      </c>
      <c r="C261" s="758"/>
      <c r="D261" s="758"/>
      <c r="E261" s="747" t="s">
        <v>439</v>
      </c>
      <c r="F261" s="809" t="s">
        <v>2979</v>
      </c>
      <c r="G261" s="809" t="s">
        <v>2813</v>
      </c>
      <c r="H261" s="809" t="s">
        <v>2897</v>
      </c>
      <c r="I261" s="809" t="str">
        <f>IFERROR(INDEX('[1]MARE MX'!$H:$H,MATCH("*"&amp;F261&amp;"*",'[1]MARE MX'!$F:$F,0)),"Sin dato")</f>
        <v>SMB</v>
      </c>
      <c r="J261" s="810">
        <v>25</v>
      </c>
      <c r="K261" s="811">
        <v>65</v>
      </c>
      <c r="L261" s="764">
        <f>K261*J261</f>
        <v>1625</v>
      </c>
      <c r="M261" s="764">
        <f>L261/$D$3</f>
        <v>90.277777777777771</v>
      </c>
      <c r="N261" s="809"/>
      <c r="O261" s="815"/>
      <c r="P261" s="809"/>
      <c r="Q261" s="809"/>
      <c r="R261" s="817"/>
    </row>
    <row r="262" spans="1:18" hidden="1">
      <c r="A262" s="807" t="s">
        <v>2880</v>
      </c>
      <c r="B262" s="758" t="s">
        <v>3005</v>
      </c>
      <c r="C262" s="758"/>
      <c r="D262" s="758"/>
      <c r="E262" s="747" t="s">
        <v>93</v>
      </c>
      <c r="F262" s="809" t="s">
        <v>3218</v>
      </c>
      <c r="G262" s="809" t="s">
        <v>2814</v>
      </c>
      <c r="H262" s="809" t="s">
        <v>50</v>
      </c>
      <c r="I262" s="809" t="str">
        <f>IFERROR(INDEX('[1]MARE MX'!$H:$H,MATCH("*"&amp;F262&amp;"*",'[1]MARE MX'!$F:$F,0)),"Sin dato")</f>
        <v>Sin dato</v>
      </c>
      <c r="J262" s="810">
        <v>1420</v>
      </c>
      <c r="K262" s="811">
        <v>3</v>
      </c>
      <c r="L262" s="785">
        <f>K262*J262</f>
        <v>4260</v>
      </c>
      <c r="M262" s="785">
        <f>L262/$D$3</f>
        <v>236.66666666666666</v>
      </c>
      <c r="N262" s="809"/>
      <c r="O262" s="815"/>
      <c r="P262" s="809"/>
      <c r="Q262" s="809"/>
      <c r="R262" s="817"/>
    </row>
    <row r="263" spans="1:18" hidden="1">
      <c r="A263" s="807" t="s">
        <v>2880</v>
      </c>
      <c r="B263" s="758" t="s">
        <v>3005</v>
      </c>
      <c r="C263" s="758"/>
      <c r="D263" s="758"/>
      <c r="E263" s="747" t="s">
        <v>93</v>
      </c>
      <c r="F263" s="809" t="s">
        <v>3219</v>
      </c>
      <c r="G263" s="809" t="s">
        <v>2813</v>
      </c>
      <c r="H263" s="809" t="s">
        <v>2897</v>
      </c>
      <c r="I263" s="809" t="str">
        <f>IFERROR(INDEX('[1]MARE MX'!$H:$H,MATCH("*"&amp;F263&amp;"*",'[1]MARE MX'!$F:$F,0)),"Sin dato")</f>
        <v>Sin dato</v>
      </c>
      <c r="J263" s="810">
        <v>50</v>
      </c>
      <c r="K263" s="811">
        <v>20.84</v>
      </c>
      <c r="L263" s="764">
        <f>K263*J263</f>
        <v>1042</v>
      </c>
      <c r="M263" s="764">
        <f>L263/$D$3</f>
        <v>57.888888888888886</v>
      </c>
      <c r="N263" s="809"/>
      <c r="O263" s="815"/>
      <c r="P263" s="809"/>
      <c r="Q263" s="809"/>
      <c r="R263" s="817"/>
    </row>
    <row r="264" spans="1:18" hidden="1">
      <c r="A264" s="807" t="s">
        <v>2880</v>
      </c>
      <c r="B264" s="758" t="s">
        <v>3005</v>
      </c>
      <c r="C264" s="758"/>
      <c r="D264" s="758"/>
      <c r="E264" s="747" t="s">
        <v>93</v>
      </c>
      <c r="F264" s="809" t="s">
        <v>2996</v>
      </c>
      <c r="G264" s="809" t="s">
        <v>2814</v>
      </c>
      <c r="H264" s="809" t="s">
        <v>2904</v>
      </c>
      <c r="I264" s="809" t="str">
        <f>IFERROR(INDEX('[1]MARE MX'!$H:$H,MATCH("*"&amp;F264&amp;"*",'[1]MARE MX'!$F:$F,0)),"Sin dato")</f>
        <v>Sin dato</v>
      </c>
      <c r="J264" s="810">
        <v>5000</v>
      </c>
      <c r="K264" s="811">
        <v>2</v>
      </c>
      <c r="L264" s="785">
        <f>K264*J264</f>
        <v>10000</v>
      </c>
      <c r="M264" s="785">
        <f>L264/$D$3</f>
        <v>555.55555555555554</v>
      </c>
      <c r="N264" s="809"/>
      <c r="O264" s="815"/>
      <c r="P264" s="809"/>
      <c r="Q264" s="809"/>
      <c r="R264" s="817"/>
    </row>
    <row r="265" spans="1:18" hidden="1">
      <c r="B265" s="806"/>
      <c r="C265" s="806"/>
      <c r="D265" s="806"/>
      <c r="E265" s="747" t="s">
        <v>93</v>
      </c>
      <c r="F265" t="s">
        <v>3190</v>
      </c>
      <c r="G265" s="809" t="s">
        <v>2813</v>
      </c>
      <c r="L265" s="806"/>
      <c r="M265" s="806"/>
    </row>
    <row r="266" spans="1:18" hidden="1">
      <c r="B266" s="806"/>
      <c r="C266" s="806"/>
      <c r="D266" s="806"/>
      <c r="E266" s="747" t="s">
        <v>93</v>
      </c>
      <c r="F266" t="s">
        <v>3189</v>
      </c>
      <c r="G266" s="809" t="s">
        <v>2813</v>
      </c>
      <c r="L266" s="806"/>
      <c r="M266" s="806"/>
    </row>
    <row r="267" spans="1:18" hidden="1">
      <c r="A267" s="806"/>
      <c r="B267" s="758" t="s">
        <v>3005</v>
      </c>
      <c r="C267" s="758" t="s">
        <v>2800</v>
      </c>
      <c r="D267" s="758"/>
      <c r="E267" s="747" t="s">
        <v>73</v>
      </c>
      <c r="F267" s="806" t="s">
        <v>3181</v>
      </c>
      <c r="G267" s="806" t="s">
        <v>2814</v>
      </c>
      <c r="H267" s="806" t="s">
        <v>51</v>
      </c>
      <c r="I267" s="806"/>
      <c r="J267" s="806">
        <v>100</v>
      </c>
      <c r="K267" s="806">
        <v>14</v>
      </c>
      <c r="L267" s="785">
        <f>K267*J267</f>
        <v>1400</v>
      </c>
      <c r="M267" s="785">
        <f>L267/$C$3</f>
        <v>80</v>
      </c>
      <c r="N267" s="813"/>
      <c r="O267" s="814"/>
      <c r="P267" s="806"/>
      <c r="Q267" s="806"/>
      <c r="R267" s="806"/>
    </row>
    <row r="268" spans="1:18" hidden="1">
      <c r="B268" s="758" t="s">
        <v>3005</v>
      </c>
      <c r="C268" s="758" t="s">
        <v>2800</v>
      </c>
      <c r="D268" s="758"/>
      <c r="E268" s="747" t="s">
        <v>73</v>
      </c>
      <c r="F268" t="s">
        <v>3181</v>
      </c>
      <c r="G268" t="s">
        <v>2814</v>
      </c>
      <c r="H268" t="s">
        <v>2991</v>
      </c>
      <c r="J268">
        <v>1200</v>
      </c>
      <c r="K268">
        <v>2</v>
      </c>
      <c r="L268" s="785">
        <f>K268*J268</f>
        <v>2400</v>
      </c>
      <c r="M268" s="785">
        <f>L268/$C$3</f>
        <v>137.14285714285714</v>
      </c>
    </row>
    <row r="269" spans="1:18" hidden="1">
      <c r="C269" t="s">
        <v>2800</v>
      </c>
      <c r="E269" s="747" t="s">
        <v>73</v>
      </c>
      <c r="F269" t="s">
        <v>3220</v>
      </c>
      <c r="G269" t="s">
        <v>3105</v>
      </c>
      <c r="O269" s="22" t="s">
        <v>3221</v>
      </c>
    </row>
    <row r="270" spans="1:18" hidden="1">
      <c r="C270" t="s">
        <v>2800</v>
      </c>
      <c r="E270" s="747" t="s">
        <v>73</v>
      </c>
      <c r="F270" t="s">
        <v>3222</v>
      </c>
      <c r="G270" t="s">
        <v>3105</v>
      </c>
      <c r="O270" s="22" t="s">
        <v>3221</v>
      </c>
    </row>
    <row r="271" spans="1:18" hidden="1">
      <c r="A271" s="748" t="s">
        <v>2880</v>
      </c>
      <c r="B271" s="758" t="s">
        <v>3005</v>
      </c>
      <c r="C271" s="758" t="s">
        <v>2800</v>
      </c>
      <c r="D271" s="758"/>
      <c r="E271" s="747" t="s">
        <v>93</v>
      </c>
      <c r="F271" s="747" t="s">
        <v>607</v>
      </c>
      <c r="G271" s="747" t="s">
        <v>2814</v>
      </c>
      <c r="H271" s="747" t="s">
        <v>2885</v>
      </c>
      <c r="I271" s="747" t="str">
        <f>IFERROR(INDEX('[1]MARE MX'!$H:$H,MATCH("*"&amp;F271&amp;"*",'[1]MARE MX'!$F:$F,0)),"Sin dato")</f>
        <v>ENTERPRISE</v>
      </c>
      <c r="J271" s="763">
        <v>1027</v>
      </c>
      <c r="K271" s="764">
        <v>6</v>
      </c>
      <c r="L271" s="785">
        <f>K271*J271</f>
        <v>6162</v>
      </c>
      <c r="M271" s="785">
        <f>L271/$C$3</f>
        <v>352.1142857142857</v>
      </c>
      <c r="N271" s="747"/>
      <c r="O271" s="755" t="s">
        <v>3152</v>
      </c>
      <c r="P271" s="747"/>
      <c r="Q271" s="747"/>
      <c r="R271" s="773"/>
    </row>
    <row r="272" spans="1:18" hidden="1">
      <c r="A272" s="748"/>
      <c r="B272" s="758" t="s">
        <v>3005</v>
      </c>
      <c r="C272" s="758" t="s">
        <v>2800</v>
      </c>
      <c r="D272" s="758" t="s">
        <v>2802</v>
      </c>
      <c r="E272" s="747" t="s">
        <v>93</v>
      </c>
      <c r="F272" s="747" t="s">
        <v>2966</v>
      </c>
      <c r="G272" s="747" t="s">
        <v>2814</v>
      </c>
      <c r="H272" s="747" t="s">
        <v>3223</v>
      </c>
      <c r="I272" s="747" t="str">
        <f>IFERROR(INDEX('[1]MARE MX'!$H:$H,MATCH("*"&amp;F272&amp;"*",'[1]MARE MX'!$F:$F,0)),"Sin dato")</f>
        <v>Sin dato</v>
      </c>
      <c r="J272" s="763">
        <v>1271</v>
      </c>
      <c r="K272" s="764">
        <v>0.33</v>
      </c>
      <c r="L272" s="785">
        <f>M272*E3</f>
        <v>7549.74</v>
      </c>
      <c r="M272" s="785">
        <f>K272*J272</f>
        <v>419.43</v>
      </c>
      <c r="N272" s="747"/>
      <c r="O272" s="755" t="s">
        <v>3152</v>
      </c>
      <c r="P272" s="747"/>
      <c r="Q272" s="747"/>
      <c r="R272" s="773"/>
    </row>
    <row r="273" spans="1:22" hidden="1">
      <c r="A273" s="748"/>
      <c r="B273" s="758" t="s">
        <v>3005</v>
      </c>
      <c r="C273" s="758" t="s">
        <v>2800</v>
      </c>
      <c r="D273" s="758" t="s">
        <v>2802</v>
      </c>
      <c r="E273" s="747" t="s">
        <v>93</v>
      </c>
      <c r="F273" s="747" t="s">
        <v>2966</v>
      </c>
      <c r="G273" s="747" t="s">
        <v>2814</v>
      </c>
      <c r="H273" s="747" t="s">
        <v>2967</v>
      </c>
      <c r="I273" s="747" t="str">
        <f>IFERROR(INDEX('[1]MARE MX'!$H:$H,MATCH("*"&amp;F273&amp;"*",'[1]MARE MX'!$F:$F,0)),"Sin dato")</f>
        <v>Sin dato</v>
      </c>
      <c r="J273" s="763">
        <v>800</v>
      </c>
      <c r="K273" s="764"/>
      <c r="L273" s="785">
        <f>M273*E3</f>
        <v>10800</v>
      </c>
      <c r="M273" s="785">
        <v>600</v>
      </c>
      <c r="N273" s="747"/>
      <c r="O273" s="755" t="s">
        <v>3152</v>
      </c>
      <c r="P273" s="747"/>
      <c r="Q273" s="747"/>
      <c r="R273" s="773"/>
    </row>
    <row r="274" spans="1:22" ht="43.5">
      <c r="A274" s="748" t="s">
        <v>2880</v>
      </c>
      <c r="B274" s="758" t="s">
        <v>3005</v>
      </c>
      <c r="E274" s="747" t="s">
        <v>439</v>
      </c>
      <c r="F274" s="747" t="s">
        <v>3224</v>
      </c>
      <c r="G274" s="747" t="s">
        <v>2814</v>
      </c>
      <c r="H274" s="747" t="s">
        <v>45</v>
      </c>
      <c r="I274" s="747" t="str">
        <f>IFERROR(INDEX('[1]MARE MX'!$H:$H,MATCH("*"&amp;F274&amp;"*",'[1]MARE MX'!$F:$F,0)),"Sin dato")</f>
        <v>SMB</v>
      </c>
      <c r="J274" s="763">
        <v>135</v>
      </c>
      <c r="K274" s="764">
        <v>15</v>
      </c>
      <c r="L274" s="787">
        <f>K274*J274</f>
        <v>2025</v>
      </c>
      <c r="M274" s="787">
        <f>L274/$C$3</f>
        <v>115.71428571428571</v>
      </c>
      <c r="N274" s="747"/>
      <c r="O274" s="754" t="s">
        <v>3225</v>
      </c>
      <c r="P274" s="747"/>
      <c r="Q274" s="747"/>
      <c r="R274" s="773"/>
      <c r="V274" s="218"/>
    </row>
    <row r="275" spans="1:22" ht="43.5">
      <c r="A275" s="748" t="s">
        <v>2880</v>
      </c>
      <c r="B275" s="758" t="s">
        <v>3005</v>
      </c>
      <c r="E275" s="747" t="s">
        <v>439</v>
      </c>
      <c r="F275" s="747" t="s">
        <v>3224</v>
      </c>
      <c r="G275" s="747" t="s">
        <v>2814</v>
      </c>
      <c r="H275" s="747" t="s">
        <v>3226</v>
      </c>
      <c r="I275" s="747" t="str">
        <f>IFERROR(INDEX('[1]MARE MX'!$H:$H,MATCH("*"&amp;F275&amp;"*",'[1]MARE MX'!$F:$F,0)),"Sin dato")</f>
        <v>SMB</v>
      </c>
      <c r="J275" s="763">
        <v>135</v>
      </c>
      <c r="K275" s="764">
        <v>12</v>
      </c>
      <c r="L275" s="787">
        <f>K275*J275</f>
        <v>1620</v>
      </c>
      <c r="M275" s="787">
        <f>L275/$C$3</f>
        <v>92.571428571428569</v>
      </c>
      <c r="N275" s="747"/>
      <c r="O275" s="754" t="s">
        <v>3225</v>
      </c>
      <c r="P275" s="747"/>
      <c r="Q275" s="747"/>
      <c r="R275" s="773"/>
      <c r="V275" s="218"/>
    </row>
    <row r="276" spans="1:22" ht="29.25">
      <c r="A276" s="748"/>
      <c r="B276" s="758" t="s">
        <v>3005</v>
      </c>
      <c r="C276" s="758" t="s">
        <v>2800</v>
      </c>
      <c r="D276" t="s">
        <v>2802</v>
      </c>
      <c r="E276" s="747" t="s">
        <v>439</v>
      </c>
      <c r="F276" s="747" t="s">
        <v>3227</v>
      </c>
      <c r="G276" s="747" t="s">
        <v>2814</v>
      </c>
      <c r="H276" s="747" t="s">
        <v>3226</v>
      </c>
      <c r="I276" s="747" t="str">
        <f>IFERROR(INDEX('[1]MARE MX'!$H:$H,MATCH("*"&amp;F276&amp;"*",'[1]MARE MX'!$F:$F,0)),"Sin dato")</f>
        <v>Sin dato</v>
      </c>
      <c r="J276" s="763">
        <v>8</v>
      </c>
      <c r="K276" s="764">
        <f>L276/J276</f>
        <v>25</v>
      </c>
      <c r="L276" s="786">
        <v>200</v>
      </c>
      <c r="M276" s="786">
        <f>L276/$C$3</f>
        <v>11.428571428571429</v>
      </c>
      <c r="N276" s="747"/>
      <c r="O276" s="754" t="s">
        <v>3228</v>
      </c>
      <c r="P276" s="747"/>
      <c r="Q276" s="747"/>
      <c r="R276" s="773"/>
      <c r="V276" s="218"/>
    </row>
    <row r="277" spans="1:22" ht="29.25">
      <c r="A277" s="876" t="s">
        <v>3229</v>
      </c>
      <c r="B277" s="758" t="s">
        <v>3005</v>
      </c>
      <c r="C277" s="758" t="s">
        <v>2800</v>
      </c>
      <c r="D277" t="s">
        <v>2802</v>
      </c>
      <c r="E277" s="747" t="s">
        <v>439</v>
      </c>
      <c r="F277" s="747" t="s">
        <v>2953</v>
      </c>
      <c r="G277" s="747" t="s">
        <v>2814</v>
      </c>
      <c r="H277" s="747" t="s">
        <v>3226</v>
      </c>
      <c r="I277" s="747" t="str">
        <f>IFERROR(INDEX('[1]MARE MX'!$H:$H,MATCH("*"&amp;F277&amp;"*",'[1]MARE MX'!$F:$F,0)),"Sin dato")</f>
        <v>SMB</v>
      </c>
      <c r="J277" s="763">
        <v>15</v>
      </c>
      <c r="K277" s="764">
        <f>L277/J277</f>
        <v>13.333333333333334</v>
      </c>
      <c r="L277" s="786">
        <v>200</v>
      </c>
      <c r="M277" s="786">
        <f>L277/$C$3</f>
        <v>11.428571428571429</v>
      </c>
      <c r="N277" s="747"/>
      <c r="O277" s="754" t="s">
        <v>3230</v>
      </c>
      <c r="P277" s="747"/>
      <c r="Q277" s="747"/>
      <c r="R277" s="773"/>
      <c r="V277" s="218"/>
    </row>
    <row r="278" spans="1:22">
      <c r="A278" s="748"/>
      <c r="B278" s="758" t="s">
        <v>3005</v>
      </c>
      <c r="C278" s="758" t="s">
        <v>2800</v>
      </c>
      <c r="E278" s="747" t="s">
        <v>439</v>
      </c>
      <c r="F278" s="747" t="s">
        <v>3231</v>
      </c>
      <c r="G278" s="747" t="s">
        <v>2814</v>
      </c>
      <c r="H278" s="747" t="s">
        <v>2904</v>
      </c>
      <c r="I278" s="747" t="s">
        <v>562</v>
      </c>
      <c r="J278" s="763">
        <v>47</v>
      </c>
      <c r="K278" s="764">
        <v>13</v>
      </c>
      <c r="L278" s="787">
        <f>K278*J278</f>
        <v>611</v>
      </c>
      <c r="M278" s="787">
        <f>L278/$C$3</f>
        <v>34.914285714285711</v>
      </c>
      <c r="N278" s="747"/>
      <c r="O278" s="754" t="s">
        <v>3232</v>
      </c>
      <c r="P278" s="747"/>
      <c r="Q278" s="747"/>
      <c r="R278" s="773"/>
    </row>
    <row r="279" spans="1:22" hidden="1">
      <c r="A279" s="806"/>
      <c r="B279" s="758" t="s">
        <v>3005</v>
      </c>
      <c r="C279" s="758" t="s">
        <v>2800</v>
      </c>
      <c r="D279" s="758"/>
      <c r="E279" s="747" t="s">
        <v>73</v>
      </c>
      <c r="F279" s="806" t="s">
        <v>3181</v>
      </c>
      <c r="G279" s="806" t="s">
        <v>2814</v>
      </c>
      <c r="H279" s="806" t="s">
        <v>2904</v>
      </c>
      <c r="I279" s="806"/>
      <c r="J279" s="806"/>
      <c r="K279" s="806"/>
      <c r="L279" s="785">
        <f>K279*J279</f>
        <v>0</v>
      </c>
      <c r="M279" s="785">
        <f>L279/$C$3</f>
        <v>0</v>
      </c>
      <c r="N279" s="813"/>
      <c r="O279" s="814"/>
      <c r="P279" s="806"/>
      <c r="Q279" s="806"/>
      <c r="R279" s="806"/>
    </row>
  </sheetData>
  <autoFilter ref="A5:R279" xr:uid="{87DD4A04-C65E-4490-AE7B-491C3F9C82F1}">
    <filterColumn colId="4">
      <filters>
        <filter val="Karla Patiño"/>
      </filters>
    </filterColumn>
    <filterColumn colId="6">
      <filters>
        <filter val="Cross selling"/>
      </filters>
    </filterColumn>
  </autoFilter>
  <sortState xmlns:xlrd2="http://schemas.microsoft.com/office/spreadsheetml/2017/richdata2" ref="A6:R271">
    <sortCondition ref="C6:C271"/>
    <sortCondition ref="D6:D271"/>
  </sortState>
  <mergeCells count="3">
    <mergeCell ref="L1:N1"/>
    <mergeCell ref="O1:Q1"/>
    <mergeCell ref="R1:T1"/>
  </mergeCells>
  <conditionalFormatting sqref="B267 B279 B6:B255">
    <cfRule type="cellIs" dxfId="176" priority="24" operator="equal">
      <formula>"Facturado"</formula>
    </cfRule>
    <cfRule type="cellIs" dxfId="175" priority="25" operator="equal">
      <formula>"Perdido"</formula>
    </cfRule>
    <cfRule type="cellIs" dxfId="174" priority="26" operator="equal">
      <formula>"Proyectado"</formula>
    </cfRule>
  </conditionalFormatting>
  <conditionalFormatting sqref="B256">
    <cfRule type="cellIs" dxfId="173" priority="21" operator="equal">
      <formula>"Facturado"</formula>
    </cfRule>
    <cfRule type="cellIs" dxfId="172" priority="22" operator="equal">
      <formula>"Perdido"</formula>
    </cfRule>
    <cfRule type="cellIs" dxfId="171" priority="23" operator="equal">
      <formula>"Proyectado"</formula>
    </cfRule>
  </conditionalFormatting>
  <conditionalFormatting sqref="B257:B268">
    <cfRule type="cellIs" dxfId="170" priority="19" operator="equal">
      <formula>"Perdido"</formula>
    </cfRule>
    <cfRule type="cellIs" dxfId="169" priority="20" operator="equal">
      <formula>"Proyectado"</formula>
    </cfRule>
  </conditionalFormatting>
  <conditionalFormatting sqref="I234:R238 A234:G238 B207:R214 A239:R273 A279:R296 B276:C278 A215:R233 A6:R206">
    <cfRule type="expression" dxfId="168" priority="18">
      <formula>$B6="Facturado"</formula>
    </cfRule>
  </conditionalFormatting>
  <conditionalFormatting sqref="H234:H238">
    <cfRule type="expression" dxfId="167" priority="16">
      <formula>$B234="Facturado"</formula>
    </cfRule>
  </conditionalFormatting>
  <conditionalFormatting sqref="B271:B273">
    <cfRule type="cellIs" dxfId="166" priority="13" operator="equal">
      <formula>"Facturado"</formula>
    </cfRule>
    <cfRule type="cellIs" dxfId="165" priority="14" operator="equal">
      <formula>"Perdido"</formula>
    </cfRule>
    <cfRule type="cellIs" dxfId="164" priority="15" operator="equal">
      <formula>"Proyectado"</formula>
    </cfRule>
  </conditionalFormatting>
  <conditionalFormatting sqref="C274:C275">
    <cfRule type="expression" dxfId="163" priority="265">
      <formula>$B277="Facturado"</formula>
    </cfRule>
  </conditionalFormatting>
  <conditionalFormatting sqref="B276:B279">
    <cfRule type="cellIs" dxfId="162" priority="7" operator="equal">
      <formula>"Facturado"</formula>
    </cfRule>
    <cfRule type="cellIs" dxfId="161" priority="8" operator="equal">
      <formula>"Perdido"</formula>
    </cfRule>
    <cfRule type="cellIs" dxfId="160" priority="9" operator="equal">
      <formula>"Proyectado"</formula>
    </cfRule>
  </conditionalFormatting>
  <conditionalFormatting sqref="B274:B275">
    <cfRule type="cellIs" dxfId="159" priority="2" operator="equal">
      <formula>"Facturado"</formula>
    </cfRule>
    <cfRule type="cellIs" dxfId="158" priority="3" operator="equal">
      <formula>"Perdido"</formula>
    </cfRule>
    <cfRule type="cellIs" dxfId="157" priority="4" operator="equal">
      <formula>"Proyectado"</formula>
    </cfRule>
  </conditionalFormatting>
  <conditionalFormatting sqref="B274:B275">
    <cfRule type="expression" dxfId="156" priority="1">
      <formula>$B274="Facturado"</formula>
    </cfRule>
  </conditionalFormatting>
  <conditionalFormatting sqref="D276:D279 D274">
    <cfRule type="expression" dxfId="155" priority="268">
      <formula>$B278="Facturado"</formula>
    </cfRule>
  </conditionalFormatting>
  <conditionalFormatting sqref="D275">
    <cfRule type="expression" dxfId="154" priority="271">
      <formula>$B280="Facturado"</formula>
    </cfRule>
  </conditionalFormatting>
  <dataValidations count="3">
    <dataValidation type="list" allowBlank="1" showInputMessage="1" showErrorMessage="1" sqref="A73 A71 F280:F1048576" xr:uid="{5644D294-132D-424E-90EF-FD782EFE8CC8}">
      <formula1>"Facturado,Proyectado"</formula1>
    </dataValidation>
    <dataValidation type="list" allowBlank="1" showInputMessage="1" showErrorMessage="1" sqref="E2 F280:F1048576 E4:E1048576" xr:uid="{66D73649-55E0-4964-B7D2-85FB14C23664}">
      <formula1>"Up Selling,Cross selling,Arriendo"</formula1>
    </dataValidation>
    <dataValidation allowBlank="1" showInputMessage="1" showErrorMessage="1" sqref="F219:F279 F2:F217" xr:uid="{EA12CBEA-E2AC-44CE-B08E-972A73EFF41D}"/>
  </dataValidations>
  <hyperlinks>
    <hyperlink ref="A11" r:id="rId1" xr:uid="{3BE85700-4446-4661-9A3E-B1BE2295ADD2}"/>
    <hyperlink ref="A14" r:id="rId2" xr:uid="{1CF397EB-78B2-42FD-8E7A-8980624622FD}"/>
    <hyperlink ref="A15" r:id="rId3" xr:uid="{C8D9FA45-E993-4865-ACD9-E88DBBCC5D25}"/>
    <hyperlink ref="A16" r:id="rId4" xr:uid="{631E1883-76BA-4E85-9577-8F923AC40DA5}"/>
    <hyperlink ref="A17" r:id="rId5" xr:uid="{C78E9604-688E-4337-B793-66072C7C4431}"/>
    <hyperlink ref="A18" r:id="rId6" xr:uid="{CC5E8B56-5CA7-44A3-A19E-BFFEFF8DC1ED}"/>
    <hyperlink ref="A7" r:id="rId7" xr:uid="{E039574F-DF89-47B4-B340-2496FBA3566A}"/>
    <hyperlink ref="A12" r:id="rId8" xr:uid="{5C20BDDB-8950-46E6-83A0-C15218036399}"/>
    <hyperlink ref="A13" r:id="rId9" xr:uid="{6DE79992-5754-4C9A-8532-D7BB83F67D29}"/>
    <hyperlink ref="A21" r:id="rId10" xr:uid="{F544E715-94D7-4E88-BEEF-BCEB5D2F9F04}"/>
    <hyperlink ref="A22" r:id="rId11" xr:uid="{747ECCAF-C4E6-45F2-A9E5-B5A13813F804}"/>
    <hyperlink ref="A23" r:id="rId12" xr:uid="{12FF4A0E-AC14-4E05-84CB-1805193BF91F}"/>
    <hyperlink ref="A24" r:id="rId13" xr:uid="{60C8F8A1-90A7-4577-A456-347DD1E9FC56}"/>
    <hyperlink ref="A25" r:id="rId14" xr:uid="{C957D015-17E8-450F-9AC9-EF2201EE3597}"/>
    <hyperlink ref="A8" r:id="rId15" xr:uid="{37E3BDB6-8D64-448C-8485-0CCBB431CA27}"/>
    <hyperlink ref="A26" r:id="rId16" xr:uid="{FD74247D-5454-4F38-9BFC-7EBEBF4580A5}"/>
    <hyperlink ref="A27" r:id="rId17" xr:uid="{0C2A6791-4ABD-419A-9FF6-AFC903C381DC}"/>
    <hyperlink ref="A28" r:id="rId18" xr:uid="{57DF795A-4B43-4DD8-88D6-47C54370AF32}"/>
    <hyperlink ref="A29" r:id="rId19" xr:uid="{991AD6A0-95F3-4427-A346-BD8C4A23DF50}"/>
    <hyperlink ref="A30" r:id="rId20" xr:uid="{604F887C-D79E-4389-935B-3546B5CB7002}"/>
    <hyperlink ref="A37" r:id="rId21" xr:uid="{4034BE08-B56E-48CC-957B-06BEC6A77A21}"/>
    <hyperlink ref="A38" r:id="rId22" xr:uid="{94F5632E-A6AC-4AA9-9383-A967CC11B32F}"/>
    <hyperlink ref="A40" r:id="rId23" xr:uid="{6BCECBE0-F36C-4CB0-AFC3-8F382EC8D499}"/>
    <hyperlink ref="A41" r:id="rId24" xr:uid="{C72E893B-F55B-4B82-B471-2A5173D558CA}"/>
    <hyperlink ref="A42" r:id="rId25" xr:uid="{C02C7F4E-0F0C-48A3-B56D-4C05D06D6755}"/>
    <hyperlink ref="A43" r:id="rId26" xr:uid="{5B01F902-6908-4AFD-BF59-B2608ECE2748}"/>
    <hyperlink ref="A44" r:id="rId27" xr:uid="{149C1E5F-E66F-4DFD-BD92-95528012542C}"/>
    <hyperlink ref="A31" r:id="rId28" xr:uid="{A115B5F9-08D1-42F3-A663-9D4A8A8867A3}"/>
    <hyperlink ref="A32" r:id="rId29" xr:uid="{05860DBA-EA62-42A8-9EDB-E42DEA1C0DC6}"/>
    <hyperlink ref="A33" r:id="rId30" xr:uid="{CED6ECB0-B7A2-4163-B84F-D9DC49BAB5E6}"/>
    <hyperlink ref="A34" r:id="rId31" xr:uid="{1FC2883C-878F-43E4-A220-06C53C6FEE2C}"/>
    <hyperlink ref="A35" r:id="rId32" xr:uid="{74EA9356-1B8B-4CC5-AE69-5224FCBC8909}"/>
    <hyperlink ref="A45" r:id="rId33" xr:uid="{637BC367-D66C-4352-9AB3-9F8CA13DF100}"/>
    <hyperlink ref="A65" r:id="rId34" xr:uid="{1E5A6F41-201E-4C89-9952-1CA623FC2A11}"/>
    <hyperlink ref="A66" r:id="rId35" xr:uid="{1EBA2530-CC89-40DF-8901-2A79E514A635}"/>
    <hyperlink ref="A67" r:id="rId36" xr:uid="{00D6AED0-9FFC-4369-B4A6-2B75ECE53E4B}"/>
    <hyperlink ref="A68" r:id="rId37" xr:uid="{8564B064-C439-4953-B4D3-987C8BF4996D}"/>
    <hyperlink ref="A46" r:id="rId38" xr:uid="{9426AACC-51A6-4DDC-97B0-30F69985563E}"/>
    <hyperlink ref="A47" r:id="rId39" xr:uid="{04AA8603-9895-4416-8246-F66F649680FC}"/>
    <hyperlink ref="A48" r:id="rId40" xr:uid="{5E783AD7-5F96-4294-9360-FDCC5EFED591}"/>
    <hyperlink ref="A49" r:id="rId41" xr:uid="{AD44691F-D245-44D3-BE73-592BFC524B1C}"/>
    <hyperlink ref="A50" r:id="rId42" xr:uid="{DB7CA314-7DB7-4CB7-A5DD-D8819E1C5B13}"/>
    <hyperlink ref="A52" r:id="rId43" xr:uid="{F7E17634-392B-42F9-956F-48CE44E1D87D}"/>
    <hyperlink ref="A53" r:id="rId44" xr:uid="{AE383A6D-1284-4279-B23D-298BC07AB474}"/>
    <hyperlink ref="A54" r:id="rId45" xr:uid="{82F17460-4C0D-4D2C-A513-01D8FA770622}"/>
    <hyperlink ref="A56" r:id="rId46" xr:uid="{23ECC201-52F4-4701-953F-0DE6808E42A6}"/>
    <hyperlink ref="A57" r:id="rId47" xr:uid="{0F6AC964-734D-4DA5-A7FE-F241902D9679}"/>
    <hyperlink ref="A69" r:id="rId48" xr:uid="{05AD106D-6273-413B-872B-7428074BDB13}"/>
    <hyperlink ref="A58" r:id="rId49" xr:uid="{AA61F679-0C5D-4796-B860-6E9644CFAA32}"/>
    <hyperlink ref="A70" r:id="rId50" xr:uid="{98B85FD2-E161-4BAB-96CE-8B2D2FD1FE5E}"/>
    <hyperlink ref="A71" r:id="rId51" xr:uid="{F4070609-9315-443C-B56B-3ACF739158F4}"/>
    <hyperlink ref="A116" r:id="rId52" xr:uid="{EEAD8828-9835-4420-BB98-EC0D6A8BCDE4}"/>
    <hyperlink ref="A155" r:id="rId53" xr:uid="{11BB20E5-95B9-4B0E-B931-535F6A091E3E}"/>
    <hyperlink ref="A156" r:id="rId54" xr:uid="{D1573467-0EE8-4269-A693-5C536A17C026}"/>
    <hyperlink ref="A117" r:id="rId55" xr:uid="{475143EE-6952-4A4F-A5A9-36A1AD776C00}"/>
    <hyperlink ref="A133" r:id="rId56" xr:uid="{6AA68067-714A-426C-A438-6ED54F057EC7}"/>
    <hyperlink ref="A105" r:id="rId57" xr:uid="{7677E633-69DD-4443-9700-F67AAB205DE3}"/>
    <hyperlink ref="A111" r:id="rId58" xr:uid="{145CCE08-543D-41F3-9DB4-EB9A91EA9886}"/>
    <hyperlink ref="A112" r:id="rId59" xr:uid="{5D47F429-4177-4B0A-B909-9E1D53BAFC5E}"/>
    <hyperlink ref="A85" r:id="rId60" xr:uid="{44DCA7A1-26ED-4F85-8D5C-ACB58AB41620}"/>
    <hyperlink ref="A86" r:id="rId61" xr:uid="{BE3DFA3C-2298-44D1-8BCC-E6FFE813B07D}"/>
    <hyperlink ref="A119" r:id="rId62" xr:uid="{10E7F1FC-AAE3-495B-870C-4394F1AFD98A}"/>
    <hyperlink ref="A129" r:id="rId63" xr:uid="{909EF44B-C8D4-4C66-BCC2-4388F100C472}"/>
    <hyperlink ref="A137" r:id="rId64" xr:uid="{D7E0087B-3879-4208-ADD2-E97D1ABC782C}"/>
    <hyperlink ref="A162" r:id="rId65" xr:uid="{0223027E-5929-417B-9BE7-4CA695F22CB8}"/>
    <hyperlink ref="A130" r:id="rId66" xr:uid="{3A6102C9-F1ED-48E5-9382-09843F820CF8}"/>
    <hyperlink ref="A159" r:id="rId67" xr:uid="{43BBAA38-D24E-41D9-A260-428A2FCF9A82}"/>
    <hyperlink ref="A101" r:id="rId68" xr:uid="{45E0A013-4C19-4952-884B-CBF79EFAC138}"/>
    <hyperlink ref="A87" r:id="rId69" xr:uid="{863D50DD-F159-4903-B464-9158175561E5}"/>
    <hyperlink ref="A88" r:id="rId70" xr:uid="{E5892A9C-36DD-4206-AE8F-62DECA5C677C}"/>
    <hyperlink ref="A114" r:id="rId71" xr:uid="{F84F0429-0A4C-43E2-A1A0-36038B3FF2FD}"/>
    <hyperlink ref="A139" r:id="rId72" xr:uid="{90895F28-D5D7-45DA-91D9-06533B0C3B22}"/>
    <hyperlink ref="A120" r:id="rId73" xr:uid="{D16D4B92-B7E4-4045-834C-88353D782A12}"/>
    <hyperlink ref="A163" r:id="rId74" xr:uid="{C6A2FE1C-3677-46EF-8B0E-C486E8BD84C9}"/>
    <hyperlink ref="A141" r:id="rId75" xr:uid="{DC690994-0B66-4E2F-9922-906479E0B26E}"/>
    <hyperlink ref="A102" r:id="rId76" xr:uid="{F09D1168-9A02-4D61-A85E-1D4A5B4F4DC9}"/>
    <hyperlink ref="A90" r:id="rId77" xr:uid="{A4ED08E1-CA2C-4402-B51C-8B8922CF5266}"/>
    <hyperlink ref="A164" r:id="rId78" xr:uid="{1A1B99D8-D45B-4D82-B8F7-1B16D2BBBD91}"/>
    <hyperlink ref="A165" r:id="rId79" xr:uid="{4D2DD8D5-84CB-4347-9904-87F0844C2D46}"/>
    <hyperlink ref="A131" r:id="rId80" xr:uid="{D5BB0DD0-622D-46A8-8C0A-195A6B4F88EE}"/>
    <hyperlink ref="A91" r:id="rId81" xr:uid="{AAC7806E-3B05-4CBE-876F-E383A0DE8409}"/>
    <hyperlink ref="A107" r:id="rId82" xr:uid="{3479F330-ED69-45BE-8888-965E38B74AB8}"/>
    <hyperlink ref="A108" r:id="rId83" xr:uid="{11113A85-2582-470B-A9BF-7B78B4372A40}"/>
    <hyperlink ref="A122" r:id="rId84" xr:uid="{D478C0A6-B624-4706-B2C1-3020FC28D3D3}"/>
    <hyperlink ref="A123" r:id="rId85" xr:uid="{4D139F29-0910-405F-8785-172B33691DB7}"/>
    <hyperlink ref="A124" r:id="rId86" xr:uid="{7998372C-63E7-4C76-BF10-9B7F1440EA10}"/>
    <hyperlink ref="A59" r:id="rId87" xr:uid="{14EBC4C9-54E9-4D1B-9ED1-F070F82A5811}"/>
    <hyperlink ref="A92" r:id="rId88" xr:uid="{DBE73912-AFC8-4C6C-9A99-9F54A268914F}"/>
    <hyperlink ref="A93" r:id="rId89" xr:uid="{C3F25B6C-50BE-4C3D-B9B8-928F14F5B4BF}"/>
    <hyperlink ref="A132" r:id="rId90" xr:uid="{CAFFE32C-0873-4986-A1B7-ADB586BA8E10}"/>
    <hyperlink ref="A166" r:id="rId91" xr:uid="{ABB4DA9B-CFFB-4EA0-8CE2-3A540E3F0A7D}"/>
    <hyperlink ref="A167" r:id="rId92" xr:uid="{91F2871B-3616-4FBB-B1B8-67C9E165F11A}"/>
    <hyperlink ref="A168" r:id="rId93" xr:uid="{63479601-9611-4DE3-A0B8-E3B840FBCB03}"/>
    <hyperlink ref="A169" r:id="rId94" xr:uid="{09170479-6894-469C-BFF3-78BCE1AC553D}"/>
    <hyperlink ref="A170" r:id="rId95" xr:uid="{9DAAE917-6B21-4B4A-B2EA-6A441A7710FA}"/>
    <hyperlink ref="A171" r:id="rId96" xr:uid="{30345CB3-DC20-4906-B688-D1ACD8821986}"/>
    <hyperlink ref="A172" r:id="rId97" xr:uid="{5A8C7C39-90F1-45FF-A66F-428ACBC9EEDD}"/>
    <hyperlink ref="A94" r:id="rId98" xr:uid="{7430601F-2B6A-4B90-B2E3-70F145524A89}"/>
    <hyperlink ref="A173" r:id="rId99" xr:uid="{979A0B6E-6468-4DFB-AD64-166C709C012F}"/>
    <hyperlink ref="A174" r:id="rId100" xr:uid="{E6E5AADA-7767-4651-A503-5CA8C36116E0}"/>
    <hyperlink ref="A175" r:id="rId101" xr:uid="{664400EC-89C6-4E6C-9541-CF1D1444C4C3}"/>
    <hyperlink ref="A176" r:id="rId102" xr:uid="{D14210EC-05E3-4BB3-B980-95A620A7DD0F}"/>
    <hyperlink ref="A177" r:id="rId103" xr:uid="{C307DDB1-E82C-45ED-BA4F-99CB3B77F13B}"/>
    <hyperlink ref="A178" r:id="rId104" xr:uid="{CE0B4A6C-6C24-4D8F-936D-187203CCC850}"/>
    <hyperlink ref="A179" r:id="rId105" xr:uid="{E953B94A-326D-4F9B-993D-030D3A867C5E}"/>
    <hyperlink ref="A180" r:id="rId106" xr:uid="{6E99E5EE-97CF-41E4-AC53-055F4D8A0A63}"/>
    <hyperlink ref="A181" r:id="rId107" xr:uid="{1E1C8347-E1FB-4715-8DB3-A7205A4CD9B5}"/>
    <hyperlink ref="A182" r:id="rId108" xr:uid="{1688E03E-596C-4381-8FE8-2192C0306D24}"/>
    <hyperlink ref="A183" r:id="rId109" xr:uid="{E5BAAF0A-BF6E-4217-B4F3-EFA587A1F224}"/>
    <hyperlink ref="A142" r:id="rId110" xr:uid="{1CE42A2A-9FF5-4051-B42E-93B5DFA2A7FB}"/>
    <hyperlink ref="A187" r:id="rId111" xr:uid="{9350AEB7-3150-4178-BA1E-694D11C1DC9F}"/>
    <hyperlink ref="A188" r:id="rId112" xr:uid="{98CEF47A-8834-4420-A7BA-B88301DD340C}"/>
    <hyperlink ref="A157" r:id="rId113" xr:uid="{3C34483D-2130-4B05-A918-7EA7EEA1645B}"/>
    <hyperlink ref="A191" r:id="rId114" xr:uid="{C3C5FD42-EF5B-499C-83D4-798F54969288}"/>
    <hyperlink ref="A192" r:id="rId115" xr:uid="{209E0204-5D53-4C73-B525-0E042436BA8C}"/>
    <hyperlink ref="A193" r:id="rId116" xr:uid="{F158DF7F-1CA2-45E9-A9E1-6356EB512346}"/>
    <hyperlink ref="A194" r:id="rId117" xr:uid="{78097991-667F-4BDB-9CE4-2229A71608EA}"/>
    <hyperlink ref="A195" r:id="rId118" xr:uid="{7F11EB03-272B-4F21-BF56-4F3A5E3F935B}"/>
    <hyperlink ref="A196" r:id="rId119" xr:uid="{AB26AD6A-80E0-4C4E-A8A8-BD473C1F9F50}"/>
    <hyperlink ref="A143" r:id="rId120" xr:uid="{5155AAC1-81B5-4BC7-BE15-E4541E1ADC92}"/>
    <hyperlink ref="A198" r:id="rId121" xr:uid="{BA62C3E4-F835-4562-AB74-469552A57723}"/>
    <hyperlink ref="A199" r:id="rId122" xr:uid="{1402C52B-606C-4958-B56B-64E5E67766F2}"/>
    <hyperlink ref="A200" r:id="rId123" xr:uid="{20624545-8D68-4C8C-A41D-73D2BE9B037C}"/>
    <hyperlink ref="A201" r:id="rId124" xr:uid="{5387AF44-AADD-4471-92A6-12C49C3F5BBC}"/>
    <hyperlink ref="A202" r:id="rId125" xr:uid="{874EF924-B60A-4AF0-9318-F07973C3D1A0}"/>
    <hyperlink ref="A203" r:id="rId126" xr:uid="{1EBCA3FA-11B0-4735-99E5-0C9C6BC23BC4}"/>
    <hyperlink ref="A204" r:id="rId127" xr:uid="{DD735042-2823-4016-9D2A-C3CAD5268A54}"/>
    <hyperlink ref="A205" r:id="rId128" xr:uid="{721FF108-C1A1-4349-A03F-4F03A26CE709}"/>
    <hyperlink ref="A206" r:id="rId129" xr:uid="{9E6C1CB0-4F6A-49E5-B8E2-4D780D521665}"/>
    <hyperlink ref="A241" r:id="rId130" xr:uid="{82FBB558-74AC-46BA-9CAA-1BD17BC19D65}"/>
    <hyperlink ref="A242" r:id="rId131" xr:uid="{CEB7FC5E-02DA-4BE1-B2AC-BC31497ED564}"/>
    <hyperlink ref="A219" r:id="rId132" xr:uid="{5B4AB43A-B38C-42DA-900E-37149A9EEF3B}"/>
    <hyperlink ref="A243" r:id="rId133" xr:uid="{815013FA-0FA7-48D3-A3C8-EA131BCE675F}"/>
    <hyperlink ref="A220" r:id="rId134" xr:uid="{02A5BD34-408D-4FA0-845B-8E09B1CF0E10}"/>
    <hyperlink ref="A244" r:id="rId135" xr:uid="{6336EF06-CDF9-4E9F-8899-C9004AA06936}"/>
    <hyperlink ref="A246" r:id="rId136" xr:uid="{409BB29A-88C3-4C13-81AE-7383E8919136}"/>
    <hyperlink ref="A247" r:id="rId137" xr:uid="{C7EFA356-A9B8-4AA1-B7B4-307AAE874075}"/>
    <hyperlink ref="A233" r:id="rId138" xr:uid="{69B9EDEC-0BE2-47DB-9618-73CE10A0D675}"/>
    <hyperlink ref="A248" r:id="rId139" xr:uid="{14A53BF1-B70F-4A42-9D1F-7A0222BF2865}"/>
    <hyperlink ref="A249" r:id="rId140" xr:uid="{5CEB666C-A22B-4F1E-97E5-EF5820466ECF}"/>
    <hyperlink ref="A250" r:id="rId141" xr:uid="{91E51FFE-45C2-4BEF-874F-6859A3A70591}"/>
    <hyperlink ref="A221" r:id="rId142" xr:uid="{F62F9359-D2F7-43AE-AF86-E1ED7B49AE9F}"/>
    <hyperlink ref="A252" r:id="rId143" xr:uid="{18F037D2-2669-41CD-9828-174A3903C475}"/>
    <hyperlink ref="A253" r:id="rId144" xr:uid="{11E5590D-BC8F-493D-B5FA-5B41E426D42B}"/>
    <hyperlink ref="A160" r:id="rId145" xr:uid="{A304E1FE-7D4C-41F5-A548-74D27376101D}"/>
    <hyperlink ref="A254" r:id="rId146" xr:uid="{6C3B95EC-AF5A-46A5-82D7-9671852C2524}"/>
    <hyperlink ref="A36" r:id="rId147" xr:uid="{B19C25F1-954A-48BD-8638-16678957E524}"/>
    <hyperlink ref="A74" r:id="rId148" xr:uid="{624C09F9-C210-4769-9F21-5FAA1C997AB9}"/>
    <hyperlink ref="A75" r:id="rId149" xr:uid="{B4F26E3A-715A-4BC3-A121-5F5ECFC97713}"/>
    <hyperlink ref="A76" r:id="rId150" xr:uid="{CAC7083E-9F41-43B0-B497-9DFF55B5DD26}"/>
    <hyperlink ref="A77" r:id="rId151" xr:uid="{90A6E5CE-692B-4CA1-8A4E-FAD6DC7A9ED5}"/>
    <hyperlink ref="A78" r:id="rId152" xr:uid="{A76CF0C2-FDCF-4745-BDB1-AF085FF25212}"/>
    <hyperlink ref="A72" r:id="rId153" xr:uid="{6AE0037C-75FC-4867-810F-6B74327AA40A}"/>
    <hyperlink ref="A73" r:id="rId154" xr:uid="{1F103C17-28A9-4CB2-ACF2-21701666A458}"/>
    <hyperlink ref="A79" r:id="rId155" xr:uid="{7BC02CF7-21CA-4BED-BA4B-3383AB3D8E81}"/>
    <hyperlink ref="A60" r:id="rId156" xr:uid="{C59CCDDF-287D-4937-B1F8-2EDB410F7CBA}"/>
    <hyperlink ref="A61" r:id="rId157" xr:uid="{463E2EB1-4385-4E44-8CBC-432B373E1D3A}"/>
    <hyperlink ref="A62" r:id="rId158" xr:uid="{67B676DF-C423-4DC4-985D-5730D60E739A}"/>
    <hyperlink ref="A63" r:id="rId159" xr:uid="{E5381B1A-3A84-48CE-87C8-71AEA29CA24B}"/>
    <hyperlink ref="A64" r:id="rId160" xr:uid="{1FA427D5-0C14-4BC7-B979-923EDFC6A5C1}"/>
    <hyperlink ref="A80" r:id="rId161" xr:uid="{6392A314-A21E-41AC-8B4E-2183C233BBE5}"/>
    <hyperlink ref="A81" r:id="rId162" xr:uid="{E5D4C964-70E5-4C76-8179-3B66C68EFB0F}"/>
    <hyperlink ref="A82" r:id="rId163" xr:uid="{A87D66FA-2F15-4908-95D4-496A9330A6B2}"/>
    <hyperlink ref="A83" r:id="rId164" xr:uid="{243EACB3-EE5A-4480-A398-30CF4D6D7EC0}"/>
    <hyperlink ref="A84" r:id="rId165" xr:uid="{82AD14C0-D058-4577-AC32-EFDDD8AAAB4A}"/>
    <hyperlink ref="A144" r:id="rId166" xr:uid="{4DE17FB7-F8F1-4851-ABE4-86157E0DED86}"/>
    <hyperlink ref="A110" r:id="rId167" xr:uid="{44A1116A-2B95-48FE-9B00-FB29D33A74BF}"/>
    <hyperlink ref="A103" r:id="rId168" xr:uid="{46A369A5-9AFE-4E31-B6E9-5BC13FE9F545}"/>
    <hyperlink ref="A145" r:id="rId169" xr:uid="{D11C8EFC-F0D6-4F83-A556-E4802B3795CE}"/>
    <hyperlink ref="A104" r:id="rId170" xr:uid="{B9C77683-3BA7-444B-81C9-2BC2D235CDAF}"/>
    <hyperlink ref="A146" r:id="rId171" xr:uid="{EB6C7B13-BF32-4823-8CC7-AB4ECC65E3CF}"/>
    <hyperlink ref="A147" r:id="rId172" xr:uid="{9B4BD242-5500-4AA2-96EF-F946DB92DD7A}"/>
    <hyperlink ref="A148" r:id="rId173" xr:uid="{EB3AD2D8-65C4-43AC-B6D2-B1B5F02960BA}"/>
    <hyperlink ref="A149" r:id="rId174" xr:uid="{537D85E1-0F22-4049-A5EF-90F6DF1FA2B5}"/>
    <hyperlink ref="A150" r:id="rId175" xr:uid="{DF9E4589-795C-4BB1-918B-128D8E2D6BB6}"/>
    <hyperlink ref="A95" r:id="rId176" xr:uid="{36D09B7D-4299-4FD8-B19D-D187D612541F}"/>
    <hyperlink ref="A151" r:id="rId177" xr:uid="{D417E75F-FB18-4DED-A609-B3C09F5E304A}"/>
    <hyperlink ref="A152" r:id="rId178" xr:uid="{1B47E8BB-A65F-407E-AF15-CB98FBAD496D}"/>
    <hyperlink ref="A96" r:id="rId179" xr:uid="{A57C15E7-C2EF-4290-A5CE-E317766FB5B5}"/>
    <hyperlink ref="A158" r:id="rId180" xr:uid="{3D00E314-19CE-4A41-AD39-87F78E348A6E}"/>
    <hyperlink ref="A97" r:id="rId181" xr:uid="{D8353D1C-7ADA-487C-976A-B2936CD5A311}"/>
    <hyperlink ref="A98" r:id="rId182" xr:uid="{3C57D233-AA4B-4125-A091-84105DCD4A71}"/>
    <hyperlink ref="A99" r:id="rId183" xr:uid="{591D6B60-CF43-40BC-B4C5-BBEB22D47034}"/>
    <hyperlink ref="A153" r:id="rId184" xr:uid="{375299AB-D210-4F57-881D-A65D8F89C9FF}"/>
    <hyperlink ref="A100" r:id="rId185" xr:uid="{9949DDE4-8E4C-4D14-94FD-4E4C02DD0A8F}"/>
    <hyperlink ref="A154" r:id="rId186" xr:uid="{BE1D648D-EB37-4C86-9AEB-D23B7BB34D56}"/>
    <hyperlink ref="A127" r:id="rId187" xr:uid="{F21E3B72-6385-4A13-B145-96A2D5ADF502}"/>
    <hyperlink ref="A255" r:id="rId188" xr:uid="{29E3484B-16FC-44A0-82D2-F428BF0637E7}"/>
    <hyperlink ref="A256" r:id="rId189" xr:uid="{91210F7C-9522-4F5B-964B-E1B6A04A453A}"/>
    <hyperlink ref="A257" r:id="rId190" xr:uid="{8189BF5E-8404-45FA-8E92-1A91189DFF16}"/>
    <hyperlink ref="A258" r:id="rId191" xr:uid="{C4F31EE4-99F0-4CC6-81B9-726C985F8820}"/>
    <hyperlink ref="A259" r:id="rId192" xr:uid="{21069F8D-D846-4580-B970-0395026F986E}"/>
    <hyperlink ref="A260" r:id="rId193" xr:uid="{20B7D6DA-3CB8-42C5-8C77-8A3AE627C78B}"/>
    <hyperlink ref="A261" r:id="rId194" xr:uid="{E03839CF-ED23-4EB3-9AA6-516C0F75ADF8}"/>
    <hyperlink ref="A262" r:id="rId195" xr:uid="{126C03D4-62E0-4680-ACDD-B7EB587A0FBA}"/>
    <hyperlink ref="A125" r:id="rId196" xr:uid="{E09F3017-936E-4F94-B032-E3434DE987D2}"/>
    <hyperlink ref="A263" r:id="rId197" xr:uid="{1B723060-6571-4912-91BE-EB0A157BE42B}"/>
    <hyperlink ref="A264" r:id="rId198" xr:uid="{FDCDCE81-421F-4B21-B1DE-6A842FADE2C7}"/>
    <hyperlink ref="A126" r:id="rId199" xr:uid="{8FEA838F-8926-4A76-ADE1-34E10F0CA671}"/>
    <hyperlink ref="A251" r:id="rId200" xr:uid="{D4200890-4177-4023-BDF0-5727810B6BCD}"/>
    <hyperlink ref="A161" r:id="rId201" xr:uid="{90E7BD20-7FBA-4CFB-8250-1A48BD2C7098}"/>
    <hyperlink ref="A271" r:id="rId202" xr:uid="{3858D08F-0E23-4646-8A0F-5EAFA6DFAF8E}"/>
    <hyperlink ref="A274" r:id="rId203" xr:uid="{74E68E44-5124-4C77-8E3B-DD6A2B9EEA4C}"/>
    <hyperlink ref="A207" r:id="rId204" xr:uid="{29DA06B0-E432-4E04-BF49-37BAD62CDAEB}"/>
    <hyperlink ref="A208" r:id="rId205" xr:uid="{C418E101-6B5C-41E0-BE70-B3F98B1A3D3D}"/>
    <hyperlink ref="A209" r:id="rId206" xr:uid="{45312F58-D8DD-4B87-AE78-C45DC4E9692B}"/>
    <hyperlink ref="A210" r:id="rId207" xr:uid="{B7B32309-A838-43DD-8940-2DABC0EA5606}"/>
    <hyperlink ref="A212" r:id="rId208" xr:uid="{BEAD7D9D-070D-4F38-A8D8-C339C08BFA44}"/>
    <hyperlink ref="A214" r:id="rId209" xr:uid="{0642F911-28EC-43EB-89F0-C175A5C880B8}"/>
    <hyperlink ref="A211" r:id="rId210" xr:uid="{CE29B235-E76A-406A-8967-837603526705}"/>
    <hyperlink ref="A213" r:id="rId211" xr:uid="{C6E356D9-1E75-4CA4-BC94-F069977C2138}"/>
    <hyperlink ref="A275" r:id="rId212" xr:uid="{03C5BA87-E937-439B-8133-780FA429657B}"/>
    <hyperlink ref="A277" r:id="rId213" xr:uid="{FDF5C5EC-328D-4EFA-AFD9-67C1DCBC2277}"/>
  </hyperlinks>
  <pageMargins left="0.7" right="0.7" top="0.75" bottom="0.75" header="0.3" footer="0.3"/>
  <legacyDrawing r:id="rId2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20"/>
  <sheetViews>
    <sheetView workbookViewId="0">
      <pane ySplit="1" topLeftCell="A87" activePane="bottomLeft" state="frozen"/>
      <selection pane="bottomLeft" activeCell="A97" sqref="A97"/>
    </sheetView>
  </sheetViews>
  <sheetFormatPr defaultColWidth="11.42578125" defaultRowHeight="15" customHeight="1"/>
  <cols>
    <col min="1" max="1" width="11.42578125" style="195"/>
    <col min="2" max="2" width="34" style="195" customWidth="1"/>
    <col min="3" max="3" width="19" style="195" customWidth="1"/>
    <col min="4" max="4" width="12.85546875" style="195" customWidth="1"/>
    <col min="5" max="8" width="11.42578125" style="195"/>
    <col min="9" max="9" width="11.42578125" style="268"/>
    <col min="10" max="12" width="11.42578125" style="195"/>
    <col min="13" max="13" width="14.7109375" style="195" customWidth="1"/>
    <col min="14" max="14" width="23.42578125" style="195" customWidth="1"/>
    <col min="15" max="15" width="31" style="195" customWidth="1"/>
    <col min="16" max="16384" width="11.42578125" style="195"/>
  </cols>
  <sheetData>
    <row r="1" spans="1:24" ht="42.75" customHeight="1">
      <c r="A1" s="192" t="s">
        <v>2869</v>
      </c>
      <c r="B1" s="192" t="s">
        <v>3233</v>
      </c>
      <c r="C1" s="192" t="s">
        <v>5</v>
      </c>
      <c r="D1" s="192" t="s">
        <v>3234</v>
      </c>
      <c r="E1" s="192" t="s">
        <v>3235</v>
      </c>
      <c r="F1" s="192" t="s">
        <v>2871</v>
      </c>
      <c r="G1" s="193" t="s">
        <v>3236</v>
      </c>
      <c r="H1" s="193" t="s">
        <v>3237</v>
      </c>
      <c r="I1" s="193" t="s">
        <v>3238</v>
      </c>
      <c r="J1" s="193" t="s">
        <v>3239</v>
      </c>
      <c r="K1" s="194" t="s">
        <v>3240</v>
      </c>
      <c r="L1" s="194" t="s">
        <v>2786</v>
      </c>
      <c r="M1" s="194" t="s">
        <v>3241</v>
      </c>
      <c r="N1" s="194" t="s">
        <v>3242</v>
      </c>
      <c r="O1" s="283" t="s">
        <v>2874</v>
      </c>
      <c r="P1" s="282"/>
      <c r="Q1" s="282"/>
      <c r="R1" s="282"/>
      <c r="S1" s="282"/>
      <c r="T1" s="282" t="s">
        <v>3243</v>
      </c>
      <c r="U1" s="48">
        <v>17.850000000000001</v>
      </c>
      <c r="V1" s="48"/>
      <c r="W1" s="48"/>
      <c r="X1" s="48"/>
    </row>
    <row r="2" spans="1:24" ht="15" customHeight="1">
      <c r="A2" s="195" t="s">
        <v>2818</v>
      </c>
      <c r="B2" s="195" t="s">
        <v>2654</v>
      </c>
      <c r="I2" s="269">
        <v>45</v>
      </c>
      <c r="O2" s="195" t="s">
        <v>3244</v>
      </c>
    </row>
    <row r="3" spans="1:24" s="477" customFormat="1">
      <c r="A3" s="481" t="s">
        <v>2819</v>
      </c>
      <c r="B3" s="485" t="s">
        <v>3245</v>
      </c>
      <c r="C3" s="481" t="s">
        <v>439</v>
      </c>
      <c r="D3" s="481" t="s">
        <v>562</v>
      </c>
      <c r="E3" s="481"/>
      <c r="F3" s="482"/>
      <c r="G3" s="484"/>
      <c r="H3" s="484"/>
      <c r="I3" s="483">
        <v>167.66</v>
      </c>
      <c r="J3" s="481" t="s">
        <v>2804</v>
      </c>
      <c r="K3" s="481" t="s">
        <v>22</v>
      </c>
      <c r="L3" s="481" t="s">
        <v>3246</v>
      </c>
      <c r="M3" s="481"/>
      <c r="N3" s="481" t="s">
        <v>3247</v>
      </c>
      <c r="O3" s="481" t="s">
        <v>3248</v>
      </c>
      <c r="P3" s="481"/>
      <c r="Q3" s="481"/>
      <c r="R3" s="481"/>
      <c r="S3" s="481"/>
      <c r="T3" s="481"/>
      <c r="U3" s="481"/>
    </row>
    <row r="4" spans="1:24">
      <c r="A4" s="196" t="s">
        <v>2818</v>
      </c>
      <c r="B4" s="197" t="s">
        <v>3249</v>
      </c>
      <c r="C4" s="197" t="s">
        <v>3250</v>
      </c>
      <c r="D4" s="197" t="s">
        <v>562</v>
      </c>
      <c r="E4" s="197" t="s">
        <v>143</v>
      </c>
      <c r="F4" s="198">
        <v>19</v>
      </c>
      <c r="G4" s="199">
        <v>60</v>
      </c>
      <c r="H4" s="199"/>
      <c r="I4" s="265">
        <v>63.39</v>
      </c>
      <c r="J4" s="197" t="s">
        <v>2804</v>
      </c>
      <c r="K4" s="196" t="s">
        <v>22</v>
      </c>
      <c r="L4" s="196" t="s">
        <v>3246</v>
      </c>
      <c r="M4" s="201">
        <v>46029</v>
      </c>
      <c r="N4" s="197" t="s">
        <v>3247</v>
      </c>
      <c r="O4" s="197" t="s">
        <v>3251</v>
      </c>
      <c r="P4" s="200"/>
      <c r="Q4" s="200"/>
    </row>
    <row r="5" spans="1:24">
      <c r="A5" s="196" t="s">
        <v>2818</v>
      </c>
      <c r="B5" s="197" t="s">
        <v>3252</v>
      </c>
      <c r="C5" s="196" t="s">
        <v>3250</v>
      </c>
      <c r="D5" s="196" t="s">
        <v>562</v>
      </c>
      <c r="E5" s="196" t="s">
        <v>396</v>
      </c>
      <c r="F5" s="198">
        <v>4</v>
      </c>
      <c r="G5" s="199">
        <v>70</v>
      </c>
      <c r="H5" s="199"/>
      <c r="I5" s="265">
        <v>15.57</v>
      </c>
      <c r="J5" s="196" t="s">
        <v>2804</v>
      </c>
      <c r="K5" s="196" t="s">
        <v>22</v>
      </c>
      <c r="L5" s="196" t="s">
        <v>3246</v>
      </c>
      <c r="M5" s="201">
        <v>46052</v>
      </c>
      <c r="N5" s="196" t="s">
        <v>3247</v>
      </c>
      <c r="O5" s="196" t="s">
        <v>3253</v>
      </c>
      <c r="P5" s="200"/>
      <c r="Q5" s="200"/>
      <c r="V5" s="196" t="s">
        <v>3247</v>
      </c>
      <c r="W5" s="195">
        <f>COUNTIF(N3:N34,V5)</f>
        <v>8</v>
      </c>
    </row>
    <row r="6" spans="1:24">
      <c r="A6" s="196" t="s">
        <v>2818</v>
      </c>
      <c r="B6" s="197" t="s">
        <v>3254</v>
      </c>
      <c r="C6" s="196" t="s">
        <v>3250</v>
      </c>
      <c r="D6" s="196" t="s">
        <v>562</v>
      </c>
      <c r="E6" s="196"/>
      <c r="F6" s="198"/>
      <c r="G6" s="199"/>
      <c r="H6" s="199"/>
      <c r="I6" s="265">
        <v>4.8899999999999997</v>
      </c>
      <c r="J6" s="196" t="s">
        <v>2804</v>
      </c>
      <c r="K6" s="196" t="s">
        <v>22</v>
      </c>
      <c r="L6" s="196" t="s">
        <v>3246</v>
      </c>
      <c r="M6" s="196"/>
      <c r="N6" s="196" t="s">
        <v>3247</v>
      </c>
      <c r="O6" s="196"/>
      <c r="P6" s="200"/>
      <c r="Q6" s="200"/>
      <c r="V6" s="196" t="s">
        <v>3255</v>
      </c>
      <c r="W6" s="195">
        <f>COUNTIF(N3:N34,V6)</f>
        <v>2</v>
      </c>
    </row>
    <row r="7" spans="1:24">
      <c r="A7" s="196" t="s">
        <v>2818</v>
      </c>
      <c r="B7" s="197" t="s">
        <v>3256</v>
      </c>
      <c r="C7" s="196" t="s">
        <v>3250</v>
      </c>
      <c r="D7" s="196" t="s">
        <v>562</v>
      </c>
      <c r="E7" s="196"/>
      <c r="F7" s="198"/>
      <c r="G7" s="199"/>
      <c r="H7" s="199"/>
      <c r="I7" s="265">
        <v>36.700000000000003</v>
      </c>
      <c r="J7" s="196" t="s">
        <v>2804</v>
      </c>
      <c r="K7" s="196" t="s">
        <v>22</v>
      </c>
      <c r="L7" s="196" t="s">
        <v>3246</v>
      </c>
      <c r="M7" s="196"/>
      <c r="N7" s="196" t="s">
        <v>3255</v>
      </c>
      <c r="O7" s="196" t="s">
        <v>3257</v>
      </c>
      <c r="P7" s="200"/>
      <c r="Q7" s="200"/>
      <c r="V7" s="196" t="s">
        <v>3258</v>
      </c>
      <c r="W7" s="195">
        <f>COUNTIF(N3:N34,V7)</f>
        <v>1</v>
      </c>
    </row>
    <row r="8" spans="1:24">
      <c r="A8" s="196" t="s">
        <v>2818</v>
      </c>
      <c r="B8" s="197" t="s">
        <v>3259</v>
      </c>
      <c r="C8" s="196" t="s">
        <v>3250</v>
      </c>
      <c r="D8" s="196" t="s">
        <v>562</v>
      </c>
      <c r="E8" s="196"/>
      <c r="F8" s="198">
        <v>41</v>
      </c>
      <c r="G8" s="199">
        <v>35</v>
      </c>
      <c r="H8" s="199">
        <v>1435</v>
      </c>
      <c r="I8" s="265">
        <v>79.8</v>
      </c>
      <c r="J8" s="196" t="s">
        <v>2804</v>
      </c>
      <c r="K8" s="196" t="s">
        <v>22</v>
      </c>
      <c r="L8" s="196" t="s">
        <v>3246</v>
      </c>
      <c r="M8" s="196"/>
      <c r="N8" s="196"/>
      <c r="O8" s="196" t="s">
        <v>3260</v>
      </c>
      <c r="P8" s="200"/>
      <c r="Q8" s="200"/>
      <c r="R8" s="200"/>
      <c r="S8" s="200"/>
      <c r="T8" s="200"/>
      <c r="U8" s="200"/>
      <c r="V8" s="196" t="s">
        <v>3261</v>
      </c>
      <c r="W8" s="195">
        <f>COUNTIF(N3:N34,V8)</f>
        <v>8</v>
      </c>
    </row>
    <row r="9" spans="1:24">
      <c r="A9" s="196" t="s">
        <v>2818</v>
      </c>
      <c r="B9" s="197" t="s">
        <v>3262</v>
      </c>
      <c r="C9" s="196" t="s">
        <v>3250</v>
      </c>
      <c r="D9" s="196" t="s">
        <v>562</v>
      </c>
      <c r="E9" s="196" t="s">
        <v>161</v>
      </c>
      <c r="F9" s="198">
        <v>14</v>
      </c>
      <c r="G9" s="199">
        <v>61.1</v>
      </c>
      <c r="H9" s="199">
        <v>855.45</v>
      </c>
      <c r="I9" s="265">
        <v>45.88</v>
      </c>
      <c r="J9" s="196" t="s">
        <v>2804</v>
      </c>
      <c r="K9" s="196" t="s">
        <v>22</v>
      </c>
      <c r="L9" s="196" t="s">
        <v>3246</v>
      </c>
      <c r="M9" s="196"/>
      <c r="N9" s="196" t="s">
        <v>3258</v>
      </c>
      <c r="O9" s="196" t="s">
        <v>3263</v>
      </c>
      <c r="P9" s="200"/>
      <c r="Q9" s="200"/>
      <c r="R9" s="200"/>
      <c r="S9" s="200"/>
      <c r="T9" s="200"/>
      <c r="U9" s="200"/>
      <c r="V9" s="196" t="s">
        <v>3264</v>
      </c>
      <c r="W9" s="195">
        <f>COUNTIF(N3:N34,V9)</f>
        <v>1</v>
      </c>
    </row>
    <row r="10" spans="1:24">
      <c r="A10" s="196" t="s">
        <v>2818</v>
      </c>
      <c r="B10" s="196" t="s">
        <v>3265</v>
      </c>
      <c r="C10" s="196" t="s">
        <v>3250</v>
      </c>
      <c r="D10" s="196" t="s">
        <v>562</v>
      </c>
      <c r="E10" s="196"/>
      <c r="F10" s="198"/>
      <c r="G10" s="199"/>
      <c r="H10" s="199"/>
      <c r="I10" s="265">
        <v>42.54</v>
      </c>
      <c r="J10" s="196" t="s">
        <v>2804</v>
      </c>
      <c r="K10" s="196" t="s">
        <v>22</v>
      </c>
      <c r="L10" s="196" t="s">
        <v>3246</v>
      </c>
      <c r="M10" s="196"/>
      <c r="N10" s="196" t="s">
        <v>3255</v>
      </c>
      <c r="O10" s="196" t="s">
        <v>3257</v>
      </c>
      <c r="P10" s="200"/>
      <c r="Q10" s="200"/>
      <c r="R10" s="200"/>
      <c r="S10" s="200"/>
      <c r="T10" s="200"/>
      <c r="U10" s="200"/>
      <c r="V10" s="196" t="s">
        <v>3266</v>
      </c>
      <c r="W10" s="195">
        <f>COUNTIF(N3:N34,V10)</f>
        <v>0</v>
      </c>
    </row>
    <row r="11" spans="1:24">
      <c r="A11" s="196" t="s">
        <v>2818</v>
      </c>
      <c r="B11" s="196" t="s">
        <v>3267</v>
      </c>
      <c r="C11" s="196" t="s">
        <v>3250</v>
      </c>
      <c r="D11" s="196" t="s">
        <v>562</v>
      </c>
      <c r="E11" s="196" t="s">
        <v>396</v>
      </c>
      <c r="F11" s="198">
        <v>4</v>
      </c>
      <c r="G11" s="199">
        <v>67.739999999999995</v>
      </c>
      <c r="H11" s="199">
        <v>270.95999999999998</v>
      </c>
      <c r="I11" s="265">
        <v>15.07</v>
      </c>
      <c r="J11" s="196" t="s">
        <v>2804</v>
      </c>
      <c r="K11" s="196" t="s">
        <v>22</v>
      </c>
      <c r="L11" s="196" t="s">
        <v>3246</v>
      </c>
      <c r="M11" s="201">
        <v>46052</v>
      </c>
      <c r="N11" s="196" t="s">
        <v>3261</v>
      </c>
      <c r="O11" s="196" t="s">
        <v>3268</v>
      </c>
      <c r="P11" s="200"/>
      <c r="Q11" s="200"/>
      <c r="R11" s="200"/>
      <c r="S11" s="200"/>
      <c r="T11" s="200"/>
      <c r="U11" s="200"/>
      <c r="V11" s="202" t="s">
        <v>3269</v>
      </c>
      <c r="W11" s="195">
        <f>COUNTIF(N3:N34,V11)</f>
        <v>1</v>
      </c>
    </row>
    <row r="12" spans="1:24">
      <c r="A12" s="196" t="s">
        <v>2818</v>
      </c>
      <c r="B12" s="196" t="s">
        <v>3270</v>
      </c>
      <c r="C12" s="196" t="s">
        <v>73</v>
      </c>
      <c r="D12" s="196" t="s">
        <v>1023</v>
      </c>
      <c r="E12" s="196" t="s">
        <v>662</v>
      </c>
      <c r="F12" s="198">
        <v>112</v>
      </c>
      <c r="G12" s="199">
        <v>66.900000000000006</v>
      </c>
      <c r="H12" s="199">
        <v>7492.8</v>
      </c>
      <c r="I12" s="265">
        <v>416.65</v>
      </c>
      <c r="J12" s="196" t="s">
        <v>2804</v>
      </c>
      <c r="K12" s="196" t="s">
        <v>22</v>
      </c>
      <c r="L12" s="196" t="s">
        <v>3246</v>
      </c>
      <c r="M12" s="201">
        <v>46052</v>
      </c>
      <c r="N12" s="196" t="s">
        <v>3264</v>
      </c>
      <c r="O12" s="196" t="s">
        <v>3271</v>
      </c>
      <c r="P12" s="200"/>
      <c r="Q12" s="200"/>
      <c r="R12" s="200"/>
      <c r="S12" s="200"/>
      <c r="T12" s="200"/>
      <c r="U12" s="200"/>
      <c r="V12" s="202" t="s">
        <v>3272</v>
      </c>
      <c r="W12" s="195">
        <f>COUNTIF(N3:N34,V12)</f>
        <v>1</v>
      </c>
    </row>
    <row r="13" spans="1:24">
      <c r="A13" s="196" t="s">
        <v>2818</v>
      </c>
      <c r="B13" s="196" t="s">
        <v>3273</v>
      </c>
      <c r="C13" s="196" t="s">
        <v>73</v>
      </c>
      <c r="D13" s="196" t="s">
        <v>562</v>
      </c>
      <c r="E13" s="196" t="s">
        <v>3274</v>
      </c>
      <c r="F13" s="198">
        <v>100</v>
      </c>
      <c r="G13" s="199">
        <v>67</v>
      </c>
      <c r="H13" s="199">
        <v>6690</v>
      </c>
      <c r="I13" s="265">
        <v>372.01</v>
      </c>
      <c r="J13" s="196" t="s">
        <v>2804</v>
      </c>
      <c r="K13" s="196" t="s">
        <v>22</v>
      </c>
      <c r="L13" s="196" t="s">
        <v>3246</v>
      </c>
      <c r="M13" s="196"/>
      <c r="N13" s="196" t="s">
        <v>3261</v>
      </c>
      <c r="O13" s="196" t="s">
        <v>3275</v>
      </c>
      <c r="P13" s="200"/>
      <c r="Q13" s="200"/>
      <c r="R13" s="200"/>
      <c r="S13" s="200"/>
      <c r="T13" s="200"/>
      <c r="U13" s="200"/>
      <c r="V13" s="202" t="s">
        <v>3276</v>
      </c>
      <c r="W13" s="195">
        <f>COUNTIF(N3:N34,V13)</f>
        <v>1</v>
      </c>
    </row>
    <row r="14" spans="1:24">
      <c r="A14" s="196" t="s">
        <v>2818</v>
      </c>
      <c r="B14" s="196" t="s">
        <v>3277</v>
      </c>
      <c r="C14" s="196" t="s">
        <v>3250</v>
      </c>
      <c r="D14" s="196" t="s">
        <v>562</v>
      </c>
      <c r="E14" s="196"/>
      <c r="F14" s="198"/>
      <c r="G14" s="199"/>
      <c r="H14" s="199"/>
      <c r="I14" s="265">
        <v>177.11</v>
      </c>
      <c r="J14" s="196" t="s">
        <v>2804</v>
      </c>
      <c r="K14" s="196" t="s">
        <v>22</v>
      </c>
      <c r="L14" s="196" t="s">
        <v>3246</v>
      </c>
      <c r="M14" s="196"/>
      <c r="N14" s="196" t="s">
        <v>3247</v>
      </c>
      <c r="O14" s="196"/>
      <c r="P14" s="200"/>
      <c r="Q14" s="200"/>
      <c r="R14" s="200"/>
      <c r="S14" s="200"/>
      <c r="T14" s="200"/>
      <c r="U14" s="200"/>
      <c r="V14" s="202" t="s">
        <v>3278</v>
      </c>
      <c r="W14" s="195">
        <f>COUNTIF(N3:N34,V14)</f>
        <v>0</v>
      </c>
    </row>
    <row r="15" spans="1:24">
      <c r="A15" s="196" t="s">
        <v>2818</v>
      </c>
      <c r="B15" s="196" t="s">
        <v>3279</v>
      </c>
      <c r="C15" s="196" t="s">
        <v>3250</v>
      </c>
      <c r="D15" s="196" t="s">
        <v>562</v>
      </c>
      <c r="E15" s="196"/>
      <c r="F15" s="198"/>
      <c r="G15" s="199"/>
      <c r="H15" s="199"/>
      <c r="I15" s="265">
        <v>75.900000000000006</v>
      </c>
      <c r="J15" s="196" t="s">
        <v>2804</v>
      </c>
      <c r="K15" s="196" t="s">
        <v>22</v>
      </c>
      <c r="L15" s="196" t="s">
        <v>3246</v>
      </c>
      <c r="M15" s="196"/>
      <c r="N15" s="196" t="s">
        <v>3247</v>
      </c>
      <c r="O15" s="196"/>
      <c r="P15" s="200"/>
      <c r="Q15" s="200"/>
      <c r="R15" s="200"/>
      <c r="S15" s="200"/>
      <c r="T15" s="200"/>
      <c r="U15" s="200"/>
      <c r="V15" s="203" t="s">
        <v>3280</v>
      </c>
      <c r="W15" s="195">
        <f>COUNTIF(N3:N34,V15)</f>
        <v>1</v>
      </c>
    </row>
    <row r="16" spans="1:24">
      <c r="A16" s="196" t="s">
        <v>2818</v>
      </c>
      <c r="B16" s="196" t="s">
        <v>3281</v>
      </c>
      <c r="C16" s="196" t="s">
        <v>439</v>
      </c>
      <c r="D16" s="196" t="s">
        <v>562</v>
      </c>
      <c r="E16" s="196" t="s">
        <v>396</v>
      </c>
      <c r="F16" s="198">
        <v>83</v>
      </c>
      <c r="G16" s="199">
        <v>23.05</v>
      </c>
      <c r="H16" s="199">
        <v>1913</v>
      </c>
      <c r="I16" s="265">
        <v>106.41</v>
      </c>
      <c r="J16" s="196" t="s">
        <v>2804</v>
      </c>
      <c r="K16" s="196" t="s">
        <v>22</v>
      </c>
      <c r="L16" s="196" t="s">
        <v>3246</v>
      </c>
      <c r="M16" s="201">
        <v>46045</v>
      </c>
      <c r="N16" s="196" t="s">
        <v>3261</v>
      </c>
      <c r="O16" s="196" t="s">
        <v>3282</v>
      </c>
      <c r="P16" s="200"/>
      <c r="Q16" s="200"/>
      <c r="R16" s="200"/>
      <c r="S16" s="200"/>
      <c r="T16" s="200"/>
      <c r="U16" s="200"/>
      <c r="V16" s="203" t="s">
        <v>3283</v>
      </c>
      <c r="W16" s="195">
        <f>COUNTIF(N3:N34,V16)</f>
        <v>0</v>
      </c>
    </row>
    <row r="17" spans="1:21" s="477" customFormat="1">
      <c r="A17" s="477" t="s">
        <v>2819</v>
      </c>
      <c r="B17" s="481" t="s">
        <v>3284</v>
      </c>
      <c r="C17" s="481" t="s">
        <v>73</v>
      </c>
      <c r="D17" s="481" t="s">
        <v>1023</v>
      </c>
      <c r="E17" s="481"/>
      <c r="F17" s="482"/>
      <c r="G17" s="484"/>
      <c r="H17" s="484"/>
      <c r="I17" s="483">
        <v>1078</v>
      </c>
      <c r="J17" s="481" t="s">
        <v>2804</v>
      </c>
      <c r="K17" s="481" t="s">
        <v>22</v>
      </c>
      <c r="L17" s="481"/>
      <c r="M17" s="481"/>
      <c r="N17" s="481"/>
      <c r="O17" s="481"/>
      <c r="P17" s="481"/>
      <c r="Q17" s="481"/>
      <c r="R17" s="481"/>
      <c r="S17" s="481"/>
      <c r="T17" s="481"/>
      <c r="U17" s="481"/>
    </row>
    <row r="18" spans="1:21" s="477" customFormat="1">
      <c r="A18" s="477" t="s">
        <v>2819</v>
      </c>
      <c r="B18" s="481" t="s">
        <v>3285</v>
      </c>
      <c r="C18" s="481" t="s">
        <v>93</v>
      </c>
      <c r="D18" s="481" t="s">
        <v>1023</v>
      </c>
      <c r="E18" s="481"/>
      <c r="F18" s="482"/>
      <c r="G18" s="484"/>
      <c r="H18" s="484"/>
      <c r="I18" s="483">
        <v>3956</v>
      </c>
      <c r="J18" s="481" t="s">
        <v>2804</v>
      </c>
      <c r="K18" s="481" t="s">
        <v>22</v>
      </c>
      <c r="L18" s="481"/>
      <c r="M18" s="481"/>
      <c r="N18" s="481"/>
      <c r="O18" s="481"/>
    </row>
    <row r="19" spans="1:21">
      <c r="A19" s="202" t="s">
        <v>2818</v>
      </c>
      <c r="B19" s="202" t="s">
        <v>3286</v>
      </c>
      <c r="C19" s="202" t="s">
        <v>439</v>
      </c>
      <c r="D19" s="202" t="s">
        <v>562</v>
      </c>
      <c r="E19" s="202"/>
      <c r="F19" s="204"/>
      <c r="G19" s="205"/>
      <c r="H19" s="205"/>
      <c r="I19" s="266">
        <v>110</v>
      </c>
      <c r="J19" s="202" t="s">
        <v>22</v>
      </c>
      <c r="K19" s="202" t="s">
        <v>23</v>
      </c>
      <c r="L19" s="202" t="s">
        <v>3246</v>
      </c>
      <c r="M19" s="202"/>
      <c r="N19" s="202" t="s">
        <v>3269</v>
      </c>
      <c r="O19" s="202" t="s">
        <v>3287</v>
      </c>
    </row>
    <row r="20" spans="1:21">
      <c r="A20" s="202" t="s">
        <v>2818</v>
      </c>
      <c r="B20" s="202" t="s">
        <v>3288</v>
      </c>
      <c r="C20" s="202" t="s">
        <v>93</v>
      </c>
      <c r="D20" s="202" t="s">
        <v>1023</v>
      </c>
      <c r="E20" s="202" t="s">
        <v>86</v>
      </c>
      <c r="F20" s="204"/>
      <c r="G20" s="205"/>
      <c r="H20" s="205"/>
      <c r="I20" s="266">
        <v>256</v>
      </c>
      <c r="J20" s="202" t="s">
        <v>22</v>
      </c>
      <c r="K20" s="202" t="s">
        <v>23</v>
      </c>
      <c r="L20" s="202" t="s">
        <v>3246</v>
      </c>
      <c r="M20" s="202"/>
      <c r="N20" s="202" t="s">
        <v>3261</v>
      </c>
      <c r="O20" s="202" t="s">
        <v>3289</v>
      </c>
    </row>
    <row r="21" spans="1:21">
      <c r="A21" s="202" t="s">
        <v>2818</v>
      </c>
      <c r="B21" s="202" t="s">
        <v>3290</v>
      </c>
      <c r="C21" s="202" t="s">
        <v>93</v>
      </c>
      <c r="D21" s="202" t="s">
        <v>1023</v>
      </c>
      <c r="E21" s="202" t="s">
        <v>86</v>
      </c>
      <c r="F21" s="204"/>
      <c r="G21" s="205"/>
      <c r="H21" s="205"/>
      <c r="I21" s="266">
        <v>268</v>
      </c>
      <c r="J21" s="202" t="s">
        <v>22</v>
      </c>
      <c r="K21" s="202" t="s">
        <v>23</v>
      </c>
      <c r="L21" s="202" t="s">
        <v>3246</v>
      </c>
      <c r="M21" s="202"/>
      <c r="N21" s="202" t="s">
        <v>3261</v>
      </c>
      <c r="O21" s="202" t="s">
        <v>3289</v>
      </c>
    </row>
    <row r="22" spans="1:21">
      <c r="A22" s="202" t="s">
        <v>2818</v>
      </c>
      <c r="B22" s="202" t="s">
        <v>3291</v>
      </c>
      <c r="C22" s="202" t="s">
        <v>93</v>
      </c>
      <c r="D22" s="202" t="s">
        <v>1023</v>
      </c>
      <c r="E22" s="202" t="s">
        <v>86</v>
      </c>
      <c r="F22" s="204"/>
      <c r="G22" s="205"/>
      <c r="H22" s="205"/>
      <c r="I22" s="266">
        <v>151</v>
      </c>
      <c r="J22" s="202" t="s">
        <v>22</v>
      </c>
      <c r="K22" s="202" t="s">
        <v>23</v>
      </c>
      <c r="L22" s="202" t="s">
        <v>3246</v>
      </c>
      <c r="M22" s="202"/>
      <c r="N22" s="202" t="s">
        <v>3261</v>
      </c>
      <c r="O22" s="202" t="s">
        <v>3289</v>
      </c>
    </row>
    <row r="23" spans="1:21">
      <c r="A23" s="202" t="s">
        <v>2818</v>
      </c>
      <c r="B23" s="202" t="s">
        <v>3292</v>
      </c>
      <c r="C23" s="202" t="s">
        <v>3250</v>
      </c>
      <c r="D23" s="202" t="s">
        <v>562</v>
      </c>
      <c r="E23" s="202"/>
      <c r="F23" s="204"/>
      <c r="G23" s="205"/>
      <c r="H23" s="205"/>
      <c r="I23" s="266">
        <v>33</v>
      </c>
      <c r="J23" s="202" t="s">
        <v>22</v>
      </c>
      <c r="K23" s="202" t="s">
        <v>23</v>
      </c>
      <c r="L23" s="202" t="s">
        <v>3246</v>
      </c>
      <c r="M23" s="202"/>
      <c r="N23" s="202" t="s">
        <v>3247</v>
      </c>
      <c r="O23" s="202"/>
    </row>
    <row r="24" spans="1:21">
      <c r="A24" s="202" t="s">
        <v>2818</v>
      </c>
      <c r="B24" s="202" t="s">
        <v>3293</v>
      </c>
      <c r="C24" s="202" t="s">
        <v>439</v>
      </c>
      <c r="D24" s="202" t="s">
        <v>562</v>
      </c>
      <c r="E24" s="202"/>
      <c r="F24" s="204"/>
      <c r="G24" s="205"/>
      <c r="H24" s="205"/>
      <c r="I24" s="266">
        <v>87</v>
      </c>
      <c r="J24" s="202" t="s">
        <v>22</v>
      </c>
      <c r="K24" s="202" t="s">
        <v>23</v>
      </c>
      <c r="L24" s="202" t="s">
        <v>3246</v>
      </c>
      <c r="M24" s="202"/>
      <c r="N24" s="202" t="s">
        <v>3247</v>
      </c>
      <c r="O24" s="202"/>
    </row>
    <row r="25" spans="1:21">
      <c r="A25" s="202" t="s">
        <v>2818</v>
      </c>
      <c r="B25" s="202" t="s">
        <v>3294</v>
      </c>
      <c r="C25" s="202" t="s">
        <v>439</v>
      </c>
      <c r="D25" s="202" t="s">
        <v>562</v>
      </c>
      <c r="E25" s="202"/>
      <c r="F25" s="204"/>
      <c r="G25" s="205"/>
      <c r="H25" s="205"/>
      <c r="I25" s="266">
        <v>298</v>
      </c>
      <c r="J25" s="202" t="s">
        <v>22</v>
      </c>
      <c r="K25" s="202" t="s">
        <v>23</v>
      </c>
      <c r="L25" s="202" t="s">
        <v>3246</v>
      </c>
      <c r="M25" s="202"/>
      <c r="N25" s="202"/>
      <c r="O25" s="202"/>
    </row>
    <row r="26" spans="1:21">
      <c r="A26" s="202" t="s">
        <v>2818</v>
      </c>
      <c r="B26" s="202" t="s">
        <v>3295</v>
      </c>
      <c r="C26" s="202" t="s">
        <v>3250</v>
      </c>
      <c r="D26" s="202" t="s">
        <v>562</v>
      </c>
      <c r="E26" s="202"/>
      <c r="F26" s="204"/>
      <c r="G26" s="205"/>
      <c r="H26" s="205"/>
      <c r="I26" s="266">
        <v>20</v>
      </c>
      <c r="J26" s="202" t="s">
        <v>22</v>
      </c>
      <c r="K26" s="202" t="s">
        <v>23</v>
      </c>
      <c r="L26" s="202" t="s">
        <v>3246</v>
      </c>
      <c r="M26" s="202"/>
      <c r="N26" s="202" t="s">
        <v>3261</v>
      </c>
      <c r="O26" s="202" t="s">
        <v>3296</v>
      </c>
    </row>
    <row r="27" spans="1:21">
      <c r="A27" s="202" t="s">
        <v>2818</v>
      </c>
      <c r="B27" s="202" t="s">
        <v>3297</v>
      </c>
      <c r="C27" s="202" t="s">
        <v>439</v>
      </c>
      <c r="D27" s="202" t="s">
        <v>562</v>
      </c>
      <c r="E27" s="202" t="s">
        <v>396</v>
      </c>
      <c r="F27" s="204">
        <v>102</v>
      </c>
      <c r="G27" s="205">
        <v>40.94</v>
      </c>
      <c r="H27" s="205">
        <v>4176</v>
      </c>
      <c r="I27" s="266">
        <v>242</v>
      </c>
      <c r="J27" s="202" t="s">
        <v>22</v>
      </c>
      <c r="K27" s="202" t="s">
        <v>23</v>
      </c>
      <c r="L27" s="202" t="s">
        <v>3246</v>
      </c>
      <c r="M27" s="206">
        <v>46052</v>
      </c>
      <c r="N27" s="202" t="s">
        <v>3272</v>
      </c>
      <c r="O27" s="202" t="s">
        <v>3298</v>
      </c>
    </row>
    <row r="28" spans="1:21">
      <c r="A28" s="202" t="s">
        <v>2818</v>
      </c>
      <c r="B28" s="202" t="s">
        <v>3299</v>
      </c>
      <c r="C28" s="202" t="s">
        <v>3250</v>
      </c>
      <c r="D28" s="202" t="s">
        <v>562</v>
      </c>
      <c r="E28" s="202"/>
      <c r="F28" s="204"/>
      <c r="G28" s="205"/>
      <c r="H28" s="205"/>
      <c r="I28" s="266">
        <v>43</v>
      </c>
      <c r="J28" s="202" t="s">
        <v>22</v>
      </c>
      <c r="K28" s="202" t="s">
        <v>23</v>
      </c>
      <c r="L28" s="202" t="s">
        <v>3246</v>
      </c>
      <c r="M28" s="202"/>
      <c r="N28" s="202" t="s">
        <v>3276</v>
      </c>
      <c r="O28" s="202" t="s">
        <v>3300</v>
      </c>
    </row>
    <row r="29" spans="1:21">
      <c r="A29" s="202" t="s">
        <v>2818</v>
      </c>
      <c r="B29" s="202" t="s">
        <v>3301</v>
      </c>
      <c r="C29" s="202" t="s">
        <v>73</v>
      </c>
      <c r="D29" s="202" t="s">
        <v>562</v>
      </c>
      <c r="E29" s="202"/>
      <c r="F29" s="204"/>
      <c r="G29" s="205"/>
      <c r="H29" s="205"/>
      <c r="I29" s="266">
        <v>342</v>
      </c>
      <c r="J29" s="202" t="s">
        <v>22</v>
      </c>
      <c r="K29" s="202" t="s">
        <v>23</v>
      </c>
      <c r="L29" s="202" t="s">
        <v>3246</v>
      </c>
      <c r="M29" s="202"/>
      <c r="N29" s="202" t="s">
        <v>3302</v>
      </c>
      <c r="O29" s="202" t="s">
        <v>3303</v>
      </c>
    </row>
    <row r="30" spans="1:21">
      <c r="A30" s="203" t="s">
        <v>2818</v>
      </c>
      <c r="B30" s="203" t="s">
        <v>3304</v>
      </c>
      <c r="C30" s="203" t="s">
        <v>3250</v>
      </c>
      <c r="D30" s="203" t="s">
        <v>562</v>
      </c>
      <c r="E30" s="203"/>
      <c r="F30" s="207"/>
      <c r="G30" s="208"/>
      <c r="H30" s="208"/>
      <c r="I30" s="267">
        <v>630</v>
      </c>
      <c r="J30" s="203" t="s">
        <v>23</v>
      </c>
      <c r="K30" s="203" t="s">
        <v>24</v>
      </c>
      <c r="L30" s="203" t="s">
        <v>3246</v>
      </c>
      <c r="M30" s="203"/>
      <c r="N30" s="203"/>
      <c r="O30" s="203" t="s">
        <v>3305</v>
      </c>
    </row>
    <row r="31" spans="1:21">
      <c r="A31" s="203" t="s">
        <v>2818</v>
      </c>
      <c r="B31" s="203" t="s">
        <v>3306</v>
      </c>
      <c r="C31" s="203" t="s">
        <v>3250</v>
      </c>
      <c r="D31" s="203" t="s">
        <v>562</v>
      </c>
      <c r="E31" s="203"/>
      <c r="F31" s="207"/>
      <c r="G31" s="208"/>
      <c r="H31" s="208">
        <v>1587</v>
      </c>
      <c r="I31" s="267">
        <v>17.850000000000001</v>
      </c>
      <c r="J31" s="203" t="s">
        <v>23</v>
      </c>
      <c r="K31" s="203" t="s">
        <v>24</v>
      </c>
      <c r="L31" s="203" t="s">
        <v>3246</v>
      </c>
      <c r="M31" s="203"/>
      <c r="N31" s="203"/>
      <c r="O31" s="203" t="s">
        <v>3307</v>
      </c>
    </row>
    <row r="32" spans="1:21">
      <c r="A32" s="203" t="s">
        <v>2818</v>
      </c>
      <c r="B32" s="203" t="s">
        <v>3308</v>
      </c>
      <c r="C32" s="203" t="s">
        <v>73</v>
      </c>
      <c r="D32" s="203" t="s">
        <v>562</v>
      </c>
      <c r="E32" s="203"/>
      <c r="F32" s="207"/>
      <c r="G32" s="208"/>
      <c r="H32" s="208"/>
      <c r="I32" s="267">
        <v>169</v>
      </c>
      <c r="J32" s="203" t="s">
        <v>23</v>
      </c>
      <c r="K32" s="203" t="s">
        <v>24</v>
      </c>
      <c r="L32" s="203" t="s">
        <v>3246</v>
      </c>
      <c r="M32" s="203"/>
      <c r="N32" s="203" t="s">
        <v>3309</v>
      </c>
      <c r="O32" s="203" t="s">
        <v>3307</v>
      </c>
    </row>
    <row r="33" spans="1:15">
      <c r="A33" s="203" t="s">
        <v>2818</v>
      </c>
      <c r="B33" s="209" t="s">
        <v>3310</v>
      </c>
      <c r="C33" s="203" t="s">
        <v>439</v>
      </c>
      <c r="D33" s="203" t="s">
        <v>562</v>
      </c>
      <c r="E33" s="203"/>
      <c r="F33" s="207"/>
      <c r="G33" s="208"/>
      <c r="H33" s="208"/>
      <c r="I33" s="267">
        <v>175</v>
      </c>
      <c r="J33" s="203" t="s">
        <v>23</v>
      </c>
      <c r="K33" s="203" t="s">
        <v>24</v>
      </c>
      <c r="L33" s="203" t="s">
        <v>3246</v>
      </c>
      <c r="M33" s="203"/>
      <c r="N33" s="203" t="s">
        <v>3261</v>
      </c>
      <c r="O33" s="210" t="s">
        <v>3311</v>
      </c>
    </row>
    <row r="34" spans="1:15">
      <c r="A34" s="203" t="s">
        <v>2818</v>
      </c>
      <c r="B34" s="209" t="s">
        <v>3312</v>
      </c>
      <c r="C34" s="211" t="s">
        <v>439</v>
      </c>
      <c r="D34" s="209" t="s">
        <v>562</v>
      </c>
      <c r="E34" s="211"/>
      <c r="F34" s="212"/>
      <c r="G34" s="213"/>
      <c r="H34" s="207"/>
      <c r="I34" s="267">
        <v>250.93180000000001</v>
      </c>
      <c r="J34" s="209" t="s">
        <v>23</v>
      </c>
      <c r="K34" s="203" t="s">
        <v>24</v>
      </c>
      <c r="L34" s="203" t="s">
        <v>3246</v>
      </c>
      <c r="M34" s="203"/>
      <c r="N34" s="203" t="s">
        <v>3280</v>
      </c>
      <c r="O34" s="203"/>
    </row>
    <row r="35" spans="1:15">
      <c r="A35" s="203" t="s">
        <v>2818</v>
      </c>
      <c r="B35" s="209" t="s">
        <v>3313</v>
      </c>
      <c r="C35" s="211" t="s">
        <v>3250</v>
      </c>
      <c r="D35" s="209" t="s">
        <v>562</v>
      </c>
      <c r="E35" s="211"/>
      <c r="F35" s="212"/>
      <c r="G35" s="213"/>
      <c r="H35" s="207"/>
      <c r="I35" s="267">
        <v>52.764299999999999</v>
      </c>
      <c r="J35" s="203" t="s">
        <v>23</v>
      </c>
      <c r="K35" s="203" t="s">
        <v>24</v>
      </c>
      <c r="L35" s="203" t="s">
        <v>3246</v>
      </c>
      <c r="M35" s="203"/>
      <c r="N35" s="203"/>
      <c r="O35" s="203"/>
    </row>
    <row r="36" spans="1:15">
      <c r="A36" s="203" t="s">
        <v>2818</v>
      </c>
      <c r="B36" s="209" t="s">
        <v>2689</v>
      </c>
      <c r="C36" s="211" t="s">
        <v>3250</v>
      </c>
      <c r="D36" s="209" t="s">
        <v>562</v>
      </c>
      <c r="E36" s="211"/>
      <c r="F36" s="212"/>
      <c r="G36" s="213"/>
      <c r="H36" s="207"/>
      <c r="I36" s="267">
        <v>39.058900000000001</v>
      </c>
      <c r="J36" s="203" t="s">
        <v>23</v>
      </c>
      <c r="K36" s="203" t="s">
        <v>24</v>
      </c>
      <c r="L36" s="203" t="s">
        <v>3246</v>
      </c>
      <c r="M36" s="203"/>
      <c r="N36" s="203"/>
      <c r="O36" s="203"/>
    </row>
    <row r="37" spans="1:15">
      <c r="A37" s="203" t="s">
        <v>2818</v>
      </c>
      <c r="B37" s="209" t="s">
        <v>3314</v>
      </c>
      <c r="C37" s="211" t="s">
        <v>3250</v>
      </c>
      <c r="D37" s="209" t="s">
        <v>562</v>
      </c>
      <c r="E37" s="211"/>
      <c r="F37" s="212"/>
      <c r="G37" s="213"/>
      <c r="H37" s="207"/>
      <c r="I37" s="267">
        <v>21.043099999999999</v>
      </c>
      <c r="J37" s="203" t="s">
        <v>23</v>
      </c>
      <c r="K37" s="203" t="s">
        <v>24</v>
      </c>
      <c r="L37" s="203" t="s">
        <v>3246</v>
      </c>
      <c r="M37" s="203"/>
      <c r="N37" s="203"/>
      <c r="O37" s="203"/>
    </row>
    <row r="38" spans="1:15">
      <c r="A38" s="203" t="s">
        <v>2818</v>
      </c>
      <c r="B38" s="209" t="s">
        <v>3315</v>
      </c>
      <c r="C38" s="211" t="s">
        <v>3250</v>
      </c>
      <c r="D38" s="209" t="s">
        <v>562</v>
      </c>
      <c r="E38" s="211"/>
      <c r="F38" s="212"/>
      <c r="G38" s="213"/>
      <c r="H38" s="207"/>
      <c r="I38" s="267"/>
      <c r="J38" s="203" t="s">
        <v>23</v>
      </c>
      <c r="K38" s="203" t="s">
        <v>24</v>
      </c>
      <c r="L38" s="203" t="s">
        <v>3246</v>
      </c>
      <c r="M38" s="203"/>
      <c r="N38" s="203" t="s">
        <v>3316</v>
      </c>
      <c r="O38" s="203"/>
    </row>
    <row r="39" spans="1:15" s="102" customFormat="1">
      <c r="A39" s="196" t="s">
        <v>2818</v>
      </c>
      <c r="B39" s="214" t="s">
        <v>3317</v>
      </c>
      <c r="C39" s="196" t="s">
        <v>73</v>
      </c>
      <c r="D39" s="196" t="s">
        <v>562</v>
      </c>
      <c r="E39" s="196"/>
      <c r="F39" s="198"/>
      <c r="G39" s="196"/>
      <c r="H39" s="196"/>
      <c r="I39" s="265">
        <v>361</v>
      </c>
      <c r="J39" s="215" t="s">
        <v>24</v>
      </c>
      <c r="K39" s="215" t="s">
        <v>25</v>
      </c>
      <c r="L39" s="196" t="s">
        <v>3318</v>
      </c>
      <c r="M39" s="196"/>
      <c r="N39" s="196" t="s">
        <v>3319</v>
      </c>
      <c r="O39" s="196" t="s">
        <v>3320</v>
      </c>
    </row>
    <row r="40" spans="1:15" s="102" customFormat="1">
      <c r="A40" s="196" t="s">
        <v>2818</v>
      </c>
      <c r="B40" s="214" t="s">
        <v>2716</v>
      </c>
      <c r="C40" s="215" t="str">
        <f>INDEX('MARE MX'!E2:E555,MATCH("*"&amp;B40&amp;"*",'MARE MX'!F2:F555,0))</f>
        <v>No Asignado</v>
      </c>
      <c r="D40" s="215" t="str">
        <f>INDEX('MARE MX'!I2:I555,MATCH("*"&amp;B40&amp;"*",'MARE MX'!F2:F555,0))</f>
        <v>SMB</v>
      </c>
      <c r="E40" s="215"/>
      <c r="F40" s="215"/>
      <c r="G40" s="215"/>
      <c r="H40" s="215"/>
      <c r="I40" s="265">
        <v>75</v>
      </c>
      <c r="J40" s="215" t="s">
        <v>24</v>
      </c>
      <c r="K40" s="215" t="s">
        <v>25</v>
      </c>
      <c r="L40" s="196" t="s">
        <v>3318</v>
      </c>
      <c r="M40" s="215"/>
      <c r="N40" s="215"/>
      <c r="O40" s="215" t="s">
        <v>2818</v>
      </c>
    </row>
    <row r="41" spans="1:15" s="102" customFormat="1">
      <c r="A41" s="196" t="s">
        <v>2818</v>
      </c>
      <c r="B41" s="214" t="s">
        <v>2635</v>
      </c>
      <c r="C41" s="215" t="str">
        <f>INDEX('MARE MX'!E2:E555,MATCH("*"&amp;B41&amp;"*",'MARE MX'!F2:F555,0))</f>
        <v>No Asignado</v>
      </c>
      <c r="D41" s="215" t="str">
        <f>INDEX('MARE MX'!I2:I555,MATCH("*"&amp;B41&amp;"*",'MARE MX'!F2:F555,0))</f>
        <v>SMB</v>
      </c>
      <c r="E41" s="215"/>
      <c r="F41" s="215"/>
      <c r="G41" s="215"/>
      <c r="H41" s="215"/>
      <c r="I41" s="265">
        <v>74</v>
      </c>
      <c r="J41" s="215" t="s">
        <v>24</v>
      </c>
      <c r="K41" s="215" t="s">
        <v>25</v>
      </c>
      <c r="L41" s="196" t="s">
        <v>3318</v>
      </c>
      <c r="M41" s="215"/>
      <c r="N41" s="215"/>
      <c r="O41" s="215" t="s">
        <v>2818</v>
      </c>
    </row>
    <row r="42" spans="1:15" s="102" customFormat="1">
      <c r="A42" s="196" t="s">
        <v>2818</v>
      </c>
      <c r="B42" s="214" t="s">
        <v>2018</v>
      </c>
      <c r="C42" s="215" t="str">
        <f>INDEX('MARE MX'!E2:E555,MATCH("*"&amp;B42&amp;"*",'MARE MX'!F2:F555,0))</f>
        <v>No Asignado</v>
      </c>
      <c r="D42" s="215" t="str">
        <f>INDEX('MARE MX'!I2:I555,MATCH("*"&amp;B42&amp;"*",'MARE MX'!F2:F555,0))</f>
        <v>SMB</v>
      </c>
      <c r="E42" s="215"/>
      <c r="F42" s="215"/>
      <c r="G42" s="215"/>
      <c r="H42" s="215"/>
      <c r="I42" s="265">
        <v>64</v>
      </c>
      <c r="J42" s="215" t="s">
        <v>24</v>
      </c>
      <c r="K42" s="215" t="s">
        <v>25</v>
      </c>
      <c r="L42" s="196" t="s">
        <v>3318</v>
      </c>
      <c r="M42" s="215"/>
      <c r="N42" s="215"/>
      <c r="O42" s="215" t="s">
        <v>2818</v>
      </c>
    </row>
    <row r="43" spans="1:15" s="102" customFormat="1">
      <c r="A43" s="196" t="s">
        <v>2818</v>
      </c>
      <c r="B43" s="214" t="s">
        <v>2648</v>
      </c>
      <c r="C43" s="215" t="str">
        <f>INDEX('MARE MX'!E2:E555,MATCH("*"&amp;B43&amp;"*",'MARE MX'!F2:F555,0))</f>
        <v>No Asignado</v>
      </c>
      <c r="D43" s="215" t="str">
        <f>INDEX('MARE MX'!I2:I555,MATCH("*"&amp;B43&amp;"*",'MARE MX'!F2:F555,0))</f>
        <v>SMB</v>
      </c>
      <c r="E43" s="215"/>
      <c r="F43" s="215"/>
      <c r="G43" s="215"/>
      <c r="H43" s="215"/>
      <c r="I43" s="265">
        <v>58</v>
      </c>
      <c r="J43" s="215" t="s">
        <v>24</v>
      </c>
      <c r="K43" s="215" t="s">
        <v>25</v>
      </c>
      <c r="L43" s="196" t="s">
        <v>3318</v>
      </c>
      <c r="M43" s="215"/>
      <c r="N43" s="215"/>
      <c r="O43" s="215" t="s">
        <v>2818</v>
      </c>
    </row>
    <row r="44" spans="1:15" s="102" customFormat="1">
      <c r="A44" s="196" t="s">
        <v>2818</v>
      </c>
      <c r="B44" s="214" t="s">
        <v>2668</v>
      </c>
      <c r="C44" s="215" t="str">
        <f>INDEX('MARE MX'!E2:E555,MATCH("*"&amp;B44&amp;"*",'MARE MX'!F2:F555,0))</f>
        <v>No Asignado</v>
      </c>
      <c r="D44" s="215" t="str">
        <f>INDEX('MARE MX'!I2:I555,MATCH("*"&amp;B44&amp;"*",'MARE MX'!F2:F555,0))</f>
        <v>SMB</v>
      </c>
      <c r="E44" s="215"/>
      <c r="F44" s="215"/>
      <c r="G44" s="215"/>
      <c r="H44" s="215"/>
      <c r="I44" s="265">
        <v>54</v>
      </c>
      <c r="J44" s="215" t="s">
        <v>24</v>
      </c>
      <c r="K44" s="215" t="s">
        <v>25</v>
      </c>
      <c r="L44" s="196" t="s">
        <v>3318</v>
      </c>
      <c r="M44" s="215"/>
      <c r="N44" s="215"/>
      <c r="O44" s="215" t="s">
        <v>2818</v>
      </c>
    </row>
    <row r="45" spans="1:15" s="102" customFormat="1">
      <c r="A45" s="196" t="s">
        <v>2818</v>
      </c>
      <c r="B45" s="214" t="s">
        <v>2716</v>
      </c>
      <c r="C45" s="215" t="s">
        <v>782</v>
      </c>
      <c r="D45" s="215" t="s">
        <v>562</v>
      </c>
      <c r="E45" s="215"/>
      <c r="F45" s="215"/>
      <c r="G45" s="215"/>
      <c r="H45" s="215"/>
      <c r="I45" s="265">
        <v>75</v>
      </c>
      <c r="J45" s="215" t="s">
        <v>24</v>
      </c>
      <c r="K45" s="215" t="s">
        <v>25</v>
      </c>
      <c r="L45" s="196" t="s">
        <v>3318</v>
      </c>
      <c r="M45" s="215"/>
      <c r="N45" s="215"/>
      <c r="O45" s="215" t="s">
        <v>3321</v>
      </c>
    </row>
    <row r="46" spans="1:15" s="488" customFormat="1">
      <c r="A46" s="486" t="s">
        <v>3322</v>
      </c>
      <c r="B46" s="487" t="s">
        <v>1994</v>
      </c>
      <c r="C46" s="488" t="str">
        <f>INDEX('MARE MX'!E2:E555,MATCH("*"&amp;B46&amp;"*",'MARE MX'!F2:F555,0))</f>
        <v>No Asignado</v>
      </c>
      <c r="D46" s="488" t="str">
        <f>INDEX('MARE MX'!I2:I555,MATCH("*"&amp;B46&amp;"*",'MARE MX'!F2:F555,0))</f>
        <v>SMB</v>
      </c>
      <c r="I46" s="489">
        <v>67</v>
      </c>
      <c r="J46" s="488" t="s">
        <v>24</v>
      </c>
      <c r="K46" s="488" t="s">
        <v>25</v>
      </c>
      <c r="L46" s="486" t="s">
        <v>3318</v>
      </c>
      <c r="O46" s="488" t="s">
        <v>3323</v>
      </c>
    </row>
    <row r="47" spans="1:15" s="477" customFormat="1">
      <c r="A47" s="480" t="s">
        <v>2819</v>
      </c>
      <c r="B47" s="480" t="s">
        <v>1266</v>
      </c>
      <c r="C47" s="477" t="str">
        <f>INDEX('MARE MX'!E2:E555,MATCH("*"&amp;B47&amp;"*",'MARE MX'!F2:F555,0))</f>
        <v>Dafne de la Rosa</v>
      </c>
      <c r="D47" s="477" t="str">
        <f>INDEX('MARE MX'!I2:I555,MATCH("*"&amp;B47&amp;"*",'MARE MX'!F2:F555,0))</f>
        <v>SMB</v>
      </c>
      <c r="E47" s="481"/>
      <c r="F47" s="482"/>
      <c r="G47" s="481"/>
      <c r="H47" s="481"/>
      <c r="I47" s="483">
        <v>308</v>
      </c>
      <c r="J47" s="477" t="s">
        <v>24</v>
      </c>
      <c r="K47" s="477" t="s">
        <v>25</v>
      </c>
      <c r="L47" s="481" t="s">
        <v>3318</v>
      </c>
      <c r="M47" s="481"/>
      <c r="N47" s="481"/>
      <c r="O47" s="481" t="s">
        <v>3324</v>
      </c>
    </row>
    <row r="48" spans="1:15" s="477" customFormat="1">
      <c r="A48" s="480" t="s">
        <v>2819</v>
      </c>
      <c r="B48" s="480" t="s">
        <v>2492</v>
      </c>
      <c r="C48" s="477" t="str">
        <f>INDEX('MARE MX'!E2:E555,MATCH("*"&amp;B48&amp;"*",'MARE MX'!F2:F555,0))</f>
        <v>Dafne de la Rosa</v>
      </c>
      <c r="D48" s="477" t="str">
        <f>INDEX('MARE MX'!I2:I555,MATCH("*"&amp;B48&amp;"*",'MARE MX'!F2:F555,0))</f>
        <v>SMB</v>
      </c>
      <c r="I48" s="483">
        <v>41</v>
      </c>
      <c r="J48" s="477" t="s">
        <v>24</v>
      </c>
      <c r="K48" s="477" t="s">
        <v>25</v>
      </c>
      <c r="L48" s="477" t="s">
        <v>3318</v>
      </c>
      <c r="O48" s="477" t="s">
        <v>3325</v>
      </c>
    </row>
    <row r="49" spans="1:15" s="477" customFormat="1">
      <c r="A49" s="480" t="s">
        <v>2819</v>
      </c>
      <c r="B49" s="480" t="s">
        <v>3326</v>
      </c>
      <c r="C49" s="477" t="str">
        <f>INDEX('MARE MX'!E2:E555,MATCH("*"&amp;B49&amp;"*",'MARE MX'!F2:F555,0))</f>
        <v>Dafne de la Rosa</v>
      </c>
      <c r="D49" s="477" t="str">
        <f>INDEX('MARE MX'!I2:I555,MATCH("*"&amp;B49&amp;"*",'MARE MX'!F2:F555,0))</f>
        <v>SMB</v>
      </c>
      <c r="I49" s="483">
        <v>296</v>
      </c>
      <c r="J49" s="477" t="s">
        <v>24</v>
      </c>
      <c r="K49" s="477" t="s">
        <v>25</v>
      </c>
      <c r="L49" s="477" t="s">
        <v>3318</v>
      </c>
      <c r="O49" s="481" t="s">
        <v>3327</v>
      </c>
    </row>
    <row r="50" spans="1:15" s="477" customFormat="1">
      <c r="A50" s="480" t="s">
        <v>2819</v>
      </c>
      <c r="B50" s="480" t="s">
        <v>3328</v>
      </c>
      <c r="C50" s="477" t="s">
        <v>73</v>
      </c>
      <c r="D50" s="477" t="s">
        <v>1023</v>
      </c>
      <c r="I50" s="483">
        <v>511</v>
      </c>
      <c r="J50" s="477" t="s">
        <v>24</v>
      </c>
      <c r="K50" s="477" t="s">
        <v>25</v>
      </c>
      <c r="L50" s="477" t="s">
        <v>3318</v>
      </c>
      <c r="O50" s="481" t="s">
        <v>3329</v>
      </c>
    </row>
    <row r="51" spans="1:15" s="209" customFormat="1" ht="15" customHeight="1">
      <c r="A51" s="203" t="s">
        <v>2818</v>
      </c>
      <c r="B51" s="216" t="s">
        <v>3330</v>
      </c>
      <c r="C51" s="209" t="s">
        <v>73</v>
      </c>
      <c r="D51" s="209" t="s">
        <v>1023</v>
      </c>
      <c r="I51" s="267">
        <v>13</v>
      </c>
      <c r="J51" s="209" t="s">
        <v>25</v>
      </c>
      <c r="K51" s="209" t="s">
        <v>26</v>
      </c>
      <c r="L51" s="203" t="s">
        <v>3318</v>
      </c>
      <c r="N51" s="209" t="s">
        <v>3261</v>
      </c>
      <c r="O51" s="389" t="s">
        <v>3331</v>
      </c>
    </row>
    <row r="52" spans="1:15" s="209" customFormat="1">
      <c r="A52" s="203" t="s">
        <v>2818</v>
      </c>
      <c r="B52" s="216" t="s">
        <v>3332</v>
      </c>
      <c r="C52" s="209" t="s">
        <v>73</v>
      </c>
      <c r="D52" s="209" t="s">
        <v>1023</v>
      </c>
      <c r="I52" s="267">
        <v>44</v>
      </c>
      <c r="J52" s="209" t="s">
        <v>25</v>
      </c>
      <c r="K52" s="209" t="s">
        <v>26</v>
      </c>
      <c r="L52" s="203" t="s">
        <v>3318</v>
      </c>
      <c r="N52" s="209" t="s">
        <v>3261</v>
      </c>
      <c r="O52" s="203" t="s">
        <v>3331</v>
      </c>
    </row>
    <row r="53" spans="1:15" s="209" customFormat="1">
      <c r="A53" s="203" t="s">
        <v>2818</v>
      </c>
      <c r="B53" s="216" t="s">
        <v>3333</v>
      </c>
      <c r="C53" s="209" t="s">
        <v>73</v>
      </c>
      <c r="D53" s="209" t="s">
        <v>1023</v>
      </c>
      <c r="E53" s="203"/>
      <c r="F53" s="207"/>
      <c r="G53" s="207"/>
      <c r="H53" s="207"/>
      <c r="I53" s="267">
        <v>646</v>
      </c>
      <c r="J53" s="209" t="s">
        <v>25</v>
      </c>
      <c r="K53" s="209" t="s">
        <v>26</v>
      </c>
      <c r="L53" s="203" t="s">
        <v>3318</v>
      </c>
      <c r="M53" s="203"/>
      <c r="N53" s="209" t="s">
        <v>3261</v>
      </c>
      <c r="O53" s="203" t="s">
        <v>3331</v>
      </c>
    </row>
    <row r="54" spans="1:15" s="209" customFormat="1">
      <c r="A54" s="203" t="s">
        <v>2818</v>
      </c>
      <c r="B54" s="216" t="s">
        <v>3334</v>
      </c>
      <c r="C54" s="209" t="s">
        <v>73</v>
      </c>
      <c r="D54" s="209" t="s">
        <v>1023</v>
      </c>
      <c r="I54" s="267">
        <f>53+8</f>
        <v>61</v>
      </c>
      <c r="J54" s="209" t="s">
        <v>25</v>
      </c>
      <c r="K54" s="209" t="s">
        <v>26</v>
      </c>
      <c r="L54" s="203" t="s">
        <v>3318</v>
      </c>
      <c r="N54" s="209" t="s">
        <v>3261</v>
      </c>
      <c r="O54" s="203" t="s">
        <v>3331</v>
      </c>
    </row>
    <row r="55" spans="1:15" ht="15" customHeight="1">
      <c r="A55" s="203" t="s">
        <v>2818</v>
      </c>
      <c r="B55" s="216" t="s">
        <v>2692</v>
      </c>
      <c r="C55" s="209"/>
      <c r="D55" s="209"/>
      <c r="E55" s="209"/>
      <c r="F55" s="209"/>
      <c r="G55" s="209"/>
      <c r="H55" s="209"/>
      <c r="I55" s="267">
        <v>18</v>
      </c>
      <c r="J55" s="209" t="s">
        <v>25</v>
      </c>
      <c r="K55" s="209" t="s">
        <v>26</v>
      </c>
      <c r="L55" s="203"/>
      <c r="M55" s="209"/>
      <c r="N55" s="209"/>
      <c r="O55" s="203" t="s">
        <v>3335</v>
      </c>
    </row>
    <row r="56" spans="1:15" s="488" customFormat="1" ht="15" customHeight="1">
      <c r="A56" s="486" t="s">
        <v>3322</v>
      </c>
      <c r="B56" s="487" t="s">
        <v>869</v>
      </c>
      <c r="C56" s="490" t="s">
        <v>439</v>
      </c>
      <c r="D56" s="490" t="s">
        <v>1023</v>
      </c>
      <c r="I56" s="489">
        <v>518</v>
      </c>
      <c r="J56" s="488" t="s">
        <v>25</v>
      </c>
      <c r="K56" s="488" t="s">
        <v>26</v>
      </c>
      <c r="L56" s="486"/>
      <c r="N56" s="490"/>
      <c r="O56" s="491"/>
    </row>
    <row r="57" spans="1:15" s="488" customFormat="1" ht="15" customHeight="1">
      <c r="A57" s="488" t="s">
        <v>3322</v>
      </c>
      <c r="B57" s="488" t="s">
        <v>2306</v>
      </c>
      <c r="I57" s="492">
        <v>657</v>
      </c>
      <c r="J57" s="488" t="s">
        <v>25</v>
      </c>
      <c r="K57" s="488" t="s">
        <v>26</v>
      </c>
      <c r="O57" s="488" t="s">
        <v>3336</v>
      </c>
    </row>
    <row r="58" spans="1:15" s="488" customFormat="1" ht="15" customHeight="1">
      <c r="A58" s="488" t="s">
        <v>3322</v>
      </c>
      <c r="B58" s="488" t="s">
        <v>2736</v>
      </c>
      <c r="I58" s="492">
        <v>160</v>
      </c>
      <c r="J58" s="488" t="s">
        <v>25</v>
      </c>
      <c r="K58" s="488" t="s">
        <v>26</v>
      </c>
      <c r="O58" s="488" t="s">
        <v>3336</v>
      </c>
    </row>
    <row r="59" spans="1:15" s="488" customFormat="1" ht="15" customHeight="1">
      <c r="A59" s="488" t="s">
        <v>3322</v>
      </c>
      <c r="B59" s="488" t="s">
        <v>1804</v>
      </c>
      <c r="I59" s="492">
        <v>102</v>
      </c>
      <c r="J59" s="488" t="s">
        <v>25</v>
      </c>
      <c r="K59" s="488" t="s">
        <v>26</v>
      </c>
      <c r="O59" s="488" t="s">
        <v>3337</v>
      </c>
    </row>
    <row r="60" spans="1:15" s="477" customFormat="1" ht="15" customHeight="1">
      <c r="A60" s="477" t="s">
        <v>2819</v>
      </c>
      <c r="B60" s="477" t="s">
        <v>3338</v>
      </c>
      <c r="C60" s="477" t="s">
        <v>439</v>
      </c>
      <c r="D60" s="477" t="s">
        <v>562</v>
      </c>
      <c r="I60" s="479">
        <v>302</v>
      </c>
      <c r="J60" s="477" t="s">
        <v>25</v>
      </c>
      <c r="K60" s="477" t="s">
        <v>26</v>
      </c>
      <c r="O60" s="477" t="s">
        <v>3339</v>
      </c>
    </row>
    <row r="61" spans="1:15" s="477" customFormat="1" ht="15" customHeight="1">
      <c r="A61" s="477" t="s">
        <v>2819</v>
      </c>
      <c r="B61" s="477" t="s">
        <v>2533</v>
      </c>
      <c r="I61" s="479">
        <v>143</v>
      </c>
      <c r="J61" s="477" t="s">
        <v>25</v>
      </c>
      <c r="K61" s="477" t="s">
        <v>26</v>
      </c>
      <c r="O61" s="477" t="s">
        <v>3340</v>
      </c>
    </row>
    <row r="62" spans="1:15" s="477" customFormat="1" ht="15" customHeight="1">
      <c r="A62" s="477" t="s">
        <v>2819</v>
      </c>
      <c r="B62" s="477" t="s">
        <v>2633</v>
      </c>
      <c r="I62" s="479">
        <v>56</v>
      </c>
      <c r="J62" s="477" t="s">
        <v>25</v>
      </c>
      <c r="K62" s="477" t="s">
        <v>26</v>
      </c>
      <c r="O62" s="477" t="s">
        <v>3341</v>
      </c>
    </row>
    <row r="63" spans="1:15" s="477" customFormat="1" ht="15" customHeight="1">
      <c r="A63" s="477" t="s">
        <v>2819</v>
      </c>
      <c r="B63" s="477" t="s">
        <v>2677</v>
      </c>
      <c r="I63" s="479">
        <v>25</v>
      </c>
      <c r="J63" s="477" t="s">
        <v>25</v>
      </c>
      <c r="K63" s="477" t="s">
        <v>26</v>
      </c>
      <c r="O63" s="477" t="s">
        <v>3342</v>
      </c>
    </row>
    <row r="64" spans="1:15" s="477" customFormat="1" ht="15" customHeight="1">
      <c r="A64" s="477" t="s">
        <v>2819</v>
      </c>
      <c r="B64" s="477" t="s">
        <v>2369</v>
      </c>
      <c r="I64" s="479">
        <v>30</v>
      </c>
      <c r="J64" s="477" t="s">
        <v>25</v>
      </c>
      <c r="K64" s="477" t="s">
        <v>26</v>
      </c>
      <c r="O64" s="477" t="s">
        <v>3342</v>
      </c>
    </row>
    <row r="65" spans="1:24" s="477" customFormat="1" ht="15" customHeight="1">
      <c r="A65" s="477" t="s">
        <v>2819</v>
      </c>
      <c r="B65" s="477" t="s">
        <v>2674</v>
      </c>
      <c r="I65" s="479">
        <v>31</v>
      </c>
      <c r="J65" s="477" t="s">
        <v>25</v>
      </c>
      <c r="K65" s="477" t="s">
        <v>26</v>
      </c>
      <c r="O65" s="477" t="s">
        <v>3342</v>
      </c>
    </row>
    <row r="66" spans="1:24" s="215" customFormat="1" ht="15" customHeight="1">
      <c r="A66" s="215" t="s">
        <v>2818</v>
      </c>
      <c r="B66" s="215" t="s">
        <v>3343</v>
      </c>
      <c r="F66" s="475"/>
      <c r="I66" s="476">
        <v>537</v>
      </c>
      <c r="J66" s="215" t="s">
        <v>26</v>
      </c>
      <c r="K66" s="215" t="s">
        <v>27</v>
      </c>
      <c r="L66" s="215" t="s">
        <v>3318</v>
      </c>
      <c r="N66" s="215" t="s">
        <v>3344</v>
      </c>
      <c r="O66" s="215" t="s">
        <v>3345</v>
      </c>
    </row>
    <row r="67" spans="1:24" s="215" customFormat="1" ht="15" customHeight="1">
      <c r="A67" s="215" t="s">
        <v>2818</v>
      </c>
      <c r="B67" s="215" t="s">
        <v>2769</v>
      </c>
      <c r="F67" s="475"/>
      <c r="I67" s="476">
        <v>416</v>
      </c>
      <c r="J67" s="215" t="s">
        <v>26</v>
      </c>
      <c r="K67" s="215" t="s">
        <v>27</v>
      </c>
      <c r="L67" s="215" t="s">
        <v>3318</v>
      </c>
      <c r="N67" s="215" t="s">
        <v>3346</v>
      </c>
      <c r="O67" s="215" t="s">
        <v>3347</v>
      </c>
    </row>
    <row r="68" spans="1:24" s="215" customFormat="1" ht="15" customHeight="1">
      <c r="A68" s="215" t="s">
        <v>2818</v>
      </c>
      <c r="B68" s="215" t="s">
        <v>3348</v>
      </c>
      <c r="F68" s="475"/>
      <c r="I68" s="476"/>
      <c r="J68" s="215" t="s">
        <v>26</v>
      </c>
      <c r="K68" s="215" t="s">
        <v>27</v>
      </c>
      <c r="L68" s="215" t="s">
        <v>3318</v>
      </c>
      <c r="N68" s="215" t="s">
        <v>3349</v>
      </c>
      <c r="O68" s="215" t="s">
        <v>3350</v>
      </c>
    </row>
    <row r="69" spans="1:24" s="215" customFormat="1" ht="15" customHeight="1">
      <c r="A69" s="215" t="s">
        <v>2818</v>
      </c>
      <c r="B69" s="215" t="s">
        <v>2542</v>
      </c>
      <c r="F69" s="475"/>
      <c r="I69" s="476"/>
      <c r="J69" s="215" t="s">
        <v>26</v>
      </c>
      <c r="K69" s="215" t="s">
        <v>27</v>
      </c>
      <c r="L69" s="215" t="s">
        <v>3318</v>
      </c>
      <c r="N69" s="215" t="s">
        <v>3349</v>
      </c>
      <c r="O69" s="215" t="s">
        <v>3351</v>
      </c>
    </row>
    <row r="70" spans="1:24" s="477" customFormat="1" ht="15" customHeight="1">
      <c r="A70" s="477" t="s">
        <v>2819</v>
      </c>
      <c r="B70" s="477" t="s">
        <v>1434</v>
      </c>
      <c r="F70" s="478"/>
      <c r="I70" s="479">
        <v>260</v>
      </c>
      <c r="J70" s="477" t="s">
        <v>26</v>
      </c>
      <c r="K70" s="477" t="s">
        <v>27</v>
      </c>
      <c r="O70" s="477" t="s">
        <v>3352</v>
      </c>
    </row>
    <row r="71" spans="1:24" s="477" customFormat="1" ht="15" customHeight="1">
      <c r="A71" s="477" t="s">
        <v>2819</v>
      </c>
      <c r="B71" s="477" t="s">
        <v>2556</v>
      </c>
      <c r="F71" s="478"/>
      <c r="I71" s="479">
        <v>69</v>
      </c>
      <c r="J71" s="477" t="s">
        <v>26</v>
      </c>
      <c r="K71" s="477" t="s">
        <v>27</v>
      </c>
      <c r="O71" s="477" t="s">
        <v>3342</v>
      </c>
    </row>
    <row r="72" spans="1:24" s="488" customFormat="1" ht="15" customHeight="1">
      <c r="A72" s="488" t="s">
        <v>3322</v>
      </c>
      <c r="B72" s="488" t="s">
        <v>2627</v>
      </c>
      <c r="F72" s="493"/>
      <c r="I72" s="492">
        <v>51</v>
      </c>
      <c r="J72" s="488" t="s">
        <v>26</v>
      </c>
      <c r="K72" s="488" t="s">
        <v>27</v>
      </c>
      <c r="O72" s="488" t="s">
        <v>3353</v>
      </c>
    </row>
    <row r="73" spans="1:24" s="477" customFormat="1" ht="15" customHeight="1">
      <c r="A73" s="477" t="s">
        <v>2819</v>
      </c>
      <c r="B73" s="477" t="s">
        <v>2495</v>
      </c>
      <c r="F73" s="478"/>
      <c r="I73" s="479">
        <v>28</v>
      </c>
      <c r="J73" s="477" t="s">
        <v>26</v>
      </c>
      <c r="K73" s="477" t="s">
        <v>27</v>
      </c>
      <c r="O73" s="477" t="s">
        <v>3353</v>
      </c>
    </row>
    <row r="74" spans="1:24" s="477" customFormat="1" ht="15" customHeight="1">
      <c r="A74" s="477" t="s">
        <v>2819</v>
      </c>
      <c r="B74" s="477" t="s">
        <v>2485</v>
      </c>
      <c r="F74" s="478"/>
      <c r="I74" s="479">
        <v>9</v>
      </c>
      <c r="J74" s="477" t="s">
        <v>26</v>
      </c>
      <c r="K74" s="477" t="s">
        <v>27</v>
      </c>
    </row>
    <row r="75" spans="1:24" s="473" customFormat="1" ht="15" customHeight="1">
      <c r="A75" s="473" t="s">
        <v>2818</v>
      </c>
      <c r="B75" s="473" t="s">
        <v>3354</v>
      </c>
      <c r="C75" s="473" t="s">
        <v>439</v>
      </c>
      <c r="I75" s="474">
        <v>182</v>
      </c>
      <c r="J75" s="473" t="s">
        <v>27</v>
      </c>
      <c r="K75" s="473" t="s">
        <v>28</v>
      </c>
      <c r="L75" s="473" t="s">
        <v>3355</v>
      </c>
      <c r="N75" s="473" t="s">
        <v>3319</v>
      </c>
      <c r="O75" s="473" t="s">
        <v>3356</v>
      </c>
    </row>
    <row r="76" spans="1:24" s="473" customFormat="1" ht="15" customHeight="1">
      <c r="A76" s="473" t="s">
        <v>2818</v>
      </c>
      <c r="B76" s="473" t="s">
        <v>3357</v>
      </c>
      <c r="C76" s="473" t="s">
        <v>2876</v>
      </c>
      <c r="I76" s="474">
        <v>3625</v>
      </c>
      <c r="J76" s="473" t="s">
        <v>27</v>
      </c>
      <c r="K76" s="473" t="s">
        <v>28</v>
      </c>
      <c r="L76" s="473" t="s">
        <v>3355</v>
      </c>
      <c r="N76" s="473" t="s">
        <v>3358</v>
      </c>
      <c r="O76" s="473" t="s">
        <v>3359</v>
      </c>
      <c r="P76" s="473" t="s">
        <v>352</v>
      </c>
    </row>
    <row r="77" spans="1:24" ht="15" customHeight="1">
      <c r="A77" s="473" t="s">
        <v>2818</v>
      </c>
      <c r="B77" s="473" t="s">
        <v>3360</v>
      </c>
      <c r="C77" s="473" t="s">
        <v>2876</v>
      </c>
      <c r="D77" s="473"/>
      <c r="E77" s="473"/>
      <c r="F77" s="473"/>
      <c r="G77" s="473"/>
      <c r="H77" s="473"/>
      <c r="I77" s="474">
        <v>620</v>
      </c>
      <c r="J77" s="473" t="s">
        <v>27</v>
      </c>
      <c r="K77" s="473" t="s">
        <v>28</v>
      </c>
      <c r="L77" s="473" t="s">
        <v>3355</v>
      </c>
      <c r="M77" s="473"/>
      <c r="N77" s="473" t="s">
        <v>3349</v>
      </c>
      <c r="O77" s="473"/>
      <c r="P77" s="473" t="s">
        <v>352</v>
      </c>
      <c r="Q77" s="473"/>
      <c r="R77" s="473"/>
      <c r="S77" s="473"/>
      <c r="T77" s="473"/>
      <c r="U77" s="473"/>
      <c r="V77" s="473"/>
      <c r="W77" s="473"/>
      <c r="X77" s="473"/>
    </row>
    <row r="78" spans="1:24" ht="15" customHeight="1">
      <c r="A78" s="473" t="s">
        <v>2818</v>
      </c>
      <c r="B78" s="473" t="s">
        <v>3361</v>
      </c>
      <c r="C78" s="473" t="s">
        <v>2876</v>
      </c>
      <c r="D78" s="473"/>
      <c r="E78" s="473"/>
      <c r="F78" s="473"/>
      <c r="G78" s="473"/>
      <c r="H78" s="473"/>
      <c r="I78" s="474">
        <v>342</v>
      </c>
      <c r="J78" s="473" t="s">
        <v>27</v>
      </c>
      <c r="K78" s="473" t="s">
        <v>28</v>
      </c>
      <c r="L78" s="473" t="s">
        <v>3355</v>
      </c>
      <c r="M78" s="473"/>
      <c r="N78" s="473" t="s">
        <v>3349</v>
      </c>
      <c r="O78" s="473" t="s">
        <v>3362</v>
      </c>
      <c r="P78" s="473"/>
      <c r="Q78" s="473"/>
      <c r="R78" s="473"/>
      <c r="S78" s="473"/>
      <c r="T78" s="473"/>
      <c r="U78" s="473"/>
      <c r="V78" s="473"/>
      <c r="W78" s="473"/>
      <c r="X78" s="473"/>
    </row>
    <row r="79" spans="1:24" ht="15" customHeight="1">
      <c r="A79" s="473" t="s">
        <v>2818</v>
      </c>
      <c r="B79" s="473" t="s">
        <v>2643</v>
      </c>
      <c r="C79" s="473" t="s">
        <v>2876</v>
      </c>
      <c r="D79" s="473"/>
      <c r="E79" s="473"/>
      <c r="F79" s="473"/>
      <c r="G79" s="473"/>
      <c r="H79" s="473"/>
      <c r="I79" s="474">
        <v>36</v>
      </c>
      <c r="J79" s="473" t="s">
        <v>27</v>
      </c>
      <c r="K79" s="473" t="s">
        <v>28</v>
      </c>
      <c r="L79" s="473" t="s">
        <v>3355</v>
      </c>
      <c r="M79" s="473"/>
      <c r="N79" s="473" t="s">
        <v>3363</v>
      </c>
      <c r="O79" s="473" t="s">
        <v>3364</v>
      </c>
      <c r="P79" s="473"/>
      <c r="Q79" s="473"/>
      <c r="R79" s="473"/>
      <c r="S79" s="473"/>
      <c r="T79" s="473"/>
      <c r="U79" s="473"/>
      <c r="V79" s="473"/>
      <c r="W79" s="473"/>
      <c r="X79" s="473"/>
    </row>
    <row r="80" spans="1:24" ht="15" customHeight="1">
      <c r="A80" s="473" t="s">
        <v>2818</v>
      </c>
      <c r="B80" s="473" t="s">
        <v>3365</v>
      </c>
      <c r="C80" s="473" t="s">
        <v>2876</v>
      </c>
      <c r="D80" s="473"/>
      <c r="E80" s="473"/>
      <c r="F80" s="473"/>
      <c r="G80" s="473"/>
      <c r="H80" s="473"/>
      <c r="I80" s="474">
        <v>244.88</v>
      </c>
      <c r="J80" s="473" t="s">
        <v>27</v>
      </c>
      <c r="K80" s="473" t="s">
        <v>28</v>
      </c>
      <c r="L80" s="473" t="s">
        <v>3355</v>
      </c>
      <c r="M80" s="473"/>
      <c r="N80" s="473" t="s">
        <v>3258</v>
      </c>
      <c r="O80" s="473" t="s">
        <v>3366</v>
      </c>
      <c r="P80" s="473" t="s">
        <v>352</v>
      </c>
      <c r="Q80" s="473"/>
      <c r="R80" s="473"/>
      <c r="S80" s="473"/>
      <c r="T80" s="473"/>
      <c r="U80" s="473"/>
      <c r="V80" s="473"/>
      <c r="W80" s="473"/>
      <c r="X80" s="473"/>
    </row>
    <row r="81" spans="1:24" s="477" customFormat="1" ht="15" customHeight="1">
      <c r="A81" s="473" t="s">
        <v>2818</v>
      </c>
      <c r="B81" s="473" t="s">
        <v>2725</v>
      </c>
      <c r="C81" s="473"/>
      <c r="D81" s="473"/>
      <c r="E81" s="473"/>
      <c r="F81" s="473"/>
      <c r="G81" s="473"/>
      <c r="H81" s="473"/>
      <c r="I81" s="474">
        <v>56</v>
      </c>
      <c r="J81" s="473" t="s">
        <v>27</v>
      </c>
      <c r="K81" s="473" t="s">
        <v>28</v>
      </c>
      <c r="L81" s="473" t="s">
        <v>3355</v>
      </c>
      <c r="M81" s="473"/>
      <c r="N81" s="473" t="s">
        <v>3248</v>
      </c>
      <c r="O81" s="473" t="s">
        <v>3367</v>
      </c>
      <c r="P81" s="473"/>
      <c r="Q81" s="473"/>
      <c r="R81" s="473"/>
      <c r="S81" s="473"/>
      <c r="T81" s="473"/>
      <c r="U81" s="473"/>
      <c r="V81" s="473"/>
      <c r="W81" s="473"/>
      <c r="X81" s="473"/>
    </row>
    <row r="82" spans="1:24" s="477" customFormat="1" ht="15" customHeight="1">
      <c r="A82" s="477" t="s">
        <v>2819</v>
      </c>
      <c r="B82" s="498" t="s">
        <v>3368</v>
      </c>
      <c r="C82" s="498"/>
      <c r="I82" s="479">
        <v>392</v>
      </c>
      <c r="J82" s="477" t="s">
        <v>27</v>
      </c>
      <c r="K82" s="477" t="s">
        <v>28</v>
      </c>
      <c r="O82" s="477" t="s">
        <v>3369</v>
      </c>
    </row>
    <row r="83" spans="1:24" s="477" customFormat="1" ht="15" customHeight="1">
      <c r="A83" s="477" t="s">
        <v>2819</v>
      </c>
      <c r="B83" s="498" t="s">
        <v>2605</v>
      </c>
      <c r="C83" s="498"/>
      <c r="I83" s="479">
        <v>115</v>
      </c>
      <c r="J83" s="477" t="s">
        <v>27</v>
      </c>
      <c r="K83" s="477" t="s">
        <v>28</v>
      </c>
      <c r="N83" s="477" t="s">
        <v>3248</v>
      </c>
      <c r="O83" s="477" t="s">
        <v>3370</v>
      </c>
    </row>
    <row r="84" spans="1:24" s="477" customFormat="1" ht="15" customHeight="1">
      <c r="A84" s="477" t="s">
        <v>2819</v>
      </c>
      <c r="B84" s="498" t="s">
        <v>2698</v>
      </c>
      <c r="C84" s="498"/>
      <c r="I84" s="479">
        <v>73</v>
      </c>
      <c r="J84" s="477" t="s">
        <v>27</v>
      </c>
      <c r="K84" s="477" t="s">
        <v>28</v>
      </c>
      <c r="N84" s="477" t="s">
        <v>3248</v>
      </c>
      <c r="O84" s="477" t="s">
        <v>3367</v>
      </c>
    </row>
    <row r="85" spans="1:24" s="477" customFormat="1" ht="15" customHeight="1">
      <c r="A85" s="477" t="s">
        <v>2819</v>
      </c>
      <c r="B85" s="498" t="s">
        <v>2638</v>
      </c>
      <c r="C85" s="498"/>
      <c r="I85" s="479">
        <v>50</v>
      </c>
      <c r="J85" s="477" t="s">
        <v>27</v>
      </c>
      <c r="K85" s="477" t="s">
        <v>28</v>
      </c>
      <c r="N85" s="477" t="s">
        <v>3248</v>
      </c>
      <c r="O85" s="477" t="s">
        <v>3367</v>
      </c>
    </row>
    <row r="86" spans="1:24" s="477" customFormat="1" ht="15" customHeight="1">
      <c r="A86" s="477" t="s">
        <v>2819</v>
      </c>
      <c r="B86" s="498" t="s">
        <v>2651</v>
      </c>
      <c r="C86" s="498"/>
      <c r="I86" s="479">
        <v>49</v>
      </c>
      <c r="J86" s="477" t="s">
        <v>27</v>
      </c>
      <c r="K86" s="477" t="s">
        <v>28</v>
      </c>
      <c r="N86" s="477" t="s">
        <v>3248</v>
      </c>
      <c r="O86" s="477" t="s">
        <v>3367</v>
      </c>
    </row>
    <row r="87" spans="1:24" s="477" customFormat="1" ht="15" customHeight="1">
      <c r="A87" s="477" t="s">
        <v>2819</v>
      </c>
      <c r="B87" s="498" t="s">
        <v>2492</v>
      </c>
      <c r="C87" s="498"/>
      <c r="I87" s="479">
        <v>42</v>
      </c>
      <c r="J87" s="477" t="s">
        <v>27</v>
      </c>
      <c r="K87" s="477" t="s">
        <v>28</v>
      </c>
      <c r="N87" s="477" t="s">
        <v>3248</v>
      </c>
      <c r="O87" s="477" t="s">
        <v>3371</v>
      </c>
    </row>
    <row r="88" spans="1:24" s="477" customFormat="1" ht="15" customHeight="1">
      <c r="A88" s="477" t="s">
        <v>2819</v>
      </c>
      <c r="B88" s="498" t="s">
        <v>2705</v>
      </c>
      <c r="C88" s="498"/>
      <c r="I88" s="479">
        <v>4</v>
      </c>
      <c r="J88" s="477" t="s">
        <v>27</v>
      </c>
      <c r="K88" s="477" t="s">
        <v>28</v>
      </c>
      <c r="N88" s="477" t="s">
        <v>3248</v>
      </c>
      <c r="O88" s="477" t="s">
        <v>3367</v>
      </c>
    </row>
    <row r="89" spans="1:24" ht="15" customHeight="1">
      <c r="A89" s="477" t="s">
        <v>2819</v>
      </c>
      <c r="B89" s="498" t="s">
        <v>2739</v>
      </c>
      <c r="C89" s="498" t="s">
        <v>93</v>
      </c>
      <c r="D89" s="477"/>
      <c r="E89" s="477"/>
      <c r="F89" s="477"/>
      <c r="G89" s="477"/>
      <c r="H89" s="477"/>
      <c r="I89" s="479">
        <v>797.97410000000002</v>
      </c>
      <c r="J89" s="477" t="s">
        <v>28</v>
      </c>
      <c r="K89" s="477" t="s">
        <v>29</v>
      </c>
      <c r="L89" s="477"/>
      <c r="M89" s="477"/>
      <c r="N89" s="477"/>
      <c r="O89" s="477" t="s">
        <v>3372</v>
      </c>
      <c r="P89" s="477"/>
      <c r="Q89" s="477"/>
      <c r="R89" s="477"/>
      <c r="S89" s="477"/>
      <c r="T89" s="477"/>
      <c r="U89" s="477"/>
      <c r="V89" s="477"/>
      <c r="W89" s="477"/>
      <c r="X89" s="477"/>
    </row>
    <row r="90" spans="1:24" s="215" customFormat="1" ht="15" customHeight="1">
      <c r="A90" s="203" t="s">
        <v>2818</v>
      </c>
      <c r="B90" s="216" t="s">
        <v>3373</v>
      </c>
      <c r="C90" s="209"/>
      <c r="D90" s="209"/>
      <c r="E90" s="209"/>
      <c r="F90" s="209"/>
      <c r="G90" s="209"/>
      <c r="H90" s="209"/>
      <c r="I90" s="267">
        <v>249.03200000000001</v>
      </c>
      <c r="J90" s="209" t="s">
        <v>28</v>
      </c>
      <c r="K90" s="209" t="s">
        <v>29</v>
      </c>
      <c r="L90" s="203"/>
      <c r="M90" s="209"/>
      <c r="N90" s="209" t="s">
        <v>3258</v>
      </c>
      <c r="O90" s="209" t="s">
        <v>3374</v>
      </c>
      <c r="P90" s="209"/>
      <c r="Q90" s="209"/>
      <c r="R90" s="209"/>
      <c r="S90" s="209"/>
      <c r="T90" s="209"/>
      <c r="U90" s="209"/>
      <c r="V90" s="209"/>
      <c r="W90" s="209"/>
      <c r="X90" s="209"/>
    </row>
    <row r="91" spans="1:24" ht="15" customHeight="1">
      <c r="A91" s="203" t="s">
        <v>2818</v>
      </c>
      <c r="B91" s="216" t="s">
        <v>2527</v>
      </c>
      <c r="C91" s="209" t="s">
        <v>2876</v>
      </c>
      <c r="D91" s="209"/>
      <c r="E91" s="209"/>
      <c r="F91" s="209"/>
      <c r="G91" s="209"/>
      <c r="H91" s="209"/>
      <c r="I91" s="267">
        <v>1522.0222000000001</v>
      </c>
      <c r="J91" s="209" t="s">
        <v>28</v>
      </c>
      <c r="K91" s="209" t="s">
        <v>29</v>
      </c>
      <c r="L91" s="203"/>
      <c r="M91" s="209"/>
      <c r="N91" s="209" t="s">
        <v>3346</v>
      </c>
      <c r="O91" s="209"/>
      <c r="P91" s="209"/>
      <c r="Q91" s="209"/>
      <c r="R91" s="209"/>
      <c r="S91" s="209"/>
      <c r="T91" s="209"/>
      <c r="U91" s="209"/>
      <c r="V91" s="209"/>
      <c r="W91" s="209"/>
      <c r="X91" s="209"/>
    </row>
    <row r="92" spans="1:24" ht="15" customHeight="1">
      <c r="A92" s="203" t="s">
        <v>2818</v>
      </c>
      <c r="B92" s="216" t="s">
        <v>3375</v>
      </c>
      <c r="C92" s="209" t="s">
        <v>2876</v>
      </c>
      <c r="D92" s="209"/>
      <c r="E92" s="209"/>
      <c r="F92" s="209"/>
      <c r="G92" s="209"/>
      <c r="H92" s="209"/>
      <c r="I92" s="267">
        <v>776.13630000000001</v>
      </c>
      <c r="J92" s="209" t="s">
        <v>28</v>
      </c>
      <c r="K92" s="209" t="s">
        <v>29</v>
      </c>
      <c r="L92" s="203"/>
      <c r="M92" s="209"/>
      <c r="N92" s="209" t="s">
        <v>3255</v>
      </c>
      <c r="O92" s="209" t="s">
        <v>3376</v>
      </c>
      <c r="P92" s="209"/>
      <c r="Q92" s="209"/>
      <c r="R92" s="209"/>
      <c r="S92" s="209"/>
      <c r="T92" s="209"/>
      <c r="U92" s="209"/>
      <c r="V92" s="209"/>
      <c r="W92" s="209"/>
      <c r="X92" s="209"/>
    </row>
    <row r="93" spans="1:24" ht="15" customHeight="1">
      <c r="A93" s="203" t="s">
        <v>2818</v>
      </c>
      <c r="B93" s="216" t="s">
        <v>2576</v>
      </c>
      <c r="C93" s="209" t="s">
        <v>439</v>
      </c>
      <c r="D93" s="209"/>
      <c r="E93" s="209"/>
      <c r="F93" s="209"/>
      <c r="G93" s="209"/>
      <c r="H93" s="209"/>
      <c r="I93" s="267">
        <v>405.24110000000002</v>
      </c>
      <c r="J93" s="209" t="s">
        <v>28</v>
      </c>
      <c r="K93" s="209" t="s">
        <v>29</v>
      </c>
      <c r="L93" s="203"/>
      <c r="M93" s="209"/>
      <c r="N93" s="209" t="s">
        <v>3344</v>
      </c>
      <c r="O93" s="209" t="s">
        <v>3248</v>
      </c>
      <c r="P93" s="209"/>
      <c r="Q93" s="209"/>
      <c r="R93" s="209"/>
      <c r="S93" s="209"/>
      <c r="T93" s="209"/>
      <c r="U93" s="209"/>
      <c r="V93" s="209"/>
      <c r="W93" s="209"/>
      <c r="X93" s="209"/>
    </row>
    <row r="94" spans="1:24" ht="15" customHeight="1">
      <c r="A94" s="203" t="s">
        <v>2818</v>
      </c>
      <c r="B94" s="216" t="s">
        <v>2546</v>
      </c>
      <c r="C94" s="209" t="s">
        <v>439</v>
      </c>
      <c r="D94" s="209"/>
      <c r="E94" s="209"/>
      <c r="F94" s="209"/>
      <c r="G94" s="209"/>
      <c r="H94" s="209"/>
      <c r="I94" s="267">
        <v>187.2638</v>
      </c>
      <c r="J94" s="209" t="s">
        <v>28</v>
      </c>
      <c r="K94" s="209" t="s">
        <v>29</v>
      </c>
      <c r="L94" s="203"/>
      <c r="M94" s="209"/>
      <c r="N94" s="209" t="s">
        <v>3344</v>
      </c>
      <c r="O94" s="209" t="s">
        <v>3248</v>
      </c>
      <c r="P94" s="209"/>
      <c r="Q94" s="209"/>
      <c r="R94" s="209"/>
      <c r="S94" s="209"/>
      <c r="T94" s="209"/>
      <c r="U94" s="209"/>
      <c r="V94" s="209"/>
      <c r="W94" s="209"/>
      <c r="X94" s="209"/>
    </row>
    <row r="95" spans="1:24" ht="15" customHeight="1">
      <c r="A95" s="203" t="s">
        <v>2818</v>
      </c>
      <c r="B95" s="216" t="s">
        <v>2565</v>
      </c>
      <c r="C95" s="209" t="s">
        <v>782</v>
      </c>
      <c r="D95" s="209"/>
      <c r="E95" s="209"/>
      <c r="F95" s="209"/>
      <c r="G95" s="209"/>
      <c r="H95" s="209"/>
      <c r="I95" s="267">
        <v>180.9256</v>
      </c>
      <c r="J95" s="209" t="s">
        <v>28</v>
      </c>
      <c r="K95" s="209" t="s">
        <v>29</v>
      </c>
      <c r="L95" s="203"/>
      <c r="M95" s="209"/>
      <c r="N95" s="209" t="s">
        <v>3344</v>
      </c>
      <c r="O95" s="209" t="s">
        <v>3248</v>
      </c>
      <c r="P95" s="209"/>
      <c r="Q95" s="209"/>
      <c r="R95" s="209"/>
      <c r="S95" s="209"/>
      <c r="T95" s="209"/>
      <c r="U95" s="209"/>
      <c r="V95" s="209"/>
      <c r="W95" s="209"/>
      <c r="X95" s="209"/>
    </row>
    <row r="96" spans="1:24" ht="15" customHeight="1">
      <c r="A96" s="203" t="s">
        <v>2818</v>
      </c>
      <c r="B96" s="216" t="s">
        <v>2588</v>
      </c>
      <c r="C96" s="209" t="s">
        <v>439</v>
      </c>
      <c r="D96" s="209"/>
      <c r="E96" s="209"/>
      <c r="F96" s="209"/>
      <c r="G96" s="209"/>
      <c r="H96" s="209"/>
      <c r="I96" s="267">
        <v>178.6208</v>
      </c>
      <c r="J96" s="209" t="s">
        <v>28</v>
      </c>
      <c r="K96" s="209" t="s">
        <v>29</v>
      </c>
      <c r="L96" s="203"/>
      <c r="M96" s="209"/>
      <c r="N96" s="209" t="s">
        <v>3344</v>
      </c>
      <c r="O96" s="209" t="s">
        <v>3248</v>
      </c>
      <c r="P96" s="209"/>
      <c r="Q96" s="209"/>
      <c r="R96" s="209"/>
      <c r="S96" s="209"/>
      <c r="T96" s="209"/>
      <c r="U96" s="209"/>
      <c r="V96" s="209"/>
      <c r="W96" s="209"/>
      <c r="X96" s="209"/>
    </row>
    <row r="97" spans="1:24" ht="15" customHeight="1">
      <c r="A97" s="203" t="s">
        <v>2818</v>
      </c>
      <c r="B97" s="216" t="s">
        <v>2775</v>
      </c>
      <c r="C97" s="209" t="s">
        <v>782</v>
      </c>
      <c r="D97" s="209"/>
      <c r="E97" s="209"/>
      <c r="F97" s="209"/>
      <c r="G97" s="209"/>
      <c r="H97" s="209"/>
      <c r="I97" s="267">
        <v>121.0012</v>
      </c>
      <c r="J97" s="209" t="s">
        <v>28</v>
      </c>
      <c r="K97" s="209" t="s">
        <v>29</v>
      </c>
      <c r="L97" s="203"/>
      <c r="M97" s="209"/>
      <c r="N97" s="209"/>
      <c r="O97" s="209" t="s">
        <v>3377</v>
      </c>
      <c r="P97" s="209"/>
      <c r="Q97" s="209"/>
      <c r="R97" s="209"/>
      <c r="S97" s="209"/>
      <c r="T97" s="209"/>
      <c r="U97" s="209"/>
      <c r="V97" s="209"/>
      <c r="W97" s="209"/>
      <c r="X97" s="209"/>
    </row>
    <row r="98" spans="1:24" ht="15" customHeight="1">
      <c r="A98" s="203" t="s">
        <v>2818</v>
      </c>
      <c r="B98" s="216" t="s">
        <v>2536</v>
      </c>
      <c r="C98" s="209" t="s">
        <v>782</v>
      </c>
      <c r="D98" s="209"/>
      <c r="E98" s="209"/>
      <c r="F98" s="209"/>
      <c r="G98" s="209"/>
      <c r="H98" s="209"/>
      <c r="I98" s="267">
        <v>106.94199999999999</v>
      </c>
      <c r="J98" s="209" t="s">
        <v>28</v>
      </c>
      <c r="K98" s="209" t="s">
        <v>29</v>
      </c>
      <c r="L98" s="203"/>
      <c r="M98" s="209"/>
      <c r="N98" s="209" t="s">
        <v>3319</v>
      </c>
      <c r="O98" s="209" t="s">
        <v>3378</v>
      </c>
      <c r="P98" s="209" t="s">
        <v>3379</v>
      </c>
      <c r="Q98" s="209"/>
      <c r="R98" s="209"/>
      <c r="S98" s="209"/>
      <c r="T98" s="209"/>
      <c r="U98" s="209"/>
      <c r="V98" s="209"/>
      <c r="W98" s="209"/>
      <c r="X98" s="209"/>
    </row>
    <row r="99" spans="1:24" ht="15" customHeight="1">
      <c r="A99" s="203" t="s">
        <v>2818</v>
      </c>
      <c r="B99" s="216" t="s">
        <v>2581</v>
      </c>
      <c r="C99" s="209" t="s">
        <v>782</v>
      </c>
      <c r="D99" s="209"/>
      <c r="E99" s="209"/>
      <c r="F99" s="209"/>
      <c r="G99" s="209"/>
      <c r="H99" s="209"/>
      <c r="I99" s="267">
        <v>93.343800000000002</v>
      </c>
      <c r="J99" s="209" t="s">
        <v>28</v>
      </c>
      <c r="K99" s="209" t="s">
        <v>29</v>
      </c>
      <c r="L99" s="203"/>
      <c r="M99" s="209"/>
      <c r="N99" s="209" t="s">
        <v>3319</v>
      </c>
      <c r="O99" s="209" t="s">
        <v>3380</v>
      </c>
      <c r="P99" s="209" t="s">
        <v>3381</v>
      </c>
      <c r="Q99" s="209"/>
      <c r="R99" s="209"/>
      <c r="S99" s="209"/>
      <c r="T99" s="209"/>
      <c r="U99" s="209"/>
      <c r="V99" s="209"/>
      <c r="W99" s="209"/>
      <c r="X99" s="209"/>
    </row>
    <row r="100" spans="1:24" ht="15" customHeight="1">
      <c r="A100" s="203" t="s">
        <v>2818</v>
      </c>
      <c r="B100" s="216" t="s">
        <v>2662</v>
      </c>
      <c r="C100" s="209" t="s">
        <v>782</v>
      </c>
      <c r="D100" s="209"/>
      <c r="E100" s="209"/>
      <c r="F100" s="209"/>
      <c r="G100" s="209"/>
      <c r="H100" s="209"/>
      <c r="I100" s="267">
        <v>87.581800000000001</v>
      </c>
      <c r="J100" s="209" t="s">
        <v>28</v>
      </c>
      <c r="K100" s="209" t="s">
        <v>29</v>
      </c>
      <c r="L100" s="203"/>
      <c r="M100" s="209"/>
      <c r="N100" s="209"/>
      <c r="O100" s="209" t="s">
        <v>3377</v>
      </c>
      <c r="P100" s="209"/>
      <c r="Q100" s="209"/>
      <c r="R100" s="209"/>
      <c r="S100" s="209"/>
      <c r="T100" s="209"/>
      <c r="U100" s="209"/>
      <c r="V100" s="209"/>
      <c r="W100" s="209"/>
      <c r="X100" s="209"/>
    </row>
    <row r="101" spans="1:24" ht="15" customHeight="1">
      <c r="A101" s="203" t="s">
        <v>2818</v>
      </c>
      <c r="B101" s="216" t="s">
        <v>2695</v>
      </c>
      <c r="C101" s="209" t="s">
        <v>782</v>
      </c>
      <c r="D101" s="209"/>
      <c r="E101" s="209"/>
      <c r="F101" s="209"/>
      <c r="G101" s="209"/>
      <c r="H101" s="209"/>
      <c r="I101" s="267">
        <v>68.212400000000002</v>
      </c>
      <c r="J101" s="209" t="s">
        <v>28</v>
      </c>
      <c r="K101" s="209" t="s">
        <v>29</v>
      </c>
      <c r="L101" s="203"/>
      <c r="M101" s="209"/>
      <c r="N101" s="209" t="s">
        <v>3344</v>
      </c>
      <c r="O101" s="209"/>
      <c r="P101" s="209"/>
      <c r="Q101" s="209"/>
      <c r="R101" s="209"/>
      <c r="S101" s="209"/>
      <c r="T101" s="209"/>
      <c r="U101" s="209"/>
      <c r="V101" s="209"/>
      <c r="W101" s="209"/>
      <c r="X101" s="209"/>
    </row>
    <row r="102" spans="1:24" ht="15" customHeight="1">
      <c r="A102" s="203" t="s">
        <v>2818</v>
      </c>
      <c r="B102" s="216" t="s">
        <v>3382</v>
      </c>
      <c r="C102" s="209" t="s">
        <v>782</v>
      </c>
      <c r="D102" s="209"/>
      <c r="E102" s="209"/>
      <c r="F102" s="209"/>
      <c r="G102" s="209"/>
      <c r="H102" s="209"/>
      <c r="I102" s="267">
        <v>57.619599999999998</v>
      </c>
      <c r="J102" s="209" t="s">
        <v>28</v>
      </c>
      <c r="K102" s="209" t="s">
        <v>29</v>
      </c>
      <c r="L102" s="203"/>
      <c r="M102" s="209"/>
      <c r="N102" s="209" t="s">
        <v>3255</v>
      </c>
      <c r="O102" s="209" t="s">
        <v>3383</v>
      </c>
      <c r="P102" s="209"/>
      <c r="Q102" s="209"/>
      <c r="R102" s="209"/>
      <c r="S102" s="209"/>
      <c r="T102" s="209"/>
      <c r="U102" s="209"/>
      <c r="V102" s="209"/>
      <c r="W102" s="209"/>
      <c r="X102" s="209"/>
    </row>
    <row r="103" spans="1:24" ht="15" customHeight="1">
      <c r="A103" s="203" t="s">
        <v>2818</v>
      </c>
      <c r="B103" s="216" t="s">
        <v>2701</v>
      </c>
      <c r="C103" s="209" t="s">
        <v>782</v>
      </c>
      <c r="D103" s="209"/>
      <c r="E103" s="209"/>
      <c r="F103" s="209"/>
      <c r="G103" s="209"/>
      <c r="H103" s="209"/>
      <c r="I103" s="267">
        <v>57.619599999999998</v>
      </c>
      <c r="J103" s="209" t="s">
        <v>28</v>
      </c>
      <c r="K103" s="209" t="s">
        <v>29</v>
      </c>
      <c r="L103" s="203"/>
      <c r="M103" s="209"/>
      <c r="N103" s="209" t="s">
        <v>3344</v>
      </c>
      <c r="O103" s="209"/>
      <c r="P103" s="209"/>
      <c r="Q103" s="209"/>
      <c r="R103" s="209"/>
      <c r="S103" s="209"/>
      <c r="T103" s="209"/>
      <c r="U103" s="209"/>
      <c r="V103" s="209"/>
      <c r="W103" s="209"/>
      <c r="X103" s="209"/>
    </row>
    <row r="104" spans="1:24" ht="15" customHeight="1">
      <c r="A104" s="203" t="s">
        <v>2818</v>
      </c>
      <c r="B104" s="216" t="s">
        <v>2730</v>
      </c>
      <c r="C104" s="209" t="s">
        <v>782</v>
      </c>
      <c r="D104" s="209"/>
      <c r="E104" s="209"/>
      <c r="F104" s="209"/>
      <c r="G104" s="209"/>
      <c r="H104" s="209"/>
      <c r="I104" s="267">
        <v>50.417200000000001</v>
      </c>
      <c r="J104" s="209" t="s">
        <v>28</v>
      </c>
      <c r="K104" s="209" t="s">
        <v>29</v>
      </c>
      <c r="L104" s="203"/>
      <c r="M104" s="209"/>
      <c r="N104" s="209"/>
      <c r="O104" s="209" t="s">
        <v>3377</v>
      </c>
      <c r="P104" s="209"/>
      <c r="Q104" s="209"/>
      <c r="R104" s="209"/>
      <c r="S104" s="209"/>
      <c r="T104" s="209"/>
      <c r="U104" s="209"/>
      <c r="V104" s="209"/>
      <c r="W104" s="209"/>
      <c r="X104" s="209"/>
    </row>
    <row r="105" spans="1:24" s="209" customFormat="1" ht="15.75" customHeight="1">
      <c r="A105" s="203" t="s">
        <v>2818</v>
      </c>
      <c r="B105" s="216" t="s">
        <v>3384</v>
      </c>
      <c r="C105" s="209" t="s">
        <v>782</v>
      </c>
      <c r="I105" s="267">
        <v>28</v>
      </c>
      <c r="J105" s="209" t="s">
        <v>28</v>
      </c>
      <c r="K105" s="209" t="s">
        <v>29</v>
      </c>
      <c r="L105" s="203" t="s">
        <v>3355</v>
      </c>
      <c r="N105" s="209" t="s">
        <v>3261</v>
      </c>
      <c r="O105" s="209" t="s">
        <v>3385</v>
      </c>
    </row>
    <row r="106" spans="1:24" ht="15" customHeight="1">
      <c r="A106" s="203" t="s">
        <v>2818</v>
      </c>
      <c r="B106" s="216" t="s">
        <v>2680</v>
      </c>
      <c r="C106" s="209" t="s">
        <v>782</v>
      </c>
      <c r="D106" s="209"/>
      <c r="E106" s="209"/>
      <c r="F106" s="209"/>
      <c r="G106" s="209"/>
      <c r="H106" s="209"/>
      <c r="I106" s="267">
        <v>28.676100000000002</v>
      </c>
      <c r="J106" s="209" t="s">
        <v>28</v>
      </c>
      <c r="K106" s="209" t="s">
        <v>29</v>
      </c>
      <c r="L106" s="203"/>
      <c r="M106" s="209"/>
      <c r="N106" s="209" t="s">
        <v>3344</v>
      </c>
      <c r="O106" s="209"/>
      <c r="P106" s="209"/>
      <c r="Q106" s="209"/>
      <c r="R106" s="209"/>
      <c r="S106" s="209"/>
      <c r="T106" s="209"/>
      <c r="U106" s="209"/>
      <c r="V106" s="209"/>
      <c r="W106" s="209"/>
      <c r="X106" s="209"/>
    </row>
    <row r="107" spans="1:24" ht="15" customHeight="1">
      <c r="A107" s="203" t="s">
        <v>2818</v>
      </c>
      <c r="B107" s="216" t="s">
        <v>2552</v>
      </c>
      <c r="C107" s="209" t="s">
        <v>439</v>
      </c>
      <c r="D107" s="209"/>
      <c r="E107" s="209"/>
      <c r="F107" s="209"/>
      <c r="G107" s="209"/>
      <c r="H107" s="209"/>
      <c r="I107" s="267">
        <v>15.343</v>
      </c>
      <c r="J107" s="209" t="s">
        <v>28</v>
      </c>
      <c r="K107" s="209" t="s">
        <v>29</v>
      </c>
      <c r="L107" s="203"/>
      <c r="M107" s="209"/>
      <c r="N107" s="209" t="s">
        <v>3344</v>
      </c>
      <c r="O107" s="209" t="s">
        <v>3248</v>
      </c>
      <c r="P107" s="209"/>
      <c r="Q107" s="209"/>
      <c r="R107" s="209"/>
      <c r="S107" s="209"/>
      <c r="T107" s="209"/>
      <c r="U107" s="209"/>
      <c r="V107" s="209"/>
      <c r="W107" s="209"/>
      <c r="X107" s="209"/>
    </row>
    <row r="108" spans="1:24" ht="15" customHeight="1">
      <c r="A108" s="203" t="s">
        <v>2818</v>
      </c>
      <c r="B108" s="216" t="s">
        <v>3386</v>
      </c>
      <c r="C108" s="209" t="s">
        <v>73</v>
      </c>
      <c r="D108" s="209"/>
      <c r="E108" s="209"/>
      <c r="F108" s="209"/>
      <c r="G108" s="209"/>
      <c r="H108" s="209"/>
      <c r="I108" s="267">
        <v>2.3900999999999999</v>
      </c>
      <c r="J108" s="209" t="s">
        <v>28</v>
      </c>
      <c r="K108" s="209" t="s">
        <v>29</v>
      </c>
      <c r="L108" s="203"/>
      <c r="M108" s="209"/>
      <c r="N108" s="209" t="s">
        <v>3302</v>
      </c>
      <c r="O108" s="209" t="s">
        <v>3387</v>
      </c>
      <c r="P108" s="209"/>
      <c r="Q108" s="209"/>
      <c r="R108" s="209"/>
      <c r="S108" s="209"/>
      <c r="T108" s="209"/>
      <c r="U108" s="209"/>
      <c r="V108" s="209"/>
      <c r="W108" s="209"/>
      <c r="X108" s="209"/>
    </row>
    <row r="109" spans="1:24" ht="15" customHeight="1">
      <c r="A109" s="202" t="s">
        <v>2818</v>
      </c>
      <c r="B109" s="845" t="s">
        <v>3388</v>
      </c>
      <c r="C109" s="473" t="s">
        <v>73</v>
      </c>
      <c r="D109" s="473"/>
      <c r="E109" s="473"/>
      <c r="F109" s="473"/>
      <c r="G109" s="473"/>
      <c r="H109" s="473"/>
      <c r="I109" s="266">
        <v>1270.9152999999999</v>
      </c>
      <c r="J109" s="473" t="s">
        <v>29</v>
      </c>
      <c r="K109" s="473" t="s">
        <v>30</v>
      </c>
      <c r="L109" s="473"/>
      <c r="M109" s="473"/>
      <c r="N109" s="473" t="s">
        <v>3261</v>
      </c>
      <c r="O109" s="473" t="s">
        <v>3389</v>
      </c>
      <c r="P109" s="473"/>
      <c r="Q109" s="473"/>
      <c r="R109" s="473"/>
      <c r="S109" s="473"/>
      <c r="T109" s="473"/>
      <c r="U109" s="473"/>
      <c r="V109" s="473"/>
      <c r="W109" s="473"/>
      <c r="X109" s="473"/>
    </row>
    <row r="110" spans="1:24" s="473" customFormat="1" ht="15" customHeight="1">
      <c r="A110" s="202" t="s">
        <v>2819</v>
      </c>
      <c r="B110" s="845" t="s">
        <v>1575</v>
      </c>
      <c r="C110" s="473" t="s">
        <v>439</v>
      </c>
      <c r="I110" s="266">
        <v>166.9853</v>
      </c>
      <c r="J110" s="473" t="s">
        <v>29</v>
      </c>
      <c r="K110" s="473" t="s">
        <v>30</v>
      </c>
      <c r="N110" s="473" t="s">
        <v>3344</v>
      </c>
      <c r="O110" s="473" t="s">
        <v>3248</v>
      </c>
    </row>
    <row r="111" spans="1:24" s="473" customFormat="1" ht="15" customHeight="1">
      <c r="A111" s="202" t="s">
        <v>2818</v>
      </c>
      <c r="B111" s="845" t="s">
        <v>3390</v>
      </c>
      <c r="C111" s="473" t="s">
        <v>2876</v>
      </c>
      <c r="I111" s="266">
        <v>61.032899999999998</v>
      </c>
      <c r="J111" s="473" t="s">
        <v>29</v>
      </c>
      <c r="K111" s="473" t="s">
        <v>30</v>
      </c>
      <c r="N111" s="473" t="s">
        <v>3255</v>
      </c>
      <c r="O111" s="473" t="s">
        <v>3391</v>
      </c>
    </row>
    <row r="112" spans="1:24" s="473" customFormat="1" ht="15" customHeight="1">
      <c r="A112" s="202" t="s">
        <v>2818</v>
      </c>
      <c r="B112" s="845" t="s">
        <v>2309</v>
      </c>
      <c r="C112" s="473" t="s">
        <v>782</v>
      </c>
      <c r="I112" s="266">
        <v>43.811599999999999</v>
      </c>
      <c r="J112" s="473" t="s">
        <v>29</v>
      </c>
      <c r="K112" s="473" t="s">
        <v>30</v>
      </c>
      <c r="N112" s="473" t="s">
        <v>3319</v>
      </c>
      <c r="O112" s="473" t="s">
        <v>3392</v>
      </c>
    </row>
    <row r="113" spans="1:24" s="473" customFormat="1" ht="15" customHeight="1">
      <c r="A113" s="850" t="s">
        <v>2819</v>
      </c>
      <c r="B113" s="851" t="s">
        <v>2467</v>
      </c>
      <c r="C113" s="852" t="s">
        <v>782</v>
      </c>
      <c r="D113" s="852"/>
      <c r="E113" s="852"/>
      <c r="F113" s="852"/>
      <c r="G113" s="852"/>
      <c r="H113" s="852"/>
      <c r="I113" s="853">
        <v>5.2816999999999998</v>
      </c>
      <c r="J113" s="852" t="s">
        <v>29</v>
      </c>
      <c r="K113" s="852" t="s">
        <v>30</v>
      </c>
      <c r="L113" s="852"/>
      <c r="M113" s="852"/>
      <c r="N113" s="852"/>
      <c r="O113" s="852" t="s">
        <v>3393</v>
      </c>
      <c r="P113" s="852"/>
      <c r="Q113" s="852"/>
      <c r="R113" s="852"/>
      <c r="S113" s="852"/>
      <c r="T113" s="852"/>
      <c r="U113" s="852"/>
      <c r="V113" s="852"/>
      <c r="W113" s="852"/>
      <c r="X113" s="852"/>
    </row>
    <row r="114" spans="1:24" s="473" customFormat="1" ht="15" customHeight="1">
      <c r="A114" s="850" t="s">
        <v>2819</v>
      </c>
      <c r="B114" s="851" t="s">
        <v>2343</v>
      </c>
      <c r="C114" s="852" t="s">
        <v>782</v>
      </c>
      <c r="D114" s="852"/>
      <c r="E114" s="852"/>
      <c r="F114" s="852"/>
      <c r="G114" s="852"/>
      <c r="H114" s="852"/>
      <c r="I114" s="853">
        <v>36.971800000000002</v>
      </c>
      <c r="J114" s="852" t="s">
        <v>29</v>
      </c>
      <c r="K114" s="852" t="s">
        <v>30</v>
      </c>
      <c r="L114" s="852"/>
      <c r="M114" s="852"/>
      <c r="N114" s="852"/>
      <c r="O114" s="852" t="s">
        <v>3393</v>
      </c>
      <c r="P114" s="852"/>
      <c r="Q114" s="852"/>
      <c r="R114" s="852"/>
      <c r="S114" s="852"/>
      <c r="T114" s="852"/>
      <c r="U114" s="852"/>
      <c r="V114" s="852"/>
      <c r="W114" s="852"/>
      <c r="X114" s="852"/>
    </row>
    <row r="115" spans="1:24" s="848" customFormat="1" ht="15" customHeight="1">
      <c r="A115" s="846" t="s">
        <v>2819</v>
      </c>
      <c r="B115" s="847" t="s">
        <v>2485</v>
      </c>
      <c r="C115" s="848" t="s">
        <v>73</v>
      </c>
      <c r="I115" s="849">
        <v>2.2195</v>
      </c>
      <c r="J115" s="848" t="s">
        <v>29</v>
      </c>
      <c r="K115" s="848" t="s">
        <v>30</v>
      </c>
      <c r="O115" s="848" t="s">
        <v>3393</v>
      </c>
    </row>
    <row r="116" spans="1:24" ht="15" customHeight="1">
      <c r="A116" s="195" t="s">
        <v>2818</v>
      </c>
      <c r="B116" s="195" t="s">
        <v>3394</v>
      </c>
      <c r="C116" s="195" t="s">
        <v>782</v>
      </c>
      <c r="I116" s="329">
        <v>92.448400000000007</v>
      </c>
      <c r="J116" s="195" t="s">
        <v>30</v>
      </c>
      <c r="K116" s="195" t="s">
        <v>2802</v>
      </c>
      <c r="N116" s="195" t="s">
        <v>3395</v>
      </c>
    </row>
    <row r="117" spans="1:24" ht="15" customHeight="1">
      <c r="A117" s="195" t="s">
        <v>2818</v>
      </c>
      <c r="B117" s="195" t="s">
        <v>2427</v>
      </c>
      <c r="C117" s="195" t="s">
        <v>782</v>
      </c>
      <c r="I117" s="329">
        <v>15</v>
      </c>
      <c r="J117" s="195" t="s">
        <v>30</v>
      </c>
      <c r="K117" s="195" t="s">
        <v>2802</v>
      </c>
      <c r="N117" s="195" t="s">
        <v>3395</v>
      </c>
    </row>
    <row r="118" spans="1:24" ht="15" customHeight="1">
      <c r="A118" s="195" t="s">
        <v>2818</v>
      </c>
      <c r="B118" s="195" t="s">
        <v>2379</v>
      </c>
      <c r="C118" s="195" t="s">
        <v>782</v>
      </c>
      <c r="I118" s="329">
        <v>28.752700000000001</v>
      </c>
      <c r="J118" s="195" t="s">
        <v>30</v>
      </c>
      <c r="K118" s="195" t="s">
        <v>2802</v>
      </c>
      <c r="N118" s="195" t="s">
        <v>3395</v>
      </c>
    </row>
    <row r="119" spans="1:24" ht="15" customHeight="1">
      <c r="A119" s="195" t="s">
        <v>2818</v>
      </c>
      <c r="B119" s="195" t="s">
        <v>2080</v>
      </c>
      <c r="C119" s="195" t="s">
        <v>782</v>
      </c>
      <c r="I119" s="650">
        <v>63.880200000000002</v>
      </c>
      <c r="J119" s="195" t="s">
        <v>30</v>
      </c>
      <c r="K119" s="195" t="s">
        <v>2802</v>
      </c>
    </row>
    <row r="120" spans="1:24" ht="15" customHeight="1">
      <c r="A120" s="195" t="s">
        <v>2818</v>
      </c>
      <c r="B120" s="195" t="s">
        <v>1382</v>
      </c>
      <c r="C120" s="195" t="s">
        <v>439</v>
      </c>
      <c r="I120" s="650">
        <v>214.67150000000001</v>
      </c>
      <c r="J120" s="195" t="s">
        <v>2802</v>
      </c>
      <c r="K120" s="195" t="s">
        <v>2803</v>
      </c>
    </row>
  </sheetData>
  <autoFilter ref="A1:O120" xr:uid="{00000000-0001-0000-0300-000000000000}"/>
  <sortState xmlns:xlrd2="http://schemas.microsoft.com/office/spreadsheetml/2017/richdata2" ref="A91:K108">
    <sortCondition descending="1" ref="I91:I108"/>
  </sortState>
  <conditionalFormatting sqref="I116:I117">
    <cfRule type="expression" dxfId="153" priority="6">
      <formula>ISODD(ROW())</formula>
    </cfRule>
    <cfRule type="expression" dxfId="152" priority="7">
      <formula>ISEVEN(ROW())</formula>
    </cfRule>
  </conditionalFormatting>
  <conditionalFormatting sqref="I118">
    <cfRule type="expression" dxfId="151" priority="4">
      <formula>ISODD(ROW())</formula>
    </cfRule>
    <cfRule type="expression" dxfId="150" priority="5">
      <formula>ISEVEN(ROW())</formula>
    </cfRule>
  </conditionalFormatting>
  <conditionalFormatting sqref="I119:I120">
    <cfRule type="expression" dxfId="149" priority="2">
      <formula>ISODD(ROW())</formula>
    </cfRule>
  </conditionalFormatting>
  <conditionalFormatting sqref="I119:I120">
    <cfRule type="expression" dxfId="148" priority="3">
      <formula>ISEVEN(ROW())</formula>
    </cfRule>
  </conditionalFormatting>
  <conditionalFormatting sqref="I119:I120">
    <cfRule type="expression" dxfId="147" priority="1">
      <formula>$L119="Recuperar"</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4CBB4EF-C524-4227-B145-782D95B3C43B}">
          <x14:formula1>
            <xm:f>Etapas!$K$3:$K$16</xm:f>
          </x14:formula1>
          <xm:sqref>N89 N75 N66:N67 N91:N115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D7D47-4E81-4CE9-83F3-A99EB15CEDBF}">
  <dimension ref="A2:N11"/>
  <sheetViews>
    <sheetView workbookViewId="0">
      <selection activeCell="D12" sqref="D12"/>
    </sheetView>
  </sheetViews>
  <sheetFormatPr defaultColWidth="8.85546875" defaultRowHeight="15"/>
  <cols>
    <col min="1" max="1" width="12.5703125" bestFit="1" customWidth="1"/>
    <col min="12" max="12" width="9.7109375" bestFit="1" customWidth="1"/>
    <col min="14" max="14" width="10.7109375" bestFit="1" customWidth="1"/>
  </cols>
  <sheetData>
    <row r="2" spans="1:14">
      <c r="A2" t="s">
        <v>3396</v>
      </c>
      <c r="I2" t="s">
        <v>4</v>
      </c>
    </row>
    <row r="3" spans="1:14">
      <c r="A3" t="s">
        <v>2869</v>
      </c>
      <c r="B3" t="s">
        <v>26</v>
      </c>
      <c r="C3" t="s">
        <v>27</v>
      </c>
      <c r="D3" t="s">
        <v>28</v>
      </c>
      <c r="E3" t="s">
        <v>29</v>
      </c>
      <c r="I3" t="s">
        <v>26</v>
      </c>
      <c r="J3" t="s">
        <v>27</v>
      </c>
      <c r="K3" t="s">
        <v>28</v>
      </c>
      <c r="L3" t="s">
        <v>29</v>
      </c>
      <c r="N3" s="601" t="s">
        <v>2785</v>
      </c>
    </row>
    <row r="4" spans="1:14">
      <c r="A4" t="s">
        <v>3397</v>
      </c>
      <c r="B4">
        <v>170313</v>
      </c>
      <c r="C4">
        <v>193090</v>
      </c>
      <c r="D4">
        <v>188749</v>
      </c>
      <c r="I4" s="598">
        <v>733.50571428571436</v>
      </c>
      <c r="J4" s="599">
        <v>2820.5714285714294</v>
      </c>
      <c r="K4" s="599">
        <v>88</v>
      </c>
      <c r="L4" s="600">
        <v>744.57142857142856</v>
      </c>
      <c r="N4" s="602">
        <f>SUM(Tabla3[#This Row])</f>
        <v>4386.6485714285727</v>
      </c>
    </row>
    <row r="5" spans="1:14">
      <c r="A5" t="s">
        <v>3396</v>
      </c>
      <c r="B5">
        <v>782</v>
      </c>
      <c r="C5">
        <v>953</v>
      </c>
      <c r="D5">
        <v>4805</v>
      </c>
      <c r="E5" s="56"/>
    </row>
    <row r="6" spans="1:14">
      <c r="A6" t="s">
        <v>2848</v>
      </c>
      <c r="B6" s="56">
        <v>4.5915461532589994E-3</v>
      </c>
      <c r="C6" s="56">
        <v>4.9355222953027088E-3</v>
      </c>
      <c r="D6" s="56">
        <v>2.5457088514376235E-2</v>
      </c>
      <c r="E6" s="603">
        <v>4.0000000000000001E-3</v>
      </c>
    </row>
    <row r="7" spans="1:14">
      <c r="A7" t="s">
        <v>3398</v>
      </c>
      <c r="D7" s="603">
        <v>9.6000000000000002E-4</v>
      </c>
      <c r="E7" s="56"/>
    </row>
    <row r="8" spans="1:14">
      <c r="D8" t="s">
        <v>3399</v>
      </c>
      <c r="E8" t="s">
        <v>3400</v>
      </c>
    </row>
    <row r="10" spans="1:14">
      <c r="B10" s="601" t="s">
        <v>3401</v>
      </c>
    </row>
    <row r="11" spans="1:14">
      <c r="B11" s="604">
        <f>AVERAGE(B6,C6,D7,E6)</f>
        <v>3.6217671121404273E-3</v>
      </c>
      <c r="D11" s="56">
        <f>AVERAGE(B6:E6)</f>
        <v>9.7460392407344859E-3</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7D64-82DB-4F64-9BE8-DD9DAA04DE17}">
  <dimension ref="A1:V48"/>
  <sheetViews>
    <sheetView workbookViewId="0">
      <pane ySplit="2" topLeftCell="A3" activePane="bottomLeft" state="frozen"/>
      <selection pane="bottomLeft" activeCell="G37" sqref="G37:K37"/>
    </sheetView>
  </sheetViews>
  <sheetFormatPr defaultColWidth="8.85546875" defaultRowHeight="15"/>
  <cols>
    <col min="1" max="1" width="19" customWidth="1"/>
    <col min="2" max="9" width="12" customWidth="1"/>
    <col min="10" max="13" width="14.5703125" style="48" customWidth="1"/>
    <col min="14" max="14" width="12.28515625" customWidth="1"/>
    <col min="15" max="15" width="12.5703125" customWidth="1"/>
    <col min="16" max="16" width="10.85546875" customWidth="1"/>
    <col min="18" max="18" width="11.7109375" customWidth="1"/>
    <col min="19" max="19" width="14.28515625" customWidth="1"/>
  </cols>
  <sheetData>
    <row r="1" spans="1:22" ht="18.75">
      <c r="A1" s="241"/>
      <c r="B1" s="241" t="s">
        <v>3402</v>
      </c>
      <c r="C1" s="241"/>
      <c r="D1" s="241"/>
      <c r="E1" s="868"/>
      <c r="F1" s="241"/>
      <c r="G1" s="241"/>
      <c r="H1" s="241"/>
      <c r="I1" s="868"/>
      <c r="J1" s="241"/>
      <c r="K1" s="241"/>
      <c r="L1" s="241"/>
      <c r="M1" s="868"/>
      <c r="N1" s="241"/>
      <c r="O1" s="241"/>
      <c r="P1" s="241"/>
    </row>
    <row r="2" spans="1:22">
      <c r="A2" s="242" t="s">
        <v>5</v>
      </c>
      <c r="B2" s="242" t="s">
        <v>22</v>
      </c>
      <c r="C2" s="242" t="s">
        <v>23</v>
      </c>
      <c r="D2" s="242" t="s">
        <v>24</v>
      </c>
      <c r="E2" s="869" t="s">
        <v>2788</v>
      </c>
      <c r="F2" s="242" t="s">
        <v>25</v>
      </c>
      <c r="G2" s="242" t="s">
        <v>26</v>
      </c>
      <c r="H2" s="242" t="s">
        <v>27</v>
      </c>
      <c r="I2" s="869" t="s">
        <v>2794</v>
      </c>
      <c r="J2" s="242" t="s">
        <v>28</v>
      </c>
      <c r="K2" s="242" t="s">
        <v>29</v>
      </c>
      <c r="L2" s="242" t="s">
        <v>30</v>
      </c>
      <c r="M2" s="869" t="s">
        <v>2797</v>
      </c>
      <c r="N2" s="242" t="s">
        <v>2802</v>
      </c>
      <c r="O2" s="242" t="s">
        <v>2803</v>
      </c>
      <c r="P2" s="242" t="s">
        <v>2804</v>
      </c>
    </row>
    <row r="3" spans="1:22">
      <c r="A3" s="281" t="s">
        <v>439</v>
      </c>
      <c r="B3" s="281"/>
      <c r="C3" s="281"/>
      <c r="D3" s="281"/>
      <c r="E3" s="869"/>
      <c r="F3" s="281"/>
      <c r="G3" s="281"/>
      <c r="H3" s="281"/>
      <c r="I3" s="869"/>
      <c r="J3" s="281"/>
      <c r="K3" s="281"/>
      <c r="L3" s="281"/>
      <c r="M3" s="869"/>
      <c r="N3" s="281"/>
      <c r="O3" s="281"/>
      <c r="P3" s="281"/>
      <c r="R3" s="53"/>
      <c r="S3" s="53"/>
      <c r="T3" s="53"/>
      <c r="U3" s="53"/>
      <c r="V3" s="53"/>
    </row>
    <row r="4" spans="1:22">
      <c r="A4" t="s">
        <v>2813</v>
      </c>
      <c r="B4" s="43">
        <f>SUMIFS('Ventas 2026'!$M:$M,'Ventas 2026'!$G:$G,$A4,'Ventas 2026'!$E:$E,$A3,'Ventas 2026'!$D:$D,B2,'Ventas 2026'!$B:$B,"&lt;&gt;Perdido")</f>
        <v>0</v>
      </c>
      <c r="C4" s="43">
        <f>SUMIFS('Ventas 2026'!$M:$M,'Ventas 2026'!$G:$G,$A4,'Ventas 2026'!$E:$E,$A3,'Ventas 2026'!$D:$D,C2,'Ventas 2026'!$B:$B,"&lt;&gt;Perdido")</f>
        <v>164.3059490084986</v>
      </c>
      <c r="D4" s="43">
        <f>SUMIFS('Ventas 2026'!$M:$M,'Ventas 2026'!$G:$G,$A4,'Ventas 2026'!$E:$E,$A3,'Ventas 2026'!$D:$D,D2,'Ventas 2026'!$B:$B,"&lt;&gt;Perdido")</f>
        <v>223.97393767705384</v>
      </c>
      <c r="E4" s="870">
        <f>SUM(B4:D4)</f>
        <v>388.27988668555247</v>
      </c>
      <c r="F4" s="43">
        <f>SUMIFS('Ventas 2026'!$M:$M,'Ventas 2026'!$G:$G,$A4,'Ventas 2026'!$E:$E,$A3,'Ventas 2026'!$D:$D,F2,'Ventas 2026'!$B:$B,"&lt;&gt;Perdido")</f>
        <v>1103.7257142857143</v>
      </c>
      <c r="G4" s="43">
        <f>SUMIFS('Ventas 2026'!$M:$M,'Ventas 2026'!$G:$G,$A4,'Ventas 2026'!$E:$E,$A3,'Ventas 2026'!$D:$D,G2,'Ventas 2026'!$B:$B,"&lt;&gt;Perdido")</f>
        <v>394</v>
      </c>
      <c r="H4" s="43">
        <f>SUMIFS('Ventas 2026'!$M:$M,'Ventas 2026'!$G:$G,$A4,'Ventas 2026'!$E:$E,$A3,'Ventas 2026'!$D:$D,H2,'Ventas 2026'!$B:$B,"&lt;&gt;Perdido")</f>
        <v>26.857142857142858</v>
      </c>
      <c r="I4" s="870">
        <f>SUM(F4:H4)</f>
        <v>1524.5828571428572</v>
      </c>
      <c r="J4" s="43">
        <f>SUMIFS('Ventas 2026'!$M:$M,'Ventas 2026'!$G:$G,$A4,'Ventas 2026'!$E:$E,$A3,'Ventas 2026'!$D:$D,J2,'Ventas 2026'!$B:$B,"&lt;&gt;Perdido")</f>
        <v>474.88888888888891</v>
      </c>
      <c r="K4" s="43">
        <f>SUMIFS('Ventas 2026'!$M:$M,'Ventas 2026'!$G:$G,$A4,'Ventas 2026'!$E:$E,$A3,'Ventas 2026'!$D:$D,K2,'Ventas 2026'!$B:$B,"&lt;&gt;Perdido")</f>
        <v>457.14285714285717</v>
      </c>
      <c r="L4" s="43">
        <f>SUMIFS('Ventas 2026'!$M:$M,'Ventas 2026'!$G:$G,$A4,'Ventas 2026'!$E:$E,$A3,'Ventas 2026'!$D:$D,L2,'Ventas 2026'!$B:$B,"&lt;&gt;Perdido")</f>
        <v>0</v>
      </c>
      <c r="M4" s="870">
        <f>SUM(J4:L4)</f>
        <v>932.03174603174602</v>
      </c>
      <c r="N4" s="43"/>
      <c r="O4" s="43"/>
      <c r="P4" s="43"/>
      <c r="R4" s="53"/>
      <c r="S4" s="53"/>
      <c r="T4" s="53"/>
      <c r="U4" s="53"/>
      <c r="V4" s="53"/>
    </row>
    <row r="5" spans="1:22">
      <c r="A5" t="s">
        <v>2814</v>
      </c>
      <c r="B5" s="43">
        <f>SUMIFS('Ventas 2026'!$M:$M,'Ventas 2026'!$G:$G,$A5,'Ventas 2026'!$E:$E,$A3,'Ventas 2026'!$D:$D,B2,'Ventas 2026'!$B:$B,"&lt;&gt;Perdido")</f>
        <v>0</v>
      </c>
      <c r="C5" s="43">
        <f>SUMIFS('Ventas 2026'!$M:$M,'Ventas 2026'!$G:$G,$A5,'Ventas 2026'!$E:$E,$A3,'Ventas 2026'!$D:$D,C2,'Ventas 2026'!$B:$B,"&lt;&gt;Perdido")</f>
        <v>25.155807365439095</v>
      </c>
      <c r="D5" s="43">
        <f>SUMIFS('Ventas 2026'!$M:$M,'Ventas 2026'!$G:$G,$A5,'Ventas 2026'!$E:$E,$A3,'Ventas 2026'!$D:$D,D2,'Ventas 2026'!$B:$B,"&lt;&gt;Perdido")</f>
        <v>72.237960339943342</v>
      </c>
      <c r="E5" s="870">
        <f t="shared" ref="E5:E8" si="0">SUM(B5:D5)</f>
        <v>97.39376770538243</v>
      </c>
      <c r="F5" s="43">
        <f>SUMIFS('Ventas 2026'!$M:$M,'Ventas 2026'!$G:$G,$A5,'Ventas 2026'!$E:$E,$A3,'Ventas 2026'!$D:$D,F2,'Ventas 2026'!$B:$B,"&lt;&gt;Perdido")</f>
        <v>182.85714285714286</v>
      </c>
      <c r="G5" s="43">
        <f>SUMIFS('Ventas 2026'!$M:$M,'Ventas 2026'!$G:$G,$A5,'Ventas 2026'!$E:$E,$A3,'Ventas 2026'!$D:$D,G2,'Ventas 2026'!$B:$B,"&lt;&gt;Perdido")</f>
        <v>5.7142857142857144</v>
      </c>
      <c r="H5" s="43">
        <f>SUMIFS('Ventas 2026'!$M:$M,'Ventas 2026'!$G:$G,$A5,'Ventas 2026'!$E:$E,$A3,'Ventas 2026'!$D:$D,H2,'Ventas 2026'!$B:$B,"&lt;&gt;Perdido")</f>
        <v>745.14285714285711</v>
      </c>
      <c r="I5" s="870">
        <f t="shared" ref="I5:I8" si="1">SUM(F5:H5)</f>
        <v>933.71428571428567</v>
      </c>
      <c r="J5" s="43">
        <f>SUMIFS('Ventas 2026'!$M:$M,'Ventas 2026'!$G:$G,$A5,'Ventas 2026'!$E:$E,$A3,'Ventas 2026'!$D:$D,J2,'Ventas 2026'!$B:$B,"&lt;&gt;Perdido")</f>
        <v>10.555555555555555</v>
      </c>
      <c r="K5" s="43">
        <f>SUMIFS('Ventas 2026'!$M:$M,'Ventas 2026'!$G:$G,$A5,'Ventas 2026'!$E:$E,$A3,'Ventas 2026'!$D:$D,K2,'Ventas 2026'!$B:$B,"&lt;&gt;Perdido")</f>
        <v>29.444444444444443</v>
      </c>
      <c r="L5" s="43">
        <f>SUMIFS('Ventas 2026'!$M:$M,'Ventas 2026'!$G:$G,$A5,'Ventas 2026'!$E:$E,$A3,'Ventas 2026'!$D:$D,L2,'Ventas 2026'!$B:$B,"&lt;&gt;Perdido")</f>
        <v>22.222222222222221</v>
      </c>
      <c r="M5" s="870">
        <f t="shared" ref="M5:M8" si="2">SUM(J5:L5)</f>
        <v>62.222222222222221</v>
      </c>
      <c r="N5" s="43"/>
      <c r="O5" s="43"/>
      <c r="P5" s="43"/>
      <c r="Q5" s="53"/>
      <c r="R5" s="53"/>
      <c r="S5" s="53"/>
      <c r="T5" s="53"/>
      <c r="U5" s="53"/>
      <c r="V5" s="53"/>
    </row>
    <row r="6" spans="1:22">
      <c r="A6" t="s">
        <v>2882</v>
      </c>
      <c r="B6" s="43">
        <f>SUMIFS('Ventas 2026'!$M:$M,'Ventas 2026'!$G:$G,$A6,'Ventas 2026'!$E:$E,$A3,'Ventas 2026'!$D:$D,B2,'Ventas 2026'!$B:$B,"&lt;&gt;Perdido")</f>
        <v>113.8243626062323</v>
      </c>
      <c r="C6" s="43">
        <f>SUMIFS('Ventas 2026'!$M:$M,'Ventas 2026'!$G:$G,$A6,'Ventas 2026'!$E:$E,$A3,'Ventas 2026'!$D:$D,C2,'Ventas 2026'!$B:$B,"&lt;&gt;Perdido")</f>
        <v>0</v>
      </c>
      <c r="D6" s="43">
        <f>SUMIFS('Ventas 2026'!$M:$M,'Ventas 2026'!$G:$G,$A6,'Ventas 2026'!$E:$E,$A3,'Ventas 2026'!$D:$D,D2,'Ventas 2026'!$B:$B,"&lt;&gt;Perdido")</f>
        <v>0</v>
      </c>
      <c r="E6" s="870">
        <f t="shared" si="0"/>
        <v>113.8243626062323</v>
      </c>
      <c r="F6" s="43">
        <f>SUMIFS('Ventas 2026'!$M:$M,'Ventas 2026'!$G:$G,$A6,'Ventas 2026'!$E:$E,$A3,'Ventas 2026'!$D:$D,F2,'Ventas 2026'!$B:$B,"&lt;&gt;Perdido")</f>
        <v>110</v>
      </c>
      <c r="G6" s="43">
        <f>SUMIFS('Ventas 2026'!$M:$M,'Ventas 2026'!$G:$G,$A6,'Ventas 2026'!$E:$E,$A3,'Ventas 2026'!$D:$D,G2,'Ventas 2026'!$B:$B,"&lt;&gt;Perdido")</f>
        <v>17.142857142857142</v>
      </c>
      <c r="H6" s="43">
        <f>SUMIFS('Ventas 2026'!$M:$M,'Ventas 2026'!$G:$G,$A6,'Ventas 2026'!$E:$E,$A3,'Ventas 2026'!$D:$D,H2,'Ventas 2026'!$B:$B,"&lt;&gt;Perdido")</f>
        <v>34.285714285714285</v>
      </c>
      <c r="I6" s="870">
        <f t="shared" si="1"/>
        <v>161.42857142857142</v>
      </c>
      <c r="J6" s="43">
        <f>SUMIFS('Ventas 2026'!$M:$M,'Ventas 2026'!$G:$G,$A6,'Ventas 2026'!$E:$E,$A3,'Ventas 2026'!$D:$D,J2,'Ventas 2026'!$B:$B,"&lt;&gt;Perdido")</f>
        <v>0</v>
      </c>
      <c r="K6" s="43">
        <f>SUMIFS('Ventas 2026'!$M:$M,'Ventas 2026'!$G:$G,$A6,'Ventas 2026'!$E:$E,$A3,'Ventas 2026'!$D:$D,K2,'Ventas 2026'!$B:$B,"&lt;&gt;Perdido")</f>
        <v>0</v>
      </c>
      <c r="L6" s="43">
        <f>SUMIFS('Ventas 2026'!$M:$M,'Ventas 2026'!$G:$G,$A6,'Ventas 2026'!$E:$E,$A3,'Ventas 2026'!$D:$D,L2,'Ventas 2026'!$B:$B,"&lt;&gt;Perdido")</f>
        <v>0</v>
      </c>
      <c r="M6" s="870">
        <f t="shared" si="2"/>
        <v>0</v>
      </c>
      <c r="N6" s="43"/>
      <c r="O6" s="43"/>
      <c r="P6" s="43"/>
      <c r="Q6" s="53"/>
    </row>
    <row r="7" spans="1:22">
      <c r="A7" t="s">
        <v>3403</v>
      </c>
      <c r="B7" s="43">
        <f>SUMIFS('Ventas 2026'!$M:$M,'Ventas 2026'!$G:$G,$A7,'Ventas 2026'!$E:$E,$A3,'Ventas 2026'!$D:$D,B2,'Ventas 2026'!$B:$B,"&lt;&gt;Perdido")</f>
        <v>0</v>
      </c>
      <c r="C7" s="43">
        <f>SUMIFS('Ventas 2026'!$M:$M,'Ventas 2026'!$G:$G,$A7,'Ventas 2026'!$E:$E,$A3,'Ventas 2026'!$D:$D,C2,'Ventas 2026'!$B:$B,"&lt;&gt;Perdido")</f>
        <v>0</v>
      </c>
      <c r="D7" s="43">
        <f>SUMIFS('Ventas 2026'!$M:$M,'Ventas 2026'!$G:$G,$A7,'Ventas 2026'!$E:$E,$A3,'Ventas 2026'!$D:$D,D2,'Ventas 2026'!$B:$B,"&lt;&gt;Perdido")</f>
        <v>0</v>
      </c>
      <c r="E7" s="870">
        <f t="shared" si="0"/>
        <v>0</v>
      </c>
      <c r="F7" s="43">
        <f>SUMIFS('Ventas 2026'!$M:$M,'Ventas 2026'!$G:$G,$A7,'Ventas 2026'!$E:$E,$A3,'Ventas 2026'!$D:$D,F2,'Ventas 2026'!$B:$B,"&lt;&gt;Perdido")</f>
        <v>0</v>
      </c>
      <c r="G7" s="43">
        <f>SUMIFS('Ventas 2026'!$M:$M,'Ventas 2026'!$G:$G,$A7,'Ventas 2026'!$E:$E,$A3,'Ventas 2026'!$D:$D,G2,'Ventas 2026'!$B:$B,"&lt;&gt;Perdido")</f>
        <v>0</v>
      </c>
      <c r="H7" s="43">
        <f>SUMIFS('Ventas 2026'!$M:$M,'Ventas 2026'!$G:$G,$A7,'Ventas 2026'!$E:$E,$A3,'Ventas 2026'!$D:$D,H2,'Ventas 2026'!$B:$B,"&lt;&gt;Perdido")</f>
        <v>0</v>
      </c>
      <c r="I7" s="870">
        <f t="shared" si="1"/>
        <v>0</v>
      </c>
      <c r="J7" s="43">
        <f>SUMIFS('Ventas 2026'!$M:$M,'Ventas 2026'!$G:$G,$A7,'Ventas 2026'!$E:$E,$A3,'Ventas 2026'!$D:$D,J2,'Ventas 2026'!$B:$B,"&lt;&gt;Perdido")</f>
        <v>0</v>
      </c>
      <c r="K7" s="43">
        <f>SUMIFS('Ventas 2026'!$M:$M,'Ventas 2026'!$G:$G,$A7,'Ventas 2026'!$E:$E,$A3,'Ventas 2026'!$D:$D,K2,'Ventas 2026'!$B:$B,"&lt;&gt;Perdido")</f>
        <v>0</v>
      </c>
      <c r="L7" s="43">
        <f>SUMIFS('Ventas 2026'!$M:$M,'Ventas 2026'!$G:$G,$A7,'Ventas 2026'!$E:$E,$A3,'Ventas 2026'!$D:$D,L2,'Ventas 2026'!$B:$B,"&lt;&gt;Perdido")</f>
        <v>0</v>
      </c>
      <c r="M7" s="870">
        <f t="shared" si="2"/>
        <v>0</v>
      </c>
      <c r="N7" s="43"/>
      <c r="O7" s="43"/>
      <c r="P7" s="43"/>
      <c r="Q7" s="53"/>
    </row>
    <row r="8" spans="1:22">
      <c r="A8" s="277" t="s">
        <v>3396</v>
      </c>
      <c r="B8" s="278">
        <f>SUMIFS('Detalle Fuga 2026'!$I:$I,'Detalle Fuga 2026'!$C:$C,$A3,'Detalle Fuga 2026'!$K:$K,B2,'Detalle Fuga 2026'!$A:$A,"Baja")</f>
        <v>106.41</v>
      </c>
      <c r="C8" s="278">
        <f>SUMIFS('Detalle Fuga 2026'!$I:$I,'Detalle Fuga 2026'!$C:$C,$A3,'Detalle Fuga 2026'!$K:$K,C2,'Detalle Fuga 2026'!$A:$A,"Baja")</f>
        <v>737</v>
      </c>
      <c r="D8" s="278">
        <f>SUMIFS('Detalle Fuga 2026'!$I:$I,'Detalle Fuga 2026'!$C:$C,$A3,'Detalle Fuga 2026'!$K:$K,D2,'Detalle Fuga 2026'!$A:$A,"Baja")</f>
        <v>425.93180000000001</v>
      </c>
      <c r="E8" s="870">
        <f t="shared" si="0"/>
        <v>1269.3417999999999</v>
      </c>
      <c r="F8" s="278">
        <f>SUMIFS('Detalle Fuga 2026'!$I:$I,'Detalle Fuga 2026'!$C:$C,$A3,'Detalle Fuga 2026'!$K:$K,F2,'Detalle Fuga 2026'!$A:$A,"Baja")</f>
        <v>0</v>
      </c>
      <c r="G8" s="278">
        <f>SUMIFS('Detalle Fuga 2026'!$I:$I,'Detalle Fuga 2026'!$C:$C,$A3,'Detalle Fuga 2026'!$K:$K,G2,'Detalle Fuga 2026'!$A:$A,"Baja")</f>
        <v>0</v>
      </c>
      <c r="H8" s="278">
        <f>SUMIFS('Detalle Fuga 2026'!$I:$I,'Detalle Fuga 2026'!$C:$C,$A3,'Detalle Fuga 2026'!$K:$K,H2,'Detalle Fuga 2026'!$A:$A,"Baja")</f>
        <v>0</v>
      </c>
      <c r="I8" s="870">
        <f t="shared" si="1"/>
        <v>0</v>
      </c>
      <c r="J8" s="278">
        <f>SUMIFS('Detalle Fuga 2026'!$I:$I,'Detalle Fuga 2026'!$C:$C,$A3,'Detalle Fuga 2026'!$K:$K,J2,'Detalle Fuga 2026'!$A:$A,"Baja")</f>
        <v>182</v>
      </c>
      <c r="K8" s="278">
        <f>SUMIFS('Detalle Fuga 2026'!$I:$I,'Detalle Fuga 2026'!$C:$C,$A3,'Detalle Fuga 2026'!$K:$K,K2,'Detalle Fuga 2026'!$A:$A,"Baja")</f>
        <v>786.46870000000001</v>
      </c>
      <c r="L8" s="278">
        <f>SUMIFS('Detalle Fuga 2026'!$I:$I,'Detalle Fuga 2026'!$C:$C,$A3,'Detalle Fuga 2026'!$K:$K,L2,'Detalle Fuga 2026'!$A:$A,"Baja")</f>
        <v>0</v>
      </c>
      <c r="M8" s="870">
        <f t="shared" si="2"/>
        <v>968.46870000000001</v>
      </c>
      <c r="N8" s="278"/>
      <c r="O8" s="278"/>
      <c r="P8" s="278"/>
      <c r="R8" s="53"/>
      <c r="S8" s="53"/>
      <c r="T8" s="53"/>
      <c r="U8" s="53"/>
      <c r="V8" s="53"/>
    </row>
    <row r="9" spans="1:22">
      <c r="A9" s="277" t="s">
        <v>3404</v>
      </c>
      <c r="B9" s="279">
        <v>18081.080000000002</v>
      </c>
      <c r="C9" s="279">
        <v>18213.400000000001</v>
      </c>
      <c r="D9" s="279">
        <v>18703.82</v>
      </c>
      <c r="E9" s="871"/>
      <c r="F9" s="279">
        <v>19318.499999999996</v>
      </c>
      <c r="G9" s="279">
        <v>19668.613399999991</v>
      </c>
      <c r="H9" s="279">
        <v>19409.809999999998</v>
      </c>
      <c r="I9" s="871"/>
      <c r="J9" s="279">
        <f>SUMIFS('MARE MX'!AB$2:AB$560,'MARE MX'!$E$2:$E$560, $A3)</f>
        <v>34640.560399999988</v>
      </c>
      <c r="K9" s="279">
        <f>SUMIFS('MARE MX'!AC$2:AC$560,'MARE MX'!$E$2:$E$560, $A3)</f>
        <v>35731.263299999999</v>
      </c>
      <c r="L9" s="279">
        <f>SUMIFS('MARE MX'!AD$2:AD$560,'MARE MX'!$E$2:$E$560, $A3)</f>
        <v>33484.394199999988</v>
      </c>
      <c r="M9" s="871"/>
      <c r="N9" s="279"/>
      <c r="O9" s="279"/>
      <c r="P9" s="279"/>
      <c r="R9" s="53"/>
      <c r="S9" s="53"/>
      <c r="T9" s="53"/>
      <c r="U9" s="53"/>
      <c r="V9" s="53"/>
    </row>
    <row r="10" spans="1:22">
      <c r="A10" s="277" t="s">
        <v>3405</v>
      </c>
      <c r="B10" s="280">
        <f t="shared" ref="B10:H10" si="3">B8/B9</f>
        <v>5.8851573025505109E-3</v>
      </c>
      <c r="C10" s="280">
        <f t="shared" si="3"/>
        <v>4.0464712793877033E-2</v>
      </c>
      <c r="D10" s="280">
        <f t="shared" si="3"/>
        <v>2.2772449692094986E-2</v>
      </c>
      <c r="E10" s="872"/>
      <c r="F10" s="280">
        <f t="shared" si="3"/>
        <v>0</v>
      </c>
      <c r="G10" s="280">
        <f t="shared" si="3"/>
        <v>0</v>
      </c>
      <c r="H10" s="280">
        <f t="shared" si="3"/>
        <v>0</v>
      </c>
      <c r="I10" s="872"/>
      <c r="J10" s="280">
        <f t="shared" ref="J10:K10" si="4">J8/J9</f>
        <v>5.2539565728272706E-3</v>
      </c>
      <c r="K10" s="280">
        <f t="shared" si="4"/>
        <v>2.2010660339568795E-2</v>
      </c>
      <c r="L10" s="280">
        <f t="shared" ref="L10" si="5">L8/L9</f>
        <v>0</v>
      </c>
      <c r="M10" s="872"/>
      <c r="N10" s="280"/>
      <c r="O10" s="280"/>
      <c r="P10" s="280"/>
      <c r="R10" s="53"/>
      <c r="S10" s="53"/>
      <c r="T10" s="53"/>
      <c r="U10" s="53"/>
      <c r="V10" s="53"/>
    </row>
    <row r="11" spans="1:22">
      <c r="A11" s="275" t="s">
        <v>3406</v>
      </c>
      <c r="B11" s="276">
        <f>B4+B5+B6+B7-B8</f>
        <v>7.4143626062323023</v>
      </c>
      <c r="C11" s="276">
        <f t="shared" ref="C11:H11" si="6">C4+C5+C6+C7-C8</f>
        <v>-547.53824362606224</v>
      </c>
      <c r="D11" s="276">
        <f t="shared" si="6"/>
        <v>-129.71990198300284</v>
      </c>
      <c r="E11" s="276">
        <f>SUM(B11:D11)</f>
        <v>-669.84378300283277</v>
      </c>
      <c r="F11" s="276">
        <f t="shared" si="6"/>
        <v>1396.5828571428572</v>
      </c>
      <c r="G11" s="276">
        <f t="shared" si="6"/>
        <v>416.85714285714289</v>
      </c>
      <c r="H11" s="276">
        <f t="shared" si="6"/>
        <v>806.28571428571433</v>
      </c>
      <c r="I11" s="276">
        <f>SUM(F11:H11)</f>
        <v>2619.7257142857143</v>
      </c>
      <c r="J11" s="276">
        <f t="shared" ref="J11:K11" si="7">J4+J5+J6+J7-J8</f>
        <v>303.44444444444446</v>
      </c>
      <c r="K11" s="276">
        <f t="shared" si="7"/>
        <v>-299.88139841269839</v>
      </c>
      <c r="L11" s="276">
        <f t="shared" ref="L11" si="8">L4+L5+L6+L7-L8</f>
        <v>22.222222222222221</v>
      </c>
      <c r="M11" s="276">
        <f>SUM(J11:L11)</f>
        <v>25.78526825396829</v>
      </c>
      <c r="N11" s="276"/>
      <c r="O11" s="276"/>
      <c r="P11" s="276"/>
    </row>
    <row r="12" spans="1:22">
      <c r="A12" s="281" t="s">
        <v>73</v>
      </c>
      <c r="B12" s="281"/>
      <c r="C12" s="281"/>
      <c r="D12" s="281"/>
      <c r="E12" s="869"/>
      <c r="F12" s="281"/>
      <c r="G12" s="281"/>
      <c r="H12" s="281"/>
      <c r="I12" s="869"/>
      <c r="J12" s="281"/>
      <c r="K12" s="281"/>
      <c r="L12" s="281"/>
      <c r="M12" s="869"/>
      <c r="N12" s="281"/>
      <c r="O12" s="281"/>
      <c r="P12" s="281"/>
    </row>
    <row r="13" spans="1:22">
      <c r="A13" t="s">
        <v>2813</v>
      </c>
      <c r="B13" s="43">
        <f>SUMIFS('Ventas 2026'!$M:$M,'Ventas 2026'!$G:$G,$A13,'Ventas 2026'!$E:$E,$A12,'Ventas 2026'!$D:$D,B2,'Ventas 2026'!$B:$B,"&lt;&gt;Perdido")</f>
        <v>0</v>
      </c>
      <c r="C13" s="43">
        <f>SUMIFS('Ventas 2026'!$M:$M,'Ventas 2026'!$G:$G,$A13,'Ventas 2026'!$E:$E,$A12,'Ventas 2026'!$D:$D,C2,'Ventas 2026'!$B:$B,"&lt;&gt;Perdido")</f>
        <v>695.5240793201134</v>
      </c>
      <c r="D13" s="43">
        <f>SUMIFS('Ventas 2026'!$M:$M,'Ventas 2026'!$G:$G,$A13,'Ventas 2026'!$E:$E,$A12,'Ventas 2026'!$D:$D,D2,'Ventas 2026'!$B:$B,"&lt;&gt;Perdido")</f>
        <v>1241.0198300283287</v>
      </c>
      <c r="E13" s="870">
        <f>SUM(B13:D13)</f>
        <v>1936.543909348442</v>
      </c>
      <c r="F13" s="43">
        <f>SUMIFS('Ventas 2026'!$M:$M,'Ventas 2026'!$G:$G,$A13,'Ventas 2026'!$E:$E,$A12,'Ventas 2026'!$D:$D,F2,'Ventas 2026'!$B:$B,"&lt;&gt;Perdido")</f>
        <v>0</v>
      </c>
      <c r="G13" s="43">
        <f>SUMIFS('Ventas 2026'!$M:$M,'Ventas 2026'!$G:$G,$A13,'Ventas 2026'!$E:$E,$A12,'Ventas 2026'!$D:$D,G2,'Ventas 2026'!$B:$B,"&lt;&gt;Perdido")</f>
        <v>0</v>
      </c>
      <c r="H13" s="43">
        <f>SUMIFS('Ventas 2026'!$M:$M,'Ventas 2026'!$G:$G,$A13,'Ventas 2026'!$E:$E,$A12,'Ventas 2026'!$D:$D,H2,'Ventas 2026'!$B:$B,"&lt;&gt;Perdido")</f>
        <v>1983.3142857142859</v>
      </c>
      <c r="I13" s="870">
        <f>SUM(F13:H13)</f>
        <v>1983.3142857142859</v>
      </c>
      <c r="J13" s="43">
        <f>SUMIFS('Ventas 2026'!$M:$M,'Ventas 2026'!$G:$G,$A13,'Ventas 2026'!$E:$E,$A12,'Ventas 2026'!$D:$D,J2,'Ventas 2026'!$B:$B,"&lt;&gt;Perdido")</f>
        <v>0</v>
      </c>
      <c r="K13" s="43">
        <f>SUMIFS('Ventas 2026'!$M:$M,'Ventas 2026'!$G:$G,$A13,'Ventas 2026'!$E:$E,$A12,'Ventas 2026'!$D:$D,K2,'Ventas 2026'!$B:$B,"&lt;&gt;Perdido")</f>
        <v>475.79365079365078</v>
      </c>
      <c r="L13" s="43">
        <f>SUMIFS('Ventas 2026'!$M:$M,'Ventas 2026'!$G:$G,$A13,'Ventas 2026'!$E:$E,$A12,'Ventas 2026'!$D:$D,L2,'Ventas 2026'!$B:$B,"&lt;&gt;Perdido")</f>
        <v>131.42857142857142</v>
      </c>
      <c r="M13" s="870">
        <f>SUM(J13:L13)</f>
        <v>607.22222222222217</v>
      </c>
      <c r="N13" s="43"/>
      <c r="O13" s="43"/>
      <c r="P13" s="43"/>
      <c r="R13" s="53"/>
      <c r="S13" s="53"/>
      <c r="T13" s="53"/>
      <c r="U13" s="53"/>
      <c r="V13" s="53"/>
    </row>
    <row r="14" spans="1:22">
      <c r="A14" t="s">
        <v>2814</v>
      </c>
      <c r="B14" s="43">
        <f>SUMIFS('Ventas 2026'!$M:$M,'Ventas 2026'!$G:$G,$A14,'Ventas 2026'!$E:$E,$A12,'Ventas 2026'!$D:$D,B2,'Ventas 2026'!$B:$B,"&lt;&gt;Perdido")</f>
        <v>111.61473087818698</v>
      </c>
      <c r="C14" s="43">
        <f>SUMIFS('Ventas 2026'!$M:$M,'Ventas 2026'!$G:$G,$A14,'Ventas 2026'!$E:$E,$A12,'Ventas 2026'!$D:$D,C2,'Ventas 2026'!$B:$B,"&lt;&gt;Perdido")</f>
        <v>416.94050991501422</v>
      </c>
      <c r="D14" s="43">
        <f>SUMIFS('Ventas 2026'!$M:$M,'Ventas 2026'!$G:$G,$A14,'Ventas 2026'!$E:$E,$A12,'Ventas 2026'!$D:$D,D2,'Ventas 2026'!$B:$B,"&lt;&gt;Perdido")</f>
        <v>283.62606232294621</v>
      </c>
      <c r="E14" s="870">
        <f t="shared" ref="E14:E17" si="9">SUM(B14:D14)</f>
        <v>812.18130311614732</v>
      </c>
      <c r="F14" s="43">
        <f>SUMIFS('Ventas 2026'!$M:$M,'Ventas 2026'!$G:$G,$A14,'Ventas 2026'!$E:$E,$A12,'Ventas 2026'!$D:$D,F2,'Ventas 2026'!$B:$B,"&lt;&gt;Perdido")</f>
        <v>0</v>
      </c>
      <c r="G14" s="43">
        <f>SUMIFS('Ventas 2026'!$M:$M,'Ventas 2026'!$G:$G,$A14,'Ventas 2026'!$E:$E,$A12,'Ventas 2026'!$D:$D,G2,'Ventas 2026'!$B:$B,"&lt;&gt;Perdido")</f>
        <v>0</v>
      </c>
      <c r="H14" s="43">
        <f>SUMIFS('Ventas 2026'!$M:$M,'Ventas 2026'!$G:$G,$A14,'Ventas 2026'!$E:$E,$A12,'Ventas 2026'!$D:$D,H2,'Ventas 2026'!$B:$B,"&lt;&gt;Perdido")</f>
        <v>1588.5714285714284</v>
      </c>
      <c r="I14" s="870">
        <f t="shared" ref="I14:I17" si="10">SUM(F14:H14)</f>
        <v>1588.5714285714284</v>
      </c>
      <c r="J14" s="43">
        <f>SUMIFS('Ventas 2026'!$M:$M,'Ventas 2026'!$G:$G,$A14,'Ventas 2026'!$E:$E,$A12,'Ventas 2026'!$D:$D,J2,'Ventas 2026'!$B:$B,"&lt;&gt;Perdido")</f>
        <v>0</v>
      </c>
      <c r="K14" s="43">
        <f>SUMIFS('Ventas 2026'!$M:$M,'Ventas 2026'!$G:$G,$A14,'Ventas 2026'!$E:$E,$A12,'Ventas 2026'!$D:$D,K2,'Ventas 2026'!$B:$B,"&lt;&gt;Perdido")</f>
        <v>111.11111111111111</v>
      </c>
      <c r="L14" s="43">
        <f>SUMIFS('Ventas 2026'!$M:$M,'Ventas 2026'!$G:$G,$A14,'Ventas 2026'!$E:$E,$A12,'Ventas 2026'!$D:$D,L2,'Ventas 2026'!$B:$B,"&lt;&gt;Perdido")</f>
        <v>119.44444444444444</v>
      </c>
      <c r="M14" s="870">
        <f t="shared" ref="M14:M17" si="11">SUM(J14:L14)</f>
        <v>230.55555555555554</v>
      </c>
      <c r="N14" s="43"/>
      <c r="O14" s="43"/>
      <c r="P14" s="43"/>
      <c r="Q14" s="53"/>
      <c r="R14" s="53"/>
      <c r="S14" s="53"/>
      <c r="T14" s="53"/>
      <c r="U14" s="53"/>
      <c r="V14" s="53"/>
    </row>
    <row r="15" spans="1:22">
      <c r="A15" t="s">
        <v>2882</v>
      </c>
      <c r="B15" s="43">
        <f>SUMIFS('Ventas 2026'!$M:$M,'Ventas 2026'!$G:$G,$A15,'Ventas 2026'!$E:$E,$A12,'Ventas 2026'!$D:$D,B2,'Ventas 2026'!$B:$B,"&lt;&gt;Perdido")</f>
        <v>0</v>
      </c>
      <c r="C15" s="43">
        <f>SUMIFS('Ventas 2026'!$M:$M,'Ventas 2026'!$G:$G,$A15,'Ventas 2026'!$E:$E,$A12,'Ventas 2026'!$D:$D,C2,'Ventas 2026'!$B:$B,"&lt;&gt;Perdido")</f>
        <v>0</v>
      </c>
      <c r="D15" s="43">
        <f>SUMIFS('Ventas 2026'!$M:$M,'Ventas 2026'!$G:$G,$A15,'Ventas 2026'!$E:$E,$A12,'Ventas 2026'!$D:$D,D2,'Ventas 2026'!$B:$B,"&lt;&gt;Perdido")</f>
        <v>0</v>
      </c>
      <c r="E15" s="870">
        <f t="shared" si="9"/>
        <v>0</v>
      </c>
      <c r="F15" s="43">
        <f>SUMIFS('Ventas 2026'!$M:$M,'Ventas 2026'!$G:$G,$A15,'Ventas 2026'!$E:$E,$A12,'Ventas 2026'!$D:$D,F2,'Ventas 2026'!$B:$B,"&lt;&gt;Perdido")</f>
        <v>0</v>
      </c>
      <c r="G15" s="43">
        <f>SUMIFS('Ventas 2026'!$M:$M,'Ventas 2026'!$G:$G,$A15,'Ventas 2026'!$E:$E,$A12,'Ventas 2026'!$D:$D,G2,'Ventas 2026'!$B:$B,"&lt;&gt;Perdido")</f>
        <v>0</v>
      </c>
      <c r="H15" s="43">
        <f>SUMIFS('Ventas 2026'!$M:$M,'Ventas 2026'!$G:$G,$A15,'Ventas 2026'!$E:$E,$A12,'Ventas 2026'!$D:$D,H2,'Ventas 2026'!$B:$B,"&lt;&gt;Perdido")</f>
        <v>0</v>
      </c>
      <c r="I15" s="870">
        <f t="shared" si="10"/>
        <v>0</v>
      </c>
      <c r="J15" s="43">
        <f>SUMIFS('Ventas 2026'!$M:$M,'Ventas 2026'!$G:$G,$A15,'Ventas 2026'!$E:$E,$A12,'Ventas 2026'!$D:$D,J2,'Ventas 2026'!$B:$B,"&lt;&gt;Perdido")</f>
        <v>0</v>
      </c>
      <c r="K15" s="43">
        <f>SUMIFS('Ventas 2026'!$M:$M,'Ventas 2026'!$G:$G,$A15,'Ventas 2026'!$E:$E,$A12,'Ventas 2026'!$D:$D,K2,'Ventas 2026'!$B:$B,"&lt;&gt;Perdido")</f>
        <v>0</v>
      </c>
      <c r="L15" s="43">
        <f>SUMIFS('Ventas 2026'!$M:$M,'Ventas 2026'!$G:$G,$A15,'Ventas 2026'!$E:$E,$A12,'Ventas 2026'!$D:$D,L2,'Ventas 2026'!$B:$B,"&lt;&gt;Perdido")</f>
        <v>0</v>
      </c>
      <c r="M15" s="870">
        <f t="shared" si="11"/>
        <v>0</v>
      </c>
      <c r="N15" s="43"/>
      <c r="O15" s="43"/>
      <c r="P15" s="43"/>
      <c r="Q15" s="53"/>
      <c r="R15" s="53"/>
      <c r="S15" s="53"/>
      <c r="T15" s="53"/>
      <c r="U15" s="53"/>
      <c r="V15" s="53"/>
    </row>
    <row r="16" spans="1:22">
      <c r="A16" t="s">
        <v>3403</v>
      </c>
      <c r="B16" s="43">
        <f>SUMIFS('Ventas 2026'!$M:$M,'Ventas 2026'!$G:$G,$A16,'Ventas 2026'!$E:$E,$A12,'Ventas 2026'!$D:$D,B2,'Ventas 2026'!$B:$B,"&lt;&gt;Perdido")</f>
        <v>0</v>
      </c>
      <c r="C16" s="43">
        <f>SUMIFS('Ventas 2026'!$M:$M,'Ventas 2026'!$G:$G,$A16,'Ventas 2026'!$E:$E,$A12,'Ventas 2026'!$D:$D,C2,'Ventas 2026'!$B:$B,"&lt;&gt;Perdido")</f>
        <v>0</v>
      </c>
      <c r="D16" s="43">
        <f>SUMIFS('Ventas 2026'!$M:$M,'Ventas 2026'!$G:$G,$A16,'Ventas 2026'!$E:$E,$A12,'Ventas 2026'!$D:$D,D2,'Ventas 2026'!$B:$B,"&lt;&gt;Perdido")</f>
        <v>0</v>
      </c>
      <c r="E16" s="870">
        <f t="shared" si="9"/>
        <v>0</v>
      </c>
      <c r="F16" s="43">
        <f>SUMIFS('Ventas 2026'!$M:$M,'Ventas 2026'!$G:$G,$A16,'Ventas 2026'!$E:$E,$A12,'Ventas 2026'!$D:$D,F2,'Ventas 2026'!$B:$B,"&lt;&gt;Perdido")</f>
        <v>0</v>
      </c>
      <c r="G16" s="43">
        <f>SUMIFS('Ventas 2026'!$M:$M,'Ventas 2026'!$G:$G,$A16,'Ventas 2026'!$E:$E,$A12,'Ventas 2026'!$D:$D,G2,'Ventas 2026'!$B:$B,"&lt;&gt;Perdido")</f>
        <v>0</v>
      </c>
      <c r="H16" s="43">
        <f>SUMIFS('Ventas 2026'!$M:$M,'Ventas 2026'!$G:$G,$A16,'Ventas 2026'!$E:$E,$A12,'Ventas 2026'!$D:$D,H2,'Ventas 2026'!$B:$B,"&lt;&gt;Perdido")</f>
        <v>0</v>
      </c>
      <c r="I16" s="870">
        <f t="shared" si="10"/>
        <v>0</v>
      </c>
      <c r="J16" s="43">
        <f>SUMIFS('Ventas 2026'!$M:$M,'Ventas 2026'!$G:$G,$A16,'Ventas 2026'!$E:$E,$A12,'Ventas 2026'!$D:$D,J2,'Ventas 2026'!$B:$B,"&lt;&gt;Perdido")</f>
        <v>0</v>
      </c>
      <c r="K16" s="43">
        <f>SUMIFS('Ventas 2026'!$M:$M,'Ventas 2026'!$G:$G,$A16,'Ventas 2026'!$E:$E,$A12,'Ventas 2026'!$D:$D,K2,'Ventas 2026'!$B:$B,"&lt;&gt;Perdido")</f>
        <v>0</v>
      </c>
      <c r="L16" s="43">
        <f>SUMIFS('Ventas 2026'!$M:$M,'Ventas 2026'!$G:$G,$A16,'Ventas 2026'!$E:$E,$A12,'Ventas 2026'!$D:$D,L2,'Ventas 2026'!$B:$B,"&lt;&gt;Perdido")</f>
        <v>0</v>
      </c>
      <c r="M16" s="870">
        <f t="shared" si="11"/>
        <v>0</v>
      </c>
      <c r="N16" s="43"/>
      <c r="O16" s="43"/>
      <c r="P16" s="43"/>
      <c r="Q16" s="53"/>
    </row>
    <row r="17" spans="1:22">
      <c r="A17" s="277" t="s">
        <v>3396</v>
      </c>
      <c r="B17" s="278">
        <f>SUMIFS('Detalle Fuga 2026'!$I:$I,'Detalle Fuga 2026'!$C:$C,$A12,'Detalle Fuga 2026'!$K:$K,B2,'Detalle Fuga 2026'!$A:$A,"Baja")</f>
        <v>788.66</v>
      </c>
      <c r="C17" s="278">
        <f>SUMIFS('Detalle Fuga 2026'!$I:$I,'Detalle Fuga 2026'!$C:$C,$A12,'Detalle Fuga 2026'!$K:$K,C2,'Detalle Fuga 2026'!$A:$A,"Baja")</f>
        <v>342</v>
      </c>
      <c r="D17" s="278">
        <f>SUMIFS('Detalle Fuga 2026'!$I:$I,'Detalle Fuga 2026'!$C:$C,$A12,'Detalle Fuga 2026'!$K:$K,D2,'Detalle Fuga 2026'!$A:$A,"Baja")</f>
        <v>169</v>
      </c>
      <c r="E17" s="870">
        <f t="shared" si="9"/>
        <v>1299.6599999999999</v>
      </c>
      <c r="F17" s="278">
        <f>SUMIFS('Detalle Fuga 2026'!$I:$I,'Detalle Fuga 2026'!$C:$C,$A12,'Detalle Fuga 2026'!$K:$K,F2,'Detalle Fuga 2026'!$A:$A,"Baja")</f>
        <v>361</v>
      </c>
      <c r="G17" s="278">
        <f>SUMIFS('Detalle Fuga 2026'!$I:$I,'Detalle Fuga 2026'!$C:$C,$A12,'Detalle Fuga 2026'!$K:$K,G2,'Detalle Fuga 2026'!$A:$A,"Baja")</f>
        <v>764</v>
      </c>
      <c r="H17" s="278">
        <f>SUMIFS('Detalle Fuga 2026'!$I:$I,'Detalle Fuga 2026'!$C:$C,$A12,'Detalle Fuga 2026'!$K:$K,H2,'Detalle Fuga 2026'!$A:$A,"Baja")</f>
        <v>0</v>
      </c>
      <c r="I17" s="870">
        <f t="shared" si="10"/>
        <v>1125</v>
      </c>
      <c r="J17" s="278">
        <f>SUMIFS('Detalle Fuga 2026'!$I:$I,'Detalle Fuga 2026'!$C:$C,$A12,'Detalle Fuga 2026'!$K:$K,J2,'Detalle Fuga 2026'!$A:$A,"Baja")</f>
        <v>0</v>
      </c>
      <c r="K17" s="278">
        <f>SUMIFS('Detalle Fuga 2026'!$I:$I,'Detalle Fuga 2026'!$C:$C,$A12,'Detalle Fuga 2026'!$K:$K,K2,'Detalle Fuga 2026'!$A:$A,"Baja")</f>
        <v>2.3900999999999999</v>
      </c>
      <c r="L17" s="278">
        <f>SUMIFS('Detalle Fuga 2026'!$I:$I,'Detalle Fuga 2026'!$C:$C,$A12,'Detalle Fuga 2026'!$K:$K,L2,'Detalle Fuga 2026'!$A:$A,"Baja")</f>
        <v>1270.9152999999999</v>
      </c>
      <c r="M17" s="870">
        <f t="shared" si="11"/>
        <v>1273.3054</v>
      </c>
      <c r="N17" s="278"/>
      <c r="O17" s="278"/>
      <c r="P17" s="278"/>
    </row>
    <row r="18" spans="1:22">
      <c r="A18" s="277" t="s">
        <v>3404</v>
      </c>
      <c r="B18" s="279">
        <f>SUMIFS('MARE MX'!$V$2:$V$560,'MARE MX'!$E$2:$E$560, $A12)</f>
        <v>42610.28</v>
      </c>
      <c r="C18" s="279">
        <f>SUMIFS('MARE MX'!$W$2:$W$560,'MARE MX'!$E$2:$E$560, $A12)</f>
        <v>44512.109999999964</v>
      </c>
      <c r="D18" s="279">
        <f>SUMIFS('MARE MX'!$X$2:$X$560,'MARE MX'!$E$2:$E$560, $A12)</f>
        <v>48156.600000000013</v>
      </c>
      <c r="E18" s="871"/>
      <c r="F18" s="279">
        <f>SUMIFS('MARE MX'!$Y$2:$Y$560,'MARE MX'!$E$2:$E$560, $A12)</f>
        <v>48881.990000000042</v>
      </c>
      <c r="G18" s="279">
        <f>SUMIFS('MARE MX'!$Z$2:$Z$560,'MARE MX'!$E$2:$E$560, $A12)</f>
        <v>51650.296699999992</v>
      </c>
      <c r="H18" s="279">
        <f>SUMIFS('MARE MX'!$AA$2:$AA$560,'MARE MX'!$E$2:$E$560, $A12)</f>
        <v>61907.076799999988</v>
      </c>
      <c r="I18" s="871"/>
      <c r="J18" s="279">
        <f>SUMIFS('MARE MX'!$AB$2:$AB$560,'MARE MX'!$E$2:$E$560, $A12)</f>
        <v>59857.941800000001</v>
      </c>
      <c r="K18" s="279">
        <f>SUMIFS('MARE MX'!$AC$2:$AC$560,'MARE MX'!$E$2:$E$560, $A12)</f>
        <v>60778.311300000001</v>
      </c>
      <c r="L18" s="279">
        <f>SUMIFS('MARE MX'!$AD$2:$AD$560,'MARE MX'!$E$2:$E$560, $A12)</f>
        <v>58010.74</v>
      </c>
      <c r="M18" s="871"/>
      <c r="N18" s="279"/>
      <c r="O18" s="279"/>
      <c r="P18" s="279"/>
      <c r="R18" s="53"/>
      <c r="S18" s="53"/>
      <c r="T18" s="53"/>
      <c r="U18" s="53"/>
      <c r="V18" s="53"/>
    </row>
    <row r="19" spans="1:22">
      <c r="A19" s="277" t="s">
        <v>3405</v>
      </c>
      <c r="B19" s="280">
        <f t="shared" ref="B19:H19" si="12">B17/B18</f>
        <v>1.8508679126257796E-2</v>
      </c>
      <c r="C19" s="280">
        <f t="shared" si="12"/>
        <v>7.6833023642330208E-3</v>
      </c>
      <c r="D19" s="280">
        <f t="shared" si="12"/>
        <v>3.5093839681372844E-3</v>
      </c>
      <c r="E19" s="872"/>
      <c r="F19" s="280">
        <f t="shared" si="12"/>
        <v>7.3851330520709095E-3</v>
      </c>
      <c r="G19" s="280">
        <f t="shared" si="12"/>
        <v>1.4791783374208577E-2</v>
      </c>
      <c r="H19" s="280">
        <f t="shared" si="12"/>
        <v>0</v>
      </c>
      <c r="I19" s="872"/>
      <c r="J19" s="280">
        <f t="shared" ref="J19:K19" si="13">J17/J18</f>
        <v>0</v>
      </c>
      <c r="K19" s="280">
        <f t="shared" si="13"/>
        <v>3.9324883315736349E-5</v>
      </c>
      <c r="L19" s="280">
        <f t="shared" ref="L19" si="14">L17/L18</f>
        <v>2.1908275950280928E-2</v>
      </c>
      <c r="M19" s="872"/>
      <c r="N19" s="280"/>
      <c r="O19" s="280"/>
      <c r="P19" s="280"/>
      <c r="R19" s="53"/>
      <c r="S19" s="53"/>
      <c r="T19" s="53"/>
      <c r="U19" s="53"/>
      <c r="V19" s="53"/>
    </row>
    <row r="20" spans="1:22">
      <c r="A20" s="275" t="s">
        <v>3406</v>
      </c>
      <c r="B20" s="276">
        <f>B13+B14+B15+B16-B17</f>
        <v>-677.04526912181302</v>
      </c>
      <c r="C20" s="276">
        <f t="shared" ref="C20:H20" si="15">C13+C14+C15+C16-C17</f>
        <v>770.46458923512773</v>
      </c>
      <c r="D20" s="276">
        <f t="shared" si="15"/>
        <v>1355.6458923512748</v>
      </c>
      <c r="E20" s="276">
        <f>SUM(B20:D20)</f>
        <v>1449.0652124645894</v>
      </c>
      <c r="F20" s="276">
        <f t="shared" si="15"/>
        <v>-361</v>
      </c>
      <c r="G20" s="276">
        <f t="shared" si="15"/>
        <v>-764</v>
      </c>
      <c r="H20" s="276">
        <f t="shared" si="15"/>
        <v>3571.8857142857141</v>
      </c>
      <c r="I20" s="276">
        <f>SUM(F20:H20)</f>
        <v>2446.8857142857141</v>
      </c>
      <c r="J20" s="276">
        <f t="shared" ref="J20:K20" si="16">J13+J14+J15+J16-J17</f>
        <v>0</v>
      </c>
      <c r="K20" s="276">
        <f t="shared" si="16"/>
        <v>584.51466190476197</v>
      </c>
      <c r="L20" s="276">
        <f t="shared" ref="L20" si="17">L13+L14+L15+L16-L17</f>
        <v>-1020.042284126984</v>
      </c>
      <c r="M20" s="276">
        <f>SUM(J20:L20)</f>
        <v>-435.52762222222202</v>
      </c>
      <c r="N20" s="276"/>
      <c r="O20" s="276"/>
      <c r="P20" s="276"/>
      <c r="R20" s="53"/>
      <c r="S20" s="53"/>
      <c r="T20" s="53"/>
      <c r="U20" s="53"/>
      <c r="V20" s="53"/>
    </row>
    <row r="21" spans="1:22">
      <c r="A21" s="281" t="s">
        <v>93</v>
      </c>
      <c r="B21" s="281"/>
      <c r="C21" s="281"/>
      <c r="D21" s="281"/>
      <c r="E21" s="869"/>
      <c r="F21" s="281"/>
      <c r="G21" s="281"/>
      <c r="H21" s="281"/>
      <c r="I21" s="869"/>
      <c r="J21" s="281"/>
      <c r="K21" s="281"/>
      <c r="L21" s="281"/>
      <c r="M21" s="869"/>
      <c r="N21" s="281"/>
      <c r="O21" s="281"/>
      <c r="P21" s="281"/>
      <c r="R21" s="53"/>
      <c r="S21" s="53"/>
      <c r="T21" s="53"/>
      <c r="U21" s="53"/>
      <c r="V21" s="53"/>
    </row>
    <row r="22" spans="1:22">
      <c r="A22" t="s">
        <v>2813</v>
      </c>
      <c r="B22" s="43">
        <f>SUMIFS('Ventas 2026'!$M:$M,'Ventas 2026'!$G:$G,$A22,'Ventas 2026'!$E:$E,$A21,'Ventas 2026'!$D:$D,B2,'Ventas 2026'!$B:$B,"&lt;&gt;Perdido")</f>
        <v>0</v>
      </c>
      <c r="C22" s="43">
        <f>SUMIFS('Ventas 2026'!$M:$M,'Ventas 2026'!$G:$G,$A22,'Ventas 2026'!$E:$E,$A21,'Ventas 2026'!$D:$D,C2,'Ventas 2026'!$B:$B,"&lt;&gt;Perdido")</f>
        <v>0</v>
      </c>
      <c r="D22" s="43">
        <f>SUMIFS('Ventas 2026'!$M:$M,'Ventas 2026'!$G:$G,$A22,'Ventas 2026'!$E:$E,$A21,'Ventas 2026'!$D:$D,D2,'Ventas 2026'!$B:$B,"&lt;&gt;Perdido")</f>
        <v>191.72804532577905</v>
      </c>
      <c r="E22" s="870">
        <f>SUM(B22:D22)</f>
        <v>191.72804532577905</v>
      </c>
      <c r="F22" s="43">
        <f>SUMIFS('Ventas 2026'!$M:$M,'Ventas 2026'!$G:$G,$A22,'Ventas 2026'!$E:$E,$A21,'Ventas 2026'!$D:$D,F2,'Ventas 2026'!$B:$B,"&lt;&gt;Perdido")</f>
        <v>0</v>
      </c>
      <c r="G22" s="43">
        <f>SUMIFS('Ventas 2026'!$M:$M,'Ventas 2026'!$G:$G,$A22,'Ventas 2026'!$E:$E,$A21,'Ventas 2026'!$D:$D,G2,'Ventas 2026'!$B:$B,"&lt;&gt;Perdido")</f>
        <v>397.37142857142857</v>
      </c>
      <c r="H22" s="43">
        <f>SUMIFS('Ventas 2026'!$M:$M,'Ventas 2026'!$G:$G,$A22,'Ventas 2026'!$E:$E,$A21,'Ventas 2026'!$D:$D,H2,'Ventas 2026'!$B:$B,"&lt;&gt;Perdido")</f>
        <v>205.71428571428572</v>
      </c>
      <c r="I22" s="870">
        <f>SUM(F22:H22)</f>
        <v>603.08571428571429</v>
      </c>
      <c r="J22" s="43">
        <f>SUMIFS('Ventas 2026'!$M:$M,'Ventas 2026'!$G:$G,$A22,'Ventas 2026'!$E:$E,$A21,'Ventas 2026'!$D:$D,J2,'Ventas 2026'!$B:$B,"&lt;&gt;Perdido")</f>
        <v>0</v>
      </c>
      <c r="K22" s="43">
        <f>SUMIFS('Ventas 2026'!$M:$M,'Ventas 2026'!$G:$G,$A22,'Ventas 2026'!$E:$E,$A21,'Ventas 2026'!$D:$D,K2,'Ventas 2026'!$B:$B,"&lt;&gt;Perdido")</f>
        <v>215.97257142857143</v>
      </c>
      <c r="L22" s="43">
        <f>SUMIFS('Ventas 2026'!$M:$M,'Ventas 2026'!$G:$G,$A22,'Ventas 2026'!$E:$E,$A21,'Ventas 2026'!$D:$D,L2,'Ventas 2026'!$B:$B,"&lt;&gt;Perdido")</f>
        <v>386.33333333333331</v>
      </c>
      <c r="M22" s="870">
        <f>SUM(J22:L22)</f>
        <v>602.30590476190469</v>
      </c>
      <c r="N22" s="43"/>
      <c r="O22" s="43"/>
      <c r="P22" s="43"/>
      <c r="R22" s="53"/>
      <c r="S22" s="53"/>
      <c r="T22" s="53"/>
      <c r="U22" s="53"/>
      <c r="V22" s="53"/>
    </row>
    <row r="23" spans="1:22">
      <c r="A23" t="s">
        <v>2814</v>
      </c>
      <c r="B23" s="43">
        <f>SUMIFS('Ventas 2026'!$M:$M,'Ventas 2026'!$G:$G,$A23,'Ventas 2026'!$E:$E,$A21,'Ventas 2026'!$D:$D,B2,'Ventas 2026'!$B:$B,"&lt;&gt;Perdido")</f>
        <v>0</v>
      </c>
      <c r="C23" s="43">
        <f>SUMIFS('Ventas 2026'!$M:$M,'Ventas 2026'!$G:$G,$A23,'Ventas 2026'!$E:$E,$A21,'Ventas 2026'!$D:$D,C2,'Ventas 2026'!$B:$B,"&lt;&gt;Perdido")</f>
        <v>0</v>
      </c>
      <c r="D23" s="43">
        <f>SUMIFS('Ventas 2026'!$M:$M,'Ventas 2026'!$G:$G,$A23,'Ventas 2026'!$E:$E,$A21,'Ventas 2026'!$D:$D,D2,'Ventas 2026'!$B:$B,"&lt;&gt;Perdido")</f>
        <v>957.90368271954685</v>
      </c>
      <c r="E23" s="870">
        <f t="shared" ref="E23:E26" si="18">SUM(B23:D23)</f>
        <v>957.90368271954685</v>
      </c>
      <c r="F23" s="43">
        <f>SUMIFS('Ventas 2026'!$M:$M,'Ventas 2026'!$G:$G,$A23,'Ventas 2026'!$E:$E,$A21,'Ventas 2026'!$D:$D,F2,'Ventas 2026'!$B:$B,"&lt;&gt;Perdido")</f>
        <v>0</v>
      </c>
      <c r="G23" s="43">
        <f>SUMIFS('Ventas 2026'!$M:$M,'Ventas 2026'!$G:$G,$A23,'Ventas 2026'!$E:$E,$A21,'Ventas 2026'!$D:$D,G2,'Ventas 2026'!$B:$B,"&lt;&gt;Perdido")</f>
        <v>727.79142857142858</v>
      </c>
      <c r="H23" s="43">
        <f>SUMIFS('Ventas 2026'!$M:$M,'Ventas 2026'!$G:$G,$A23,'Ventas 2026'!$E:$E,$A21,'Ventas 2026'!$D:$D,H2,'Ventas 2026'!$B:$B,"&lt;&gt;Perdido")</f>
        <v>486.85714285714283</v>
      </c>
      <c r="I23" s="870">
        <f t="shared" ref="I23:I26" si="19">SUM(F23:H23)</f>
        <v>1214.6485714285714</v>
      </c>
      <c r="J23" s="43">
        <f>SUMIFS('Ventas 2026'!$M:$M,'Ventas 2026'!$G:$G,$A23,'Ventas 2026'!$E:$E,$A21,'Ventas 2026'!$D:$D,J2,'Ventas 2026'!$B:$B,"&lt;&gt;Perdido")</f>
        <v>0</v>
      </c>
      <c r="K23" s="43">
        <f>SUMIFS('Ventas 2026'!$M:$M,'Ventas 2026'!$G:$G,$A23,'Ventas 2026'!$E:$E,$A21,'Ventas 2026'!$D:$D,K2,'Ventas 2026'!$B:$B,"&lt;&gt;Perdido")</f>
        <v>365</v>
      </c>
      <c r="L23" s="43">
        <f>SUMIFS('Ventas 2026'!$M:$M,'Ventas 2026'!$G:$G,$A23,'Ventas 2026'!$E:$E,$A21,'Ventas 2026'!$D:$D,L2,'Ventas 2026'!$B:$B,"&lt;&gt;Perdido")</f>
        <v>1104.4444444444443</v>
      </c>
      <c r="M23" s="870">
        <f t="shared" ref="M23:M26" si="20">SUM(J23:L23)</f>
        <v>1469.4444444444443</v>
      </c>
      <c r="N23" s="43"/>
      <c r="O23" s="43"/>
      <c r="P23" s="43"/>
      <c r="R23" s="53"/>
      <c r="S23" s="53"/>
      <c r="T23" s="53"/>
      <c r="U23" s="53"/>
      <c r="V23" s="53"/>
    </row>
    <row r="24" spans="1:22">
      <c r="A24" t="s">
        <v>2882</v>
      </c>
      <c r="B24" s="43">
        <f>SUMIFS('Ventas 2026'!$M:$M,'Ventas 2026'!$G:$G,$A24,'Ventas 2026'!$E:$E,$A21,'Ventas 2026'!$D:$D,B2,'Ventas 2026'!$B:$B,"&lt;&gt;Perdido")</f>
        <v>0</v>
      </c>
      <c r="C24" s="43">
        <f>SUMIFS('Ventas 2026'!$M:$M,'Ventas 2026'!$G:$G,$A24,'Ventas 2026'!$E:$E,$A21,'Ventas 2026'!$D:$D,C2,'Ventas 2026'!$B:$B,"&lt;&gt;Perdido")</f>
        <v>0</v>
      </c>
      <c r="D24" s="43">
        <f>SUMIFS('Ventas 2026'!$M:$M,'Ventas 2026'!$G:$G,$A24,'Ventas 2026'!$E:$E,$A21,'Ventas 2026'!$D:$D,D2,'Ventas 2026'!$B:$B,"&lt;&gt;Perdido")</f>
        <v>0</v>
      </c>
      <c r="E24" s="870">
        <f t="shared" si="18"/>
        <v>0</v>
      </c>
      <c r="F24" s="43">
        <f>SUMIFS('Ventas 2026'!$M:$M,'Ventas 2026'!$G:$G,$A24,'Ventas 2026'!$E:$E,$A21,'Ventas 2026'!$D:$D,F2,'Ventas 2026'!$B:$B,"&lt;&gt;Perdido")</f>
        <v>0</v>
      </c>
      <c r="G24" s="43">
        <f>SUMIFS('Ventas 2026'!$M:$M,'Ventas 2026'!$G:$G,$A24,'Ventas 2026'!$E:$E,$A21,'Ventas 2026'!$D:$D,G2,'Ventas 2026'!$B:$B,"&lt;&gt;Perdido")</f>
        <v>0</v>
      </c>
      <c r="H24" s="43">
        <f>SUMIFS('Ventas 2026'!$M:$M,'Ventas 2026'!$G:$G,$A24,'Ventas 2026'!$E:$E,$A21,'Ventas 2026'!$D:$D,H2,'Ventas 2026'!$B:$B,"&lt;&gt;Perdido")</f>
        <v>0</v>
      </c>
      <c r="I24" s="870">
        <f t="shared" si="19"/>
        <v>0</v>
      </c>
      <c r="J24" s="43">
        <f>SUMIFS('Ventas 2026'!$M:$M,'Ventas 2026'!$G:$G,$A24,'Ventas 2026'!$E:$E,$A21,'Ventas 2026'!$D:$D,J2,'Ventas 2026'!$B:$B,"&lt;&gt;Perdido")</f>
        <v>0</v>
      </c>
      <c r="K24" s="43">
        <f>SUMIFS('Ventas 2026'!$M:$M,'Ventas 2026'!$G:$G,$A24,'Ventas 2026'!$E:$E,$A21,'Ventas 2026'!$D:$D,K2,'Ventas 2026'!$B:$B,"&lt;&gt;Perdido")</f>
        <v>0</v>
      </c>
      <c r="L24" s="43">
        <f>SUMIFS('Ventas 2026'!$M:$M,'Ventas 2026'!$G:$G,$A24,'Ventas 2026'!$E:$E,$A21,'Ventas 2026'!$D:$D,L2,'Ventas 2026'!$B:$B,"&lt;&gt;Perdido")</f>
        <v>0</v>
      </c>
      <c r="M24" s="870">
        <f t="shared" si="20"/>
        <v>0</v>
      </c>
      <c r="N24" s="43"/>
      <c r="O24" s="43"/>
      <c r="P24" s="43"/>
      <c r="R24" s="53"/>
      <c r="S24" s="53"/>
      <c r="T24" s="53"/>
      <c r="U24" s="53"/>
      <c r="V24" s="53"/>
    </row>
    <row r="25" spans="1:22">
      <c r="A25" t="s">
        <v>3403</v>
      </c>
      <c r="B25" s="43">
        <f>SUMIFS('Ventas 2026'!$M:$M,'Ventas 2026'!$G:$G,$A25,'Ventas 2026'!$E:$E,$A21,'Ventas 2026'!$D:$D,B2,'Ventas 2026'!$B:$B,"&lt;&gt;Perdido")</f>
        <v>0</v>
      </c>
      <c r="C25" s="43">
        <f>SUMIFS('Ventas 2026'!$M:$M,'Ventas 2026'!$G:$G,$A25,'Ventas 2026'!$E:$E,$A21,'Ventas 2026'!$D:$D,C2,'Ventas 2026'!$B:$B,"&lt;&gt;Perdido")</f>
        <v>0</v>
      </c>
      <c r="D25" s="43">
        <f>SUMIFS('Ventas 2026'!$M:$M,'Ventas 2026'!$G:$G,$A25,'Ventas 2026'!$E:$E,$A21,'Ventas 2026'!$D:$D,D2,'Ventas 2026'!$B:$B,"&lt;&gt;Perdido")</f>
        <v>0</v>
      </c>
      <c r="E25" s="870">
        <f t="shared" si="18"/>
        <v>0</v>
      </c>
      <c r="F25" s="43">
        <f>SUMIFS('Ventas 2026'!$M:$M,'Ventas 2026'!$G:$G,$A25,'Ventas 2026'!$E:$E,$A21,'Ventas 2026'!$D:$D,F2,'Ventas 2026'!$B:$B,"&lt;&gt;Perdido")</f>
        <v>0</v>
      </c>
      <c r="G25" s="43">
        <f>SUMIFS('Ventas 2026'!$M:$M,'Ventas 2026'!$G:$G,$A25,'Ventas 2026'!$E:$E,$A21,'Ventas 2026'!$D:$D,G2,'Ventas 2026'!$B:$B,"&lt;&gt;Perdido")</f>
        <v>0</v>
      </c>
      <c r="H25" s="43">
        <f>SUMIFS('Ventas 2026'!$M:$M,'Ventas 2026'!$G:$G,$A25,'Ventas 2026'!$E:$E,$A21,'Ventas 2026'!$D:$D,H2,'Ventas 2026'!$B:$B,"&lt;&gt;Perdido")</f>
        <v>0</v>
      </c>
      <c r="I25" s="870">
        <f t="shared" si="19"/>
        <v>0</v>
      </c>
      <c r="J25" s="43">
        <f>SUMIFS('Ventas 2026'!$M:$M,'Ventas 2026'!$G:$G,$A25,'Ventas 2026'!$E:$E,$A21,'Ventas 2026'!$D:$D,J2,'Ventas 2026'!$B:$B,"&lt;&gt;Perdido")</f>
        <v>0</v>
      </c>
      <c r="K25" s="43">
        <f>SUMIFS('Ventas 2026'!$M:$M,'Ventas 2026'!$G:$G,$A25,'Ventas 2026'!$E:$E,$A21,'Ventas 2026'!$D:$D,K2,'Ventas 2026'!$B:$B,"&lt;&gt;Perdido")</f>
        <v>0</v>
      </c>
      <c r="L25" s="43">
        <f>SUMIFS('Ventas 2026'!$M:$M,'Ventas 2026'!$G:$G,$A25,'Ventas 2026'!$E:$E,$A21,'Ventas 2026'!$D:$D,L2,'Ventas 2026'!$B:$B,"&lt;&gt;Perdido")</f>
        <v>0</v>
      </c>
      <c r="M25" s="870">
        <f t="shared" si="20"/>
        <v>0</v>
      </c>
      <c r="N25" s="43"/>
      <c r="O25" s="43"/>
      <c r="P25" s="43"/>
    </row>
    <row r="26" spans="1:22">
      <c r="A26" s="277" t="s">
        <v>3396</v>
      </c>
      <c r="B26" s="278">
        <f>SUMIFS('Detalle Fuga 2026'!$I:$I,'Detalle Fuga 2026'!$C:$C,$A21,'Detalle Fuga 2026'!$K:$K,B2,'Detalle Fuga 2026'!$A:$A,"Baja")</f>
        <v>0</v>
      </c>
      <c r="C26" s="278">
        <f>SUMIFS('Detalle Fuga 2026'!$I:$I,'Detalle Fuga 2026'!$C:$C,$A21,'Detalle Fuga 2026'!$K:$K,C2,'Detalle Fuga 2026'!$A:$A,"Baja")</f>
        <v>675</v>
      </c>
      <c r="D26" s="278">
        <f>SUMIFS('Detalle Fuga 2026'!$I:$I,'Detalle Fuga 2026'!$C:$C,$A21,'Detalle Fuga 2026'!$K:$K,D2,'Detalle Fuga 2026'!$A:$A,"Baja")</f>
        <v>0</v>
      </c>
      <c r="E26" s="870">
        <f t="shared" si="18"/>
        <v>675</v>
      </c>
      <c r="F26" s="278">
        <f>SUMIFS('Detalle Fuga 2026'!$I:$I,'Detalle Fuga 2026'!$C:$C,$A21,'Detalle Fuga 2026'!$K:$K,F2,'Detalle Fuga 2026'!$A:$A,"Baja")</f>
        <v>0</v>
      </c>
      <c r="G26" s="278">
        <f>SUMIFS('Detalle Fuga 2026'!$I:$I,'Detalle Fuga 2026'!$C:$C,$A21,'Detalle Fuga 2026'!$K:$K,G2,'Detalle Fuga 2026'!$A:$A,"Baja")</f>
        <v>0</v>
      </c>
      <c r="H26" s="278">
        <f>SUMIFS('Detalle Fuga 2026'!$I:$I,'Detalle Fuga 2026'!$C:$C,$A21,'Detalle Fuga 2026'!$K:$K,H2,'Detalle Fuga 2026'!$A:$A,"Baja")</f>
        <v>0</v>
      </c>
      <c r="I26" s="870">
        <f t="shared" si="19"/>
        <v>0</v>
      </c>
      <c r="J26" s="278">
        <f>SUMIFS('Detalle Fuga 2026'!$I:$I,'Detalle Fuga 2026'!$C:$C,$A21,'Detalle Fuga 2026'!$K:$K,J2,'Detalle Fuga 2026'!$A:$A,"Baja")</f>
        <v>0</v>
      </c>
      <c r="K26" s="278">
        <f>SUMIFS('Detalle Fuga 2026'!$I:$I,'Detalle Fuga 2026'!$C:$C,$A21,'Detalle Fuga 2026'!$K:$K,K2,'Detalle Fuga 2026'!$A:$A,"Baja")</f>
        <v>0</v>
      </c>
      <c r="L26" s="278">
        <f>SUMIFS('Detalle Fuga 2026'!$I:$I,'Detalle Fuga 2026'!$C:$C,$A21,'Detalle Fuga 2026'!$K:$K,L2,'Detalle Fuga 2026'!$A:$A,"Baja")</f>
        <v>0</v>
      </c>
      <c r="M26" s="870">
        <f t="shared" si="20"/>
        <v>0</v>
      </c>
      <c r="N26" s="278"/>
      <c r="O26" s="278"/>
      <c r="P26" s="278"/>
    </row>
    <row r="27" spans="1:22">
      <c r="A27" s="277" t="s">
        <v>3404</v>
      </c>
      <c r="B27" s="279">
        <f>SUMIFS('MARE MX'!$V$2:$V$560,'MARE MX'!$E$2:$E$560, $A21)</f>
        <v>74210.709999999992</v>
      </c>
      <c r="C27" s="279">
        <f>SUMIFS('MARE MX'!$W$2:$W$560,'MARE MX'!$E$2:$E$560, $A21)</f>
        <v>73236.989999999991</v>
      </c>
      <c r="D27" s="279">
        <f>SUMIFS('MARE MX'!$X$2:$X$560,'MARE MX'!$E$2:$E$560, $A21)</f>
        <v>75768.56</v>
      </c>
      <c r="E27" s="871"/>
      <c r="F27" s="279">
        <f>SUMIFS('MARE MX'!$Y$2:$Y$560,'MARE MX'!$E$2:$E$560, $A21)</f>
        <v>78845.520000000019</v>
      </c>
      <c r="G27" s="279">
        <f>SUMIFS('MARE MX'!$Z$2:$Z$560,'MARE MX'!$E$2:$E$560, $A21)</f>
        <v>77200.103500000027</v>
      </c>
      <c r="H27" s="279">
        <f>SUMIFS('MARE MX'!$AA$2:$AA$560,'MARE MX'!$E$2:$E$560, $A21)</f>
        <v>83841.350000000006</v>
      </c>
      <c r="I27" s="871"/>
      <c r="J27" s="279">
        <f>SUMIFS('MARE MX'!AB$2:AB$560,'MARE MX'!$E$2:$E$560, $A21)</f>
        <v>77960.641099999979</v>
      </c>
      <c r="K27" s="279">
        <f>SUMIFS('MARE MX'!AC$2:AC$560,'MARE MX'!$E$2:$E$560, $A21)</f>
        <v>79459.898299999957</v>
      </c>
      <c r="L27" s="279">
        <f>SUMIFS('MARE MX'!AD$2:AD$560,'MARE MX'!$E$2:$E$560, $A21)</f>
        <v>76495.570900000006</v>
      </c>
      <c r="M27" s="871"/>
      <c r="N27" s="279"/>
      <c r="O27" s="279"/>
      <c r="P27" s="279"/>
    </row>
    <row r="28" spans="1:22">
      <c r="A28" s="277" t="s">
        <v>3405</v>
      </c>
      <c r="B28" s="280">
        <f t="shared" ref="B28:H28" si="21">B26/B27</f>
        <v>0</v>
      </c>
      <c r="C28" s="280">
        <f t="shared" si="21"/>
        <v>9.2166540432642042E-3</v>
      </c>
      <c r="D28" s="280">
        <f t="shared" si="21"/>
        <v>0</v>
      </c>
      <c r="E28" s="872"/>
      <c r="F28" s="280">
        <f t="shared" si="21"/>
        <v>0</v>
      </c>
      <c r="G28" s="280">
        <f t="shared" si="21"/>
        <v>0</v>
      </c>
      <c r="H28" s="280">
        <f t="shared" si="21"/>
        <v>0</v>
      </c>
      <c r="I28" s="872"/>
      <c r="J28" s="280">
        <f t="shared" ref="J28:K28" si="22">J26/J27</f>
        <v>0</v>
      </c>
      <c r="K28" s="280">
        <f t="shared" si="22"/>
        <v>0</v>
      </c>
      <c r="L28" s="280">
        <f t="shared" ref="L28" si="23">L26/L27</f>
        <v>0</v>
      </c>
      <c r="M28" s="872"/>
      <c r="N28" s="280"/>
      <c r="O28" s="280"/>
      <c r="P28" s="280"/>
    </row>
    <row r="29" spans="1:22">
      <c r="A29" s="275" t="s">
        <v>3406</v>
      </c>
      <c r="B29" s="276">
        <f>B22+B23+B24+B25-B26</f>
        <v>0</v>
      </c>
      <c r="C29" s="276">
        <f t="shared" ref="C29:H29" si="24">C22+C23+C24+C25-C26</f>
        <v>-675</v>
      </c>
      <c r="D29" s="276">
        <f t="shared" si="24"/>
        <v>1149.6317280453259</v>
      </c>
      <c r="E29" s="276">
        <f>SUM(B29:D29)</f>
        <v>474.63172804532587</v>
      </c>
      <c r="F29" s="276">
        <f t="shared" si="24"/>
        <v>0</v>
      </c>
      <c r="G29" s="276">
        <f t="shared" si="24"/>
        <v>1125.1628571428571</v>
      </c>
      <c r="H29" s="276">
        <f t="shared" si="24"/>
        <v>692.57142857142856</v>
      </c>
      <c r="I29" s="276">
        <f>SUM(F29:H29)</f>
        <v>1817.7342857142858</v>
      </c>
      <c r="J29" s="276">
        <f t="shared" ref="J29:K29" si="25">J22+J23+J24+J25-J26</f>
        <v>0</v>
      </c>
      <c r="K29" s="276">
        <f t="shared" si="25"/>
        <v>580.97257142857143</v>
      </c>
      <c r="L29" s="276">
        <f t="shared" ref="L29" si="26">L22+L23+L24+L25-L26</f>
        <v>1490.7777777777776</v>
      </c>
      <c r="M29" s="276">
        <f>SUM(J29:L29)</f>
        <v>2071.7503492063488</v>
      </c>
      <c r="N29" s="276"/>
      <c r="O29" s="276"/>
      <c r="P29" s="276"/>
    </row>
    <row r="30" spans="1:22">
      <c r="J30"/>
      <c r="K30"/>
      <c r="L30"/>
      <c r="M30"/>
    </row>
    <row r="31" spans="1:22">
      <c r="B31" s="887" t="s">
        <v>3407</v>
      </c>
      <c r="C31" s="888"/>
      <c r="D31" s="888"/>
      <c r="E31" s="888"/>
      <c r="F31" s="888"/>
      <c r="G31" s="887" t="s">
        <v>3408</v>
      </c>
      <c r="H31" s="888"/>
      <c r="I31" s="888"/>
      <c r="J31" s="888"/>
      <c r="K31" s="888"/>
      <c r="L31" s="887" t="s">
        <v>3409</v>
      </c>
      <c r="M31" s="888"/>
      <c r="N31" s="888"/>
      <c r="O31" s="888"/>
      <c r="P31" s="889"/>
    </row>
    <row r="32" spans="1:22">
      <c r="A32" t="s">
        <v>2813</v>
      </c>
      <c r="B32" s="886">
        <f>SUM(B4:D4,F4,B13:D13,F13,B22:D22,F22)</f>
        <v>3620.2775556454876</v>
      </c>
      <c r="C32" s="886"/>
      <c r="D32" s="886"/>
      <c r="E32" s="886"/>
      <c r="F32" s="886"/>
      <c r="G32" s="886">
        <f>SUM(G4:H4,J4:K4,G13:H13,J13:K13,G22:H22,J22:K22)</f>
        <v>4631.0551111111108</v>
      </c>
      <c r="H32" s="886"/>
      <c r="I32" s="886"/>
      <c r="J32" s="886"/>
      <c r="K32" s="886"/>
      <c r="L32" s="886">
        <f>SUM(L4,N4:P4,L13,N13:P13,L22,N22:P22)</f>
        <v>517.7619047619047</v>
      </c>
      <c r="M32" s="886"/>
      <c r="N32" s="886"/>
      <c r="O32" s="886"/>
      <c r="P32" s="886"/>
    </row>
    <row r="33" spans="1:16">
      <c r="A33" t="s">
        <v>2814</v>
      </c>
      <c r="B33" s="886">
        <f t="shared" ref="B33:B36" si="27">SUM(B5:D5,F5,B14:D14,F14,B23:D23,F23)</f>
        <v>2050.3358963982196</v>
      </c>
      <c r="C33" s="886"/>
      <c r="D33" s="886"/>
      <c r="E33" s="886"/>
      <c r="F33" s="886"/>
      <c r="G33" s="886">
        <f t="shared" ref="G33:G36" si="28">SUM(G5:H5,J5:K5,G14:H14,J14:K14,G23:H23,J23:K23)</f>
        <v>4070.1882539682538</v>
      </c>
      <c r="H33" s="886"/>
      <c r="I33" s="886"/>
      <c r="J33" s="886"/>
      <c r="K33" s="886"/>
      <c r="L33" s="886">
        <f t="shared" ref="L33:L36" si="29">SUM(L5,N5:P5,L14,N14:P14,L23,N23:P23)</f>
        <v>1246.1111111111111</v>
      </c>
      <c r="M33" s="886"/>
      <c r="N33" s="886"/>
      <c r="O33" s="886"/>
      <c r="P33" s="886"/>
    </row>
    <row r="34" spans="1:16">
      <c r="A34" t="s">
        <v>2882</v>
      </c>
      <c r="B34" s="886">
        <f t="shared" si="27"/>
        <v>223.82436260623228</v>
      </c>
      <c r="C34" s="886"/>
      <c r="D34" s="886"/>
      <c r="E34" s="886"/>
      <c r="F34" s="886"/>
      <c r="G34" s="886">
        <f t="shared" si="28"/>
        <v>51.428571428571431</v>
      </c>
      <c r="H34" s="886"/>
      <c r="I34" s="886"/>
      <c r="J34" s="886"/>
      <c r="K34" s="886"/>
      <c r="L34" s="886">
        <f t="shared" si="29"/>
        <v>0</v>
      </c>
      <c r="M34" s="886"/>
      <c r="N34" s="886"/>
      <c r="O34" s="886"/>
      <c r="P34" s="886"/>
    </row>
    <row r="35" spans="1:16">
      <c r="A35" t="s">
        <v>3403</v>
      </c>
      <c r="B35" s="886">
        <f t="shared" si="27"/>
        <v>0</v>
      </c>
      <c r="C35" s="886"/>
      <c r="D35" s="886"/>
      <c r="E35" s="886"/>
      <c r="F35" s="886"/>
      <c r="G35" s="886">
        <f t="shared" si="28"/>
        <v>0</v>
      </c>
      <c r="H35" s="886"/>
      <c r="I35" s="886"/>
      <c r="J35" s="886"/>
      <c r="K35" s="886"/>
      <c r="L35" s="886">
        <f t="shared" si="29"/>
        <v>0</v>
      </c>
      <c r="M35" s="886"/>
      <c r="N35" s="886"/>
      <c r="O35" s="886"/>
      <c r="P35" s="886"/>
    </row>
    <row r="36" spans="1:16">
      <c r="A36" s="277" t="s">
        <v>3396</v>
      </c>
      <c r="B36" s="886">
        <f t="shared" si="27"/>
        <v>3605.0018</v>
      </c>
      <c r="C36" s="886"/>
      <c r="D36" s="886"/>
      <c r="E36" s="886"/>
      <c r="F36" s="886"/>
      <c r="G36" s="886">
        <f t="shared" si="28"/>
        <v>1734.8588</v>
      </c>
      <c r="H36" s="886"/>
      <c r="I36" s="886"/>
      <c r="J36" s="886"/>
      <c r="K36" s="886"/>
      <c r="L36" s="886">
        <f t="shared" si="29"/>
        <v>1270.9152999999999</v>
      </c>
      <c r="M36" s="886"/>
      <c r="N36" s="886"/>
      <c r="O36" s="886"/>
      <c r="P36" s="886"/>
    </row>
    <row r="37" spans="1:16">
      <c r="A37" s="873" t="s">
        <v>3410</v>
      </c>
      <c r="B37" s="883">
        <f>SUM(B32:F35)-B36</f>
        <v>2289.4360146499394</v>
      </c>
      <c r="C37" s="883"/>
      <c r="D37" s="883"/>
      <c r="E37" s="883"/>
      <c r="F37" s="883"/>
      <c r="G37" s="884">
        <f>SUM(G32:K35)-G36</f>
        <v>7017.8131365079353</v>
      </c>
      <c r="H37" s="883"/>
      <c r="I37" s="883"/>
      <c r="J37" s="883"/>
      <c r="K37" s="883"/>
      <c r="L37" s="884">
        <f>SUM(L32:P35)-L36</f>
        <v>492.95771587301601</v>
      </c>
      <c r="M37" s="883"/>
      <c r="N37" s="883"/>
      <c r="O37" s="883"/>
      <c r="P37" s="885"/>
    </row>
    <row r="38" spans="1:16">
      <c r="J38"/>
      <c r="K38"/>
      <c r="L38"/>
      <c r="M38"/>
    </row>
    <row r="39" spans="1:16">
      <c r="J39"/>
      <c r="K39"/>
      <c r="L39"/>
      <c r="M39"/>
    </row>
    <row r="40" spans="1:16">
      <c r="J40"/>
      <c r="K40"/>
      <c r="L40"/>
      <c r="M40"/>
    </row>
    <row r="41" spans="1:16">
      <c r="J41"/>
      <c r="K41"/>
      <c r="L41"/>
      <c r="M41"/>
    </row>
    <row r="42" spans="1:16">
      <c r="J42"/>
      <c r="K42"/>
      <c r="L42"/>
      <c r="M42"/>
    </row>
    <row r="43" spans="1:16">
      <c r="J43"/>
      <c r="K43"/>
      <c r="L43"/>
      <c r="M43"/>
    </row>
    <row r="44" spans="1:16">
      <c r="J44"/>
      <c r="K44"/>
      <c r="L44"/>
      <c r="M44"/>
    </row>
    <row r="45" spans="1:16">
      <c r="J45"/>
      <c r="K45"/>
      <c r="L45"/>
      <c r="M45"/>
    </row>
    <row r="46" spans="1:16">
      <c r="J46"/>
      <c r="K46"/>
      <c r="L46"/>
      <c r="M46"/>
    </row>
    <row r="47" spans="1:16">
      <c r="J47"/>
      <c r="K47"/>
      <c r="L47"/>
      <c r="M47"/>
    </row>
    <row r="48" spans="1:16">
      <c r="J48"/>
      <c r="K48"/>
      <c r="L48"/>
      <c r="M48"/>
    </row>
  </sheetData>
  <mergeCells count="21">
    <mergeCell ref="G31:K31"/>
    <mergeCell ref="G32:K32"/>
    <mergeCell ref="G33:K33"/>
    <mergeCell ref="G34:K34"/>
    <mergeCell ref="B31:F31"/>
    <mergeCell ref="B32:F32"/>
    <mergeCell ref="B33:F33"/>
    <mergeCell ref="B34:F34"/>
    <mergeCell ref="L31:P31"/>
    <mergeCell ref="L32:P32"/>
    <mergeCell ref="L33:P33"/>
    <mergeCell ref="L34:P34"/>
    <mergeCell ref="L35:P35"/>
    <mergeCell ref="B37:F37"/>
    <mergeCell ref="G37:K37"/>
    <mergeCell ref="L37:P37"/>
    <mergeCell ref="G35:K35"/>
    <mergeCell ref="G36:K36"/>
    <mergeCell ref="L36:P36"/>
    <mergeCell ref="B36:F36"/>
    <mergeCell ref="B35:F3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5F87C-CE39-41DB-9694-DD93BBAACB14}">
  <dimension ref="A1:E7"/>
  <sheetViews>
    <sheetView workbookViewId="0">
      <selection activeCell="A8" sqref="A8"/>
    </sheetView>
  </sheetViews>
  <sheetFormatPr defaultColWidth="8.85546875" defaultRowHeight="15"/>
  <cols>
    <col min="1" max="1" width="13.5703125" customWidth="1"/>
    <col min="2" max="2" width="25" customWidth="1"/>
    <col min="3" max="3" width="113.28515625" customWidth="1"/>
    <col min="4" max="4" width="17.7109375" customWidth="1"/>
    <col min="7" max="7" width="11.140625" bestFit="1" customWidth="1"/>
  </cols>
  <sheetData>
    <row r="1" spans="1:5">
      <c r="A1" s="103" t="s">
        <v>6</v>
      </c>
      <c r="B1" s="103" t="s">
        <v>3235</v>
      </c>
      <c r="C1" s="103" t="s">
        <v>3411</v>
      </c>
      <c r="D1" s="103" t="s">
        <v>3412</v>
      </c>
      <c r="E1" s="103" t="s">
        <v>5</v>
      </c>
    </row>
    <row r="2" spans="1:5">
      <c r="A2" t="s">
        <v>3413</v>
      </c>
      <c r="B2" t="s">
        <v>143</v>
      </c>
      <c r="C2" t="s">
        <v>3414</v>
      </c>
      <c r="D2" t="s">
        <v>89</v>
      </c>
      <c r="E2" t="s">
        <v>2795</v>
      </c>
    </row>
    <row r="3" spans="1:5">
      <c r="A3" t="s">
        <v>3415</v>
      </c>
      <c r="B3" t="s">
        <v>3416</v>
      </c>
      <c r="C3" t="s">
        <v>3417</v>
      </c>
      <c r="D3" t="s">
        <v>88</v>
      </c>
      <c r="E3" t="s">
        <v>2795</v>
      </c>
    </row>
    <row r="4" spans="1:5">
      <c r="A4" t="s">
        <v>28</v>
      </c>
      <c r="B4" t="s">
        <v>143</v>
      </c>
      <c r="C4" t="s">
        <v>3418</v>
      </c>
      <c r="D4" t="s">
        <v>88</v>
      </c>
      <c r="E4" t="s">
        <v>2795</v>
      </c>
    </row>
    <row r="5" spans="1:5">
      <c r="A5" t="s">
        <v>28</v>
      </c>
      <c r="B5" t="s">
        <v>143</v>
      </c>
      <c r="C5" t="s">
        <v>3419</v>
      </c>
      <c r="D5" t="s">
        <v>88</v>
      </c>
      <c r="E5" t="s">
        <v>2795</v>
      </c>
    </row>
    <row r="6" spans="1:5">
      <c r="A6" t="s">
        <v>3420</v>
      </c>
      <c r="B6" t="s">
        <v>113</v>
      </c>
      <c r="C6" t="s">
        <v>3421</v>
      </c>
      <c r="D6" t="s">
        <v>89</v>
      </c>
      <c r="E6" t="s">
        <v>2795</v>
      </c>
    </row>
    <row r="7" spans="1:5">
      <c r="A7" t="s">
        <v>3103</v>
      </c>
      <c r="B7" t="s">
        <v>143</v>
      </c>
      <c r="C7" t="s">
        <v>3422</v>
      </c>
      <c r="D7" t="s">
        <v>89</v>
      </c>
      <c r="E7" t="s">
        <v>2795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DE53D-C788-4131-8C3C-1ED72308032F}">
  <dimension ref="A1:AZ69"/>
  <sheetViews>
    <sheetView topLeftCell="AE1" workbookViewId="0">
      <selection activeCell="H5" sqref="H5"/>
    </sheetView>
  </sheetViews>
  <sheetFormatPr defaultColWidth="8.85546875" defaultRowHeight="15"/>
  <cols>
    <col min="1" max="1" width="21.42578125" customWidth="1"/>
    <col min="4" max="4" width="9.7109375" customWidth="1"/>
    <col min="8" max="8" width="24.85546875" customWidth="1"/>
    <col min="11" max="11" width="9.7109375" bestFit="1" customWidth="1"/>
    <col min="16" max="16" width="12.42578125" customWidth="1"/>
    <col min="33" max="33" width="15" customWidth="1"/>
    <col min="36" max="36" width="11.28515625" bestFit="1" customWidth="1"/>
    <col min="40" max="40" width="24.140625" customWidth="1"/>
    <col min="41" max="41" width="9.85546875" customWidth="1"/>
    <col min="47" max="47" width="16.5703125" customWidth="1"/>
  </cols>
  <sheetData>
    <row r="1" spans="1:52">
      <c r="D1" s="264">
        <f>SUM(D4:D50)</f>
        <v>-2638</v>
      </c>
      <c r="K1" s="43">
        <f>SUM(K4:K33)</f>
        <v>859.65199999999993</v>
      </c>
      <c r="S1" s="264">
        <f>SUM(S4:S30)</f>
        <v>-2155</v>
      </c>
      <c r="AB1" s="264">
        <f>SUM(AB4:AB30)</f>
        <v>-1691</v>
      </c>
      <c r="AJ1" s="43">
        <f>SUM(AJ4:AJ41)</f>
        <v>-7204.8428000000022</v>
      </c>
      <c r="AQ1">
        <f>SUM(AQ4:AQ32)</f>
        <v>-86.597399999999993</v>
      </c>
      <c r="AX1">
        <f>SUM(AX4:AX69)</f>
        <v>-4106.4797000000017</v>
      </c>
    </row>
    <row r="2" spans="1:52">
      <c r="A2" s="54" t="s">
        <v>3423</v>
      </c>
      <c r="B2" s="54"/>
      <c r="C2" s="54"/>
      <c r="D2" s="54"/>
      <c r="E2" s="55" t="s">
        <v>24</v>
      </c>
      <c r="H2" s="54" t="s">
        <v>3423</v>
      </c>
      <c r="I2" s="54"/>
      <c r="J2" s="54"/>
      <c r="K2" s="54"/>
      <c r="L2" s="55" t="s">
        <v>25</v>
      </c>
      <c r="P2" s="54" t="s">
        <v>3423</v>
      </c>
      <c r="Q2" s="54"/>
      <c r="R2" s="54"/>
      <c r="S2" s="54"/>
      <c r="T2" s="55" t="s">
        <v>26</v>
      </c>
      <c r="Y2" s="54" t="s">
        <v>3423</v>
      </c>
      <c r="Z2" s="54"/>
      <c r="AA2" s="54"/>
      <c r="AB2" s="54"/>
      <c r="AC2" s="55" t="s">
        <v>27</v>
      </c>
      <c r="AG2" s="54" t="s">
        <v>3423</v>
      </c>
      <c r="AH2" s="54"/>
      <c r="AI2" s="54"/>
      <c r="AJ2" s="54"/>
      <c r="AK2" s="55" t="s">
        <v>28</v>
      </c>
      <c r="AN2" s="54" t="s">
        <v>3423</v>
      </c>
      <c r="AO2" s="54"/>
      <c r="AP2" s="54"/>
      <c r="AQ2" s="54"/>
      <c r="AR2" s="55" t="s">
        <v>29</v>
      </c>
      <c r="AU2" s="54" t="s">
        <v>3423</v>
      </c>
      <c r="AV2" s="54"/>
      <c r="AW2" s="54"/>
      <c r="AX2" s="54"/>
      <c r="AY2" s="55" t="s">
        <v>30</v>
      </c>
    </row>
    <row r="3" spans="1:52">
      <c r="A3" s="87" t="s">
        <v>2868</v>
      </c>
      <c r="B3" s="87" t="s">
        <v>24</v>
      </c>
      <c r="C3" s="87" t="s">
        <v>23</v>
      </c>
      <c r="D3" s="87" t="s">
        <v>3424</v>
      </c>
      <c r="E3" s="87" t="s">
        <v>3425</v>
      </c>
      <c r="H3" s="87" t="s">
        <v>2868</v>
      </c>
      <c r="I3" s="87" t="s">
        <v>25</v>
      </c>
      <c r="J3" s="87" t="s">
        <v>24</v>
      </c>
      <c r="K3" s="87" t="s">
        <v>3424</v>
      </c>
      <c r="L3" s="87" t="s">
        <v>3425</v>
      </c>
      <c r="P3" s="87" t="s">
        <v>2868</v>
      </c>
      <c r="Q3" s="87" t="s">
        <v>26</v>
      </c>
      <c r="R3" s="87" t="s">
        <v>25</v>
      </c>
      <c r="S3" s="87" t="s">
        <v>3424</v>
      </c>
      <c r="T3" s="87" t="s">
        <v>3425</v>
      </c>
      <c r="Y3" t="s">
        <v>2868</v>
      </c>
      <c r="Z3" t="s">
        <v>27</v>
      </c>
      <c r="AA3" t="s">
        <v>3426</v>
      </c>
      <c r="AB3" t="s">
        <v>3424</v>
      </c>
      <c r="AC3" t="s">
        <v>3425</v>
      </c>
      <c r="AG3" s="3" t="s">
        <v>2868</v>
      </c>
      <c r="AH3" s="3" t="s">
        <v>28</v>
      </c>
      <c r="AI3" s="3" t="s">
        <v>27</v>
      </c>
      <c r="AJ3" s="3" t="s">
        <v>3424</v>
      </c>
      <c r="AK3" s="3" t="s">
        <v>3425</v>
      </c>
      <c r="AN3" s="257" t="s">
        <v>2868</v>
      </c>
      <c r="AO3" s="257" t="s">
        <v>29</v>
      </c>
      <c r="AP3" s="257" t="s">
        <v>28</v>
      </c>
      <c r="AQ3" s="257" t="s">
        <v>3424</v>
      </c>
      <c r="AR3" s="257" t="s">
        <v>3425</v>
      </c>
      <c r="AU3" s="257" t="s">
        <v>2868</v>
      </c>
      <c r="AV3" s="257" t="s">
        <v>30</v>
      </c>
      <c r="AW3" s="257" t="s">
        <v>29</v>
      </c>
      <c r="AX3" s="257" t="s">
        <v>3424</v>
      </c>
      <c r="AY3" s="257" t="s">
        <v>3425</v>
      </c>
    </row>
    <row r="4" spans="1:52">
      <c r="A4" s="44" t="s">
        <v>1444</v>
      </c>
      <c r="B4" s="44">
        <v>319</v>
      </c>
      <c r="C4" s="44">
        <v>1.07</v>
      </c>
      <c r="D4" s="44">
        <v>-750</v>
      </c>
      <c r="E4" s="49">
        <v>-0.7</v>
      </c>
      <c r="H4" s="86" t="s">
        <v>2581</v>
      </c>
      <c r="I4" s="142">
        <v>21</v>
      </c>
      <c r="J4" s="142">
        <v>323</v>
      </c>
      <c r="K4" s="142">
        <f>J4-I4</f>
        <v>302</v>
      </c>
      <c r="L4" s="88">
        <v>-0.94</v>
      </c>
      <c r="M4" t="s">
        <v>3427</v>
      </c>
      <c r="P4" s="262" t="s">
        <v>2705</v>
      </c>
      <c r="Q4" s="263">
        <v>4</v>
      </c>
      <c r="R4" s="263">
        <v>174</v>
      </c>
      <c r="S4" s="263">
        <v>-170</v>
      </c>
      <c r="T4" s="233">
        <f>(Q4-R4)/R4</f>
        <v>-0.97701149425287359</v>
      </c>
      <c r="U4" s="233" t="s">
        <v>3428</v>
      </c>
      <c r="Y4" t="s">
        <v>561</v>
      </c>
      <c r="Z4">
        <v>325</v>
      </c>
      <c r="AA4">
        <v>896</v>
      </c>
      <c r="AB4">
        <v>-571</v>
      </c>
      <c r="AC4" s="233">
        <v>-0.64</v>
      </c>
      <c r="AD4" t="s">
        <v>3429</v>
      </c>
      <c r="AG4" t="s">
        <v>123</v>
      </c>
      <c r="AH4" s="494">
        <v>2750.85</v>
      </c>
      <c r="AI4" s="494">
        <v>4750.8500000000004</v>
      </c>
      <c r="AJ4" s="494">
        <v>-2000.0000000000005</v>
      </c>
      <c r="AK4" s="495">
        <v>-0.42097729879916229</v>
      </c>
      <c r="AN4" t="s">
        <v>2483</v>
      </c>
      <c r="AO4" s="494" t="s">
        <v>3430</v>
      </c>
      <c r="AP4" s="494" t="s">
        <v>3431</v>
      </c>
      <c r="AQ4" s="494" t="s">
        <v>3432</v>
      </c>
      <c r="AR4" s="233">
        <v>-0.66</v>
      </c>
      <c r="AU4" t="s">
        <v>2385</v>
      </c>
      <c r="AV4" s="494">
        <v>5.069</v>
      </c>
      <c r="AW4" s="494">
        <v>28.029299999999999</v>
      </c>
      <c r="AX4" s="494">
        <v>-22.9603</v>
      </c>
      <c r="AY4" s="233">
        <v>-0.8191535286289704</v>
      </c>
    </row>
    <row r="5" spans="1:52">
      <c r="A5" s="44" t="s">
        <v>202</v>
      </c>
      <c r="B5" s="44">
        <v>1.7210000000000001</v>
      </c>
      <c r="C5" s="44">
        <v>2.0960000000000001</v>
      </c>
      <c r="D5" s="44">
        <v>-374</v>
      </c>
      <c r="E5" s="49">
        <v>-0.18</v>
      </c>
      <c r="H5" s="86" t="s">
        <v>3433</v>
      </c>
      <c r="I5" s="142">
        <v>8</v>
      </c>
      <c r="J5" s="142">
        <v>77</v>
      </c>
      <c r="K5" s="142">
        <f t="shared" ref="K5:K33" si="0">J5-I5</f>
        <v>69</v>
      </c>
      <c r="L5" s="88">
        <v>-0.9</v>
      </c>
      <c r="M5" t="s">
        <v>3434</v>
      </c>
      <c r="P5" s="262" t="s">
        <v>2385</v>
      </c>
      <c r="Q5" s="263">
        <v>41</v>
      </c>
      <c r="R5" s="263">
        <v>116</v>
      </c>
      <c r="S5" s="263">
        <v>-75</v>
      </c>
      <c r="T5" s="233">
        <f t="shared" ref="T5:T27" si="1">(Q5-R5)/R5</f>
        <v>-0.64655172413793105</v>
      </c>
      <c r="U5" t="s">
        <v>3435</v>
      </c>
      <c r="Y5" t="s">
        <v>3436</v>
      </c>
      <c r="Z5">
        <v>616</v>
      </c>
      <c r="AA5">
        <v>809</v>
      </c>
      <c r="AB5">
        <v>-193</v>
      </c>
      <c r="AC5" s="233">
        <v>-0.24</v>
      </c>
      <c r="AG5" t="s">
        <v>3437</v>
      </c>
      <c r="AH5" s="494">
        <v>2439.1536000000001</v>
      </c>
      <c r="AI5" s="494">
        <v>3838.9632999999999</v>
      </c>
      <c r="AJ5" s="494">
        <v>-1399.8096999999998</v>
      </c>
      <c r="AK5" s="495">
        <v>-0.36463221724469203</v>
      </c>
      <c r="AL5" t="s">
        <v>3438</v>
      </c>
      <c r="AN5" t="s">
        <v>2150</v>
      </c>
      <c r="AO5" s="494" t="s">
        <v>3439</v>
      </c>
      <c r="AP5" s="494" t="s">
        <v>3440</v>
      </c>
      <c r="AQ5" s="494" t="s">
        <v>3441</v>
      </c>
      <c r="AR5" s="233">
        <v>-0.61</v>
      </c>
      <c r="AS5" t="s">
        <v>3442</v>
      </c>
      <c r="AU5" t="s">
        <v>2324</v>
      </c>
      <c r="AV5" s="494">
        <v>16.5563</v>
      </c>
      <c r="AW5" s="494">
        <v>39.612699999999997</v>
      </c>
      <c r="AX5" s="494">
        <v>-23.056399999999996</v>
      </c>
      <c r="AY5" s="233">
        <v>-0.58204565707462497</v>
      </c>
    </row>
    <row r="6" spans="1:52">
      <c r="A6" s="44" t="s">
        <v>3443</v>
      </c>
      <c r="B6" s="44">
        <v>1.18</v>
      </c>
      <c r="C6" s="44">
        <v>1.389</v>
      </c>
      <c r="D6" s="44">
        <v>-209</v>
      </c>
      <c r="E6" s="49">
        <v>-0.15</v>
      </c>
      <c r="H6" s="86" t="s">
        <v>2552</v>
      </c>
      <c r="I6" s="142">
        <v>80</v>
      </c>
      <c r="J6" s="142">
        <v>243</v>
      </c>
      <c r="K6" s="142">
        <f t="shared" si="0"/>
        <v>163</v>
      </c>
      <c r="L6" s="88">
        <v>-0.67</v>
      </c>
      <c r="P6" s="262" t="s">
        <v>1000</v>
      </c>
      <c r="Q6" s="263">
        <v>363</v>
      </c>
      <c r="R6" s="263">
        <v>717</v>
      </c>
      <c r="S6" s="263">
        <v>-354</v>
      </c>
      <c r="T6" s="233">
        <f t="shared" si="1"/>
        <v>-0.49372384937238495</v>
      </c>
      <c r="U6" t="s">
        <v>3444</v>
      </c>
      <c r="Y6" t="s">
        <v>3445</v>
      </c>
      <c r="Z6">
        <v>834</v>
      </c>
      <c r="AA6">
        <v>943</v>
      </c>
      <c r="AB6">
        <v>-110</v>
      </c>
      <c r="AC6" s="233">
        <v>-0.12</v>
      </c>
      <c r="AG6" t="s">
        <v>3446</v>
      </c>
      <c r="AH6" s="494">
        <v>5002.2184999999999</v>
      </c>
      <c r="AI6" s="494">
        <v>5804.7836000000007</v>
      </c>
      <c r="AJ6" s="494">
        <v>-802.56510000000071</v>
      </c>
      <c r="AK6" s="495">
        <v>-0.13825926258474142</v>
      </c>
      <c r="AN6" t="s">
        <v>2070</v>
      </c>
      <c r="AO6" s="494" t="s">
        <v>3447</v>
      </c>
      <c r="AP6" s="494" t="s">
        <v>3448</v>
      </c>
      <c r="AQ6" s="494" t="s">
        <v>3449</v>
      </c>
      <c r="AR6" s="233">
        <v>-0.57999999999999996</v>
      </c>
      <c r="AU6" t="s">
        <v>2361</v>
      </c>
      <c r="AV6" s="494">
        <v>15.207000000000001</v>
      </c>
      <c r="AW6" s="494">
        <v>32.341500000000003</v>
      </c>
      <c r="AX6" s="494">
        <v>-17.134500000000003</v>
      </c>
      <c r="AY6" s="233">
        <v>-0.52979917443532309</v>
      </c>
    </row>
    <row r="7" spans="1:52">
      <c r="A7" s="44" t="s">
        <v>3450</v>
      </c>
      <c r="B7" s="44">
        <v>644</v>
      </c>
      <c r="C7" s="44">
        <v>788</v>
      </c>
      <c r="D7" s="44">
        <v>-144</v>
      </c>
      <c r="E7" s="49">
        <v>-0.18</v>
      </c>
      <c r="H7" s="86" t="s">
        <v>2674</v>
      </c>
      <c r="I7" s="142">
        <v>31</v>
      </c>
      <c r="J7" s="142">
        <v>85</v>
      </c>
      <c r="K7" s="142">
        <f t="shared" si="0"/>
        <v>54</v>
      </c>
      <c r="L7" s="88">
        <v>-0.64</v>
      </c>
      <c r="P7" s="262" t="s">
        <v>1511</v>
      </c>
      <c r="Q7" s="263">
        <v>144</v>
      </c>
      <c r="R7" s="263">
        <v>250</v>
      </c>
      <c r="S7" s="263">
        <v>-106</v>
      </c>
      <c r="T7" s="233">
        <f t="shared" si="1"/>
        <v>-0.42399999999999999</v>
      </c>
      <c r="U7" t="s">
        <v>3451</v>
      </c>
      <c r="Y7" t="s">
        <v>2057</v>
      </c>
      <c r="Z7">
        <v>123</v>
      </c>
      <c r="AA7">
        <v>210</v>
      </c>
      <c r="AB7">
        <v>-86</v>
      </c>
      <c r="AC7" s="233">
        <v>-0.41</v>
      </c>
      <c r="AD7" t="s">
        <v>3452</v>
      </c>
      <c r="AG7" t="s">
        <v>3453</v>
      </c>
      <c r="AH7" s="494">
        <v>2773.3474999999999</v>
      </c>
      <c r="AI7" s="494">
        <v>3436.4857999999999</v>
      </c>
      <c r="AJ7" s="494">
        <v>-663.13830000000007</v>
      </c>
      <c r="AK7" s="495">
        <v>-0.19296989383747784</v>
      </c>
      <c r="AN7" t="s">
        <v>1082</v>
      </c>
      <c r="AO7" s="494" t="s">
        <v>3454</v>
      </c>
      <c r="AP7" s="494" t="s">
        <v>3455</v>
      </c>
      <c r="AQ7" s="494" t="s">
        <v>3456</v>
      </c>
      <c r="AR7" s="233">
        <v>-0.49</v>
      </c>
      <c r="AS7" t="s">
        <v>3457</v>
      </c>
      <c r="AU7" t="s">
        <v>2779</v>
      </c>
      <c r="AV7" s="494">
        <v>132.46850000000001</v>
      </c>
      <c r="AW7" s="494">
        <v>258.50939999999997</v>
      </c>
      <c r="AX7" s="494">
        <v>-126.04089999999997</v>
      </c>
      <c r="AY7" s="233">
        <v>-0.48756795690988403</v>
      </c>
    </row>
    <row r="8" spans="1:52">
      <c r="A8" s="44" t="s">
        <v>3458</v>
      </c>
      <c r="B8" s="44">
        <v>297</v>
      </c>
      <c r="C8" s="44">
        <v>423</v>
      </c>
      <c r="D8" s="44">
        <v>-125</v>
      </c>
      <c r="E8" s="49">
        <v>-0.3</v>
      </c>
      <c r="H8" s="86" t="s">
        <v>2527</v>
      </c>
      <c r="I8" s="142">
        <v>622</v>
      </c>
      <c r="J8" s="142">
        <v>1.5860000000000001</v>
      </c>
      <c r="K8" s="142">
        <f t="shared" si="0"/>
        <v>-620.41399999999999</v>
      </c>
      <c r="L8" s="88">
        <v>-0.61</v>
      </c>
      <c r="M8" s="44" t="s">
        <v>3427</v>
      </c>
      <c r="P8" s="262" t="s">
        <v>2454</v>
      </c>
      <c r="Q8" s="263">
        <v>15</v>
      </c>
      <c r="R8" s="263">
        <v>24</v>
      </c>
      <c r="S8" s="263">
        <v>-8</v>
      </c>
      <c r="T8" s="233">
        <f t="shared" si="1"/>
        <v>-0.375</v>
      </c>
      <c r="Y8" t="s">
        <v>3459</v>
      </c>
      <c r="Z8">
        <v>578</v>
      </c>
      <c r="AA8">
        <v>649</v>
      </c>
      <c r="AB8">
        <v>-71</v>
      </c>
      <c r="AC8" s="233">
        <v>-0.11</v>
      </c>
      <c r="AG8" t="s">
        <v>3460</v>
      </c>
      <c r="AH8" s="494">
        <v>136.2704</v>
      </c>
      <c r="AI8" s="494">
        <v>628.51400000000001</v>
      </c>
      <c r="AJ8" s="494">
        <v>-492.24360000000001</v>
      </c>
      <c r="AK8" s="495">
        <v>-0.78318637293680016</v>
      </c>
      <c r="AN8" t="s">
        <v>1745</v>
      </c>
      <c r="AO8" s="494" t="s">
        <v>3461</v>
      </c>
      <c r="AP8" s="494" t="s">
        <v>3462</v>
      </c>
      <c r="AQ8" s="494" t="s">
        <v>3463</v>
      </c>
      <c r="AR8" s="233">
        <v>-0.39</v>
      </c>
      <c r="AU8" t="s">
        <v>3464</v>
      </c>
      <c r="AV8" s="494">
        <v>387.30680000000001</v>
      </c>
      <c r="AW8" s="494">
        <v>711.38490000000002</v>
      </c>
      <c r="AX8" s="494">
        <v>-324.07810000000001</v>
      </c>
      <c r="AY8" s="233">
        <v>-0.45555943062609283</v>
      </c>
    </row>
    <row r="9" spans="1:52">
      <c r="A9" s="44" t="s">
        <v>663</v>
      </c>
      <c r="B9" s="44">
        <v>664</v>
      </c>
      <c r="C9" s="44">
        <v>788</v>
      </c>
      <c r="D9" s="44">
        <v>-124</v>
      </c>
      <c r="E9" s="49">
        <v>-0.16</v>
      </c>
      <c r="H9" s="86" t="s">
        <v>869</v>
      </c>
      <c r="I9" s="142">
        <v>215</v>
      </c>
      <c r="J9" s="142">
        <v>507</v>
      </c>
      <c r="K9" s="142">
        <f t="shared" si="0"/>
        <v>292</v>
      </c>
      <c r="L9" s="88">
        <v>-0.57999999999999996</v>
      </c>
      <c r="M9" s="44" t="s">
        <v>3465</v>
      </c>
      <c r="P9" s="262" t="s">
        <v>1199</v>
      </c>
      <c r="Q9" s="263">
        <v>222</v>
      </c>
      <c r="R9" s="263">
        <v>313</v>
      </c>
      <c r="S9" s="263">
        <v>-91</v>
      </c>
      <c r="T9" s="233">
        <f t="shared" si="1"/>
        <v>-0.29073482428115016</v>
      </c>
      <c r="Y9" t="s">
        <v>1266</v>
      </c>
      <c r="Z9">
        <v>232</v>
      </c>
      <c r="AA9">
        <v>289</v>
      </c>
      <c r="AB9">
        <v>-57</v>
      </c>
      <c r="AC9" s="233">
        <v>-0.2</v>
      </c>
      <c r="AG9" t="s">
        <v>3466</v>
      </c>
      <c r="AH9" s="494">
        <v>3626.8410000000003</v>
      </c>
      <c r="AI9" s="494">
        <v>4030.2629000000002</v>
      </c>
      <c r="AJ9" s="494">
        <v>-403.42189999999982</v>
      </c>
      <c r="AK9" s="495">
        <v>-0.10009815984957204</v>
      </c>
      <c r="AN9" t="s">
        <v>3467</v>
      </c>
      <c r="AO9" s="494" t="s">
        <v>3468</v>
      </c>
      <c r="AP9" s="494" t="s">
        <v>3469</v>
      </c>
      <c r="AQ9" s="494" t="s">
        <v>3470</v>
      </c>
      <c r="AR9" s="233">
        <v>-0.37</v>
      </c>
      <c r="AU9" t="s">
        <v>786</v>
      </c>
      <c r="AV9" s="494">
        <v>321.58280000000002</v>
      </c>
      <c r="AW9" s="494">
        <v>521.08920000000001</v>
      </c>
      <c r="AX9" s="494">
        <v>-199.50639999999999</v>
      </c>
      <c r="AY9" s="233">
        <v>-0.38286420060135573</v>
      </c>
    </row>
    <row r="10" spans="1:52">
      <c r="A10" s="44" t="s">
        <v>3471</v>
      </c>
      <c r="B10" s="44">
        <v>775</v>
      </c>
      <c r="C10" s="44">
        <v>877</v>
      </c>
      <c r="D10" s="44">
        <v>-102</v>
      </c>
      <c r="E10" s="49">
        <v>-0.12</v>
      </c>
      <c r="H10" s="86" t="s">
        <v>612</v>
      </c>
      <c r="I10" s="142">
        <v>756</v>
      </c>
      <c r="J10" s="142">
        <v>1.5740000000000001</v>
      </c>
      <c r="K10" s="142">
        <f t="shared" si="0"/>
        <v>-754.42600000000004</v>
      </c>
      <c r="L10" s="88">
        <v>-0.52</v>
      </c>
      <c r="M10" s="44" t="s">
        <v>3427</v>
      </c>
      <c r="P10" s="262" t="s">
        <v>2779</v>
      </c>
      <c r="Q10" s="263">
        <v>252</v>
      </c>
      <c r="R10" s="263">
        <v>329</v>
      </c>
      <c r="S10" s="263">
        <v>-77</v>
      </c>
      <c r="T10" s="233">
        <f t="shared" si="1"/>
        <v>-0.23404255319148937</v>
      </c>
      <c r="Y10" t="s">
        <v>801</v>
      </c>
      <c r="Z10">
        <v>213</v>
      </c>
      <c r="AA10">
        <v>270</v>
      </c>
      <c r="AB10">
        <v>-56</v>
      </c>
      <c r="AC10" s="233">
        <v>-0.21</v>
      </c>
      <c r="AG10" t="s">
        <v>328</v>
      </c>
      <c r="AH10" s="494">
        <v>1339.3387</v>
      </c>
      <c r="AI10" s="494">
        <v>1552.8404000000003</v>
      </c>
      <c r="AJ10" s="494">
        <v>-213.50170000000026</v>
      </c>
      <c r="AK10" s="495">
        <v>-0.13749107764069007</v>
      </c>
      <c r="AN10" t="s">
        <v>824</v>
      </c>
      <c r="AO10" s="494" t="s">
        <v>3472</v>
      </c>
      <c r="AP10" s="494" t="s">
        <v>3473</v>
      </c>
      <c r="AQ10" s="494" t="s">
        <v>3474</v>
      </c>
      <c r="AR10" s="233">
        <v>-0.3</v>
      </c>
      <c r="AS10" t="s">
        <v>3475</v>
      </c>
      <c r="AU10" t="s">
        <v>328</v>
      </c>
      <c r="AV10" s="494">
        <v>916.11480000000006</v>
      </c>
      <c r="AW10" s="494">
        <v>1344.777</v>
      </c>
      <c r="AX10" s="494">
        <v>-428.66219999999998</v>
      </c>
      <c r="AY10" s="233">
        <v>-0.31876080569492188</v>
      </c>
      <c r="AZ10" t="s">
        <v>3476</v>
      </c>
    </row>
    <row r="11" spans="1:52">
      <c r="A11" s="44" t="s">
        <v>1339</v>
      </c>
      <c r="B11" s="44">
        <v>204</v>
      </c>
      <c r="C11" s="44">
        <v>284</v>
      </c>
      <c r="D11" s="44">
        <v>-80</v>
      </c>
      <c r="E11" s="49">
        <v>-0.28000000000000003</v>
      </c>
      <c r="H11" s="44" t="s">
        <v>3477</v>
      </c>
      <c r="I11" s="142">
        <v>389</v>
      </c>
      <c r="J11" s="142">
        <v>729</v>
      </c>
      <c r="K11" s="142">
        <f t="shared" si="0"/>
        <v>340</v>
      </c>
      <c r="L11" s="88">
        <v>-0.47</v>
      </c>
      <c r="M11" s="44" t="s">
        <v>3478</v>
      </c>
      <c r="P11" s="262" t="s">
        <v>1015</v>
      </c>
      <c r="Q11" s="263">
        <v>506</v>
      </c>
      <c r="R11" s="263">
        <v>659</v>
      </c>
      <c r="S11" s="263">
        <v>-153</v>
      </c>
      <c r="T11" s="233">
        <f t="shared" si="1"/>
        <v>-0.23216995447647951</v>
      </c>
      <c r="Y11" t="s">
        <v>942</v>
      </c>
      <c r="Z11">
        <v>418</v>
      </c>
      <c r="AA11">
        <v>468</v>
      </c>
      <c r="AB11">
        <v>-50</v>
      </c>
      <c r="AC11" s="233">
        <v>-0.11</v>
      </c>
      <c r="AG11" t="s">
        <v>264</v>
      </c>
      <c r="AH11" s="494">
        <v>1641.9793</v>
      </c>
      <c r="AI11" s="494">
        <v>1852.3855000000001</v>
      </c>
      <c r="AJ11" s="494">
        <v>-210.40620000000013</v>
      </c>
      <c r="AK11" s="495">
        <v>-0.11358661574494085</v>
      </c>
      <c r="AN11" t="s">
        <v>358</v>
      </c>
      <c r="AO11" s="494" t="s">
        <v>3479</v>
      </c>
      <c r="AP11" s="494" t="s">
        <v>3480</v>
      </c>
      <c r="AQ11" s="494" t="s">
        <v>3481</v>
      </c>
      <c r="AR11" s="233">
        <v>-0.3</v>
      </c>
      <c r="AS11" t="s">
        <v>3482</v>
      </c>
      <c r="AU11" t="s">
        <v>3483</v>
      </c>
      <c r="AV11" s="494">
        <v>70.364199999999997</v>
      </c>
      <c r="AW11" s="494">
        <v>101.2324</v>
      </c>
      <c r="AX11" s="494">
        <v>-30.868200000000002</v>
      </c>
      <c r="AY11" s="233">
        <v>-0.30492411520422319</v>
      </c>
    </row>
    <row r="12" spans="1:52">
      <c r="A12" s="44" t="s">
        <v>3484</v>
      </c>
      <c r="B12" s="44">
        <v>335</v>
      </c>
      <c r="C12" s="44">
        <v>400</v>
      </c>
      <c r="D12" s="44">
        <v>-65</v>
      </c>
      <c r="E12" s="49">
        <v>-0.16</v>
      </c>
      <c r="H12" s="44" t="s">
        <v>2565</v>
      </c>
      <c r="I12" s="142">
        <v>129</v>
      </c>
      <c r="J12" s="142">
        <v>237</v>
      </c>
      <c r="K12" s="142">
        <f t="shared" si="0"/>
        <v>108</v>
      </c>
      <c r="L12" s="88">
        <v>-0.46</v>
      </c>
      <c r="M12" s="44"/>
      <c r="P12" s="262" t="s">
        <v>2363</v>
      </c>
      <c r="Q12" s="263">
        <v>57</v>
      </c>
      <c r="R12" s="263">
        <v>73</v>
      </c>
      <c r="S12" s="263">
        <v>-16</v>
      </c>
      <c r="T12" s="233">
        <f t="shared" si="1"/>
        <v>-0.21917808219178081</v>
      </c>
      <c r="Y12" t="s">
        <v>1261</v>
      </c>
      <c r="Z12">
        <v>242</v>
      </c>
      <c r="AA12">
        <v>284</v>
      </c>
      <c r="AB12">
        <v>-42</v>
      </c>
      <c r="AC12" s="233">
        <v>-0.15</v>
      </c>
      <c r="AG12" t="s">
        <v>459</v>
      </c>
      <c r="AH12" s="494">
        <v>1297.8789999999999</v>
      </c>
      <c r="AI12" s="494">
        <v>1446.2798</v>
      </c>
      <c r="AJ12" s="494">
        <v>-148.40080000000012</v>
      </c>
      <c r="AK12" s="495">
        <v>-0.10260863769237469</v>
      </c>
      <c r="AN12" t="s">
        <v>2409</v>
      </c>
      <c r="AO12" s="494" t="s">
        <v>3485</v>
      </c>
      <c r="AP12" s="494" t="s">
        <v>3486</v>
      </c>
      <c r="AQ12" s="494" t="s">
        <v>3487</v>
      </c>
      <c r="AR12" s="233">
        <v>-0.27</v>
      </c>
      <c r="AU12" t="s">
        <v>2057</v>
      </c>
      <c r="AV12" s="494">
        <v>47.682099999999998</v>
      </c>
      <c r="AW12" s="494">
        <v>66.549300000000002</v>
      </c>
      <c r="AX12" s="494">
        <v>-18.867200000000004</v>
      </c>
      <c r="AY12" s="233">
        <v>-0.28350711427468062</v>
      </c>
    </row>
    <row r="13" spans="1:52">
      <c r="A13" s="44" t="s">
        <v>1431</v>
      </c>
      <c r="B13" s="44">
        <v>132</v>
      </c>
      <c r="C13" s="44">
        <v>180</v>
      </c>
      <c r="D13" s="44">
        <v>-48</v>
      </c>
      <c r="E13" s="49">
        <v>-0.27</v>
      </c>
      <c r="H13" s="44" t="s">
        <v>2385</v>
      </c>
      <c r="I13" s="142">
        <v>116</v>
      </c>
      <c r="J13" s="142">
        <v>198</v>
      </c>
      <c r="K13" s="142">
        <f t="shared" si="0"/>
        <v>82</v>
      </c>
      <c r="L13" s="88">
        <v>-0.41</v>
      </c>
      <c r="M13" s="44"/>
      <c r="P13" s="262" t="s">
        <v>2379</v>
      </c>
      <c r="Q13" s="263">
        <v>40</v>
      </c>
      <c r="R13" s="263">
        <v>52</v>
      </c>
      <c r="S13" s="263">
        <v>-11</v>
      </c>
      <c r="T13" s="233">
        <f t="shared" si="1"/>
        <v>-0.23076923076923078</v>
      </c>
      <c r="Y13" t="s">
        <v>3488</v>
      </c>
      <c r="Z13">
        <v>218</v>
      </c>
      <c r="AA13">
        <v>259</v>
      </c>
      <c r="AB13">
        <v>-41</v>
      </c>
      <c r="AC13" s="233">
        <v>-0.16</v>
      </c>
      <c r="AG13" t="s">
        <v>1208</v>
      </c>
      <c r="AH13" s="494">
        <v>258.12670000000003</v>
      </c>
      <c r="AI13" s="494">
        <v>402.94720000000001</v>
      </c>
      <c r="AJ13" s="494">
        <v>-144.82049999999998</v>
      </c>
      <c r="AK13" s="495">
        <v>-0.35940316746213891</v>
      </c>
      <c r="AN13" t="s">
        <v>2000</v>
      </c>
      <c r="AO13" s="494" t="s">
        <v>3489</v>
      </c>
      <c r="AP13" s="494" t="s">
        <v>3490</v>
      </c>
      <c r="AQ13" s="494" t="s">
        <v>3491</v>
      </c>
      <c r="AR13" s="233">
        <v>-0.19</v>
      </c>
      <c r="AU13" t="s">
        <v>1000</v>
      </c>
      <c r="AV13" s="494">
        <v>282.6909</v>
      </c>
      <c r="AW13" s="494">
        <v>376.71129999999999</v>
      </c>
      <c r="AX13" s="494">
        <v>-94.020399999999995</v>
      </c>
      <c r="AY13" s="233">
        <v>-0.2495821070405905</v>
      </c>
    </row>
    <row r="14" spans="1:52">
      <c r="A14" s="44" t="s">
        <v>2385</v>
      </c>
      <c r="B14" s="44">
        <v>198</v>
      </c>
      <c r="C14" s="44">
        <v>246</v>
      </c>
      <c r="D14" s="44">
        <v>-48</v>
      </c>
      <c r="E14" s="49">
        <v>-0.2</v>
      </c>
      <c r="H14" s="44" t="s">
        <v>3492</v>
      </c>
      <c r="I14" s="142">
        <v>132</v>
      </c>
      <c r="J14" s="142">
        <v>222</v>
      </c>
      <c r="K14" s="142">
        <f t="shared" si="0"/>
        <v>90</v>
      </c>
      <c r="L14" s="88">
        <v>-0.4</v>
      </c>
      <c r="M14" s="44"/>
      <c r="P14" s="262" t="s">
        <v>3493</v>
      </c>
      <c r="Q14" s="263">
        <v>75</v>
      </c>
      <c r="R14" s="263">
        <v>96</v>
      </c>
      <c r="S14" s="263">
        <v>-21</v>
      </c>
      <c r="T14" s="233">
        <f t="shared" si="1"/>
        <v>-0.21875</v>
      </c>
      <c r="Y14" t="s">
        <v>1351</v>
      </c>
      <c r="Z14">
        <v>195</v>
      </c>
      <c r="AA14">
        <v>230</v>
      </c>
      <c r="AB14">
        <v>-35</v>
      </c>
      <c r="AC14" s="233">
        <v>-0.15</v>
      </c>
      <c r="AG14" t="s">
        <v>1015</v>
      </c>
      <c r="AH14" s="494">
        <v>378.52859999999998</v>
      </c>
      <c r="AI14" s="494">
        <v>514.88840000000005</v>
      </c>
      <c r="AJ14" s="494">
        <v>-136.35980000000006</v>
      </c>
      <c r="AK14" s="495">
        <v>-0.26483369988525679</v>
      </c>
      <c r="AN14" t="s">
        <v>1240</v>
      </c>
      <c r="AO14" s="494" t="s">
        <v>3494</v>
      </c>
      <c r="AP14" s="494" t="s">
        <v>3495</v>
      </c>
      <c r="AQ14" s="494" t="s">
        <v>3496</v>
      </c>
      <c r="AR14" s="233">
        <v>-0.18</v>
      </c>
      <c r="AU14" t="s">
        <v>2444</v>
      </c>
      <c r="AV14" s="494">
        <v>8.3488000000000007</v>
      </c>
      <c r="AW14" s="494">
        <v>11.0974</v>
      </c>
      <c r="AX14" s="494">
        <v>-2.7485999999999997</v>
      </c>
      <c r="AY14" s="233">
        <v>-0.2476796366716528</v>
      </c>
    </row>
    <row r="15" spans="1:52">
      <c r="A15" s="44" t="s">
        <v>2705</v>
      </c>
      <c r="B15" s="44">
        <v>140</v>
      </c>
      <c r="C15" s="44">
        <v>185</v>
      </c>
      <c r="D15" s="44">
        <v>-45</v>
      </c>
      <c r="E15" s="49">
        <v>-0.24</v>
      </c>
      <c r="H15" s="44" t="s">
        <v>2576</v>
      </c>
      <c r="I15" s="142">
        <v>235</v>
      </c>
      <c r="J15" s="142">
        <v>359</v>
      </c>
      <c r="K15" s="142">
        <f t="shared" si="0"/>
        <v>124</v>
      </c>
      <c r="L15" s="88">
        <v>-0.35</v>
      </c>
      <c r="M15" s="44" t="s">
        <v>3497</v>
      </c>
      <c r="P15" s="262" t="s">
        <v>389</v>
      </c>
      <c r="Q15" s="263">
        <v>831</v>
      </c>
      <c r="R15" s="263">
        <v>1061</v>
      </c>
      <c r="S15" s="263">
        <v>-230</v>
      </c>
      <c r="T15" s="233">
        <f t="shared" si="1"/>
        <v>-0.21677662582469368</v>
      </c>
      <c r="U15" t="s">
        <v>3498</v>
      </c>
      <c r="Y15" t="s">
        <v>2309</v>
      </c>
      <c r="Z15">
        <v>43</v>
      </c>
      <c r="AA15">
        <v>77</v>
      </c>
      <c r="AB15">
        <v>-34</v>
      </c>
      <c r="AC15" s="233">
        <v>-0.44</v>
      </c>
      <c r="AG15" t="s">
        <v>1521</v>
      </c>
      <c r="AH15" s="494">
        <v>180.54820000000001</v>
      </c>
      <c r="AI15" s="494">
        <v>297.06209999999999</v>
      </c>
      <c r="AJ15" s="494">
        <v>-116.51389999999998</v>
      </c>
      <c r="AK15" s="495">
        <v>-0.39222068382334868</v>
      </c>
      <c r="AN15" t="s">
        <v>2111</v>
      </c>
      <c r="AO15" s="494" t="s">
        <v>3499</v>
      </c>
      <c r="AP15" s="494" t="s">
        <v>3489</v>
      </c>
      <c r="AQ15" s="494" t="s">
        <v>3500</v>
      </c>
      <c r="AR15" s="233">
        <v>-0.17</v>
      </c>
      <c r="AU15" t="s">
        <v>1112</v>
      </c>
      <c r="AV15" s="494">
        <v>237.39240000000001</v>
      </c>
      <c r="AW15" s="494">
        <v>311.02109999999999</v>
      </c>
      <c r="AX15" s="494">
        <v>-73.628699999999981</v>
      </c>
      <c r="AY15" s="233">
        <v>-0.23673217026111729</v>
      </c>
    </row>
    <row r="16" spans="1:52">
      <c r="A16" s="44" t="s">
        <v>801</v>
      </c>
      <c r="B16" s="44">
        <v>186</v>
      </c>
      <c r="C16" s="44">
        <v>227</v>
      </c>
      <c r="D16" s="44">
        <v>-42</v>
      </c>
      <c r="E16" s="49">
        <v>-0.18</v>
      </c>
      <c r="H16" s="44" t="s">
        <v>2443</v>
      </c>
      <c r="I16" s="142">
        <v>12</v>
      </c>
      <c r="J16" s="142">
        <v>16</v>
      </c>
      <c r="K16" s="142">
        <f t="shared" si="0"/>
        <v>4</v>
      </c>
      <c r="L16" s="88">
        <v>-0.23</v>
      </c>
      <c r="M16" s="44"/>
      <c r="P16" s="262" t="s">
        <v>824</v>
      </c>
      <c r="Q16" s="263">
        <v>638</v>
      </c>
      <c r="R16" s="263">
        <v>810</v>
      </c>
      <c r="S16" s="263">
        <v>-171</v>
      </c>
      <c r="T16" s="233">
        <f t="shared" si="1"/>
        <v>-0.21234567901234569</v>
      </c>
      <c r="Y16" t="s">
        <v>1276</v>
      </c>
      <c r="Z16">
        <v>287</v>
      </c>
      <c r="AA16">
        <v>321</v>
      </c>
      <c r="AB16">
        <v>-34</v>
      </c>
      <c r="AC16" s="233">
        <v>-0.11</v>
      </c>
      <c r="AG16" t="s">
        <v>2057</v>
      </c>
      <c r="AH16" s="494">
        <v>66.377799999999993</v>
      </c>
      <c r="AI16" s="494">
        <v>123.4173</v>
      </c>
      <c r="AJ16" s="494">
        <v>-57.039500000000004</v>
      </c>
      <c r="AK16" s="495">
        <v>-0.46216778360894306</v>
      </c>
      <c r="AN16" t="s">
        <v>1924</v>
      </c>
      <c r="AO16" s="494" t="s">
        <v>3501</v>
      </c>
      <c r="AP16" s="494" t="s">
        <v>3502</v>
      </c>
      <c r="AQ16" s="494" t="s">
        <v>3503</v>
      </c>
      <c r="AR16" s="233">
        <v>-0.16</v>
      </c>
      <c r="AU16" t="s">
        <v>1695</v>
      </c>
      <c r="AV16" s="494">
        <v>104.0287</v>
      </c>
      <c r="AW16" s="494">
        <v>133.5094</v>
      </c>
      <c r="AX16" s="494">
        <v>-29.480699999999999</v>
      </c>
      <c r="AY16" s="233">
        <v>-0.22081366555463511</v>
      </c>
    </row>
    <row r="17" spans="1:52">
      <c r="A17" s="44" t="s">
        <v>2330</v>
      </c>
      <c r="B17" s="44">
        <v>44</v>
      </c>
      <c r="C17" s="44">
        <v>85</v>
      </c>
      <c r="D17" s="44">
        <v>-41</v>
      </c>
      <c r="E17" s="49">
        <v>-0.48</v>
      </c>
      <c r="H17" s="44" t="s">
        <v>989</v>
      </c>
      <c r="I17" s="142">
        <v>302</v>
      </c>
      <c r="J17" s="142">
        <v>388</v>
      </c>
      <c r="K17" s="142">
        <f t="shared" si="0"/>
        <v>86</v>
      </c>
      <c r="L17" s="88">
        <v>-0.22</v>
      </c>
      <c r="M17" s="44"/>
      <c r="P17" s="262" t="s">
        <v>1924</v>
      </c>
      <c r="Q17" s="263">
        <v>54</v>
      </c>
      <c r="R17" s="263">
        <v>66</v>
      </c>
      <c r="S17" s="263">
        <v>-13</v>
      </c>
      <c r="T17" s="233">
        <f t="shared" si="1"/>
        <v>-0.18181818181818182</v>
      </c>
      <c r="Y17" t="s">
        <v>1368</v>
      </c>
      <c r="Z17">
        <v>223</v>
      </c>
      <c r="AA17">
        <v>254</v>
      </c>
      <c r="AB17">
        <v>-31</v>
      </c>
      <c r="AC17" s="233">
        <v>-0.12</v>
      </c>
      <c r="AG17" t="s">
        <v>1835</v>
      </c>
      <c r="AH17" s="494">
        <v>98.922499999999999</v>
      </c>
      <c r="AI17" s="494">
        <v>140.09119999999999</v>
      </c>
      <c r="AJ17" s="494">
        <v>-41.168699999999987</v>
      </c>
      <c r="AK17" s="495">
        <v>-0.2938707070822435</v>
      </c>
      <c r="AN17" t="s">
        <v>3504</v>
      </c>
      <c r="AO17" s="494" t="s">
        <v>3505</v>
      </c>
      <c r="AP17" s="494" t="s">
        <v>3506</v>
      </c>
      <c r="AQ17" s="494" t="s">
        <v>3507</v>
      </c>
      <c r="AR17" s="233">
        <v>-0.15</v>
      </c>
      <c r="AU17" t="s">
        <v>2185</v>
      </c>
      <c r="AV17" s="494">
        <v>44.039699999999996</v>
      </c>
      <c r="AW17" s="494">
        <v>55.751199999999997</v>
      </c>
      <c r="AX17" s="494">
        <v>-11.711500000000001</v>
      </c>
      <c r="AY17" s="233">
        <v>-0.21006722725250759</v>
      </c>
    </row>
    <row r="18" spans="1:52">
      <c r="A18" s="44" t="s">
        <v>1310</v>
      </c>
      <c r="B18" s="44">
        <v>278</v>
      </c>
      <c r="C18" s="44">
        <v>316</v>
      </c>
      <c r="D18" s="44">
        <v>-38</v>
      </c>
      <c r="E18" s="49">
        <v>-0.12</v>
      </c>
      <c r="H18" s="44" t="s">
        <v>3508</v>
      </c>
      <c r="I18" s="142">
        <v>1.0089999999999999</v>
      </c>
      <c r="J18" s="142">
        <v>1.2549999999999999</v>
      </c>
      <c r="K18" s="142">
        <f t="shared" si="0"/>
        <v>0.246</v>
      </c>
      <c r="L18" s="88">
        <v>-0.2</v>
      </c>
      <c r="M18" s="44" t="s">
        <v>3509</v>
      </c>
      <c r="P18" s="262" t="s">
        <v>2485</v>
      </c>
      <c r="Q18" s="263">
        <v>9</v>
      </c>
      <c r="R18" s="263">
        <v>11</v>
      </c>
      <c r="S18" s="263">
        <v>-2</v>
      </c>
      <c r="T18" s="233">
        <f t="shared" si="1"/>
        <v>-0.18181818181818182</v>
      </c>
      <c r="Y18" t="s">
        <v>1844</v>
      </c>
      <c r="Z18">
        <v>94</v>
      </c>
      <c r="AA18">
        <v>125</v>
      </c>
      <c r="AB18">
        <v>-31</v>
      </c>
      <c r="AC18" s="233">
        <v>-0.25</v>
      </c>
      <c r="AG18" t="s">
        <v>1276</v>
      </c>
      <c r="AH18" s="494">
        <v>246.2467</v>
      </c>
      <c r="AI18" s="494">
        <v>287.40570000000002</v>
      </c>
      <c r="AJ18" s="494">
        <v>-41.15900000000002</v>
      </c>
      <c r="AK18" s="495">
        <v>-0.14320871158783566</v>
      </c>
      <c r="AN18" t="s">
        <v>459</v>
      </c>
      <c r="AO18" s="494" t="s">
        <v>3510</v>
      </c>
      <c r="AP18" s="494" t="s">
        <v>3511</v>
      </c>
      <c r="AQ18" s="494" t="s">
        <v>3512</v>
      </c>
      <c r="AR18" s="233">
        <v>-0.15</v>
      </c>
      <c r="AU18" t="s">
        <v>2039</v>
      </c>
      <c r="AV18" s="494">
        <v>54.931600000000003</v>
      </c>
      <c r="AW18" s="494">
        <v>69.365600000000001</v>
      </c>
      <c r="AX18" s="494">
        <v>-14.433999999999997</v>
      </c>
      <c r="AY18" s="233">
        <v>-0.20808585235332783</v>
      </c>
    </row>
    <row r="19" spans="1:52">
      <c r="A19" s="44" t="s">
        <v>2552</v>
      </c>
      <c r="B19" s="44">
        <v>243</v>
      </c>
      <c r="C19" s="44">
        <v>270</v>
      </c>
      <c r="D19" s="44">
        <v>-27</v>
      </c>
      <c r="E19" s="49">
        <v>-0.1</v>
      </c>
      <c r="H19" s="44" t="s">
        <v>1015</v>
      </c>
      <c r="I19" s="142">
        <v>659</v>
      </c>
      <c r="J19" s="142">
        <v>807</v>
      </c>
      <c r="K19" s="142">
        <f t="shared" si="0"/>
        <v>148</v>
      </c>
      <c r="L19" s="88">
        <v>-0.18</v>
      </c>
      <c r="M19" s="44" t="s">
        <v>3509</v>
      </c>
      <c r="P19" s="262" t="s">
        <v>2309</v>
      </c>
      <c r="Q19" s="263">
        <v>77</v>
      </c>
      <c r="R19" s="263">
        <v>95</v>
      </c>
      <c r="S19" s="263">
        <v>-18</v>
      </c>
      <c r="T19" s="233">
        <f t="shared" si="1"/>
        <v>-0.18947368421052632</v>
      </c>
      <c r="Y19" t="s">
        <v>1684</v>
      </c>
      <c r="Z19">
        <v>146</v>
      </c>
      <c r="AA19">
        <v>176</v>
      </c>
      <c r="AB19">
        <v>-30</v>
      </c>
      <c r="AC19" s="233">
        <v>-0.17</v>
      </c>
      <c r="AG19" t="s">
        <v>3467</v>
      </c>
      <c r="AH19" s="494">
        <v>316.56220000000002</v>
      </c>
      <c r="AI19" s="494">
        <v>355.19669999999996</v>
      </c>
      <c r="AJ19" s="494">
        <v>-38.634499999999946</v>
      </c>
      <c r="AK19" s="495">
        <v>-0.10876931007523423</v>
      </c>
      <c r="AN19" t="s">
        <v>2385</v>
      </c>
      <c r="AO19" s="494" t="s">
        <v>3513</v>
      </c>
      <c r="AP19" s="494" t="s">
        <v>3514</v>
      </c>
      <c r="AQ19" s="494" t="s">
        <v>3515</v>
      </c>
      <c r="AR19" s="233">
        <v>-0.15</v>
      </c>
      <c r="AU19" t="s">
        <v>647</v>
      </c>
      <c r="AV19" s="494">
        <v>593.54300000000001</v>
      </c>
      <c r="AW19" s="494">
        <v>748.18960000000004</v>
      </c>
      <c r="AX19" s="494">
        <v>-154.64660000000003</v>
      </c>
      <c r="AY19" s="233">
        <v>-0.20669439938753495</v>
      </c>
    </row>
    <row r="20" spans="1:52">
      <c r="A20" s="44" t="s">
        <v>1427</v>
      </c>
      <c r="B20" s="44">
        <v>178</v>
      </c>
      <c r="C20" s="44">
        <v>204</v>
      </c>
      <c r="D20" s="44">
        <v>-26</v>
      </c>
      <c r="E20" s="49">
        <v>-0.13</v>
      </c>
      <c r="H20" s="44" t="s">
        <v>759</v>
      </c>
      <c r="I20" s="142">
        <v>433</v>
      </c>
      <c r="J20" s="142">
        <v>517</v>
      </c>
      <c r="K20" s="142">
        <f t="shared" si="0"/>
        <v>84</v>
      </c>
      <c r="L20" s="88">
        <v>-0.16</v>
      </c>
      <c r="M20" s="44"/>
      <c r="P20" s="262" t="s">
        <v>477</v>
      </c>
      <c r="Q20" s="263">
        <v>916</v>
      </c>
      <c r="R20" s="263">
        <v>1128</v>
      </c>
      <c r="S20" s="263">
        <v>-212</v>
      </c>
      <c r="T20" s="233">
        <f t="shared" si="1"/>
        <v>-0.18794326241134751</v>
      </c>
      <c r="U20" t="s">
        <v>3516</v>
      </c>
      <c r="Y20" t="s">
        <v>2000</v>
      </c>
      <c r="Z20">
        <v>72</v>
      </c>
      <c r="AA20">
        <v>102</v>
      </c>
      <c r="AB20">
        <v>-29</v>
      </c>
      <c r="AC20" s="233">
        <v>-0.28999999999999998</v>
      </c>
      <c r="AG20" t="s">
        <v>1054</v>
      </c>
      <c r="AH20" s="494">
        <v>279.2362</v>
      </c>
      <c r="AI20" s="494">
        <v>316.17109999999997</v>
      </c>
      <c r="AJ20" s="494">
        <v>-36.934899999999971</v>
      </c>
      <c r="AK20" s="495">
        <v>-0.11681934243831892</v>
      </c>
      <c r="AN20" t="s">
        <v>2018</v>
      </c>
      <c r="AO20" s="494" t="s">
        <v>3517</v>
      </c>
      <c r="AP20" s="494" t="s">
        <v>3518</v>
      </c>
      <c r="AQ20" s="494" t="s">
        <v>3519</v>
      </c>
      <c r="AR20" s="233">
        <v>-0.14000000000000001</v>
      </c>
      <c r="AU20" t="s">
        <v>1875</v>
      </c>
      <c r="AV20" s="494">
        <v>74.4482</v>
      </c>
      <c r="AW20" s="494">
        <v>93.779399999999995</v>
      </c>
      <c r="AX20" s="494">
        <v>-19.331199999999995</v>
      </c>
      <c r="AY20" s="233">
        <v>-0.20613482278624087</v>
      </c>
    </row>
    <row r="21" spans="1:52">
      <c r="A21" s="44" t="s">
        <v>1479</v>
      </c>
      <c r="B21" s="44">
        <v>172</v>
      </c>
      <c r="C21" s="44">
        <v>195</v>
      </c>
      <c r="D21" s="44">
        <v>-23</v>
      </c>
      <c r="E21" s="49">
        <v>-0.12</v>
      </c>
      <c r="H21" s="44" t="s">
        <v>2330</v>
      </c>
      <c r="I21" s="142">
        <v>37</v>
      </c>
      <c r="J21" s="142">
        <v>44</v>
      </c>
      <c r="K21" s="142">
        <f t="shared" si="0"/>
        <v>7</v>
      </c>
      <c r="L21" s="88">
        <v>-0.16</v>
      </c>
      <c r="M21" s="44"/>
      <c r="P21" s="262" t="s">
        <v>358</v>
      </c>
      <c r="Q21" s="263">
        <v>1512</v>
      </c>
      <c r="R21" s="263">
        <v>1778</v>
      </c>
      <c r="S21" s="263">
        <v>-266</v>
      </c>
      <c r="T21" s="233">
        <f t="shared" si="1"/>
        <v>-0.14960629921259844</v>
      </c>
      <c r="U21" t="s">
        <v>3516</v>
      </c>
      <c r="Y21" t="s">
        <v>2363</v>
      </c>
      <c r="Z21">
        <v>32</v>
      </c>
      <c r="AA21">
        <v>57</v>
      </c>
      <c r="AB21">
        <v>-24</v>
      </c>
      <c r="AC21" s="233">
        <v>-0.43</v>
      </c>
      <c r="AG21" t="s">
        <v>1581</v>
      </c>
      <c r="AH21" s="494">
        <v>185.30119999999999</v>
      </c>
      <c r="AI21" s="494">
        <v>209.43690000000001</v>
      </c>
      <c r="AJ21" s="494">
        <v>-24.135700000000014</v>
      </c>
      <c r="AK21" s="495">
        <v>-0.11524091504410165</v>
      </c>
      <c r="AN21" t="s">
        <v>2335</v>
      </c>
      <c r="AO21" s="494" t="s">
        <v>3520</v>
      </c>
      <c r="AP21" s="494" t="s">
        <v>3521</v>
      </c>
      <c r="AQ21" s="494" t="s">
        <v>3522</v>
      </c>
      <c r="AR21" s="233">
        <v>-0.13</v>
      </c>
      <c r="AU21" t="s">
        <v>3523</v>
      </c>
      <c r="AV21" s="494">
        <v>429.91059999999999</v>
      </c>
      <c r="AW21" s="494">
        <v>541.23350000000005</v>
      </c>
      <c r="AX21" s="494">
        <v>-111.32290000000006</v>
      </c>
      <c r="AY21" s="233">
        <v>-0.20568368365964051</v>
      </c>
    </row>
    <row r="22" spans="1:52">
      <c r="A22" s="44" t="s">
        <v>1684</v>
      </c>
      <c r="B22" s="44">
        <v>143</v>
      </c>
      <c r="C22" s="44">
        <v>166</v>
      </c>
      <c r="D22" s="44">
        <v>-23</v>
      </c>
      <c r="E22" s="49">
        <v>-0.14000000000000001</v>
      </c>
      <c r="H22" s="44" t="s">
        <v>1820</v>
      </c>
      <c r="I22" s="142">
        <v>101</v>
      </c>
      <c r="J22" s="142">
        <v>120</v>
      </c>
      <c r="K22" s="142">
        <f t="shared" si="0"/>
        <v>19</v>
      </c>
      <c r="L22" s="88">
        <v>-0.16</v>
      </c>
      <c r="M22" s="44"/>
      <c r="P22" s="262" t="s">
        <v>1310</v>
      </c>
      <c r="Q22" s="263">
        <v>215</v>
      </c>
      <c r="R22" s="263">
        <v>251</v>
      </c>
      <c r="S22" s="263">
        <v>-36</v>
      </c>
      <c r="T22" s="233">
        <f t="shared" si="1"/>
        <v>-0.14342629482071714</v>
      </c>
      <c r="Y22" t="s">
        <v>1946</v>
      </c>
      <c r="Z22">
        <v>72</v>
      </c>
      <c r="AA22">
        <v>93</v>
      </c>
      <c r="AB22">
        <v>-21</v>
      </c>
      <c r="AC22" s="233">
        <v>-0.23</v>
      </c>
      <c r="AG22" t="s">
        <v>3390</v>
      </c>
      <c r="AH22" s="494">
        <v>10.371499999999999</v>
      </c>
      <c r="AI22" s="494">
        <v>34.282600000000002</v>
      </c>
      <c r="AJ22" s="494">
        <v>-23.911100000000005</v>
      </c>
      <c r="AK22" s="495">
        <v>-0.69747043689801835</v>
      </c>
      <c r="AN22" t="s">
        <v>1901</v>
      </c>
      <c r="AO22" s="494" t="s">
        <v>3524</v>
      </c>
      <c r="AP22" s="494" t="s">
        <v>3525</v>
      </c>
      <c r="AQ22" s="494" t="s">
        <v>3500</v>
      </c>
      <c r="AR22" s="233">
        <v>-0.13</v>
      </c>
      <c r="AU22" t="s">
        <v>3526</v>
      </c>
      <c r="AV22" s="494">
        <v>4026.7107999999998</v>
      </c>
      <c r="AW22" s="494">
        <v>4991.3239000000003</v>
      </c>
      <c r="AX22" s="494">
        <v>-964.61310000000049</v>
      </c>
      <c r="AY22" s="233">
        <v>-0.19325796508617693</v>
      </c>
      <c r="AZ22" t="s">
        <v>3527</v>
      </c>
    </row>
    <row r="23" spans="1:52">
      <c r="A23" s="44" t="s">
        <v>1752</v>
      </c>
      <c r="B23" s="44">
        <v>115</v>
      </c>
      <c r="C23" s="44">
        <v>137</v>
      </c>
      <c r="D23" s="44">
        <v>-22</v>
      </c>
      <c r="E23" s="49">
        <v>-0.16</v>
      </c>
      <c r="H23" s="44" t="s">
        <v>459</v>
      </c>
      <c r="I23" s="142">
        <v>1.3580000000000001</v>
      </c>
      <c r="J23" s="142">
        <v>1.6040000000000001</v>
      </c>
      <c r="K23" s="142">
        <f t="shared" si="0"/>
        <v>0.246</v>
      </c>
      <c r="L23" s="88">
        <v>-0.15</v>
      </c>
      <c r="M23" s="44" t="s">
        <v>3497</v>
      </c>
      <c r="P23" s="262" t="s">
        <v>942</v>
      </c>
      <c r="Q23" s="263">
        <v>468</v>
      </c>
      <c r="R23" s="263">
        <v>537</v>
      </c>
      <c r="S23" s="263">
        <v>-69</v>
      </c>
      <c r="T23" s="233">
        <f t="shared" si="1"/>
        <v>-0.12849162011173185</v>
      </c>
      <c r="Y23" t="s">
        <v>2012</v>
      </c>
      <c r="Z23">
        <v>67</v>
      </c>
      <c r="AA23">
        <v>87</v>
      </c>
      <c r="AB23">
        <v>-20</v>
      </c>
      <c r="AC23" s="233">
        <v>-0.23</v>
      </c>
      <c r="AG23" t="s">
        <v>1863</v>
      </c>
      <c r="AH23" s="494">
        <v>93.704499999999996</v>
      </c>
      <c r="AI23" s="494">
        <v>116.691</v>
      </c>
      <c r="AJ23" s="494">
        <v>-22.986500000000007</v>
      </c>
      <c r="AK23" s="495">
        <v>-0.19698605719378534</v>
      </c>
      <c r="AN23" t="s">
        <v>1957</v>
      </c>
      <c r="AO23" s="494" t="s">
        <v>3528</v>
      </c>
      <c r="AP23" s="494" t="s">
        <v>3529</v>
      </c>
      <c r="AQ23" s="494" t="s">
        <v>3530</v>
      </c>
      <c r="AR23" s="233">
        <v>-0.12</v>
      </c>
      <c r="AU23" t="s">
        <v>816</v>
      </c>
      <c r="AV23" s="494">
        <v>413.90730000000002</v>
      </c>
      <c r="AW23" s="494">
        <v>507.33569999999997</v>
      </c>
      <c r="AX23" s="494">
        <v>-93.428399999999954</v>
      </c>
      <c r="AY23" s="233">
        <v>-0.18415498850169612</v>
      </c>
    </row>
    <row r="24" spans="1:52">
      <c r="A24" s="44" t="s">
        <v>1906</v>
      </c>
      <c r="B24" s="44">
        <v>82</v>
      </c>
      <c r="C24" s="44">
        <v>103</v>
      </c>
      <c r="D24" s="44">
        <v>-21</v>
      </c>
      <c r="E24" s="49">
        <v>-0.21</v>
      </c>
      <c r="H24" s="44" t="s">
        <v>3531</v>
      </c>
      <c r="I24" s="142">
        <v>13</v>
      </c>
      <c r="J24" s="142">
        <v>15</v>
      </c>
      <c r="K24" s="142">
        <f t="shared" si="0"/>
        <v>2</v>
      </c>
      <c r="L24" s="88">
        <v>-0.14000000000000001</v>
      </c>
      <c r="P24" s="262" t="s">
        <v>1930</v>
      </c>
      <c r="Q24" s="263">
        <v>73</v>
      </c>
      <c r="R24" s="263">
        <v>84</v>
      </c>
      <c r="S24" s="263">
        <v>-11</v>
      </c>
      <c r="T24" s="233">
        <f t="shared" si="1"/>
        <v>-0.13095238095238096</v>
      </c>
      <c r="Y24" t="s">
        <v>1468</v>
      </c>
      <c r="Z24">
        <v>53</v>
      </c>
      <c r="AA24">
        <v>73</v>
      </c>
      <c r="AB24">
        <v>-20</v>
      </c>
      <c r="AC24" s="233">
        <v>-0.28000000000000003</v>
      </c>
      <c r="AG24" t="s">
        <v>2070</v>
      </c>
      <c r="AH24" s="494">
        <v>155.9187</v>
      </c>
      <c r="AI24" s="494">
        <v>178.04089999999999</v>
      </c>
      <c r="AJ24" s="494">
        <v>-22.122199999999992</v>
      </c>
      <c r="AK24" s="495">
        <v>-0.12425347209545667</v>
      </c>
      <c r="AN24" t="s">
        <v>1679</v>
      </c>
      <c r="AO24" s="494" t="s">
        <v>3532</v>
      </c>
      <c r="AP24" s="494" t="s">
        <v>3533</v>
      </c>
      <c r="AQ24" s="494" t="s">
        <v>3534</v>
      </c>
      <c r="AR24" s="233">
        <v>-0.11</v>
      </c>
      <c r="AU24" t="s">
        <v>1946</v>
      </c>
      <c r="AV24" s="494">
        <v>69.5364</v>
      </c>
      <c r="AW24" s="494">
        <v>84.507000000000005</v>
      </c>
      <c r="AX24" s="494">
        <v>-14.970600000000005</v>
      </c>
      <c r="AY24" s="233">
        <v>-0.17715218857609433</v>
      </c>
    </row>
    <row r="25" spans="1:52">
      <c r="A25" s="44" t="s">
        <v>1450</v>
      </c>
      <c r="B25" s="44">
        <v>151</v>
      </c>
      <c r="C25" s="44">
        <v>171</v>
      </c>
      <c r="D25" s="44">
        <v>-20</v>
      </c>
      <c r="E25" s="49">
        <v>-0.12</v>
      </c>
      <c r="H25" s="44" t="s">
        <v>2769</v>
      </c>
      <c r="I25" s="142">
        <v>439</v>
      </c>
      <c r="J25" s="142">
        <v>509</v>
      </c>
      <c r="K25" s="142">
        <f t="shared" si="0"/>
        <v>70</v>
      </c>
      <c r="L25" s="88">
        <v>-0.14000000000000001</v>
      </c>
      <c r="P25" s="262" t="s">
        <v>1551</v>
      </c>
      <c r="Q25" s="263">
        <v>156</v>
      </c>
      <c r="R25" s="263">
        <v>178</v>
      </c>
      <c r="S25" s="263">
        <v>-22</v>
      </c>
      <c r="T25" s="233">
        <f t="shared" si="1"/>
        <v>-0.12359550561797752</v>
      </c>
      <c r="Y25" t="s">
        <v>2335</v>
      </c>
      <c r="Z25">
        <v>43</v>
      </c>
      <c r="AA25">
        <v>63</v>
      </c>
      <c r="AB25">
        <v>-20</v>
      </c>
      <c r="AC25" s="233">
        <v>-0.32</v>
      </c>
      <c r="AG25" t="s">
        <v>1587</v>
      </c>
      <c r="AH25" s="494">
        <v>137.999</v>
      </c>
      <c r="AI25" s="494">
        <v>159.9854</v>
      </c>
      <c r="AJ25" s="494">
        <v>-21.986400000000003</v>
      </c>
      <c r="AK25" s="495">
        <v>-0.13742754026304901</v>
      </c>
      <c r="AN25" t="s">
        <v>3535</v>
      </c>
      <c r="AO25" s="494" t="s">
        <v>3536</v>
      </c>
      <c r="AP25" s="494" t="s">
        <v>3537</v>
      </c>
      <c r="AQ25" s="494" t="s">
        <v>3538</v>
      </c>
      <c r="AR25" s="233">
        <v>-0.11</v>
      </c>
      <c r="AU25" t="s">
        <v>2153</v>
      </c>
      <c r="AV25" s="494">
        <v>48.065100000000001</v>
      </c>
      <c r="AW25" s="494">
        <v>58.4131</v>
      </c>
      <c r="AX25" s="494">
        <v>-10.347999999999999</v>
      </c>
      <c r="AY25" s="233">
        <v>-0.17715204294926992</v>
      </c>
    </row>
    <row r="26" spans="1:52">
      <c r="A26" s="44" t="s">
        <v>3308</v>
      </c>
      <c r="B26" s="44">
        <v>149</v>
      </c>
      <c r="C26" s="44">
        <v>169</v>
      </c>
      <c r="D26" s="44">
        <v>-19</v>
      </c>
      <c r="E26" s="49">
        <v>-0.12</v>
      </c>
      <c r="H26" s="44" t="s">
        <v>2778</v>
      </c>
      <c r="I26" s="142">
        <v>173</v>
      </c>
      <c r="J26" s="142">
        <v>200</v>
      </c>
      <c r="K26" s="142">
        <f t="shared" si="0"/>
        <v>27</v>
      </c>
      <c r="L26" s="88">
        <v>-0.13</v>
      </c>
      <c r="P26" s="262" t="s">
        <v>2303</v>
      </c>
      <c r="Q26" s="263">
        <v>45</v>
      </c>
      <c r="R26" s="263">
        <v>51</v>
      </c>
      <c r="S26" s="263">
        <v>-6</v>
      </c>
      <c r="T26" s="233">
        <f t="shared" si="1"/>
        <v>-0.11764705882352941</v>
      </c>
      <c r="Y26" t="s">
        <v>2588</v>
      </c>
      <c r="Z26">
        <v>141</v>
      </c>
      <c r="AA26">
        <v>161</v>
      </c>
      <c r="AB26">
        <v>-20</v>
      </c>
      <c r="AC26" s="233">
        <v>-0.12</v>
      </c>
      <c r="AG26" t="s">
        <v>1689</v>
      </c>
      <c r="AH26" s="494">
        <v>140.68809999999999</v>
      </c>
      <c r="AI26" s="494">
        <v>156.42169999999999</v>
      </c>
      <c r="AJ26" s="494">
        <v>-15.733599999999996</v>
      </c>
      <c r="AK26" s="495">
        <v>-0.10058450969398745</v>
      </c>
      <c r="AN26" t="s">
        <v>3539</v>
      </c>
      <c r="AO26" s="494" t="s">
        <v>3540</v>
      </c>
      <c r="AP26" s="494" t="s">
        <v>3541</v>
      </c>
      <c r="AQ26" s="494" t="s">
        <v>3542</v>
      </c>
      <c r="AR26" s="233">
        <v>-0.28999999999999998</v>
      </c>
      <c r="AU26" t="s">
        <v>2121</v>
      </c>
      <c r="AV26" s="494">
        <v>49.833300000000001</v>
      </c>
      <c r="AW26" s="494">
        <v>59.903799999999997</v>
      </c>
      <c r="AX26" s="494">
        <v>-10.070499999999996</v>
      </c>
      <c r="AY26" s="233">
        <v>-0.1681112049652943</v>
      </c>
    </row>
    <row r="27" spans="1:52">
      <c r="A27" s="44" t="s">
        <v>2018</v>
      </c>
      <c r="B27" s="44">
        <v>64</v>
      </c>
      <c r="C27" s="44">
        <v>83</v>
      </c>
      <c r="D27" s="44">
        <v>-19</v>
      </c>
      <c r="E27" s="49">
        <v>-0.23</v>
      </c>
      <c r="H27" s="44" t="s">
        <v>1422</v>
      </c>
      <c r="I27" s="142">
        <v>192</v>
      </c>
      <c r="J27" s="142">
        <v>220</v>
      </c>
      <c r="K27" s="142">
        <f t="shared" si="0"/>
        <v>28</v>
      </c>
      <c r="L27" s="88">
        <v>-0.13</v>
      </c>
      <c r="P27" s="262" t="s">
        <v>1713</v>
      </c>
      <c r="Q27" s="263">
        <v>136</v>
      </c>
      <c r="R27" s="263">
        <v>153</v>
      </c>
      <c r="S27" s="263">
        <v>-17</v>
      </c>
      <c r="T27" s="233">
        <f t="shared" si="1"/>
        <v>-0.1111111111111111</v>
      </c>
      <c r="Y27" t="s">
        <v>1835</v>
      </c>
      <c r="Z27">
        <v>140</v>
      </c>
      <c r="AA27">
        <v>160</v>
      </c>
      <c r="AB27">
        <v>-20</v>
      </c>
      <c r="AC27" s="233">
        <v>-0.12</v>
      </c>
      <c r="AG27" t="s">
        <v>2730</v>
      </c>
      <c r="AH27" s="494">
        <v>50.417200000000001</v>
      </c>
      <c r="AI27" s="494">
        <v>65.994</v>
      </c>
      <c r="AJ27" s="494">
        <v>-15.576799999999999</v>
      </c>
      <c r="AK27" s="495">
        <v>-0.23603357881019485</v>
      </c>
      <c r="AN27" t="s">
        <v>1581</v>
      </c>
      <c r="AO27" s="494" t="s">
        <v>3543</v>
      </c>
      <c r="AP27" s="494" t="s">
        <v>3544</v>
      </c>
      <c r="AQ27" s="494" t="s">
        <v>3545</v>
      </c>
      <c r="AR27" s="233">
        <v>-0.1</v>
      </c>
      <c r="AU27" t="s">
        <v>1022</v>
      </c>
      <c r="AV27" s="494">
        <v>306.29140000000001</v>
      </c>
      <c r="AW27" s="494">
        <v>366.78399999999999</v>
      </c>
      <c r="AX27" s="494">
        <v>-60.492599999999982</v>
      </c>
      <c r="AY27" s="233">
        <v>-0.16492704152852899</v>
      </c>
    </row>
    <row r="28" spans="1:52">
      <c r="A28" s="44" t="s">
        <v>2158</v>
      </c>
      <c r="B28" s="44">
        <v>41</v>
      </c>
      <c r="C28" s="44">
        <v>58</v>
      </c>
      <c r="D28" s="44">
        <v>-17</v>
      </c>
      <c r="E28" s="49">
        <v>-0.28999999999999998</v>
      </c>
      <c r="H28" s="44" t="s">
        <v>2730</v>
      </c>
      <c r="I28" s="142">
        <v>66</v>
      </c>
      <c r="J28" s="142">
        <v>75</v>
      </c>
      <c r="K28" s="142">
        <f t="shared" si="0"/>
        <v>9</v>
      </c>
      <c r="L28" s="88">
        <v>-0.13</v>
      </c>
      <c r="Y28" t="s">
        <v>1551</v>
      </c>
      <c r="Z28">
        <v>137</v>
      </c>
      <c r="AA28">
        <v>156</v>
      </c>
      <c r="AB28">
        <v>-19</v>
      </c>
      <c r="AC28" s="233">
        <v>-0.12</v>
      </c>
      <c r="AG28" t="s">
        <v>2111</v>
      </c>
      <c r="AH28" s="494">
        <v>73.753200000000007</v>
      </c>
      <c r="AI28" s="494">
        <v>89.134699999999995</v>
      </c>
      <c r="AJ28" s="494">
        <v>-15.381499999999988</v>
      </c>
      <c r="AK28" s="495">
        <v>-0.17256466897852341</v>
      </c>
      <c r="AN28" t="s">
        <v>1474</v>
      </c>
      <c r="AO28" s="494" t="s">
        <v>3546</v>
      </c>
      <c r="AP28" s="494" t="s">
        <v>3547</v>
      </c>
      <c r="AQ28" s="494" t="s">
        <v>3548</v>
      </c>
      <c r="AR28" s="233">
        <v>-0.1</v>
      </c>
      <c r="AU28" t="s">
        <v>2352</v>
      </c>
      <c r="AV28" s="494">
        <v>28.618099999999998</v>
      </c>
      <c r="AW28" s="494">
        <v>34.235900000000001</v>
      </c>
      <c r="AX28" s="494">
        <v>-5.6178000000000026</v>
      </c>
      <c r="AY28" s="233">
        <v>-0.16409091041859575</v>
      </c>
    </row>
    <row r="29" spans="1:52">
      <c r="A29" s="44" t="s">
        <v>2363</v>
      </c>
      <c r="B29" s="44">
        <v>71</v>
      </c>
      <c r="C29" s="44">
        <v>85</v>
      </c>
      <c r="D29" s="44">
        <v>-14</v>
      </c>
      <c r="E29" s="49">
        <v>-0.17</v>
      </c>
      <c r="H29" s="44" t="s">
        <v>2677</v>
      </c>
      <c r="I29" s="142">
        <v>25</v>
      </c>
      <c r="J29" s="142">
        <v>28</v>
      </c>
      <c r="K29" s="142">
        <f t="shared" si="0"/>
        <v>3</v>
      </c>
      <c r="L29" s="88">
        <v>-0.12</v>
      </c>
      <c r="Y29" t="s">
        <v>1809</v>
      </c>
      <c r="Z29">
        <v>94</v>
      </c>
      <c r="AA29">
        <v>108</v>
      </c>
      <c r="AB29">
        <v>-14</v>
      </c>
      <c r="AC29" s="233">
        <v>-0.13</v>
      </c>
      <c r="AG29" t="s">
        <v>1815</v>
      </c>
      <c r="AH29" s="494">
        <v>104.4644</v>
      </c>
      <c r="AI29" s="494">
        <v>118.27500000000001</v>
      </c>
      <c r="AJ29" s="494">
        <v>-13.810600000000008</v>
      </c>
      <c r="AK29" s="495">
        <v>-0.11676685690128943</v>
      </c>
      <c r="AN29" t="s">
        <v>1345</v>
      </c>
      <c r="AO29" s="494">
        <v>227.9675</v>
      </c>
      <c r="AP29" s="494">
        <v>271.38830000000002</v>
      </c>
      <c r="AQ29" s="494">
        <v>-43.4208</v>
      </c>
      <c r="AR29" s="233">
        <v>-0.15999510664240099</v>
      </c>
      <c r="AU29" t="s">
        <v>1434</v>
      </c>
      <c r="AV29" s="494">
        <v>166.39070000000001</v>
      </c>
      <c r="AW29" s="494">
        <v>198.0634</v>
      </c>
      <c r="AX29" s="494">
        <v>-31.672699999999992</v>
      </c>
      <c r="AY29" s="233">
        <v>-0.15991192719099032</v>
      </c>
    </row>
    <row r="30" spans="1:52">
      <c r="A30" s="44" t="s">
        <v>1820</v>
      </c>
      <c r="B30" s="44">
        <v>120</v>
      </c>
      <c r="C30" s="44">
        <v>134</v>
      </c>
      <c r="D30" s="44">
        <v>-14</v>
      </c>
      <c r="E30" s="49">
        <v>-0.11</v>
      </c>
      <c r="H30" s="44" t="s">
        <v>1557</v>
      </c>
      <c r="I30" s="142">
        <v>177</v>
      </c>
      <c r="J30" s="142">
        <v>199</v>
      </c>
      <c r="K30" s="142">
        <f t="shared" si="0"/>
        <v>22</v>
      </c>
      <c r="L30" s="88">
        <v>-0.11</v>
      </c>
      <c r="Y30" t="s">
        <v>2258</v>
      </c>
      <c r="Z30">
        <v>56</v>
      </c>
      <c r="AA30">
        <v>68</v>
      </c>
      <c r="AB30">
        <v>-12</v>
      </c>
      <c r="AC30" s="233">
        <v>-0.18</v>
      </c>
      <c r="AG30" t="s">
        <v>2315</v>
      </c>
      <c r="AH30" s="494">
        <v>35.848599999999998</v>
      </c>
      <c r="AI30" s="494">
        <v>48.8795</v>
      </c>
      <c r="AJ30" s="494">
        <v>-13.030900000000003</v>
      </c>
      <c r="AK30" s="495">
        <v>-0.26659233420963802</v>
      </c>
      <c r="AN30" t="s">
        <v>1666</v>
      </c>
      <c r="AO30" s="494">
        <v>139.36240000000001</v>
      </c>
      <c r="AP30" s="494">
        <v>182.53899999999999</v>
      </c>
      <c r="AQ30" s="494">
        <v>-43.176600000000001</v>
      </c>
      <c r="AR30" s="233">
        <v>-0.23653356269071299</v>
      </c>
      <c r="AU30" t="s">
        <v>3549</v>
      </c>
      <c r="AV30" s="494">
        <v>245.47190000000001</v>
      </c>
      <c r="AW30" s="494">
        <v>291.81810000000002</v>
      </c>
      <c r="AX30" s="494">
        <v>-46.34620000000001</v>
      </c>
      <c r="AY30" s="233">
        <v>-0.1588187984227161</v>
      </c>
    </row>
    <row r="31" spans="1:52">
      <c r="A31" s="44" t="s">
        <v>1882</v>
      </c>
      <c r="B31" s="44">
        <v>75</v>
      </c>
      <c r="C31" s="44">
        <v>86</v>
      </c>
      <c r="D31" s="44">
        <v>-11</v>
      </c>
      <c r="E31" s="49">
        <v>-0.13</v>
      </c>
      <c r="H31" s="44" t="s">
        <v>1482</v>
      </c>
      <c r="I31" s="142">
        <v>152</v>
      </c>
      <c r="J31" s="142">
        <v>170</v>
      </c>
      <c r="K31" s="142">
        <f t="shared" si="0"/>
        <v>18</v>
      </c>
      <c r="L31" s="88">
        <v>-0.11</v>
      </c>
      <c r="Y31" t="s">
        <v>1838</v>
      </c>
      <c r="Z31">
        <v>89</v>
      </c>
      <c r="AA31">
        <v>101</v>
      </c>
      <c r="AB31">
        <v>-12</v>
      </c>
      <c r="AC31" s="233">
        <v>-0.11</v>
      </c>
      <c r="AG31" t="s">
        <v>3550</v>
      </c>
      <c r="AH31" s="494">
        <v>60</v>
      </c>
      <c r="AI31" s="494">
        <v>72</v>
      </c>
      <c r="AJ31" s="494">
        <v>-12</v>
      </c>
      <c r="AK31" s="495">
        <v>-0.16666666666666666</v>
      </c>
      <c r="AO31" s="494"/>
      <c r="AP31" s="494"/>
      <c r="AQ31" s="494"/>
      <c r="AR31" s="233"/>
      <c r="AU31" t="s">
        <v>2207</v>
      </c>
      <c r="AV31" s="494">
        <v>45.614800000000002</v>
      </c>
      <c r="AW31" s="494">
        <v>54.212400000000002</v>
      </c>
      <c r="AX31" s="494">
        <v>-8.5975999999999999</v>
      </c>
      <c r="AY31" s="233">
        <v>-0.15859102345588832</v>
      </c>
    </row>
    <row r="32" spans="1:52">
      <c r="A32" s="44" t="s">
        <v>2185</v>
      </c>
      <c r="B32" s="44">
        <v>46</v>
      </c>
      <c r="C32" s="44">
        <v>57</v>
      </c>
      <c r="D32" s="44">
        <v>-11</v>
      </c>
      <c r="E32" s="49">
        <v>-0.19</v>
      </c>
      <c r="H32" s="44" t="s">
        <v>3450</v>
      </c>
      <c r="I32" s="142">
        <v>576</v>
      </c>
      <c r="J32" s="142">
        <v>644</v>
      </c>
      <c r="K32" s="142">
        <f t="shared" si="0"/>
        <v>68</v>
      </c>
      <c r="L32" s="88">
        <v>-0.11</v>
      </c>
      <c r="Y32" t="s">
        <v>2454</v>
      </c>
      <c r="Z32">
        <v>6</v>
      </c>
      <c r="AA32">
        <v>15</v>
      </c>
      <c r="AB32">
        <v>-9</v>
      </c>
      <c r="AC32" s="233">
        <v>-0.57999999999999996</v>
      </c>
      <c r="AG32" t="s">
        <v>2379</v>
      </c>
      <c r="AH32" s="494">
        <v>28.233599999999999</v>
      </c>
      <c r="AI32" s="494">
        <v>39.996299999999998</v>
      </c>
      <c r="AJ32" s="494">
        <v>-11.762699999999999</v>
      </c>
      <c r="AK32" s="495">
        <v>-0.29409470376009778</v>
      </c>
      <c r="AO32" s="494"/>
      <c r="AP32" s="494"/>
      <c r="AQ32" s="494"/>
      <c r="AR32" s="233"/>
      <c r="AU32" t="s">
        <v>3551</v>
      </c>
      <c r="AV32" s="494">
        <v>555.73939999999993</v>
      </c>
      <c r="AW32" s="494">
        <v>659.97649999999999</v>
      </c>
      <c r="AX32" s="494">
        <v>-104.23710000000005</v>
      </c>
      <c r="AY32" s="233">
        <v>-0.15794062364341768</v>
      </c>
    </row>
    <row r="33" spans="1:51">
      <c r="A33" s="44" t="s">
        <v>1468</v>
      </c>
      <c r="B33" s="44">
        <v>38</v>
      </c>
      <c r="C33" s="44">
        <v>48</v>
      </c>
      <c r="D33" s="44">
        <v>-10</v>
      </c>
      <c r="E33" s="49">
        <v>-0.22</v>
      </c>
      <c r="H33" s="44" t="s">
        <v>3308</v>
      </c>
      <c r="I33" s="142">
        <v>134</v>
      </c>
      <c r="J33" s="142">
        <v>149</v>
      </c>
      <c r="K33" s="142">
        <f t="shared" si="0"/>
        <v>15</v>
      </c>
      <c r="L33" s="88">
        <v>-0.1</v>
      </c>
      <c r="Y33" t="s">
        <v>3328</v>
      </c>
      <c r="Z33">
        <v>55</v>
      </c>
      <c r="AA33">
        <v>64</v>
      </c>
      <c r="AB33">
        <v>-9</v>
      </c>
      <c r="AC33" s="233">
        <v>-0.14000000000000001</v>
      </c>
      <c r="AG33" t="s">
        <v>2258</v>
      </c>
      <c r="AH33" s="494">
        <v>44.943300000000001</v>
      </c>
      <c r="AI33" s="494">
        <v>55.709200000000003</v>
      </c>
      <c r="AJ33" s="494">
        <v>-10.765900000000002</v>
      </c>
      <c r="AK33" s="495">
        <v>-0.19325174297961561</v>
      </c>
      <c r="AU33" t="s">
        <v>1468</v>
      </c>
      <c r="AV33" s="494">
        <v>163.67660000000001</v>
      </c>
      <c r="AW33" s="494">
        <v>194.02350000000001</v>
      </c>
      <c r="AX33" s="494">
        <v>-30.346900000000005</v>
      </c>
      <c r="AY33" s="233">
        <v>-0.15640837321252324</v>
      </c>
    </row>
    <row r="34" spans="1:51">
      <c r="A34" s="44" t="s">
        <v>2648</v>
      </c>
      <c r="B34" s="44">
        <v>58</v>
      </c>
      <c r="C34" s="44">
        <v>68</v>
      </c>
      <c r="D34" s="44">
        <v>-10</v>
      </c>
      <c r="E34" s="49">
        <v>-0.15</v>
      </c>
      <c r="H34" s="44"/>
      <c r="I34" s="44"/>
      <c r="J34" s="44"/>
      <c r="K34" s="89"/>
      <c r="L34" s="88"/>
      <c r="Y34" t="s">
        <v>2064</v>
      </c>
      <c r="Z34">
        <v>57</v>
      </c>
      <c r="AA34">
        <v>65</v>
      </c>
      <c r="AB34">
        <v>-8</v>
      </c>
      <c r="AC34" s="233">
        <v>-0.12</v>
      </c>
      <c r="AG34" t="s">
        <v>3328</v>
      </c>
      <c r="AH34" s="494">
        <v>46.6143</v>
      </c>
      <c r="AI34" s="494">
        <v>55.086399999999998</v>
      </c>
      <c r="AJ34" s="494">
        <v>-8.4720999999999975</v>
      </c>
      <c r="AK34" s="495">
        <v>-0.15379658137035634</v>
      </c>
      <c r="AU34" t="s">
        <v>2409</v>
      </c>
      <c r="AV34" s="494">
        <v>18.784800000000001</v>
      </c>
      <c r="AW34" s="494">
        <v>22.194800000000001</v>
      </c>
      <c r="AX34" s="494">
        <v>-3.41</v>
      </c>
      <c r="AY34" s="233">
        <v>-0.15363959125560941</v>
      </c>
    </row>
    <row r="35" spans="1:51">
      <c r="A35" s="44" t="s">
        <v>2039</v>
      </c>
      <c r="B35" s="44">
        <v>58</v>
      </c>
      <c r="C35" s="44">
        <v>68</v>
      </c>
      <c r="D35" s="44">
        <v>-10</v>
      </c>
      <c r="E35" s="49">
        <v>-0.15</v>
      </c>
      <c r="Y35" t="s">
        <v>2385</v>
      </c>
      <c r="Z35">
        <v>34</v>
      </c>
      <c r="AA35">
        <v>41</v>
      </c>
      <c r="AB35">
        <v>-8</v>
      </c>
      <c r="AC35" s="233">
        <v>-0.19</v>
      </c>
      <c r="AG35" t="s">
        <v>2303</v>
      </c>
      <c r="AH35" s="494">
        <v>48.573300000000003</v>
      </c>
      <c r="AI35" s="494">
        <v>54.680800000000005</v>
      </c>
      <c r="AJ35" s="494">
        <v>-6.1075000000000017</v>
      </c>
      <c r="AK35" s="495">
        <v>-0.11169368407192289</v>
      </c>
      <c r="AU35" t="s">
        <v>2321</v>
      </c>
      <c r="AV35" s="494">
        <v>33.984000000000002</v>
      </c>
      <c r="AW35" s="494">
        <v>39.941899999999997</v>
      </c>
      <c r="AX35" s="494">
        <v>-5.9578999999999951</v>
      </c>
      <c r="AY35" s="233">
        <v>-0.14916416094377072</v>
      </c>
    </row>
    <row r="36" spans="1:51">
      <c r="A36" s="44" t="s">
        <v>1868</v>
      </c>
      <c r="B36" s="44">
        <v>86</v>
      </c>
      <c r="C36" s="44">
        <v>96</v>
      </c>
      <c r="D36" s="44">
        <v>-10</v>
      </c>
      <c r="E36" s="49">
        <v>-0.1</v>
      </c>
      <c r="Y36" t="s">
        <v>2351</v>
      </c>
      <c r="Z36">
        <v>39</v>
      </c>
      <c r="AA36">
        <v>46</v>
      </c>
      <c r="AB36">
        <v>-7</v>
      </c>
      <c r="AC36" s="233">
        <v>-0.15</v>
      </c>
      <c r="AG36" t="s">
        <v>2481</v>
      </c>
      <c r="AH36" s="494">
        <v>2.6154000000000002</v>
      </c>
      <c r="AI36" s="494">
        <v>7.7804000000000002</v>
      </c>
      <c r="AJ36" s="494">
        <v>-5.165</v>
      </c>
      <c r="AK36" s="495">
        <v>-0.66384761708909568</v>
      </c>
      <c r="AU36" t="s">
        <v>2348</v>
      </c>
      <c r="AV36" s="494">
        <v>30.794699999999999</v>
      </c>
      <c r="AW36" s="494">
        <v>36.0916</v>
      </c>
      <c r="AX36" s="494">
        <v>-5.2969000000000008</v>
      </c>
      <c r="AY36" s="233">
        <v>-0.14676268162120829</v>
      </c>
    </row>
    <row r="37" spans="1:51">
      <c r="A37" s="44" t="s">
        <v>2000</v>
      </c>
      <c r="B37" s="44">
        <v>70</v>
      </c>
      <c r="C37" s="44">
        <v>80</v>
      </c>
      <c r="D37" s="44">
        <v>-10</v>
      </c>
      <c r="E37" s="49">
        <v>-0.12</v>
      </c>
      <c r="K37" s="43">
        <f>SUM(K4:K34)</f>
        <v>859.65199999999993</v>
      </c>
      <c r="Y37" t="s">
        <v>2483</v>
      </c>
      <c r="Z37">
        <v>9</v>
      </c>
      <c r="AA37">
        <v>15</v>
      </c>
      <c r="AB37">
        <v>-7</v>
      </c>
      <c r="AC37" s="233">
        <v>-0.43</v>
      </c>
      <c r="AG37" t="s">
        <v>2454</v>
      </c>
      <c r="AH37" s="494">
        <v>2.1894999999999998</v>
      </c>
      <c r="AI37" s="494">
        <v>6.4828000000000001</v>
      </c>
      <c r="AJ37" s="494">
        <v>-4.2933000000000003</v>
      </c>
      <c r="AK37" s="495">
        <v>-0.66226013450977972</v>
      </c>
      <c r="AU37" t="s">
        <v>2162</v>
      </c>
      <c r="AV37" s="494">
        <v>49.676000000000002</v>
      </c>
      <c r="AW37" s="494">
        <v>58.214799999999997</v>
      </c>
      <c r="AX37" s="494">
        <v>-8.5387999999999948</v>
      </c>
      <c r="AY37" s="233">
        <v>-0.14667747720510926</v>
      </c>
    </row>
    <row r="38" spans="1:51">
      <c r="A38" s="44" t="s">
        <v>950</v>
      </c>
      <c r="B38" s="44">
        <v>66</v>
      </c>
      <c r="C38" s="44">
        <v>75</v>
      </c>
      <c r="D38" s="44">
        <v>-9</v>
      </c>
      <c r="E38" s="49">
        <v>-0.12</v>
      </c>
      <c r="Y38" t="s">
        <v>2486</v>
      </c>
      <c r="Z38">
        <v>2</v>
      </c>
      <c r="AA38">
        <v>9</v>
      </c>
      <c r="AB38">
        <v>-7</v>
      </c>
      <c r="AC38" s="233">
        <v>-0.75</v>
      </c>
      <c r="AG38" t="s">
        <v>3552</v>
      </c>
      <c r="AH38" s="494">
        <v>19.590699999999998</v>
      </c>
      <c r="AI38" s="494">
        <v>23.770399999999999</v>
      </c>
      <c r="AJ38" s="494">
        <v>-4.1797000000000004</v>
      </c>
      <c r="AK38" s="495">
        <v>-0.17583633426446341</v>
      </c>
      <c r="AU38" t="s">
        <v>1882</v>
      </c>
      <c r="AV38" s="494">
        <v>78.724100000000007</v>
      </c>
      <c r="AW38" s="494">
        <v>91.323899999999995</v>
      </c>
      <c r="AX38" s="494">
        <v>-12.599799999999988</v>
      </c>
      <c r="AY38" s="233">
        <v>-0.13796826460543174</v>
      </c>
    </row>
    <row r="39" spans="1:51">
      <c r="A39" s="44" t="s">
        <v>1997</v>
      </c>
      <c r="B39" s="44">
        <v>68</v>
      </c>
      <c r="C39" s="44">
        <v>77</v>
      </c>
      <c r="D39" s="44">
        <v>-9</v>
      </c>
      <c r="E39" s="49">
        <v>-0.12</v>
      </c>
      <c r="Y39" t="s">
        <v>2651</v>
      </c>
      <c r="Z39">
        <v>49</v>
      </c>
      <c r="AA39">
        <v>55</v>
      </c>
      <c r="AB39">
        <v>-6</v>
      </c>
      <c r="AC39" s="233">
        <v>-0.11</v>
      </c>
      <c r="AG39" t="s">
        <v>2354</v>
      </c>
      <c r="AH39" s="494">
        <v>29.040299999999998</v>
      </c>
      <c r="AI39" s="494">
        <v>32.396999999999998</v>
      </c>
      <c r="AJ39" s="494">
        <v>-3.3567</v>
      </c>
      <c r="AK39" s="495">
        <v>-0.10361144550421336</v>
      </c>
      <c r="AU39" t="s">
        <v>1406</v>
      </c>
      <c r="AV39" s="494">
        <v>180.84549999999999</v>
      </c>
      <c r="AW39" s="494">
        <v>209.34739999999999</v>
      </c>
      <c r="AX39" s="494">
        <v>-28.501900000000006</v>
      </c>
      <c r="AY39" s="233">
        <v>-0.13614642455554743</v>
      </c>
    </row>
    <row r="40" spans="1:51">
      <c r="A40" s="44" t="s">
        <v>2201</v>
      </c>
      <c r="B40" s="44">
        <v>43</v>
      </c>
      <c r="C40" s="44">
        <v>51</v>
      </c>
      <c r="D40" s="44">
        <v>-8</v>
      </c>
      <c r="E40" s="49">
        <v>-0.16</v>
      </c>
      <c r="Y40" t="s">
        <v>2680</v>
      </c>
      <c r="Z40">
        <v>28</v>
      </c>
      <c r="AA40">
        <v>32</v>
      </c>
      <c r="AB40">
        <v>-4</v>
      </c>
      <c r="AC40" s="233">
        <v>-0.12</v>
      </c>
      <c r="AG40" t="s">
        <v>2483</v>
      </c>
      <c r="AH40" s="494">
        <v>6.5110000000000001</v>
      </c>
      <c r="AI40" s="494">
        <v>8.6438000000000006</v>
      </c>
      <c r="AJ40" s="494">
        <v>-2.1328000000000005</v>
      </c>
      <c r="AK40" s="495">
        <v>-0.24674333047965019</v>
      </c>
      <c r="AU40" t="s">
        <v>2398</v>
      </c>
      <c r="AV40" s="494">
        <v>23.317299999999999</v>
      </c>
      <c r="AW40" s="494">
        <v>26.9513</v>
      </c>
      <c r="AX40" s="494">
        <v>-3.6340000000000003</v>
      </c>
      <c r="AY40" s="233">
        <v>-0.13483579641798357</v>
      </c>
    </row>
    <row r="41" spans="1:51">
      <c r="A41" s="44" t="s">
        <v>1679</v>
      </c>
      <c r="B41" s="44">
        <v>65</v>
      </c>
      <c r="C41" s="44">
        <v>72</v>
      </c>
      <c r="D41" s="44">
        <v>-8</v>
      </c>
      <c r="E41" s="49">
        <v>-0.1</v>
      </c>
      <c r="Y41" t="s">
        <v>2359</v>
      </c>
      <c r="Z41">
        <v>29</v>
      </c>
      <c r="AA41">
        <v>32</v>
      </c>
      <c r="AB41">
        <v>-4</v>
      </c>
      <c r="AC41" s="233">
        <v>-0.11</v>
      </c>
      <c r="AG41" t="s">
        <v>2427</v>
      </c>
      <c r="AH41" s="494">
        <v>15.691000000000001</v>
      </c>
      <c r="AI41" s="494">
        <v>17.5047</v>
      </c>
      <c r="AJ41" s="494">
        <v>-1.813699999999999</v>
      </c>
      <c r="AK41" s="495">
        <v>-0.10361217273075225</v>
      </c>
      <c r="AU41" t="s">
        <v>977</v>
      </c>
      <c r="AV41" s="494">
        <v>358.2174</v>
      </c>
      <c r="AW41" s="494">
        <v>413.15320000000003</v>
      </c>
      <c r="AX41" s="494">
        <v>-54.935800000000029</v>
      </c>
      <c r="AY41" s="233">
        <v>-0.13296714148649949</v>
      </c>
    </row>
    <row r="42" spans="1:51">
      <c r="A42" s="44" t="s">
        <v>2319</v>
      </c>
      <c r="B42" s="44">
        <v>36</v>
      </c>
      <c r="C42" s="44">
        <v>43</v>
      </c>
      <c r="D42" s="44">
        <v>-7</v>
      </c>
      <c r="E42" s="49">
        <v>-0.17</v>
      </c>
      <c r="Y42" t="s">
        <v>2467</v>
      </c>
      <c r="Z42">
        <v>5</v>
      </c>
      <c r="AA42">
        <v>8</v>
      </c>
      <c r="AB42">
        <v>-3</v>
      </c>
      <c r="AC42" s="233">
        <v>-0.34</v>
      </c>
      <c r="AU42" t="s">
        <v>1660</v>
      </c>
      <c r="AV42" s="494">
        <v>123.0685</v>
      </c>
      <c r="AW42" s="494">
        <v>141.43190000000001</v>
      </c>
      <c r="AX42" s="494">
        <v>-18.363400000000013</v>
      </c>
      <c r="AY42" s="233">
        <v>-0.12983916641153806</v>
      </c>
    </row>
    <row r="43" spans="1:51">
      <c r="A43" s="44" t="s">
        <v>2338</v>
      </c>
      <c r="B43" s="44">
        <v>30</v>
      </c>
      <c r="C43" s="44">
        <v>37</v>
      </c>
      <c r="D43" s="44">
        <v>-7</v>
      </c>
      <c r="E43" s="49">
        <v>-0.18</v>
      </c>
      <c r="AU43" t="s">
        <v>2070</v>
      </c>
      <c r="AV43" s="494">
        <v>56.567300000000003</v>
      </c>
      <c r="AW43" s="494">
        <v>64.964799999999997</v>
      </c>
      <c r="AX43" s="494">
        <v>-8.3974999999999937</v>
      </c>
      <c r="AY43" s="233">
        <v>-0.12926230820382723</v>
      </c>
    </row>
    <row r="44" spans="1:51">
      <c r="A44" s="44" t="s">
        <v>2115</v>
      </c>
      <c r="B44" s="44">
        <v>50</v>
      </c>
      <c r="C44" s="44">
        <v>56</v>
      </c>
      <c r="D44" s="44">
        <v>-6</v>
      </c>
      <c r="E44" s="49">
        <v>-0.11</v>
      </c>
      <c r="AU44" t="s">
        <v>1855</v>
      </c>
      <c r="AV44" s="494">
        <v>85.289199999999994</v>
      </c>
      <c r="AW44" s="494">
        <v>97.671400000000006</v>
      </c>
      <c r="AX44" s="494">
        <v>-12.382200000000012</v>
      </c>
      <c r="AY44" s="233">
        <v>-0.12677406077930706</v>
      </c>
    </row>
    <row r="45" spans="1:51">
      <c r="A45" s="44" t="s">
        <v>2196</v>
      </c>
      <c r="B45" s="44">
        <v>52</v>
      </c>
      <c r="C45" s="44">
        <v>58</v>
      </c>
      <c r="D45" s="44">
        <v>-6</v>
      </c>
      <c r="E45" s="49">
        <v>-0.11</v>
      </c>
      <c r="AU45" t="s">
        <v>1482</v>
      </c>
      <c r="AV45" s="494">
        <v>167.37860000000001</v>
      </c>
      <c r="AW45" s="494">
        <v>191.67840000000001</v>
      </c>
      <c r="AX45" s="494">
        <v>-24.299800000000005</v>
      </c>
      <c r="AY45" s="233">
        <v>-0.12677380445579681</v>
      </c>
    </row>
    <row r="46" spans="1:51">
      <c r="A46" s="44" t="s">
        <v>2677</v>
      </c>
      <c r="B46" s="44">
        <v>28</v>
      </c>
      <c r="C46" s="44">
        <v>34</v>
      </c>
      <c r="D46" s="44">
        <v>-6</v>
      </c>
      <c r="E46" s="49">
        <v>-0.17</v>
      </c>
      <c r="AU46" t="s">
        <v>1776</v>
      </c>
      <c r="AV46" s="494">
        <v>96.854299999999995</v>
      </c>
      <c r="AW46" s="494">
        <v>110.6221</v>
      </c>
      <c r="AX46" s="494">
        <v>-13.767800000000008</v>
      </c>
      <c r="AY46" s="233">
        <v>-0.12445795189207227</v>
      </c>
    </row>
    <row r="47" spans="1:51">
      <c r="A47" s="44" t="s">
        <v>2335</v>
      </c>
      <c r="B47" s="44">
        <v>13</v>
      </c>
      <c r="C47" s="44">
        <v>18</v>
      </c>
      <c r="D47" s="44">
        <v>-5</v>
      </c>
      <c r="E47" s="49">
        <v>-0.28999999999999998</v>
      </c>
      <c r="AU47" t="s">
        <v>1240</v>
      </c>
      <c r="AV47" s="494">
        <v>236.93270000000001</v>
      </c>
      <c r="AW47" s="494">
        <v>270.30520000000001</v>
      </c>
      <c r="AX47" s="494">
        <v>-33.372500000000002</v>
      </c>
      <c r="AY47" s="233">
        <v>-0.12346229373315792</v>
      </c>
    </row>
    <row r="48" spans="1:51">
      <c r="A48" s="44" t="s">
        <v>2443</v>
      </c>
      <c r="B48" s="44">
        <v>16</v>
      </c>
      <c r="C48" s="44">
        <v>21</v>
      </c>
      <c r="D48" s="44">
        <v>-5</v>
      </c>
      <c r="E48" s="49">
        <v>-0.24</v>
      </c>
      <c r="AU48" t="s">
        <v>1873</v>
      </c>
      <c r="AV48" s="494">
        <v>82.289699999999996</v>
      </c>
      <c r="AW48" s="494">
        <v>93.846199999999996</v>
      </c>
      <c r="AX48" s="494">
        <v>-11.5565</v>
      </c>
      <c r="AY48" s="233">
        <v>-0.12314297222476776</v>
      </c>
    </row>
    <row r="49" spans="1:51">
      <c r="A49" s="44" t="s">
        <v>2147</v>
      </c>
      <c r="B49" s="44">
        <v>40</v>
      </c>
      <c r="C49" s="44">
        <v>45</v>
      </c>
      <c r="D49" s="44">
        <v>-5</v>
      </c>
      <c r="E49" s="49">
        <v>-0.11</v>
      </c>
      <c r="AU49" t="s">
        <v>1359</v>
      </c>
      <c r="AV49" s="494">
        <v>224.94480000000001</v>
      </c>
      <c r="AW49" s="494">
        <v>256.51409999999998</v>
      </c>
      <c r="AX49" s="494">
        <v>-31.56929999999997</v>
      </c>
      <c r="AY49" s="233">
        <v>-0.12307042770748264</v>
      </c>
    </row>
    <row r="50" spans="1:51">
      <c r="A50" s="44" t="s">
        <v>2361</v>
      </c>
      <c r="B50" s="44">
        <v>30</v>
      </c>
      <c r="C50" s="44">
        <v>35</v>
      </c>
      <c r="D50" s="44">
        <v>-5</v>
      </c>
      <c r="E50" s="49">
        <v>-0.13</v>
      </c>
      <c r="AU50" t="s">
        <v>3553</v>
      </c>
      <c r="AV50" s="494">
        <v>551.87639999999999</v>
      </c>
      <c r="AW50" s="494">
        <v>628.93190000000004</v>
      </c>
      <c r="AX50" s="494">
        <v>-77.055500000000052</v>
      </c>
      <c r="AY50" s="233">
        <v>-0.12251803414646331</v>
      </c>
    </row>
    <row r="51" spans="1:51">
      <c r="AU51" t="s">
        <v>2351</v>
      </c>
      <c r="AV51" s="494">
        <v>31.3079</v>
      </c>
      <c r="AW51" s="494">
        <v>35.511699999999998</v>
      </c>
      <c r="AX51" s="494">
        <v>-4.2037999999999975</v>
      </c>
      <c r="AY51" s="233">
        <v>-0.11837788672465688</v>
      </c>
    </row>
    <row r="52" spans="1:51">
      <c r="AU52" t="s">
        <v>1269</v>
      </c>
      <c r="AV52" s="494">
        <v>229.1181</v>
      </c>
      <c r="AW52" s="494">
        <v>259.81040000000002</v>
      </c>
      <c r="AX52" s="494">
        <v>-30.692300000000017</v>
      </c>
      <c r="AY52" s="233">
        <v>-0.11813345424201654</v>
      </c>
    </row>
    <row r="53" spans="1:51">
      <c r="AU53" t="s">
        <v>926</v>
      </c>
      <c r="AV53" s="494">
        <v>380.67939999999999</v>
      </c>
      <c r="AW53" s="494">
        <v>431.64499999999998</v>
      </c>
      <c r="AX53" s="494">
        <v>-50.965599999999995</v>
      </c>
      <c r="AY53" s="233">
        <v>-0.11807295346870691</v>
      </c>
    </row>
    <row r="54" spans="1:51">
      <c r="AU54" t="s">
        <v>2335</v>
      </c>
      <c r="AV54" s="494">
        <v>33.395099999999999</v>
      </c>
      <c r="AW54" s="494">
        <v>37.731200000000001</v>
      </c>
      <c r="AX54" s="494">
        <v>-4.3361000000000018</v>
      </c>
      <c r="AY54" s="233">
        <v>-0.11492080824357566</v>
      </c>
    </row>
    <row r="55" spans="1:51">
      <c r="AU55" t="s">
        <v>2263</v>
      </c>
      <c r="AV55" s="494">
        <v>42.931600000000003</v>
      </c>
      <c r="AW55" s="494">
        <v>48.505899999999997</v>
      </c>
      <c r="AX55" s="494">
        <v>-5.5742999999999938</v>
      </c>
      <c r="AY55" s="233">
        <v>-0.11492004065484805</v>
      </c>
    </row>
    <row r="56" spans="1:51">
      <c r="AU56" t="s">
        <v>459</v>
      </c>
      <c r="AV56" s="494">
        <v>976.59270000000004</v>
      </c>
      <c r="AW56" s="494">
        <v>1103.1573000000001</v>
      </c>
      <c r="AX56" s="494">
        <v>-126.56460000000004</v>
      </c>
      <c r="AY56" s="233">
        <v>-0.11472942254019443</v>
      </c>
    </row>
    <row r="57" spans="1:51">
      <c r="AU57" t="s">
        <v>778</v>
      </c>
      <c r="AV57" s="494">
        <v>475.99329999999998</v>
      </c>
      <c r="AW57" s="494">
        <v>537.26520000000005</v>
      </c>
      <c r="AX57" s="494">
        <v>-61.271900000000073</v>
      </c>
      <c r="AY57" s="233">
        <v>-0.11404405124322228</v>
      </c>
    </row>
    <row r="58" spans="1:51">
      <c r="AU58" t="s">
        <v>1621</v>
      </c>
      <c r="AV58" s="494">
        <v>139.0729</v>
      </c>
      <c r="AW58" s="494">
        <v>156.10329999999999</v>
      </c>
      <c r="AX58" s="494">
        <v>-17.030399999999986</v>
      </c>
      <c r="AY58" s="233">
        <v>-0.10909698898101441</v>
      </c>
    </row>
    <row r="59" spans="1:51">
      <c r="AU59" t="s">
        <v>3554</v>
      </c>
      <c r="AV59" s="494">
        <v>208.27809999999999</v>
      </c>
      <c r="AW59" s="494">
        <v>233.45070000000001</v>
      </c>
      <c r="AX59" s="494">
        <v>-25.172600000000017</v>
      </c>
      <c r="AY59" s="233">
        <v>-0.10782833377668183</v>
      </c>
    </row>
    <row r="60" spans="1:51">
      <c r="AU60" t="s">
        <v>731</v>
      </c>
      <c r="AV60" s="494">
        <v>551.6893</v>
      </c>
      <c r="AW60" s="494">
        <v>618.00350000000003</v>
      </c>
      <c r="AX60" s="494">
        <v>-66.314200000000028</v>
      </c>
      <c r="AY60" s="233">
        <v>-0.10730392303603463</v>
      </c>
    </row>
    <row r="61" spans="1:51">
      <c r="AU61" t="s">
        <v>622</v>
      </c>
      <c r="AV61" s="494">
        <v>708.26710000000003</v>
      </c>
      <c r="AW61" s="494">
        <v>791.23829999999998</v>
      </c>
      <c r="AX61" s="494">
        <v>-82.971199999999953</v>
      </c>
      <c r="AY61" s="233">
        <v>-0.10486246684469136</v>
      </c>
    </row>
    <row r="62" spans="1:51">
      <c r="AU62" t="s">
        <v>2045</v>
      </c>
      <c r="AV62" s="494">
        <v>60.706400000000002</v>
      </c>
      <c r="AW62" s="494">
        <v>67.781700000000001</v>
      </c>
      <c r="AX62" s="494">
        <v>-7.0752999999999986</v>
      </c>
      <c r="AY62" s="233">
        <v>-0.10438363157017305</v>
      </c>
    </row>
    <row r="63" spans="1:51">
      <c r="AU63" t="s">
        <v>2187</v>
      </c>
      <c r="AV63" s="494">
        <v>49.668900000000001</v>
      </c>
      <c r="AW63" s="494">
        <v>55.457700000000003</v>
      </c>
      <c r="AX63" s="494">
        <v>-5.7888000000000019</v>
      </c>
      <c r="AY63" s="233">
        <v>-0.1043822589108456</v>
      </c>
    </row>
    <row r="64" spans="1:51">
      <c r="AU64" t="s">
        <v>663</v>
      </c>
      <c r="AV64" s="494">
        <v>649.00660000000005</v>
      </c>
      <c r="AW64" s="494">
        <v>724.19600000000003</v>
      </c>
      <c r="AX64" s="494">
        <v>-75.189399999999978</v>
      </c>
      <c r="AY64" s="233">
        <v>-0.10382465520383981</v>
      </c>
    </row>
    <row r="65" spans="47:51">
      <c r="AU65" t="s">
        <v>1863</v>
      </c>
      <c r="AV65" s="494">
        <v>85.575100000000006</v>
      </c>
      <c r="AW65" s="494">
        <v>95.437799999999996</v>
      </c>
      <c r="AX65" s="494">
        <v>-9.8626999999999896</v>
      </c>
      <c r="AY65" s="233">
        <v>-0.10334165288805892</v>
      </c>
    </row>
    <row r="66" spans="47:51">
      <c r="AU66" t="s">
        <v>1517</v>
      </c>
      <c r="AV66" s="494">
        <v>166.35980000000001</v>
      </c>
      <c r="AW66" s="494">
        <v>185.46360000000001</v>
      </c>
      <c r="AX66" s="494">
        <v>-19.103800000000007</v>
      </c>
      <c r="AY66" s="233">
        <v>-0.10300565717477718</v>
      </c>
    </row>
    <row r="67" spans="47:51">
      <c r="AU67" t="s">
        <v>2595</v>
      </c>
      <c r="AV67" s="494">
        <v>132.97409999999999</v>
      </c>
      <c r="AW67" s="494">
        <v>148.2165</v>
      </c>
      <c r="AX67" s="494">
        <v>-15.242400000000004</v>
      </c>
      <c r="AY67" s="233">
        <v>-0.10283875277044056</v>
      </c>
    </row>
    <row r="68" spans="47:51">
      <c r="AU68" t="s">
        <v>1266</v>
      </c>
      <c r="AV68" s="494">
        <v>235.6645</v>
      </c>
      <c r="AW68" s="494">
        <v>262.64909999999998</v>
      </c>
      <c r="AX68" s="494">
        <v>-26.984599999999972</v>
      </c>
      <c r="AY68" s="233">
        <v>-0.10274011980242831</v>
      </c>
    </row>
    <row r="69" spans="47:51">
      <c r="AU69" t="s">
        <v>3555</v>
      </c>
      <c r="AV69" s="494">
        <v>312.73019999999997</v>
      </c>
      <c r="AW69" s="494">
        <v>347.98599999999999</v>
      </c>
      <c r="AX69" s="494">
        <v>-35.255800000000022</v>
      </c>
      <c r="AY69" s="233">
        <v>-0.10131384595932028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FB61-2053-4603-8AAC-D86277259C6C}">
  <dimension ref="A2:XFC24"/>
  <sheetViews>
    <sheetView workbookViewId="0">
      <selection activeCell="F8" sqref="F8"/>
    </sheetView>
  </sheetViews>
  <sheetFormatPr defaultColWidth="9.140625" defaultRowHeight="15"/>
  <cols>
    <col min="1" max="5" width="9.140625" style="48"/>
    <col min="6" max="6" width="34.42578125" style="48" customWidth="1"/>
    <col min="7" max="16384" width="9.140625" style="48"/>
  </cols>
  <sheetData>
    <row r="2" spans="1:16383" ht="66.2">
      <c r="A2" s="163" t="s">
        <v>1</v>
      </c>
      <c r="B2" s="163" t="s">
        <v>2</v>
      </c>
      <c r="C2" s="164" t="s">
        <v>3556</v>
      </c>
      <c r="D2" s="164" t="s">
        <v>3557</v>
      </c>
      <c r="E2" s="164" t="s">
        <v>11</v>
      </c>
      <c r="F2" s="163" t="s">
        <v>6</v>
      </c>
      <c r="G2" s="163" t="s">
        <v>7</v>
      </c>
      <c r="H2" s="163" t="s">
        <v>10</v>
      </c>
      <c r="I2" s="165" t="s">
        <v>9</v>
      </c>
      <c r="J2" s="163" t="s">
        <v>5</v>
      </c>
      <c r="K2" s="163" t="s">
        <v>3558</v>
      </c>
      <c r="L2" s="163" t="s">
        <v>3559</v>
      </c>
      <c r="M2" s="166" t="s">
        <v>22</v>
      </c>
      <c r="N2" s="166" t="s">
        <v>23</v>
      </c>
      <c r="O2" s="167" t="s">
        <v>24</v>
      </c>
      <c r="P2" s="168" t="s">
        <v>25</v>
      </c>
      <c r="Q2" s="169" t="s">
        <v>31</v>
      </c>
      <c r="R2" s="168" t="s">
        <v>32</v>
      </c>
      <c r="S2" s="170" t="s">
        <v>33</v>
      </c>
      <c r="T2" s="171" t="s">
        <v>34</v>
      </c>
      <c r="U2" s="171" t="s">
        <v>35</v>
      </c>
      <c r="V2" s="172" t="s">
        <v>36</v>
      </c>
      <c r="W2" s="168" t="s">
        <v>37</v>
      </c>
      <c r="X2" s="173" t="s">
        <v>21</v>
      </c>
      <c r="Y2" s="174" t="s">
        <v>13</v>
      </c>
      <c r="Z2" s="175" t="s">
        <v>38</v>
      </c>
      <c r="AA2" s="174" t="s">
        <v>14</v>
      </c>
      <c r="AB2" s="175" t="s">
        <v>39</v>
      </c>
      <c r="AC2" s="175" t="s">
        <v>40</v>
      </c>
      <c r="AD2" s="175" t="s">
        <v>41</v>
      </c>
      <c r="AE2" s="176" t="s">
        <v>42</v>
      </c>
      <c r="AF2" s="176" t="s">
        <v>44</v>
      </c>
      <c r="AG2" s="177" t="s">
        <v>45</v>
      </c>
      <c r="AH2" s="177" t="s">
        <v>46</v>
      </c>
      <c r="AI2" s="178" t="s">
        <v>47</v>
      </c>
      <c r="AJ2" s="179" t="s">
        <v>48</v>
      </c>
      <c r="AK2" s="180" t="s">
        <v>49</v>
      </c>
      <c r="AL2" s="181" t="s">
        <v>50</v>
      </c>
      <c r="AM2" s="182" t="s">
        <v>51</v>
      </c>
      <c r="AN2" s="183" t="s">
        <v>52</v>
      </c>
      <c r="AO2" s="184" t="s">
        <v>53</v>
      </c>
      <c r="AP2" s="185" t="s">
        <v>54</v>
      </c>
      <c r="AQ2" s="177" t="s">
        <v>55</v>
      </c>
      <c r="AR2" s="177" t="s">
        <v>56</v>
      </c>
      <c r="AS2" s="186" t="s">
        <v>57</v>
      </c>
      <c r="AT2" s="186" t="s">
        <v>58</v>
      </c>
      <c r="AU2" s="186" t="s">
        <v>59</v>
      </c>
      <c r="AV2" s="186" t="s">
        <v>60</v>
      </c>
      <c r="AW2" s="187" t="s">
        <v>62</v>
      </c>
      <c r="AX2" s="176" t="s">
        <v>63</v>
      </c>
      <c r="AY2" s="176" t="s">
        <v>64</v>
      </c>
      <c r="AZ2" s="188" t="s">
        <v>65</v>
      </c>
      <c r="BA2" s="188"/>
      <c r="BB2" s="189"/>
      <c r="BC2" s="189"/>
      <c r="BD2" s="189"/>
      <c r="BE2" s="189"/>
      <c r="BF2" s="189"/>
      <c r="BG2" s="189"/>
      <c r="BH2" s="189"/>
      <c r="BI2" s="189"/>
      <c r="BJ2" s="189"/>
      <c r="BK2" s="189"/>
      <c r="BL2" s="189"/>
      <c r="BM2" s="189"/>
      <c r="BN2" s="189"/>
      <c r="BO2" s="189"/>
      <c r="BP2" s="189"/>
      <c r="BQ2" s="189"/>
      <c r="BR2" s="189"/>
      <c r="BS2" s="189"/>
      <c r="BT2" s="189"/>
      <c r="BU2" s="189"/>
      <c r="BV2" s="189"/>
      <c r="BW2" s="189" t="s">
        <v>69</v>
      </c>
      <c r="BX2" s="190"/>
      <c r="BY2" s="191" t="s">
        <v>70</v>
      </c>
      <c r="BZ2" s="190"/>
    </row>
    <row r="3" spans="1:16383">
      <c r="A3" s="143">
        <v>19963</v>
      </c>
      <c r="B3" s="143" t="s">
        <v>3560</v>
      </c>
      <c r="C3" s="144"/>
      <c r="D3" s="100">
        <f t="shared" ref="D3:D8" si="0">COUNTIF(AG3:AU3,"*OK*")</f>
        <v>0</v>
      </c>
      <c r="E3" s="100"/>
      <c r="F3" s="145" t="s">
        <v>3433</v>
      </c>
      <c r="G3" s="145"/>
      <c r="H3" s="145"/>
      <c r="I3" s="146" t="s">
        <v>562</v>
      </c>
      <c r="J3" s="145" t="s">
        <v>73</v>
      </c>
      <c r="K3" s="145"/>
      <c r="L3" s="145"/>
      <c r="M3" s="144">
        <v>103.2</v>
      </c>
      <c r="N3" s="144">
        <v>81.96</v>
      </c>
      <c r="O3" s="144">
        <v>76.84</v>
      </c>
      <c r="P3" s="147">
        <v>75.78</v>
      </c>
      <c r="Q3" s="148"/>
      <c r="R3" s="149">
        <v>300</v>
      </c>
      <c r="S3" s="150" t="s">
        <v>3561</v>
      </c>
      <c r="T3" s="151" t="s">
        <v>1066</v>
      </c>
      <c r="U3" s="152" t="s">
        <v>101</v>
      </c>
      <c r="V3" s="137" t="s">
        <v>3562</v>
      </c>
      <c r="W3" s="149" t="s">
        <v>101</v>
      </c>
      <c r="X3" s="153" t="s">
        <v>209</v>
      </c>
      <c r="Y3" s="154" t="s">
        <v>787</v>
      </c>
      <c r="Z3" s="100"/>
      <c r="AA3" s="154"/>
      <c r="AB3" s="100"/>
      <c r="AC3" s="100"/>
      <c r="AD3" s="100"/>
      <c r="AE3" s="100"/>
      <c r="AF3" s="136" t="s">
        <v>88</v>
      </c>
      <c r="AG3" s="136" t="s">
        <v>103</v>
      </c>
      <c r="AH3" s="136" t="s">
        <v>103</v>
      </c>
      <c r="AI3" s="136" t="s">
        <v>103</v>
      </c>
      <c r="AJ3" s="136" t="s">
        <v>103</v>
      </c>
      <c r="AK3" s="136" t="s">
        <v>103</v>
      </c>
      <c r="AL3" s="136" t="s">
        <v>103</v>
      </c>
      <c r="AM3" s="136" t="s">
        <v>103</v>
      </c>
      <c r="AN3" s="136" t="s">
        <v>103</v>
      </c>
      <c r="AO3" s="136" t="s">
        <v>103</v>
      </c>
      <c r="AP3" s="136" t="s">
        <v>103</v>
      </c>
      <c r="AQ3" s="136"/>
      <c r="AR3" s="136" t="s">
        <v>103</v>
      </c>
      <c r="AS3" s="136" t="s">
        <v>103</v>
      </c>
      <c r="AT3" s="136" t="s">
        <v>103</v>
      </c>
      <c r="AU3" s="136"/>
      <c r="AV3" s="136" t="s">
        <v>103</v>
      </c>
      <c r="AW3" s="136" t="s">
        <v>103</v>
      </c>
      <c r="AX3" s="100">
        <f t="shared" ref="AX3:AX14" si="1">(COUNTIF(AG3:AI3,"*OK*")*3) + (COUNTIF(AJ3:AL3,"*OK*")*2) + COUNTIF(AM3:AO3,"*OK*")+COUNTIF(AW3:AW3,"SI")*0.5</f>
        <v>0</v>
      </c>
      <c r="AY3" s="100" t="str">
        <f t="shared" ref="AY3:AY14" si="2">IF(AX3&lt;0.6,"Demasiado Riesgo",IF(AX3&lt;=5,"Riesgo Medio",IF(AX3&lt;=11,"Riesgo Bajo","Cliente Blindado")))</f>
        <v>Demasiado Riesgo</v>
      </c>
      <c r="AZ3" s="100"/>
      <c r="BA3" s="100"/>
      <c r="BB3" s="100"/>
      <c r="BC3" s="100"/>
      <c r="BD3" s="100"/>
      <c r="BE3" s="100"/>
      <c r="BF3" s="100"/>
      <c r="BG3" s="100"/>
      <c r="BH3" s="100"/>
      <c r="BI3" s="100"/>
      <c r="BJ3" s="100"/>
      <c r="BK3" s="100"/>
      <c r="BL3" s="100"/>
      <c r="BM3" s="100"/>
      <c r="BN3" s="100"/>
      <c r="BO3" s="100"/>
      <c r="BP3" s="100"/>
      <c r="BQ3" s="100"/>
      <c r="BR3" s="100"/>
      <c r="BS3" s="100"/>
      <c r="BT3" s="100"/>
      <c r="BU3" s="100"/>
      <c r="BV3" s="100"/>
      <c r="BW3" s="100">
        <f t="shared" ref="BW3:BW13" si="3">COUNTIF(AF3:AT3,"*OK*")</f>
        <v>0</v>
      </c>
      <c r="BX3" s="100"/>
      <c r="BY3" s="100">
        <f t="shared" ref="BY3:BY13" si="4">COUNTIF(AF3:AT3,"*OP*")</f>
        <v>0</v>
      </c>
      <c r="BZ3" s="100"/>
    </row>
    <row r="4" spans="1:16383">
      <c r="A4" s="143">
        <v>19963</v>
      </c>
      <c r="B4" s="143" t="s">
        <v>3560</v>
      </c>
      <c r="C4" s="144"/>
      <c r="D4" s="100">
        <f t="shared" si="0"/>
        <v>0</v>
      </c>
      <c r="E4" s="100"/>
      <c r="F4" s="145" t="s">
        <v>3563</v>
      </c>
      <c r="G4" s="145" t="s">
        <v>3564</v>
      </c>
      <c r="H4" s="145"/>
      <c r="I4" s="155" t="s">
        <v>76</v>
      </c>
      <c r="J4" s="145" t="s">
        <v>73</v>
      </c>
      <c r="K4" s="145"/>
      <c r="L4" s="145"/>
      <c r="M4" s="144">
        <v>674.77</v>
      </c>
      <c r="N4" s="144">
        <v>682.08</v>
      </c>
      <c r="O4" s="144">
        <v>652.53</v>
      </c>
      <c r="P4" s="147">
        <v>575.62</v>
      </c>
      <c r="Q4" s="148"/>
      <c r="R4" s="149">
        <v>300</v>
      </c>
      <c r="S4" s="150" t="s">
        <v>3565</v>
      </c>
      <c r="T4" s="152" t="s">
        <v>1066</v>
      </c>
      <c r="U4" s="152" t="s">
        <v>101</v>
      </c>
      <c r="V4" s="137" t="s">
        <v>3562</v>
      </c>
      <c r="W4" s="149" t="s">
        <v>101</v>
      </c>
      <c r="X4" s="153" t="s">
        <v>82</v>
      </c>
      <c r="Y4" s="154" t="s">
        <v>787</v>
      </c>
      <c r="Z4" s="100"/>
      <c r="AA4" s="154"/>
      <c r="AB4" s="100"/>
      <c r="AC4" s="100"/>
      <c r="AD4" s="100"/>
      <c r="AE4" s="100"/>
      <c r="AF4" s="137" t="s">
        <v>88</v>
      </c>
      <c r="AG4" s="136" t="s">
        <v>103</v>
      </c>
      <c r="AH4" s="136" t="s">
        <v>103</v>
      </c>
      <c r="AI4" s="136" t="s">
        <v>103</v>
      </c>
      <c r="AJ4" s="136" t="s">
        <v>103</v>
      </c>
      <c r="AK4" s="136" t="s">
        <v>103</v>
      </c>
      <c r="AL4" s="136" t="s">
        <v>103</v>
      </c>
      <c r="AM4" s="136" t="s">
        <v>103</v>
      </c>
      <c r="AN4" s="136" t="s">
        <v>103</v>
      </c>
      <c r="AO4" s="136" t="s">
        <v>103</v>
      </c>
      <c r="AP4" s="136" t="s">
        <v>103</v>
      </c>
      <c r="AQ4" s="136"/>
      <c r="AR4" s="136" t="s">
        <v>103</v>
      </c>
      <c r="AS4" s="136" t="s">
        <v>103</v>
      </c>
      <c r="AT4" s="136" t="s">
        <v>103</v>
      </c>
      <c r="AU4" s="136"/>
      <c r="AV4" s="136" t="s">
        <v>103</v>
      </c>
      <c r="AW4" s="137" t="s">
        <v>103</v>
      </c>
      <c r="AX4" s="100">
        <f t="shared" si="1"/>
        <v>0</v>
      </c>
      <c r="AY4" s="100" t="str">
        <f t="shared" si="2"/>
        <v>Demasiado Riesgo</v>
      </c>
      <c r="AZ4" s="100"/>
      <c r="BA4" s="100"/>
      <c r="BB4" s="100"/>
      <c r="BC4" s="100"/>
      <c r="BD4" s="100"/>
      <c r="BE4" s="100"/>
      <c r="BF4" s="100"/>
      <c r="BG4" s="100"/>
      <c r="BH4" s="100"/>
      <c r="BI4" s="100"/>
      <c r="BJ4" s="100"/>
      <c r="BK4" s="100"/>
      <c r="BL4" s="100"/>
      <c r="BM4" s="100"/>
      <c r="BN4" s="100"/>
      <c r="BO4" s="100"/>
      <c r="BP4" s="100"/>
      <c r="BQ4" s="100"/>
      <c r="BR4" s="100"/>
      <c r="BS4" s="100"/>
      <c r="BT4" s="100"/>
      <c r="BU4" s="100"/>
      <c r="BV4" s="100"/>
      <c r="BW4" s="100">
        <f t="shared" si="3"/>
        <v>0</v>
      </c>
      <c r="BX4" s="100"/>
      <c r="BY4" s="100">
        <f t="shared" si="4"/>
        <v>0</v>
      </c>
      <c r="BZ4" s="100"/>
    </row>
    <row r="5" spans="1:16383">
      <c r="A5" s="143"/>
      <c r="B5" s="143"/>
      <c r="C5" s="144"/>
      <c r="D5" s="100">
        <f t="shared" si="0"/>
        <v>0</v>
      </c>
      <c r="E5" s="100"/>
      <c r="F5" s="145" t="s">
        <v>3566</v>
      </c>
      <c r="G5" s="145"/>
      <c r="H5" s="145"/>
      <c r="I5" s="146" t="s">
        <v>562</v>
      </c>
      <c r="J5" s="145" t="s">
        <v>73</v>
      </c>
      <c r="K5" s="145"/>
      <c r="L5" s="145"/>
      <c r="M5" s="144">
        <v>340.86</v>
      </c>
      <c r="N5" s="144">
        <v>378.6</v>
      </c>
      <c r="O5" s="144">
        <v>360.8</v>
      </c>
      <c r="P5" s="147">
        <v>0</v>
      </c>
      <c r="Q5" s="148"/>
      <c r="R5" s="149">
        <v>5000</v>
      </c>
      <c r="S5" s="150"/>
      <c r="T5" s="151" t="s">
        <v>444</v>
      </c>
      <c r="U5" s="152" t="s">
        <v>728</v>
      </c>
      <c r="V5" s="137" t="s">
        <v>3567</v>
      </c>
      <c r="W5" s="149" t="s">
        <v>103</v>
      </c>
      <c r="X5" s="153" t="s">
        <v>3568</v>
      </c>
      <c r="Y5" s="154" t="s">
        <v>787</v>
      </c>
      <c r="Z5" s="100"/>
      <c r="AA5" s="154"/>
      <c r="AB5" s="100"/>
      <c r="AC5" s="100"/>
      <c r="AD5" s="100"/>
      <c r="AE5" s="100"/>
      <c r="AF5" s="136" t="s">
        <v>103</v>
      </c>
      <c r="AG5" s="136" t="s">
        <v>103</v>
      </c>
      <c r="AH5" s="136" t="s">
        <v>103</v>
      </c>
      <c r="AI5" s="136" t="s">
        <v>103</v>
      </c>
      <c r="AJ5" s="136" t="s">
        <v>103</v>
      </c>
      <c r="AK5" s="136" t="s">
        <v>103</v>
      </c>
      <c r="AL5" s="136" t="s">
        <v>103</v>
      </c>
      <c r="AM5" s="136" t="s">
        <v>103</v>
      </c>
      <c r="AN5" s="136" t="s">
        <v>103</v>
      </c>
      <c r="AO5" s="136" t="s">
        <v>103</v>
      </c>
      <c r="AP5" s="136" t="s">
        <v>103</v>
      </c>
      <c r="AQ5" s="136"/>
      <c r="AR5" s="136" t="s">
        <v>103</v>
      </c>
      <c r="AS5" s="136" t="s">
        <v>103</v>
      </c>
      <c r="AT5" s="136" t="s">
        <v>103</v>
      </c>
      <c r="AU5" s="136"/>
      <c r="AV5" s="136" t="s">
        <v>103</v>
      </c>
      <c r="AW5" s="136" t="s">
        <v>103</v>
      </c>
      <c r="AX5" s="100">
        <f t="shared" si="1"/>
        <v>0</v>
      </c>
      <c r="AY5" s="100" t="str">
        <f t="shared" si="2"/>
        <v>Demasiado Riesgo</v>
      </c>
      <c r="AZ5" s="100"/>
      <c r="BA5" s="100"/>
      <c r="BB5" s="100"/>
      <c r="BC5" s="100"/>
      <c r="BD5" s="100"/>
      <c r="BE5" s="100"/>
      <c r="BF5" s="100"/>
      <c r="BG5" s="100"/>
      <c r="BH5" s="100"/>
      <c r="BI5" s="100"/>
      <c r="BJ5" s="100"/>
      <c r="BK5" s="100"/>
      <c r="BL5" s="100"/>
      <c r="BM5" s="100"/>
      <c r="BN5" s="100"/>
      <c r="BO5" s="100"/>
      <c r="BP5" s="100"/>
      <c r="BQ5" s="100"/>
      <c r="BR5" s="100"/>
      <c r="BS5" s="100"/>
      <c r="BT5" s="100"/>
      <c r="BU5" s="100"/>
      <c r="BV5" s="100"/>
      <c r="BW5" s="100">
        <f t="shared" si="3"/>
        <v>0</v>
      </c>
      <c r="BX5" s="100"/>
      <c r="BY5" s="100">
        <f t="shared" si="4"/>
        <v>0</v>
      </c>
      <c r="BZ5" s="100"/>
    </row>
    <row r="6" spans="1:16383">
      <c r="A6" s="143"/>
      <c r="B6" s="143"/>
      <c r="C6" s="144"/>
      <c r="D6" s="100">
        <f t="shared" si="0"/>
        <v>0</v>
      </c>
      <c r="E6" s="100"/>
      <c r="F6" s="145" t="s">
        <v>2719</v>
      </c>
      <c r="G6" s="145" t="s">
        <v>3564</v>
      </c>
      <c r="H6" s="145"/>
      <c r="I6" s="156" t="s">
        <v>76</v>
      </c>
      <c r="J6" s="145" t="s">
        <v>73</v>
      </c>
      <c r="K6" s="145"/>
      <c r="L6" s="145"/>
      <c r="M6" s="144">
        <v>55.57</v>
      </c>
      <c r="N6" s="144">
        <v>54.2</v>
      </c>
      <c r="O6" s="144">
        <v>55.43</v>
      </c>
      <c r="P6" s="147">
        <v>0</v>
      </c>
      <c r="Q6" s="148"/>
      <c r="R6" s="149">
        <v>100</v>
      </c>
      <c r="S6" s="150"/>
      <c r="T6" s="151" t="s">
        <v>1915</v>
      </c>
      <c r="U6" s="152" t="s">
        <v>101</v>
      </c>
      <c r="V6" s="137" t="s">
        <v>3569</v>
      </c>
      <c r="W6" s="149" t="s">
        <v>103</v>
      </c>
      <c r="X6" s="153" t="s">
        <v>209</v>
      </c>
      <c r="Y6" s="154" t="s">
        <v>787</v>
      </c>
      <c r="Z6" s="100"/>
      <c r="AA6" s="154"/>
      <c r="AB6" s="100"/>
      <c r="AC6" s="100"/>
      <c r="AD6" s="100"/>
      <c r="AE6" s="100"/>
      <c r="AF6" s="157" t="s">
        <v>103</v>
      </c>
      <c r="AG6" s="136" t="s">
        <v>103</v>
      </c>
      <c r="AH6" s="136" t="s">
        <v>103</v>
      </c>
      <c r="AI6" s="136" t="s">
        <v>103</v>
      </c>
      <c r="AJ6" s="136" t="s">
        <v>103</v>
      </c>
      <c r="AK6" s="136" t="s">
        <v>103</v>
      </c>
      <c r="AL6" s="136" t="s">
        <v>103</v>
      </c>
      <c r="AM6" s="136" t="s">
        <v>103</v>
      </c>
      <c r="AN6" s="136" t="s">
        <v>103</v>
      </c>
      <c r="AO6" s="136" t="s">
        <v>103</v>
      </c>
      <c r="AP6" s="136" t="s">
        <v>103</v>
      </c>
      <c r="AQ6" s="136"/>
      <c r="AR6" s="136" t="s">
        <v>103</v>
      </c>
      <c r="AS6" s="136" t="s">
        <v>103</v>
      </c>
      <c r="AT6" s="136" t="s">
        <v>103</v>
      </c>
      <c r="AU6" s="136"/>
      <c r="AV6" s="136" t="s">
        <v>103</v>
      </c>
      <c r="AW6" s="136" t="s">
        <v>103</v>
      </c>
      <c r="AX6" s="100">
        <f t="shared" si="1"/>
        <v>0</v>
      </c>
      <c r="AY6" s="100" t="str">
        <f t="shared" si="2"/>
        <v>Demasiado Riesgo</v>
      </c>
      <c r="AZ6" s="100"/>
      <c r="BA6" s="100"/>
      <c r="BB6" s="100"/>
      <c r="BC6" s="100"/>
      <c r="BD6" s="100"/>
      <c r="BE6" s="100"/>
      <c r="BF6" s="100"/>
      <c r="BG6" s="100"/>
      <c r="BH6" s="100"/>
      <c r="BI6" s="100"/>
      <c r="BJ6" s="100"/>
      <c r="BK6" s="100"/>
      <c r="BL6" s="100"/>
      <c r="BM6" s="100"/>
      <c r="BN6" s="100"/>
      <c r="BO6" s="100"/>
      <c r="BP6" s="100"/>
      <c r="BQ6" s="100"/>
      <c r="BR6" s="100"/>
      <c r="BS6" s="100"/>
      <c r="BT6" s="100"/>
      <c r="BU6" s="100"/>
      <c r="BV6" s="100"/>
      <c r="BW6" s="100">
        <f t="shared" si="3"/>
        <v>0</v>
      </c>
      <c r="BX6" s="100"/>
      <c r="BY6" s="100">
        <f t="shared" si="4"/>
        <v>0</v>
      </c>
      <c r="BZ6" s="100"/>
    </row>
    <row r="7" spans="1:16383">
      <c r="A7" s="143"/>
      <c r="B7" s="143"/>
      <c r="C7" s="144"/>
      <c r="D7" s="100">
        <f t="shared" si="0"/>
        <v>0</v>
      </c>
      <c r="E7" s="100"/>
      <c r="F7" s="145" t="s">
        <v>3570</v>
      </c>
      <c r="G7" s="145" t="s">
        <v>3564</v>
      </c>
      <c r="H7" s="145"/>
      <c r="I7" s="146" t="s">
        <v>562</v>
      </c>
      <c r="J7" s="145" t="s">
        <v>73</v>
      </c>
      <c r="K7" s="145"/>
      <c r="L7" s="145"/>
      <c r="M7" s="144"/>
      <c r="N7" s="144">
        <v>44.94</v>
      </c>
      <c r="O7" s="144">
        <v>44.09</v>
      </c>
      <c r="P7" s="147">
        <v>44.21</v>
      </c>
      <c r="Q7" s="148"/>
      <c r="R7" s="149">
        <v>50</v>
      </c>
      <c r="S7" s="150"/>
      <c r="T7" s="152" t="s">
        <v>1915</v>
      </c>
      <c r="U7" s="152" t="s">
        <v>130</v>
      </c>
      <c r="V7" s="137" t="s">
        <v>3571</v>
      </c>
      <c r="W7" s="149" t="s">
        <v>103</v>
      </c>
      <c r="X7" s="153" t="s">
        <v>82</v>
      </c>
      <c r="Y7" s="154" t="s">
        <v>787</v>
      </c>
      <c r="Z7" s="100"/>
      <c r="AA7" s="154"/>
      <c r="AB7" s="100"/>
      <c r="AC7" s="100"/>
      <c r="AD7" s="100"/>
      <c r="AE7" s="100"/>
      <c r="AF7" s="157" t="s">
        <v>103</v>
      </c>
      <c r="AG7" s="136" t="s">
        <v>103</v>
      </c>
      <c r="AH7" s="136" t="s">
        <v>103</v>
      </c>
      <c r="AI7" s="136" t="s">
        <v>103</v>
      </c>
      <c r="AJ7" s="136" t="s">
        <v>103</v>
      </c>
      <c r="AK7" s="136" t="s">
        <v>103</v>
      </c>
      <c r="AL7" s="136" t="s">
        <v>103</v>
      </c>
      <c r="AM7" s="136" t="s">
        <v>103</v>
      </c>
      <c r="AN7" s="136" t="s">
        <v>103</v>
      </c>
      <c r="AO7" s="136" t="s">
        <v>103</v>
      </c>
      <c r="AP7" s="136" t="s">
        <v>103</v>
      </c>
      <c r="AQ7" s="136"/>
      <c r="AR7" s="136" t="s">
        <v>103</v>
      </c>
      <c r="AS7" s="136" t="s">
        <v>103</v>
      </c>
      <c r="AT7" s="136" t="s">
        <v>103</v>
      </c>
      <c r="AU7" s="136"/>
      <c r="AV7" s="136" t="s">
        <v>103</v>
      </c>
      <c r="AW7" s="136" t="s">
        <v>103</v>
      </c>
      <c r="AX7" s="100">
        <f t="shared" si="1"/>
        <v>0</v>
      </c>
      <c r="AY7" s="100" t="str">
        <f t="shared" si="2"/>
        <v>Demasiado Riesgo</v>
      </c>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f t="shared" si="3"/>
        <v>0</v>
      </c>
      <c r="BX7" s="100"/>
      <c r="BY7" s="100">
        <f t="shared" si="4"/>
        <v>0</v>
      </c>
      <c r="BZ7" s="100"/>
    </row>
    <row r="8" spans="1:16383">
      <c r="A8" s="143">
        <v>25707</v>
      </c>
      <c r="B8" s="143" t="s">
        <v>3572</v>
      </c>
      <c r="C8" s="144"/>
      <c r="D8" s="100">
        <f t="shared" si="0"/>
        <v>0</v>
      </c>
      <c r="E8" s="100"/>
      <c r="F8" s="145" t="s">
        <v>3573</v>
      </c>
      <c r="G8" s="145"/>
      <c r="H8" s="145"/>
      <c r="I8" s="146" t="s">
        <v>562</v>
      </c>
      <c r="J8" s="145" t="s">
        <v>73</v>
      </c>
      <c r="K8" s="145"/>
      <c r="L8" s="145"/>
      <c r="M8" s="144">
        <v>342.12</v>
      </c>
      <c r="N8" s="144">
        <v>346.13</v>
      </c>
      <c r="O8" s="144"/>
      <c r="P8" s="158">
        <v>0</v>
      </c>
      <c r="Q8" s="148"/>
      <c r="R8" s="149">
        <v>200</v>
      </c>
      <c r="S8" s="150" t="s">
        <v>3574</v>
      </c>
      <c r="T8" s="151" t="s">
        <v>3574</v>
      </c>
      <c r="U8" s="152" t="s">
        <v>143</v>
      </c>
      <c r="V8" s="137" t="s">
        <v>3575</v>
      </c>
      <c r="W8" s="149" t="s">
        <v>662</v>
      </c>
      <c r="X8" s="153" t="s">
        <v>82</v>
      </c>
      <c r="Y8" s="154" t="s">
        <v>787</v>
      </c>
      <c r="Z8" s="100"/>
      <c r="AA8" s="154"/>
      <c r="AB8" s="100"/>
      <c r="AC8" s="100"/>
      <c r="AD8" s="100"/>
      <c r="AE8" s="100"/>
      <c r="AF8" s="137" t="s">
        <v>103</v>
      </c>
      <c r="AG8" s="136" t="s">
        <v>103</v>
      </c>
      <c r="AH8" s="136" t="s">
        <v>103</v>
      </c>
      <c r="AI8" s="136" t="s">
        <v>103</v>
      </c>
      <c r="AJ8" s="136" t="s">
        <v>103</v>
      </c>
      <c r="AK8" s="136" t="s">
        <v>103</v>
      </c>
      <c r="AL8" s="136" t="s">
        <v>103</v>
      </c>
      <c r="AM8" s="136" t="s">
        <v>103</v>
      </c>
      <c r="AN8" s="136" t="s">
        <v>103</v>
      </c>
      <c r="AO8" s="136" t="s">
        <v>103</v>
      </c>
      <c r="AP8" s="136" t="s">
        <v>103</v>
      </c>
      <c r="AQ8" s="136"/>
      <c r="AR8" s="136" t="s">
        <v>103</v>
      </c>
      <c r="AS8" s="136" t="s">
        <v>103</v>
      </c>
      <c r="AT8" s="136" t="s">
        <v>103</v>
      </c>
      <c r="AU8" s="136"/>
      <c r="AV8" s="136" t="s">
        <v>103</v>
      </c>
      <c r="AW8" s="137" t="s">
        <v>103</v>
      </c>
      <c r="AX8" s="100">
        <f t="shared" si="1"/>
        <v>0</v>
      </c>
      <c r="AY8" s="100" t="str">
        <f t="shared" si="2"/>
        <v>Demasiado Riesgo</v>
      </c>
      <c r="AZ8" s="100"/>
      <c r="BA8" s="100"/>
      <c r="BB8" s="100"/>
      <c r="BC8" s="100"/>
      <c r="BD8" s="100"/>
      <c r="BE8" s="100"/>
      <c r="BF8" s="100"/>
      <c r="BG8" s="100"/>
      <c r="BH8" s="100"/>
      <c r="BI8" s="100"/>
      <c r="BJ8" s="100"/>
      <c r="BK8" s="100"/>
      <c r="BL8" s="100"/>
      <c r="BM8" s="100"/>
      <c r="BN8" s="100"/>
      <c r="BO8" s="100"/>
      <c r="BP8" s="100"/>
      <c r="BQ8" s="100"/>
      <c r="BR8" s="100"/>
      <c r="BS8" s="100"/>
      <c r="BT8" s="100"/>
      <c r="BU8" s="100"/>
      <c r="BV8" s="100"/>
      <c r="BW8" s="100">
        <f t="shared" si="3"/>
        <v>0</v>
      </c>
      <c r="BX8" s="100"/>
      <c r="BY8" s="100">
        <f t="shared" si="4"/>
        <v>0</v>
      </c>
      <c r="BZ8" s="100"/>
    </row>
    <row r="9" spans="1:16383">
      <c r="A9" s="100"/>
      <c r="B9" s="100"/>
      <c r="C9" s="159"/>
      <c r="D9" s="100">
        <f>COUNTIF(AK9:AV9,"OK")</f>
        <v>0</v>
      </c>
      <c r="E9" s="100"/>
      <c r="F9" s="143" t="s">
        <v>3368</v>
      </c>
      <c r="G9" s="143" t="s">
        <v>1100</v>
      </c>
      <c r="H9" s="143" t="s">
        <v>103</v>
      </c>
      <c r="I9" s="143" t="s">
        <v>562</v>
      </c>
      <c r="J9" s="143" t="s">
        <v>73</v>
      </c>
      <c r="K9" s="143" t="s">
        <v>103</v>
      </c>
      <c r="L9" s="143" t="s">
        <v>103</v>
      </c>
      <c r="M9" s="143">
        <v>401.97</v>
      </c>
      <c r="N9" s="143" t="s">
        <v>103</v>
      </c>
      <c r="O9" s="143" t="s">
        <v>103</v>
      </c>
      <c r="P9" s="157">
        <v>2903.24</v>
      </c>
      <c r="Q9" s="148"/>
      <c r="R9" s="149" t="s">
        <v>103</v>
      </c>
      <c r="S9" s="100"/>
      <c r="T9" s="151"/>
      <c r="U9" s="152"/>
      <c r="V9" s="137"/>
      <c r="W9" s="157" t="s">
        <v>103</v>
      </c>
      <c r="X9" s="137" t="s">
        <v>82</v>
      </c>
      <c r="Y9" s="154" t="s">
        <v>787</v>
      </c>
      <c r="Z9" s="100"/>
      <c r="AA9" s="154"/>
      <c r="AB9" s="100"/>
      <c r="AC9" s="100"/>
      <c r="AD9" s="100"/>
      <c r="AE9" s="100"/>
      <c r="AF9" s="137" t="s">
        <v>103</v>
      </c>
      <c r="AG9" s="136" t="s">
        <v>103</v>
      </c>
      <c r="AH9" s="136" t="s">
        <v>103</v>
      </c>
      <c r="AI9" s="137" t="s">
        <v>103</v>
      </c>
      <c r="AJ9" s="136" t="s">
        <v>103</v>
      </c>
      <c r="AK9" s="136" t="s">
        <v>103</v>
      </c>
      <c r="AL9" s="136" t="s">
        <v>103</v>
      </c>
      <c r="AM9" s="136" t="s">
        <v>103</v>
      </c>
      <c r="AN9" s="136" t="s">
        <v>103</v>
      </c>
      <c r="AO9" s="136" t="s">
        <v>103</v>
      </c>
      <c r="AP9" s="136" t="s">
        <v>103</v>
      </c>
      <c r="AQ9" s="136"/>
      <c r="AR9" s="136" t="s">
        <v>103</v>
      </c>
      <c r="AS9" s="136" t="s">
        <v>103</v>
      </c>
      <c r="AT9" s="136" t="s">
        <v>103</v>
      </c>
      <c r="AU9" s="136"/>
      <c r="AV9" s="136" t="s">
        <v>103</v>
      </c>
      <c r="AW9" s="137" t="s">
        <v>103</v>
      </c>
      <c r="AX9" s="100">
        <f t="shared" si="1"/>
        <v>0</v>
      </c>
      <c r="AY9" s="100" t="str">
        <f t="shared" si="2"/>
        <v>Demasiado Riesgo</v>
      </c>
      <c r="AZ9" s="100"/>
      <c r="BA9" s="100"/>
      <c r="BB9" s="100"/>
      <c r="BC9" s="100"/>
      <c r="BD9" s="100"/>
      <c r="BE9" s="100"/>
      <c r="BF9" s="100"/>
      <c r="BG9" s="100"/>
      <c r="BH9" s="100"/>
      <c r="BI9" s="100"/>
      <c r="BJ9" s="100"/>
      <c r="BK9" s="100"/>
      <c r="BL9" s="100"/>
      <c r="BM9" s="100"/>
      <c r="BN9" s="100"/>
      <c r="BO9" s="100"/>
      <c r="BP9" s="100"/>
      <c r="BQ9" s="100"/>
      <c r="BR9" s="100"/>
      <c r="BS9" s="100"/>
      <c r="BT9" s="100"/>
      <c r="BU9" s="100"/>
      <c r="BV9" s="100"/>
      <c r="BW9" s="100">
        <f t="shared" si="3"/>
        <v>0</v>
      </c>
      <c r="BX9" s="100"/>
      <c r="BY9" s="100">
        <f t="shared" si="4"/>
        <v>0</v>
      </c>
      <c r="BZ9" s="100"/>
    </row>
    <row r="10" spans="1:16383">
      <c r="A10" s="100"/>
      <c r="B10" s="100"/>
      <c r="C10" s="144"/>
      <c r="D10" s="100">
        <f>COUNTIF(AG10:AU10,"*OK*")</f>
        <v>0</v>
      </c>
      <c r="E10" s="100"/>
      <c r="F10" s="145" t="s">
        <v>3310</v>
      </c>
      <c r="G10" s="145"/>
      <c r="H10" s="145"/>
      <c r="I10" s="155" t="s">
        <v>562</v>
      </c>
      <c r="J10" s="145" t="s">
        <v>439</v>
      </c>
      <c r="K10" s="145"/>
      <c r="L10" s="145"/>
      <c r="M10" s="144">
        <v>191.55</v>
      </c>
      <c r="N10" s="144">
        <v>174.55</v>
      </c>
      <c r="O10" s="144"/>
      <c r="P10" s="158" t="s">
        <v>103</v>
      </c>
      <c r="Q10" s="148"/>
      <c r="R10" s="149">
        <v>100</v>
      </c>
      <c r="S10" s="150"/>
      <c r="T10" s="160" t="s">
        <v>83</v>
      </c>
      <c r="U10" s="152" t="s">
        <v>297</v>
      </c>
      <c r="V10" s="137" t="s">
        <v>3576</v>
      </c>
      <c r="W10" s="149" t="s">
        <v>103</v>
      </c>
      <c r="X10" s="153" t="s">
        <v>285</v>
      </c>
      <c r="Y10" s="154" t="s">
        <v>787</v>
      </c>
      <c r="Z10" s="100"/>
      <c r="AA10" s="154"/>
      <c r="AB10" s="100"/>
      <c r="AC10" s="100"/>
      <c r="AD10" s="100"/>
      <c r="AE10" s="100"/>
      <c r="AF10" s="157" t="s">
        <v>103</v>
      </c>
      <c r="AG10" s="136" t="s">
        <v>103</v>
      </c>
      <c r="AH10" s="136" t="s">
        <v>103</v>
      </c>
      <c r="AI10" s="136" t="s">
        <v>103</v>
      </c>
      <c r="AJ10" s="136" t="s">
        <v>103</v>
      </c>
      <c r="AK10" s="136" t="s">
        <v>103</v>
      </c>
      <c r="AL10" s="136" t="s">
        <v>103</v>
      </c>
      <c r="AM10" s="136" t="s">
        <v>103</v>
      </c>
      <c r="AN10" s="136" t="s">
        <v>103</v>
      </c>
      <c r="AO10" s="136" t="s">
        <v>103</v>
      </c>
      <c r="AP10" s="136" t="s">
        <v>103</v>
      </c>
      <c r="AQ10" s="136"/>
      <c r="AR10" s="136" t="s">
        <v>103</v>
      </c>
      <c r="AS10" s="136" t="s">
        <v>103</v>
      </c>
      <c r="AT10" s="136" t="s">
        <v>103</v>
      </c>
      <c r="AU10" s="136"/>
      <c r="AV10" s="136" t="s">
        <v>103</v>
      </c>
      <c r="AW10" s="136" t="s">
        <v>89</v>
      </c>
      <c r="AX10" s="100">
        <f t="shared" si="1"/>
        <v>0</v>
      </c>
      <c r="AY10" s="100" t="str">
        <f t="shared" si="2"/>
        <v>Demasiado Riesgo</v>
      </c>
      <c r="AZ10" s="100"/>
      <c r="BA10" s="100"/>
      <c r="BB10" s="100"/>
      <c r="BC10" s="100"/>
      <c r="BD10" s="100"/>
      <c r="BE10" s="100"/>
      <c r="BF10" s="100"/>
      <c r="BG10" s="100"/>
      <c r="BH10" s="100"/>
      <c r="BI10" s="100"/>
      <c r="BJ10" s="100"/>
      <c r="BK10" s="100"/>
      <c r="BL10" s="100"/>
      <c r="BM10" s="100"/>
      <c r="BN10" s="100"/>
      <c r="BO10" s="100"/>
      <c r="BP10" s="100"/>
      <c r="BQ10" s="100"/>
      <c r="BR10" s="100"/>
      <c r="BS10" s="100"/>
      <c r="BT10" s="100"/>
      <c r="BU10" s="100"/>
      <c r="BV10" s="100"/>
      <c r="BW10" s="100">
        <f t="shared" si="3"/>
        <v>0</v>
      </c>
      <c r="BX10" s="100"/>
      <c r="BY10" s="100">
        <f t="shared" si="4"/>
        <v>0</v>
      </c>
      <c r="BZ10" s="100"/>
    </row>
    <row r="11" spans="1:16383">
      <c r="A11" s="100">
        <v>20141</v>
      </c>
      <c r="B11" s="100" t="s">
        <v>3577</v>
      </c>
      <c r="C11" s="144"/>
      <c r="D11" s="100">
        <f>COUNTIF(AG11:AU11,"*OK*")</f>
        <v>0</v>
      </c>
      <c r="E11" s="100"/>
      <c r="F11" s="145" t="s">
        <v>3312</v>
      </c>
      <c r="G11" s="145"/>
      <c r="H11" s="145"/>
      <c r="I11" s="155" t="s">
        <v>562</v>
      </c>
      <c r="J11" s="145" t="s">
        <v>439</v>
      </c>
      <c r="K11" s="145"/>
      <c r="L11" s="145"/>
      <c r="M11" s="144">
        <v>251.16</v>
      </c>
      <c r="N11" s="144">
        <v>250.93</v>
      </c>
      <c r="O11" s="144"/>
      <c r="P11" s="158" t="s">
        <v>103</v>
      </c>
      <c r="Q11" s="148"/>
      <c r="R11" s="149">
        <v>200</v>
      </c>
      <c r="S11" s="150"/>
      <c r="T11" s="161" t="s">
        <v>83</v>
      </c>
      <c r="U11" s="152" t="s">
        <v>130</v>
      </c>
      <c r="V11" s="137" t="s">
        <v>3578</v>
      </c>
      <c r="W11" s="149" t="s">
        <v>103</v>
      </c>
      <c r="X11" s="153" t="s">
        <v>394</v>
      </c>
      <c r="Y11" s="154" t="s">
        <v>787</v>
      </c>
      <c r="Z11" s="100"/>
      <c r="AA11" s="154"/>
      <c r="AB11" s="100"/>
      <c r="AC11" s="100"/>
      <c r="AD11" s="100"/>
      <c r="AE11" s="100"/>
      <c r="AF11" s="157" t="s">
        <v>88</v>
      </c>
      <c r="AG11" s="136" t="s">
        <v>103</v>
      </c>
      <c r="AH11" s="136" t="s">
        <v>103</v>
      </c>
      <c r="AI11" s="136" t="s">
        <v>103</v>
      </c>
      <c r="AJ11" s="136" t="s">
        <v>103</v>
      </c>
      <c r="AK11" s="136" t="s">
        <v>103</v>
      </c>
      <c r="AL11" s="136" t="s">
        <v>103</v>
      </c>
      <c r="AM11" s="136" t="s">
        <v>103</v>
      </c>
      <c r="AN11" s="136" t="s">
        <v>103</v>
      </c>
      <c r="AO11" s="136" t="s">
        <v>103</v>
      </c>
      <c r="AP11" s="136" t="s">
        <v>103</v>
      </c>
      <c r="AQ11" s="136"/>
      <c r="AR11" s="136" t="s">
        <v>103</v>
      </c>
      <c r="AS11" s="136" t="s">
        <v>103</v>
      </c>
      <c r="AT11" s="136" t="s">
        <v>103</v>
      </c>
      <c r="AU11" s="136"/>
      <c r="AV11" s="136" t="s">
        <v>103</v>
      </c>
      <c r="AW11" s="136" t="s">
        <v>89</v>
      </c>
      <c r="AX11" s="100">
        <f t="shared" si="1"/>
        <v>0</v>
      </c>
      <c r="AY11" s="100" t="str">
        <f t="shared" si="2"/>
        <v>Demasiado Riesgo</v>
      </c>
      <c r="AZ11" s="100"/>
      <c r="BA11" s="100"/>
      <c r="BB11" s="100"/>
      <c r="BC11" s="100"/>
      <c r="BD11" s="100"/>
      <c r="BE11" s="100"/>
      <c r="BF11" s="100"/>
      <c r="BG11" s="100"/>
      <c r="BH11" s="100"/>
      <c r="BI11" s="100"/>
      <c r="BJ11" s="100"/>
      <c r="BK11" s="100"/>
      <c r="BL11" s="100"/>
      <c r="BM11" s="100"/>
      <c r="BN11" s="100"/>
      <c r="BO11" s="100"/>
      <c r="BP11" s="100"/>
      <c r="BQ11" s="100"/>
      <c r="BR11" s="100"/>
      <c r="BS11" s="100"/>
      <c r="BT11" s="100"/>
      <c r="BU11" s="100"/>
      <c r="BV11" s="100"/>
      <c r="BW11" s="100">
        <f t="shared" si="3"/>
        <v>0</v>
      </c>
      <c r="BX11" s="100"/>
      <c r="BY11" s="100">
        <f t="shared" si="4"/>
        <v>0</v>
      </c>
      <c r="BZ11" s="100"/>
    </row>
    <row r="12" spans="1:16383">
      <c r="A12" s="100"/>
      <c r="B12" s="100"/>
      <c r="C12" s="144"/>
      <c r="D12" s="100">
        <f>COUNTIF(AG12:AU12,"*OK*")</f>
        <v>0</v>
      </c>
      <c r="E12" s="100"/>
      <c r="F12" s="145" t="s">
        <v>3314</v>
      </c>
      <c r="G12" s="145"/>
      <c r="H12" s="145"/>
      <c r="I12" s="155" t="s">
        <v>562</v>
      </c>
      <c r="J12" s="145" t="s">
        <v>782</v>
      </c>
      <c r="K12" s="145"/>
      <c r="L12" s="145"/>
      <c r="M12" s="144">
        <v>21.06</v>
      </c>
      <c r="N12" s="144">
        <v>21.04</v>
      </c>
      <c r="O12" s="144"/>
      <c r="P12" s="158" t="s">
        <v>103</v>
      </c>
      <c r="Q12" s="148"/>
      <c r="R12" s="149">
        <v>50</v>
      </c>
      <c r="S12" s="150"/>
      <c r="T12" s="160" t="s">
        <v>83</v>
      </c>
      <c r="U12" s="152" t="s">
        <v>574</v>
      </c>
      <c r="V12" s="137" t="s">
        <v>3579</v>
      </c>
      <c r="W12" s="149" t="s">
        <v>103</v>
      </c>
      <c r="X12" s="153" t="s">
        <v>82</v>
      </c>
      <c r="Y12" s="154" t="s">
        <v>787</v>
      </c>
      <c r="Z12" s="100"/>
      <c r="AA12" s="154"/>
      <c r="AB12" s="100"/>
      <c r="AC12" s="100"/>
      <c r="AD12" s="100"/>
      <c r="AE12" s="100"/>
      <c r="AF12" s="136" t="s">
        <v>103</v>
      </c>
      <c r="AG12" s="136" t="s">
        <v>103</v>
      </c>
      <c r="AH12" s="136" t="s">
        <v>103</v>
      </c>
      <c r="AI12" s="136" t="s">
        <v>103</v>
      </c>
      <c r="AJ12" s="136" t="s">
        <v>103</v>
      </c>
      <c r="AK12" s="136" t="s">
        <v>103</v>
      </c>
      <c r="AL12" s="136" t="s">
        <v>103</v>
      </c>
      <c r="AM12" s="136" t="s">
        <v>103</v>
      </c>
      <c r="AN12" s="136" t="s">
        <v>103</v>
      </c>
      <c r="AO12" s="136" t="s">
        <v>103</v>
      </c>
      <c r="AP12" s="136" t="s">
        <v>103</v>
      </c>
      <c r="AQ12" s="136"/>
      <c r="AR12" s="136" t="s">
        <v>103</v>
      </c>
      <c r="AS12" s="136" t="s">
        <v>103</v>
      </c>
      <c r="AT12" s="136" t="s">
        <v>103</v>
      </c>
      <c r="AU12" s="136"/>
      <c r="AV12" s="136" t="s">
        <v>103</v>
      </c>
      <c r="AW12" s="136" t="s">
        <v>103</v>
      </c>
      <c r="AX12" s="100">
        <f t="shared" si="1"/>
        <v>0</v>
      </c>
      <c r="AY12" s="100" t="str">
        <f t="shared" si="2"/>
        <v>Demasiado Riesgo</v>
      </c>
      <c r="AZ12" s="100"/>
      <c r="BA12" s="100"/>
      <c r="BB12" s="100"/>
      <c r="BC12" s="100"/>
      <c r="BD12" s="100"/>
      <c r="BE12" s="100"/>
      <c r="BF12" s="100"/>
      <c r="BG12" s="100"/>
      <c r="BH12" s="100"/>
      <c r="BI12" s="100"/>
      <c r="BJ12" s="100"/>
      <c r="BK12" s="100"/>
      <c r="BL12" s="100"/>
      <c r="BM12" s="100"/>
      <c r="BN12" s="100"/>
      <c r="BO12" s="100"/>
      <c r="BP12" s="100"/>
      <c r="BQ12" s="100"/>
      <c r="BR12" s="100"/>
      <c r="BS12" s="100"/>
      <c r="BT12" s="100"/>
      <c r="BU12" s="100"/>
      <c r="BV12" s="100"/>
      <c r="BW12" s="100">
        <f t="shared" si="3"/>
        <v>0</v>
      </c>
      <c r="BX12" s="100"/>
      <c r="BY12" s="100">
        <f t="shared" si="4"/>
        <v>0</v>
      </c>
      <c r="BZ12" s="100"/>
    </row>
    <row r="13" spans="1:16383">
      <c r="A13" s="100"/>
      <c r="B13" s="100"/>
      <c r="C13" s="144"/>
      <c r="D13" s="100">
        <f>COUNTIF(AG13:AU13,"*OK*")</f>
        <v>0</v>
      </c>
      <c r="E13" s="100"/>
      <c r="F13" s="145" t="s">
        <v>3313</v>
      </c>
      <c r="G13" s="145"/>
      <c r="H13" s="145"/>
      <c r="I13" s="155" t="s">
        <v>562</v>
      </c>
      <c r="J13" s="145" t="s">
        <v>782</v>
      </c>
      <c r="K13" s="145"/>
      <c r="L13" s="145"/>
      <c r="M13" s="144">
        <v>52.81</v>
      </c>
      <c r="N13" s="144">
        <v>52.76</v>
      </c>
      <c r="O13" s="144"/>
      <c r="P13" s="158" t="s">
        <v>103</v>
      </c>
      <c r="Q13" s="148"/>
      <c r="R13" s="149">
        <v>50</v>
      </c>
      <c r="S13" s="150"/>
      <c r="T13" s="160" t="s">
        <v>83</v>
      </c>
      <c r="U13" s="152" t="s">
        <v>396</v>
      </c>
      <c r="V13" s="137" t="s">
        <v>3580</v>
      </c>
      <c r="W13" s="149" t="s">
        <v>103</v>
      </c>
      <c r="X13" s="153" t="s">
        <v>82</v>
      </c>
      <c r="Y13" s="154" t="s">
        <v>787</v>
      </c>
      <c r="Z13" s="100"/>
      <c r="AA13" s="154"/>
      <c r="AB13" s="100"/>
      <c r="AC13" s="100"/>
      <c r="AD13" s="100"/>
      <c r="AE13" s="100"/>
      <c r="AF13" s="157" t="s">
        <v>103</v>
      </c>
      <c r="AG13" s="136" t="s">
        <v>103</v>
      </c>
      <c r="AH13" s="136" t="s">
        <v>103</v>
      </c>
      <c r="AI13" s="136" t="s">
        <v>103</v>
      </c>
      <c r="AJ13" s="136" t="s">
        <v>103</v>
      </c>
      <c r="AK13" s="136" t="s">
        <v>103</v>
      </c>
      <c r="AL13" s="136" t="s">
        <v>103</v>
      </c>
      <c r="AM13" s="136" t="s">
        <v>103</v>
      </c>
      <c r="AN13" s="136" t="s">
        <v>103</v>
      </c>
      <c r="AO13" s="136" t="s">
        <v>103</v>
      </c>
      <c r="AP13" s="136" t="s">
        <v>103</v>
      </c>
      <c r="AQ13" s="136"/>
      <c r="AR13" s="136" t="s">
        <v>103</v>
      </c>
      <c r="AS13" s="136" t="s">
        <v>103</v>
      </c>
      <c r="AT13" s="136" t="s">
        <v>103</v>
      </c>
      <c r="AU13" s="136"/>
      <c r="AV13" s="136" t="s">
        <v>103</v>
      </c>
      <c r="AW13" s="136" t="s">
        <v>103</v>
      </c>
      <c r="AX13" s="100">
        <f t="shared" si="1"/>
        <v>0</v>
      </c>
      <c r="AY13" s="100" t="str">
        <f t="shared" si="2"/>
        <v>Demasiado Riesgo</v>
      </c>
      <c r="AZ13" s="100"/>
      <c r="BA13" s="100"/>
      <c r="BB13" s="100"/>
      <c r="BC13" s="100"/>
      <c r="BD13" s="100"/>
      <c r="BE13" s="100"/>
      <c r="BF13" s="100"/>
      <c r="BG13" s="100"/>
      <c r="BH13" s="100"/>
      <c r="BI13" s="100"/>
      <c r="BJ13" s="100"/>
      <c r="BK13" s="100"/>
      <c r="BL13" s="100"/>
      <c r="BM13" s="100"/>
      <c r="BN13" s="100"/>
      <c r="BO13" s="100"/>
      <c r="BP13" s="100"/>
      <c r="BQ13" s="100"/>
      <c r="BR13" s="100"/>
      <c r="BS13" s="100"/>
      <c r="BT13" s="100"/>
      <c r="BU13" s="100"/>
      <c r="BV13" s="100"/>
      <c r="BW13" s="100">
        <f t="shared" si="3"/>
        <v>0</v>
      </c>
      <c r="BX13" s="100"/>
      <c r="BY13" s="100">
        <f t="shared" si="4"/>
        <v>0</v>
      </c>
      <c r="BZ13" s="100"/>
    </row>
    <row r="14" spans="1:16383">
      <c r="A14" s="162"/>
      <c r="B14" s="162"/>
      <c r="C14" s="144">
        <f>P14</f>
        <v>500.84</v>
      </c>
      <c r="D14" s="100">
        <f>COUNTIF(AG14:AU14,"*OK*")</f>
        <v>0</v>
      </c>
      <c r="E14" s="100"/>
      <c r="F14" s="145" t="s">
        <v>3328</v>
      </c>
      <c r="G14" s="145" t="s">
        <v>1551</v>
      </c>
      <c r="H14" s="145"/>
      <c r="I14" s="155" t="s">
        <v>76</v>
      </c>
      <c r="J14" s="145" t="s">
        <v>73</v>
      </c>
      <c r="K14" s="145"/>
      <c r="L14" s="145"/>
      <c r="M14" s="144">
        <v>528.54999999999995</v>
      </c>
      <c r="N14" s="144">
        <v>440.48</v>
      </c>
      <c r="O14" s="144">
        <v>510.97</v>
      </c>
      <c r="P14" s="147">
        <v>500.84</v>
      </c>
      <c r="Q14" s="148"/>
      <c r="R14" s="149">
        <v>200</v>
      </c>
      <c r="S14" s="150"/>
      <c r="T14" s="151" t="s">
        <v>258</v>
      </c>
      <c r="U14" s="152" t="s">
        <v>84</v>
      </c>
      <c r="V14" s="137" t="s">
        <v>3581</v>
      </c>
      <c r="W14" s="149" t="s">
        <v>103</v>
      </c>
      <c r="X14" s="153" t="s">
        <v>82</v>
      </c>
      <c r="Y14" s="154" t="s">
        <v>787</v>
      </c>
      <c r="Z14" s="100"/>
      <c r="AA14" s="154"/>
      <c r="AB14" s="100"/>
      <c r="AC14" s="100"/>
      <c r="AD14" s="100"/>
      <c r="AE14" s="100"/>
      <c r="AF14" s="157" t="s">
        <v>103</v>
      </c>
      <c r="AG14" s="136" t="s">
        <v>103</v>
      </c>
      <c r="AH14" s="136" t="s">
        <v>103</v>
      </c>
      <c r="AI14" s="136" t="s">
        <v>103</v>
      </c>
      <c r="AJ14" s="136" t="s">
        <v>103</v>
      </c>
      <c r="AK14" s="136" t="s">
        <v>103</v>
      </c>
      <c r="AL14" s="136" t="s">
        <v>103</v>
      </c>
      <c r="AM14" s="136" t="s">
        <v>103</v>
      </c>
      <c r="AN14" s="136" t="s">
        <v>103</v>
      </c>
      <c r="AO14" s="136" t="s">
        <v>103</v>
      </c>
      <c r="AP14" s="136" t="s">
        <v>103</v>
      </c>
      <c r="AQ14" s="136"/>
      <c r="AR14" s="136"/>
      <c r="AS14" s="136"/>
      <c r="AT14" s="136"/>
      <c r="AU14" s="136"/>
      <c r="AV14" s="136" t="s">
        <v>103</v>
      </c>
      <c r="AW14" s="136" t="s">
        <v>103</v>
      </c>
      <c r="AX14" s="100">
        <f t="shared" si="1"/>
        <v>0</v>
      </c>
      <c r="AY14" s="100" t="str">
        <f t="shared" si="2"/>
        <v>Demasiado Riesgo</v>
      </c>
      <c r="AZ14" s="100"/>
      <c r="BA14" s="100"/>
      <c r="BB14" s="100">
        <v>0</v>
      </c>
      <c r="BC14" s="100"/>
      <c r="BD14" s="100"/>
      <c r="BE14" s="100"/>
      <c r="BF14" s="100"/>
      <c r="BG14" s="100"/>
      <c r="BH14" s="100"/>
      <c r="BI14" s="100"/>
      <c r="BJ14" s="100"/>
      <c r="BK14" s="100"/>
      <c r="BL14" s="100"/>
      <c r="BM14" s="100"/>
      <c r="BN14" s="100"/>
      <c r="BO14" s="100"/>
      <c r="BP14" s="100"/>
      <c r="BQ14" s="100"/>
      <c r="BR14" s="100"/>
      <c r="BS14" s="100"/>
      <c r="BT14" s="100"/>
      <c r="BU14" s="100"/>
      <c r="BV14" s="100"/>
      <c r="BW14" s="100"/>
      <c r="BX14" s="100">
        <f>COUNTIF(AG14:AU14,"*OK*")</f>
        <v>0</v>
      </c>
      <c r="BY14" s="100"/>
      <c r="BZ14" s="100">
        <f>COUNTIF(AG14:AU14,"*OP*")</f>
        <v>0</v>
      </c>
    </row>
    <row r="15" spans="1:16383">
      <c r="A15" s="270">
        <v>5637</v>
      </c>
      <c r="B15" s="116">
        <v>24082020</v>
      </c>
      <c r="C15" s="261">
        <f>R15</f>
        <v>0</v>
      </c>
      <c r="D15" s="114">
        <f>COUNTIF(AI15:AW15,"*OK*")</f>
        <v>0</v>
      </c>
      <c r="E15" s="114"/>
      <c r="F15" s="125" t="s">
        <v>3308</v>
      </c>
      <c r="G15" s="125"/>
      <c r="H15" s="122"/>
      <c r="I15" s="125"/>
      <c r="J15" s="129" t="s">
        <v>562</v>
      </c>
      <c r="K15" s="125" t="s">
        <v>73</v>
      </c>
      <c r="L15" s="125"/>
      <c r="M15" s="125"/>
      <c r="N15" s="115">
        <v>201.19</v>
      </c>
      <c r="O15" s="115">
        <v>168.84</v>
      </c>
      <c r="P15" s="115">
        <v>149.41</v>
      </c>
      <c r="Q15" s="130">
        <v>134.44999999999999</v>
      </c>
      <c r="R15" s="260">
        <v>0</v>
      </c>
      <c r="S15" s="141"/>
      <c r="T15" s="118"/>
      <c r="U15" s="119">
        <v>100</v>
      </c>
      <c r="V15" s="131" t="s">
        <v>83</v>
      </c>
      <c r="W15" s="135" t="s">
        <v>83</v>
      </c>
      <c r="X15" s="120" t="s">
        <v>143</v>
      </c>
      <c r="Y15" s="121" t="s">
        <v>3582</v>
      </c>
      <c r="Z15" s="119" t="s">
        <v>662</v>
      </c>
      <c r="AA15" s="132" t="s">
        <v>82</v>
      </c>
      <c r="AB15" s="122" t="s">
        <v>787</v>
      </c>
      <c r="AC15" s="114"/>
      <c r="AD15" s="114"/>
      <c r="AE15" s="114"/>
      <c r="AF15" s="114"/>
      <c r="AG15" s="114"/>
      <c r="AH15" s="117" t="s">
        <v>103</v>
      </c>
      <c r="AI15" s="113"/>
      <c r="AJ15" s="113"/>
      <c r="AK15" s="113"/>
      <c r="AL15" s="113"/>
      <c r="AM15" s="113"/>
      <c r="AN15" s="113"/>
      <c r="AO15" s="113"/>
      <c r="AP15" s="113"/>
      <c r="AQ15" s="113"/>
      <c r="AR15" s="113"/>
      <c r="AS15" s="113"/>
      <c r="AT15" s="113"/>
      <c r="AU15" s="113"/>
      <c r="AV15" s="113"/>
      <c r="AW15" s="113"/>
      <c r="AX15" s="113"/>
      <c r="AY15" s="123" t="s">
        <v>103</v>
      </c>
      <c r="AZ15" s="114">
        <f>(COUNTIF(AI15:AK15,"*OK*")*3) + (COUNTIF(AL15:AN15,"*OK*")*2) + COUNTIF(AO15:AQ15,"*OK*")+COUNTIF(AY15:AY15,"SI")*0.5</f>
        <v>0</v>
      </c>
      <c r="BA15" s="114" t="str">
        <f>IF(AZ15&lt;0.6,"Demasiado Riesgo",IF(AZ15&lt;=5,"Riesgo Medio",IF(AZ15&lt;=11,"Riesgo Bajo","Cliente Blindado")))</f>
        <v>Demasiado Riesgo</v>
      </c>
      <c r="BB15" s="114"/>
      <c r="BC15" s="114"/>
      <c r="BD15" s="114">
        <v>0</v>
      </c>
      <c r="BE15" s="114"/>
      <c r="BF15" s="114"/>
      <c r="BG15" s="114"/>
      <c r="BH15" s="114"/>
      <c r="BI15" s="114"/>
      <c r="BJ15" s="114"/>
      <c r="BK15" s="114"/>
      <c r="BL15" s="114"/>
      <c r="BM15" s="114"/>
      <c r="BN15" s="114"/>
      <c r="BO15" s="114"/>
      <c r="BP15" s="114"/>
      <c r="BQ15" s="114"/>
      <c r="BR15" s="114"/>
      <c r="BS15" s="114"/>
      <c r="BT15" s="114"/>
      <c r="BU15" s="114"/>
      <c r="BV15" s="114"/>
      <c r="BW15" s="114"/>
      <c r="BX15" s="114"/>
      <c r="BY15" s="114"/>
      <c r="BZ15" s="114">
        <f>COUNTIF(AI15:AW15,"*OK*")</f>
        <v>0</v>
      </c>
      <c r="CA15" s="114"/>
      <c r="CB15" s="114">
        <f>COUNTIF(AI15:AW15,"*OP*")</f>
        <v>0</v>
      </c>
      <c r="CC15" s="101"/>
      <c r="CD15" s="101"/>
      <c r="CE15" s="101"/>
      <c r="CF15" s="101"/>
      <c r="CG15" s="101"/>
      <c r="CH15" s="101"/>
      <c r="CI15" s="101"/>
      <c r="CJ15" s="101"/>
      <c r="CK15" s="101"/>
      <c r="CL15" s="101"/>
      <c r="CM15" s="101"/>
      <c r="CN15" s="101"/>
      <c r="CO15" s="101"/>
      <c r="CP15" s="101"/>
      <c r="CQ15" s="101"/>
      <c r="CR15" s="101"/>
      <c r="CS15" s="101"/>
      <c r="CT15" s="101"/>
      <c r="CU15" s="101"/>
      <c r="CV15" s="101"/>
      <c r="CW15" s="101"/>
      <c r="CX15" s="101"/>
      <c r="CY15" s="101"/>
      <c r="CZ15" s="101"/>
      <c r="DA15" s="101"/>
      <c r="DB15" s="101"/>
      <c r="DC15" s="101"/>
      <c r="DD15" s="101"/>
      <c r="DE15" s="101"/>
      <c r="DF15" s="101"/>
      <c r="DG15" s="101"/>
      <c r="DH15" s="101"/>
      <c r="DI15" s="101"/>
      <c r="DJ15" s="101"/>
      <c r="DK15" s="101"/>
      <c r="DL15" s="101"/>
      <c r="DM15" s="101"/>
      <c r="DN15" s="101"/>
      <c r="DO15" s="101"/>
      <c r="DP15" s="101"/>
      <c r="DQ15" s="101"/>
      <c r="DR15" s="101"/>
      <c r="DS15" s="101"/>
      <c r="DT15" s="101"/>
      <c r="DU15" s="101"/>
      <c r="DV15" s="101"/>
      <c r="DW15" s="101"/>
      <c r="DX15" s="101"/>
      <c r="DY15" s="101"/>
      <c r="DZ15" s="101"/>
      <c r="EA15" s="101"/>
      <c r="EB15" s="101"/>
      <c r="EC15" s="101"/>
      <c r="ED15" s="101"/>
      <c r="EE15" s="101"/>
      <c r="EF15" s="101"/>
      <c r="EG15" s="101"/>
      <c r="EH15" s="101"/>
      <c r="EI15" s="101"/>
      <c r="EJ15" s="101"/>
      <c r="EK15" s="101"/>
      <c r="EL15" s="101"/>
      <c r="EM15" s="101"/>
      <c r="EN15" s="101"/>
      <c r="EO15" s="101"/>
      <c r="EP15" s="101"/>
      <c r="EQ15" s="101"/>
      <c r="ER15" s="101"/>
      <c r="ES15" s="101"/>
      <c r="ET15" s="101"/>
      <c r="EU15" s="101"/>
      <c r="EV15" s="101"/>
      <c r="EW15" s="101"/>
      <c r="EX15" s="101"/>
      <c r="EY15" s="101"/>
      <c r="EZ15" s="101"/>
      <c r="FA15" s="101"/>
      <c r="FB15" s="101"/>
      <c r="FC15" s="101"/>
      <c r="FD15" s="101"/>
      <c r="FE15" s="101"/>
      <c r="FF15" s="101"/>
      <c r="FG15" s="101"/>
      <c r="FH15" s="101"/>
      <c r="FI15" s="101"/>
      <c r="FJ15" s="101"/>
      <c r="FK15" s="101"/>
      <c r="FL15" s="101"/>
      <c r="FM15" s="101"/>
      <c r="FN15" s="101"/>
      <c r="FO15" s="101"/>
      <c r="FP15" s="101"/>
      <c r="FQ15" s="101"/>
      <c r="FR15" s="101"/>
      <c r="FS15" s="101"/>
      <c r="FT15" s="101"/>
      <c r="FU15" s="101"/>
      <c r="FV15" s="101"/>
      <c r="FW15" s="101"/>
      <c r="FX15" s="101"/>
      <c r="FY15" s="101"/>
      <c r="FZ15" s="101"/>
      <c r="GA15" s="101"/>
      <c r="GB15" s="101"/>
      <c r="GC15" s="101"/>
      <c r="GD15" s="101"/>
      <c r="GE15" s="101"/>
      <c r="GF15" s="101"/>
      <c r="GG15" s="101"/>
      <c r="GH15" s="101"/>
      <c r="GI15" s="101"/>
      <c r="GJ15" s="101"/>
      <c r="GK15" s="101"/>
      <c r="GL15" s="101"/>
      <c r="GM15" s="101"/>
      <c r="GN15" s="101"/>
      <c r="GO15" s="101"/>
      <c r="GP15" s="101"/>
      <c r="GQ15" s="101"/>
      <c r="GR15" s="101"/>
      <c r="GS15" s="101"/>
      <c r="GT15" s="101"/>
      <c r="GU15" s="101"/>
      <c r="GV15" s="101"/>
      <c r="GW15" s="101"/>
      <c r="GX15" s="101"/>
      <c r="GY15" s="101"/>
      <c r="GZ15" s="101"/>
      <c r="HA15" s="101"/>
      <c r="HB15" s="101"/>
      <c r="HC15" s="101"/>
      <c r="HD15" s="101"/>
      <c r="HE15" s="101"/>
      <c r="HF15" s="101"/>
      <c r="HG15" s="101"/>
      <c r="HH15" s="101"/>
      <c r="HI15" s="101"/>
      <c r="HJ15" s="101"/>
      <c r="HK15" s="101"/>
      <c r="HL15" s="101"/>
      <c r="HM15" s="101"/>
      <c r="HN15" s="101"/>
      <c r="HO15" s="101"/>
      <c r="HP15" s="101"/>
      <c r="HQ15" s="101"/>
      <c r="HR15" s="101"/>
      <c r="HS15" s="101"/>
      <c r="HT15" s="101"/>
      <c r="HU15" s="101"/>
      <c r="HV15" s="101"/>
      <c r="HW15" s="101"/>
      <c r="HX15" s="101"/>
      <c r="HY15" s="101"/>
      <c r="HZ15" s="101"/>
      <c r="IA15" s="101"/>
      <c r="IB15" s="101"/>
      <c r="IC15" s="101"/>
      <c r="ID15" s="101"/>
      <c r="IE15" s="101"/>
      <c r="IF15" s="101"/>
      <c r="IG15" s="101"/>
      <c r="IH15" s="101"/>
      <c r="II15" s="101"/>
      <c r="IJ15" s="101"/>
      <c r="IK15" s="101"/>
      <c r="IL15" s="101"/>
      <c r="IM15" s="101"/>
      <c r="IN15" s="101"/>
      <c r="IO15" s="101"/>
      <c r="IP15" s="101"/>
      <c r="IQ15" s="101"/>
      <c r="IR15" s="101"/>
      <c r="IS15" s="101"/>
      <c r="IT15" s="101"/>
      <c r="IU15" s="101"/>
      <c r="IV15" s="101"/>
      <c r="IW15" s="101"/>
      <c r="IX15" s="101"/>
      <c r="IY15" s="101"/>
      <c r="IZ15" s="101"/>
      <c r="JA15" s="101"/>
      <c r="JB15" s="101"/>
      <c r="JC15" s="101"/>
      <c r="JD15" s="101"/>
      <c r="JE15" s="101"/>
      <c r="JF15" s="101"/>
      <c r="JG15" s="101"/>
      <c r="JH15" s="101"/>
      <c r="JI15" s="101"/>
      <c r="JJ15" s="101"/>
      <c r="JK15" s="101"/>
      <c r="JL15" s="101"/>
      <c r="JM15" s="101"/>
      <c r="JN15" s="101"/>
      <c r="JO15" s="101"/>
      <c r="JP15" s="101"/>
      <c r="JQ15" s="101"/>
      <c r="JR15" s="101"/>
      <c r="JS15" s="101"/>
      <c r="JT15" s="101"/>
      <c r="JU15" s="101"/>
      <c r="JV15" s="101"/>
      <c r="JW15" s="101"/>
      <c r="JX15" s="101"/>
      <c r="JY15" s="101"/>
      <c r="JZ15" s="101"/>
      <c r="KA15" s="101"/>
      <c r="KB15" s="101"/>
      <c r="KC15" s="101"/>
      <c r="KD15" s="101"/>
      <c r="KE15" s="101"/>
      <c r="KF15" s="101"/>
      <c r="KG15" s="101"/>
      <c r="KH15" s="101"/>
      <c r="KI15" s="101"/>
      <c r="KJ15" s="101"/>
      <c r="KK15" s="101"/>
      <c r="KL15" s="101"/>
      <c r="KM15" s="101"/>
      <c r="KN15" s="101"/>
      <c r="KO15" s="101"/>
      <c r="KP15" s="101"/>
      <c r="KQ15" s="101"/>
      <c r="KR15" s="101"/>
      <c r="KS15" s="101"/>
      <c r="KT15" s="101"/>
      <c r="KU15" s="101"/>
      <c r="KV15" s="101"/>
      <c r="KW15" s="101"/>
      <c r="KX15" s="101"/>
      <c r="KY15" s="101"/>
      <c r="KZ15" s="101"/>
      <c r="LA15" s="101"/>
      <c r="LB15" s="101"/>
      <c r="LC15" s="101"/>
      <c r="LD15" s="101"/>
      <c r="LE15" s="101"/>
      <c r="LF15" s="101"/>
      <c r="LG15" s="101"/>
      <c r="LH15" s="101"/>
      <c r="LI15" s="101"/>
      <c r="LJ15" s="101"/>
      <c r="LK15" s="101"/>
      <c r="LL15" s="101"/>
      <c r="LM15" s="101"/>
      <c r="LN15" s="101"/>
      <c r="LO15" s="101"/>
      <c r="LP15" s="101"/>
      <c r="LQ15" s="101"/>
      <c r="LR15" s="101"/>
      <c r="LS15" s="101"/>
      <c r="LT15" s="101"/>
      <c r="LU15" s="101"/>
      <c r="LV15" s="101"/>
      <c r="LW15" s="101"/>
      <c r="LX15" s="101"/>
      <c r="LY15" s="101"/>
      <c r="LZ15" s="101"/>
      <c r="MA15" s="101"/>
      <c r="MB15" s="101"/>
      <c r="MC15" s="101"/>
      <c r="MD15" s="101"/>
      <c r="ME15" s="101"/>
      <c r="MF15" s="101"/>
      <c r="MG15" s="101"/>
      <c r="MH15" s="101"/>
      <c r="MI15" s="101"/>
      <c r="MJ15" s="101"/>
      <c r="MK15" s="101"/>
      <c r="ML15" s="101"/>
      <c r="MM15" s="101"/>
      <c r="MN15" s="101"/>
      <c r="MO15" s="101"/>
      <c r="MP15" s="101"/>
      <c r="MQ15" s="101"/>
      <c r="MR15" s="101"/>
      <c r="MS15" s="101"/>
      <c r="MT15" s="101"/>
      <c r="MU15" s="101"/>
      <c r="MV15" s="101"/>
      <c r="MW15" s="101"/>
      <c r="MX15" s="101"/>
      <c r="MY15" s="101"/>
      <c r="MZ15" s="101"/>
      <c r="NA15" s="101"/>
      <c r="NB15" s="101"/>
      <c r="NC15" s="101"/>
      <c r="ND15" s="101"/>
      <c r="NE15" s="101"/>
      <c r="NF15" s="101"/>
      <c r="NG15" s="101"/>
      <c r="NH15" s="101"/>
      <c r="NI15" s="101"/>
      <c r="NJ15" s="101"/>
      <c r="NK15" s="101"/>
      <c r="NL15" s="101"/>
      <c r="NM15" s="101"/>
      <c r="NN15" s="101"/>
      <c r="NO15" s="101"/>
      <c r="NP15" s="101"/>
      <c r="NQ15" s="101"/>
      <c r="NR15" s="101"/>
      <c r="NS15" s="101"/>
      <c r="NT15" s="101"/>
      <c r="NU15" s="101"/>
      <c r="NV15" s="101"/>
      <c r="NW15" s="101"/>
      <c r="NX15" s="101"/>
      <c r="NY15" s="101"/>
      <c r="NZ15" s="101"/>
      <c r="OA15" s="101"/>
      <c r="OB15" s="101"/>
      <c r="OC15" s="101"/>
      <c r="OD15" s="101"/>
      <c r="OE15" s="101"/>
      <c r="OF15" s="101"/>
      <c r="OG15" s="101"/>
      <c r="OH15" s="101"/>
      <c r="OI15" s="101"/>
      <c r="OJ15" s="101"/>
      <c r="OK15" s="101"/>
      <c r="OL15" s="101"/>
      <c r="OM15" s="101"/>
      <c r="ON15" s="101"/>
      <c r="OO15" s="101"/>
      <c r="OP15" s="101"/>
      <c r="OQ15" s="101"/>
      <c r="OR15" s="101"/>
      <c r="OS15" s="101"/>
      <c r="OT15" s="101"/>
      <c r="OU15" s="101"/>
      <c r="OV15" s="101"/>
      <c r="OW15" s="101"/>
      <c r="OX15" s="101"/>
      <c r="OY15" s="101"/>
      <c r="OZ15" s="101"/>
      <c r="PA15" s="101"/>
      <c r="PB15" s="101"/>
      <c r="PC15" s="101"/>
      <c r="PD15" s="101"/>
      <c r="PE15" s="101"/>
      <c r="PF15" s="101"/>
      <c r="PG15" s="101"/>
      <c r="PH15" s="101"/>
      <c r="PI15" s="101"/>
      <c r="PJ15" s="101"/>
      <c r="PK15" s="101"/>
      <c r="PL15" s="101"/>
      <c r="PM15" s="101"/>
      <c r="PN15" s="101"/>
      <c r="PO15" s="101"/>
      <c r="PP15" s="101"/>
      <c r="PQ15" s="101"/>
      <c r="PR15" s="101"/>
      <c r="PS15" s="101"/>
      <c r="PT15" s="101"/>
      <c r="PU15" s="101"/>
      <c r="PV15" s="101"/>
      <c r="PW15" s="101"/>
      <c r="PX15" s="101"/>
      <c r="PY15" s="101"/>
      <c r="PZ15" s="101"/>
      <c r="QA15" s="101"/>
      <c r="QB15" s="101"/>
      <c r="QC15" s="101"/>
      <c r="QD15" s="101"/>
      <c r="QE15" s="101"/>
      <c r="QF15" s="101"/>
      <c r="QG15" s="101"/>
      <c r="QH15" s="101"/>
      <c r="QI15" s="101"/>
      <c r="QJ15" s="101"/>
      <c r="QK15" s="101"/>
      <c r="QL15" s="101"/>
      <c r="QM15" s="101"/>
      <c r="QN15" s="101"/>
      <c r="QO15" s="101"/>
      <c r="QP15" s="101"/>
      <c r="QQ15" s="101"/>
      <c r="QR15" s="101"/>
      <c r="QS15" s="101"/>
      <c r="QT15" s="101"/>
      <c r="QU15" s="101"/>
      <c r="QV15" s="101"/>
      <c r="QW15" s="101"/>
      <c r="QX15" s="101"/>
      <c r="QY15" s="101"/>
      <c r="QZ15" s="101"/>
      <c r="RA15" s="101"/>
      <c r="RB15" s="101"/>
      <c r="RC15" s="101"/>
      <c r="RD15" s="101"/>
      <c r="RE15" s="101"/>
      <c r="RF15" s="101"/>
      <c r="RG15" s="101"/>
      <c r="RH15" s="101"/>
      <c r="RI15" s="101"/>
      <c r="RJ15" s="101"/>
      <c r="RK15" s="101"/>
      <c r="RL15" s="101"/>
      <c r="RM15" s="101"/>
      <c r="RN15" s="101"/>
      <c r="RO15" s="101"/>
      <c r="RP15" s="101"/>
      <c r="RQ15" s="101"/>
      <c r="RR15" s="101"/>
      <c r="RS15" s="101"/>
      <c r="RT15" s="101"/>
      <c r="RU15" s="101"/>
      <c r="RV15" s="101"/>
      <c r="RW15" s="101"/>
      <c r="RX15" s="101"/>
      <c r="RY15" s="101"/>
      <c r="RZ15" s="101"/>
      <c r="SA15" s="101"/>
      <c r="SB15" s="101"/>
      <c r="SC15" s="101"/>
      <c r="SD15" s="101"/>
      <c r="SE15" s="101"/>
      <c r="SF15" s="101"/>
      <c r="SG15" s="101"/>
      <c r="SH15" s="101"/>
      <c r="SI15" s="101"/>
      <c r="SJ15" s="101"/>
      <c r="SK15" s="101"/>
      <c r="SL15" s="101"/>
      <c r="SM15" s="101"/>
      <c r="SN15" s="101"/>
      <c r="SO15" s="101"/>
      <c r="SP15" s="101"/>
      <c r="SQ15" s="101"/>
      <c r="SR15" s="101"/>
      <c r="SS15" s="101"/>
      <c r="ST15" s="101"/>
      <c r="SU15" s="101"/>
      <c r="SV15" s="101"/>
      <c r="SW15" s="101"/>
      <c r="SX15" s="101"/>
      <c r="SY15" s="101"/>
      <c r="SZ15" s="101"/>
      <c r="TA15" s="101"/>
      <c r="TB15" s="101"/>
      <c r="TC15" s="101"/>
      <c r="TD15" s="101"/>
      <c r="TE15" s="101"/>
      <c r="TF15" s="101"/>
      <c r="TG15" s="101"/>
      <c r="TH15" s="101"/>
      <c r="TI15" s="101"/>
      <c r="TJ15" s="101"/>
      <c r="TK15" s="101"/>
      <c r="TL15" s="101"/>
      <c r="TM15" s="101"/>
      <c r="TN15" s="101"/>
      <c r="TO15" s="101"/>
      <c r="TP15" s="101"/>
      <c r="TQ15" s="101"/>
      <c r="TR15" s="101"/>
      <c r="TS15" s="101"/>
      <c r="TT15" s="101"/>
      <c r="TU15" s="101"/>
      <c r="TV15" s="101"/>
      <c r="TW15" s="101"/>
      <c r="TX15" s="101"/>
      <c r="TY15" s="101"/>
      <c r="TZ15" s="101"/>
      <c r="UA15" s="101"/>
      <c r="UB15" s="101"/>
      <c r="UC15" s="101"/>
      <c r="UD15" s="101"/>
      <c r="UE15" s="101"/>
      <c r="UF15" s="101"/>
      <c r="UG15" s="101"/>
      <c r="UH15" s="101"/>
      <c r="UI15" s="101"/>
      <c r="UJ15" s="101"/>
      <c r="UK15" s="101"/>
      <c r="UL15" s="101"/>
      <c r="UM15" s="101"/>
      <c r="UN15" s="101"/>
      <c r="UO15" s="101"/>
      <c r="UP15" s="101"/>
      <c r="UQ15" s="101"/>
      <c r="UR15" s="101"/>
      <c r="US15" s="101"/>
      <c r="UT15" s="101"/>
      <c r="UU15" s="101"/>
      <c r="UV15" s="101"/>
      <c r="UW15" s="101"/>
      <c r="UX15" s="101"/>
      <c r="UY15" s="101"/>
      <c r="UZ15" s="101"/>
      <c r="VA15" s="101"/>
      <c r="VB15" s="101"/>
      <c r="VC15" s="101"/>
      <c r="VD15" s="101"/>
      <c r="VE15" s="101"/>
      <c r="VF15" s="101"/>
      <c r="VG15" s="101"/>
      <c r="VH15" s="101"/>
      <c r="VI15" s="101"/>
      <c r="VJ15" s="101"/>
      <c r="VK15" s="101"/>
      <c r="VL15" s="101"/>
      <c r="VM15" s="101"/>
      <c r="VN15" s="101"/>
      <c r="VO15" s="101"/>
      <c r="VP15" s="101"/>
      <c r="VQ15" s="101"/>
      <c r="VR15" s="101"/>
      <c r="VS15" s="101"/>
      <c r="VT15" s="101"/>
      <c r="VU15" s="101"/>
      <c r="VV15" s="101"/>
      <c r="VW15" s="101"/>
      <c r="VX15" s="101"/>
      <c r="VY15" s="101"/>
      <c r="VZ15" s="101"/>
      <c r="WA15" s="101"/>
      <c r="WB15" s="101"/>
      <c r="WC15" s="101"/>
      <c r="WD15" s="101"/>
      <c r="WE15" s="101"/>
      <c r="WF15" s="101"/>
      <c r="WG15" s="101"/>
      <c r="WH15" s="101"/>
      <c r="WI15" s="101"/>
      <c r="WJ15" s="101"/>
      <c r="WK15" s="101"/>
      <c r="WL15" s="101"/>
      <c r="WM15" s="101"/>
      <c r="WN15" s="101"/>
      <c r="WO15" s="101"/>
      <c r="WP15" s="101"/>
      <c r="WQ15" s="101"/>
      <c r="WR15" s="101"/>
      <c r="WS15" s="101"/>
      <c r="WT15" s="101"/>
      <c r="WU15" s="101"/>
      <c r="WV15" s="101"/>
      <c r="WW15" s="101"/>
      <c r="WX15" s="101"/>
      <c r="WY15" s="101"/>
      <c r="WZ15" s="101"/>
      <c r="XA15" s="101"/>
      <c r="XB15" s="101"/>
      <c r="XC15" s="101"/>
      <c r="XD15" s="101"/>
      <c r="XE15" s="101"/>
      <c r="XF15" s="101"/>
      <c r="XG15" s="101"/>
      <c r="XH15" s="101"/>
      <c r="XI15" s="101"/>
      <c r="XJ15" s="101"/>
      <c r="XK15" s="101"/>
      <c r="XL15" s="101"/>
      <c r="XM15" s="101"/>
      <c r="XN15" s="101"/>
      <c r="XO15" s="101"/>
      <c r="XP15" s="101"/>
      <c r="XQ15" s="101"/>
      <c r="XR15" s="101"/>
      <c r="XS15" s="101"/>
      <c r="XT15" s="101"/>
      <c r="XU15" s="101"/>
      <c r="XV15" s="101"/>
      <c r="XW15" s="101"/>
      <c r="XX15" s="101"/>
      <c r="XY15" s="101"/>
      <c r="XZ15" s="101"/>
      <c r="YA15" s="101"/>
      <c r="YB15" s="101"/>
      <c r="YC15" s="101"/>
      <c r="YD15" s="101"/>
      <c r="YE15" s="101"/>
      <c r="YF15" s="101"/>
      <c r="YG15" s="101"/>
      <c r="YH15" s="101"/>
      <c r="YI15" s="101"/>
      <c r="YJ15" s="101"/>
      <c r="YK15" s="101"/>
      <c r="YL15" s="101"/>
      <c r="YM15" s="101"/>
      <c r="YN15" s="101"/>
      <c r="YO15" s="101"/>
      <c r="YP15" s="101"/>
      <c r="YQ15" s="101"/>
      <c r="YR15" s="101"/>
      <c r="YS15" s="101"/>
      <c r="YT15" s="101"/>
      <c r="YU15" s="101"/>
      <c r="YV15" s="101"/>
      <c r="YW15" s="101"/>
      <c r="YX15" s="101"/>
      <c r="YY15" s="101"/>
      <c r="YZ15" s="101"/>
      <c r="ZA15" s="101"/>
      <c r="ZB15" s="101"/>
      <c r="ZC15" s="101"/>
      <c r="ZD15" s="101"/>
      <c r="ZE15" s="101"/>
      <c r="ZF15" s="101"/>
      <c r="ZG15" s="101"/>
      <c r="ZH15" s="101"/>
      <c r="ZI15" s="101"/>
      <c r="ZJ15" s="101"/>
      <c r="ZK15" s="101"/>
      <c r="ZL15" s="101"/>
      <c r="ZM15" s="101"/>
      <c r="ZN15" s="101"/>
      <c r="ZO15" s="101"/>
      <c r="ZP15" s="101"/>
      <c r="ZQ15" s="101"/>
      <c r="ZR15" s="101"/>
      <c r="ZS15" s="101"/>
      <c r="ZT15" s="101"/>
      <c r="ZU15" s="101"/>
      <c r="ZV15" s="101"/>
      <c r="ZW15" s="101"/>
      <c r="ZX15" s="101"/>
      <c r="ZY15" s="101"/>
      <c r="ZZ15" s="101"/>
      <c r="AAA15" s="101"/>
      <c r="AAB15" s="101"/>
      <c r="AAC15" s="101"/>
      <c r="AAD15" s="101"/>
      <c r="AAE15" s="101"/>
      <c r="AAF15" s="101"/>
      <c r="AAG15" s="101"/>
      <c r="AAH15" s="101"/>
      <c r="AAI15" s="101"/>
      <c r="AAJ15" s="101"/>
      <c r="AAK15" s="101"/>
      <c r="AAL15" s="101"/>
      <c r="AAM15" s="101"/>
      <c r="AAN15" s="101"/>
      <c r="AAO15" s="101"/>
      <c r="AAP15" s="101"/>
      <c r="AAQ15" s="101"/>
      <c r="AAR15" s="101"/>
      <c r="AAS15" s="101"/>
      <c r="AAT15" s="101"/>
      <c r="AAU15" s="101"/>
      <c r="AAV15" s="101"/>
      <c r="AAW15" s="101"/>
      <c r="AAX15" s="101"/>
      <c r="AAY15" s="101"/>
      <c r="AAZ15" s="101"/>
      <c r="ABA15" s="101"/>
      <c r="ABB15" s="101"/>
      <c r="ABC15" s="101"/>
      <c r="ABD15" s="101"/>
      <c r="ABE15" s="101"/>
      <c r="ABF15" s="101"/>
      <c r="ABG15" s="101"/>
      <c r="ABH15" s="101"/>
      <c r="ABI15" s="101"/>
      <c r="ABJ15" s="101"/>
      <c r="ABK15" s="101"/>
      <c r="ABL15" s="101"/>
      <c r="ABM15" s="101"/>
      <c r="ABN15" s="101"/>
      <c r="ABO15" s="101"/>
      <c r="ABP15" s="101"/>
      <c r="ABQ15" s="101"/>
      <c r="ABR15" s="101"/>
      <c r="ABS15" s="101"/>
      <c r="ABT15" s="101"/>
      <c r="ABU15" s="101"/>
      <c r="ABV15" s="101"/>
      <c r="ABW15" s="101"/>
      <c r="ABX15" s="101"/>
      <c r="ABY15" s="101"/>
      <c r="ABZ15" s="101"/>
      <c r="ACA15" s="101"/>
      <c r="ACB15" s="101"/>
      <c r="ACC15" s="101"/>
      <c r="ACD15" s="101"/>
      <c r="ACE15" s="101"/>
      <c r="ACF15" s="101"/>
      <c r="ACG15" s="101"/>
      <c r="ACH15" s="101"/>
      <c r="ACI15" s="101"/>
      <c r="ACJ15" s="101"/>
      <c r="ACK15" s="101"/>
      <c r="ACL15" s="101"/>
      <c r="ACM15" s="101"/>
      <c r="ACN15" s="101"/>
      <c r="ACO15" s="101"/>
      <c r="ACP15" s="101"/>
      <c r="ACQ15" s="101"/>
      <c r="ACR15" s="101"/>
      <c r="ACS15" s="101"/>
      <c r="ACT15" s="101"/>
      <c r="ACU15" s="101"/>
      <c r="ACV15" s="101"/>
      <c r="ACW15" s="101"/>
      <c r="ACX15" s="101"/>
      <c r="ACY15" s="101"/>
      <c r="ACZ15" s="101"/>
      <c r="ADA15" s="101"/>
      <c r="ADB15" s="101"/>
      <c r="ADC15" s="101"/>
      <c r="ADD15" s="101"/>
      <c r="ADE15" s="101"/>
      <c r="ADF15" s="101"/>
      <c r="ADG15" s="101"/>
      <c r="ADH15" s="101"/>
      <c r="ADI15" s="101"/>
      <c r="ADJ15" s="101"/>
      <c r="ADK15" s="101"/>
      <c r="ADL15" s="101"/>
      <c r="ADM15" s="101"/>
      <c r="ADN15" s="101"/>
      <c r="ADO15" s="101"/>
      <c r="ADP15" s="101"/>
      <c r="ADQ15" s="101"/>
      <c r="ADR15" s="101"/>
      <c r="ADS15" s="101"/>
      <c r="ADT15" s="101"/>
      <c r="ADU15" s="101"/>
      <c r="ADV15" s="101"/>
      <c r="ADW15" s="101"/>
      <c r="ADX15" s="101"/>
      <c r="ADY15" s="101"/>
      <c r="ADZ15" s="101"/>
      <c r="AEA15" s="101"/>
      <c r="AEB15" s="101"/>
      <c r="AEC15" s="101"/>
      <c r="AED15" s="101"/>
      <c r="AEE15" s="101"/>
      <c r="AEF15" s="101"/>
      <c r="AEG15" s="101"/>
      <c r="AEH15" s="101"/>
      <c r="AEI15" s="101"/>
      <c r="AEJ15" s="101"/>
      <c r="AEK15" s="101"/>
      <c r="AEL15" s="101"/>
      <c r="AEM15" s="101"/>
      <c r="AEN15" s="101"/>
      <c r="AEO15" s="101"/>
      <c r="AEP15" s="101"/>
      <c r="AEQ15" s="101"/>
      <c r="AER15" s="101"/>
      <c r="AES15" s="101"/>
      <c r="AET15" s="101"/>
      <c r="AEU15" s="101"/>
      <c r="AEV15" s="101"/>
      <c r="AEW15" s="101"/>
      <c r="AEX15" s="101"/>
      <c r="AEY15" s="101"/>
      <c r="AEZ15" s="101"/>
      <c r="AFA15" s="101"/>
      <c r="AFB15" s="101"/>
      <c r="AFC15" s="101"/>
      <c r="AFD15" s="101"/>
      <c r="AFE15" s="101"/>
      <c r="AFF15" s="101"/>
      <c r="AFG15" s="101"/>
      <c r="AFH15" s="101"/>
      <c r="AFI15" s="101"/>
      <c r="AFJ15" s="101"/>
      <c r="AFK15" s="101"/>
      <c r="AFL15" s="101"/>
      <c r="AFM15" s="101"/>
      <c r="AFN15" s="101"/>
      <c r="AFO15" s="101"/>
      <c r="AFP15" s="101"/>
      <c r="AFQ15" s="101"/>
      <c r="AFR15" s="101"/>
      <c r="AFS15" s="101"/>
      <c r="AFT15" s="101"/>
      <c r="AFU15" s="101"/>
      <c r="AFV15" s="101"/>
      <c r="AFW15" s="101"/>
      <c r="AFX15" s="101"/>
      <c r="AFY15" s="101"/>
      <c r="AFZ15" s="101"/>
      <c r="AGA15" s="101"/>
      <c r="AGB15" s="101"/>
      <c r="AGC15" s="101"/>
      <c r="AGD15" s="101"/>
      <c r="AGE15" s="101"/>
      <c r="AGF15" s="101"/>
      <c r="AGG15" s="101"/>
      <c r="AGH15" s="101"/>
      <c r="AGI15" s="101"/>
      <c r="AGJ15" s="101"/>
      <c r="AGK15" s="101"/>
      <c r="AGL15" s="101"/>
      <c r="AGM15" s="101"/>
      <c r="AGN15" s="101"/>
      <c r="AGO15" s="101"/>
      <c r="AGP15" s="101"/>
      <c r="AGQ15" s="101"/>
      <c r="AGR15" s="101"/>
      <c r="AGS15" s="101"/>
      <c r="AGT15" s="101"/>
      <c r="AGU15" s="101"/>
      <c r="AGV15" s="101"/>
      <c r="AGW15" s="101"/>
      <c r="AGX15" s="101"/>
      <c r="AGY15" s="101"/>
      <c r="AGZ15" s="101"/>
      <c r="AHA15" s="101"/>
      <c r="AHB15" s="101"/>
      <c r="AHC15" s="101"/>
      <c r="AHD15" s="101"/>
      <c r="AHE15" s="101"/>
      <c r="AHF15" s="101"/>
      <c r="AHG15" s="101"/>
      <c r="AHH15" s="101"/>
      <c r="AHI15" s="101"/>
      <c r="AHJ15" s="101"/>
      <c r="AHK15" s="101"/>
      <c r="AHL15" s="101"/>
      <c r="AHM15" s="101"/>
      <c r="AHN15" s="101"/>
      <c r="AHO15" s="101"/>
      <c r="AHP15" s="101"/>
      <c r="AHQ15" s="101"/>
      <c r="AHR15" s="101"/>
      <c r="AHS15" s="101"/>
      <c r="AHT15" s="101"/>
      <c r="AHU15" s="101"/>
      <c r="AHV15" s="101"/>
      <c r="AHW15" s="101"/>
      <c r="AHX15" s="101"/>
      <c r="AHY15" s="101"/>
      <c r="AHZ15" s="101"/>
      <c r="AIA15" s="101"/>
      <c r="AIB15" s="101"/>
      <c r="AIC15" s="101"/>
      <c r="AID15" s="101"/>
      <c r="AIE15" s="101"/>
      <c r="AIF15" s="101"/>
      <c r="AIG15" s="101"/>
      <c r="AIH15" s="101"/>
      <c r="AII15" s="101"/>
      <c r="AIJ15" s="101"/>
      <c r="AIK15" s="101"/>
      <c r="AIL15" s="101"/>
      <c r="AIM15" s="101"/>
      <c r="AIN15" s="101"/>
      <c r="AIO15" s="101"/>
      <c r="AIP15" s="101"/>
      <c r="AIQ15" s="101"/>
      <c r="AIR15" s="101"/>
      <c r="AIS15" s="101"/>
      <c r="AIT15" s="101"/>
      <c r="AIU15" s="101"/>
      <c r="AIV15" s="101"/>
      <c r="AIW15" s="101"/>
      <c r="AIX15" s="101"/>
      <c r="AIY15" s="101"/>
      <c r="AIZ15" s="101"/>
      <c r="AJA15" s="101"/>
      <c r="AJB15" s="101"/>
      <c r="AJC15" s="101"/>
      <c r="AJD15" s="101"/>
      <c r="AJE15" s="101"/>
      <c r="AJF15" s="101"/>
      <c r="AJG15" s="101"/>
      <c r="AJH15" s="101"/>
      <c r="AJI15" s="101"/>
      <c r="AJJ15" s="101"/>
      <c r="AJK15" s="101"/>
      <c r="AJL15" s="101"/>
      <c r="AJM15" s="101"/>
      <c r="AJN15" s="101"/>
      <c r="AJO15" s="101"/>
      <c r="AJP15" s="101"/>
      <c r="AJQ15" s="101"/>
      <c r="AJR15" s="101"/>
      <c r="AJS15" s="101"/>
      <c r="AJT15" s="101"/>
      <c r="AJU15" s="101"/>
      <c r="AJV15" s="101"/>
      <c r="AJW15" s="101"/>
      <c r="AJX15" s="101"/>
      <c r="AJY15" s="101"/>
      <c r="AJZ15" s="101"/>
      <c r="AKA15" s="101"/>
      <c r="AKB15" s="101"/>
      <c r="AKC15" s="101"/>
      <c r="AKD15" s="101"/>
      <c r="AKE15" s="101"/>
      <c r="AKF15" s="101"/>
      <c r="AKG15" s="101"/>
      <c r="AKH15" s="101"/>
      <c r="AKI15" s="101"/>
      <c r="AKJ15" s="101"/>
      <c r="AKK15" s="101"/>
      <c r="AKL15" s="101"/>
      <c r="AKM15" s="101"/>
      <c r="AKN15" s="101"/>
      <c r="AKO15" s="101"/>
      <c r="AKP15" s="101"/>
      <c r="AKQ15" s="101"/>
      <c r="AKR15" s="101"/>
      <c r="AKS15" s="101"/>
      <c r="AKT15" s="101"/>
      <c r="AKU15" s="101"/>
      <c r="AKV15" s="101"/>
      <c r="AKW15" s="101"/>
      <c r="AKX15" s="101"/>
      <c r="AKY15" s="101"/>
      <c r="AKZ15" s="101"/>
      <c r="ALA15" s="101"/>
      <c r="ALB15" s="101"/>
      <c r="ALC15" s="101"/>
      <c r="ALD15" s="101"/>
      <c r="ALE15" s="101"/>
      <c r="ALF15" s="101"/>
      <c r="ALG15" s="101"/>
      <c r="ALH15" s="101"/>
      <c r="ALI15" s="101"/>
      <c r="ALJ15" s="101"/>
      <c r="ALK15" s="101"/>
      <c r="ALL15" s="101"/>
      <c r="ALM15" s="101"/>
      <c r="ALN15" s="101"/>
      <c r="ALO15" s="101"/>
      <c r="ALP15" s="101"/>
      <c r="ALQ15" s="101"/>
      <c r="ALR15" s="101"/>
      <c r="ALS15" s="101"/>
      <c r="ALT15" s="101"/>
      <c r="ALU15" s="101"/>
      <c r="ALV15" s="101"/>
      <c r="ALW15" s="101"/>
      <c r="ALX15" s="101"/>
      <c r="ALY15" s="101"/>
      <c r="ALZ15" s="101"/>
      <c r="AMA15" s="101"/>
      <c r="AMB15" s="101"/>
      <c r="AMC15" s="101"/>
      <c r="AMD15" s="101"/>
      <c r="AME15" s="101"/>
      <c r="AMF15" s="101"/>
      <c r="AMG15" s="101"/>
      <c r="AMH15" s="101"/>
      <c r="AMI15" s="101"/>
      <c r="AMJ15" s="101"/>
      <c r="AMK15" s="101"/>
      <c r="AML15" s="101"/>
      <c r="AMM15" s="101"/>
      <c r="AMN15" s="101"/>
      <c r="AMO15" s="101"/>
      <c r="AMP15" s="101"/>
      <c r="AMQ15" s="101"/>
      <c r="AMR15" s="101"/>
      <c r="AMS15" s="101"/>
      <c r="AMT15" s="101"/>
      <c r="AMU15" s="101"/>
      <c r="AMV15" s="101"/>
      <c r="AMW15" s="101"/>
      <c r="AMX15" s="101"/>
      <c r="AMY15" s="101"/>
      <c r="AMZ15" s="101"/>
      <c r="ANA15" s="101"/>
      <c r="ANB15" s="101"/>
      <c r="ANC15" s="101"/>
      <c r="AND15" s="101"/>
      <c r="ANE15" s="101"/>
      <c r="ANF15" s="101"/>
      <c r="ANG15" s="101"/>
      <c r="ANH15" s="101"/>
      <c r="ANI15" s="101"/>
      <c r="ANJ15" s="101"/>
      <c r="ANK15" s="101"/>
      <c r="ANL15" s="101"/>
      <c r="ANM15" s="101"/>
      <c r="ANN15" s="101"/>
      <c r="ANO15" s="101"/>
      <c r="ANP15" s="101"/>
      <c r="ANQ15" s="101"/>
      <c r="ANR15" s="101"/>
      <c r="ANS15" s="101"/>
      <c r="ANT15" s="101"/>
      <c r="ANU15" s="101"/>
      <c r="ANV15" s="101"/>
      <c r="ANW15" s="101"/>
      <c r="ANX15" s="101"/>
      <c r="ANY15" s="101"/>
      <c r="ANZ15" s="101"/>
      <c r="AOA15" s="101"/>
      <c r="AOB15" s="101"/>
      <c r="AOC15" s="101"/>
      <c r="AOD15" s="101"/>
      <c r="AOE15" s="101"/>
      <c r="AOF15" s="101"/>
      <c r="AOG15" s="101"/>
      <c r="AOH15" s="101"/>
      <c r="AOI15" s="101"/>
      <c r="AOJ15" s="101"/>
      <c r="AOK15" s="101"/>
      <c r="AOL15" s="101"/>
      <c r="AOM15" s="101"/>
      <c r="AON15" s="101"/>
      <c r="AOO15" s="101"/>
      <c r="AOP15" s="101"/>
      <c r="AOQ15" s="101"/>
      <c r="AOR15" s="101"/>
      <c r="AOS15" s="101"/>
      <c r="AOT15" s="101"/>
      <c r="AOU15" s="101"/>
      <c r="AOV15" s="101"/>
      <c r="AOW15" s="101"/>
      <c r="AOX15" s="101"/>
      <c r="AOY15" s="101"/>
      <c r="AOZ15" s="101"/>
      <c r="APA15" s="101"/>
      <c r="APB15" s="101"/>
      <c r="APC15" s="101"/>
      <c r="APD15" s="101"/>
      <c r="APE15" s="101"/>
      <c r="APF15" s="101"/>
      <c r="APG15" s="101"/>
      <c r="APH15" s="101"/>
      <c r="API15" s="101"/>
      <c r="APJ15" s="101"/>
      <c r="APK15" s="101"/>
      <c r="APL15" s="101"/>
      <c r="APM15" s="101"/>
      <c r="APN15" s="101"/>
      <c r="APO15" s="101"/>
      <c r="APP15" s="101"/>
      <c r="APQ15" s="101"/>
      <c r="APR15" s="101"/>
      <c r="APS15" s="101"/>
      <c r="APT15" s="101"/>
      <c r="APU15" s="101"/>
      <c r="APV15" s="101"/>
      <c r="APW15" s="101"/>
      <c r="APX15" s="101"/>
      <c r="APY15" s="101"/>
      <c r="APZ15" s="101"/>
      <c r="AQA15" s="101"/>
      <c r="AQB15" s="101"/>
      <c r="AQC15" s="101"/>
      <c r="AQD15" s="101"/>
      <c r="AQE15" s="101"/>
      <c r="AQF15" s="101"/>
      <c r="AQG15" s="101"/>
      <c r="AQH15" s="101"/>
      <c r="AQI15" s="101"/>
      <c r="AQJ15" s="101"/>
      <c r="AQK15" s="101"/>
      <c r="AQL15" s="101"/>
      <c r="AQM15" s="101"/>
      <c r="AQN15" s="101"/>
      <c r="AQO15" s="101"/>
      <c r="AQP15" s="101"/>
      <c r="AQQ15" s="101"/>
      <c r="AQR15" s="101"/>
      <c r="AQS15" s="101"/>
      <c r="AQT15" s="101"/>
      <c r="AQU15" s="101"/>
      <c r="AQV15" s="101"/>
      <c r="AQW15" s="101"/>
      <c r="AQX15" s="101"/>
      <c r="AQY15" s="101"/>
      <c r="AQZ15" s="101"/>
      <c r="ARA15" s="101"/>
      <c r="ARB15" s="101"/>
      <c r="ARC15" s="101"/>
      <c r="ARD15" s="101"/>
      <c r="ARE15" s="101"/>
      <c r="ARF15" s="101"/>
      <c r="ARG15" s="101"/>
      <c r="ARH15" s="101"/>
      <c r="ARI15" s="101"/>
      <c r="ARJ15" s="101"/>
      <c r="ARK15" s="101"/>
      <c r="ARL15" s="101"/>
      <c r="ARM15" s="101"/>
      <c r="ARN15" s="101"/>
      <c r="ARO15" s="101"/>
      <c r="ARP15" s="101"/>
      <c r="ARQ15" s="101"/>
      <c r="ARR15" s="101"/>
      <c r="ARS15" s="101"/>
      <c r="ART15" s="101"/>
      <c r="ARU15" s="101"/>
      <c r="ARV15" s="101"/>
      <c r="ARW15" s="101"/>
      <c r="ARX15" s="101"/>
      <c r="ARY15" s="101"/>
      <c r="ARZ15" s="101"/>
      <c r="ASA15" s="101"/>
      <c r="ASB15" s="101"/>
      <c r="ASC15" s="101"/>
      <c r="ASD15" s="101"/>
      <c r="ASE15" s="101"/>
      <c r="ASF15" s="101"/>
      <c r="ASG15" s="101"/>
      <c r="ASH15" s="101"/>
      <c r="ASI15" s="101"/>
      <c r="ASJ15" s="101"/>
      <c r="ASK15" s="101"/>
      <c r="ASL15" s="101"/>
      <c r="ASM15" s="101"/>
      <c r="ASN15" s="101"/>
      <c r="ASO15" s="101"/>
      <c r="ASP15" s="101"/>
      <c r="ASQ15" s="101"/>
      <c r="ASR15" s="101"/>
      <c r="ASS15" s="101"/>
      <c r="AST15" s="101"/>
      <c r="ASU15" s="101"/>
      <c r="ASV15" s="101"/>
      <c r="ASW15" s="101"/>
      <c r="ASX15" s="101"/>
      <c r="ASY15" s="101"/>
      <c r="ASZ15" s="101"/>
      <c r="ATA15" s="101"/>
      <c r="ATB15" s="101"/>
      <c r="ATC15" s="101"/>
      <c r="ATD15" s="101"/>
      <c r="ATE15" s="101"/>
      <c r="ATF15" s="101"/>
      <c r="ATG15" s="101"/>
      <c r="ATH15" s="101"/>
      <c r="ATI15" s="101"/>
      <c r="ATJ15" s="101"/>
      <c r="ATK15" s="101"/>
      <c r="ATL15" s="101"/>
      <c r="ATM15" s="101"/>
      <c r="ATN15" s="101"/>
      <c r="ATO15" s="101"/>
      <c r="ATP15" s="101"/>
      <c r="ATQ15" s="101"/>
      <c r="ATR15" s="101"/>
      <c r="ATS15" s="101"/>
      <c r="ATT15" s="101"/>
      <c r="ATU15" s="101"/>
      <c r="ATV15" s="101"/>
      <c r="ATW15" s="101"/>
      <c r="ATX15" s="101"/>
      <c r="ATY15" s="101"/>
      <c r="ATZ15" s="101"/>
      <c r="AUA15" s="101"/>
      <c r="AUB15" s="101"/>
      <c r="AUC15" s="101"/>
      <c r="AUD15" s="101"/>
      <c r="AUE15" s="101"/>
      <c r="AUF15" s="101"/>
      <c r="AUG15" s="101"/>
      <c r="AUH15" s="101"/>
      <c r="AUI15" s="101"/>
      <c r="AUJ15" s="101"/>
      <c r="AUK15" s="101"/>
      <c r="AUL15" s="101"/>
      <c r="AUM15" s="101"/>
      <c r="AUN15" s="101"/>
      <c r="AUO15" s="101"/>
      <c r="AUP15" s="101"/>
      <c r="AUQ15" s="101"/>
      <c r="AUR15" s="101"/>
      <c r="AUS15" s="101"/>
      <c r="AUT15" s="101"/>
      <c r="AUU15" s="101"/>
      <c r="AUV15" s="101"/>
      <c r="AUW15" s="101"/>
      <c r="AUX15" s="101"/>
      <c r="AUY15" s="101"/>
      <c r="AUZ15" s="101"/>
      <c r="AVA15" s="101"/>
      <c r="AVB15" s="101"/>
      <c r="AVC15" s="101"/>
      <c r="AVD15" s="101"/>
      <c r="AVE15" s="101"/>
      <c r="AVF15" s="101"/>
      <c r="AVG15" s="101"/>
      <c r="AVH15" s="101"/>
      <c r="AVI15" s="101"/>
      <c r="AVJ15" s="101"/>
      <c r="AVK15" s="101"/>
      <c r="AVL15" s="101"/>
      <c r="AVM15" s="101"/>
      <c r="AVN15" s="101"/>
      <c r="AVO15" s="101"/>
      <c r="AVP15" s="101"/>
      <c r="AVQ15" s="101"/>
      <c r="AVR15" s="101"/>
      <c r="AVS15" s="101"/>
      <c r="AVT15" s="101"/>
      <c r="AVU15" s="101"/>
      <c r="AVV15" s="101"/>
      <c r="AVW15" s="101"/>
      <c r="AVX15" s="101"/>
      <c r="AVY15" s="101"/>
      <c r="AVZ15" s="101"/>
      <c r="AWA15" s="101"/>
      <c r="AWB15" s="101"/>
      <c r="AWC15" s="101"/>
      <c r="AWD15" s="101"/>
      <c r="AWE15" s="101"/>
      <c r="AWF15" s="101"/>
      <c r="AWG15" s="101"/>
      <c r="AWH15" s="101"/>
      <c r="AWI15" s="101"/>
      <c r="AWJ15" s="101"/>
      <c r="AWK15" s="101"/>
      <c r="AWL15" s="101"/>
      <c r="AWM15" s="101"/>
      <c r="AWN15" s="101"/>
      <c r="AWO15" s="101"/>
      <c r="AWP15" s="101"/>
      <c r="AWQ15" s="101"/>
      <c r="AWR15" s="101"/>
      <c r="AWS15" s="101"/>
      <c r="AWT15" s="101"/>
      <c r="AWU15" s="101"/>
      <c r="AWV15" s="101"/>
      <c r="AWW15" s="101"/>
      <c r="AWX15" s="101"/>
      <c r="AWY15" s="101"/>
      <c r="AWZ15" s="101"/>
      <c r="AXA15" s="101"/>
      <c r="AXB15" s="101"/>
      <c r="AXC15" s="101"/>
      <c r="AXD15" s="101"/>
      <c r="AXE15" s="101"/>
      <c r="AXF15" s="101"/>
      <c r="AXG15" s="101"/>
      <c r="AXH15" s="101"/>
      <c r="AXI15" s="101"/>
      <c r="AXJ15" s="101"/>
      <c r="AXK15" s="101"/>
      <c r="AXL15" s="101"/>
      <c r="AXM15" s="101"/>
      <c r="AXN15" s="101"/>
      <c r="AXO15" s="101"/>
      <c r="AXP15" s="101"/>
      <c r="AXQ15" s="101"/>
      <c r="AXR15" s="101"/>
      <c r="AXS15" s="101"/>
      <c r="AXT15" s="101"/>
      <c r="AXU15" s="101"/>
      <c r="AXV15" s="101"/>
      <c r="AXW15" s="101"/>
      <c r="AXX15" s="101"/>
      <c r="AXY15" s="101"/>
      <c r="AXZ15" s="101"/>
      <c r="AYA15" s="101"/>
      <c r="AYB15" s="101"/>
      <c r="AYC15" s="101"/>
      <c r="AYD15" s="101"/>
      <c r="AYE15" s="101"/>
      <c r="AYF15" s="101"/>
      <c r="AYG15" s="101"/>
      <c r="AYH15" s="101"/>
      <c r="AYI15" s="101"/>
      <c r="AYJ15" s="101"/>
      <c r="AYK15" s="101"/>
      <c r="AYL15" s="101"/>
      <c r="AYM15" s="101"/>
      <c r="AYN15" s="101"/>
      <c r="AYO15" s="101"/>
      <c r="AYP15" s="101"/>
      <c r="AYQ15" s="101"/>
      <c r="AYR15" s="101"/>
      <c r="AYS15" s="101"/>
      <c r="AYT15" s="101"/>
      <c r="AYU15" s="101"/>
      <c r="AYV15" s="101"/>
      <c r="AYW15" s="101"/>
      <c r="AYX15" s="101"/>
      <c r="AYY15" s="101"/>
      <c r="AYZ15" s="101"/>
      <c r="AZA15" s="101"/>
      <c r="AZB15" s="101"/>
      <c r="AZC15" s="101"/>
      <c r="AZD15" s="101"/>
      <c r="AZE15" s="101"/>
      <c r="AZF15" s="101"/>
      <c r="AZG15" s="101"/>
      <c r="AZH15" s="101"/>
      <c r="AZI15" s="101"/>
      <c r="AZJ15" s="101"/>
      <c r="AZK15" s="101"/>
      <c r="AZL15" s="101"/>
      <c r="AZM15" s="101"/>
      <c r="AZN15" s="101"/>
      <c r="AZO15" s="101"/>
      <c r="AZP15" s="101"/>
      <c r="AZQ15" s="101"/>
      <c r="AZR15" s="101"/>
      <c r="AZS15" s="101"/>
      <c r="AZT15" s="101"/>
      <c r="AZU15" s="101"/>
      <c r="AZV15" s="101"/>
      <c r="AZW15" s="101"/>
      <c r="AZX15" s="101"/>
      <c r="AZY15" s="101"/>
      <c r="AZZ15" s="101"/>
      <c r="BAA15" s="101"/>
      <c r="BAB15" s="101"/>
      <c r="BAC15" s="101"/>
      <c r="BAD15" s="101"/>
      <c r="BAE15" s="101"/>
      <c r="BAF15" s="101"/>
      <c r="BAG15" s="101"/>
      <c r="BAH15" s="101"/>
      <c r="BAI15" s="101"/>
      <c r="BAJ15" s="101"/>
      <c r="BAK15" s="101"/>
      <c r="BAL15" s="101"/>
      <c r="BAM15" s="101"/>
      <c r="BAN15" s="101"/>
      <c r="BAO15" s="101"/>
      <c r="BAP15" s="101"/>
      <c r="BAQ15" s="101"/>
      <c r="BAR15" s="101"/>
      <c r="BAS15" s="101"/>
      <c r="BAT15" s="101"/>
      <c r="BAU15" s="101"/>
      <c r="BAV15" s="101"/>
      <c r="BAW15" s="101"/>
      <c r="BAX15" s="101"/>
      <c r="BAY15" s="101"/>
      <c r="BAZ15" s="101"/>
      <c r="BBA15" s="101"/>
      <c r="BBB15" s="101"/>
      <c r="BBC15" s="101"/>
      <c r="BBD15" s="101"/>
      <c r="BBE15" s="101"/>
      <c r="BBF15" s="101"/>
      <c r="BBG15" s="101"/>
      <c r="BBH15" s="101"/>
      <c r="BBI15" s="101"/>
      <c r="BBJ15" s="101"/>
      <c r="BBK15" s="101"/>
      <c r="BBL15" s="101"/>
      <c r="BBM15" s="101"/>
      <c r="BBN15" s="101"/>
      <c r="BBO15" s="101"/>
      <c r="BBP15" s="101"/>
      <c r="BBQ15" s="101"/>
      <c r="BBR15" s="101"/>
      <c r="BBS15" s="101"/>
      <c r="BBT15" s="101"/>
      <c r="BBU15" s="101"/>
      <c r="BBV15" s="101"/>
      <c r="BBW15" s="101"/>
      <c r="BBX15" s="101"/>
      <c r="BBY15" s="101"/>
      <c r="BBZ15" s="101"/>
      <c r="BCA15" s="101"/>
      <c r="BCB15" s="101"/>
      <c r="BCC15" s="101"/>
      <c r="BCD15" s="101"/>
      <c r="BCE15" s="101"/>
      <c r="BCF15" s="101"/>
      <c r="BCG15" s="101"/>
      <c r="BCH15" s="101"/>
      <c r="BCI15" s="101"/>
      <c r="BCJ15" s="101"/>
      <c r="BCK15" s="101"/>
      <c r="BCL15" s="101"/>
      <c r="BCM15" s="101"/>
      <c r="BCN15" s="101"/>
      <c r="BCO15" s="101"/>
      <c r="BCP15" s="101"/>
      <c r="BCQ15" s="101"/>
      <c r="BCR15" s="101"/>
      <c r="BCS15" s="101"/>
      <c r="BCT15" s="101"/>
      <c r="BCU15" s="101"/>
      <c r="BCV15" s="101"/>
      <c r="BCW15" s="101"/>
      <c r="BCX15" s="101"/>
      <c r="BCY15" s="101"/>
      <c r="BCZ15" s="101"/>
      <c r="BDA15" s="101"/>
      <c r="BDB15" s="101"/>
      <c r="BDC15" s="101"/>
      <c r="BDD15" s="101"/>
      <c r="BDE15" s="101"/>
      <c r="BDF15" s="101"/>
      <c r="BDG15" s="101"/>
      <c r="BDH15" s="101"/>
      <c r="BDI15" s="101"/>
      <c r="BDJ15" s="101"/>
      <c r="BDK15" s="101"/>
      <c r="BDL15" s="101"/>
      <c r="BDM15" s="101"/>
      <c r="BDN15" s="101"/>
      <c r="BDO15" s="101"/>
      <c r="BDP15" s="101"/>
      <c r="BDQ15" s="101"/>
      <c r="BDR15" s="101"/>
      <c r="BDS15" s="101"/>
      <c r="BDT15" s="101"/>
      <c r="BDU15" s="101"/>
      <c r="BDV15" s="101"/>
      <c r="BDW15" s="101"/>
      <c r="BDX15" s="101"/>
      <c r="BDY15" s="101"/>
      <c r="BDZ15" s="101"/>
      <c r="BEA15" s="101"/>
      <c r="BEB15" s="101"/>
      <c r="BEC15" s="101"/>
      <c r="BED15" s="101"/>
      <c r="BEE15" s="101"/>
      <c r="BEF15" s="101"/>
      <c r="BEG15" s="101"/>
      <c r="BEH15" s="101"/>
      <c r="BEI15" s="101"/>
      <c r="BEJ15" s="101"/>
      <c r="BEK15" s="101"/>
      <c r="BEL15" s="101"/>
      <c r="BEM15" s="101"/>
      <c r="BEN15" s="101"/>
      <c r="BEO15" s="101"/>
      <c r="BEP15" s="101"/>
      <c r="BEQ15" s="101"/>
      <c r="BER15" s="101"/>
      <c r="BES15" s="101"/>
      <c r="BET15" s="101"/>
      <c r="BEU15" s="101"/>
      <c r="BEV15" s="101"/>
      <c r="BEW15" s="101"/>
      <c r="BEX15" s="101"/>
      <c r="BEY15" s="101"/>
      <c r="BEZ15" s="101"/>
      <c r="BFA15" s="101"/>
      <c r="BFB15" s="101"/>
      <c r="BFC15" s="101"/>
      <c r="BFD15" s="101"/>
      <c r="BFE15" s="101"/>
      <c r="BFF15" s="101"/>
      <c r="BFG15" s="101"/>
      <c r="BFH15" s="101"/>
      <c r="BFI15" s="101"/>
      <c r="BFJ15" s="101"/>
      <c r="BFK15" s="101"/>
      <c r="BFL15" s="101"/>
      <c r="BFM15" s="101"/>
      <c r="BFN15" s="101"/>
      <c r="BFO15" s="101"/>
      <c r="BFP15" s="101"/>
      <c r="BFQ15" s="101"/>
      <c r="BFR15" s="101"/>
      <c r="BFS15" s="101"/>
      <c r="BFT15" s="101"/>
      <c r="BFU15" s="101"/>
      <c r="BFV15" s="101"/>
      <c r="BFW15" s="101"/>
      <c r="BFX15" s="101"/>
      <c r="BFY15" s="101"/>
      <c r="BFZ15" s="101"/>
      <c r="BGA15" s="101"/>
      <c r="BGB15" s="101"/>
      <c r="BGC15" s="101"/>
      <c r="BGD15" s="101"/>
      <c r="BGE15" s="101"/>
      <c r="BGF15" s="101"/>
      <c r="BGG15" s="101"/>
      <c r="BGH15" s="101"/>
      <c r="BGI15" s="101"/>
      <c r="BGJ15" s="101"/>
      <c r="BGK15" s="101"/>
      <c r="BGL15" s="101"/>
      <c r="BGM15" s="101"/>
      <c r="BGN15" s="101"/>
      <c r="BGO15" s="101"/>
      <c r="BGP15" s="101"/>
      <c r="BGQ15" s="101"/>
      <c r="BGR15" s="101"/>
      <c r="BGS15" s="101"/>
      <c r="BGT15" s="101"/>
      <c r="BGU15" s="101"/>
      <c r="BGV15" s="101"/>
      <c r="BGW15" s="101"/>
      <c r="BGX15" s="101"/>
      <c r="BGY15" s="101"/>
      <c r="BGZ15" s="101"/>
      <c r="BHA15" s="101"/>
      <c r="BHB15" s="101"/>
      <c r="BHC15" s="101"/>
      <c r="BHD15" s="101"/>
      <c r="BHE15" s="101"/>
      <c r="BHF15" s="101"/>
      <c r="BHG15" s="101"/>
      <c r="BHH15" s="101"/>
      <c r="BHI15" s="101"/>
      <c r="BHJ15" s="101"/>
      <c r="BHK15" s="101"/>
      <c r="BHL15" s="101"/>
      <c r="BHM15" s="101"/>
      <c r="BHN15" s="101"/>
      <c r="BHO15" s="101"/>
      <c r="BHP15" s="101"/>
      <c r="BHQ15" s="101"/>
      <c r="BHR15" s="101"/>
      <c r="BHS15" s="101"/>
      <c r="BHT15" s="101"/>
      <c r="BHU15" s="101"/>
      <c r="BHV15" s="101"/>
      <c r="BHW15" s="101"/>
      <c r="BHX15" s="101"/>
      <c r="BHY15" s="101"/>
      <c r="BHZ15" s="101"/>
      <c r="BIA15" s="101"/>
      <c r="BIB15" s="101"/>
      <c r="BIC15" s="101"/>
      <c r="BID15" s="101"/>
      <c r="BIE15" s="101"/>
      <c r="BIF15" s="101"/>
      <c r="BIG15" s="101"/>
      <c r="BIH15" s="101"/>
      <c r="BII15" s="101"/>
      <c r="BIJ15" s="101"/>
      <c r="BIK15" s="101"/>
      <c r="BIL15" s="101"/>
      <c r="BIM15" s="101"/>
      <c r="BIN15" s="101"/>
      <c r="BIO15" s="101"/>
      <c r="BIP15" s="101"/>
      <c r="BIQ15" s="101"/>
      <c r="BIR15" s="101"/>
      <c r="BIS15" s="101"/>
      <c r="BIT15" s="101"/>
      <c r="BIU15" s="101"/>
      <c r="BIV15" s="101"/>
      <c r="BIW15" s="101"/>
      <c r="BIX15" s="101"/>
      <c r="BIY15" s="101"/>
      <c r="BIZ15" s="101"/>
      <c r="BJA15" s="101"/>
      <c r="BJB15" s="101"/>
      <c r="BJC15" s="101"/>
      <c r="BJD15" s="101"/>
      <c r="BJE15" s="101"/>
      <c r="BJF15" s="101"/>
      <c r="BJG15" s="101"/>
      <c r="BJH15" s="101"/>
      <c r="BJI15" s="101"/>
      <c r="BJJ15" s="101"/>
      <c r="BJK15" s="101"/>
      <c r="BJL15" s="101"/>
      <c r="BJM15" s="101"/>
      <c r="BJN15" s="101"/>
      <c r="BJO15" s="101"/>
      <c r="BJP15" s="101"/>
      <c r="BJQ15" s="101"/>
      <c r="BJR15" s="101"/>
      <c r="BJS15" s="101"/>
      <c r="BJT15" s="101"/>
      <c r="BJU15" s="101"/>
      <c r="BJV15" s="101"/>
      <c r="BJW15" s="101"/>
      <c r="BJX15" s="101"/>
      <c r="BJY15" s="101"/>
      <c r="BJZ15" s="101"/>
      <c r="BKA15" s="101"/>
      <c r="BKB15" s="101"/>
      <c r="BKC15" s="101"/>
      <c r="BKD15" s="101"/>
      <c r="BKE15" s="101"/>
      <c r="BKF15" s="101"/>
      <c r="BKG15" s="101"/>
      <c r="BKH15" s="101"/>
      <c r="BKI15" s="101"/>
      <c r="BKJ15" s="101"/>
      <c r="BKK15" s="101"/>
      <c r="BKL15" s="101"/>
      <c r="BKM15" s="101"/>
      <c r="BKN15" s="101"/>
      <c r="BKO15" s="101"/>
      <c r="BKP15" s="101"/>
      <c r="BKQ15" s="101"/>
      <c r="BKR15" s="101"/>
      <c r="BKS15" s="101"/>
      <c r="BKT15" s="101"/>
      <c r="BKU15" s="101"/>
      <c r="BKV15" s="101"/>
      <c r="BKW15" s="101"/>
      <c r="BKX15" s="101"/>
      <c r="BKY15" s="101"/>
      <c r="BKZ15" s="101"/>
      <c r="BLA15" s="101"/>
      <c r="BLB15" s="101"/>
      <c r="BLC15" s="101"/>
      <c r="BLD15" s="101"/>
      <c r="BLE15" s="101"/>
      <c r="BLF15" s="101"/>
      <c r="BLG15" s="101"/>
      <c r="BLH15" s="101"/>
      <c r="BLI15" s="101"/>
      <c r="BLJ15" s="101"/>
      <c r="BLK15" s="101"/>
      <c r="BLL15" s="101"/>
      <c r="BLM15" s="101"/>
      <c r="BLN15" s="101"/>
      <c r="BLO15" s="101"/>
      <c r="BLP15" s="101"/>
      <c r="BLQ15" s="101"/>
      <c r="BLR15" s="101"/>
      <c r="BLS15" s="101"/>
      <c r="BLT15" s="101"/>
      <c r="BLU15" s="101"/>
      <c r="BLV15" s="101"/>
      <c r="BLW15" s="101"/>
      <c r="BLX15" s="101"/>
      <c r="BLY15" s="101"/>
      <c r="BLZ15" s="101"/>
      <c r="BMA15" s="101"/>
      <c r="BMB15" s="101"/>
      <c r="BMC15" s="101"/>
      <c r="BMD15" s="101"/>
      <c r="BME15" s="101"/>
      <c r="BMF15" s="101"/>
      <c r="BMG15" s="101"/>
      <c r="BMH15" s="101"/>
      <c r="BMI15" s="101"/>
      <c r="BMJ15" s="101"/>
      <c r="BMK15" s="101"/>
      <c r="BML15" s="101"/>
      <c r="BMM15" s="101"/>
      <c r="BMN15" s="101"/>
      <c r="BMO15" s="101"/>
      <c r="BMP15" s="101"/>
      <c r="BMQ15" s="101"/>
      <c r="BMR15" s="101"/>
      <c r="BMS15" s="101"/>
      <c r="BMT15" s="101"/>
      <c r="BMU15" s="101"/>
      <c r="BMV15" s="101"/>
      <c r="BMW15" s="101"/>
      <c r="BMX15" s="101"/>
      <c r="BMY15" s="101"/>
      <c r="BMZ15" s="101"/>
      <c r="BNA15" s="101"/>
      <c r="BNB15" s="101"/>
      <c r="BNC15" s="101"/>
      <c r="BND15" s="101"/>
      <c r="BNE15" s="101"/>
      <c r="BNF15" s="101"/>
      <c r="BNG15" s="101"/>
      <c r="BNH15" s="101"/>
      <c r="BNI15" s="101"/>
      <c r="BNJ15" s="101"/>
      <c r="BNK15" s="101"/>
      <c r="BNL15" s="101"/>
      <c r="BNM15" s="101"/>
      <c r="BNN15" s="101"/>
      <c r="BNO15" s="101"/>
      <c r="BNP15" s="101"/>
      <c r="BNQ15" s="101"/>
      <c r="BNR15" s="101"/>
      <c r="BNS15" s="101"/>
      <c r="BNT15" s="101"/>
      <c r="BNU15" s="101"/>
      <c r="BNV15" s="101"/>
      <c r="BNW15" s="101"/>
      <c r="BNX15" s="101"/>
      <c r="BNY15" s="101"/>
      <c r="BNZ15" s="101"/>
      <c r="BOA15" s="101"/>
      <c r="BOB15" s="101"/>
      <c r="BOC15" s="101"/>
      <c r="BOD15" s="101"/>
      <c r="BOE15" s="101"/>
      <c r="BOF15" s="101"/>
      <c r="BOG15" s="101"/>
      <c r="BOH15" s="101"/>
      <c r="BOI15" s="101"/>
      <c r="BOJ15" s="101"/>
      <c r="BOK15" s="101"/>
      <c r="BOL15" s="101"/>
      <c r="BOM15" s="101"/>
      <c r="BON15" s="101"/>
      <c r="BOO15" s="101"/>
      <c r="BOP15" s="101"/>
      <c r="BOQ15" s="101"/>
      <c r="BOR15" s="101"/>
      <c r="BOS15" s="101"/>
      <c r="BOT15" s="101"/>
      <c r="BOU15" s="101"/>
      <c r="BOV15" s="101"/>
      <c r="BOW15" s="101"/>
      <c r="BOX15" s="101"/>
      <c r="BOY15" s="101"/>
      <c r="BOZ15" s="101"/>
      <c r="BPA15" s="101"/>
      <c r="BPB15" s="101"/>
      <c r="BPC15" s="101"/>
      <c r="BPD15" s="101"/>
      <c r="BPE15" s="101"/>
      <c r="BPF15" s="101"/>
      <c r="BPG15" s="101"/>
      <c r="BPH15" s="101"/>
      <c r="BPI15" s="101"/>
      <c r="BPJ15" s="101"/>
      <c r="BPK15" s="101"/>
      <c r="BPL15" s="101"/>
      <c r="BPM15" s="101"/>
      <c r="BPN15" s="101"/>
      <c r="BPO15" s="101"/>
      <c r="BPP15" s="101"/>
      <c r="BPQ15" s="101"/>
      <c r="BPR15" s="101"/>
      <c r="BPS15" s="101"/>
      <c r="BPT15" s="101"/>
      <c r="BPU15" s="101"/>
      <c r="BPV15" s="101"/>
      <c r="BPW15" s="101"/>
      <c r="BPX15" s="101"/>
      <c r="BPY15" s="101"/>
      <c r="BPZ15" s="101"/>
      <c r="BQA15" s="101"/>
      <c r="BQB15" s="101"/>
      <c r="BQC15" s="101"/>
      <c r="BQD15" s="101"/>
      <c r="BQE15" s="101"/>
      <c r="BQF15" s="101"/>
      <c r="BQG15" s="101"/>
      <c r="BQH15" s="101"/>
      <c r="BQI15" s="101"/>
      <c r="BQJ15" s="101"/>
      <c r="BQK15" s="101"/>
      <c r="BQL15" s="101"/>
      <c r="BQM15" s="101"/>
      <c r="BQN15" s="101"/>
      <c r="BQO15" s="101"/>
      <c r="BQP15" s="101"/>
      <c r="BQQ15" s="101"/>
      <c r="BQR15" s="101"/>
      <c r="BQS15" s="101"/>
      <c r="BQT15" s="101"/>
      <c r="BQU15" s="101"/>
      <c r="BQV15" s="101"/>
      <c r="BQW15" s="101"/>
      <c r="BQX15" s="101"/>
      <c r="BQY15" s="101"/>
      <c r="BQZ15" s="101"/>
      <c r="BRA15" s="101"/>
      <c r="BRB15" s="101"/>
      <c r="BRC15" s="101"/>
      <c r="BRD15" s="101"/>
      <c r="BRE15" s="101"/>
      <c r="BRF15" s="101"/>
      <c r="BRG15" s="101"/>
      <c r="BRH15" s="101"/>
      <c r="BRI15" s="101"/>
      <c r="BRJ15" s="101"/>
      <c r="BRK15" s="101"/>
      <c r="BRL15" s="101"/>
      <c r="BRM15" s="101"/>
      <c r="BRN15" s="101"/>
      <c r="BRO15" s="101"/>
      <c r="BRP15" s="101"/>
      <c r="BRQ15" s="101"/>
      <c r="BRR15" s="101"/>
      <c r="BRS15" s="101"/>
      <c r="BRT15" s="101"/>
      <c r="BRU15" s="101"/>
      <c r="BRV15" s="101"/>
      <c r="BRW15" s="101"/>
      <c r="BRX15" s="101"/>
      <c r="BRY15" s="101"/>
      <c r="BRZ15" s="101"/>
      <c r="BSA15" s="101"/>
      <c r="BSB15" s="101"/>
      <c r="BSC15" s="101"/>
      <c r="BSD15" s="101"/>
      <c r="BSE15" s="101"/>
      <c r="BSF15" s="101"/>
      <c r="BSG15" s="101"/>
      <c r="BSH15" s="101"/>
      <c r="BSI15" s="101"/>
      <c r="BSJ15" s="101"/>
      <c r="BSK15" s="101"/>
      <c r="BSL15" s="101"/>
      <c r="BSM15" s="101"/>
      <c r="BSN15" s="101"/>
      <c r="BSO15" s="101"/>
      <c r="BSP15" s="101"/>
      <c r="BSQ15" s="101"/>
      <c r="BSR15" s="101"/>
      <c r="BSS15" s="101"/>
      <c r="BST15" s="101"/>
      <c r="BSU15" s="101"/>
      <c r="BSV15" s="101"/>
      <c r="BSW15" s="101"/>
      <c r="BSX15" s="101"/>
      <c r="BSY15" s="101"/>
      <c r="BSZ15" s="101"/>
      <c r="BTA15" s="101"/>
      <c r="BTB15" s="101"/>
      <c r="BTC15" s="101"/>
      <c r="BTD15" s="101"/>
      <c r="BTE15" s="101"/>
      <c r="BTF15" s="101"/>
      <c r="BTG15" s="101"/>
      <c r="BTH15" s="101"/>
      <c r="BTI15" s="101"/>
      <c r="BTJ15" s="101"/>
      <c r="BTK15" s="101"/>
      <c r="BTL15" s="101"/>
      <c r="BTM15" s="101"/>
      <c r="BTN15" s="101"/>
      <c r="BTO15" s="101"/>
      <c r="BTP15" s="101"/>
      <c r="BTQ15" s="101"/>
      <c r="BTR15" s="101"/>
      <c r="BTS15" s="101"/>
      <c r="BTT15" s="101"/>
      <c r="BTU15" s="101"/>
      <c r="BTV15" s="101"/>
      <c r="BTW15" s="101"/>
      <c r="BTX15" s="101"/>
      <c r="BTY15" s="101"/>
      <c r="BTZ15" s="101"/>
      <c r="BUA15" s="101"/>
      <c r="BUB15" s="101"/>
      <c r="BUC15" s="101"/>
      <c r="BUD15" s="101"/>
      <c r="BUE15" s="101"/>
      <c r="BUF15" s="101"/>
      <c r="BUG15" s="101"/>
      <c r="BUH15" s="101"/>
      <c r="BUI15" s="101"/>
      <c r="BUJ15" s="101"/>
      <c r="BUK15" s="101"/>
      <c r="BUL15" s="101"/>
      <c r="BUM15" s="101"/>
      <c r="BUN15" s="101"/>
      <c r="BUO15" s="101"/>
      <c r="BUP15" s="101"/>
      <c r="BUQ15" s="101"/>
      <c r="BUR15" s="101"/>
      <c r="BUS15" s="101"/>
      <c r="BUT15" s="101"/>
      <c r="BUU15" s="101"/>
      <c r="BUV15" s="101"/>
      <c r="BUW15" s="101"/>
      <c r="BUX15" s="101"/>
      <c r="BUY15" s="101"/>
      <c r="BUZ15" s="101"/>
      <c r="BVA15" s="101"/>
      <c r="BVB15" s="101"/>
      <c r="BVC15" s="101"/>
      <c r="BVD15" s="101"/>
      <c r="BVE15" s="101"/>
      <c r="BVF15" s="101"/>
      <c r="BVG15" s="101"/>
      <c r="BVH15" s="101"/>
      <c r="BVI15" s="101"/>
      <c r="BVJ15" s="101"/>
      <c r="BVK15" s="101"/>
      <c r="BVL15" s="101"/>
      <c r="BVM15" s="101"/>
      <c r="BVN15" s="101"/>
      <c r="BVO15" s="101"/>
      <c r="BVP15" s="101"/>
      <c r="BVQ15" s="101"/>
      <c r="BVR15" s="101"/>
      <c r="BVS15" s="101"/>
      <c r="BVT15" s="101"/>
      <c r="BVU15" s="101"/>
      <c r="BVV15" s="101"/>
      <c r="BVW15" s="101"/>
      <c r="BVX15" s="101"/>
      <c r="BVY15" s="101"/>
      <c r="BVZ15" s="101"/>
      <c r="BWA15" s="101"/>
      <c r="BWB15" s="101"/>
      <c r="BWC15" s="101"/>
      <c r="BWD15" s="101"/>
      <c r="BWE15" s="101"/>
      <c r="BWF15" s="101"/>
      <c r="BWG15" s="101"/>
      <c r="BWH15" s="101"/>
      <c r="BWI15" s="101"/>
      <c r="BWJ15" s="101"/>
      <c r="BWK15" s="101"/>
      <c r="BWL15" s="101"/>
      <c r="BWM15" s="101"/>
      <c r="BWN15" s="101"/>
      <c r="BWO15" s="101"/>
      <c r="BWP15" s="101"/>
      <c r="BWQ15" s="101"/>
      <c r="BWR15" s="101"/>
      <c r="BWS15" s="101"/>
      <c r="BWT15" s="101"/>
      <c r="BWU15" s="101"/>
      <c r="BWV15" s="101"/>
      <c r="BWW15" s="101"/>
      <c r="BWX15" s="101"/>
      <c r="BWY15" s="101"/>
      <c r="BWZ15" s="101"/>
      <c r="BXA15" s="101"/>
      <c r="BXB15" s="101"/>
      <c r="BXC15" s="101"/>
      <c r="BXD15" s="101"/>
      <c r="BXE15" s="101"/>
      <c r="BXF15" s="101"/>
      <c r="BXG15" s="101"/>
      <c r="BXH15" s="101"/>
      <c r="BXI15" s="101"/>
      <c r="BXJ15" s="101"/>
      <c r="BXK15" s="101"/>
      <c r="BXL15" s="101"/>
      <c r="BXM15" s="101"/>
      <c r="BXN15" s="101"/>
      <c r="BXO15" s="101"/>
      <c r="BXP15" s="101"/>
      <c r="BXQ15" s="101"/>
      <c r="BXR15" s="101"/>
      <c r="BXS15" s="101"/>
      <c r="BXT15" s="101"/>
      <c r="BXU15" s="101"/>
      <c r="BXV15" s="101"/>
      <c r="BXW15" s="101"/>
      <c r="BXX15" s="101"/>
      <c r="BXY15" s="101"/>
      <c r="BXZ15" s="101"/>
      <c r="BYA15" s="101"/>
      <c r="BYB15" s="101"/>
      <c r="BYC15" s="101"/>
      <c r="BYD15" s="101"/>
      <c r="BYE15" s="101"/>
      <c r="BYF15" s="101"/>
      <c r="BYG15" s="101"/>
      <c r="BYH15" s="101"/>
      <c r="BYI15" s="101"/>
      <c r="BYJ15" s="101"/>
      <c r="BYK15" s="101"/>
      <c r="BYL15" s="101"/>
      <c r="BYM15" s="101"/>
      <c r="BYN15" s="101"/>
      <c r="BYO15" s="101"/>
      <c r="BYP15" s="101"/>
      <c r="BYQ15" s="101"/>
      <c r="BYR15" s="101"/>
      <c r="BYS15" s="101"/>
      <c r="BYT15" s="101"/>
      <c r="BYU15" s="101"/>
      <c r="BYV15" s="101"/>
      <c r="BYW15" s="101"/>
      <c r="BYX15" s="101"/>
      <c r="BYY15" s="101"/>
      <c r="BYZ15" s="101"/>
      <c r="BZA15" s="101"/>
      <c r="BZB15" s="101"/>
      <c r="BZC15" s="101"/>
      <c r="BZD15" s="101"/>
      <c r="BZE15" s="101"/>
      <c r="BZF15" s="101"/>
      <c r="BZG15" s="101"/>
      <c r="BZH15" s="101"/>
      <c r="BZI15" s="101"/>
      <c r="BZJ15" s="101"/>
      <c r="BZK15" s="101"/>
      <c r="BZL15" s="101"/>
      <c r="BZM15" s="101"/>
      <c r="BZN15" s="101"/>
      <c r="BZO15" s="101"/>
      <c r="BZP15" s="101"/>
      <c r="BZQ15" s="101"/>
      <c r="BZR15" s="101"/>
      <c r="BZS15" s="101"/>
      <c r="BZT15" s="101"/>
      <c r="BZU15" s="101"/>
      <c r="BZV15" s="101"/>
      <c r="BZW15" s="101"/>
      <c r="BZX15" s="101"/>
      <c r="BZY15" s="101"/>
      <c r="BZZ15" s="101"/>
      <c r="CAA15" s="101"/>
      <c r="CAB15" s="101"/>
      <c r="CAC15" s="101"/>
      <c r="CAD15" s="101"/>
      <c r="CAE15" s="101"/>
      <c r="CAF15" s="101"/>
      <c r="CAG15" s="101"/>
      <c r="CAH15" s="101"/>
      <c r="CAI15" s="101"/>
      <c r="CAJ15" s="101"/>
      <c r="CAK15" s="101"/>
      <c r="CAL15" s="101"/>
      <c r="CAM15" s="101"/>
      <c r="CAN15" s="101"/>
      <c r="CAO15" s="101"/>
      <c r="CAP15" s="101"/>
      <c r="CAQ15" s="101"/>
      <c r="CAR15" s="101"/>
      <c r="CAS15" s="101"/>
      <c r="CAT15" s="101"/>
      <c r="CAU15" s="101"/>
      <c r="CAV15" s="101"/>
      <c r="CAW15" s="101"/>
      <c r="CAX15" s="101"/>
      <c r="CAY15" s="101"/>
      <c r="CAZ15" s="101"/>
      <c r="CBA15" s="101"/>
      <c r="CBB15" s="101"/>
      <c r="CBC15" s="101"/>
      <c r="CBD15" s="101"/>
      <c r="CBE15" s="101"/>
      <c r="CBF15" s="101"/>
      <c r="CBG15" s="101"/>
      <c r="CBH15" s="101"/>
      <c r="CBI15" s="101"/>
      <c r="CBJ15" s="101"/>
      <c r="CBK15" s="101"/>
      <c r="CBL15" s="101"/>
      <c r="CBM15" s="101"/>
      <c r="CBN15" s="101"/>
      <c r="CBO15" s="101"/>
      <c r="CBP15" s="101"/>
      <c r="CBQ15" s="101"/>
      <c r="CBR15" s="101"/>
      <c r="CBS15" s="101"/>
      <c r="CBT15" s="101"/>
      <c r="CBU15" s="101"/>
      <c r="CBV15" s="101"/>
      <c r="CBW15" s="101"/>
      <c r="CBX15" s="101"/>
      <c r="CBY15" s="101"/>
      <c r="CBZ15" s="101"/>
      <c r="CCA15" s="101"/>
      <c r="CCB15" s="101"/>
      <c r="CCC15" s="101"/>
      <c r="CCD15" s="101"/>
      <c r="CCE15" s="101"/>
      <c r="CCF15" s="101"/>
      <c r="CCG15" s="101"/>
      <c r="CCH15" s="101"/>
      <c r="CCI15" s="101"/>
      <c r="CCJ15" s="101"/>
      <c r="CCK15" s="101"/>
      <c r="CCL15" s="101"/>
      <c r="CCM15" s="101"/>
      <c r="CCN15" s="101"/>
      <c r="CCO15" s="101"/>
      <c r="CCP15" s="101"/>
      <c r="CCQ15" s="101"/>
      <c r="CCR15" s="101"/>
      <c r="CCS15" s="101"/>
      <c r="CCT15" s="101"/>
      <c r="CCU15" s="101"/>
      <c r="CCV15" s="101"/>
      <c r="CCW15" s="101"/>
      <c r="CCX15" s="101"/>
      <c r="CCY15" s="101"/>
      <c r="CCZ15" s="101"/>
      <c r="CDA15" s="101"/>
      <c r="CDB15" s="101"/>
      <c r="CDC15" s="101"/>
      <c r="CDD15" s="101"/>
      <c r="CDE15" s="101"/>
      <c r="CDF15" s="101"/>
      <c r="CDG15" s="101"/>
      <c r="CDH15" s="101"/>
      <c r="CDI15" s="101"/>
      <c r="CDJ15" s="101"/>
      <c r="CDK15" s="101"/>
      <c r="CDL15" s="101"/>
      <c r="CDM15" s="101"/>
      <c r="CDN15" s="101"/>
      <c r="CDO15" s="101"/>
      <c r="CDP15" s="101"/>
      <c r="CDQ15" s="101"/>
      <c r="CDR15" s="101"/>
      <c r="CDS15" s="101"/>
      <c r="CDT15" s="101"/>
      <c r="CDU15" s="101"/>
      <c r="CDV15" s="101"/>
      <c r="CDW15" s="101"/>
      <c r="CDX15" s="101"/>
      <c r="CDY15" s="101"/>
      <c r="CDZ15" s="101"/>
      <c r="CEA15" s="101"/>
      <c r="CEB15" s="101"/>
      <c r="CEC15" s="101"/>
      <c r="CED15" s="101"/>
      <c r="CEE15" s="101"/>
      <c r="CEF15" s="101"/>
      <c r="CEG15" s="101"/>
      <c r="CEH15" s="101"/>
      <c r="CEI15" s="101"/>
      <c r="CEJ15" s="101"/>
      <c r="CEK15" s="101"/>
      <c r="CEL15" s="101"/>
      <c r="CEM15" s="101"/>
      <c r="CEN15" s="101"/>
      <c r="CEO15" s="101"/>
      <c r="CEP15" s="101"/>
      <c r="CEQ15" s="101"/>
      <c r="CER15" s="101"/>
      <c r="CES15" s="101"/>
      <c r="CET15" s="101"/>
      <c r="CEU15" s="101"/>
      <c r="CEV15" s="101"/>
      <c r="CEW15" s="101"/>
      <c r="CEX15" s="101"/>
      <c r="CEY15" s="101"/>
      <c r="CEZ15" s="101"/>
      <c r="CFA15" s="101"/>
      <c r="CFB15" s="101"/>
      <c r="CFC15" s="101"/>
      <c r="CFD15" s="101"/>
      <c r="CFE15" s="101"/>
      <c r="CFF15" s="101"/>
      <c r="CFG15" s="101"/>
      <c r="CFH15" s="101"/>
      <c r="CFI15" s="101"/>
      <c r="CFJ15" s="101"/>
      <c r="CFK15" s="101"/>
      <c r="CFL15" s="101"/>
      <c r="CFM15" s="101"/>
      <c r="CFN15" s="101"/>
      <c r="CFO15" s="101"/>
      <c r="CFP15" s="101"/>
      <c r="CFQ15" s="101"/>
      <c r="CFR15" s="101"/>
      <c r="CFS15" s="101"/>
      <c r="CFT15" s="101"/>
      <c r="CFU15" s="101"/>
      <c r="CFV15" s="101"/>
      <c r="CFW15" s="101"/>
      <c r="CFX15" s="101"/>
      <c r="CFY15" s="101"/>
      <c r="CFZ15" s="101"/>
      <c r="CGA15" s="101"/>
      <c r="CGB15" s="101"/>
      <c r="CGC15" s="101"/>
      <c r="CGD15" s="101"/>
      <c r="CGE15" s="101"/>
      <c r="CGF15" s="101"/>
      <c r="CGG15" s="101"/>
      <c r="CGH15" s="101"/>
      <c r="CGI15" s="101"/>
      <c r="CGJ15" s="101"/>
      <c r="CGK15" s="101"/>
      <c r="CGL15" s="101"/>
      <c r="CGM15" s="101"/>
      <c r="CGN15" s="101"/>
      <c r="CGO15" s="101"/>
      <c r="CGP15" s="101"/>
      <c r="CGQ15" s="101"/>
      <c r="CGR15" s="101"/>
      <c r="CGS15" s="101"/>
      <c r="CGT15" s="101"/>
      <c r="CGU15" s="101"/>
      <c r="CGV15" s="101"/>
      <c r="CGW15" s="101"/>
      <c r="CGX15" s="101"/>
      <c r="CGY15" s="101"/>
      <c r="CGZ15" s="101"/>
      <c r="CHA15" s="101"/>
      <c r="CHB15" s="101"/>
      <c r="CHC15" s="101"/>
      <c r="CHD15" s="101"/>
      <c r="CHE15" s="101"/>
      <c r="CHF15" s="101"/>
      <c r="CHG15" s="101"/>
      <c r="CHH15" s="101"/>
      <c r="CHI15" s="101"/>
      <c r="CHJ15" s="101"/>
      <c r="CHK15" s="101"/>
      <c r="CHL15" s="101"/>
      <c r="CHM15" s="101"/>
      <c r="CHN15" s="101"/>
      <c r="CHO15" s="101"/>
      <c r="CHP15" s="101"/>
      <c r="CHQ15" s="101"/>
      <c r="CHR15" s="101"/>
      <c r="CHS15" s="101"/>
      <c r="CHT15" s="101"/>
      <c r="CHU15" s="101"/>
      <c r="CHV15" s="101"/>
      <c r="CHW15" s="101"/>
      <c r="CHX15" s="101"/>
      <c r="CHY15" s="101"/>
      <c r="CHZ15" s="101"/>
      <c r="CIA15" s="101"/>
      <c r="CIB15" s="101"/>
      <c r="CIC15" s="101"/>
      <c r="CID15" s="101"/>
      <c r="CIE15" s="101"/>
      <c r="CIF15" s="101"/>
      <c r="CIG15" s="101"/>
      <c r="CIH15" s="101"/>
      <c r="CII15" s="101"/>
      <c r="CIJ15" s="101"/>
      <c r="CIK15" s="101"/>
      <c r="CIL15" s="101"/>
      <c r="CIM15" s="101"/>
      <c r="CIN15" s="101"/>
      <c r="CIO15" s="101"/>
      <c r="CIP15" s="101"/>
      <c r="CIQ15" s="101"/>
      <c r="CIR15" s="101"/>
      <c r="CIS15" s="101"/>
      <c r="CIT15" s="101"/>
      <c r="CIU15" s="101"/>
      <c r="CIV15" s="101"/>
      <c r="CIW15" s="101"/>
      <c r="CIX15" s="101"/>
      <c r="CIY15" s="101"/>
      <c r="CIZ15" s="101"/>
      <c r="CJA15" s="101"/>
      <c r="CJB15" s="101"/>
      <c r="CJC15" s="101"/>
      <c r="CJD15" s="101"/>
      <c r="CJE15" s="101"/>
      <c r="CJF15" s="101"/>
      <c r="CJG15" s="101"/>
      <c r="CJH15" s="101"/>
      <c r="CJI15" s="101"/>
      <c r="CJJ15" s="101"/>
      <c r="CJK15" s="101"/>
      <c r="CJL15" s="101"/>
      <c r="CJM15" s="101"/>
      <c r="CJN15" s="101"/>
      <c r="CJO15" s="101"/>
      <c r="CJP15" s="101"/>
      <c r="CJQ15" s="101"/>
      <c r="CJR15" s="101"/>
      <c r="CJS15" s="101"/>
      <c r="CJT15" s="101"/>
      <c r="CJU15" s="101"/>
      <c r="CJV15" s="101"/>
      <c r="CJW15" s="101"/>
      <c r="CJX15" s="101"/>
      <c r="CJY15" s="101"/>
      <c r="CJZ15" s="101"/>
      <c r="CKA15" s="101"/>
      <c r="CKB15" s="101"/>
      <c r="CKC15" s="101"/>
      <c r="CKD15" s="101"/>
      <c r="CKE15" s="101"/>
      <c r="CKF15" s="101"/>
      <c r="CKG15" s="101"/>
      <c r="CKH15" s="101"/>
      <c r="CKI15" s="101"/>
      <c r="CKJ15" s="101"/>
      <c r="CKK15" s="101"/>
      <c r="CKL15" s="101"/>
      <c r="CKM15" s="101"/>
      <c r="CKN15" s="101"/>
      <c r="CKO15" s="101"/>
      <c r="CKP15" s="101"/>
      <c r="CKQ15" s="101"/>
      <c r="CKR15" s="101"/>
      <c r="CKS15" s="101"/>
      <c r="CKT15" s="101"/>
      <c r="CKU15" s="101"/>
      <c r="CKV15" s="101"/>
      <c r="CKW15" s="101"/>
      <c r="CKX15" s="101"/>
      <c r="CKY15" s="101"/>
      <c r="CKZ15" s="101"/>
      <c r="CLA15" s="101"/>
      <c r="CLB15" s="101"/>
      <c r="CLC15" s="101"/>
      <c r="CLD15" s="101"/>
      <c r="CLE15" s="101"/>
      <c r="CLF15" s="101"/>
      <c r="CLG15" s="101"/>
      <c r="CLH15" s="101"/>
      <c r="CLI15" s="101"/>
      <c r="CLJ15" s="101"/>
      <c r="CLK15" s="101"/>
      <c r="CLL15" s="101"/>
      <c r="CLM15" s="101"/>
      <c r="CLN15" s="101"/>
      <c r="CLO15" s="101"/>
      <c r="CLP15" s="101"/>
      <c r="CLQ15" s="101"/>
      <c r="CLR15" s="101"/>
      <c r="CLS15" s="101"/>
      <c r="CLT15" s="101"/>
      <c r="CLU15" s="101"/>
      <c r="CLV15" s="101"/>
      <c r="CLW15" s="101"/>
      <c r="CLX15" s="101"/>
      <c r="CLY15" s="101"/>
      <c r="CLZ15" s="101"/>
      <c r="CMA15" s="101"/>
      <c r="CMB15" s="101"/>
      <c r="CMC15" s="101"/>
      <c r="CMD15" s="101"/>
      <c r="CME15" s="101"/>
      <c r="CMF15" s="101"/>
      <c r="CMG15" s="101"/>
      <c r="CMH15" s="101"/>
      <c r="CMI15" s="101"/>
      <c r="CMJ15" s="101"/>
      <c r="CMK15" s="101"/>
      <c r="CML15" s="101"/>
      <c r="CMM15" s="101"/>
      <c r="CMN15" s="101"/>
      <c r="CMO15" s="101"/>
      <c r="CMP15" s="101"/>
      <c r="CMQ15" s="101"/>
      <c r="CMR15" s="101"/>
      <c r="CMS15" s="101"/>
      <c r="CMT15" s="101"/>
      <c r="CMU15" s="101"/>
      <c r="CMV15" s="101"/>
      <c r="CMW15" s="101"/>
      <c r="CMX15" s="101"/>
      <c r="CMY15" s="101"/>
      <c r="CMZ15" s="101"/>
      <c r="CNA15" s="101"/>
      <c r="CNB15" s="101"/>
      <c r="CNC15" s="101"/>
      <c r="CND15" s="101"/>
      <c r="CNE15" s="101"/>
      <c r="CNF15" s="101"/>
      <c r="CNG15" s="101"/>
      <c r="CNH15" s="101"/>
      <c r="CNI15" s="101"/>
      <c r="CNJ15" s="101"/>
      <c r="CNK15" s="101"/>
      <c r="CNL15" s="101"/>
      <c r="CNM15" s="101"/>
      <c r="CNN15" s="101"/>
      <c r="CNO15" s="101"/>
      <c r="CNP15" s="101"/>
      <c r="CNQ15" s="101"/>
      <c r="CNR15" s="101"/>
      <c r="CNS15" s="101"/>
      <c r="CNT15" s="101"/>
      <c r="CNU15" s="101"/>
      <c r="CNV15" s="101"/>
      <c r="CNW15" s="101"/>
      <c r="CNX15" s="101"/>
      <c r="CNY15" s="101"/>
      <c r="CNZ15" s="101"/>
      <c r="COA15" s="101"/>
      <c r="COB15" s="101"/>
      <c r="COC15" s="101"/>
      <c r="COD15" s="101"/>
      <c r="COE15" s="101"/>
      <c r="COF15" s="101"/>
      <c r="COG15" s="101"/>
      <c r="COH15" s="101"/>
      <c r="COI15" s="101"/>
      <c r="COJ15" s="101"/>
      <c r="COK15" s="101"/>
      <c r="COL15" s="101"/>
      <c r="COM15" s="101"/>
      <c r="CON15" s="101"/>
      <c r="COO15" s="101"/>
      <c r="COP15" s="101"/>
      <c r="COQ15" s="101"/>
      <c r="COR15" s="101"/>
      <c r="COS15" s="101"/>
      <c r="COT15" s="101"/>
      <c r="COU15" s="101"/>
      <c r="COV15" s="101"/>
      <c r="COW15" s="101"/>
      <c r="COX15" s="101"/>
      <c r="COY15" s="101"/>
      <c r="COZ15" s="101"/>
      <c r="CPA15" s="101"/>
      <c r="CPB15" s="101"/>
      <c r="CPC15" s="101"/>
      <c r="CPD15" s="101"/>
      <c r="CPE15" s="101"/>
      <c r="CPF15" s="101"/>
      <c r="CPG15" s="101"/>
      <c r="CPH15" s="101"/>
      <c r="CPI15" s="101"/>
      <c r="CPJ15" s="101"/>
      <c r="CPK15" s="101"/>
      <c r="CPL15" s="101"/>
      <c r="CPM15" s="101"/>
      <c r="CPN15" s="101"/>
      <c r="CPO15" s="101"/>
      <c r="CPP15" s="101"/>
      <c r="CPQ15" s="101"/>
      <c r="CPR15" s="101"/>
      <c r="CPS15" s="101"/>
      <c r="CPT15" s="101"/>
      <c r="CPU15" s="101"/>
      <c r="CPV15" s="101"/>
      <c r="CPW15" s="101"/>
      <c r="CPX15" s="101"/>
      <c r="CPY15" s="101"/>
      <c r="CPZ15" s="101"/>
      <c r="CQA15" s="101"/>
      <c r="CQB15" s="101"/>
      <c r="CQC15" s="101"/>
      <c r="CQD15" s="101"/>
      <c r="CQE15" s="101"/>
      <c r="CQF15" s="101"/>
      <c r="CQG15" s="101"/>
      <c r="CQH15" s="101"/>
      <c r="CQI15" s="101"/>
      <c r="CQJ15" s="101"/>
      <c r="CQK15" s="101"/>
      <c r="CQL15" s="101"/>
      <c r="CQM15" s="101"/>
      <c r="CQN15" s="101"/>
      <c r="CQO15" s="101"/>
      <c r="CQP15" s="101"/>
      <c r="CQQ15" s="101"/>
      <c r="CQR15" s="101"/>
      <c r="CQS15" s="101"/>
      <c r="CQT15" s="101"/>
      <c r="CQU15" s="101"/>
      <c r="CQV15" s="101"/>
      <c r="CQW15" s="101"/>
      <c r="CQX15" s="101"/>
      <c r="CQY15" s="101"/>
      <c r="CQZ15" s="101"/>
      <c r="CRA15" s="101"/>
      <c r="CRB15" s="101"/>
      <c r="CRC15" s="101"/>
      <c r="CRD15" s="101"/>
      <c r="CRE15" s="101"/>
      <c r="CRF15" s="101"/>
      <c r="CRG15" s="101"/>
      <c r="CRH15" s="101"/>
      <c r="CRI15" s="101"/>
      <c r="CRJ15" s="101"/>
      <c r="CRK15" s="101"/>
      <c r="CRL15" s="101"/>
      <c r="CRM15" s="101"/>
      <c r="CRN15" s="101"/>
      <c r="CRO15" s="101"/>
      <c r="CRP15" s="101"/>
      <c r="CRQ15" s="101"/>
      <c r="CRR15" s="101"/>
      <c r="CRS15" s="101"/>
      <c r="CRT15" s="101"/>
      <c r="CRU15" s="101"/>
      <c r="CRV15" s="101"/>
      <c r="CRW15" s="101"/>
      <c r="CRX15" s="101"/>
      <c r="CRY15" s="101"/>
      <c r="CRZ15" s="101"/>
      <c r="CSA15" s="101"/>
      <c r="CSB15" s="101"/>
      <c r="CSC15" s="101"/>
      <c r="CSD15" s="101"/>
      <c r="CSE15" s="101"/>
      <c r="CSF15" s="101"/>
      <c r="CSG15" s="101"/>
      <c r="CSH15" s="101"/>
      <c r="CSI15" s="101"/>
      <c r="CSJ15" s="101"/>
      <c r="CSK15" s="101"/>
      <c r="CSL15" s="101"/>
      <c r="CSM15" s="101"/>
      <c r="CSN15" s="101"/>
      <c r="CSO15" s="101"/>
      <c r="CSP15" s="101"/>
      <c r="CSQ15" s="101"/>
      <c r="CSR15" s="101"/>
      <c r="CSS15" s="101"/>
      <c r="CST15" s="101"/>
      <c r="CSU15" s="101"/>
      <c r="CSV15" s="101"/>
      <c r="CSW15" s="101"/>
      <c r="CSX15" s="101"/>
      <c r="CSY15" s="101"/>
      <c r="CSZ15" s="101"/>
      <c r="CTA15" s="101"/>
      <c r="CTB15" s="101"/>
      <c r="CTC15" s="101"/>
      <c r="CTD15" s="101"/>
      <c r="CTE15" s="101"/>
      <c r="CTF15" s="101"/>
      <c r="CTG15" s="101"/>
      <c r="CTH15" s="101"/>
      <c r="CTI15" s="101"/>
      <c r="CTJ15" s="101"/>
      <c r="CTK15" s="101"/>
      <c r="CTL15" s="101"/>
      <c r="CTM15" s="101"/>
      <c r="CTN15" s="101"/>
      <c r="CTO15" s="101"/>
      <c r="CTP15" s="101"/>
      <c r="CTQ15" s="101"/>
      <c r="CTR15" s="101"/>
      <c r="CTS15" s="101"/>
      <c r="CTT15" s="101"/>
      <c r="CTU15" s="101"/>
      <c r="CTV15" s="101"/>
      <c r="CTW15" s="101"/>
      <c r="CTX15" s="101"/>
      <c r="CTY15" s="101"/>
      <c r="CTZ15" s="101"/>
      <c r="CUA15" s="101"/>
      <c r="CUB15" s="101"/>
      <c r="CUC15" s="101"/>
      <c r="CUD15" s="101"/>
      <c r="CUE15" s="101"/>
      <c r="CUF15" s="101"/>
      <c r="CUG15" s="101"/>
      <c r="CUH15" s="101"/>
      <c r="CUI15" s="101"/>
      <c r="CUJ15" s="101"/>
      <c r="CUK15" s="101"/>
      <c r="CUL15" s="101"/>
      <c r="CUM15" s="101"/>
      <c r="CUN15" s="101"/>
      <c r="CUO15" s="101"/>
      <c r="CUP15" s="101"/>
      <c r="CUQ15" s="101"/>
      <c r="CUR15" s="101"/>
      <c r="CUS15" s="101"/>
      <c r="CUT15" s="101"/>
      <c r="CUU15" s="101"/>
      <c r="CUV15" s="101"/>
      <c r="CUW15" s="101"/>
      <c r="CUX15" s="101"/>
      <c r="CUY15" s="101"/>
      <c r="CUZ15" s="101"/>
      <c r="CVA15" s="101"/>
      <c r="CVB15" s="101"/>
      <c r="CVC15" s="101"/>
      <c r="CVD15" s="101"/>
      <c r="CVE15" s="101"/>
      <c r="CVF15" s="101"/>
      <c r="CVG15" s="101"/>
      <c r="CVH15" s="101"/>
      <c r="CVI15" s="101"/>
      <c r="CVJ15" s="101"/>
      <c r="CVK15" s="101"/>
      <c r="CVL15" s="101"/>
      <c r="CVM15" s="101"/>
      <c r="CVN15" s="101"/>
      <c r="CVO15" s="101"/>
      <c r="CVP15" s="101"/>
      <c r="CVQ15" s="101"/>
      <c r="CVR15" s="101"/>
      <c r="CVS15" s="101"/>
      <c r="CVT15" s="101"/>
      <c r="CVU15" s="101"/>
      <c r="CVV15" s="101"/>
      <c r="CVW15" s="101"/>
      <c r="CVX15" s="101"/>
      <c r="CVY15" s="101"/>
      <c r="CVZ15" s="101"/>
      <c r="CWA15" s="101"/>
      <c r="CWB15" s="101"/>
      <c r="CWC15" s="101"/>
      <c r="CWD15" s="101"/>
      <c r="CWE15" s="101"/>
      <c r="CWF15" s="101"/>
      <c r="CWG15" s="101"/>
      <c r="CWH15" s="101"/>
      <c r="CWI15" s="101"/>
      <c r="CWJ15" s="101"/>
      <c r="CWK15" s="101"/>
      <c r="CWL15" s="101"/>
      <c r="CWM15" s="101"/>
      <c r="CWN15" s="101"/>
      <c r="CWO15" s="101"/>
      <c r="CWP15" s="101"/>
      <c r="CWQ15" s="101"/>
      <c r="CWR15" s="101"/>
      <c r="CWS15" s="101"/>
      <c r="CWT15" s="101"/>
      <c r="CWU15" s="101"/>
      <c r="CWV15" s="101"/>
      <c r="CWW15" s="101"/>
      <c r="CWX15" s="101"/>
      <c r="CWY15" s="101"/>
      <c r="CWZ15" s="101"/>
      <c r="CXA15" s="101"/>
      <c r="CXB15" s="101"/>
      <c r="CXC15" s="101"/>
      <c r="CXD15" s="101"/>
      <c r="CXE15" s="101"/>
      <c r="CXF15" s="101"/>
      <c r="CXG15" s="101"/>
      <c r="CXH15" s="101"/>
      <c r="CXI15" s="101"/>
      <c r="CXJ15" s="101"/>
      <c r="CXK15" s="101"/>
      <c r="CXL15" s="101"/>
      <c r="CXM15" s="101"/>
      <c r="CXN15" s="101"/>
      <c r="CXO15" s="101"/>
      <c r="CXP15" s="101"/>
      <c r="CXQ15" s="101"/>
      <c r="CXR15" s="101"/>
      <c r="CXS15" s="101"/>
      <c r="CXT15" s="101"/>
      <c r="CXU15" s="101"/>
      <c r="CXV15" s="101"/>
      <c r="CXW15" s="101"/>
      <c r="CXX15" s="101"/>
      <c r="CXY15" s="101"/>
      <c r="CXZ15" s="101"/>
      <c r="CYA15" s="101"/>
      <c r="CYB15" s="101"/>
      <c r="CYC15" s="101"/>
      <c r="CYD15" s="101"/>
      <c r="CYE15" s="101"/>
      <c r="CYF15" s="101"/>
      <c r="CYG15" s="101"/>
      <c r="CYH15" s="101"/>
      <c r="CYI15" s="101"/>
      <c r="CYJ15" s="101"/>
      <c r="CYK15" s="101"/>
      <c r="CYL15" s="101"/>
      <c r="CYM15" s="101"/>
      <c r="CYN15" s="101"/>
      <c r="CYO15" s="101"/>
      <c r="CYP15" s="101"/>
      <c r="CYQ15" s="101"/>
      <c r="CYR15" s="101"/>
      <c r="CYS15" s="101"/>
      <c r="CYT15" s="101"/>
      <c r="CYU15" s="101"/>
      <c r="CYV15" s="101"/>
      <c r="CYW15" s="101"/>
      <c r="CYX15" s="101"/>
      <c r="CYY15" s="101"/>
      <c r="CYZ15" s="101"/>
      <c r="CZA15" s="101"/>
      <c r="CZB15" s="101"/>
      <c r="CZC15" s="101"/>
      <c r="CZD15" s="101"/>
      <c r="CZE15" s="101"/>
      <c r="CZF15" s="101"/>
      <c r="CZG15" s="101"/>
      <c r="CZH15" s="101"/>
      <c r="CZI15" s="101"/>
      <c r="CZJ15" s="101"/>
      <c r="CZK15" s="101"/>
      <c r="CZL15" s="101"/>
      <c r="CZM15" s="101"/>
      <c r="CZN15" s="101"/>
      <c r="CZO15" s="101"/>
      <c r="CZP15" s="101"/>
      <c r="CZQ15" s="101"/>
      <c r="CZR15" s="101"/>
      <c r="CZS15" s="101"/>
      <c r="CZT15" s="101"/>
      <c r="CZU15" s="101"/>
      <c r="CZV15" s="101"/>
      <c r="CZW15" s="101"/>
      <c r="CZX15" s="101"/>
      <c r="CZY15" s="101"/>
      <c r="CZZ15" s="101"/>
      <c r="DAA15" s="101"/>
      <c r="DAB15" s="101"/>
      <c r="DAC15" s="101"/>
      <c r="DAD15" s="101"/>
      <c r="DAE15" s="101"/>
      <c r="DAF15" s="101"/>
      <c r="DAG15" s="101"/>
      <c r="DAH15" s="101"/>
      <c r="DAI15" s="101"/>
      <c r="DAJ15" s="101"/>
      <c r="DAK15" s="101"/>
      <c r="DAL15" s="101"/>
      <c r="DAM15" s="101"/>
      <c r="DAN15" s="101"/>
      <c r="DAO15" s="101"/>
      <c r="DAP15" s="101"/>
      <c r="DAQ15" s="101"/>
      <c r="DAR15" s="101"/>
      <c r="DAS15" s="101"/>
      <c r="DAT15" s="101"/>
      <c r="DAU15" s="101"/>
      <c r="DAV15" s="101"/>
      <c r="DAW15" s="101"/>
      <c r="DAX15" s="101"/>
      <c r="DAY15" s="101"/>
      <c r="DAZ15" s="101"/>
      <c r="DBA15" s="101"/>
      <c r="DBB15" s="101"/>
      <c r="DBC15" s="101"/>
      <c r="DBD15" s="101"/>
      <c r="DBE15" s="101"/>
      <c r="DBF15" s="101"/>
      <c r="DBG15" s="101"/>
      <c r="DBH15" s="101"/>
      <c r="DBI15" s="101"/>
      <c r="DBJ15" s="101"/>
      <c r="DBK15" s="101"/>
      <c r="DBL15" s="101"/>
      <c r="DBM15" s="101"/>
      <c r="DBN15" s="101"/>
      <c r="DBO15" s="101"/>
      <c r="DBP15" s="101"/>
      <c r="DBQ15" s="101"/>
      <c r="DBR15" s="101"/>
      <c r="DBS15" s="101"/>
      <c r="DBT15" s="101"/>
      <c r="DBU15" s="101"/>
      <c r="DBV15" s="101"/>
      <c r="DBW15" s="101"/>
      <c r="DBX15" s="101"/>
      <c r="DBY15" s="101"/>
      <c r="DBZ15" s="101"/>
      <c r="DCA15" s="101"/>
      <c r="DCB15" s="101"/>
      <c r="DCC15" s="101"/>
      <c r="DCD15" s="101"/>
      <c r="DCE15" s="101"/>
      <c r="DCF15" s="101"/>
      <c r="DCG15" s="101"/>
      <c r="DCH15" s="101"/>
      <c r="DCI15" s="101"/>
      <c r="DCJ15" s="101"/>
      <c r="DCK15" s="101"/>
      <c r="DCL15" s="101"/>
      <c r="DCM15" s="101"/>
      <c r="DCN15" s="101"/>
      <c r="DCO15" s="101"/>
      <c r="DCP15" s="101"/>
      <c r="DCQ15" s="101"/>
      <c r="DCR15" s="101"/>
      <c r="DCS15" s="101"/>
      <c r="DCT15" s="101"/>
      <c r="DCU15" s="101"/>
      <c r="DCV15" s="101"/>
      <c r="DCW15" s="101"/>
      <c r="DCX15" s="101"/>
      <c r="DCY15" s="101"/>
      <c r="DCZ15" s="101"/>
      <c r="DDA15" s="101"/>
      <c r="DDB15" s="101"/>
      <c r="DDC15" s="101"/>
      <c r="DDD15" s="101"/>
      <c r="DDE15" s="101"/>
      <c r="DDF15" s="101"/>
      <c r="DDG15" s="101"/>
      <c r="DDH15" s="101"/>
      <c r="DDI15" s="101"/>
      <c r="DDJ15" s="101"/>
      <c r="DDK15" s="101"/>
      <c r="DDL15" s="101"/>
      <c r="DDM15" s="101"/>
      <c r="DDN15" s="101"/>
      <c r="DDO15" s="101"/>
      <c r="DDP15" s="101"/>
      <c r="DDQ15" s="101"/>
      <c r="DDR15" s="101"/>
      <c r="DDS15" s="101"/>
      <c r="DDT15" s="101"/>
      <c r="DDU15" s="101"/>
      <c r="DDV15" s="101"/>
      <c r="DDW15" s="101"/>
      <c r="DDX15" s="101"/>
      <c r="DDY15" s="101"/>
      <c r="DDZ15" s="101"/>
      <c r="DEA15" s="101"/>
      <c r="DEB15" s="101"/>
      <c r="DEC15" s="101"/>
      <c r="DED15" s="101"/>
      <c r="DEE15" s="101"/>
      <c r="DEF15" s="101"/>
      <c r="DEG15" s="101"/>
      <c r="DEH15" s="101"/>
      <c r="DEI15" s="101"/>
      <c r="DEJ15" s="101"/>
      <c r="DEK15" s="101"/>
      <c r="DEL15" s="101"/>
      <c r="DEM15" s="101"/>
      <c r="DEN15" s="101"/>
      <c r="DEO15" s="101"/>
      <c r="DEP15" s="101"/>
      <c r="DEQ15" s="101"/>
      <c r="DER15" s="101"/>
      <c r="DES15" s="101"/>
      <c r="DET15" s="101"/>
      <c r="DEU15" s="101"/>
      <c r="DEV15" s="101"/>
      <c r="DEW15" s="101"/>
      <c r="DEX15" s="101"/>
      <c r="DEY15" s="101"/>
      <c r="DEZ15" s="101"/>
      <c r="DFA15" s="101"/>
      <c r="DFB15" s="101"/>
      <c r="DFC15" s="101"/>
      <c r="DFD15" s="101"/>
      <c r="DFE15" s="101"/>
      <c r="DFF15" s="101"/>
      <c r="DFG15" s="101"/>
      <c r="DFH15" s="101"/>
      <c r="DFI15" s="101"/>
      <c r="DFJ15" s="101"/>
      <c r="DFK15" s="101"/>
      <c r="DFL15" s="101"/>
      <c r="DFM15" s="101"/>
      <c r="DFN15" s="101"/>
      <c r="DFO15" s="101"/>
      <c r="DFP15" s="101"/>
      <c r="DFQ15" s="101"/>
      <c r="DFR15" s="101"/>
      <c r="DFS15" s="101"/>
      <c r="DFT15" s="101"/>
      <c r="DFU15" s="101"/>
      <c r="DFV15" s="101"/>
      <c r="DFW15" s="101"/>
      <c r="DFX15" s="101"/>
      <c r="DFY15" s="101"/>
      <c r="DFZ15" s="101"/>
      <c r="DGA15" s="101"/>
      <c r="DGB15" s="101"/>
      <c r="DGC15" s="101"/>
      <c r="DGD15" s="101"/>
      <c r="DGE15" s="101"/>
      <c r="DGF15" s="101"/>
      <c r="DGG15" s="101"/>
      <c r="DGH15" s="101"/>
      <c r="DGI15" s="101"/>
      <c r="DGJ15" s="101"/>
      <c r="DGK15" s="101"/>
      <c r="DGL15" s="101"/>
      <c r="DGM15" s="101"/>
      <c r="DGN15" s="101"/>
      <c r="DGO15" s="101"/>
      <c r="DGP15" s="101"/>
      <c r="DGQ15" s="101"/>
      <c r="DGR15" s="101"/>
      <c r="DGS15" s="101"/>
      <c r="DGT15" s="101"/>
      <c r="DGU15" s="101"/>
      <c r="DGV15" s="101"/>
      <c r="DGW15" s="101"/>
      <c r="DGX15" s="101"/>
      <c r="DGY15" s="101"/>
      <c r="DGZ15" s="101"/>
      <c r="DHA15" s="101"/>
      <c r="DHB15" s="101"/>
      <c r="DHC15" s="101"/>
      <c r="DHD15" s="101"/>
      <c r="DHE15" s="101"/>
      <c r="DHF15" s="101"/>
      <c r="DHG15" s="101"/>
      <c r="DHH15" s="101"/>
      <c r="DHI15" s="101"/>
      <c r="DHJ15" s="101"/>
      <c r="DHK15" s="101"/>
      <c r="DHL15" s="101"/>
      <c r="DHM15" s="101"/>
      <c r="DHN15" s="101"/>
      <c r="DHO15" s="101"/>
      <c r="DHP15" s="101"/>
      <c r="DHQ15" s="101"/>
      <c r="DHR15" s="101"/>
      <c r="DHS15" s="101"/>
      <c r="DHT15" s="101"/>
      <c r="DHU15" s="101"/>
      <c r="DHV15" s="101"/>
      <c r="DHW15" s="101"/>
      <c r="DHX15" s="101"/>
      <c r="DHY15" s="101"/>
      <c r="DHZ15" s="101"/>
      <c r="DIA15" s="101"/>
      <c r="DIB15" s="101"/>
      <c r="DIC15" s="101"/>
      <c r="DID15" s="101"/>
      <c r="DIE15" s="101"/>
      <c r="DIF15" s="101"/>
      <c r="DIG15" s="101"/>
      <c r="DIH15" s="101"/>
      <c r="DII15" s="101"/>
      <c r="DIJ15" s="101"/>
      <c r="DIK15" s="101"/>
      <c r="DIL15" s="101"/>
      <c r="DIM15" s="101"/>
      <c r="DIN15" s="101"/>
      <c r="DIO15" s="101"/>
      <c r="DIP15" s="101"/>
      <c r="DIQ15" s="101"/>
      <c r="DIR15" s="101"/>
      <c r="DIS15" s="101"/>
      <c r="DIT15" s="101"/>
      <c r="DIU15" s="101"/>
      <c r="DIV15" s="101"/>
      <c r="DIW15" s="101"/>
      <c r="DIX15" s="101"/>
      <c r="DIY15" s="101"/>
      <c r="DIZ15" s="101"/>
      <c r="DJA15" s="101"/>
      <c r="DJB15" s="101"/>
      <c r="DJC15" s="101"/>
      <c r="DJD15" s="101"/>
      <c r="DJE15" s="101"/>
      <c r="DJF15" s="101"/>
      <c r="DJG15" s="101"/>
      <c r="DJH15" s="101"/>
      <c r="DJI15" s="101"/>
      <c r="DJJ15" s="101"/>
      <c r="DJK15" s="101"/>
      <c r="DJL15" s="101"/>
      <c r="DJM15" s="101"/>
      <c r="DJN15" s="101"/>
      <c r="DJO15" s="101"/>
      <c r="DJP15" s="101"/>
      <c r="DJQ15" s="101"/>
      <c r="DJR15" s="101"/>
      <c r="DJS15" s="101"/>
      <c r="DJT15" s="101"/>
      <c r="DJU15" s="101"/>
      <c r="DJV15" s="101"/>
      <c r="DJW15" s="101"/>
      <c r="DJX15" s="101"/>
      <c r="DJY15" s="101"/>
      <c r="DJZ15" s="101"/>
      <c r="DKA15" s="101"/>
      <c r="DKB15" s="101"/>
      <c r="DKC15" s="101"/>
      <c r="DKD15" s="101"/>
      <c r="DKE15" s="101"/>
      <c r="DKF15" s="101"/>
      <c r="DKG15" s="101"/>
      <c r="DKH15" s="101"/>
      <c r="DKI15" s="101"/>
      <c r="DKJ15" s="101"/>
      <c r="DKK15" s="101"/>
      <c r="DKL15" s="101"/>
      <c r="DKM15" s="101"/>
      <c r="DKN15" s="101"/>
      <c r="DKO15" s="101"/>
      <c r="DKP15" s="101"/>
      <c r="DKQ15" s="101"/>
      <c r="DKR15" s="101"/>
      <c r="DKS15" s="101"/>
      <c r="DKT15" s="101"/>
      <c r="DKU15" s="101"/>
      <c r="DKV15" s="101"/>
      <c r="DKW15" s="101"/>
      <c r="DKX15" s="101"/>
      <c r="DKY15" s="101"/>
      <c r="DKZ15" s="101"/>
      <c r="DLA15" s="101"/>
      <c r="DLB15" s="101"/>
      <c r="DLC15" s="101"/>
      <c r="DLD15" s="101"/>
      <c r="DLE15" s="101"/>
      <c r="DLF15" s="101"/>
      <c r="DLG15" s="101"/>
      <c r="DLH15" s="101"/>
      <c r="DLI15" s="101"/>
      <c r="DLJ15" s="101"/>
      <c r="DLK15" s="101"/>
      <c r="DLL15" s="101"/>
      <c r="DLM15" s="101"/>
      <c r="DLN15" s="101"/>
      <c r="DLO15" s="101"/>
      <c r="DLP15" s="101"/>
      <c r="DLQ15" s="101"/>
      <c r="DLR15" s="101"/>
      <c r="DLS15" s="101"/>
      <c r="DLT15" s="101"/>
      <c r="DLU15" s="101"/>
      <c r="DLV15" s="101"/>
      <c r="DLW15" s="101"/>
      <c r="DLX15" s="101"/>
      <c r="DLY15" s="101"/>
      <c r="DLZ15" s="101"/>
      <c r="DMA15" s="101"/>
      <c r="DMB15" s="101"/>
      <c r="DMC15" s="101"/>
      <c r="DMD15" s="101"/>
      <c r="DME15" s="101"/>
      <c r="DMF15" s="101"/>
      <c r="DMG15" s="101"/>
      <c r="DMH15" s="101"/>
      <c r="DMI15" s="101"/>
      <c r="DMJ15" s="101"/>
      <c r="DMK15" s="101"/>
      <c r="DML15" s="101"/>
      <c r="DMM15" s="101"/>
      <c r="DMN15" s="101"/>
      <c r="DMO15" s="101"/>
      <c r="DMP15" s="101"/>
      <c r="DMQ15" s="101"/>
      <c r="DMR15" s="101"/>
      <c r="DMS15" s="101"/>
      <c r="DMT15" s="101"/>
      <c r="DMU15" s="101"/>
      <c r="DMV15" s="101"/>
      <c r="DMW15" s="101"/>
      <c r="DMX15" s="101"/>
      <c r="DMY15" s="101"/>
      <c r="DMZ15" s="101"/>
      <c r="DNA15" s="101"/>
      <c r="DNB15" s="101"/>
      <c r="DNC15" s="101"/>
      <c r="DND15" s="101"/>
      <c r="DNE15" s="101"/>
      <c r="DNF15" s="101"/>
      <c r="DNG15" s="101"/>
      <c r="DNH15" s="101"/>
      <c r="DNI15" s="101"/>
      <c r="DNJ15" s="101"/>
      <c r="DNK15" s="101"/>
      <c r="DNL15" s="101"/>
      <c r="DNM15" s="101"/>
      <c r="DNN15" s="101"/>
      <c r="DNO15" s="101"/>
      <c r="DNP15" s="101"/>
      <c r="DNQ15" s="101"/>
      <c r="DNR15" s="101"/>
      <c r="DNS15" s="101"/>
      <c r="DNT15" s="101"/>
      <c r="DNU15" s="101"/>
      <c r="DNV15" s="101"/>
      <c r="DNW15" s="101"/>
      <c r="DNX15" s="101"/>
      <c r="DNY15" s="101"/>
      <c r="DNZ15" s="101"/>
      <c r="DOA15" s="101"/>
      <c r="DOB15" s="101"/>
      <c r="DOC15" s="101"/>
      <c r="DOD15" s="101"/>
      <c r="DOE15" s="101"/>
      <c r="DOF15" s="101"/>
      <c r="DOG15" s="101"/>
      <c r="DOH15" s="101"/>
      <c r="DOI15" s="101"/>
      <c r="DOJ15" s="101"/>
      <c r="DOK15" s="101"/>
      <c r="DOL15" s="101"/>
      <c r="DOM15" s="101"/>
      <c r="DON15" s="101"/>
      <c r="DOO15" s="101"/>
      <c r="DOP15" s="101"/>
      <c r="DOQ15" s="101"/>
      <c r="DOR15" s="101"/>
      <c r="DOS15" s="101"/>
      <c r="DOT15" s="101"/>
      <c r="DOU15" s="101"/>
      <c r="DOV15" s="101"/>
      <c r="DOW15" s="101"/>
      <c r="DOX15" s="101"/>
      <c r="DOY15" s="101"/>
      <c r="DOZ15" s="101"/>
      <c r="DPA15" s="101"/>
      <c r="DPB15" s="101"/>
      <c r="DPC15" s="101"/>
      <c r="DPD15" s="101"/>
      <c r="DPE15" s="101"/>
      <c r="DPF15" s="101"/>
      <c r="DPG15" s="101"/>
      <c r="DPH15" s="101"/>
      <c r="DPI15" s="101"/>
      <c r="DPJ15" s="101"/>
      <c r="DPK15" s="101"/>
      <c r="DPL15" s="101"/>
      <c r="DPM15" s="101"/>
      <c r="DPN15" s="101"/>
      <c r="DPO15" s="101"/>
      <c r="DPP15" s="101"/>
      <c r="DPQ15" s="101"/>
      <c r="DPR15" s="101"/>
      <c r="DPS15" s="101"/>
      <c r="DPT15" s="101"/>
      <c r="DPU15" s="101"/>
      <c r="DPV15" s="101"/>
      <c r="DPW15" s="101"/>
      <c r="DPX15" s="101"/>
      <c r="DPY15" s="101"/>
      <c r="DPZ15" s="101"/>
      <c r="DQA15" s="101"/>
      <c r="DQB15" s="101"/>
      <c r="DQC15" s="101"/>
      <c r="DQD15" s="101"/>
      <c r="DQE15" s="101"/>
      <c r="DQF15" s="101"/>
      <c r="DQG15" s="101"/>
      <c r="DQH15" s="101"/>
      <c r="DQI15" s="101"/>
      <c r="DQJ15" s="101"/>
      <c r="DQK15" s="101"/>
      <c r="DQL15" s="101"/>
      <c r="DQM15" s="101"/>
      <c r="DQN15" s="101"/>
      <c r="DQO15" s="101"/>
      <c r="DQP15" s="101"/>
      <c r="DQQ15" s="101"/>
      <c r="DQR15" s="101"/>
      <c r="DQS15" s="101"/>
      <c r="DQT15" s="101"/>
      <c r="DQU15" s="101"/>
      <c r="DQV15" s="101"/>
      <c r="DQW15" s="101"/>
      <c r="DQX15" s="101"/>
      <c r="DQY15" s="101"/>
      <c r="DQZ15" s="101"/>
      <c r="DRA15" s="101"/>
      <c r="DRB15" s="101"/>
      <c r="DRC15" s="101"/>
      <c r="DRD15" s="101"/>
      <c r="DRE15" s="101"/>
      <c r="DRF15" s="101"/>
      <c r="DRG15" s="101"/>
      <c r="DRH15" s="101"/>
      <c r="DRI15" s="101"/>
      <c r="DRJ15" s="101"/>
      <c r="DRK15" s="101"/>
      <c r="DRL15" s="101"/>
      <c r="DRM15" s="101"/>
      <c r="DRN15" s="101"/>
      <c r="DRO15" s="101"/>
      <c r="DRP15" s="101"/>
      <c r="DRQ15" s="101"/>
      <c r="DRR15" s="101"/>
      <c r="DRS15" s="101"/>
      <c r="DRT15" s="101"/>
      <c r="DRU15" s="101"/>
      <c r="DRV15" s="101"/>
      <c r="DRW15" s="101"/>
      <c r="DRX15" s="101"/>
      <c r="DRY15" s="101"/>
      <c r="DRZ15" s="101"/>
      <c r="DSA15" s="101"/>
      <c r="DSB15" s="101"/>
      <c r="DSC15" s="101"/>
      <c r="DSD15" s="101"/>
      <c r="DSE15" s="101"/>
      <c r="DSF15" s="101"/>
      <c r="DSG15" s="101"/>
      <c r="DSH15" s="101"/>
      <c r="DSI15" s="101"/>
      <c r="DSJ15" s="101"/>
      <c r="DSK15" s="101"/>
      <c r="DSL15" s="101"/>
      <c r="DSM15" s="101"/>
      <c r="DSN15" s="101"/>
      <c r="DSO15" s="101"/>
      <c r="DSP15" s="101"/>
      <c r="DSQ15" s="101"/>
      <c r="DSR15" s="101"/>
      <c r="DSS15" s="101"/>
      <c r="DST15" s="101"/>
      <c r="DSU15" s="101"/>
      <c r="DSV15" s="101"/>
      <c r="DSW15" s="101"/>
      <c r="DSX15" s="101"/>
      <c r="DSY15" s="101"/>
      <c r="DSZ15" s="101"/>
      <c r="DTA15" s="101"/>
      <c r="DTB15" s="101"/>
      <c r="DTC15" s="101"/>
      <c r="DTD15" s="101"/>
      <c r="DTE15" s="101"/>
      <c r="DTF15" s="101"/>
      <c r="DTG15" s="101"/>
      <c r="DTH15" s="101"/>
      <c r="DTI15" s="101"/>
      <c r="DTJ15" s="101"/>
      <c r="DTK15" s="101"/>
      <c r="DTL15" s="101"/>
      <c r="DTM15" s="101"/>
      <c r="DTN15" s="101"/>
      <c r="DTO15" s="101"/>
      <c r="DTP15" s="101"/>
      <c r="DTQ15" s="101"/>
      <c r="DTR15" s="101"/>
      <c r="DTS15" s="101"/>
      <c r="DTT15" s="101"/>
      <c r="DTU15" s="101"/>
      <c r="DTV15" s="101"/>
      <c r="DTW15" s="101"/>
      <c r="DTX15" s="101"/>
      <c r="DTY15" s="101"/>
      <c r="DTZ15" s="101"/>
      <c r="DUA15" s="101"/>
      <c r="DUB15" s="101"/>
      <c r="DUC15" s="101"/>
      <c r="DUD15" s="101"/>
      <c r="DUE15" s="101"/>
      <c r="DUF15" s="101"/>
      <c r="DUG15" s="101"/>
      <c r="DUH15" s="101"/>
      <c r="DUI15" s="101"/>
      <c r="DUJ15" s="101"/>
      <c r="DUK15" s="101"/>
      <c r="DUL15" s="101"/>
      <c r="DUM15" s="101"/>
      <c r="DUN15" s="101"/>
      <c r="DUO15" s="101"/>
      <c r="DUP15" s="101"/>
      <c r="DUQ15" s="101"/>
      <c r="DUR15" s="101"/>
      <c r="DUS15" s="101"/>
      <c r="DUT15" s="101"/>
      <c r="DUU15" s="101"/>
      <c r="DUV15" s="101"/>
      <c r="DUW15" s="101"/>
      <c r="DUX15" s="101"/>
      <c r="DUY15" s="101"/>
      <c r="DUZ15" s="101"/>
      <c r="DVA15" s="101"/>
      <c r="DVB15" s="101"/>
      <c r="DVC15" s="101"/>
      <c r="DVD15" s="101"/>
      <c r="DVE15" s="101"/>
      <c r="DVF15" s="101"/>
      <c r="DVG15" s="101"/>
      <c r="DVH15" s="101"/>
      <c r="DVI15" s="101"/>
      <c r="DVJ15" s="101"/>
      <c r="DVK15" s="101"/>
      <c r="DVL15" s="101"/>
      <c r="DVM15" s="101"/>
      <c r="DVN15" s="101"/>
      <c r="DVO15" s="101"/>
      <c r="DVP15" s="101"/>
      <c r="DVQ15" s="101"/>
      <c r="DVR15" s="101"/>
      <c r="DVS15" s="101"/>
      <c r="DVT15" s="101"/>
      <c r="DVU15" s="101"/>
      <c r="DVV15" s="101"/>
      <c r="DVW15" s="101"/>
      <c r="DVX15" s="101"/>
      <c r="DVY15" s="101"/>
      <c r="DVZ15" s="101"/>
      <c r="DWA15" s="101"/>
      <c r="DWB15" s="101"/>
      <c r="DWC15" s="101"/>
      <c r="DWD15" s="101"/>
      <c r="DWE15" s="101"/>
      <c r="DWF15" s="101"/>
      <c r="DWG15" s="101"/>
      <c r="DWH15" s="101"/>
      <c r="DWI15" s="101"/>
      <c r="DWJ15" s="101"/>
      <c r="DWK15" s="101"/>
      <c r="DWL15" s="101"/>
      <c r="DWM15" s="101"/>
      <c r="DWN15" s="101"/>
      <c r="DWO15" s="101"/>
      <c r="DWP15" s="101"/>
      <c r="DWQ15" s="101"/>
      <c r="DWR15" s="101"/>
      <c r="DWS15" s="101"/>
      <c r="DWT15" s="101"/>
      <c r="DWU15" s="101"/>
      <c r="DWV15" s="101"/>
      <c r="DWW15" s="101"/>
      <c r="DWX15" s="101"/>
      <c r="DWY15" s="101"/>
      <c r="DWZ15" s="101"/>
      <c r="DXA15" s="101"/>
      <c r="DXB15" s="101"/>
      <c r="DXC15" s="101"/>
      <c r="DXD15" s="101"/>
      <c r="DXE15" s="101"/>
      <c r="DXF15" s="101"/>
      <c r="DXG15" s="101"/>
      <c r="DXH15" s="101"/>
      <c r="DXI15" s="101"/>
      <c r="DXJ15" s="101"/>
      <c r="DXK15" s="101"/>
      <c r="DXL15" s="101"/>
      <c r="DXM15" s="101"/>
      <c r="DXN15" s="101"/>
      <c r="DXO15" s="101"/>
      <c r="DXP15" s="101"/>
      <c r="DXQ15" s="101"/>
      <c r="DXR15" s="101"/>
      <c r="DXS15" s="101"/>
      <c r="DXT15" s="101"/>
      <c r="DXU15" s="101"/>
      <c r="DXV15" s="101"/>
      <c r="DXW15" s="101"/>
      <c r="DXX15" s="101"/>
      <c r="DXY15" s="101"/>
      <c r="DXZ15" s="101"/>
      <c r="DYA15" s="101"/>
      <c r="DYB15" s="101"/>
      <c r="DYC15" s="101"/>
      <c r="DYD15" s="101"/>
      <c r="DYE15" s="101"/>
      <c r="DYF15" s="101"/>
      <c r="DYG15" s="101"/>
      <c r="DYH15" s="101"/>
      <c r="DYI15" s="101"/>
      <c r="DYJ15" s="101"/>
      <c r="DYK15" s="101"/>
      <c r="DYL15" s="101"/>
      <c r="DYM15" s="101"/>
      <c r="DYN15" s="101"/>
      <c r="DYO15" s="101"/>
      <c r="DYP15" s="101"/>
      <c r="DYQ15" s="101"/>
      <c r="DYR15" s="101"/>
      <c r="DYS15" s="101"/>
      <c r="DYT15" s="101"/>
      <c r="DYU15" s="101"/>
      <c r="DYV15" s="101"/>
      <c r="DYW15" s="101"/>
      <c r="DYX15" s="101"/>
      <c r="DYY15" s="101"/>
      <c r="DYZ15" s="101"/>
      <c r="DZA15" s="101"/>
      <c r="DZB15" s="101"/>
      <c r="DZC15" s="101"/>
      <c r="DZD15" s="101"/>
      <c r="DZE15" s="101"/>
      <c r="DZF15" s="101"/>
      <c r="DZG15" s="101"/>
      <c r="DZH15" s="101"/>
      <c r="DZI15" s="101"/>
      <c r="DZJ15" s="101"/>
      <c r="DZK15" s="101"/>
      <c r="DZL15" s="101"/>
      <c r="DZM15" s="101"/>
      <c r="DZN15" s="101"/>
      <c r="DZO15" s="101"/>
      <c r="DZP15" s="101"/>
      <c r="DZQ15" s="101"/>
      <c r="DZR15" s="101"/>
      <c r="DZS15" s="101"/>
      <c r="DZT15" s="101"/>
      <c r="DZU15" s="101"/>
      <c r="DZV15" s="101"/>
      <c r="DZW15" s="101"/>
      <c r="DZX15" s="101"/>
      <c r="DZY15" s="101"/>
      <c r="DZZ15" s="101"/>
      <c r="EAA15" s="101"/>
      <c r="EAB15" s="101"/>
      <c r="EAC15" s="101"/>
      <c r="EAD15" s="101"/>
      <c r="EAE15" s="101"/>
      <c r="EAF15" s="101"/>
      <c r="EAG15" s="101"/>
      <c r="EAH15" s="101"/>
      <c r="EAI15" s="101"/>
      <c r="EAJ15" s="101"/>
      <c r="EAK15" s="101"/>
      <c r="EAL15" s="101"/>
      <c r="EAM15" s="101"/>
      <c r="EAN15" s="101"/>
      <c r="EAO15" s="101"/>
      <c r="EAP15" s="101"/>
      <c r="EAQ15" s="101"/>
      <c r="EAR15" s="101"/>
      <c r="EAS15" s="101"/>
      <c r="EAT15" s="101"/>
      <c r="EAU15" s="101"/>
      <c r="EAV15" s="101"/>
      <c r="EAW15" s="101"/>
      <c r="EAX15" s="101"/>
      <c r="EAY15" s="101"/>
      <c r="EAZ15" s="101"/>
      <c r="EBA15" s="101"/>
      <c r="EBB15" s="101"/>
      <c r="EBC15" s="101"/>
      <c r="EBD15" s="101"/>
      <c r="EBE15" s="101"/>
      <c r="EBF15" s="101"/>
      <c r="EBG15" s="101"/>
      <c r="EBH15" s="101"/>
      <c r="EBI15" s="101"/>
      <c r="EBJ15" s="101"/>
      <c r="EBK15" s="101"/>
      <c r="EBL15" s="101"/>
      <c r="EBM15" s="101"/>
      <c r="EBN15" s="101"/>
      <c r="EBO15" s="101"/>
      <c r="EBP15" s="101"/>
      <c r="EBQ15" s="101"/>
      <c r="EBR15" s="101"/>
      <c r="EBS15" s="101"/>
      <c r="EBT15" s="101"/>
      <c r="EBU15" s="101"/>
      <c r="EBV15" s="101"/>
      <c r="EBW15" s="101"/>
      <c r="EBX15" s="101"/>
      <c r="EBY15" s="101"/>
      <c r="EBZ15" s="101"/>
      <c r="ECA15" s="101"/>
      <c r="ECB15" s="101"/>
      <c r="ECC15" s="101"/>
      <c r="ECD15" s="101"/>
      <c r="ECE15" s="101"/>
      <c r="ECF15" s="101"/>
      <c r="ECG15" s="101"/>
      <c r="ECH15" s="101"/>
      <c r="ECI15" s="101"/>
      <c r="ECJ15" s="101"/>
      <c r="ECK15" s="101"/>
      <c r="ECL15" s="101"/>
      <c r="ECM15" s="101"/>
      <c r="ECN15" s="101"/>
      <c r="ECO15" s="101"/>
      <c r="ECP15" s="101"/>
      <c r="ECQ15" s="101"/>
      <c r="ECR15" s="101"/>
      <c r="ECS15" s="101"/>
      <c r="ECT15" s="101"/>
      <c r="ECU15" s="101"/>
      <c r="ECV15" s="101"/>
      <c r="ECW15" s="101"/>
      <c r="ECX15" s="101"/>
      <c r="ECY15" s="101"/>
      <c r="ECZ15" s="101"/>
      <c r="EDA15" s="101"/>
      <c r="EDB15" s="101"/>
      <c r="EDC15" s="101"/>
      <c r="EDD15" s="101"/>
      <c r="EDE15" s="101"/>
      <c r="EDF15" s="101"/>
      <c r="EDG15" s="101"/>
      <c r="EDH15" s="101"/>
      <c r="EDI15" s="101"/>
      <c r="EDJ15" s="101"/>
      <c r="EDK15" s="101"/>
      <c r="EDL15" s="101"/>
      <c r="EDM15" s="101"/>
      <c r="EDN15" s="101"/>
      <c r="EDO15" s="101"/>
      <c r="EDP15" s="101"/>
      <c r="EDQ15" s="101"/>
      <c r="EDR15" s="101"/>
      <c r="EDS15" s="101"/>
      <c r="EDT15" s="101"/>
      <c r="EDU15" s="101"/>
      <c r="EDV15" s="101"/>
      <c r="EDW15" s="101"/>
      <c r="EDX15" s="101"/>
      <c r="EDY15" s="101"/>
      <c r="EDZ15" s="101"/>
      <c r="EEA15" s="101"/>
      <c r="EEB15" s="101"/>
      <c r="EEC15" s="101"/>
      <c r="EED15" s="101"/>
      <c r="EEE15" s="101"/>
      <c r="EEF15" s="101"/>
      <c r="EEG15" s="101"/>
      <c r="EEH15" s="101"/>
      <c r="EEI15" s="101"/>
      <c r="EEJ15" s="101"/>
      <c r="EEK15" s="101"/>
      <c r="EEL15" s="101"/>
      <c r="EEM15" s="101"/>
      <c r="EEN15" s="101"/>
      <c r="EEO15" s="101"/>
      <c r="EEP15" s="101"/>
      <c r="EEQ15" s="101"/>
      <c r="EER15" s="101"/>
      <c r="EES15" s="101"/>
      <c r="EET15" s="101"/>
      <c r="EEU15" s="101"/>
      <c r="EEV15" s="101"/>
      <c r="EEW15" s="101"/>
      <c r="EEX15" s="101"/>
      <c r="EEY15" s="101"/>
      <c r="EEZ15" s="101"/>
      <c r="EFA15" s="101"/>
      <c r="EFB15" s="101"/>
      <c r="EFC15" s="101"/>
      <c r="EFD15" s="101"/>
      <c r="EFE15" s="101"/>
      <c r="EFF15" s="101"/>
      <c r="EFG15" s="101"/>
      <c r="EFH15" s="101"/>
      <c r="EFI15" s="101"/>
      <c r="EFJ15" s="101"/>
      <c r="EFK15" s="101"/>
      <c r="EFL15" s="101"/>
      <c r="EFM15" s="101"/>
      <c r="EFN15" s="101"/>
      <c r="EFO15" s="101"/>
      <c r="EFP15" s="101"/>
      <c r="EFQ15" s="101"/>
      <c r="EFR15" s="101"/>
      <c r="EFS15" s="101"/>
      <c r="EFT15" s="101"/>
      <c r="EFU15" s="101"/>
      <c r="EFV15" s="101"/>
      <c r="EFW15" s="101"/>
      <c r="EFX15" s="101"/>
      <c r="EFY15" s="101"/>
      <c r="EFZ15" s="101"/>
      <c r="EGA15" s="101"/>
      <c r="EGB15" s="101"/>
      <c r="EGC15" s="101"/>
      <c r="EGD15" s="101"/>
      <c r="EGE15" s="101"/>
      <c r="EGF15" s="101"/>
      <c r="EGG15" s="101"/>
      <c r="EGH15" s="101"/>
      <c r="EGI15" s="101"/>
      <c r="EGJ15" s="101"/>
      <c r="EGK15" s="101"/>
      <c r="EGL15" s="101"/>
      <c r="EGM15" s="101"/>
      <c r="EGN15" s="101"/>
      <c r="EGO15" s="101"/>
      <c r="EGP15" s="101"/>
      <c r="EGQ15" s="101"/>
      <c r="EGR15" s="101"/>
      <c r="EGS15" s="101"/>
      <c r="EGT15" s="101"/>
      <c r="EGU15" s="101"/>
      <c r="EGV15" s="101"/>
      <c r="EGW15" s="101"/>
      <c r="EGX15" s="101"/>
      <c r="EGY15" s="101"/>
      <c r="EGZ15" s="101"/>
      <c r="EHA15" s="101"/>
      <c r="EHB15" s="101"/>
      <c r="EHC15" s="101"/>
      <c r="EHD15" s="101"/>
      <c r="EHE15" s="101"/>
      <c r="EHF15" s="101"/>
      <c r="EHG15" s="101"/>
      <c r="EHH15" s="101"/>
      <c r="EHI15" s="101"/>
      <c r="EHJ15" s="101"/>
      <c r="EHK15" s="101"/>
      <c r="EHL15" s="101"/>
      <c r="EHM15" s="101"/>
      <c r="EHN15" s="101"/>
      <c r="EHO15" s="101"/>
      <c r="EHP15" s="101"/>
      <c r="EHQ15" s="101"/>
      <c r="EHR15" s="101"/>
      <c r="EHS15" s="101"/>
      <c r="EHT15" s="101"/>
      <c r="EHU15" s="101"/>
      <c r="EHV15" s="101"/>
      <c r="EHW15" s="101"/>
      <c r="EHX15" s="101"/>
      <c r="EHY15" s="101"/>
      <c r="EHZ15" s="101"/>
      <c r="EIA15" s="101"/>
      <c r="EIB15" s="101"/>
      <c r="EIC15" s="101"/>
      <c r="EID15" s="101"/>
      <c r="EIE15" s="101"/>
      <c r="EIF15" s="101"/>
      <c r="EIG15" s="101"/>
      <c r="EIH15" s="101"/>
      <c r="EII15" s="101"/>
      <c r="EIJ15" s="101"/>
      <c r="EIK15" s="101"/>
      <c r="EIL15" s="101"/>
      <c r="EIM15" s="101"/>
      <c r="EIN15" s="101"/>
      <c r="EIO15" s="101"/>
      <c r="EIP15" s="101"/>
      <c r="EIQ15" s="101"/>
      <c r="EIR15" s="101"/>
      <c r="EIS15" s="101"/>
      <c r="EIT15" s="101"/>
      <c r="EIU15" s="101"/>
      <c r="EIV15" s="101"/>
      <c r="EIW15" s="101"/>
      <c r="EIX15" s="101"/>
      <c r="EIY15" s="101"/>
      <c r="EIZ15" s="101"/>
      <c r="EJA15" s="101"/>
      <c r="EJB15" s="101"/>
      <c r="EJC15" s="101"/>
      <c r="EJD15" s="101"/>
      <c r="EJE15" s="101"/>
      <c r="EJF15" s="101"/>
      <c r="EJG15" s="101"/>
      <c r="EJH15" s="101"/>
      <c r="EJI15" s="101"/>
      <c r="EJJ15" s="101"/>
      <c r="EJK15" s="101"/>
      <c r="EJL15" s="101"/>
      <c r="EJM15" s="101"/>
      <c r="EJN15" s="101"/>
      <c r="EJO15" s="101"/>
      <c r="EJP15" s="101"/>
      <c r="EJQ15" s="101"/>
      <c r="EJR15" s="101"/>
      <c r="EJS15" s="101"/>
      <c r="EJT15" s="101"/>
      <c r="EJU15" s="101"/>
      <c r="EJV15" s="101"/>
      <c r="EJW15" s="101"/>
      <c r="EJX15" s="101"/>
      <c r="EJY15" s="101"/>
      <c r="EJZ15" s="101"/>
      <c r="EKA15" s="101"/>
      <c r="EKB15" s="101"/>
      <c r="EKC15" s="101"/>
      <c r="EKD15" s="101"/>
      <c r="EKE15" s="101"/>
      <c r="EKF15" s="101"/>
      <c r="EKG15" s="101"/>
      <c r="EKH15" s="101"/>
      <c r="EKI15" s="101"/>
      <c r="EKJ15" s="101"/>
      <c r="EKK15" s="101"/>
      <c r="EKL15" s="101"/>
      <c r="EKM15" s="101"/>
      <c r="EKN15" s="101"/>
      <c r="EKO15" s="101"/>
      <c r="EKP15" s="101"/>
      <c r="EKQ15" s="101"/>
      <c r="EKR15" s="101"/>
      <c r="EKS15" s="101"/>
      <c r="EKT15" s="101"/>
      <c r="EKU15" s="101"/>
      <c r="EKV15" s="101"/>
      <c r="EKW15" s="101"/>
      <c r="EKX15" s="101"/>
      <c r="EKY15" s="101"/>
      <c r="EKZ15" s="101"/>
      <c r="ELA15" s="101"/>
      <c r="ELB15" s="101"/>
      <c r="ELC15" s="101"/>
      <c r="ELD15" s="101"/>
      <c r="ELE15" s="101"/>
      <c r="ELF15" s="101"/>
      <c r="ELG15" s="101"/>
      <c r="ELH15" s="101"/>
      <c r="ELI15" s="101"/>
      <c r="ELJ15" s="101"/>
      <c r="ELK15" s="101"/>
      <c r="ELL15" s="101"/>
      <c r="ELM15" s="101"/>
      <c r="ELN15" s="101"/>
      <c r="ELO15" s="101"/>
      <c r="ELP15" s="101"/>
      <c r="ELQ15" s="101"/>
      <c r="ELR15" s="101"/>
      <c r="ELS15" s="101"/>
      <c r="ELT15" s="101"/>
      <c r="ELU15" s="101"/>
      <c r="ELV15" s="101"/>
      <c r="ELW15" s="101"/>
      <c r="ELX15" s="101"/>
      <c r="ELY15" s="101"/>
      <c r="ELZ15" s="101"/>
      <c r="EMA15" s="101"/>
      <c r="EMB15" s="101"/>
      <c r="EMC15" s="101"/>
      <c r="EMD15" s="101"/>
      <c r="EME15" s="101"/>
      <c r="EMF15" s="101"/>
      <c r="EMG15" s="101"/>
      <c r="EMH15" s="101"/>
      <c r="EMI15" s="101"/>
      <c r="EMJ15" s="101"/>
      <c r="EMK15" s="101"/>
      <c r="EML15" s="101"/>
      <c r="EMM15" s="101"/>
      <c r="EMN15" s="101"/>
      <c r="EMO15" s="101"/>
      <c r="EMP15" s="101"/>
      <c r="EMQ15" s="101"/>
      <c r="EMR15" s="101"/>
      <c r="EMS15" s="101"/>
      <c r="EMT15" s="101"/>
      <c r="EMU15" s="101"/>
      <c r="EMV15" s="101"/>
      <c r="EMW15" s="101"/>
      <c r="EMX15" s="101"/>
      <c r="EMY15" s="101"/>
      <c r="EMZ15" s="101"/>
      <c r="ENA15" s="101"/>
      <c r="ENB15" s="101"/>
      <c r="ENC15" s="101"/>
      <c r="END15" s="101"/>
      <c r="ENE15" s="101"/>
      <c r="ENF15" s="101"/>
      <c r="ENG15" s="101"/>
      <c r="ENH15" s="101"/>
      <c r="ENI15" s="101"/>
      <c r="ENJ15" s="101"/>
      <c r="ENK15" s="101"/>
      <c r="ENL15" s="101"/>
      <c r="ENM15" s="101"/>
      <c r="ENN15" s="101"/>
      <c r="ENO15" s="101"/>
      <c r="ENP15" s="101"/>
      <c r="ENQ15" s="101"/>
      <c r="ENR15" s="101"/>
      <c r="ENS15" s="101"/>
      <c r="ENT15" s="101"/>
      <c r="ENU15" s="101"/>
      <c r="ENV15" s="101"/>
      <c r="ENW15" s="101"/>
      <c r="ENX15" s="101"/>
      <c r="ENY15" s="101"/>
      <c r="ENZ15" s="101"/>
      <c r="EOA15" s="101"/>
      <c r="EOB15" s="101"/>
      <c r="EOC15" s="101"/>
      <c r="EOD15" s="101"/>
      <c r="EOE15" s="101"/>
      <c r="EOF15" s="101"/>
      <c r="EOG15" s="101"/>
      <c r="EOH15" s="101"/>
      <c r="EOI15" s="101"/>
      <c r="EOJ15" s="101"/>
      <c r="EOK15" s="101"/>
      <c r="EOL15" s="101"/>
      <c r="EOM15" s="101"/>
      <c r="EON15" s="101"/>
      <c r="EOO15" s="101"/>
      <c r="EOP15" s="101"/>
      <c r="EOQ15" s="101"/>
      <c r="EOR15" s="101"/>
      <c r="EOS15" s="101"/>
      <c r="EOT15" s="101"/>
      <c r="EOU15" s="101"/>
      <c r="EOV15" s="101"/>
      <c r="EOW15" s="101"/>
      <c r="EOX15" s="101"/>
      <c r="EOY15" s="101"/>
      <c r="EOZ15" s="101"/>
      <c r="EPA15" s="101"/>
      <c r="EPB15" s="101"/>
      <c r="EPC15" s="101"/>
      <c r="EPD15" s="101"/>
      <c r="EPE15" s="101"/>
      <c r="EPF15" s="101"/>
      <c r="EPG15" s="101"/>
      <c r="EPH15" s="101"/>
      <c r="EPI15" s="101"/>
      <c r="EPJ15" s="101"/>
      <c r="EPK15" s="101"/>
      <c r="EPL15" s="101"/>
      <c r="EPM15" s="101"/>
      <c r="EPN15" s="101"/>
      <c r="EPO15" s="101"/>
      <c r="EPP15" s="101"/>
      <c r="EPQ15" s="101"/>
      <c r="EPR15" s="101"/>
      <c r="EPS15" s="101"/>
      <c r="EPT15" s="101"/>
      <c r="EPU15" s="101"/>
      <c r="EPV15" s="101"/>
      <c r="EPW15" s="101"/>
      <c r="EPX15" s="101"/>
      <c r="EPY15" s="101"/>
      <c r="EPZ15" s="101"/>
      <c r="EQA15" s="101"/>
      <c r="EQB15" s="101"/>
      <c r="EQC15" s="101"/>
      <c r="EQD15" s="101"/>
      <c r="EQE15" s="101"/>
      <c r="EQF15" s="101"/>
      <c r="EQG15" s="101"/>
      <c r="EQH15" s="101"/>
      <c r="EQI15" s="101"/>
      <c r="EQJ15" s="101"/>
      <c r="EQK15" s="101"/>
      <c r="EQL15" s="101"/>
      <c r="EQM15" s="101"/>
      <c r="EQN15" s="101"/>
      <c r="EQO15" s="101"/>
      <c r="EQP15" s="101"/>
      <c r="EQQ15" s="101"/>
      <c r="EQR15" s="101"/>
      <c r="EQS15" s="101"/>
      <c r="EQT15" s="101"/>
      <c r="EQU15" s="101"/>
      <c r="EQV15" s="101"/>
      <c r="EQW15" s="101"/>
      <c r="EQX15" s="101"/>
      <c r="EQY15" s="101"/>
      <c r="EQZ15" s="101"/>
      <c r="ERA15" s="101"/>
      <c r="ERB15" s="101"/>
      <c r="ERC15" s="101"/>
      <c r="ERD15" s="101"/>
      <c r="ERE15" s="101"/>
      <c r="ERF15" s="101"/>
      <c r="ERG15" s="101"/>
      <c r="ERH15" s="101"/>
      <c r="ERI15" s="101"/>
      <c r="ERJ15" s="101"/>
      <c r="ERK15" s="101"/>
      <c r="ERL15" s="101"/>
      <c r="ERM15" s="101"/>
      <c r="ERN15" s="101"/>
      <c r="ERO15" s="101"/>
      <c r="ERP15" s="101"/>
      <c r="ERQ15" s="101"/>
      <c r="ERR15" s="101"/>
      <c r="ERS15" s="101"/>
      <c r="ERT15" s="101"/>
      <c r="ERU15" s="101"/>
      <c r="ERV15" s="101"/>
      <c r="ERW15" s="101"/>
      <c r="ERX15" s="101"/>
      <c r="ERY15" s="101"/>
      <c r="ERZ15" s="101"/>
      <c r="ESA15" s="101"/>
      <c r="ESB15" s="101"/>
      <c r="ESC15" s="101"/>
      <c r="ESD15" s="101"/>
      <c r="ESE15" s="101"/>
      <c r="ESF15" s="101"/>
      <c r="ESG15" s="101"/>
      <c r="ESH15" s="101"/>
      <c r="ESI15" s="101"/>
      <c r="ESJ15" s="101"/>
      <c r="ESK15" s="101"/>
      <c r="ESL15" s="101"/>
      <c r="ESM15" s="101"/>
      <c r="ESN15" s="101"/>
      <c r="ESO15" s="101"/>
      <c r="ESP15" s="101"/>
      <c r="ESQ15" s="101"/>
      <c r="ESR15" s="101"/>
      <c r="ESS15" s="101"/>
      <c r="EST15" s="101"/>
      <c r="ESU15" s="101"/>
      <c r="ESV15" s="101"/>
      <c r="ESW15" s="101"/>
      <c r="ESX15" s="101"/>
      <c r="ESY15" s="101"/>
      <c r="ESZ15" s="101"/>
      <c r="ETA15" s="101"/>
      <c r="ETB15" s="101"/>
      <c r="ETC15" s="101"/>
      <c r="ETD15" s="101"/>
      <c r="ETE15" s="101"/>
      <c r="ETF15" s="101"/>
      <c r="ETG15" s="101"/>
      <c r="ETH15" s="101"/>
      <c r="ETI15" s="101"/>
      <c r="ETJ15" s="101"/>
      <c r="ETK15" s="101"/>
      <c r="ETL15" s="101"/>
      <c r="ETM15" s="101"/>
      <c r="ETN15" s="101"/>
      <c r="ETO15" s="101"/>
      <c r="ETP15" s="101"/>
      <c r="ETQ15" s="101"/>
      <c r="ETR15" s="101"/>
      <c r="ETS15" s="101"/>
      <c r="ETT15" s="101"/>
      <c r="ETU15" s="101"/>
      <c r="ETV15" s="101"/>
      <c r="ETW15" s="101"/>
      <c r="ETX15" s="101"/>
      <c r="ETY15" s="101"/>
      <c r="ETZ15" s="101"/>
      <c r="EUA15" s="101"/>
      <c r="EUB15" s="101"/>
      <c r="EUC15" s="101"/>
      <c r="EUD15" s="101"/>
      <c r="EUE15" s="101"/>
      <c r="EUF15" s="101"/>
      <c r="EUG15" s="101"/>
      <c r="EUH15" s="101"/>
      <c r="EUI15" s="101"/>
      <c r="EUJ15" s="101"/>
      <c r="EUK15" s="101"/>
      <c r="EUL15" s="101"/>
      <c r="EUM15" s="101"/>
      <c r="EUN15" s="101"/>
      <c r="EUO15" s="101"/>
      <c r="EUP15" s="101"/>
      <c r="EUQ15" s="101"/>
      <c r="EUR15" s="101"/>
      <c r="EUS15" s="101"/>
      <c r="EUT15" s="101"/>
      <c r="EUU15" s="101"/>
      <c r="EUV15" s="101"/>
      <c r="EUW15" s="101"/>
      <c r="EUX15" s="101"/>
      <c r="EUY15" s="101"/>
      <c r="EUZ15" s="101"/>
      <c r="EVA15" s="101"/>
      <c r="EVB15" s="101"/>
      <c r="EVC15" s="101"/>
      <c r="EVD15" s="101"/>
      <c r="EVE15" s="101"/>
      <c r="EVF15" s="101"/>
      <c r="EVG15" s="101"/>
      <c r="EVH15" s="101"/>
      <c r="EVI15" s="101"/>
      <c r="EVJ15" s="101"/>
      <c r="EVK15" s="101"/>
      <c r="EVL15" s="101"/>
      <c r="EVM15" s="101"/>
      <c r="EVN15" s="101"/>
      <c r="EVO15" s="101"/>
      <c r="EVP15" s="101"/>
      <c r="EVQ15" s="101"/>
      <c r="EVR15" s="101"/>
      <c r="EVS15" s="101"/>
      <c r="EVT15" s="101"/>
      <c r="EVU15" s="101"/>
      <c r="EVV15" s="101"/>
      <c r="EVW15" s="101"/>
      <c r="EVX15" s="101"/>
      <c r="EVY15" s="101"/>
      <c r="EVZ15" s="101"/>
      <c r="EWA15" s="101"/>
      <c r="EWB15" s="101"/>
      <c r="EWC15" s="101"/>
      <c r="EWD15" s="101"/>
      <c r="EWE15" s="101"/>
      <c r="EWF15" s="101"/>
      <c r="EWG15" s="101"/>
      <c r="EWH15" s="101"/>
      <c r="EWI15" s="101"/>
      <c r="EWJ15" s="101"/>
      <c r="EWK15" s="101"/>
      <c r="EWL15" s="101"/>
      <c r="EWM15" s="101"/>
      <c r="EWN15" s="101"/>
      <c r="EWO15" s="101"/>
      <c r="EWP15" s="101"/>
      <c r="EWQ15" s="101"/>
      <c r="EWR15" s="101"/>
      <c r="EWS15" s="101"/>
      <c r="EWT15" s="101"/>
      <c r="EWU15" s="101"/>
      <c r="EWV15" s="101"/>
      <c r="EWW15" s="101"/>
      <c r="EWX15" s="101"/>
      <c r="EWY15" s="101"/>
      <c r="EWZ15" s="101"/>
      <c r="EXA15" s="101"/>
      <c r="EXB15" s="101"/>
      <c r="EXC15" s="101"/>
      <c r="EXD15" s="101"/>
      <c r="EXE15" s="101"/>
      <c r="EXF15" s="101"/>
      <c r="EXG15" s="101"/>
      <c r="EXH15" s="101"/>
      <c r="EXI15" s="101"/>
      <c r="EXJ15" s="101"/>
      <c r="EXK15" s="101"/>
      <c r="EXL15" s="101"/>
      <c r="EXM15" s="101"/>
      <c r="EXN15" s="101"/>
      <c r="EXO15" s="101"/>
      <c r="EXP15" s="101"/>
      <c r="EXQ15" s="101"/>
      <c r="EXR15" s="101"/>
      <c r="EXS15" s="101"/>
      <c r="EXT15" s="101"/>
      <c r="EXU15" s="101"/>
      <c r="EXV15" s="101"/>
      <c r="EXW15" s="101"/>
      <c r="EXX15" s="101"/>
      <c r="EXY15" s="101"/>
      <c r="EXZ15" s="101"/>
      <c r="EYA15" s="101"/>
      <c r="EYB15" s="101"/>
      <c r="EYC15" s="101"/>
      <c r="EYD15" s="101"/>
      <c r="EYE15" s="101"/>
      <c r="EYF15" s="101"/>
      <c r="EYG15" s="101"/>
      <c r="EYH15" s="101"/>
      <c r="EYI15" s="101"/>
      <c r="EYJ15" s="101"/>
      <c r="EYK15" s="101"/>
      <c r="EYL15" s="101"/>
      <c r="EYM15" s="101"/>
      <c r="EYN15" s="101"/>
      <c r="EYO15" s="101"/>
      <c r="EYP15" s="101"/>
      <c r="EYQ15" s="101"/>
      <c r="EYR15" s="101"/>
      <c r="EYS15" s="101"/>
      <c r="EYT15" s="101"/>
      <c r="EYU15" s="101"/>
      <c r="EYV15" s="101"/>
      <c r="EYW15" s="101"/>
      <c r="EYX15" s="101"/>
      <c r="EYY15" s="101"/>
      <c r="EYZ15" s="101"/>
      <c r="EZA15" s="101"/>
      <c r="EZB15" s="101"/>
      <c r="EZC15" s="101"/>
      <c r="EZD15" s="101"/>
      <c r="EZE15" s="101"/>
      <c r="EZF15" s="101"/>
      <c r="EZG15" s="101"/>
      <c r="EZH15" s="101"/>
      <c r="EZI15" s="101"/>
      <c r="EZJ15" s="101"/>
      <c r="EZK15" s="101"/>
      <c r="EZL15" s="101"/>
      <c r="EZM15" s="101"/>
      <c r="EZN15" s="101"/>
      <c r="EZO15" s="101"/>
      <c r="EZP15" s="101"/>
      <c r="EZQ15" s="101"/>
      <c r="EZR15" s="101"/>
      <c r="EZS15" s="101"/>
      <c r="EZT15" s="101"/>
      <c r="EZU15" s="101"/>
      <c r="EZV15" s="101"/>
      <c r="EZW15" s="101"/>
      <c r="EZX15" s="101"/>
      <c r="EZY15" s="101"/>
      <c r="EZZ15" s="101"/>
      <c r="FAA15" s="101"/>
      <c r="FAB15" s="101"/>
      <c r="FAC15" s="101"/>
      <c r="FAD15" s="101"/>
      <c r="FAE15" s="101"/>
      <c r="FAF15" s="101"/>
      <c r="FAG15" s="101"/>
      <c r="FAH15" s="101"/>
      <c r="FAI15" s="101"/>
      <c r="FAJ15" s="101"/>
      <c r="FAK15" s="101"/>
      <c r="FAL15" s="101"/>
      <c r="FAM15" s="101"/>
      <c r="FAN15" s="101"/>
      <c r="FAO15" s="101"/>
      <c r="FAP15" s="101"/>
      <c r="FAQ15" s="101"/>
      <c r="FAR15" s="101"/>
      <c r="FAS15" s="101"/>
      <c r="FAT15" s="101"/>
      <c r="FAU15" s="101"/>
      <c r="FAV15" s="101"/>
      <c r="FAW15" s="101"/>
      <c r="FAX15" s="101"/>
      <c r="FAY15" s="101"/>
      <c r="FAZ15" s="101"/>
      <c r="FBA15" s="101"/>
      <c r="FBB15" s="101"/>
      <c r="FBC15" s="101"/>
      <c r="FBD15" s="101"/>
      <c r="FBE15" s="101"/>
      <c r="FBF15" s="101"/>
      <c r="FBG15" s="101"/>
      <c r="FBH15" s="101"/>
      <c r="FBI15" s="101"/>
      <c r="FBJ15" s="101"/>
      <c r="FBK15" s="101"/>
      <c r="FBL15" s="101"/>
      <c r="FBM15" s="101"/>
      <c r="FBN15" s="101"/>
      <c r="FBO15" s="101"/>
      <c r="FBP15" s="101"/>
      <c r="FBQ15" s="101"/>
      <c r="FBR15" s="101"/>
      <c r="FBS15" s="101"/>
      <c r="FBT15" s="101"/>
      <c r="FBU15" s="101"/>
      <c r="FBV15" s="101"/>
      <c r="FBW15" s="101"/>
      <c r="FBX15" s="101"/>
      <c r="FBY15" s="101"/>
      <c r="FBZ15" s="101"/>
      <c r="FCA15" s="101"/>
      <c r="FCB15" s="101"/>
      <c r="FCC15" s="101"/>
      <c r="FCD15" s="101"/>
      <c r="FCE15" s="101"/>
      <c r="FCF15" s="101"/>
      <c r="FCG15" s="101"/>
      <c r="FCH15" s="101"/>
      <c r="FCI15" s="101"/>
      <c r="FCJ15" s="101"/>
      <c r="FCK15" s="101"/>
      <c r="FCL15" s="101"/>
      <c r="FCM15" s="101"/>
      <c r="FCN15" s="101"/>
      <c r="FCO15" s="101"/>
      <c r="FCP15" s="101"/>
      <c r="FCQ15" s="101"/>
      <c r="FCR15" s="101"/>
      <c r="FCS15" s="101"/>
      <c r="FCT15" s="101"/>
      <c r="FCU15" s="101"/>
      <c r="FCV15" s="101"/>
      <c r="FCW15" s="101"/>
      <c r="FCX15" s="101"/>
      <c r="FCY15" s="101"/>
      <c r="FCZ15" s="101"/>
      <c r="FDA15" s="101"/>
      <c r="FDB15" s="101"/>
      <c r="FDC15" s="101"/>
      <c r="FDD15" s="101"/>
      <c r="FDE15" s="101"/>
      <c r="FDF15" s="101"/>
      <c r="FDG15" s="101"/>
      <c r="FDH15" s="101"/>
      <c r="FDI15" s="101"/>
      <c r="FDJ15" s="101"/>
      <c r="FDK15" s="101"/>
      <c r="FDL15" s="101"/>
      <c r="FDM15" s="101"/>
      <c r="FDN15" s="101"/>
      <c r="FDO15" s="101"/>
      <c r="FDP15" s="101"/>
      <c r="FDQ15" s="101"/>
      <c r="FDR15" s="101"/>
      <c r="FDS15" s="101"/>
      <c r="FDT15" s="101"/>
      <c r="FDU15" s="101"/>
      <c r="FDV15" s="101"/>
      <c r="FDW15" s="101"/>
      <c r="FDX15" s="101"/>
      <c r="FDY15" s="101"/>
      <c r="FDZ15" s="101"/>
      <c r="FEA15" s="101"/>
      <c r="FEB15" s="101"/>
      <c r="FEC15" s="101"/>
      <c r="FED15" s="101"/>
      <c r="FEE15" s="101"/>
      <c r="FEF15" s="101"/>
      <c r="FEG15" s="101"/>
      <c r="FEH15" s="101"/>
      <c r="FEI15" s="101"/>
      <c r="FEJ15" s="101"/>
      <c r="FEK15" s="101"/>
      <c r="FEL15" s="101"/>
      <c r="FEM15" s="101"/>
      <c r="FEN15" s="101"/>
      <c r="FEO15" s="101"/>
      <c r="FEP15" s="101"/>
      <c r="FEQ15" s="101"/>
      <c r="FER15" s="101"/>
      <c r="FES15" s="101"/>
      <c r="FET15" s="101"/>
      <c r="FEU15" s="101"/>
      <c r="FEV15" s="101"/>
      <c r="FEW15" s="101"/>
      <c r="FEX15" s="101"/>
      <c r="FEY15" s="101"/>
      <c r="FEZ15" s="101"/>
      <c r="FFA15" s="101"/>
      <c r="FFB15" s="101"/>
      <c r="FFC15" s="101"/>
      <c r="FFD15" s="101"/>
      <c r="FFE15" s="101"/>
      <c r="FFF15" s="101"/>
      <c r="FFG15" s="101"/>
      <c r="FFH15" s="101"/>
      <c r="FFI15" s="101"/>
      <c r="FFJ15" s="101"/>
      <c r="FFK15" s="101"/>
      <c r="FFL15" s="101"/>
      <c r="FFM15" s="101"/>
      <c r="FFN15" s="101"/>
      <c r="FFO15" s="101"/>
      <c r="FFP15" s="101"/>
      <c r="FFQ15" s="101"/>
      <c r="FFR15" s="101"/>
      <c r="FFS15" s="101"/>
      <c r="FFT15" s="101"/>
      <c r="FFU15" s="101"/>
      <c r="FFV15" s="101"/>
      <c r="FFW15" s="101"/>
      <c r="FFX15" s="101"/>
      <c r="FFY15" s="101"/>
      <c r="FFZ15" s="101"/>
      <c r="FGA15" s="101"/>
      <c r="FGB15" s="101"/>
      <c r="FGC15" s="101"/>
      <c r="FGD15" s="101"/>
      <c r="FGE15" s="101"/>
      <c r="FGF15" s="101"/>
      <c r="FGG15" s="101"/>
      <c r="FGH15" s="101"/>
      <c r="FGI15" s="101"/>
      <c r="FGJ15" s="101"/>
      <c r="FGK15" s="101"/>
      <c r="FGL15" s="101"/>
      <c r="FGM15" s="101"/>
      <c r="FGN15" s="101"/>
      <c r="FGO15" s="101"/>
      <c r="FGP15" s="101"/>
      <c r="FGQ15" s="101"/>
      <c r="FGR15" s="101"/>
      <c r="FGS15" s="101"/>
      <c r="FGT15" s="101"/>
      <c r="FGU15" s="101"/>
      <c r="FGV15" s="101"/>
      <c r="FGW15" s="101"/>
      <c r="FGX15" s="101"/>
      <c r="FGY15" s="101"/>
      <c r="FGZ15" s="101"/>
      <c r="FHA15" s="101"/>
      <c r="FHB15" s="101"/>
      <c r="FHC15" s="101"/>
      <c r="FHD15" s="101"/>
      <c r="FHE15" s="101"/>
      <c r="FHF15" s="101"/>
      <c r="FHG15" s="101"/>
      <c r="FHH15" s="101"/>
      <c r="FHI15" s="101"/>
      <c r="FHJ15" s="101"/>
      <c r="FHK15" s="101"/>
      <c r="FHL15" s="101"/>
      <c r="FHM15" s="101"/>
      <c r="FHN15" s="101"/>
      <c r="FHO15" s="101"/>
      <c r="FHP15" s="101"/>
      <c r="FHQ15" s="101"/>
      <c r="FHR15" s="101"/>
      <c r="FHS15" s="101"/>
      <c r="FHT15" s="101"/>
      <c r="FHU15" s="101"/>
      <c r="FHV15" s="101"/>
      <c r="FHW15" s="101"/>
      <c r="FHX15" s="101"/>
      <c r="FHY15" s="101"/>
      <c r="FHZ15" s="101"/>
      <c r="FIA15" s="101"/>
      <c r="FIB15" s="101"/>
      <c r="FIC15" s="101"/>
      <c r="FID15" s="101"/>
      <c r="FIE15" s="101"/>
      <c r="FIF15" s="101"/>
      <c r="FIG15" s="101"/>
      <c r="FIH15" s="101"/>
      <c r="FII15" s="101"/>
      <c r="FIJ15" s="101"/>
      <c r="FIK15" s="101"/>
      <c r="FIL15" s="101"/>
      <c r="FIM15" s="101"/>
      <c r="FIN15" s="101"/>
      <c r="FIO15" s="101"/>
      <c r="FIP15" s="101"/>
      <c r="FIQ15" s="101"/>
      <c r="FIR15" s="101"/>
      <c r="FIS15" s="101"/>
      <c r="FIT15" s="101"/>
      <c r="FIU15" s="101"/>
      <c r="FIV15" s="101"/>
      <c r="FIW15" s="101"/>
      <c r="FIX15" s="101"/>
      <c r="FIY15" s="101"/>
      <c r="FIZ15" s="101"/>
      <c r="FJA15" s="101"/>
      <c r="FJB15" s="101"/>
      <c r="FJC15" s="101"/>
      <c r="FJD15" s="101"/>
      <c r="FJE15" s="101"/>
      <c r="FJF15" s="101"/>
      <c r="FJG15" s="101"/>
      <c r="FJH15" s="101"/>
      <c r="FJI15" s="101"/>
      <c r="FJJ15" s="101"/>
      <c r="FJK15" s="101"/>
      <c r="FJL15" s="101"/>
      <c r="FJM15" s="101"/>
      <c r="FJN15" s="101"/>
      <c r="FJO15" s="101"/>
      <c r="FJP15" s="101"/>
      <c r="FJQ15" s="101"/>
      <c r="FJR15" s="101"/>
      <c r="FJS15" s="101"/>
      <c r="FJT15" s="101"/>
      <c r="FJU15" s="101"/>
      <c r="FJV15" s="101"/>
      <c r="FJW15" s="101"/>
      <c r="FJX15" s="101"/>
      <c r="FJY15" s="101"/>
      <c r="FJZ15" s="101"/>
      <c r="FKA15" s="101"/>
      <c r="FKB15" s="101"/>
      <c r="FKC15" s="101"/>
      <c r="FKD15" s="101"/>
      <c r="FKE15" s="101"/>
      <c r="FKF15" s="101"/>
      <c r="FKG15" s="101"/>
      <c r="FKH15" s="101"/>
      <c r="FKI15" s="101"/>
      <c r="FKJ15" s="101"/>
      <c r="FKK15" s="101"/>
      <c r="FKL15" s="101"/>
      <c r="FKM15" s="101"/>
      <c r="FKN15" s="101"/>
      <c r="FKO15" s="101"/>
      <c r="FKP15" s="101"/>
      <c r="FKQ15" s="101"/>
      <c r="FKR15" s="101"/>
      <c r="FKS15" s="101"/>
      <c r="FKT15" s="101"/>
      <c r="FKU15" s="101"/>
      <c r="FKV15" s="101"/>
      <c r="FKW15" s="101"/>
      <c r="FKX15" s="101"/>
      <c r="FKY15" s="101"/>
      <c r="FKZ15" s="101"/>
      <c r="FLA15" s="101"/>
      <c r="FLB15" s="101"/>
      <c r="FLC15" s="101"/>
      <c r="FLD15" s="101"/>
      <c r="FLE15" s="101"/>
      <c r="FLF15" s="101"/>
      <c r="FLG15" s="101"/>
      <c r="FLH15" s="101"/>
      <c r="FLI15" s="101"/>
      <c r="FLJ15" s="101"/>
      <c r="FLK15" s="101"/>
      <c r="FLL15" s="101"/>
      <c r="FLM15" s="101"/>
      <c r="FLN15" s="101"/>
      <c r="FLO15" s="101"/>
      <c r="FLP15" s="101"/>
      <c r="FLQ15" s="101"/>
      <c r="FLR15" s="101"/>
      <c r="FLS15" s="101"/>
      <c r="FLT15" s="101"/>
      <c r="FLU15" s="101"/>
      <c r="FLV15" s="101"/>
      <c r="FLW15" s="101"/>
      <c r="FLX15" s="101"/>
      <c r="FLY15" s="101"/>
      <c r="FLZ15" s="101"/>
      <c r="FMA15" s="101"/>
      <c r="FMB15" s="101"/>
      <c r="FMC15" s="101"/>
      <c r="FMD15" s="101"/>
      <c r="FME15" s="101"/>
      <c r="FMF15" s="101"/>
      <c r="FMG15" s="101"/>
      <c r="FMH15" s="101"/>
      <c r="FMI15" s="101"/>
      <c r="FMJ15" s="101"/>
      <c r="FMK15" s="101"/>
      <c r="FML15" s="101"/>
      <c r="FMM15" s="101"/>
      <c r="FMN15" s="101"/>
      <c r="FMO15" s="101"/>
      <c r="FMP15" s="101"/>
      <c r="FMQ15" s="101"/>
      <c r="FMR15" s="101"/>
      <c r="FMS15" s="101"/>
      <c r="FMT15" s="101"/>
      <c r="FMU15" s="101"/>
      <c r="FMV15" s="101"/>
      <c r="FMW15" s="101"/>
      <c r="FMX15" s="101"/>
      <c r="FMY15" s="101"/>
      <c r="FMZ15" s="101"/>
      <c r="FNA15" s="101"/>
      <c r="FNB15" s="101"/>
      <c r="FNC15" s="101"/>
      <c r="FND15" s="101"/>
      <c r="FNE15" s="101"/>
      <c r="FNF15" s="101"/>
      <c r="FNG15" s="101"/>
      <c r="FNH15" s="101"/>
      <c r="FNI15" s="101"/>
      <c r="FNJ15" s="101"/>
      <c r="FNK15" s="101"/>
      <c r="FNL15" s="101"/>
      <c r="FNM15" s="101"/>
      <c r="FNN15" s="101"/>
      <c r="FNO15" s="101"/>
      <c r="FNP15" s="101"/>
      <c r="FNQ15" s="101"/>
      <c r="FNR15" s="101"/>
      <c r="FNS15" s="101"/>
      <c r="FNT15" s="101"/>
      <c r="FNU15" s="101"/>
      <c r="FNV15" s="101"/>
      <c r="FNW15" s="101"/>
      <c r="FNX15" s="101"/>
      <c r="FNY15" s="101"/>
      <c r="FNZ15" s="101"/>
      <c r="FOA15" s="101"/>
      <c r="FOB15" s="101"/>
      <c r="FOC15" s="101"/>
      <c r="FOD15" s="101"/>
      <c r="FOE15" s="101"/>
      <c r="FOF15" s="101"/>
      <c r="FOG15" s="101"/>
      <c r="FOH15" s="101"/>
      <c r="FOI15" s="101"/>
      <c r="FOJ15" s="101"/>
      <c r="FOK15" s="101"/>
      <c r="FOL15" s="101"/>
      <c r="FOM15" s="101"/>
      <c r="FON15" s="101"/>
      <c r="FOO15" s="101"/>
      <c r="FOP15" s="101"/>
      <c r="FOQ15" s="101"/>
      <c r="FOR15" s="101"/>
      <c r="FOS15" s="101"/>
      <c r="FOT15" s="101"/>
      <c r="FOU15" s="101"/>
      <c r="FOV15" s="101"/>
      <c r="FOW15" s="101"/>
      <c r="FOX15" s="101"/>
      <c r="FOY15" s="101"/>
      <c r="FOZ15" s="101"/>
      <c r="FPA15" s="101"/>
      <c r="FPB15" s="101"/>
      <c r="FPC15" s="101"/>
      <c r="FPD15" s="101"/>
      <c r="FPE15" s="101"/>
      <c r="FPF15" s="101"/>
      <c r="FPG15" s="101"/>
      <c r="FPH15" s="101"/>
      <c r="FPI15" s="101"/>
      <c r="FPJ15" s="101"/>
      <c r="FPK15" s="101"/>
      <c r="FPL15" s="101"/>
      <c r="FPM15" s="101"/>
      <c r="FPN15" s="101"/>
      <c r="FPO15" s="101"/>
      <c r="FPP15" s="101"/>
      <c r="FPQ15" s="101"/>
      <c r="FPR15" s="101"/>
      <c r="FPS15" s="101"/>
      <c r="FPT15" s="101"/>
      <c r="FPU15" s="101"/>
      <c r="FPV15" s="101"/>
      <c r="FPW15" s="101"/>
      <c r="FPX15" s="101"/>
      <c r="FPY15" s="101"/>
      <c r="FPZ15" s="101"/>
      <c r="FQA15" s="101"/>
      <c r="FQB15" s="101"/>
      <c r="FQC15" s="101"/>
      <c r="FQD15" s="101"/>
      <c r="FQE15" s="101"/>
      <c r="FQF15" s="101"/>
      <c r="FQG15" s="101"/>
      <c r="FQH15" s="101"/>
      <c r="FQI15" s="101"/>
      <c r="FQJ15" s="101"/>
      <c r="FQK15" s="101"/>
      <c r="FQL15" s="101"/>
      <c r="FQM15" s="101"/>
      <c r="FQN15" s="101"/>
      <c r="FQO15" s="101"/>
      <c r="FQP15" s="101"/>
      <c r="FQQ15" s="101"/>
      <c r="FQR15" s="101"/>
      <c r="FQS15" s="101"/>
      <c r="FQT15" s="101"/>
      <c r="FQU15" s="101"/>
      <c r="FQV15" s="101"/>
      <c r="FQW15" s="101"/>
      <c r="FQX15" s="101"/>
      <c r="FQY15" s="101"/>
      <c r="FQZ15" s="101"/>
      <c r="FRA15" s="101"/>
      <c r="FRB15" s="101"/>
      <c r="FRC15" s="101"/>
      <c r="FRD15" s="101"/>
      <c r="FRE15" s="101"/>
      <c r="FRF15" s="101"/>
      <c r="FRG15" s="101"/>
      <c r="FRH15" s="101"/>
      <c r="FRI15" s="101"/>
      <c r="FRJ15" s="101"/>
      <c r="FRK15" s="101"/>
      <c r="FRL15" s="101"/>
      <c r="FRM15" s="101"/>
      <c r="FRN15" s="101"/>
      <c r="FRO15" s="101"/>
      <c r="FRP15" s="101"/>
      <c r="FRQ15" s="101"/>
      <c r="FRR15" s="101"/>
      <c r="FRS15" s="101"/>
      <c r="FRT15" s="101"/>
      <c r="FRU15" s="101"/>
      <c r="FRV15" s="101"/>
      <c r="FRW15" s="101"/>
      <c r="FRX15" s="101"/>
      <c r="FRY15" s="101"/>
      <c r="FRZ15" s="101"/>
      <c r="FSA15" s="101"/>
      <c r="FSB15" s="101"/>
      <c r="FSC15" s="101"/>
      <c r="FSD15" s="101"/>
      <c r="FSE15" s="101"/>
      <c r="FSF15" s="101"/>
      <c r="FSG15" s="101"/>
      <c r="FSH15" s="101"/>
      <c r="FSI15" s="101"/>
      <c r="FSJ15" s="101"/>
      <c r="FSK15" s="101"/>
      <c r="FSL15" s="101"/>
      <c r="FSM15" s="101"/>
      <c r="FSN15" s="101"/>
      <c r="FSO15" s="101"/>
      <c r="FSP15" s="101"/>
      <c r="FSQ15" s="101"/>
      <c r="FSR15" s="101"/>
      <c r="FSS15" s="101"/>
      <c r="FST15" s="101"/>
      <c r="FSU15" s="101"/>
      <c r="FSV15" s="101"/>
      <c r="FSW15" s="101"/>
      <c r="FSX15" s="101"/>
      <c r="FSY15" s="101"/>
      <c r="FSZ15" s="101"/>
      <c r="FTA15" s="101"/>
      <c r="FTB15" s="101"/>
      <c r="FTC15" s="101"/>
      <c r="FTD15" s="101"/>
      <c r="FTE15" s="101"/>
      <c r="FTF15" s="101"/>
      <c r="FTG15" s="101"/>
      <c r="FTH15" s="101"/>
      <c r="FTI15" s="101"/>
      <c r="FTJ15" s="101"/>
      <c r="FTK15" s="101"/>
      <c r="FTL15" s="101"/>
      <c r="FTM15" s="101"/>
      <c r="FTN15" s="101"/>
      <c r="FTO15" s="101"/>
      <c r="FTP15" s="101"/>
      <c r="FTQ15" s="101"/>
      <c r="FTR15" s="101"/>
      <c r="FTS15" s="101"/>
      <c r="FTT15" s="101"/>
      <c r="FTU15" s="101"/>
      <c r="FTV15" s="101"/>
      <c r="FTW15" s="101"/>
      <c r="FTX15" s="101"/>
      <c r="FTY15" s="101"/>
      <c r="FTZ15" s="101"/>
      <c r="FUA15" s="101"/>
      <c r="FUB15" s="101"/>
      <c r="FUC15" s="101"/>
      <c r="FUD15" s="101"/>
      <c r="FUE15" s="101"/>
      <c r="FUF15" s="101"/>
      <c r="FUG15" s="101"/>
      <c r="FUH15" s="101"/>
      <c r="FUI15" s="101"/>
      <c r="FUJ15" s="101"/>
      <c r="FUK15" s="101"/>
      <c r="FUL15" s="101"/>
      <c r="FUM15" s="101"/>
      <c r="FUN15" s="101"/>
      <c r="FUO15" s="101"/>
      <c r="FUP15" s="101"/>
      <c r="FUQ15" s="101"/>
      <c r="FUR15" s="101"/>
      <c r="FUS15" s="101"/>
      <c r="FUT15" s="101"/>
      <c r="FUU15" s="101"/>
      <c r="FUV15" s="101"/>
      <c r="FUW15" s="101"/>
      <c r="FUX15" s="101"/>
      <c r="FUY15" s="101"/>
      <c r="FUZ15" s="101"/>
      <c r="FVA15" s="101"/>
      <c r="FVB15" s="101"/>
      <c r="FVC15" s="101"/>
      <c r="FVD15" s="101"/>
      <c r="FVE15" s="101"/>
      <c r="FVF15" s="101"/>
      <c r="FVG15" s="101"/>
      <c r="FVH15" s="101"/>
      <c r="FVI15" s="101"/>
      <c r="FVJ15" s="101"/>
      <c r="FVK15" s="101"/>
      <c r="FVL15" s="101"/>
      <c r="FVM15" s="101"/>
      <c r="FVN15" s="101"/>
      <c r="FVO15" s="101"/>
      <c r="FVP15" s="101"/>
      <c r="FVQ15" s="101"/>
      <c r="FVR15" s="101"/>
      <c r="FVS15" s="101"/>
      <c r="FVT15" s="101"/>
      <c r="FVU15" s="101"/>
      <c r="FVV15" s="101"/>
      <c r="FVW15" s="101"/>
      <c r="FVX15" s="101"/>
      <c r="FVY15" s="101"/>
      <c r="FVZ15" s="101"/>
      <c r="FWA15" s="101"/>
      <c r="FWB15" s="101"/>
      <c r="FWC15" s="101"/>
      <c r="FWD15" s="101"/>
      <c r="FWE15" s="101"/>
      <c r="FWF15" s="101"/>
      <c r="FWG15" s="101"/>
      <c r="FWH15" s="101"/>
      <c r="FWI15" s="101"/>
      <c r="FWJ15" s="101"/>
      <c r="FWK15" s="101"/>
      <c r="FWL15" s="101"/>
      <c r="FWM15" s="101"/>
      <c r="FWN15" s="101"/>
      <c r="FWO15" s="101"/>
      <c r="FWP15" s="101"/>
      <c r="FWQ15" s="101"/>
      <c r="FWR15" s="101"/>
      <c r="FWS15" s="101"/>
      <c r="FWT15" s="101"/>
      <c r="FWU15" s="101"/>
      <c r="FWV15" s="101"/>
      <c r="FWW15" s="101"/>
      <c r="FWX15" s="101"/>
      <c r="FWY15" s="101"/>
      <c r="FWZ15" s="101"/>
      <c r="FXA15" s="101"/>
      <c r="FXB15" s="101"/>
      <c r="FXC15" s="101"/>
      <c r="FXD15" s="101"/>
      <c r="FXE15" s="101"/>
      <c r="FXF15" s="101"/>
      <c r="FXG15" s="101"/>
      <c r="FXH15" s="101"/>
      <c r="FXI15" s="101"/>
      <c r="FXJ15" s="101"/>
      <c r="FXK15" s="101"/>
      <c r="FXL15" s="101"/>
      <c r="FXM15" s="101"/>
      <c r="FXN15" s="101"/>
      <c r="FXO15" s="101"/>
      <c r="FXP15" s="101"/>
      <c r="FXQ15" s="101"/>
      <c r="FXR15" s="101"/>
      <c r="FXS15" s="101"/>
      <c r="FXT15" s="101"/>
      <c r="FXU15" s="101"/>
      <c r="FXV15" s="101"/>
      <c r="FXW15" s="101"/>
      <c r="FXX15" s="101"/>
      <c r="FXY15" s="101"/>
      <c r="FXZ15" s="101"/>
      <c r="FYA15" s="101"/>
      <c r="FYB15" s="101"/>
      <c r="FYC15" s="101"/>
      <c r="FYD15" s="101"/>
      <c r="FYE15" s="101"/>
      <c r="FYF15" s="101"/>
      <c r="FYG15" s="101"/>
      <c r="FYH15" s="101"/>
      <c r="FYI15" s="101"/>
      <c r="FYJ15" s="101"/>
      <c r="FYK15" s="101"/>
      <c r="FYL15" s="101"/>
      <c r="FYM15" s="101"/>
      <c r="FYN15" s="101"/>
      <c r="FYO15" s="101"/>
      <c r="FYP15" s="101"/>
      <c r="FYQ15" s="101"/>
      <c r="FYR15" s="101"/>
      <c r="FYS15" s="101"/>
      <c r="FYT15" s="101"/>
      <c r="FYU15" s="101"/>
      <c r="FYV15" s="101"/>
      <c r="FYW15" s="101"/>
      <c r="FYX15" s="101"/>
      <c r="FYY15" s="101"/>
      <c r="FYZ15" s="101"/>
      <c r="FZA15" s="101"/>
      <c r="FZB15" s="101"/>
      <c r="FZC15" s="101"/>
      <c r="FZD15" s="101"/>
      <c r="FZE15" s="101"/>
      <c r="FZF15" s="101"/>
      <c r="FZG15" s="101"/>
      <c r="FZH15" s="101"/>
      <c r="FZI15" s="101"/>
      <c r="FZJ15" s="101"/>
      <c r="FZK15" s="101"/>
      <c r="FZL15" s="101"/>
      <c r="FZM15" s="101"/>
      <c r="FZN15" s="101"/>
      <c r="FZO15" s="101"/>
      <c r="FZP15" s="101"/>
      <c r="FZQ15" s="101"/>
      <c r="FZR15" s="101"/>
      <c r="FZS15" s="101"/>
      <c r="FZT15" s="101"/>
      <c r="FZU15" s="101"/>
      <c r="FZV15" s="101"/>
      <c r="FZW15" s="101"/>
      <c r="FZX15" s="101"/>
      <c r="FZY15" s="101"/>
      <c r="FZZ15" s="101"/>
      <c r="GAA15" s="101"/>
      <c r="GAB15" s="101"/>
      <c r="GAC15" s="101"/>
      <c r="GAD15" s="101"/>
      <c r="GAE15" s="101"/>
      <c r="GAF15" s="101"/>
      <c r="GAG15" s="101"/>
      <c r="GAH15" s="101"/>
      <c r="GAI15" s="101"/>
      <c r="GAJ15" s="101"/>
      <c r="GAK15" s="101"/>
      <c r="GAL15" s="101"/>
      <c r="GAM15" s="101"/>
      <c r="GAN15" s="101"/>
      <c r="GAO15" s="101"/>
      <c r="GAP15" s="101"/>
      <c r="GAQ15" s="101"/>
      <c r="GAR15" s="101"/>
      <c r="GAS15" s="101"/>
      <c r="GAT15" s="101"/>
      <c r="GAU15" s="101"/>
      <c r="GAV15" s="101"/>
      <c r="GAW15" s="101"/>
      <c r="GAX15" s="101"/>
      <c r="GAY15" s="101"/>
      <c r="GAZ15" s="101"/>
      <c r="GBA15" s="101"/>
      <c r="GBB15" s="101"/>
      <c r="GBC15" s="101"/>
      <c r="GBD15" s="101"/>
      <c r="GBE15" s="101"/>
      <c r="GBF15" s="101"/>
      <c r="GBG15" s="101"/>
      <c r="GBH15" s="101"/>
      <c r="GBI15" s="101"/>
      <c r="GBJ15" s="101"/>
      <c r="GBK15" s="101"/>
      <c r="GBL15" s="101"/>
      <c r="GBM15" s="101"/>
      <c r="GBN15" s="101"/>
      <c r="GBO15" s="101"/>
      <c r="GBP15" s="101"/>
      <c r="GBQ15" s="101"/>
      <c r="GBR15" s="101"/>
      <c r="GBS15" s="101"/>
      <c r="GBT15" s="101"/>
      <c r="GBU15" s="101"/>
      <c r="GBV15" s="101"/>
      <c r="GBW15" s="101"/>
      <c r="GBX15" s="101"/>
      <c r="GBY15" s="101"/>
      <c r="GBZ15" s="101"/>
      <c r="GCA15" s="101"/>
      <c r="GCB15" s="101"/>
      <c r="GCC15" s="101"/>
      <c r="GCD15" s="101"/>
      <c r="GCE15" s="101"/>
      <c r="GCF15" s="101"/>
      <c r="GCG15" s="101"/>
      <c r="GCH15" s="101"/>
      <c r="GCI15" s="101"/>
      <c r="GCJ15" s="101"/>
      <c r="GCK15" s="101"/>
      <c r="GCL15" s="101"/>
      <c r="GCM15" s="101"/>
      <c r="GCN15" s="101"/>
      <c r="GCO15" s="101"/>
      <c r="GCP15" s="101"/>
      <c r="GCQ15" s="101"/>
      <c r="GCR15" s="101"/>
      <c r="GCS15" s="101"/>
      <c r="GCT15" s="101"/>
      <c r="GCU15" s="101"/>
      <c r="GCV15" s="101"/>
      <c r="GCW15" s="101"/>
      <c r="GCX15" s="101"/>
      <c r="GCY15" s="101"/>
      <c r="GCZ15" s="101"/>
      <c r="GDA15" s="101"/>
      <c r="GDB15" s="101"/>
      <c r="GDC15" s="101"/>
      <c r="GDD15" s="101"/>
      <c r="GDE15" s="101"/>
      <c r="GDF15" s="101"/>
      <c r="GDG15" s="101"/>
      <c r="GDH15" s="101"/>
      <c r="GDI15" s="101"/>
      <c r="GDJ15" s="101"/>
      <c r="GDK15" s="101"/>
      <c r="GDL15" s="101"/>
      <c r="GDM15" s="101"/>
      <c r="GDN15" s="101"/>
      <c r="GDO15" s="101"/>
      <c r="GDP15" s="101"/>
      <c r="GDQ15" s="101"/>
      <c r="GDR15" s="101"/>
      <c r="GDS15" s="101"/>
      <c r="GDT15" s="101"/>
      <c r="GDU15" s="101"/>
      <c r="GDV15" s="101"/>
      <c r="GDW15" s="101"/>
      <c r="GDX15" s="101"/>
      <c r="GDY15" s="101"/>
      <c r="GDZ15" s="101"/>
      <c r="GEA15" s="101"/>
      <c r="GEB15" s="101"/>
      <c r="GEC15" s="101"/>
      <c r="GED15" s="101"/>
      <c r="GEE15" s="101"/>
      <c r="GEF15" s="101"/>
      <c r="GEG15" s="101"/>
      <c r="GEH15" s="101"/>
      <c r="GEI15" s="101"/>
      <c r="GEJ15" s="101"/>
      <c r="GEK15" s="101"/>
      <c r="GEL15" s="101"/>
      <c r="GEM15" s="101"/>
      <c r="GEN15" s="101"/>
      <c r="GEO15" s="101"/>
      <c r="GEP15" s="101"/>
      <c r="GEQ15" s="101"/>
      <c r="GER15" s="101"/>
      <c r="GES15" s="101"/>
      <c r="GET15" s="101"/>
      <c r="GEU15" s="101"/>
      <c r="GEV15" s="101"/>
      <c r="GEW15" s="101"/>
      <c r="GEX15" s="101"/>
      <c r="GEY15" s="101"/>
      <c r="GEZ15" s="101"/>
      <c r="GFA15" s="101"/>
      <c r="GFB15" s="101"/>
      <c r="GFC15" s="101"/>
      <c r="GFD15" s="101"/>
      <c r="GFE15" s="101"/>
      <c r="GFF15" s="101"/>
      <c r="GFG15" s="101"/>
      <c r="GFH15" s="101"/>
      <c r="GFI15" s="101"/>
      <c r="GFJ15" s="101"/>
      <c r="GFK15" s="101"/>
      <c r="GFL15" s="101"/>
      <c r="GFM15" s="101"/>
      <c r="GFN15" s="101"/>
      <c r="GFO15" s="101"/>
      <c r="GFP15" s="101"/>
      <c r="GFQ15" s="101"/>
      <c r="GFR15" s="101"/>
      <c r="GFS15" s="101"/>
      <c r="GFT15" s="101"/>
      <c r="GFU15" s="101"/>
      <c r="GFV15" s="101"/>
      <c r="GFW15" s="101"/>
      <c r="GFX15" s="101"/>
      <c r="GFY15" s="101"/>
      <c r="GFZ15" s="101"/>
      <c r="GGA15" s="101"/>
      <c r="GGB15" s="101"/>
      <c r="GGC15" s="101"/>
      <c r="GGD15" s="101"/>
      <c r="GGE15" s="101"/>
      <c r="GGF15" s="101"/>
      <c r="GGG15" s="101"/>
      <c r="GGH15" s="101"/>
      <c r="GGI15" s="101"/>
      <c r="GGJ15" s="101"/>
      <c r="GGK15" s="101"/>
      <c r="GGL15" s="101"/>
      <c r="GGM15" s="101"/>
      <c r="GGN15" s="101"/>
      <c r="GGO15" s="101"/>
      <c r="GGP15" s="101"/>
      <c r="GGQ15" s="101"/>
      <c r="GGR15" s="101"/>
      <c r="GGS15" s="101"/>
      <c r="GGT15" s="101"/>
      <c r="GGU15" s="101"/>
      <c r="GGV15" s="101"/>
      <c r="GGW15" s="101"/>
      <c r="GGX15" s="101"/>
      <c r="GGY15" s="101"/>
      <c r="GGZ15" s="101"/>
      <c r="GHA15" s="101"/>
      <c r="GHB15" s="101"/>
      <c r="GHC15" s="101"/>
      <c r="GHD15" s="101"/>
      <c r="GHE15" s="101"/>
      <c r="GHF15" s="101"/>
      <c r="GHG15" s="101"/>
      <c r="GHH15" s="101"/>
      <c r="GHI15" s="101"/>
      <c r="GHJ15" s="101"/>
      <c r="GHK15" s="101"/>
      <c r="GHL15" s="101"/>
      <c r="GHM15" s="101"/>
      <c r="GHN15" s="101"/>
      <c r="GHO15" s="101"/>
      <c r="GHP15" s="101"/>
      <c r="GHQ15" s="101"/>
      <c r="GHR15" s="101"/>
      <c r="GHS15" s="101"/>
      <c r="GHT15" s="101"/>
      <c r="GHU15" s="101"/>
      <c r="GHV15" s="101"/>
      <c r="GHW15" s="101"/>
      <c r="GHX15" s="101"/>
      <c r="GHY15" s="101"/>
      <c r="GHZ15" s="101"/>
      <c r="GIA15" s="101"/>
      <c r="GIB15" s="101"/>
      <c r="GIC15" s="101"/>
      <c r="GID15" s="101"/>
      <c r="GIE15" s="101"/>
      <c r="GIF15" s="101"/>
      <c r="GIG15" s="101"/>
      <c r="GIH15" s="101"/>
      <c r="GII15" s="101"/>
      <c r="GIJ15" s="101"/>
      <c r="GIK15" s="101"/>
      <c r="GIL15" s="101"/>
      <c r="GIM15" s="101"/>
      <c r="GIN15" s="101"/>
      <c r="GIO15" s="101"/>
      <c r="GIP15" s="101"/>
      <c r="GIQ15" s="101"/>
      <c r="GIR15" s="101"/>
      <c r="GIS15" s="101"/>
      <c r="GIT15" s="101"/>
      <c r="GIU15" s="101"/>
      <c r="GIV15" s="101"/>
      <c r="GIW15" s="101"/>
      <c r="GIX15" s="101"/>
      <c r="GIY15" s="101"/>
      <c r="GIZ15" s="101"/>
      <c r="GJA15" s="101"/>
      <c r="GJB15" s="101"/>
      <c r="GJC15" s="101"/>
      <c r="GJD15" s="101"/>
      <c r="GJE15" s="101"/>
      <c r="GJF15" s="101"/>
      <c r="GJG15" s="101"/>
      <c r="GJH15" s="101"/>
      <c r="GJI15" s="101"/>
      <c r="GJJ15" s="101"/>
      <c r="GJK15" s="101"/>
      <c r="GJL15" s="101"/>
      <c r="GJM15" s="101"/>
      <c r="GJN15" s="101"/>
      <c r="GJO15" s="101"/>
      <c r="GJP15" s="101"/>
      <c r="GJQ15" s="101"/>
      <c r="GJR15" s="101"/>
      <c r="GJS15" s="101"/>
      <c r="GJT15" s="101"/>
      <c r="GJU15" s="101"/>
      <c r="GJV15" s="101"/>
      <c r="GJW15" s="101"/>
      <c r="GJX15" s="101"/>
      <c r="GJY15" s="101"/>
      <c r="GJZ15" s="101"/>
      <c r="GKA15" s="101"/>
      <c r="GKB15" s="101"/>
      <c r="GKC15" s="101"/>
      <c r="GKD15" s="101"/>
      <c r="GKE15" s="101"/>
      <c r="GKF15" s="101"/>
      <c r="GKG15" s="101"/>
      <c r="GKH15" s="101"/>
      <c r="GKI15" s="101"/>
      <c r="GKJ15" s="101"/>
      <c r="GKK15" s="101"/>
      <c r="GKL15" s="101"/>
      <c r="GKM15" s="101"/>
      <c r="GKN15" s="101"/>
      <c r="GKO15" s="101"/>
      <c r="GKP15" s="101"/>
      <c r="GKQ15" s="101"/>
      <c r="GKR15" s="101"/>
      <c r="GKS15" s="101"/>
      <c r="GKT15" s="101"/>
      <c r="GKU15" s="101"/>
      <c r="GKV15" s="101"/>
      <c r="GKW15" s="101"/>
      <c r="GKX15" s="101"/>
      <c r="GKY15" s="101"/>
      <c r="GKZ15" s="101"/>
      <c r="GLA15" s="101"/>
      <c r="GLB15" s="101"/>
      <c r="GLC15" s="101"/>
      <c r="GLD15" s="101"/>
      <c r="GLE15" s="101"/>
      <c r="GLF15" s="101"/>
      <c r="GLG15" s="101"/>
      <c r="GLH15" s="101"/>
      <c r="GLI15" s="101"/>
      <c r="GLJ15" s="101"/>
      <c r="GLK15" s="101"/>
      <c r="GLL15" s="101"/>
      <c r="GLM15" s="101"/>
      <c r="GLN15" s="101"/>
      <c r="GLO15" s="101"/>
      <c r="GLP15" s="101"/>
      <c r="GLQ15" s="101"/>
      <c r="GLR15" s="101"/>
      <c r="GLS15" s="101"/>
      <c r="GLT15" s="101"/>
      <c r="GLU15" s="101"/>
      <c r="GLV15" s="101"/>
      <c r="GLW15" s="101"/>
      <c r="GLX15" s="101"/>
      <c r="GLY15" s="101"/>
      <c r="GLZ15" s="101"/>
      <c r="GMA15" s="101"/>
      <c r="GMB15" s="101"/>
      <c r="GMC15" s="101"/>
      <c r="GMD15" s="101"/>
      <c r="GME15" s="101"/>
      <c r="GMF15" s="101"/>
      <c r="GMG15" s="101"/>
      <c r="GMH15" s="101"/>
      <c r="GMI15" s="101"/>
      <c r="GMJ15" s="101"/>
      <c r="GMK15" s="101"/>
      <c r="GML15" s="101"/>
      <c r="GMM15" s="101"/>
      <c r="GMN15" s="101"/>
      <c r="GMO15" s="101"/>
      <c r="GMP15" s="101"/>
      <c r="GMQ15" s="101"/>
      <c r="GMR15" s="101"/>
      <c r="GMS15" s="101"/>
      <c r="GMT15" s="101"/>
      <c r="GMU15" s="101"/>
      <c r="GMV15" s="101"/>
      <c r="GMW15" s="101"/>
      <c r="GMX15" s="101"/>
      <c r="GMY15" s="101"/>
      <c r="GMZ15" s="101"/>
      <c r="GNA15" s="101"/>
      <c r="GNB15" s="101"/>
      <c r="GNC15" s="101"/>
      <c r="GND15" s="101"/>
      <c r="GNE15" s="101"/>
      <c r="GNF15" s="101"/>
      <c r="GNG15" s="101"/>
      <c r="GNH15" s="101"/>
      <c r="GNI15" s="101"/>
      <c r="GNJ15" s="101"/>
      <c r="GNK15" s="101"/>
      <c r="GNL15" s="101"/>
      <c r="GNM15" s="101"/>
      <c r="GNN15" s="101"/>
      <c r="GNO15" s="101"/>
      <c r="GNP15" s="101"/>
      <c r="GNQ15" s="101"/>
      <c r="GNR15" s="101"/>
      <c r="GNS15" s="101"/>
      <c r="GNT15" s="101"/>
      <c r="GNU15" s="101"/>
      <c r="GNV15" s="101"/>
      <c r="GNW15" s="101"/>
      <c r="GNX15" s="101"/>
      <c r="GNY15" s="101"/>
      <c r="GNZ15" s="101"/>
      <c r="GOA15" s="101"/>
      <c r="GOB15" s="101"/>
      <c r="GOC15" s="101"/>
      <c r="GOD15" s="101"/>
      <c r="GOE15" s="101"/>
      <c r="GOF15" s="101"/>
      <c r="GOG15" s="101"/>
      <c r="GOH15" s="101"/>
      <c r="GOI15" s="101"/>
      <c r="GOJ15" s="101"/>
      <c r="GOK15" s="101"/>
      <c r="GOL15" s="101"/>
      <c r="GOM15" s="101"/>
      <c r="GON15" s="101"/>
      <c r="GOO15" s="101"/>
      <c r="GOP15" s="101"/>
      <c r="GOQ15" s="101"/>
      <c r="GOR15" s="101"/>
      <c r="GOS15" s="101"/>
      <c r="GOT15" s="101"/>
      <c r="GOU15" s="101"/>
      <c r="GOV15" s="101"/>
      <c r="GOW15" s="101"/>
      <c r="GOX15" s="101"/>
      <c r="GOY15" s="101"/>
      <c r="GOZ15" s="101"/>
      <c r="GPA15" s="101"/>
      <c r="GPB15" s="101"/>
      <c r="GPC15" s="101"/>
      <c r="GPD15" s="101"/>
      <c r="GPE15" s="101"/>
      <c r="GPF15" s="101"/>
      <c r="GPG15" s="101"/>
      <c r="GPH15" s="101"/>
      <c r="GPI15" s="101"/>
      <c r="GPJ15" s="101"/>
      <c r="GPK15" s="101"/>
      <c r="GPL15" s="101"/>
      <c r="GPM15" s="101"/>
      <c r="GPN15" s="101"/>
      <c r="GPO15" s="101"/>
      <c r="GPP15" s="101"/>
      <c r="GPQ15" s="101"/>
      <c r="GPR15" s="101"/>
      <c r="GPS15" s="101"/>
      <c r="GPT15" s="101"/>
      <c r="GPU15" s="101"/>
      <c r="GPV15" s="101"/>
      <c r="GPW15" s="101"/>
      <c r="GPX15" s="101"/>
      <c r="GPY15" s="101"/>
      <c r="GPZ15" s="101"/>
      <c r="GQA15" s="101"/>
      <c r="GQB15" s="101"/>
      <c r="GQC15" s="101"/>
      <c r="GQD15" s="101"/>
      <c r="GQE15" s="101"/>
      <c r="GQF15" s="101"/>
      <c r="GQG15" s="101"/>
      <c r="GQH15" s="101"/>
      <c r="GQI15" s="101"/>
      <c r="GQJ15" s="101"/>
      <c r="GQK15" s="101"/>
      <c r="GQL15" s="101"/>
      <c r="GQM15" s="101"/>
      <c r="GQN15" s="101"/>
      <c r="GQO15" s="101"/>
      <c r="GQP15" s="101"/>
      <c r="GQQ15" s="101"/>
      <c r="GQR15" s="101"/>
      <c r="GQS15" s="101"/>
      <c r="GQT15" s="101"/>
      <c r="GQU15" s="101"/>
      <c r="GQV15" s="101"/>
      <c r="GQW15" s="101"/>
      <c r="GQX15" s="101"/>
      <c r="GQY15" s="101"/>
      <c r="GQZ15" s="101"/>
      <c r="GRA15" s="101"/>
      <c r="GRB15" s="101"/>
      <c r="GRC15" s="101"/>
      <c r="GRD15" s="101"/>
      <c r="GRE15" s="101"/>
      <c r="GRF15" s="101"/>
      <c r="GRG15" s="101"/>
      <c r="GRH15" s="101"/>
      <c r="GRI15" s="101"/>
      <c r="GRJ15" s="101"/>
      <c r="GRK15" s="101"/>
      <c r="GRL15" s="101"/>
      <c r="GRM15" s="101"/>
      <c r="GRN15" s="101"/>
      <c r="GRO15" s="101"/>
      <c r="GRP15" s="101"/>
      <c r="GRQ15" s="101"/>
      <c r="GRR15" s="101"/>
      <c r="GRS15" s="101"/>
      <c r="GRT15" s="101"/>
      <c r="GRU15" s="101"/>
      <c r="GRV15" s="101"/>
      <c r="GRW15" s="101"/>
      <c r="GRX15" s="101"/>
      <c r="GRY15" s="101"/>
      <c r="GRZ15" s="101"/>
      <c r="GSA15" s="101"/>
      <c r="GSB15" s="101"/>
      <c r="GSC15" s="101"/>
      <c r="GSD15" s="101"/>
      <c r="GSE15" s="101"/>
      <c r="GSF15" s="101"/>
      <c r="GSG15" s="101"/>
      <c r="GSH15" s="101"/>
      <c r="GSI15" s="101"/>
      <c r="GSJ15" s="101"/>
      <c r="GSK15" s="101"/>
      <c r="GSL15" s="101"/>
      <c r="GSM15" s="101"/>
      <c r="GSN15" s="101"/>
      <c r="GSO15" s="101"/>
      <c r="GSP15" s="101"/>
      <c r="GSQ15" s="101"/>
      <c r="GSR15" s="101"/>
      <c r="GSS15" s="101"/>
      <c r="GST15" s="101"/>
      <c r="GSU15" s="101"/>
      <c r="GSV15" s="101"/>
      <c r="GSW15" s="101"/>
      <c r="GSX15" s="101"/>
      <c r="GSY15" s="101"/>
      <c r="GSZ15" s="101"/>
      <c r="GTA15" s="101"/>
      <c r="GTB15" s="101"/>
      <c r="GTC15" s="101"/>
      <c r="GTD15" s="101"/>
      <c r="GTE15" s="101"/>
      <c r="GTF15" s="101"/>
      <c r="GTG15" s="101"/>
      <c r="GTH15" s="101"/>
      <c r="GTI15" s="101"/>
      <c r="GTJ15" s="101"/>
      <c r="GTK15" s="101"/>
      <c r="GTL15" s="101"/>
      <c r="GTM15" s="101"/>
      <c r="GTN15" s="101"/>
      <c r="GTO15" s="101"/>
      <c r="GTP15" s="101"/>
      <c r="GTQ15" s="101"/>
      <c r="GTR15" s="101"/>
      <c r="GTS15" s="101"/>
      <c r="GTT15" s="101"/>
      <c r="GTU15" s="101"/>
      <c r="GTV15" s="101"/>
      <c r="GTW15" s="101"/>
      <c r="GTX15" s="101"/>
      <c r="GTY15" s="101"/>
      <c r="GTZ15" s="101"/>
      <c r="GUA15" s="101"/>
      <c r="GUB15" s="101"/>
      <c r="GUC15" s="101"/>
      <c r="GUD15" s="101"/>
      <c r="GUE15" s="101"/>
      <c r="GUF15" s="101"/>
      <c r="GUG15" s="101"/>
      <c r="GUH15" s="101"/>
      <c r="GUI15" s="101"/>
      <c r="GUJ15" s="101"/>
      <c r="GUK15" s="101"/>
      <c r="GUL15" s="101"/>
      <c r="GUM15" s="101"/>
      <c r="GUN15" s="101"/>
      <c r="GUO15" s="101"/>
      <c r="GUP15" s="101"/>
      <c r="GUQ15" s="101"/>
      <c r="GUR15" s="101"/>
      <c r="GUS15" s="101"/>
      <c r="GUT15" s="101"/>
      <c r="GUU15" s="101"/>
      <c r="GUV15" s="101"/>
      <c r="GUW15" s="101"/>
      <c r="GUX15" s="101"/>
      <c r="GUY15" s="101"/>
      <c r="GUZ15" s="101"/>
      <c r="GVA15" s="101"/>
      <c r="GVB15" s="101"/>
      <c r="GVC15" s="101"/>
      <c r="GVD15" s="101"/>
      <c r="GVE15" s="101"/>
      <c r="GVF15" s="101"/>
      <c r="GVG15" s="101"/>
      <c r="GVH15" s="101"/>
      <c r="GVI15" s="101"/>
      <c r="GVJ15" s="101"/>
      <c r="GVK15" s="101"/>
      <c r="GVL15" s="101"/>
      <c r="GVM15" s="101"/>
      <c r="GVN15" s="101"/>
      <c r="GVO15" s="101"/>
      <c r="GVP15" s="101"/>
      <c r="GVQ15" s="101"/>
      <c r="GVR15" s="101"/>
      <c r="GVS15" s="101"/>
      <c r="GVT15" s="101"/>
      <c r="GVU15" s="101"/>
      <c r="GVV15" s="101"/>
      <c r="GVW15" s="101"/>
      <c r="GVX15" s="101"/>
      <c r="GVY15" s="101"/>
      <c r="GVZ15" s="101"/>
      <c r="GWA15" s="101"/>
      <c r="GWB15" s="101"/>
      <c r="GWC15" s="101"/>
      <c r="GWD15" s="101"/>
      <c r="GWE15" s="101"/>
      <c r="GWF15" s="101"/>
      <c r="GWG15" s="101"/>
      <c r="GWH15" s="101"/>
      <c r="GWI15" s="101"/>
      <c r="GWJ15" s="101"/>
      <c r="GWK15" s="101"/>
      <c r="GWL15" s="101"/>
      <c r="GWM15" s="101"/>
      <c r="GWN15" s="101"/>
      <c r="GWO15" s="101"/>
      <c r="GWP15" s="101"/>
      <c r="GWQ15" s="101"/>
      <c r="GWR15" s="101"/>
      <c r="GWS15" s="101"/>
      <c r="GWT15" s="101"/>
      <c r="GWU15" s="101"/>
      <c r="GWV15" s="101"/>
      <c r="GWW15" s="101"/>
      <c r="GWX15" s="101"/>
      <c r="GWY15" s="101"/>
      <c r="GWZ15" s="101"/>
      <c r="GXA15" s="101"/>
      <c r="GXB15" s="101"/>
      <c r="GXC15" s="101"/>
      <c r="GXD15" s="101"/>
      <c r="GXE15" s="101"/>
      <c r="GXF15" s="101"/>
      <c r="GXG15" s="101"/>
      <c r="GXH15" s="101"/>
      <c r="GXI15" s="101"/>
      <c r="GXJ15" s="101"/>
      <c r="GXK15" s="101"/>
      <c r="GXL15" s="101"/>
      <c r="GXM15" s="101"/>
      <c r="GXN15" s="101"/>
      <c r="GXO15" s="101"/>
      <c r="GXP15" s="101"/>
      <c r="GXQ15" s="101"/>
      <c r="GXR15" s="101"/>
      <c r="GXS15" s="101"/>
      <c r="GXT15" s="101"/>
      <c r="GXU15" s="101"/>
      <c r="GXV15" s="101"/>
      <c r="GXW15" s="101"/>
      <c r="GXX15" s="101"/>
      <c r="GXY15" s="101"/>
      <c r="GXZ15" s="101"/>
      <c r="GYA15" s="101"/>
      <c r="GYB15" s="101"/>
      <c r="GYC15" s="101"/>
      <c r="GYD15" s="101"/>
      <c r="GYE15" s="101"/>
      <c r="GYF15" s="101"/>
      <c r="GYG15" s="101"/>
      <c r="GYH15" s="101"/>
      <c r="GYI15" s="101"/>
      <c r="GYJ15" s="101"/>
      <c r="GYK15" s="101"/>
      <c r="GYL15" s="101"/>
      <c r="GYM15" s="101"/>
      <c r="GYN15" s="101"/>
      <c r="GYO15" s="101"/>
      <c r="GYP15" s="101"/>
      <c r="GYQ15" s="101"/>
      <c r="GYR15" s="101"/>
      <c r="GYS15" s="101"/>
      <c r="GYT15" s="101"/>
      <c r="GYU15" s="101"/>
      <c r="GYV15" s="101"/>
      <c r="GYW15" s="101"/>
      <c r="GYX15" s="101"/>
      <c r="GYY15" s="101"/>
      <c r="GYZ15" s="101"/>
      <c r="GZA15" s="101"/>
      <c r="GZB15" s="101"/>
      <c r="GZC15" s="101"/>
      <c r="GZD15" s="101"/>
      <c r="GZE15" s="101"/>
      <c r="GZF15" s="101"/>
      <c r="GZG15" s="101"/>
      <c r="GZH15" s="101"/>
      <c r="GZI15" s="101"/>
      <c r="GZJ15" s="101"/>
      <c r="GZK15" s="101"/>
      <c r="GZL15" s="101"/>
      <c r="GZM15" s="101"/>
      <c r="GZN15" s="101"/>
      <c r="GZO15" s="101"/>
      <c r="GZP15" s="101"/>
      <c r="GZQ15" s="101"/>
      <c r="GZR15" s="101"/>
      <c r="GZS15" s="101"/>
      <c r="GZT15" s="101"/>
      <c r="GZU15" s="101"/>
      <c r="GZV15" s="101"/>
      <c r="GZW15" s="101"/>
      <c r="GZX15" s="101"/>
      <c r="GZY15" s="101"/>
      <c r="GZZ15" s="101"/>
      <c r="HAA15" s="101"/>
      <c r="HAB15" s="101"/>
      <c r="HAC15" s="101"/>
      <c r="HAD15" s="101"/>
      <c r="HAE15" s="101"/>
      <c r="HAF15" s="101"/>
      <c r="HAG15" s="101"/>
      <c r="HAH15" s="101"/>
      <c r="HAI15" s="101"/>
      <c r="HAJ15" s="101"/>
      <c r="HAK15" s="101"/>
      <c r="HAL15" s="101"/>
      <c r="HAM15" s="101"/>
      <c r="HAN15" s="101"/>
      <c r="HAO15" s="101"/>
      <c r="HAP15" s="101"/>
      <c r="HAQ15" s="101"/>
      <c r="HAR15" s="101"/>
      <c r="HAS15" s="101"/>
      <c r="HAT15" s="101"/>
      <c r="HAU15" s="101"/>
      <c r="HAV15" s="101"/>
      <c r="HAW15" s="101"/>
      <c r="HAX15" s="101"/>
      <c r="HAY15" s="101"/>
      <c r="HAZ15" s="101"/>
      <c r="HBA15" s="101"/>
      <c r="HBB15" s="101"/>
      <c r="HBC15" s="101"/>
      <c r="HBD15" s="101"/>
      <c r="HBE15" s="101"/>
      <c r="HBF15" s="101"/>
      <c r="HBG15" s="101"/>
      <c r="HBH15" s="101"/>
      <c r="HBI15" s="101"/>
      <c r="HBJ15" s="101"/>
      <c r="HBK15" s="101"/>
      <c r="HBL15" s="101"/>
      <c r="HBM15" s="101"/>
      <c r="HBN15" s="101"/>
      <c r="HBO15" s="101"/>
      <c r="HBP15" s="101"/>
      <c r="HBQ15" s="101"/>
      <c r="HBR15" s="101"/>
      <c r="HBS15" s="101"/>
      <c r="HBT15" s="101"/>
      <c r="HBU15" s="101"/>
      <c r="HBV15" s="101"/>
      <c r="HBW15" s="101"/>
      <c r="HBX15" s="101"/>
      <c r="HBY15" s="101"/>
      <c r="HBZ15" s="101"/>
      <c r="HCA15" s="101"/>
      <c r="HCB15" s="101"/>
      <c r="HCC15" s="101"/>
      <c r="HCD15" s="101"/>
      <c r="HCE15" s="101"/>
      <c r="HCF15" s="101"/>
      <c r="HCG15" s="101"/>
      <c r="HCH15" s="101"/>
      <c r="HCI15" s="101"/>
      <c r="HCJ15" s="101"/>
      <c r="HCK15" s="101"/>
      <c r="HCL15" s="101"/>
      <c r="HCM15" s="101"/>
      <c r="HCN15" s="101"/>
      <c r="HCO15" s="101"/>
      <c r="HCP15" s="101"/>
      <c r="HCQ15" s="101"/>
      <c r="HCR15" s="101"/>
      <c r="HCS15" s="101"/>
      <c r="HCT15" s="101"/>
      <c r="HCU15" s="101"/>
      <c r="HCV15" s="101"/>
      <c r="HCW15" s="101"/>
      <c r="HCX15" s="101"/>
      <c r="HCY15" s="101"/>
      <c r="HCZ15" s="101"/>
      <c r="HDA15" s="101"/>
      <c r="HDB15" s="101"/>
      <c r="HDC15" s="101"/>
      <c r="HDD15" s="101"/>
      <c r="HDE15" s="101"/>
      <c r="HDF15" s="101"/>
      <c r="HDG15" s="101"/>
      <c r="HDH15" s="101"/>
      <c r="HDI15" s="101"/>
      <c r="HDJ15" s="101"/>
      <c r="HDK15" s="101"/>
      <c r="HDL15" s="101"/>
      <c r="HDM15" s="101"/>
      <c r="HDN15" s="101"/>
      <c r="HDO15" s="101"/>
      <c r="HDP15" s="101"/>
      <c r="HDQ15" s="101"/>
      <c r="HDR15" s="101"/>
      <c r="HDS15" s="101"/>
      <c r="HDT15" s="101"/>
      <c r="HDU15" s="101"/>
      <c r="HDV15" s="101"/>
      <c r="HDW15" s="101"/>
      <c r="HDX15" s="101"/>
      <c r="HDY15" s="101"/>
      <c r="HDZ15" s="101"/>
      <c r="HEA15" s="101"/>
      <c r="HEB15" s="101"/>
      <c r="HEC15" s="101"/>
      <c r="HED15" s="101"/>
      <c r="HEE15" s="101"/>
      <c r="HEF15" s="101"/>
      <c r="HEG15" s="101"/>
      <c r="HEH15" s="101"/>
      <c r="HEI15" s="101"/>
      <c r="HEJ15" s="101"/>
      <c r="HEK15" s="101"/>
      <c r="HEL15" s="101"/>
      <c r="HEM15" s="101"/>
      <c r="HEN15" s="101"/>
      <c r="HEO15" s="101"/>
      <c r="HEP15" s="101"/>
      <c r="HEQ15" s="101"/>
      <c r="HER15" s="101"/>
      <c r="HES15" s="101"/>
      <c r="HET15" s="101"/>
      <c r="HEU15" s="101"/>
      <c r="HEV15" s="101"/>
      <c r="HEW15" s="101"/>
      <c r="HEX15" s="101"/>
      <c r="HEY15" s="101"/>
      <c r="HEZ15" s="101"/>
      <c r="HFA15" s="101"/>
      <c r="HFB15" s="101"/>
      <c r="HFC15" s="101"/>
      <c r="HFD15" s="101"/>
      <c r="HFE15" s="101"/>
      <c r="HFF15" s="101"/>
      <c r="HFG15" s="101"/>
      <c r="HFH15" s="101"/>
      <c r="HFI15" s="101"/>
      <c r="HFJ15" s="101"/>
      <c r="HFK15" s="101"/>
      <c r="HFL15" s="101"/>
      <c r="HFM15" s="101"/>
      <c r="HFN15" s="101"/>
      <c r="HFO15" s="101"/>
      <c r="HFP15" s="101"/>
      <c r="HFQ15" s="101"/>
      <c r="HFR15" s="101"/>
      <c r="HFS15" s="101"/>
      <c r="HFT15" s="101"/>
      <c r="HFU15" s="101"/>
      <c r="HFV15" s="101"/>
      <c r="HFW15" s="101"/>
      <c r="HFX15" s="101"/>
      <c r="HFY15" s="101"/>
      <c r="HFZ15" s="101"/>
      <c r="HGA15" s="101"/>
      <c r="HGB15" s="101"/>
      <c r="HGC15" s="101"/>
      <c r="HGD15" s="101"/>
      <c r="HGE15" s="101"/>
      <c r="HGF15" s="101"/>
      <c r="HGG15" s="101"/>
      <c r="HGH15" s="101"/>
      <c r="HGI15" s="101"/>
      <c r="HGJ15" s="101"/>
      <c r="HGK15" s="101"/>
      <c r="HGL15" s="101"/>
      <c r="HGM15" s="101"/>
      <c r="HGN15" s="101"/>
      <c r="HGO15" s="101"/>
      <c r="HGP15" s="101"/>
      <c r="HGQ15" s="101"/>
      <c r="HGR15" s="101"/>
      <c r="HGS15" s="101"/>
      <c r="HGT15" s="101"/>
      <c r="HGU15" s="101"/>
      <c r="HGV15" s="101"/>
      <c r="HGW15" s="101"/>
      <c r="HGX15" s="101"/>
      <c r="HGY15" s="101"/>
      <c r="HGZ15" s="101"/>
      <c r="HHA15" s="101"/>
      <c r="HHB15" s="101"/>
      <c r="HHC15" s="101"/>
      <c r="HHD15" s="101"/>
      <c r="HHE15" s="101"/>
      <c r="HHF15" s="101"/>
      <c r="HHG15" s="101"/>
      <c r="HHH15" s="101"/>
      <c r="HHI15" s="101"/>
      <c r="HHJ15" s="101"/>
      <c r="HHK15" s="101"/>
      <c r="HHL15" s="101"/>
      <c r="HHM15" s="101"/>
      <c r="HHN15" s="101"/>
      <c r="HHO15" s="101"/>
      <c r="HHP15" s="101"/>
      <c r="HHQ15" s="101"/>
      <c r="HHR15" s="101"/>
      <c r="HHS15" s="101"/>
      <c r="HHT15" s="101"/>
      <c r="HHU15" s="101"/>
      <c r="HHV15" s="101"/>
      <c r="HHW15" s="101"/>
      <c r="HHX15" s="101"/>
      <c r="HHY15" s="101"/>
      <c r="HHZ15" s="101"/>
      <c r="HIA15" s="101"/>
      <c r="HIB15" s="101"/>
      <c r="HIC15" s="101"/>
      <c r="HID15" s="101"/>
      <c r="HIE15" s="101"/>
      <c r="HIF15" s="101"/>
      <c r="HIG15" s="101"/>
      <c r="HIH15" s="101"/>
      <c r="HII15" s="101"/>
      <c r="HIJ15" s="101"/>
      <c r="HIK15" s="101"/>
      <c r="HIL15" s="101"/>
      <c r="HIM15" s="101"/>
      <c r="HIN15" s="101"/>
      <c r="HIO15" s="101"/>
      <c r="HIP15" s="101"/>
      <c r="HIQ15" s="101"/>
      <c r="HIR15" s="101"/>
      <c r="HIS15" s="101"/>
      <c r="HIT15" s="101"/>
      <c r="HIU15" s="101"/>
      <c r="HIV15" s="101"/>
      <c r="HIW15" s="101"/>
      <c r="HIX15" s="101"/>
      <c r="HIY15" s="101"/>
      <c r="HIZ15" s="101"/>
      <c r="HJA15" s="101"/>
      <c r="HJB15" s="101"/>
      <c r="HJC15" s="101"/>
      <c r="HJD15" s="101"/>
      <c r="HJE15" s="101"/>
      <c r="HJF15" s="101"/>
      <c r="HJG15" s="101"/>
      <c r="HJH15" s="101"/>
      <c r="HJI15" s="101"/>
      <c r="HJJ15" s="101"/>
      <c r="HJK15" s="101"/>
      <c r="HJL15" s="101"/>
      <c r="HJM15" s="101"/>
      <c r="HJN15" s="101"/>
      <c r="HJO15" s="101"/>
      <c r="HJP15" s="101"/>
      <c r="HJQ15" s="101"/>
      <c r="HJR15" s="101"/>
      <c r="HJS15" s="101"/>
      <c r="HJT15" s="101"/>
      <c r="HJU15" s="101"/>
      <c r="HJV15" s="101"/>
      <c r="HJW15" s="101"/>
      <c r="HJX15" s="101"/>
      <c r="HJY15" s="101"/>
      <c r="HJZ15" s="101"/>
      <c r="HKA15" s="101"/>
      <c r="HKB15" s="101"/>
      <c r="HKC15" s="101"/>
      <c r="HKD15" s="101"/>
      <c r="HKE15" s="101"/>
      <c r="HKF15" s="101"/>
      <c r="HKG15" s="101"/>
      <c r="HKH15" s="101"/>
      <c r="HKI15" s="101"/>
      <c r="HKJ15" s="101"/>
      <c r="HKK15" s="101"/>
      <c r="HKL15" s="101"/>
      <c r="HKM15" s="101"/>
      <c r="HKN15" s="101"/>
      <c r="HKO15" s="101"/>
      <c r="HKP15" s="101"/>
      <c r="HKQ15" s="101"/>
      <c r="HKR15" s="101"/>
      <c r="HKS15" s="101"/>
      <c r="HKT15" s="101"/>
      <c r="HKU15" s="101"/>
      <c r="HKV15" s="101"/>
      <c r="HKW15" s="101"/>
      <c r="HKX15" s="101"/>
      <c r="HKY15" s="101"/>
      <c r="HKZ15" s="101"/>
      <c r="HLA15" s="101"/>
      <c r="HLB15" s="101"/>
      <c r="HLC15" s="101"/>
      <c r="HLD15" s="101"/>
      <c r="HLE15" s="101"/>
      <c r="HLF15" s="101"/>
      <c r="HLG15" s="101"/>
      <c r="HLH15" s="101"/>
      <c r="HLI15" s="101"/>
      <c r="HLJ15" s="101"/>
      <c r="HLK15" s="101"/>
      <c r="HLL15" s="101"/>
      <c r="HLM15" s="101"/>
      <c r="HLN15" s="101"/>
      <c r="HLO15" s="101"/>
      <c r="HLP15" s="101"/>
      <c r="HLQ15" s="101"/>
      <c r="HLR15" s="101"/>
      <c r="HLS15" s="101"/>
      <c r="HLT15" s="101"/>
      <c r="HLU15" s="101"/>
      <c r="HLV15" s="101"/>
      <c r="HLW15" s="101"/>
      <c r="HLX15" s="101"/>
      <c r="HLY15" s="101"/>
      <c r="HLZ15" s="101"/>
      <c r="HMA15" s="101"/>
      <c r="HMB15" s="101"/>
      <c r="HMC15" s="101"/>
      <c r="HMD15" s="101"/>
      <c r="HME15" s="101"/>
      <c r="HMF15" s="101"/>
      <c r="HMG15" s="101"/>
      <c r="HMH15" s="101"/>
      <c r="HMI15" s="101"/>
      <c r="HMJ15" s="101"/>
      <c r="HMK15" s="101"/>
      <c r="HML15" s="101"/>
      <c r="HMM15" s="101"/>
      <c r="HMN15" s="101"/>
      <c r="HMO15" s="101"/>
      <c r="HMP15" s="101"/>
      <c r="HMQ15" s="101"/>
      <c r="HMR15" s="101"/>
      <c r="HMS15" s="101"/>
      <c r="HMT15" s="101"/>
      <c r="HMU15" s="101"/>
      <c r="HMV15" s="101"/>
      <c r="HMW15" s="101"/>
      <c r="HMX15" s="101"/>
      <c r="HMY15" s="101"/>
      <c r="HMZ15" s="101"/>
      <c r="HNA15" s="101"/>
      <c r="HNB15" s="101"/>
      <c r="HNC15" s="101"/>
      <c r="HND15" s="101"/>
      <c r="HNE15" s="101"/>
      <c r="HNF15" s="101"/>
      <c r="HNG15" s="101"/>
      <c r="HNH15" s="101"/>
      <c r="HNI15" s="101"/>
      <c r="HNJ15" s="101"/>
      <c r="HNK15" s="101"/>
      <c r="HNL15" s="101"/>
      <c r="HNM15" s="101"/>
      <c r="HNN15" s="101"/>
      <c r="HNO15" s="101"/>
      <c r="HNP15" s="101"/>
      <c r="HNQ15" s="101"/>
      <c r="HNR15" s="101"/>
      <c r="HNS15" s="101"/>
      <c r="HNT15" s="101"/>
      <c r="HNU15" s="101"/>
      <c r="HNV15" s="101"/>
      <c r="HNW15" s="101"/>
      <c r="HNX15" s="101"/>
      <c r="HNY15" s="101"/>
      <c r="HNZ15" s="101"/>
      <c r="HOA15" s="101"/>
      <c r="HOB15" s="101"/>
      <c r="HOC15" s="101"/>
      <c r="HOD15" s="101"/>
      <c r="HOE15" s="101"/>
      <c r="HOF15" s="101"/>
      <c r="HOG15" s="101"/>
      <c r="HOH15" s="101"/>
      <c r="HOI15" s="101"/>
      <c r="HOJ15" s="101"/>
      <c r="HOK15" s="101"/>
      <c r="HOL15" s="101"/>
      <c r="HOM15" s="101"/>
      <c r="HON15" s="101"/>
      <c r="HOO15" s="101"/>
      <c r="HOP15" s="101"/>
      <c r="HOQ15" s="101"/>
      <c r="HOR15" s="101"/>
      <c r="HOS15" s="101"/>
      <c r="HOT15" s="101"/>
      <c r="HOU15" s="101"/>
      <c r="HOV15" s="101"/>
      <c r="HOW15" s="101"/>
      <c r="HOX15" s="101"/>
      <c r="HOY15" s="101"/>
      <c r="HOZ15" s="101"/>
      <c r="HPA15" s="101"/>
      <c r="HPB15" s="101"/>
      <c r="HPC15" s="101"/>
      <c r="HPD15" s="101"/>
      <c r="HPE15" s="101"/>
      <c r="HPF15" s="101"/>
      <c r="HPG15" s="101"/>
      <c r="HPH15" s="101"/>
      <c r="HPI15" s="101"/>
      <c r="HPJ15" s="101"/>
      <c r="HPK15" s="101"/>
      <c r="HPL15" s="101"/>
      <c r="HPM15" s="101"/>
      <c r="HPN15" s="101"/>
      <c r="HPO15" s="101"/>
      <c r="HPP15" s="101"/>
      <c r="HPQ15" s="101"/>
      <c r="HPR15" s="101"/>
      <c r="HPS15" s="101"/>
      <c r="HPT15" s="101"/>
      <c r="HPU15" s="101"/>
      <c r="HPV15" s="101"/>
      <c r="HPW15" s="101"/>
      <c r="HPX15" s="101"/>
      <c r="HPY15" s="101"/>
      <c r="HPZ15" s="101"/>
      <c r="HQA15" s="101"/>
      <c r="HQB15" s="101"/>
      <c r="HQC15" s="101"/>
      <c r="HQD15" s="101"/>
      <c r="HQE15" s="101"/>
      <c r="HQF15" s="101"/>
      <c r="HQG15" s="101"/>
      <c r="HQH15" s="101"/>
      <c r="HQI15" s="101"/>
      <c r="HQJ15" s="101"/>
      <c r="HQK15" s="101"/>
      <c r="HQL15" s="101"/>
      <c r="HQM15" s="101"/>
      <c r="HQN15" s="101"/>
      <c r="HQO15" s="101"/>
      <c r="HQP15" s="101"/>
      <c r="HQQ15" s="101"/>
      <c r="HQR15" s="101"/>
      <c r="HQS15" s="101"/>
      <c r="HQT15" s="101"/>
      <c r="HQU15" s="101"/>
      <c r="HQV15" s="101"/>
      <c r="HQW15" s="101"/>
      <c r="HQX15" s="101"/>
      <c r="HQY15" s="101"/>
      <c r="HQZ15" s="101"/>
      <c r="HRA15" s="101"/>
      <c r="HRB15" s="101"/>
      <c r="HRC15" s="101"/>
      <c r="HRD15" s="101"/>
      <c r="HRE15" s="101"/>
      <c r="HRF15" s="101"/>
      <c r="HRG15" s="101"/>
      <c r="HRH15" s="101"/>
      <c r="HRI15" s="101"/>
      <c r="HRJ15" s="101"/>
      <c r="HRK15" s="101"/>
      <c r="HRL15" s="101"/>
      <c r="HRM15" s="101"/>
      <c r="HRN15" s="101"/>
      <c r="HRO15" s="101"/>
      <c r="HRP15" s="101"/>
      <c r="HRQ15" s="101"/>
      <c r="HRR15" s="101"/>
      <c r="HRS15" s="101"/>
      <c r="HRT15" s="101"/>
      <c r="HRU15" s="101"/>
      <c r="HRV15" s="101"/>
      <c r="HRW15" s="101"/>
      <c r="HRX15" s="101"/>
      <c r="HRY15" s="101"/>
      <c r="HRZ15" s="101"/>
      <c r="HSA15" s="101"/>
      <c r="HSB15" s="101"/>
      <c r="HSC15" s="101"/>
      <c r="HSD15" s="101"/>
      <c r="HSE15" s="101"/>
      <c r="HSF15" s="101"/>
      <c r="HSG15" s="101"/>
      <c r="HSH15" s="101"/>
      <c r="HSI15" s="101"/>
      <c r="HSJ15" s="101"/>
      <c r="HSK15" s="101"/>
      <c r="HSL15" s="101"/>
      <c r="HSM15" s="101"/>
      <c r="HSN15" s="101"/>
      <c r="HSO15" s="101"/>
      <c r="HSP15" s="101"/>
      <c r="HSQ15" s="101"/>
      <c r="HSR15" s="101"/>
      <c r="HSS15" s="101"/>
      <c r="HST15" s="101"/>
      <c r="HSU15" s="101"/>
      <c r="HSV15" s="101"/>
      <c r="HSW15" s="101"/>
      <c r="HSX15" s="101"/>
      <c r="HSY15" s="101"/>
      <c r="HSZ15" s="101"/>
      <c r="HTA15" s="101"/>
      <c r="HTB15" s="101"/>
      <c r="HTC15" s="101"/>
      <c r="HTD15" s="101"/>
      <c r="HTE15" s="101"/>
      <c r="HTF15" s="101"/>
      <c r="HTG15" s="101"/>
      <c r="HTH15" s="101"/>
      <c r="HTI15" s="101"/>
      <c r="HTJ15" s="101"/>
      <c r="HTK15" s="101"/>
      <c r="HTL15" s="101"/>
      <c r="HTM15" s="101"/>
      <c r="HTN15" s="101"/>
      <c r="HTO15" s="101"/>
      <c r="HTP15" s="101"/>
      <c r="HTQ15" s="101"/>
      <c r="HTR15" s="101"/>
      <c r="HTS15" s="101"/>
      <c r="HTT15" s="101"/>
      <c r="HTU15" s="101"/>
      <c r="HTV15" s="101"/>
      <c r="HTW15" s="101"/>
      <c r="HTX15" s="101"/>
      <c r="HTY15" s="101"/>
      <c r="HTZ15" s="101"/>
      <c r="HUA15" s="101"/>
      <c r="HUB15" s="101"/>
      <c r="HUC15" s="101"/>
      <c r="HUD15" s="101"/>
      <c r="HUE15" s="101"/>
      <c r="HUF15" s="101"/>
      <c r="HUG15" s="101"/>
      <c r="HUH15" s="101"/>
      <c r="HUI15" s="101"/>
      <c r="HUJ15" s="101"/>
      <c r="HUK15" s="101"/>
      <c r="HUL15" s="101"/>
      <c r="HUM15" s="101"/>
      <c r="HUN15" s="101"/>
      <c r="HUO15" s="101"/>
      <c r="HUP15" s="101"/>
      <c r="HUQ15" s="101"/>
      <c r="HUR15" s="101"/>
      <c r="HUS15" s="101"/>
      <c r="HUT15" s="101"/>
      <c r="HUU15" s="101"/>
      <c r="HUV15" s="101"/>
      <c r="HUW15" s="101"/>
      <c r="HUX15" s="101"/>
      <c r="HUY15" s="101"/>
      <c r="HUZ15" s="101"/>
      <c r="HVA15" s="101"/>
      <c r="HVB15" s="101"/>
      <c r="HVC15" s="101"/>
      <c r="HVD15" s="101"/>
      <c r="HVE15" s="101"/>
      <c r="HVF15" s="101"/>
      <c r="HVG15" s="101"/>
      <c r="HVH15" s="101"/>
      <c r="HVI15" s="101"/>
      <c r="HVJ15" s="101"/>
      <c r="HVK15" s="101"/>
      <c r="HVL15" s="101"/>
      <c r="HVM15" s="101"/>
      <c r="HVN15" s="101"/>
      <c r="HVO15" s="101"/>
      <c r="HVP15" s="101"/>
      <c r="HVQ15" s="101"/>
      <c r="HVR15" s="101"/>
      <c r="HVS15" s="101"/>
      <c r="HVT15" s="101"/>
      <c r="HVU15" s="101"/>
      <c r="HVV15" s="101"/>
      <c r="HVW15" s="101"/>
      <c r="HVX15" s="101"/>
      <c r="HVY15" s="101"/>
      <c r="HVZ15" s="101"/>
      <c r="HWA15" s="101"/>
      <c r="HWB15" s="101"/>
      <c r="HWC15" s="101"/>
      <c r="HWD15" s="101"/>
      <c r="HWE15" s="101"/>
      <c r="HWF15" s="101"/>
      <c r="HWG15" s="101"/>
      <c r="HWH15" s="101"/>
      <c r="HWI15" s="101"/>
      <c r="HWJ15" s="101"/>
      <c r="HWK15" s="101"/>
      <c r="HWL15" s="101"/>
      <c r="HWM15" s="101"/>
      <c r="HWN15" s="101"/>
      <c r="HWO15" s="101"/>
      <c r="HWP15" s="101"/>
      <c r="HWQ15" s="101"/>
      <c r="HWR15" s="101"/>
      <c r="HWS15" s="101"/>
      <c r="HWT15" s="101"/>
      <c r="HWU15" s="101"/>
      <c r="HWV15" s="101"/>
      <c r="HWW15" s="101"/>
      <c r="HWX15" s="101"/>
      <c r="HWY15" s="101"/>
      <c r="HWZ15" s="101"/>
      <c r="HXA15" s="101"/>
      <c r="HXB15" s="101"/>
      <c r="HXC15" s="101"/>
      <c r="HXD15" s="101"/>
      <c r="HXE15" s="101"/>
      <c r="HXF15" s="101"/>
      <c r="HXG15" s="101"/>
      <c r="HXH15" s="101"/>
      <c r="HXI15" s="101"/>
      <c r="HXJ15" s="101"/>
      <c r="HXK15" s="101"/>
      <c r="HXL15" s="101"/>
      <c r="HXM15" s="101"/>
      <c r="HXN15" s="101"/>
      <c r="HXO15" s="101"/>
      <c r="HXP15" s="101"/>
      <c r="HXQ15" s="101"/>
      <c r="HXR15" s="101"/>
      <c r="HXS15" s="101"/>
      <c r="HXT15" s="101"/>
      <c r="HXU15" s="101"/>
      <c r="HXV15" s="101"/>
      <c r="HXW15" s="101"/>
      <c r="HXX15" s="101"/>
      <c r="HXY15" s="101"/>
      <c r="HXZ15" s="101"/>
      <c r="HYA15" s="101"/>
      <c r="HYB15" s="101"/>
      <c r="HYC15" s="101"/>
      <c r="HYD15" s="101"/>
      <c r="HYE15" s="101"/>
      <c r="HYF15" s="101"/>
      <c r="HYG15" s="101"/>
      <c r="HYH15" s="101"/>
      <c r="HYI15" s="101"/>
      <c r="HYJ15" s="101"/>
      <c r="HYK15" s="101"/>
      <c r="HYL15" s="101"/>
      <c r="HYM15" s="101"/>
      <c r="HYN15" s="101"/>
      <c r="HYO15" s="101"/>
      <c r="HYP15" s="101"/>
      <c r="HYQ15" s="101"/>
      <c r="HYR15" s="101"/>
      <c r="HYS15" s="101"/>
      <c r="HYT15" s="101"/>
      <c r="HYU15" s="101"/>
      <c r="HYV15" s="101"/>
      <c r="HYW15" s="101"/>
      <c r="HYX15" s="101"/>
      <c r="HYY15" s="101"/>
      <c r="HYZ15" s="101"/>
      <c r="HZA15" s="101"/>
      <c r="HZB15" s="101"/>
      <c r="HZC15" s="101"/>
      <c r="HZD15" s="101"/>
      <c r="HZE15" s="101"/>
      <c r="HZF15" s="101"/>
      <c r="HZG15" s="101"/>
      <c r="HZH15" s="101"/>
      <c r="HZI15" s="101"/>
      <c r="HZJ15" s="101"/>
      <c r="HZK15" s="101"/>
      <c r="HZL15" s="101"/>
      <c r="HZM15" s="101"/>
      <c r="HZN15" s="101"/>
      <c r="HZO15" s="101"/>
      <c r="HZP15" s="101"/>
      <c r="HZQ15" s="101"/>
      <c r="HZR15" s="101"/>
      <c r="HZS15" s="101"/>
      <c r="HZT15" s="101"/>
      <c r="HZU15" s="101"/>
      <c r="HZV15" s="101"/>
      <c r="HZW15" s="101"/>
      <c r="HZX15" s="101"/>
      <c r="HZY15" s="101"/>
      <c r="HZZ15" s="101"/>
      <c r="IAA15" s="101"/>
      <c r="IAB15" s="101"/>
      <c r="IAC15" s="101"/>
      <c r="IAD15" s="101"/>
      <c r="IAE15" s="101"/>
      <c r="IAF15" s="101"/>
      <c r="IAG15" s="101"/>
      <c r="IAH15" s="101"/>
      <c r="IAI15" s="101"/>
      <c r="IAJ15" s="101"/>
      <c r="IAK15" s="101"/>
      <c r="IAL15" s="101"/>
      <c r="IAM15" s="101"/>
      <c r="IAN15" s="101"/>
      <c r="IAO15" s="101"/>
      <c r="IAP15" s="101"/>
      <c r="IAQ15" s="101"/>
      <c r="IAR15" s="101"/>
      <c r="IAS15" s="101"/>
      <c r="IAT15" s="101"/>
      <c r="IAU15" s="101"/>
      <c r="IAV15" s="101"/>
      <c r="IAW15" s="101"/>
      <c r="IAX15" s="101"/>
      <c r="IAY15" s="101"/>
      <c r="IAZ15" s="101"/>
      <c r="IBA15" s="101"/>
      <c r="IBB15" s="101"/>
      <c r="IBC15" s="101"/>
      <c r="IBD15" s="101"/>
      <c r="IBE15" s="101"/>
      <c r="IBF15" s="101"/>
      <c r="IBG15" s="101"/>
      <c r="IBH15" s="101"/>
      <c r="IBI15" s="101"/>
      <c r="IBJ15" s="101"/>
      <c r="IBK15" s="101"/>
      <c r="IBL15" s="101"/>
      <c r="IBM15" s="101"/>
      <c r="IBN15" s="101"/>
      <c r="IBO15" s="101"/>
      <c r="IBP15" s="101"/>
      <c r="IBQ15" s="101"/>
      <c r="IBR15" s="101"/>
      <c r="IBS15" s="101"/>
      <c r="IBT15" s="101"/>
      <c r="IBU15" s="101"/>
      <c r="IBV15" s="101"/>
      <c r="IBW15" s="101"/>
      <c r="IBX15" s="101"/>
      <c r="IBY15" s="101"/>
      <c r="IBZ15" s="101"/>
      <c r="ICA15" s="101"/>
      <c r="ICB15" s="101"/>
      <c r="ICC15" s="101"/>
      <c r="ICD15" s="101"/>
      <c r="ICE15" s="101"/>
      <c r="ICF15" s="101"/>
      <c r="ICG15" s="101"/>
      <c r="ICH15" s="101"/>
      <c r="ICI15" s="101"/>
      <c r="ICJ15" s="101"/>
      <c r="ICK15" s="101"/>
      <c r="ICL15" s="101"/>
      <c r="ICM15" s="101"/>
      <c r="ICN15" s="101"/>
      <c r="ICO15" s="101"/>
      <c r="ICP15" s="101"/>
      <c r="ICQ15" s="101"/>
      <c r="ICR15" s="101"/>
      <c r="ICS15" s="101"/>
      <c r="ICT15" s="101"/>
      <c r="ICU15" s="101"/>
      <c r="ICV15" s="101"/>
      <c r="ICW15" s="101"/>
      <c r="ICX15" s="101"/>
      <c r="ICY15" s="101"/>
      <c r="ICZ15" s="101"/>
      <c r="IDA15" s="101"/>
      <c r="IDB15" s="101"/>
      <c r="IDC15" s="101"/>
      <c r="IDD15" s="101"/>
      <c r="IDE15" s="101"/>
      <c r="IDF15" s="101"/>
      <c r="IDG15" s="101"/>
      <c r="IDH15" s="101"/>
      <c r="IDI15" s="101"/>
      <c r="IDJ15" s="101"/>
      <c r="IDK15" s="101"/>
      <c r="IDL15" s="101"/>
      <c r="IDM15" s="101"/>
      <c r="IDN15" s="101"/>
      <c r="IDO15" s="101"/>
      <c r="IDP15" s="101"/>
      <c r="IDQ15" s="101"/>
      <c r="IDR15" s="101"/>
      <c r="IDS15" s="101"/>
      <c r="IDT15" s="101"/>
      <c r="IDU15" s="101"/>
      <c r="IDV15" s="101"/>
      <c r="IDW15" s="101"/>
      <c r="IDX15" s="101"/>
      <c r="IDY15" s="101"/>
      <c r="IDZ15" s="101"/>
      <c r="IEA15" s="101"/>
      <c r="IEB15" s="101"/>
      <c r="IEC15" s="101"/>
      <c r="IED15" s="101"/>
      <c r="IEE15" s="101"/>
      <c r="IEF15" s="101"/>
      <c r="IEG15" s="101"/>
      <c r="IEH15" s="101"/>
      <c r="IEI15" s="101"/>
      <c r="IEJ15" s="101"/>
      <c r="IEK15" s="101"/>
      <c r="IEL15" s="101"/>
      <c r="IEM15" s="101"/>
      <c r="IEN15" s="101"/>
      <c r="IEO15" s="101"/>
      <c r="IEP15" s="101"/>
      <c r="IEQ15" s="101"/>
      <c r="IER15" s="101"/>
      <c r="IES15" s="101"/>
      <c r="IET15" s="101"/>
      <c r="IEU15" s="101"/>
      <c r="IEV15" s="101"/>
      <c r="IEW15" s="101"/>
      <c r="IEX15" s="101"/>
      <c r="IEY15" s="101"/>
      <c r="IEZ15" s="101"/>
      <c r="IFA15" s="101"/>
      <c r="IFB15" s="101"/>
      <c r="IFC15" s="101"/>
      <c r="IFD15" s="101"/>
      <c r="IFE15" s="101"/>
      <c r="IFF15" s="101"/>
      <c r="IFG15" s="101"/>
      <c r="IFH15" s="101"/>
      <c r="IFI15" s="101"/>
      <c r="IFJ15" s="101"/>
      <c r="IFK15" s="101"/>
      <c r="IFL15" s="101"/>
      <c r="IFM15" s="101"/>
      <c r="IFN15" s="101"/>
      <c r="IFO15" s="101"/>
      <c r="IFP15" s="101"/>
      <c r="IFQ15" s="101"/>
      <c r="IFR15" s="101"/>
      <c r="IFS15" s="101"/>
      <c r="IFT15" s="101"/>
      <c r="IFU15" s="101"/>
      <c r="IFV15" s="101"/>
      <c r="IFW15" s="101"/>
      <c r="IFX15" s="101"/>
      <c r="IFY15" s="101"/>
      <c r="IFZ15" s="101"/>
      <c r="IGA15" s="101"/>
      <c r="IGB15" s="101"/>
      <c r="IGC15" s="101"/>
      <c r="IGD15" s="101"/>
      <c r="IGE15" s="101"/>
      <c r="IGF15" s="101"/>
      <c r="IGG15" s="101"/>
      <c r="IGH15" s="101"/>
      <c r="IGI15" s="101"/>
      <c r="IGJ15" s="101"/>
      <c r="IGK15" s="101"/>
      <c r="IGL15" s="101"/>
      <c r="IGM15" s="101"/>
      <c r="IGN15" s="101"/>
      <c r="IGO15" s="101"/>
      <c r="IGP15" s="101"/>
      <c r="IGQ15" s="101"/>
      <c r="IGR15" s="101"/>
      <c r="IGS15" s="101"/>
      <c r="IGT15" s="101"/>
      <c r="IGU15" s="101"/>
      <c r="IGV15" s="101"/>
      <c r="IGW15" s="101"/>
      <c r="IGX15" s="101"/>
      <c r="IGY15" s="101"/>
      <c r="IGZ15" s="101"/>
      <c r="IHA15" s="101"/>
      <c r="IHB15" s="101"/>
      <c r="IHC15" s="101"/>
      <c r="IHD15" s="101"/>
      <c r="IHE15" s="101"/>
      <c r="IHF15" s="101"/>
      <c r="IHG15" s="101"/>
      <c r="IHH15" s="101"/>
      <c r="IHI15" s="101"/>
      <c r="IHJ15" s="101"/>
      <c r="IHK15" s="101"/>
      <c r="IHL15" s="101"/>
      <c r="IHM15" s="101"/>
      <c r="IHN15" s="101"/>
      <c r="IHO15" s="101"/>
      <c r="IHP15" s="101"/>
      <c r="IHQ15" s="101"/>
      <c r="IHR15" s="101"/>
      <c r="IHS15" s="101"/>
      <c r="IHT15" s="101"/>
      <c r="IHU15" s="101"/>
      <c r="IHV15" s="101"/>
      <c r="IHW15" s="101"/>
      <c r="IHX15" s="101"/>
      <c r="IHY15" s="101"/>
      <c r="IHZ15" s="101"/>
      <c r="IIA15" s="101"/>
      <c r="IIB15" s="101"/>
      <c r="IIC15" s="101"/>
      <c r="IID15" s="101"/>
      <c r="IIE15" s="101"/>
      <c r="IIF15" s="101"/>
      <c r="IIG15" s="101"/>
      <c r="IIH15" s="101"/>
      <c r="III15" s="101"/>
      <c r="IIJ15" s="101"/>
      <c r="IIK15" s="101"/>
      <c r="IIL15" s="101"/>
      <c r="IIM15" s="101"/>
      <c r="IIN15" s="101"/>
      <c r="IIO15" s="101"/>
      <c r="IIP15" s="101"/>
      <c r="IIQ15" s="101"/>
      <c r="IIR15" s="101"/>
      <c r="IIS15" s="101"/>
      <c r="IIT15" s="101"/>
      <c r="IIU15" s="101"/>
      <c r="IIV15" s="101"/>
      <c r="IIW15" s="101"/>
      <c r="IIX15" s="101"/>
      <c r="IIY15" s="101"/>
      <c r="IIZ15" s="101"/>
      <c r="IJA15" s="101"/>
      <c r="IJB15" s="101"/>
      <c r="IJC15" s="101"/>
      <c r="IJD15" s="101"/>
      <c r="IJE15" s="101"/>
      <c r="IJF15" s="101"/>
      <c r="IJG15" s="101"/>
      <c r="IJH15" s="101"/>
      <c r="IJI15" s="101"/>
      <c r="IJJ15" s="101"/>
      <c r="IJK15" s="101"/>
      <c r="IJL15" s="101"/>
      <c r="IJM15" s="101"/>
      <c r="IJN15" s="101"/>
      <c r="IJO15" s="101"/>
      <c r="IJP15" s="101"/>
      <c r="IJQ15" s="101"/>
      <c r="IJR15" s="101"/>
      <c r="IJS15" s="101"/>
      <c r="IJT15" s="101"/>
      <c r="IJU15" s="101"/>
      <c r="IJV15" s="101"/>
      <c r="IJW15" s="101"/>
      <c r="IJX15" s="101"/>
      <c r="IJY15" s="101"/>
      <c r="IJZ15" s="101"/>
      <c r="IKA15" s="101"/>
      <c r="IKB15" s="101"/>
      <c r="IKC15" s="101"/>
      <c r="IKD15" s="101"/>
      <c r="IKE15" s="101"/>
      <c r="IKF15" s="101"/>
      <c r="IKG15" s="101"/>
      <c r="IKH15" s="101"/>
      <c r="IKI15" s="101"/>
      <c r="IKJ15" s="101"/>
      <c r="IKK15" s="101"/>
      <c r="IKL15" s="101"/>
      <c r="IKM15" s="101"/>
      <c r="IKN15" s="101"/>
      <c r="IKO15" s="101"/>
      <c r="IKP15" s="101"/>
      <c r="IKQ15" s="101"/>
      <c r="IKR15" s="101"/>
      <c r="IKS15" s="101"/>
      <c r="IKT15" s="101"/>
      <c r="IKU15" s="101"/>
      <c r="IKV15" s="101"/>
      <c r="IKW15" s="101"/>
      <c r="IKX15" s="101"/>
      <c r="IKY15" s="101"/>
      <c r="IKZ15" s="101"/>
      <c r="ILA15" s="101"/>
      <c r="ILB15" s="101"/>
      <c r="ILC15" s="101"/>
      <c r="ILD15" s="101"/>
      <c r="ILE15" s="101"/>
      <c r="ILF15" s="101"/>
      <c r="ILG15" s="101"/>
      <c r="ILH15" s="101"/>
      <c r="ILI15" s="101"/>
      <c r="ILJ15" s="101"/>
      <c r="ILK15" s="101"/>
      <c r="ILL15" s="101"/>
      <c r="ILM15" s="101"/>
      <c r="ILN15" s="101"/>
      <c r="ILO15" s="101"/>
      <c r="ILP15" s="101"/>
      <c r="ILQ15" s="101"/>
      <c r="ILR15" s="101"/>
      <c r="ILS15" s="101"/>
      <c r="ILT15" s="101"/>
      <c r="ILU15" s="101"/>
      <c r="ILV15" s="101"/>
      <c r="ILW15" s="101"/>
      <c r="ILX15" s="101"/>
      <c r="ILY15" s="101"/>
      <c r="ILZ15" s="101"/>
      <c r="IMA15" s="101"/>
      <c r="IMB15" s="101"/>
      <c r="IMC15" s="101"/>
      <c r="IMD15" s="101"/>
      <c r="IME15" s="101"/>
      <c r="IMF15" s="101"/>
      <c r="IMG15" s="101"/>
      <c r="IMH15" s="101"/>
      <c r="IMI15" s="101"/>
      <c r="IMJ15" s="101"/>
      <c r="IMK15" s="101"/>
      <c r="IML15" s="101"/>
      <c r="IMM15" s="101"/>
      <c r="IMN15" s="101"/>
      <c r="IMO15" s="101"/>
      <c r="IMP15" s="101"/>
      <c r="IMQ15" s="101"/>
      <c r="IMR15" s="101"/>
      <c r="IMS15" s="101"/>
      <c r="IMT15" s="101"/>
      <c r="IMU15" s="101"/>
      <c r="IMV15" s="101"/>
      <c r="IMW15" s="101"/>
      <c r="IMX15" s="101"/>
      <c r="IMY15" s="101"/>
      <c r="IMZ15" s="101"/>
      <c r="INA15" s="101"/>
      <c r="INB15" s="101"/>
      <c r="INC15" s="101"/>
      <c r="IND15" s="101"/>
      <c r="INE15" s="101"/>
      <c r="INF15" s="101"/>
      <c r="ING15" s="101"/>
      <c r="INH15" s="101"/>
      <c r="INI15" s="101"/>
      <c r="INJ15" s="101"/>
      <c r="INK15" s="101"/>
      <c r="INL15" s="101"/>
      <c r="INM15" s="101"/>
      <c r="INN15" s="101"/>
      <c r="INO15" s="101"/>
      <c r="INP15" s="101"/>
      <c r="INQ15" s="101"/>
      <c r="INR15" s="101"/>
      <c r="INS15" s="101"/>
      <c r="INT15" s="101"/>
      <c r="INU15" s="101"/>
      <c r="INV15" s="101"/>
      <c r="INW15" s="101"/>
      <c r="INX15" s="101"/>
      <c r="INY15" s="101"/>
      <c r="INZ15" s="101"/>
      <c r="IOA15" s="101"/>
      <c r="IOB15" s="101"/>
      <c r="IOC15" s="101"/>
      <c r="IOD15" s="101"/>
      <c r="IOE15" s="101"/>
      <c r="IOF15" s="101"/>
      <c r="IOG15" s="101"/>
      <c r="IOH15" s="101"/>
      <c r="IOI15" s="101"/>
      <c r="IOJ15" s="101"/>
      <c r="IOK15" s="101"/>
      <c r="IOL15" s="101"/>
      <c r="IOM15" s="101"/>
      <c r="ION15" s="101"/>
      <c r="IOO15" s="101"/>
      <c r="IOP15" s="101"/>
      <c r="IOQ15" s="101"/>
      <c r="IOR15" s="101"/>
      <c r="IOS15" s="101"/>
      <c r="IOT15" s="101"/>
      <c r="IOU15" s="101"/>
      <c r="IOV15" s="101"/>
      <c r="IOW15" s="101"/>
      <c r="IOX15" s="101"/>
      <c r="IOY15" s="101"/>
      <c r="IOZ15" s="101"/>
      <c r="IPA15" s="101"/>
      <c r="IPB15" s="101"/>
      <c r="IPC15" s="101"/>
      <c r="IPD15" s="101"/>
      <c r="IPE15" s="101"/>
      <c r="IPF15" s="101"/>
      <c r="IPG15" s="101"/>
      <c r="IPH15" s="101"/>
      <c r="IPI15" s="101"/>
      <c r="IPJ15" s="101"/>
      <c r="IPK15" s="101"/>
      <c r="IPL15" s="101"/>
      <c r="IPM15" s="101"/>
      <c r="IPN15" s="101"/>
      <c r="IPO15" s="101"/>
      <c r="IPP15" s="101"/>
      <c r="IPQ15" s="101"/>
      <c r="IPR15" s="101"/>
      <c r="IPS15" s="101"/>
      <c r="IPT15" s="101"/>
      <c r="IPU15" s="101"/>
      <c r="IPV15" s="101"/>
      <c r="IPW15" s="101"/>
      <c r="IPX15" s="101"/>
      <c r="IPY15" s="101"/>
      <c r="IPZ15" s="101"/>
      <c r="IQA15" s="101"/>
      <c r="IQB15" s="101"/>
      <c r="IQC15" s="101"/>
      <c r="IQD15" s="101"/>
      <c r="IQE15" s="101"/>
      <c r="IQF15" s="101"/>
      <c r="IQG15" s="101"/>
      <c r="IQH15" s="101"/>
      <c r="IQI15" s="101"/>
      <c r="IQJ15" s="101"/>
      <c r="IQK15" s="101"/>
      <c r="IQL15" s="101"/>
      <c r="IQM15" s="101"/>
      <c r="IQN15" s="101"/>
      <c r="IQO15" s="101"/>
      <c r="IQP15" s="101"/>
      <c r="IQQ15" s="101"/>
      <c r="IQR15" s="101"/>
      <c r="IQS15" s="101"/>
      <c r="IQT15" s="101"/>
      <c r="IQU15" s="101"/>
      <c r="IQV15" s="101"/>
      <c r="IQW15" s="101"/>
      <c r="IQX15" s="101"/>
      <c r="IQY15" s="101"/>
      <c r="IQZ15" s="101"/>
      <c r="IRA15" s="101"/>
      <c r="IRB15" s="101"/>
      <c r="IRC15" s="101"/>
      <c r="IRD15" s="101"/>
      <c r="IRE15" s="101"/>
      <c r="IRF15" s="101"/>
      <c r="IRG15" s="101"/>
      <c r="IRH15" s="101"/>
      <c r="IRI15" s="101"/>
      <c r="IRJ15" s="101"/>
      <c r="IRK15" s="101"/>
      <c r="IRL15" s="101"/>
      <c r="IRM15" s="101"/>
      <c r="IRN15" s="101"/>
      <c r="IRO15" s="101"/>
      <c r="IRP15" s="101"/>
      <c r="IRQ15" s="101"/>
      <c r="IRR15" s="101"/>
      <c r="IRS15" s="101"/>
      <c r="IRT15" s="101"/>
      <c r="IRU15" s="101"/>
      <c r="IRV15" s="101"/>
      <c r="IRW15" s="101"/>
      <c r="IRX15" s="101"/>
      <c r="IRY15" s="101"/>
      <c r="IRZ15" s="101"/>
      <c r="ISA15" s="101"/>
      <c r="ISB15" s="101"/>
      <c r="ISC15" s="101"/>
      <c r="ISD15" s="101"/>
      <c r="ISE15" s="101"/>
      <c r="ISF15" s="101"/>
      <c r="ISG15" s="101"/>
      <c r="ISH15" s="101"/>
      <c r="ISI15" s="101"/>
      <c r="ISJ15" s="101"/>
      <c r="ISK15" s="101"/>
      <c r="ISL15" s="101"/>
      <c r="ISM15" s="101"/>
      <c r="ISN15" s="101"/>
      <c r="ISO15" s="101"/>
      <c r="ISP15" s="101"/>
      <c r="ISQ15" s="101"/>
      <c r="ISR15" s="101"/>
      <c r="ISS15" s="101"/>
      <c r="IST15" s="101"/>
      <c r="ISU15" s="101"/>
      <c r="ISV15" s="101"/>
      <c r="ISW15" s="101"/>
      <c r="ISX15" s="101"/>
      <c r="ISY15" s="101"/>
      <c r="ISZ15" s="101"/>
      <c r="ITA15" s="101"/>
      <c r="ITB15" s="101"/>
      <c r="ITC15" s="101"/>
      <c r="ITD15" s="101"/>
      <c r="ITE15" s="101"/>
      <c r="ITF15" s="101"/>
      <c r="ITG15" s="101"/>
      <c r="ITH15" s="101"/>
      <c r="ITI15" s="101"/>
      <c r="ITJ15" s="101"/>
      <c r="ITK15" s="101"/>
      <c r="ITL15" s="101"/>
      <c r="ITM15" s="101"/>
      <c r="ITN15" s="101"/>
      <c r="ITO15" s="101"/>
      <c r="ITP15" s="101"/>
      <c r="ITQ15" s="101"/>
      <c r="ITR15" s="101"/>
      <c r="ITS15" s="101"/>
      <c r="ITT15" s="101"/>
      <c r="ITU15" s="101"/>
      <c r="ITV15" s="101"/>
      <c r="ITW15" s="101"/>
      <c r="ITX15" s="101"/>
      <c r="ITY15" s="101"/>
      <c r="ITZ15" s="101"/>
      <c r="IUA15" s="101"/>
      <c r="IUB15" s="101"/>
      <c r="IUC15" s="101"/>
      <c r="IUD15" s="101"/>
      <c r="IUE15" s="101"/>
      <c r="IUF15" s="101"/>
      <c r="IUG15" s="101"/>
      <c r="IUH15" s="101"/>
      <c r="IUI15" s="101"/>
      <c r="IUJ15" s="101"/>
      <c r="IUK15" s="101"/>
      <c r="IUL15" s="101"/>
      <c r="IUM15" s="101"/>
      <c r="IUN15" s="101"/>
      <c r="IUO15" s="101"/>
      <c r="IUP15" s="101"/>
      <c r="IUQ15" s="101"/>
      <c r="IUR15" s="101"/>
      <c r="IUS15" s="101"/>
      <c r="IUT15" s="101"/>
      <c r="IUU15" s="101"/>
      <c r="IUV15" s="101"/>
      <c r="IUW15" s="101"/>
      <c r="IUX15" s="101"/>
      <c r="IUY15" s="101"/>
      <c r="IUZ15" s="101"/>
      <c r="IVA15" s="101"/>
      <c r="IVB15" s="101"/>
      <c r="IVC15" s="101"/>
      <c r="IVD15" s="101"/>
      <c r="IVE15" s="101"/>
      <c r="IVF15" s="101"/>
      <c r="IVG15" s="101"/>
      <c r="IVH15" s="101"/>
      <c r="IVI15" s="101"/>
      <c r="IVJ15" s="101"/>
      <c r="IVK15" s="101"/>
      <c r="IVL15" s="101"/>
      <c r="IVM15" s="101"/>
      <c r="IVN15" s="101"/>
      <c r="IVO15" s="101"/>
      <c r="IVP15" s="101"/>
      <c r="IVQ15" s="101"/>
      <c r="IVR15" s="101"/>
      <c r="IVS15" s="101"/>
      <c r="IVT15" s="101"/>
      <c r="IVU15" s="101"/>
      <c r="IVV15" s="101"/>
      <c r="IVW15" s="101"/>
      <c r="IVX15" s="101"/>
      <c r="IVY15" s="101"/>
      <c r="IVZ15" s="101"/>
      <c r="IWA15" s="101"/>
      <c r="IWB15" s="101"/>
      <c r="IWC15" s="101"/>
      <c r="IWD15" s="101"/>
      <c r="IWE15" s="101"/>
      <c r="IWF15" s="101"/>
      <c r="IWG15" s="101"/>
      <c r="IWH15" s="101"/>
      <c r="IWI15" s="101"/>
      <c r="IWJ15" s="101"/>
      <c r="IWK15" s="101"/>
      <c r="IWL15" s="101"/>
      <c r="IWM15" s="101"/>
      <c r="IWN15" s="101"/>
      <c r="IWO15" s="101"/>
      <c r="IWP15" s="101"/>
      <c r="IWQ15" s="101"/>
      <c r="IWR15" s="101"/>
      <c r="IWS15" s="101"/>
      <c r="IWT15" s="101"/>
      <c r="IWU15" s="101"/>
      <c r="IWV15" s="101"/>
      <c r="IWW15" s="101"/>
      <c r="IWX15" s="101"/>
      <c r="IWY15" s="101"/>
      <c r="IWZ15" s="101"/>
      <c r="IXA15" s="101"/>
      <c r="IXB15" s="101"/>
      <c r="IXC15" s="101"/>
      <c r="IXD15" s="101"/>
      <c r="IXE15" s="101"/>
      <c r="IXF15" s="101"/>
      <c r="IXG15" s="101"/>
      <c r="IXH15" s="101"/>
      <c r="IXI15" s="101"/>
      <c r="IXJ15" s="101"/>
      <c r="IXK15" s="101"/>
      <c r="IXL15" s="101"/>
      <c r="IXM15" s="101"/>
      <c r="IXN15" s="101"/>
      <c r="IXO15" s="101"/>
      <c r="IXP15" s="101"/>
      <c r="IXQ15" s="101"/>
      <c r="IXR15" s="101"/>
      <c r="IXS15" s="101"/>
      <c r="IXT15" s="101"/>
      <c r="IXU15" s="101"/>
      <c r="IXV15" s="101"/>
      <c r="IXW15" s="101"/>
      <c r="IXX15" s="101"/>
      <c r="IXY15" s="101"/>
      <c r="IXZ15" s="101"/>
      <c r="IYA15" s="101"/>
      <c r="IYB15" s="101"/>
      <c r="IYC15" s="101"/>
      <c r="IYD15" s="101"/>
      <c r="IYE15" s="101"/>
      <c r="IYF15" s="101"/>
      <c r="IYG15" s="101"/>
      <c r="IYH15" s="101"/>
      <c r="IYI15" s="101"/>
      <c r="IYJ15" s="101"/>
      <c r="IYK15" s="101"/>
      <c r="IYL15" s="101"/>
      <c r="IYM15" s="101"/>
      <c r="IYN15" s="101"/>
      <c r="IYO15" s="101"/>
      <c r="IYP15" s="101"/>
      <c r="IYQ15" s="101"/>
      <c r="IYR15" s="101"/>
      <c r="IYS15" s="101"/>
      <c r="IYT15" s="101"/>
      <c r="IYU15" s="101"/>
      <c r="IYV15" s="101"/>
      <c r="IYW15" s="101"/>
      <c r="IYX15" s="101"/>
      <c r="IYY15" s="101"/>
      <c r="IYZ15" s="101"/>
      <c r="IZA15" s="101"/>
      <c r="IZB15" s="101"/>
      <c r="IZC15" s="101"/>
      <c r="IZD15" s="101"/>
      <c r="IZE15" s="101"/>
      <c r="IZF15" s="101"/>
      <c r="IZG15" s="101"/>
      <c r="IZH15" s="101"/>
      <c r="IZI15" s="101"/>
      <c r="IZJ15" s="101"/>
      <c r="IZK15" s="101"/>
      <c r="IZL15" s="101"/>
      <c r="IZM15" s="101"/>
      <c r="IZN15" s="101"/>
      <c r="IZO15" s="101"/>
      <c r="IZP15" s="101"/>
      <c r="IZQ15" s="101"/>
      <c r="IZR15" s="101"/>
      <c r="IZS15" s="101"/>
      <c r="IZT15" s="101"/>
      <c r="IZU15" s="101"/>
      <c r="IZV15" s="101"/>
      <c r="IZW15" s="101"/>
      <c r="IZX15" s="101"/>
      <c r="IZY15" s="101"/>
      <c r="IZZ15" s="101"/>
      <c r="JAA15" s="101"/>
      <c r="JAB15" s="101"/>
      <c r="JAC15" s="101"/>
      <c r="JAD15" s="101"/>
      <c r="JAE15" s="101"/>
      <c r="JAF15" s="101"/>
      <c r="JAG15" s="101"/>
      <c r="JAH15" s="101"/>
      <c r="JAI15" s="101"/>
      <c r="JAJ15" s="101"/>
      <c r="JAK15" s="101"/>
      <c r="JAL15" s="101"/>
      <c r="JAM15" s="101"/>
      <c r="JAN15" s="101"/>
      <c r="JAO15" s="101"/>
      <c r="JAP15" s="101"/>
      <c r="JAQ15" s="101"/>
      <c r="JAR15" s="101"/>
      <c r="JAS15" s="101"/>
      <c r="JAT15" s="101"/>
      <c r="JAU15" s="101"/>
      <c r="JAV15" s="101"/>
      <c r="JAW15" s="101"/>
      <c r="JAX15" s="101"/>
      <c r="JAY15" s="101"/>
      <c r="JAZ15" s="101"/>
      <c r="JBA15" s="101"/>
      <c r="JBB15" s="101"/>
      <c r="JBC15" s="101"/>
      <c r="JBD15" s="101"/>
      <c r="JBE15" s="101"/>
      <c r="JBF15" s="101"/>
      <c r="JBG15" s="101"/>
      <c r="JBH15" s="101"/>
      <c r="JBI15" s="101"/>
      <c r="JBJ15" s="101"/>
      <c r="JBK15" s="101"/>
      <c r="JBL15" s="101"/>
      <c r="JBM15" s="101"/>
      <c r="JBN15" s="101"/>
      <c r="JBO15" s="101"/>
      <c r="JBP15" s="101"/>
      <c r="JBQ15" s="101"/>
      <c r="JBR15" s="101"/>
      <c r="JBS15" s="101"/>
      <c r="JBT15" s="101"/>
      <c r="JBU15" s="101"/>
      <c r="JBV15" s="101"/>
      <c r="JBW15" s="101"/>
      <c r="JBX15" s="101"/>
      <c r="JBY15" s="101"/>
      <c r="JBZ15" s="101"/>
      <c r="JCA15" s="101"/>
      <c r="JCB15" s="101"/>
      <c r="JCC15" s="101"/>
      <c r="JCD15" s="101"/>
      <c r="JCE15" s="101"/>
      <c r="JCF15" s="101"/>
      <c r="JCG15" s="101"/>
      <c r="JCH15" s="101"/>
      <c r="JCI15" s="101"/>
      <c r="JCJ15" s="101"/>
      <c r="JCK15" s="101"/>
      <c r="JCL15" s="101"/>
      <c r="JCM15" s="101"/>
      <c r="JCN15" s="101"/>
      <c r="JCO15" s="101"/>
      <c r="JCP15" s="101"/>
      <c r="JCQ15" s="101"/>
      <c r="JCR15" s="101"/>
      <c r="JCS15" s="101"/>
      <c r="JCT15" s="101"/>
      <c r="JCU15" s="101"/>
      <c r="JCV15" s="101"/>
      <c r="JCW15" s="101"/>
      <c r="JCX15" s="101"/>
      <c r="JCY15" s="101"/>
      <c r="JCZ15" s="101"/>
      <c r="JDA15" s="101"/>
      <c r="JDB15" s="101"/>
      <c r="JDC15" s="101"/>
      <c r="JDD15" s="101"/>
      <c r="JDE15" s="101"/>
      <c r="JDF15" s="101"/>
      <c r="JDG15" s="101"/>
      <c r="JDH15" s="101"/>
      <c r="JDI15" s="101"/>
      <c r="JDJ15" s="101"/>
      <c r="JDK15" s="101"/>
      <c r="JDL15" s="101"/>
      <c r="JDM15" s="101"/>
      <c r="JDN15" s="101"/>
      <c r="JDO15" s="101"/>
      <c r="JDP15" s="101"/>
      <c r="JDQ15" s="101"/>
      <c r="JDR15" s="101"/>
      <c r="JDS15" s="101"/>
      <c r="JDT15" s="101"/>
      <c r="JDU15" s="101"/>
      <c r="JDV15" s="101"/>
      <c r="JDW15" s="101"/>
      <c r="JDX15" s="101"/>
      <c r="JDY15" s="101"/>
      <c r="JDZ15" s="101"/>
      <c r="JEA15" s="101"/>
      <c r="JEB15" s="101"/>
      <c r="JEC15" s="101"/>
      <c r="JED15" s="101"/>
      <c r="JEE15" s="101"/>
      <c r="JEF15" s="101"/>
      <c r="JEG15" s="101"/>
      <c r="JEH15" s="101"/>
      <c r="JEI15" s="101"/>
      <c r="JEJ15" s="101"/>
      <c r="JEK15" s="101"/>
      <c r="JEL15" s="101"/>
      <c r="JEM15" s="101"/>
      <c r="JEN15" s="101"/>
      <c r="JEO15" s="101"/>
      <c r="JEP15" s="101"/>
      <c r="JEQ15" s="101"/>
      <c r="JER15" s="101"/>
      <c r="JES15" s="101"/>
      <c r="JET15" s="101"/>
      <c r="JEU15" s="101"/>
      <c r="JEV15" s="101"/>
      <c r="JEW15" s="101"/>
      <c r="JEX15" s="101"/>
      <c r="JEY15" s="101"/>
      <c r="JEZ15" s="101"/>
      <c r="JFA15" s="101"/>
      <c r="JFB15" s="101"/>
      <c r="JFC15" s="101"/>
      <c r="JFD15" s="101"/>
      <c r="JFE15" s="101"/>
      <c r="JFF15" s="101"/>
      <c r="JFG15" s="101"/>
      <c r="JFH15" s="101"/>
      <c r="JFI15" s="101"/>
      <c r="JFJ15" s="101"/>
      <c r="JFK15" s="101"/>
      <c r="JFL15" s="101"/>
      <c r="JFM15" s="101"/>
      <c r="JFN15" s="101"/>
      <c r="JFO15" s="101"/>
      <c r="JFP15" s="101"/>
      <c r="JFQ15" s="101"/>
      <c r="JFR15" s="101"/>
      <c r="JFS15" s="101"/>
      <c r="JFT15" s="101"/>
      <c r="JFU15" s="101"/>
      <c r="JFV15" s="101"/>
      <c r="JFW15" s="101"/>
      <c r="JFX15" s="101"/>
      <c r="JFY15" s="101"/>
      <c r="JFZ15" s="101"/>
      <c r="JGA15" s="101"/>
      <c r="JGB15" s="101"/>
      <c r="JGC15" s="101"/>
      <c r="JGD15" s="101"/>
      <c r="JGE15" s="101"/>
      <c r="JGF15" s="101"/>
      <c r="JGG15" s="101"/>
      <c r="JGH15" s="101"/>
      <c r="JGI15" s="101"/>
      <c r="JGJ15" s="101"/>
      <c r="JGK15" s="101"/>
      <c r="JGL15" s="101"/>
      <c r="JGM15" s="101"/>
      <c r="JGN15" s="101"/>
      <c r="JGO15" s="101"/>
      <c r="JGP15" s="101"/>
      <c r="JGQ15" s="101"/>
      <c r="JGR15" s="101"/>
      <c r="JGS15" s="101"/>
      <c r="JGT15" s="101"/>
      <c r="JGU15" s="101"/>
      <c r="JGV15" s="101"/>
      <c r="JGW15" s="101"/>
      <c r="JGX15" s="101"/>
      <c r="JGY15" s="101"/>
      <c r="JGZ15" s="101"/>
      <c r="JHA15" s="101"/>
      <c r="JHB15" s="101"/>
      <c r="JHC15" s="101"/>
      <c r="JHD15" s="101"/>
      <c r="JHE15" s="101"/>
      <c r="JHF15" s="101"/>
      <c r="JHG15" s="101"/>
      <c r="JHH15" s="101"/>
      <c r="JHI15" s="101"/>
      <c r="JHJ15" s="101"/>
      <c r="JHK15" s="101"/>
      <c r="JHL15" s="101"/>
      <c r="JHM15" s="101"/>
      <c r="JHN15" s="101"/>
      <c r="JHO15" s="101"/>
      <c r="JHP15" s="101"/>
      <c r="JHQ15" s="101"/>
      <c r="JHR15" s="101"/>
      <c r="JHS15" s="101"/>
      <c r="JHT15" s="101"/>
      <c r="JHU15" s="101"/>
      <c r="JHV15" s="101"/>
      <c r="JHW15" s="101"/>
      <c r="JHX15" s="101"/>
      <c r="JHY15" s="101"/>
      <c r="JHZ15" s="101"/>
      <c r="JIA15" s="101"/>
      <c r="JIB15" s="101"/>
      <c r="JIC15" s="101"/>
      <c r="JID15" s="101"/>
      <c r="JIE15" s="101"/>
      <c r="JIF15" s="101"/>
      <c r="JIG15" s="101"/>
      <c r="JIH15" s="101"/>
      <c r="JII15" s="101"/>
      <c r="JIJ15" s="101"/>
      <c r="JIK15" s="101"/>
      <c r="JIL15" s="101"/>
      <c r="JIM15" s="101"/>
      <c r="JIN15" s="101"/>
      <c r="JIO15" s="101"/>
      <c r="JIP15" s="101"/>
      <c r="JIQ15" s="101"/>
      <c r="JIR15" s="101"/>
      <c r="JIS15" s="101"/>
      <c r="JIT15" s="101"/>
      <c r="JIU15" s="101"/>
      <c r="JIV15" s="101"/>
      <c r="JIW15" s="101"/>
      <c r="JIX15" s="101"/>
      <c r="JIY15" s="101"/>
      <c r="JIZ15" s="101"/>
      <c r="JJA15" s="101"/>
      <c r="JJB15" s="101"/>
      <c r="JJC15" s="101"/>
      <c r="JJD15" s="101"/>
      <c r="JJE15" s="101"/>
      <c r="JJF15" s="101"/>
      <c r="JJG15" s="101"/>
      <c r="JJH15" s="101"/>
      <c r="JJI15" s="101"/>
      <c r="JJJ15" s="101"/>
      <c r="JJK15" s="101"/>
      <c r="JJL15" s="101"/>
      <c r="JJM15" s="101"/>
      <c r="JJN15" s="101"/>
      <c r="JJO15" s="101"/>
      <c r="JJP15" s="101"/>
      <c r="JJQ15" s="101"/>
      <c r="JJR15" s="101"/>
      <c r="JJS15" s="101"/>
      <c r="JJT15" s="101"/>
      <c r="JJU15" s="101"/>
      <c r="JJV15" s="101"/>
      <c r="JJW15" s="101"/>
      <c r="JJX15" s="101"/>
      <c r="JJY15" s="101"/>
      <c r="JJZ15" s="101"/>
      <c r="JKA15" s="101"/>
      <c r="JKB15" s="101"/>
      <c r="JKC15" s="101"/>
      <c r="JKD15" s="101"/>
      <c r="JKE15" s="101"/>
      <c r="JKF15" s="101"/>
      <c r="JKG15" s="101"/>
      <c r="JKH15" s="101"/>
      <c r="JKI15" s="101"/>
      <c r="JKJ15" s="101"/>
      <c r="JKK15" s="101"/>
      <c r="JKL15" s="101"/>
      <c r="JKM15" s="101"/>
      <c r="JKN15" s="101"/>
      <c r="JKO15" s="101"/>
      <c r="JKP15" s="101"/>
      <c r="JKQ15" s="101"/>
      <c r="JKR15" s="101"/>
      <c r="JKS15" s="101"/>
      <c r="JKT15" s="101"/>
      <c r="JKU15" s="101"/>
      <c r="JKV15" s="101"/>
      <c r="JKW15" s="101"/>
      <c r="JKX15" s="101"/>
      <c r="JKY15" s="101"/>
      <c r="JKZ15" s="101"/>
      <c r="JLA15" s="101"/>
      <c r="JLB15" s="101"/>
      <c r="JLC15" s="101"/>
      <c r="JLD15" s="101"/>
      <c r="JLE15" s="101"/>
      <c r="JLF15" s="101"/>
      <c r="JLG15" s="101"/>
      <c r="JLH15" s="101"/>
      <c r="JLI15" s="101"/>
      <c r="JLJ15" s="101"/>
      <c r="JLK15" s="101"/>
      <c r="JLL15" s="101"/>
      <c r="JLM15" s="101"/>
      <c r="JLN15" s="101"/>
      <c r="JLO15" s="101"/>
      <c r="JLP15" s="101"/>
      <c r="JLQ15" s="101"/>
      <c r="JLR15" s="101"/>
      <c r="JLS15" s="101"/>
      <c r="JLT15" s="101"/>
      <c r="JLU15" s="101"/>
      <c r="JLV15" s="101"/>
      <c r="JLW15" s="101"/>
      <c r="JLX15" s="101"/>
      <c r="JLY15" s="101"/>
      <c r="JLZ15" s="101"/>
      <c r="JMA15" s="101"/>
      <c r="JMB15" s="101"/>
      <c r="JMC15" s="101"/>
      <c r="JMD15" s="101"/>
      <c r="JME15" s="101"/>
      <c r="JMF15" s="101"/>
      <c r="JMG15" s="101"/>
      <c r="JMH15" s="101"/>
      <c r="JMI15" s="101"/>
      <c r="JMJ15" s="101"/>
      <c r="JMK15" s="101"/>
      <c r="JML15" s="101"/>
      <c r="JMM15" s="101"/>
      <c r="JMN15" s="101"/>
      <c r="JMO15" s="101"/>
      <c r="JMP15" s="101"/>
      <c r="JMQ15" s="101"/>
      <c r="JMR15" s="101"/>
      <c r="JMS15" s="101"/>
      <c r="JMT15" s="101"/>
      <c r="JMU15" s="101"/>
      <c r="JMV15" s="101"/>
      <c r="JMW15" s="101"/>
      <c r="JMX15" s="101"/>
      <c r="JMY15" s="101"/>
      <c r="JMZ15" s="101"/>
      <c r="JNA15" s="101"/>
      <c r="JNB15" s="101"/>
      <c r="JNC15" s="101"/>
      <c r="JND15" s="101"/>
      <c r="JNE15" s="101"/>
      <c r="JNF15" s="101"/>
      <c r="JNG15" s="101"/>
      <c r="JNH15" s="101"/>
      <c r="JNI15" s="101"/>
      <c r="JNJ15" s="101"/>
      <c r="JNK15" s="101"/>
      <c r="JNL15" s="101"/>
      <c r="JNM15" s="101"/>
      <c r="JNN15" s="101"/>
      <c r="JNO15" s="101"/>
      <c r="JNP15" s="101"/>
      <c r="JNQ15" s="101"/>
      <c r="JNR15" s="101"/>
      <c r="JNS15" s="101"/>
      <c r="JNT15" s="101"/>
      <c r="JNU15" s="101"/>
      <c r="JNV15" s="101"/>
      <c r="JNW15" s="101"/>
      <c r="JNX15" s="101"/>
      <c r="JNY15" s="101"/>
      <c r="JNZ15" s="101"/>
      <c r="JOA15" s="101"/>
      <c r="JOB15" s="101"/>
      <c r="JOC15" s="101"/>
      <c r="JOD15" s="101"/>
      <c r="JOE15" s="101"/>
      <c r="JOF15" s="101"/>
      <c r="JOG15" s="101"/>
      <c r="JOH15" s="101"/>
      <c r="JOI15" s="101"/>
      <c r="JOJ15" s="101"/>
      <c r="JOK15" s="101"/>
      <c r="JOL15" s="101"/>
      <c r="JOM15" s="101"/>
      <c r="JON15" s="101"/>
      <c r="JOO15" s="101"/>
      <c r="JOP15" s="101"/>
      <c r="JOQ15" s="101"/>
      <c r="JOR15" s="101"/>
      <c r="JOS15" s="101"/>
      <c r="JOT15" s="101"/>
      <c r="JOU15" s="101"/>
      <c r="JOV15" s="101"/>
      <c r="JOW15" s="101"/>
      <c r="JOX15" s="101"/>
      <c r="JOY15" s="101"/>
      <c r="JOZ15" s="101"/>
      <c r="JPA15" s="101"/>
      <c r="JPB15" s="101"/>
      <c r="JPC15" s="101"/>
      <c r="JPD15" s="101"/>
      <c r="JPE15" s="101"/>
      <c r="JPF15" s="101"/>
      <c r="JPG15" s="101"/>
      <c r="JPH15" s="101"/>
      <c r="JPI15" s="101"/>
      <c r="JPJ15" s="101"/>
      <c r="JPK15" s="101"/>
      <c r="JPL15" s="101"/>
      <c r="JPM15" s="101"/>
      <c r="JPN15" s="101"/>
      <c r="JPO15" s="101"/>
      <c r="JPP15" s="101"/>
      <c r="JPQ15" s="101"/>
      <c r="JPR15" s="101"/>
      <c r="JPS15" s="101"/>
      <c r="JPT15" s="101"/>
      <c r="JPU15" s="101"/>
      <c r="JPV15" s="101"/>
      <c r="JPW15" s="101"/>
      <c r="JPX15" s="101"/>
      <c r="JPY15" s="101"/>
      <c r="JPZ15" s="101"/>
      <c r="JQA15" s="101"/>
      <c r="JQB15" s="101"/>
      <c r="JQC15" s="101"/>
      <c r="JQD15" s="101"/>
      <c r="JQE15" s="101"/>
      <c r="JQF15" s="101"/>
      <c r="JQG15" s="101"/>
      <c r="JQH15" s="101"/>
      <c r="JQI15" s="101"/>
      <c r="JQJ15" s="101"/>
      <c r="JQK15" s="101"/>
      <c r="JQL15" s="101"/>
      <c r="JQM15" s="101"/>
      <c r="JQN15" s="101"/>
      <c r="JQO15" s="101"/>
      <c r="JQP15" s="101"/>
      <c r="JQQ15" s="101"/>
      <c r="JQR15" s="101"/>
      <c r="JQS15" s="101"/>
      <c r="JQT15" s="101"/>
      <c r="JQU15" s="101"/>
      <c r="JQV15" s="101"/>
      <c r="JQW15" s="101"/>
      <c r="JQX15" s="101"/>
      <c r="JQY15" s="101"/>
      <c r="JQZ15" s="101"/>
      <c r="JRA15" s="101"/>
      <c r="JRB15" s="101"/>
      <c r="JRC15" s="101"/>
      <c r="JRD15" s="101"/>
      <c r="JRE15" s="101"/>
      <c r="JRF15" s="101"/>
      <c r="JRG15" s="101"/>
      <c r="JRH15" s="101"/>
      <c r="JRI15" s="101"/>
      <c r="JRJ15" s="101"/>
      <c r="JRK15" s="101"/>
      <c r="JRL15" s="101"/>
      <c r="JRM15" s="101"/>
      <c r="JRN15" s="101"/>
      <c r="JRO15" s="101"/>
      <c r="JRP15" s="101"/>
      <c r="JRQ15" s="101"/>
      <c r="JRR15" s="101"/>
      <c r="JRS15" s="101"/>
      <c r="JRT15" s="101"/>
      <c r="JRU15" s="101"/>
      <c r="JRV15" s="101"/>
      <c r="JRW15" s="101"/>
      <c r="JRX15" s="101"/>
      <c r="JRY15" s="101"/>
      <c r="JRZ15" s="101"/>
      <c r="JSA15" s="101"/>
      <c r="JSB15" s="101"/>
      <c r="JSC15" s="101"/>
      <c r="JSD15" s="101"/>
      <c r="JSE15" s="101"/>
      <c r="JSF15" s="101"/>
      <c r="JSG15" s="101"/>
      <c r="JSH15" s="101"/>
      <c r="JSI15" s="101"/>
      <c r="JSJ15" s="101"/>
      <c r="JSK15" s="101"/>
      <c r="JSL15" s="101"/>
      <c r="JSM15" s="101"/>
      <c r="JSN15" s="101"/>
      <c r="JSO15" s="101"/>
      <c r="JSP15" s="101"/>
      <c r="JSQ15" s="101"/>
      <c r="JSR15" s="101"/>
      <c r="JSS15" s="101"/>
      <c r="JST15" s="101"/>
      <c r="JSU15" s="101"/>
      <c r="JSV15" s="101"/>
      <c r="JSW15" s="101"/>
      <c r="JSX15" s="101"/>
      <c r="JSY15" s="101"/>
      <c r="JSZ15" s="101"/>
      <c r="JTA15" s="101"/>
      <c r="JTB15" s="101"/>
      <c r="JTC15" s="101"/>
      <c r="JTD15" s="101"/>
      <c r="JTE15" s="101"/>
      <c r="JTF15" s="101"/>
      <c r="JTG15" s="101"/>
      <c r="JTH15" s="101"/>
      <c r="JTI15" s="101"/>
      <c r="JTJ15" s="101"/>
      <c r="JTK15" s="101"/>
      <c r="JTL15" s="101"/>
      <c r="JTM15" s="101"/>
      <c r="JTN15" s="101"/>
      <c r="JTO15" s="101"/>
      <c r="JTP15" s="101"/>
      <c r="JTQ15" s="101"/>
      <c r="JTR15" s="101"/>
      <c r="JTS15" s="101"/>
      <c r="JTT15" s="101"/>
      <c r="JTU15" s="101"/>
      <c r="JTV15" s="101"/>
      <c r="JTW15" s="101"/>
      <c r="JTX15" s="101"/>
      <c r="JTY15" s="101"/>
      <c r="JTZ15" s="101"/>
      <c r="JUA15" s="101"/>
      <c r="JUB15" s="101"/>
      <c r="JUC15" s="101"/>
      <c r="JUD15" s="101"/>
      <c r="JUE15" s="101"/>
      <c r="JUF15" s="101"/>
      <c r="JUG15" s="101"/>
      <c r="JUH15" s="101"/>
      <c r="JUI15" s="101"/>
      <c r="JUJ15" s="101"/>
      <c r="JUK15" s="101"/>
      <c r="JUL15" s="101"/>
      <c r="JUM15" s="101"/>
      <c r="JUN15" s="101"/>
      <c r="JUO15" s="101"/>
      <c r="JUP15" s="101"/>
      <c r="JUQ15" s="101"/>
      <c r="JUR15" s="101"/>
      <c r="JUS15" s="101"/>
      <c r="JUT15" s="101"/>
      <c r="JUU15" s="101"/>
      <c r="JUV15" s="101"/>
      <c r="JUW15" s="101"/>
      <c r="JUX15" s="101"/>
      <c r="JUY15" s="101"/>
      <c r="JUZ15" s="101"/>
      <c r="JVA15" s="101"/>
      <c r="JVB15" s="101"/>
      <c r="JVC15" s="101"/>
      <c r="JVD15" s="101"/>
      <c r="JVE15" s="101"/>
      <c r="JVF15" s="101"/>
      <c r="JVG15" s="101"/>
      <c r="JVH15" s="101"/>
      <c r="JVI15" s="101"/>
      <c r="JVJ15" s="101"/>
      <c r="JVK15" s="101"/>
      <c r="JVL15" s="101"/>
      <c r="JVM15" s="101"/>
      <c r="JVN15" s="101"/>
      <c r="JVO15" s="101"/>
      <c r="JVP15" s="101"/>
      <c r="JVQ15" s="101"/>
      <c r="JVR15" s="101"/>
      <c r="JVS15" s="101"/>
      <c r="JVT15" s="101"/>
      <c r="JVU15" s="101"/>
      <c r="JVV15" s="101"/>
      <c r="JVW15" s="101"/>
      <c r="JVX15" s="101"/>
      <c r="JVY15" s="101"/>
      <c r="JVZ15" s="101"/>
      <c r="JWA15" s="101"/>
      <c r="JWB15" s="101"/>
      <c r="JWC15" s="101"/>
      <c r="JWD15" s="101"/>
      <c r="JWE15" s="101"/>
      <c r="JWF15" s="101"/>
      <c r="JWG15" s="101"/>
      <c r="JWH15" s="101"/>
      <c r="JWI15" s="101"/>
      <c r="JWJ15" s="101"/>
      <c r="JWK15" s="101"/>
      <c r="JWL15" s="101"/>
      <c r="JWM15" s="101"/>
      <c r="JWN15" s="101"/>
      <c r="JWO15" s="101"/>
      <c r="JWP15" s="101"/>
      <c r="JWQ15" s="101"/>
      <c r="JWR15" s="101"/>
      <c r="JWS15" s="101"/>
      <c r="JWT15" s="101"/>
      <c r="JWU15" s="101"/>
      <c r="JWV15" s="101"/>
      <c r="JWW15" s="101"/>
      <c r="JWX15" s="101"/>
      <c r="JWY15" s="101"/>
      <c r="JWZ15" s="101"/>
      <c r="JXA15" s="101"/>
      <c r="JXB15" s="101"/>
      <c r="JXC15" s="101"/>
      <c r="JXD15" s="101"/>
      <c r="JXE15" s="101"/>
      <c r="JXF15" s="101"/>
      <c r="JXG15" s="101"/>
      <c r="JXH15" s="101"/>
      <c r="JXI15" s="101"/>
      <c r="JXJ15" s="101"/>
      <c r="JXK15" s="101"/>
      <c r="JXL15" s="101"/>
      <c r="JXM15" s="101"/>
      <c r="JXN15" s="101"/>
      <c r="JXO15" s="101"/>
      <c r="JXP15" s="101"/>
      <c r="JXQ15" s="101"/>
      <c r="JXR15" s="101"/>
      <c r="JXS15" s="101"/>
      <c r="JXT15" s="101"/>
      <c r="JXU15" s="101"/>
      <c r="JXV15" s="101"/>
      <c r="JXW15" s="101"/>
      <c r="JXX15" s="101"/>
      <c r="JXY15" s="101"/>
      <c r="JXZ15" s="101"/>
      <c r="JYA15" s="101"/>
      <c r="JYB15" s="101"/>
      <c r="JYC15" s="101"/>
      <c r="JYD15" s="101"/>
      <c r="JYE15" s="101"/>
      <c r="JYF15" s="101"/>
      <c r="JYG15" s="101"/>
      <c r="JYH15" s="101"/>
      <c r="JYI15" s="101"/>
      <c r="JYJ15" s="101"/>
      <c r="JYK15" s="101"/>
      <c r="JYL15" s="101"/>
      <c r="JYM15" s="101"/>
      <c r="JYN15" s="101"/>
      <c r="JYO15" s="101"/>
      <c r="JYP15" s="101"/>
      <c r="JYQ15" s="101"/>
      <c r="JYR15" s="101"/>
      <c r="JYS15" s="101"/>
      <c r="JYT15" s="101"/>
      <c r="JYU15" s="101"/>
      <c r="JYV15" s="101"/>
      <c r="JYW15" s="101"/>
      <c r="JYX15" s="101"/>
      <c r="JYY15" s="101"/>
      <c r="JYZ15" s="101"/>
      <c r="JZA15" s="101"/>
      <c r="JZB15" s="101"/>
      <c r="JZC15" s="101"/>
      <c r="JZD15" s="101"/>
      <c r="JZE15" s="101"/>
      <c r="JZF15" s="101"/>
      <c r="JZG15" s="101"/>
      <c r="JZH15" s="101"/>
      <c r="JZI15" s="101"/>
      <c r="JZJ15" s="101"/>
      <c r="JZK15" s="101"/>
      <c r="JZL15" s="101"/>
      <c r="JZM15" s="101"/>
      <c r="JZN15" s="101"/>
      <c r="JZO15" s="101"/>
      <c r="JZP15" s="101"/>
      <c r="JZQ15" s="101"/>
      <c r="JZR15" s="101"/>
      <c r="JZS15" s="101"/>
      <c r="JZT15" s="101"/>
      <c r="JZU15" s="101"/>
      <c r="JZV15" s="101"/>
      <c r="JZW15" s="101"/>
      <c r="JZX15" s="101"/>
      <c r="JZY15" s="101"/>
      <c r="JZZ15" s="101"/>
      <c r="KAA15" s="101"/>
      <c r="KAB15" s="101"/>
      <c r="KAC15" s="101"/>
      <c r="KAD15" s="101"/>
      <c r="KAE15" s="101"/>
      <c r="KAF15" s="101"/>
      <c r="KAG15" s="101"/>
      <c r="KAH15" s="101"/>
      <c r="KAI15" s="101"/>
      <c r="KAJ15" s="101"/>
      <c r="KAK15" s="101"/>
      <c r="KAL15" s="101"/>
      <c r="KAM15" s="101"/>
      <c r="KAN15" s="101"/>
      <c r="KAO15" s="101"/>
      <c r="KAP15" s="101"/>
      <c r="KAQ15" s="101"/>
      <c r="KAR15" s="101"/>
      <c r="KAS15" s="101"/>
      <c r="KAT15" s="101"/>
      <c r="KAU15" s="101"/>
      <c r="KAV15" s="101"/>
      <c r="KAW15" s="101"/>
      <c r="KAX15" s="101"/>
      <c r="KAY15" s="101"/>
      <c r="KAZ15" s="101"/>
      <c r="KBA15" s="101"/>
      <c r="KBB15" s="101"/>
      <c r="KBC15" s="101"/>
      <c r="KBD15" s="101"/>
      <c r="KBE15" s="101"/>
      <c r="KBF15" s="101"/>
      <c r="KBG15" s="101"/>
      <c r="KBH15" s="101"/>
      <c r="KBI15" s="101"/>
      <c r="KBJ15" s="101"/>
      <c r="KBK15" s="101"/>
      <c r="KBL15" s="101"/>
      <c r="KBM15" s="101"/>
      <c r="KBN15" s="101"/>
      <c r="KBO15" s="101"/>
      <c r="KBP15" s="101"/>
      <c r="KBQ15" s="101"/>
      <c r="KBR15" s="101"/>
      <c r="KBS15" s="101"/>
      <c r="KBT15" s="101"/>
      <c r="KBU15" s="101"/>
      <c r="KBV15" s="101"/>
      <c r="KBW15" s="101"/>
      <c r="KBX15" s="101"/>
      <c r="KBY15" s="101"/>
      <c r="KBZ15" s="101"/>
      <c r="KCA15" s="101"/>
      <c r="KCB15" s="101"/>
      <c r="KCC15" s="101"/>
      <c r="KCD15" s="101"/>
      <c r="KCE15" s="101"/>
      <c r="KCF15" s="101"/>
      <c r="KCG15" s="101"/>
      <c r="KCH15" s="101"/>
      <c r="KCI15" s="101"/>
      <c r="KCJ15" s="101"/>
      <c r="KCK15" s="101"/>
      <c r="KCL15" s="101"/>
      <c r="KCM15" s="101"/>
      <c r="KCN15" s="101"/>
      <c r="KCO15" s="101"/>
      <c r="KCP15" s="101"/>
      <c r="KCQ15" s="101"/>
      <c r="KCR15" s="101"/>
      <c r="KCS15" s="101"/>
      <c r="KCT15" s="101"/>
      <c r="KCU15" s="101"/>
      <c r="KCV15" s="101"/>
      <c r="KCW15" s="101"/>
      <c r="KCX15" s="101"/>
      <c r="KCY15" s="101"/>
      <c r="KCZ15" s="101"/>
      <c r="KDA15" s="101"/>
      <c r="KDB15" s="101"/>
      <c r="KDC15" s="101"/>
      <c r="KDD15" s="101"/>
      <c r="KDE15" s="101"/>
      <c r="KDF15" s="101"/>
      <c r="KDG15" s="101"/>
      <c r="KDH15" s="101"/>
      <c r="KDI15" s="101"/>
      <c r="KDJ15" s="101"/>
      <c r="KDK15" s="101"/>
      <c r="KDL15" s="101"/>
      <c r="KDM15" s="101"/>
      <c r="KDN15" s="101"/>
      <c r="KDO15" s="101"/>
      <c r="KDP15" s="101"/>
      <c r="KDQ15" s="101"/>
      <c r="KDR15" s="101"/>
      <c r="KDS15" s="101"/>
      <c r="KDT15" s="101"/>
      <c r="KDU15" s="101"/>
      <c r="KDV15" s="101"/>
      <c r="KDW15" s="101"/>
      <c r="KDX15" s="101"/>
      <c r="KDY15" s="101"/>
      <c r="KDZ15" s="101"/>
      <c r="KEA15" s="101"/>
      <c r="KEB15" s="101"/>
      <c r="KEC15" s="101"/>
      <c r="KED15" s="101"/>
      <c r="KEE15" s="101"/>
      <c r="KEF15" s="101"/>
      <c r="KEG15" s="101"/>
      <c r="KEH15" s="101"/>
      <c r="KEI15" s="101"/>
      <c r="KEJ15" s="101"/>
      <c r="KEK15" s="101"/>
      <c r="KEL15" s="101"/>
      <c r="KEM15" s="101"/>
      <c r="KEN15" s="101"/>
      <c r="KEO15" s="101"/>
      <c r="KEP15" s="101"/>
      <c r="KEQ15" s="101"/>
      <c r="KER15" s="101"/>
      <c r="KES15" s="101"/>
      <c r="KET15" s="101"/>
      <c r="KEU15" s="101"/>
      <c r="KEV15" s="101"/>
      <c r="KEW15" s="101"/>
      <c r="KEX15" s="101"/>
      <c r="KEY15" s="101"/>
      <c r="KEZ15" s="101"/>
      <c r="KFA15" s="101"/>
      <c r="KFB15" s="101"/>
      <c r="KFC15" s="101"/>
      <c r="KFD15" s="101"/>
      <c r="KFE15" s="101"/>
      <c r="KFF15" s="101"/>
      <c r="KFG15" s="101"/>
      <c r="KFH15" s="101"/>
      <c r="KFI15" s="101"/>
      <c r="KFJ15" s="101"/>
      <c r="KFK15" s="101"/>
      <c r="KFL15" s="101"/>
      <c r="KFM15" s="101"/>
      <c r="KFN15" s="101"/>
      <c r="KFO15" s="101"/>
      <c r="KFP15" s="101"/>
      <c r="KFQ15" s="101"/>
      <c r="KFR15" s="101"/>
      <c r="KFS15" s="101"/>
      <c r="KFT15" s="101"/>
      <c r="KFU15" s="101"/>
      <c r="KFV15" s="101"/>
      <c r="KFW15" s="101"/>
      <c r="KFX15" s="101"/>
      <c r="KFY15" s="101"/>
      <c r="KFZ15" s="101"/>
      <c r="KGA15" s="101"/>
      <c r="KGB15" s="101"/>
      <c r="KGC15" s="101"/>
      <c r="KGD15" s="101"/>
      <c r="KGE15" s="101"/>
      <c r="KGF15" s="101"/>
      <c r="KGG15" s="101"/>
      <c r="KGH15" s="101"/>
      <c r="KGI15" s="101"/>
      <c r="KGJ15" s="101"/>
      <c r="KGK15" s="101"/>
      <c r="KGL15" s="101"/>
      <c r="KGM15" s="101"/>
      <c r="KGN15" s="101"/>
      <c r="KGO15" s="101"/>
      <c r="KGP15" s="101"/>
      <c r="KGQ15" s="101"/>
      <c r="KGR15" s="101"/>
      <c r="KGS15" s="101"/>
      <c r="KGT15" s="101"/>
      <c r="KGU15" s="101"/>
      <c r="KGV15" s="101"/>
      <c r="KGW15" s="101"/>
      <c r="KGX15" s="101"/>
      <c r="KGY15" s="101"/>
      <c r="KGZ15" s="101"/>
      <c r="KHA15" s="101"/>
      <c r="KHB15" s="101"/>
      <c r="KHC15" s="101"/>
      <c r="KHD15" s="101"/>
      <c r="KHE15" s="101"/>
      <c r="KHF15" s="101"/>
      <c r="KHG15" s="101"/>
      <c r="KHH15" s="101"/>
      <c r="KHI15" s="101"/>
      <c r="KHJ15" s="101"/>
      <c r="KHK15" s="101"/>
      <c r="KHL15" s="101"/>
      <c r="KHM15" s="101"/>
      <c r="KHN15" s="101"/>
      <c r="KHO15" s="101"/>
      <c r="KHP15" s="101"/>
      <c r="KHQ15" s="101"/>
      <c r="KHR15" s="101"/>
      <c r="KHS15" s="101"/>
      <c r="KHT15" s="101"/>
      <c r="KHU15" s="101"/>
      <c r="KHV15" s="101"/>
      <c r="KHW15" s="101"/>
      <c r="KHX15" s="101"/>
      <c r="KHY15" s="101"/>
      <c r="KHZ15" s="101"/>
      <c r="KIA15" s="101"/>
      <c r="KIB15" s="101"/>
      <c r="KIC15" s="101"/>
      <c r="KID15" s="101"/>
      <c r="KIE15" s="101"/>
      <c r="KIF15" s="101"/>
      <c r="KIG15" s="101"/>
      <c r="KIH15" s="101"/>
      <c r="KII15" s="101"/>
      <c r="KIJ15" s="101"/>
      <c r="KIK15" s="101"/>
      <c r="KIL15" s="101"/>
      <c r="KIM15" s="101"/>
      <c r="KIN15" s="101"/>
      <c r="KIO15" s="101"/>
      <c r="KIP15" s="101"/>
      <c r="KIQ15" s="101"/>
      <c r="KIR15" s="101"/>
      <c r="KIS15" s="101"/>
      <c r="KIT15" s="101"/>
      <c r="KIU15" s="101"/>
      <c r="KIV15" s="101"/>
      <c r="KIW15" s="101"/>
      <c r="KIX15" s="101"/>
      <c r="KIY15" s="101"/>
      <c r="KIZ15" s="101"/>
      <c r="KJA15" s="101"/>
      <c r="KJB15" s="101"/>
      <c r="KJC15" s="101"/>
      <c r="KJD15" s="101"/>
      <c r="KJE15" s="101"/>
      <c r="KJF15" s="101"/>
      <c r="KJG15" s="101"/>
      <c r="KJH15" s="101"/>
      <c r="KJI15" s="101"/>
      <c r="KJJ15" s="101"/>
      <c r="KJK15" s="101"/>
      <c r="KJL15" s="101"/>
      <c r="KJM15" s="101"/>
      <c r="KJN15" s="101"/>
      <c r="KJO15" s="101"/>
      <c r="KJP15" s="101"/>
      <c r="KJQ15" s="101"/>
      <c r="KJR15" s="101"/>
      <c r="KJS15" s="101"/>
      <c r="KJT15" s="101"/>
      <c r="KJU15" s="101"/>
      <c r="KJV15" s="101"/>
      <c r="KJW15" s="101"/>
      <c r="KJX15" s="101"/>
      <c r="KJY15" s="101"/>
      <c r="KJZ15" s="101"/>
      <c r="KKA15" s="101"/>
      <c r="KKB15" s="101"/>
      <c r="KKC15" s="101"/>
      <c r="KKD15" s="101"/>
      <c r="KKE15" s="101"/>
      <c r="KKF15" s="101"/>
      <c r="KKG15" s="101"/>
      <c r="KKH15" s="101"/>
      <c r="KKI15" s="101"/>
      <c r="KKJ15" s="101"/>
      <c r="KKK15" s="101"/>
      <c r="KKL15" s="101"/>
      <c r="KKM15" s="101"/>
      <c r="KKN15" s="101"/>
      <c r="KKO15" s="101"/>
      <c r="KKP15" s="101"/>
      <c r="KKQ15" s="101"/>
      <c r="KKR15" s="101"/>
      <c r="KKS15" s="101"/>
      <c r="KKT15" s="101"/>
      <c r="KKU15" s="101"/>
      <c r="KKV15" s="101"/>
      <c r="KKW15" s="101"/>
      <c r="KKX15" s="101"/>
      <c r="KKY15" s="101"/>
      <c r="KKZ15" s="101"/>
      <c r="KLA15" s="101"/>
      <c r="KLB15" s="101"/>
      <c r="KLC15" s="101"/>
      <c r="KLD15" s="101"/>
      <c r="KLE15" s="101"/>
      <c r="KLF15" s="101"/>
      <c r="KLG15" s="101"/>
      <c r="KLH15" s="101"/>
      <c r="KLI15" s="101"/>
      <c r="KLJ15" s="101"/>
      <c r="KLK15" s="101"/>
      <c r="KLL15" s="101"/>
      <c r="KLM15" s="101"/>
      <c r="KLN15" s="101"/>
      <c r="KLO15" s="101"/>
      <c r="KLP15" s="101"/>
      <c r="KLQ15" s="101"/>
      <c r="KLR15" s="101"/>
      <c r="KLS15" s="101"/>
      <c r="KLT15" s="101"/>
      <c r="KLU15" s="101"/>
      <c r="KLV15" s="101"/>
      <c r="KLW15" s="101"/>
      <c r="KLX15" s="101"/>
      <c r="KLY15" s="101"/>
      <c r="KLZ15" s="101"/>
      <c r="KMA15" s="101"/>
      <c r="KMB15" s="101"/>
      <c r="KMC15" s="101"/>
      <c r="KMD15" s="101"/>
      <c r="KME15" s="101"/>
      <c r="KMF15" s="101"/>
      <c r="KMG15" s="101"/>
      <c r="KMH15" s="101"/>
      <c r="KMI15" s="101"/>
      <c r="KMJ15" s="101"/>
      <c r="KMK15" s="101"/>
      <c r="KML15" s="101"/>
      <c r="KMM15" s="101"/>
      <c r="KMN15" s="101"/>
      <c r="KMO15" s="101"/>
      <c r="KMP15" s="101"/>
      <c r="KMQ15" s="101"/>
      <c r="KMR15" s="101"/>
      <c r="KMS15" s="101"/>
      <c r="KMT15" s="101"/>
      <c r="KMU15" s="101"/>
      <c r="KMV15" s="101"/>
      <c r="KMW15" s="101"/>
      <c r="KMX15" s="101"/>
      <c r="KMY15" s="101"/>
      <c r="KMZ15" s="101"/>
      <c r="KNA15" s="101"/>
      <c r="KNB15" s="101"/>
      <c r="KNC15" s="101"/>
      <c r="KND15" s="101"/>
      <c r="KNE15" s="101"/>
      <c r="KNF15" s="101"/>
      <c r="KNG15" s="101"/>
      <c r="KNH15" s="101"/>
      <c r="KNI15" s="101"/>
      <c r="KNJ15" s="101"/>
      <c r="KNK15" s="101"/>
      <c r="KNL15" s="101"/>
      <c r="KNM15" s="101"/>
      <c r="KNN15" s="101"/>
      <c r="KNO15" s="101"/>
      <c r="KNP15" s="101"/>
      <c r="KNQ15" s="101"/>
      <c r="KNR15" s="101"/>
      <c r="KNS15" s="101"/>
      <c r="KNT15" s="101"/>
      <c r="KNU15" s="101"/>
      <c r="KNV15" s="101"/>
      <c r="KNW15" s="101"/>
      <c r="KNX15" s="101"/>
      <c r="KNY15" s="101"/>
      <c r="KNZ15" s="101"/>
      <c r="KOA15" s="101"/>
      <c r="KOB15" s="101"/>
      <c r="KOC15" s="101"/>
      <c r="KOD15" s="101"/>
      <c r="KOE15" s="101"/>
      <c r="KOF15" s="101"/>
      <c r="KOG15" s="101"/>
      <c r="KOH15" s="101"/>
      <c r="KOI15" s="101"/>
      <c r="KOJ15" s="101"/>
      <c r="KOK15" s="101"/>
      <c r="KOL15" s="101"/>
      <c r="KOM15" s="101"/>
      <c r="KON15" s="101"/>
      <c r="KOO15" s="101"/>
      <c r="KOP15" s="101"/>
      <c r="KOQ15" s="101"/>
      <c r="KOR15" s="101"/>
      <c r="KOS15" s="101"/>
      <c r="KOT15" s="101"/>
      <c r="KOU15" s="101"/>
      <c r="KOV15" s="101"/>
      <c r="KOW15" s="101"/>
      <c r="KOX15" s="101"/>
      <c r="KOY15" s="101"/>
      <c r="KOZ15" s="101"/>
      <c r="KPA15" s="101"/>
      <c r="KPB15" s="101"/>
      <c r="KPC15" s="101"/>
      <c r="KPD15" s="101"/>
      <c r="KPE15" s="101"/>
      <c r="KPF15" s="101"/>
      <c r="KPG15" s="101"/>
      <c r="KPH15" s="101"/>
      <c r="KPI15" s="101"/>
      <c r="KPJ15" s="101"/>
      <c r="KPK15" s="101"/>
      <c r="KPL15" s="101"/>
      <c r="KPM15" s="101"/>
      <c r="KPN15" s="101"/>
      <c r="KPO15" s="101"/>
      <c r="KPP15" s="101"/>
      <c r="KPQ15" s="101"/>
      <c r="KPR15" s="101"/>
      <c r="KPS15" s="101"/>
      <c r="KPT15" s="101"/>
      <c r="KPU15" s="101"/>
      <c r="KPV15" s="101"/>
      <c r="KPW15" s="101"/>
      <c r="KPX15" s="101"/>
      <c r="KPY15" s="101"/>
      <c r="KPZ15" s="101"/>
      <c r="KQA15" s="101"/>
      <c r="KQB15" s="101"/>
      <c r="KQC15" s="101"/>
      <c r="KQD15" s="101"/>
      <c r="KQE15" s="101"/>
      <c r="KQF15" s="101"/>
      <c r="KQG15" s="101"/>
      <c r="KQH15" s="101"/>
      <c r="KQI15" s="101"/>
      <c r="KQJ15" s="101"/>
      <c r="KQK15" s="101"/>
      <c r="KQL15" s="101"/>
      <c r="KQM15" s="101"/>
      <c r="KQN15" s="101"/>
      <c r="KQO15" s="101"/>
      <c r="KQP15" s="101"/>
      <c r="KQQ15" s="101"/>
      <c r="KQR15" s="101"/>
      <c r="KQS15" s="101"/>
      <c r="KQT15" s="101"/>
      <c r="KQU15" s="101"/>
      <c r="KQV15" s="101"/>
      <c r="KQW15" s="101"/>
      <c r="KQX15" s="101"/>
      <c r="KQY15" s="101"/>
      <c r="KQZ15" s="101"/>
      <c r="KRA15" s="101"/>
      <c r="KRB15" s="101"/>
      <c r="KRC15" s="101"/>
      <c r="KRD15" s="101"/>
      <c r="KRE15" s="101"/>
      <c r="KRF15" s="101"/>
      <c r="KRG15" s="101"/>
      <c r="KRH15" s="101"/>
      <c r="KRI15" s="101"/>
      <c r="KRJ15" s="101"/>
      <c r="KRK15" s="101"/>
      <c r="KRL15" s="101"/>
      <c r="KRM15" s="101"/>
      <c r="KRN15" s="101"/>
      <c r="KRO15" s="101"/>
      <c r="KRP15" s="101"/>
      <c r="KRQ15" s="101"/>
      <c r="KRR15" s="101"/>
      <c r="KRS15" s="101"/>
      <c r="KRT15" s="101"/>
      <c r="KRU15" s="101"/>
      <c r="KRV15" s="101"/>
      <c r="KRW15" s="101"/>
      <c r="KRX15" s="101"/>
      <c r="KRY15" s="101"/>
      <c r="KRZ15" s="101"/>
      <c r="KSA15" s="101"/>
      <c r="KSB15" s="101"/>
      <c r="KSC15" s="101"/>
      <c r="KSD15" s="101"/>
      <c r="KSE15" s="101"/>
      <c r="KSF15" s="101"/>
      <c r="KSG15" s="101"/>
      <c r="KSH15" s="101"/>
      <c r="KSI15" s="101"/>
      <c r="KSJ15" s="101"/>
      <c r="KSK15" s="101"/>
      <c r="KSL15" s="101"/>
      <c r="KSM15" s="101"/>
      <c r="KSN15" s="101"/>
      <c r="KSO15" s="101"/>
      <c r="KSP15" s="101"/>
      <c r="KSQ15" s="101"/>
      <c r="KSR15" s="101"/>
      <c r="KSS15" s="101"/>
      <c r="KST15" s="101"/>
      <c r="KSU15" s="101"/>
      <c r="KSV15" s="101"/>
      <c r="KSW15" s="101"/>
      <c r="KSX15" s="101"/>
      <c r="KSY15" s="101"/>
      <c r="KSZ15" s="101"/>
      <c r="KTA15" s="101"/>
      <c r="KTB15" s="101"/>
      <c r="KTC15" s="101"/>
      <c r="KTD15" s="101"/>
      <c r="KTE15" s="101"/>
      <c r="KTF15" s="101"/>
      <c r="KTG15" s="101"/>
      <c r="KTH15" s="101"/>
      <c r="KTI15" s="101"/>
      <c r="KTJ15" s="101"/>
      <c r="KTK15" s="101"/>
      <c r="KTL15" s="101"/>
      <c r="KTM15" s="101"/>
      <c r="KTN15" s="101"/>
      <c r="KTO15" s="101"/>
      <c r="KTP15" s="101"/>
      <c r="KTQ15" s="101"/>
      <c r="KTR15" s="101"/>
      <c r="KTS15" s="101"/>
      <c r="KTT15" s="101"/>
      <c r="KTU15" s="101"/>
      <c r="KTV15" s="101"/>
      <c r="KTW15" s="101"/>
      <c r="KTX15" s="101"/>
      <c r="KTY15" s="101"/>
      <c r="KTZ15" s="101"/>
      <c r="KUA15" s="101"/>
      <c r="KUB15" s="101"/>
      <c r="KUC15" s="101"/>
      <c r="KUD15" s="101"/>
      <c r="KUE15" s="101"/>
      <c r="KUF15" s="101"/>
      <c r="KUG15" s="101"/>
      <c r="KUH15" s="101"/>
      <c r="KUI15" s="101"/>
      <c r="KUJ15" s="101"/>
      <c r="KUK15" s="101"/>
      <c r="KUL15" s="101"/>
      <c r="KUM15" s="101"/>
      <c r="KUN15" s="101"/>
      <c r="KUO15" s="101"/>
      <c r="KUP15" s="101"/>
      <c r="KUQ15" s="101"/>
      <c r="KUR15" s="101"/>
      <c r="KUS15" s="101"/>
      <c r="KUT15" s="101"/>
      <c r="KUU15" s="101"/>
      <c r="KUV15" s="101"/>
      <c r="KUW15" s="101"/>
      <c r="KUX15" s="101"/>
      <c r="KUY15" s="101"/>
      <c r="KUZ15" s="101"/>
      <c r="KVA15" s="101"/>
      <c r="KVB15" s="101"/>
      <c r="KVC15" s="101"/>
      <c r="KVD15" s="101"/>
      <c r="KVE15" s="101"/>
      <c r="KVF15" s="101"/>
      <c r="KVG15" s="101"/>
      <c r="KVH15" s="101"/>
      <c r="KVI15" s="101"/>
      <c r="KVJ15" s="101"/>
      <c r="KVK15" s="101"/>
      <c r="KVL15" s="101"/>
      <c r="KVM15" s="101"/>
      <c r="KVN15" s="101"/>
      <c r="KVO15" s="101"/>
      <c r="KVP15" s="101"/>
      <c r="KVQ15" s="101"/>
      <c r="KVR15" s="101"/>
      <c r="KVS15" s="101"/>
      <c r="KVT15" s="101"/>
      <c r="KVU15" s="101"/>
      <c r="KVV15" s="101"/>
      <c r="KVW15" s="101"/>
      <c r="KVX15" s="101"/>
      <c r="KVY15" s="101"/>
      <c r="KVZ15" s="101"/>
      <c r="KWA15" s="101"/>
      <c r="KWB15" s="101"/>
      <c r="KWC15" s="101"/>
      <c r="KWD15" s="101"/>
      <c r="KWE15" s="101"/>
      <c r="KWF15" s="101"/>
      <c r="KWG15" s="101"/>
      <c r="KWH15" s="101"/>
      <c r="KWI15" s="101"/>
      <c r="KWJ15" s="101"/>
      <c r="KWK15" s="101"/>
      <c r="KWL15" s="101"/>
      <c r="KWM15" s="101"/>
      <c r="KWN15" s="101"/>
      <c r="KWO15" s="101"/>
      <c r="KWP15" s="101"/>
      <c r="KWQ15" s="101"/>
      <c r="KWR15" s="101"/>
      <c r="KWS15" s="101"/>
      <c r="KWT15" s="101"/>
      <c r="KWU15" s="101"/>
      <c r="KWV15" s="101"/>
      <c r="KWW15" s="101"/>
      <c r="KWX15" s="101"/>
      <c r="KWY15" s="101"/>
      <c r="KWZ15" s="101"/>
      <c r="KXA15" s="101"/>
      <c r="KXB15" s="101"/>
      <c r="KXC15" s="101"/>
      <c r="KXD15" s="101"/>
      <c r="KXE15" s="101"/>
      <c r="KXF15" s="101"/>
      <c r="KXG15" s="101"/>
      <c r="KXH15" s="101"/>
      <c r="KXI15" s="101"/>
      <c r="KXJ15" s="101"/>
      <c r="KXK15" s="101"/>
      <c r="KXL15" s="101"/>
      <c r="KXM15" s="101"/>
      <c r="KXN15" s="101"/>
      <c r="KXO15" s="101"/>
      <c r="KXP15" s="101"/>
      <c r="KXQ15" s="101"/>
      <c r="KXR15" s="101"/>
      <c r="KXS15" s="101"/>
      <c r="KXT15" s="101"/>
      <c r="KXU15" s="101"/>
      <c r="KXV15" s="101"/>
      <c r="KXW15" s="101"/>
      <c r="KXX15" s="101"/>
      <c r="KXY15" s="101"/>
      <c r="KXZ15" s="101"/>
      <c r="KYA15" s="101"/>
      <c r="KYB15" s="101"/>
      <c r="KYC15" s="101"/>
      <c r="KYD15" s="101"/>
      <c r="KYE15" s="101"/>
      <c r="KYF15" s="101"/>
      <c r="KYG15" s="101"/>
      <c r="KYH15" s="101"/>
      <c r="KYI15" s="101"/>
      <c r="KYJ15" s="101"/>
      <c r="KYK15" s="101"/>
      <c r="KYL15" s="101"/>
      <c r="KYM15" s="101"/>
      <c r="KYN15" s="101"/>
      <c r="KYO15" s="101"/>
      <c r="KYP15" s="101"/>
      <c r="KYQ15" s="101"/>
      <c r="KYR15" s="101"/>
      <c r="KYS15" s="101"/>
      <c r="KYT15" s="101"/>
      <c r="KYU15" s="101"/>
      <c r="KYV15" s="101"/>
      <c r="KYW15" s="101"/>
      <c r="KYX15" s="101"/>
      <c r="KYY15" s="101"/>
      <c r="KYZ15" s="101"/>
      <c r="KZA15" s="101"/>
      <c r="KZB15" s="101"/>
      <c r="KZC15" s="101"/>
      <c r="KZD15" s="101"/>
      <c r="KZE15" s="101"/>
      <c r="KZF15" s="101"/>
      <c r="KZG15" s="101"/>
      <c r="KZH15" s="101"/>
      <c r="KZI15" s="101"/>
      <c r="KZJ15" s="101"/>
      <c r="KZK15" s="101"/>
      <c r="KZL15" s="101"/>
      <c r="KZM15" s="101"/>
      <c r="KZN15" s="101"/>
      <c r="KZO15" s="101"/>
      <c r="KZP15" s="101"/>
      <c r="KZQ15" s="101"/>
      <c r="KZR15" s="101"/>
      <c r="KZS15" s="101"/>
      <c r="KZT15" s="101"/>
      <c r="KZU15" s="101"/>
      <c r="KZV15" s="101"/>
      <c r="KZW15" s="101"/>
      <c r="KZX15" s="101"/>
      <c r="KZY15" s="101"/>
      <c r="KZZ15" s="101"/>
      <c r="LAA15" s="101"/>
      <c r="LAB15" s="101"/>
      <c r="LAC15" s="101"/>
      <c r="LAD15" s="101"/>
      <c r="LAE15" s="101"/>
      <c r="LAF15" s="101"/>
      <c r="LAG15" s="101"/>
      <c r="LAH15" s="101"/>
      <c r="LAI15" s="101"/>
      <c r="LAJ15" s="101"/>
      <c r="LAK15" s="101"/>
      <c r="LAL15" s="101"/>
      <c r="LAM15" s="101"/>
      <c r="LAN15" s="101"/>
      <c r="LAO15" s="101"/>
      <c r="LAP15" s="101"/>
      <c r="LAQ15" s="101"/>
      <c r="LAR15" s="101"/>
      <c r="LAS15" s="101"/>
      <c r="LAT15" s="101"/>
      <c r="LAU15" s="101"/>
      <c r="LAV15" s="101"/>
      <c r="LAW15" s="101"/>
      <c r="LAX15" s="101"/>
      <c r="LAY15" s="101"/>
      <c r="LAZ15" s="101"/>
      <c r="LBA15" s="101"/>
      <c r="LBB15" s="101"/>
      <c r="LBC15" s="101"/>
      <c r="LBD15" s="101"/>
      <c r="LBE15" s="101"/>
      <c r="LBF15" s="101"/>
      <c r="LBG15" s="101"/>
      <c r="LBH15" s="101"/>
      <c r="LBI15" s="101"/>
      <c r="LBJ15" s="101"/>
      <c r="LBK15" s="101"/>
      <c r="LBL15" s="101"/>
      <c r="LBM15" s="101"/>
      <c r="LBN15" s="101"/>
      <c r="LBO15" s="101"/>
      <c r="LBP15" s="101"/>
      <c r="LBQ15" s="101"/>
      <c r="LBR15" s="101"/>
      <c r="LBS15" s="101"/>
      <c r="LBT15" s="101"/>
      <c r="LBU15" s="101"/>
      <c r="LBV15" s="101"/>
      <c r="LBW15" s="101"/>
      <c r="LBX15" s="101"/>
      <c r="LBY15" s="101"/>
      <c r="LBZ15" s="101"/>
      <c r="LCA15" s="101"/>
      <c r="LCB15" s="101"/>
      <c r="LCC15" s="101"/>
      <c r="LCD15" s="101"/>
      <c r="LCE15" s="101"/>
      <c r="LCF15" s="101"/>
      <c r="LCG15" s="101"/>
      <c r="LCH15" s="101"/>
      <c r="LCI15" s="101"/>
      <c r="LCJ15" s="101"/>
      <c r="LCK15" s="101"/>
      <c r="LCL15" s="101"/>
      <c r="LCM15" s="101"/>
      <c r="LCN15" s="101"/>
      <c r="LCO15" s="101"/>
      <c r="LCP15" s="101"/>
      <c r="LCQ15" s="101"/>
      <c r="LCR15" s="101"/>
      <c r="LCS15" s="101"/>
      <c r="LCT15" s="101"/>
      <c r="LCU15" s="101"/>
      <c r="LCV15" s="101"/>
      <c r="LCW15" s="101"/>
      <c r="LCX15" s="101"/>
      <c r="LCY15" s="101"/>
      <c r="LCZ15" s="101"/>
      <c r="LDA15" s="101"/>
      <c r="LDB15" s="101"/>
      <c r="LDC15" s="101"/>
      <c r="LDD15" s="101"/>
      <c r="LDE15" s="101"/>
      <c r="LDF15" s="101"/>
      <c r="LDG15" s="101"/>
      <c r="LDH15" s="101"/>
      <c r="LDI15" s="101"/>
      <c r="LDJ15" s="101"/>
      <c r="LDK15" s="101"/>
      <c r="LDL15" s="101"/>
      <c r="LDM15" s="101"/>
      <c r="LDN15" s="101"/>
      <c r="LDO15" s="101"/>
      <c r="LDP15" s="101"/>
      <c r="LDQ15" s="101"/>
      <c r="LDR15" s="101"/>
      <c r="LDS15" s="101"/>
      <c r="LDT15" s="101"/>
      <c r="LDU15" s="101"/>
      <c r="LDV15" s="101"/>
      <c r="LDW15" s="101"/>
      <c r="LDX15" s="101"/>
      <c r="LDY15" s="101"/>
      <c r="LDZ15" s="101"/>
      <c r="LEA15" s="101"/>
      <c r="LEB15" s="101"/>
      <c r="LEC15" s="101"/>
      <c r="LED15" s="101"/>
      <c r="LEE15" s="101"/>
      <c r="LEF15" s="101"/>
      <c r="LEG15" s="101"/>
      <c r="LEH15" s="101"/>
      <c r="LEI15" s="101"/>
      <c r="LEJ15" s="101"/>
      <c r="LEK15" s="101"/>
      <c r="LEL15" s="101"/>
      <c r="LEM15" s="101"/>
      <c r="LEN15" s="101"/>
      <c r="LEO15" s="101"/>
      <c r="LEP15" s="101"/>
      <c r="LEQ15" s="101"/>
      <c r="LER15" s="101"/>
      <c r="LES15" s="101"/>
      <c r="LET15" s="101"/>
      <c r="LEU15" s="101"/>
      <c r="LEV15" s="101"/>
      <c r="LEW15" s="101"/>
      <c r="LEX15" s="101"/>
      <c r="LEY15" s="101"/>
      <c r="LEZ15" s="101"/>
      <c r="LFA15" s="101"/>
      <c r="LFB15" s="101"/>
      <c r="LFC15" s="101"/>
      <c r="LFD15" s="101"/>
      <c r="LFE15" s="101"/>
      <c r="LFF15" s="101"/>
      <c r="LFG15" s="101"/>
      <c r="LFH15" s="101"/>
      <c r="LFI15" s="101"/>
      <c r="LFJ15" s="101"/>
      <c r="LFK15" s="101"/>
      <c r="LFL15" s="101"/>
      <c r="LFM15" s="101"/>
      <c r="LFN15" s="101"/>
      <c r="LFO15" s="101"/>
      <c r="LFP15" s="101"/>
      <c r="LFQ15" s="101"/>
      <c r="LFR15" s="101"/>
      <c r="LFS15" s="101"/>
      <c r="LFT15" s="101"/>
      <c r="LFU15" s="101"/>
      <c r="LFV15" s="101"/>
      <c r="LFW15" s="101"/>
      <c r="LFX15" s="101"/>
      <c r="LFY15" s="101"/>
      <c r="LFZ15" s="101"/>
      <c r="LGA15" s="101"/>
      <c r="LGB15" s="101"/>
      <c r="LGC15" s="101"/>
      <c r="LGD15" s="101"/>
      <c r="LGE15" s="101"/>
      <c r="LGF15" s="101"/>
      <c r="LGG15" s="101"/>
      <c r="LGH15" s="101"/>
      <c r="LGI15" s="101"/>
      <c r="LGJ15" s="101"/>
      <c r="LGK15" s="101"/>
      <c r="LGL15" s="101"/>
      <c r="LGM15" s="101"/>
      <c r="LGN15" s="101"/>
      <c r="LGO15" s="101"/>
      <c r="LGP15" s="101"/>
      <c r="LGQ15" s="101"/>
      <c r="LGR15" s="101"/>
      <c r="LGS15" s="101"/>
      <c r="LGT15" s="101"/>
      <c r="LGU15" s="101"/>
      <c r="LGV15" s="101"/>
      <c r="LGW15" s="101"/>
      <c r="LGX15" s="101"/>
      <c r="LGY15" s="101"/>
      <c r="LGZ15" s="101"/>
      <c r="LHA15" s="101"/>
      <c r="LHB15" s="101"/>
      <c r="LHC15" s="101"/>
      <c r="LHD15" s="101"/>
      <c r="LHE15" s="101"/>
      <c r="LHF15" s="101"/>
      <c r="LHG15" s="101"/>
      <c r="LHH15" s="101"/>
      <c r="LHI15" s="101"/>
      <c r="LHJ15" s="101"/>
      <c r="LHK15" s="101"/>
      <c r="LHL15" s="101"/>
      <c r="LHM15" s="101"/>
      <c r="LHN15" s="101"/>
      <c r="LHO15" s="101"/>
      <c r="LHP15" s="101"/>
      <c r="LHQ15" s="101"/>
      <c r="LHR15" s="101"/>
      <c r="LHS15" s="101"/>
      <c r="LHT15" s="101"/>
      <c r="LHU15" s="101"/>
      <c r="LHV15" s="101"/>
      <c r="LHW15" s="101"/>
      <c r="LHX15" s="101"/>
      <c r="LHY15" s="101"/>
      <c r="LHZ15" s="101"/>
      <c r="LIA15" s="101"/>
      <c r="LIB15" s="101"/>
      <c r="LIC15" s="101"/>
      <c r="LID15" s="101"/>
      <c r="LIE15" s="101"/>
      <c r="LIF15" s="101"/>
      <c r="LIG15" s="101"/>
      <c r="LIH15" s="101"/>
      <c r="LII15" s="101"/>
      <c r="LIJ15" s="101"/>
      <c r="LIK15" s="101"/>
      <c r="LIL15" s="101"/>
      <c r="LIM15" s="101"/>
      <c r="LIN15" s="101"/>
      <c r="LIO15" s="101"/>
      <c r="LIP15" s="101"/>
      <c r="LIQ15" s="101"/>
      <c r="LIR15" s="101"/>
      <c r="LIS15" s="101"/>
      <c r="LIT15" s="101"/>
      <c r="LIU15" s="101"/>
      <c r="LIV15" s="101"/>
      <c r="LIW15" s="101"/>
      <c r="LIX15" s="101"/>
      <c r="LIY15" s="101"/>
      <c r="LIZ15" s="101"/>
      <c r="LJA15" s="101"/>
      <c r="LJB15" s="101"/>
      <c r="LJC15" s="101"/>
      <c r="LJD15" s="101"/>
      <c r="LJE15" s="101"/>
      <c r="LJF15" s="101"/>
      <c r="LJG15" s="101"/>
      <c r="LJH15" s="101"/>
      <c r="LJI15" s="101"/>
      <c r="LJJ15" s="101"/>
      <c r="LJK15" s="101"/>
      <c r="LJL15" s="101"/>
      <c r="LJM15" s="101"/>
      <c r="LJN15" s="101"/>
      <c r="LJO15" s="101"/>
      <c r="LJP15" s="101"/>
      <c r="LJQ15" s="101"/>
      <c r="LJR15" s="101"/>
      <c r="LJS15" s="101"/>
      <c r="LJT15" s="101"/>
      <c r="LJU15" s="101"/>
      <c r="LJV15" s="101"/>
      <c r="LJW15" s="101"/>
      <c r="LJX15" s="101"/>
      <c r="LJY15" s="101"/>
      <c r="LJZ15" s="101"/>
      <c r="LKA15" s="101"/>
      <c r="LKB15" s="101"/>
      <c r="LKC15" s="101"/>
      <c r="LKD15" s="101"/>
      <c r="LKE15" s="101"/>
      <c r="LKF15" s="101"/>
      <c r="LKG15" s="101"/>
      <c r="LKH15" s="101"/>
      <c r="LKI15" s="101"/>
      <c r="LKJ15" s="101"/>
      <c r="LKK15" s="101"/>
      <c r="LKL15" s="101"/>
      <c r="LKM15" s="101"/>
      <c r="LKN15" s="101"/>
      <c r="LKO15" s="101"/>
      <c r="LKP15" s="101"/>
      <c r="LKQ15" s="101"/>
      <c r="LKR15" s="101"/>
      <c r="LKS15" s="101"/>
      <c r="LKT15" s="101"/>
      <c r="LKU15" s="101"/>
      <c r="LKV15" s="101"/>
      <c r="LKW15" s="101"/>
      <c r="LKX15" s="101"/>
      <c r="LKY15" s="101"/>
      <c r="LKZ15" s="101"/>
      <c r="LLA15" s="101"/>
      <c r="LLB15" s="101"/>
      <c r="LLC15" s="101"/>
      <c r="LLD15" s="101"/>
      <c r="LLE15" s="101"/>
      <c r="LLF15" s="101"/>
      <c r="LLG15" s="101"/>
      <c r="LLH15" s="101"/>
      <c r="LLI15" s="101"/>
      <c r="LLJ15" s="101"/>
      <c r="LLK15" s="101"/>
      <c r="LLL15" s="101"/>
      <c r="LLM15" s="101"/>
      <c r="LLN15" s="101"/>
      <c r="LLO15" s="101"/>
      <c r="LLP15" s="101"/>
      <c r="LLQ15" s="101"/>
      <c r="LLR15" s="101"/>
      <c r="LLS15" s="101"/>
      <c r="LLT15" s="101"/>
      <c r="LLU15" s="101"/>
      <c r="LLV15" s="101"/>
      <c r="LLW15" s="101"/>
      <c r="LLX15" s="101"/>
      <c r="LLY15" s="101"/>
      <c r="LLZ15" s="101"/>
      <c r="LMA15" s="101"/>
      <c r="LMB15" s="101"/>
      <c r="LMC15" s="101"/>
      <c r="LMD15" s="101"/>
      <c r="LME15" s="101"/>
      <c r="LMF15" s="101"/>
      <c r="LMG15" s="101"/>
      <c r="LMH15" s="101"/>
      <c r="LMI15" s="101"/>
      <c r="LMJ15" s="101"/>
      <c r="LMK15" s="101"/>
      <c r="LML15" s="101"/>
      <c r="LMM15" s="101"/>
      <c r="LMN15" s="101"/>
      <c r="LMO15" s="101"/>
      <c r="LMP15" s="101"/>
      <c r="LMQ15" s="101"/>
      <c r="LMR15" s="101"/>
      <c r="LMS15" s="101"/>
      <c r="LMT15" s="101"/>
      <c r="LMU15" s="101"/>
      <c r="LMV15" s="101"/>
      <c r="LMW15" s="101"/>
      <c r="LMX15" s="101"/>
      <c r="LMY15" s="101"/>
      <c r="LMZ15" s="101"/>
      <c r="LNA15" s="101"/>
      <c r="LNB15" s="101"/>
      <c r="LNC15" s="101"/>
      <c r="LND15" s="101"/>
      <c r="LNE15" s="101"/>
      <c r="LNF15" s="101"/>
      <c r="LNG15" s="101"/>
      <c r="LNH15" s="101"/>
      <c r="LNI15" s="101"/>
      <c r="LNJ15" s="101"/>
      <c r="LNK15" s="101"/>
      <c r="LNL15" s="101"/>
      <c r="LNM15" s="101"/>
      <c r="LNN15" s="101"/>
      <c r="LNO15" s="101"/>
      <c r="LNP15" s="101"/>
      <c r="LNQ15" s="101"/>
      <c r="LNR15" s="101"/>
      <c r="LNS15" s="101"/>
      <c r="LNT15" s="101"/>
      <c r="LNU15" s="101"/>
      <c r="LNV15" s="101"/>
      <c r="LNW15" s="101"/>
      <c r="LNX15" s="101"/>
      <c r="LNY15" s="101"/>
      <c r="LNZ15" s="101"/>
      <c r="LOA15" s="101"/>
      <c r="LOB15" s="101"/>
      <c r="LOC15" s="101"/>
      <c r="LOD15" s="101"/>
      <c r="LOE15" s="101"/>
      <c r="LOF15" s="101"/>
      <c r="LOG15" s="101"/>
      <c r="LOH15" s="101"/>
      <c r="LOI15" s="101"/>
      <c r="LOJ15" s="101"/>
      <c r="LOK15" s="101"/>
      <c r="LOL15" s="101"/>
      <c r="LOM15" s="101"/>
      <c r="LON15" s="101"/>
      <c r="LOO15" s="101"/>
      <c r="LOP15" s="101"/>
      <c r="LOQ15" s="101"/>
      <c r="LOR15" s="101"/>
      <c r="LOS15" s="101"/>
      <c r="LOT15" s="101"/>
      <c r="LOU15" s="101"/>
      <c r="LOV15" s="101"/>
      <c r="LOW15" s="101"/>
      <c r="LOX15" s="101"/>
      <c r="LOY15" s="101"/>
      <c r="LOZ15" s="101"/>
      <c r="LPA15" s="101"/>
      <c r="LPB15" s="101"/>
      <c r="LPC15" s="101"/>
      <c r="LPD15" s="101"/>
      <c r="LPE15" s="101"/>
      <c r="LPF15" s="101"/>
      <c r="LPG15" s="101"/>
      <c r="LPH15" s="101"/>
      <c r="LPI15" s="101"/>
      <c r="LPJ15" s="101"/>
      <c r="LPK15" s="101"/>
      <c r="LPL15" s="101"/>
      <c r="LPM15" s="101"/>
      <c r="LPN15" s="101"/>
      <c r="LPO15" s="101"/>
      <c r="LPP15" s="101"/>
      <c r="LPQ15" s="101"/>
      <c r="LPR15" s="101"/>
      <c r="LPS15" s="101"/>
      <c r="LPT15" s="101"/>
      <c r="LPU15" s="101"/>
      <c r="LPV15" s="101"/>
      <c r="LPW15" s="101"/>
      <c r="LPX15" s="101"/>
      <c r="LPY15" s="101"/>
      <c r="LPZ15" s="101"/>
      <c r="LQA15" s="101"/>
      <c r="LQB15" s="101"/>
      <c r="LQC15" s="101"/>
      <c r="LQD15" s="101"/>
      <c r="LQE15" s="101"/>
      <c r="LQF15" s="101"/>
      <c r="LQG15" s="101"/>
      <c r="LQH15" s="101"/>
      <c r="LQI15" s="101"/>
      <c r="LQJ15" s="101"/>
      <c r="LQK15" s="101"/>
      <c r="LQL15" s="101"/>
      <c r="LQM15" s="101"/>
      <c r="LQN15" s="101"/>
      <c r="LQO15" s="101"/>
      <c r="LQP15" s="101"/>
      <c r="LQQ15" s="101"/>
      <c r="LQR15" s="101"/>
      <c r="LQS15" s="101"/>
      <c r="LQT15" s="101"/>
      <c r="LQU15" s="101"/>
      <c r="LQV15" s="101"/>
      <c r="LQW15" s="101"/>
      <c r="LQX15" s="101"/>
      <c r="LQY15" s="101"/>
      <c r="LQZ15" s="101"/>
      <c r="LRA15" s="101"/>
      <c r="LRB15" s="101"/>
      <c r="LRC15" s="101"/>
      <c r="LRD15" s="101"/>
      <c r="LRE15" s="101"/>
      <c r="LRF15" s="101"/>
      <c r="LRG15" s="101"/>
      <c r="LRH15" s="101"/>
      <c r="LRI15" s="101"/>
      <c r="LRJ15" s="101"/>
      <c r="LRK15" s="101"/>
      <c r="LRL15" s="101"/>
      <c r="LRM15" s="101"/>
      <c r="LRN15" s="101"/>
      <c r="LRO15" s="101"/>
      <c r="LRP15" s="101"/>
      <c r="LRQ15" s="101"/>
      <c r="LRR15" s="101"/>
      <c r="LRS15" s="101"/>
      <c r="LRT15" s="101"/>
      <c r="LRU15" s="101"/>
      <c r="LRV15" s="101"/>
      <c r="LRW15" s="101"/>
      <c r="LRX15" s="101"/>
      <c r="LRY15" s="101"/>
      <c r="LRZ15" s="101"/>
      <c r="LSA15" s="101"/>
      <c r="LSB15" s="101"/>
      <c r="LSC15" s="101"/>
      <c r="LSD15" s="101"/>
      <c r="LSE15" s="101"/>
      <c r="LSF15" s="101"/>
      <c r="LSG15" s="101"/>
      <c r="LSH15" s="101"/>
      <c r="LSI15" s="101"/>
      <c r="LSJ15" s="101"/>
      <c r="LSK15" s="101"/>
      <c r="LSL15" s="101"/>
      <c r="LSM15" s="101"/>
      <c r="LSN15" s="101"/>
      <c r="LSO15" s="101"/>
      <c r="LSP15" s="101"/>
      <c r="LSQ15" s="101"/>
      <c r="LSR15" s="101"/>
      <c r="LSS15" s="101"/>
      <c r="LST15" s="101"/>
      <c r="LSU15" s="101"/>
      <c r="LSV15" s="101"/>
      <c r="LSW15" s="101"/>
      <c r="LSX15" s="101"/>
      <c r="LSY15" s="101"/>
      <c r="LSZ15" s="101"/>
      <c r="LTA15" s="101"/>
      <c r="LTB15" s="101"/>
      <c r="LTC15" s="101"/>
      <c r="LTD15" s="101"/>
      <c r="LTE15" s="101"/>
      <c r="LTF15" s="101"/>
      <c r="LTG15" s="101"/>
      <c r="LTH15" s="101"/>
      <c r="LTI15" s="101"/>
      <c r="LTJ15" s="101"/>
      <c r="LTK15" s="101"/>
      <c r="LTL15" s="101"/>
      <c r="LTM15" s="101"/>
      <c r="LTN15" s="101"/>
      <c r="LTO15" s="101"/>
      <c r="LTP15" s="101"/>
      <c r="LTQ15" s="101"/>
      <c r="LTR15" s="101"/>
      <c r="LTS15" s="101"/>
      <c r="LTT15" s="101"/>
      <c r="LTU15" s="101"/>
      <c r="LTV15" s="101"/>
      <c r="LTW15" s="101"/>
      <c r="LTX15" s="101"/>
      <c r="LTY15" s="101"/>
      <c r="LTZ15" s="101"/>
      <c r="LUA15" s="101"/>
      <c r="LUB15" s="101"/>
      <c r="LUC15" s="101"/>
      <c r="LUD15" s="101"/>
      <c r="LUE15" s="101"/>
      <c r="LUF15" s="101"/>
      <c r="LUG15" s="101"/>
      <c r="LUH15" s="101"/>
      <c r="LUI15" s="101"/>
      <c r="LUJ15" s="101"/>
      <c r="LUK15" s="101"/>
      <c r="LUL15" s="101"/>
      <c r="LUM15" s="101"/>
      <c r="LUN15" s="101"/>
      <c r="LUO15" s="101"/>
      <c r="LUP15" s="101"/>
      <c r="LUQ15" s="101"/>
      <c r="LUR15" s="101"/>
      <c r="LUS15" s="101"/>
      <c r="LUT15" s="101"/>
      <c r="LUU15" s="101"/>
      <c r="LUV15" s="101"/>
      <c r="LUW15" s="101"/>
      <c r="LUX15" s="101"/>
      <c r="LUY15" s="101"/>
      <c r="LUZ15" s="101"/>
      <c r="LVA15" s="101"/>
      <c r="LVB15" s="101"/>
      <c r="LVC15" s="101"/>
      <c r="LVD15" s="101"/>
      <c r="LVE15" s="101"/>
      <c r="LVF15" s="101"/>
      <c r="LVG15" s="101"/>
      <c r="LVH15" s="101"/>
      <c r="LVI15" s="101"/>
      <c r="LVJ15" s="101"/>
      <c r="LVK15" s="101"/>
      <c r="LVL15" s="101"/>
      <c r="LVM15" s="101"/>
      <c r="LVN15" s="101"/>
      <c r="LVO15" s="101"/>
      <c r="LVP15" s="101"/>
      <c r="LVQ15" s="101"/>
      <c r="LVR15" s="101"/>
      <c r="LVS15" s="101"/>
      <c r="LVT15" s="101"/>
      <c r="LVU15" s="101"/>
      <c r="LVV15" s="101"/>
      <c r="LVW15" s="101"/>
      <c r="LVX15" s="101"/>
      <c r="LVY15" s="101"/>
      <c r="LVZ15" s="101"/>
      <c r="LWA15" s="101"/>
      <c r="LWB15" s="101"/>
      <c r="LWC15" s="101"/>
      <c r="LWD15" s="101"/>
      <c r="LWE15" s="101"/>
      <c r="LWF15" s="101"/>
      <c r="LWG15" s="101"/>
      <c r="LWH15" s="101"/>
      <c r="LWI15" s="101"/>
      <c r="LWJ15" s="101"/>
      <c r="LWK15" s="101"/>
      <c r="LWL15" s="101"/>
      <c r="LWM15" s="101"/>
      <c r="LWN15" s="101"/>
      <c r="LWO15" s="101"/>
      <c r="LWP15" s="101"/>
      <c r="LWQ15" s="101"/>
      <c r="LWR15" s="101"/>
      <c r="LWS15" s="101"/>
      <c r="LWT15" s="101"/>
      <c r="LWU15" s="101"/>
      <c r="LWV15" s="101"/>
      <c r="LWW15" s="101"/>
      <c r="LWX15" s="101"/>
      <c r="LWY15" s="101"/>
      <c r="LWZ15" s="101"/>
      <c r="LXA15" s="101"/>
      <c r="LXB15" s="101"/>
      <c r="LXC15" s="101"/>
      <c r="LXD15" s="101"/>
      <c r="LXE15" s="101"/>
      <c r="LXF15" s="101"/>
      <c r="LXG15" s="101"/>
      <c r="LXH15" s="101"/>
      <c r="LXI15" s="101"/>
      <c r="LXJ15" s="101"/>
      <c r="LXK15" s="101"/>
      <c r="LXL15" s="101"/>
      <c r="LXM15" s="101"/>
      <c r="LXN15" s="101"/>
      <c r="LXO15" s="101"/>
      <c r="LXP15" s="101"/>
      <c r="LXQ15" s="101"/>
      <c r="LXR15" s="101"/>
      <c r="LXS15" s="101"/>
      <c r="LXT15" s="101"/>
      <c r="LXU15" s="101"/>
      <c r="LXV15" s="101"/>
      <c r="LXW15" s="101"/>
      <c r="LXX15" s="101"/>
      <c r="LXY15" s="101"/>
      <c r="LXZ15" s="101"/>
      <c r="LYA15" s="101"/>
      <c r="LYB15" s="101"/>
      <c r="LYC15" s="101"/>
      <c r="LYD15" s="101"/>
      <c r="LYE15" s="101"/>
      <c r="LYF15" s="101"/>
      <c r="LYG15" s="101"/>
      <c r="LYH15" s="101"/>
      <c r="LYI15" s="101"/>
      <c r="LYJ15" s="101"/>
      <c r="LYK15" s="101"/>
      <c r="LYL15" s="101"/>
      <c r="LYM15" s="101"/>
      <c r="LYN15" s="101"/>
      <c r="LYO15" s="101"/>
      <c r="LYP15" s="101"/>
      <c r="LYQ15" s="101"/>
      <c r="LYR15" s="101"/>
      <c r="LYS15" s="101"/>
      <c r="LYT15" s="101"/>
      <c r="LYU15" s="101"/>
      <c r="LYV15" s="101"/>
      <c r="LYW15" s="101"/>
      <c r="LYX15" s="101"/>
      <c r="LYY15" s="101"/>
      <c r="LYZ15" s="101"/>
      <c r="LZA15" s="101"/>
      <c r="LZB15" s="101"/>
      <c r="LZC15" s="101"/>
      <c r="LZD15" s="101"/>
      <c r="LZE15" s="101"/>
      <c r="LZF15" s="101"/>
      <c r="LZG15" s="101"/>
      <c r="LZH15" s="101"/>
      <c r="LZI15" s="101"/>
      <c r="LZJ15" s="101"/>
      <c r="LZK15" s="101"/>
      <c r="LZL15" s="101"/>
      <c r="LZM15" s="101"/>
      <c r="LZN15" s="101"/>
      <c r="LZO15" s="101"/>
      <c r="LZP15" s="101"/>
      <c r="LZQ15" s="101"/>
      <c r="LZR15" s="101"/>
      <c r="LZS15" s="101"/>
      <c r="LZT15" s="101"/>
      <c r="LZU15" s="101"/>
      <c r="LZV15" s="101"/>
      <c r="LZW15" s="101"/>
      <c r="LZX15" s="101"/>
      <c r="LZY15" s="101"/>
      <c r="LZZ15" s="101"/>
      <c r="MAA15" s="101"/>
      <c r="MAB15" s="101"/>
      <c r="MAC15" s="101"/>
      <c r="MAD15" s="101"/>
      <c r="MAE15" s="101"/>
      <c r="MAF15" s="101"/>
      <c r="MAG15" s="101"/>
      <c r="MAH15" s="101"/>
      <c r="MAI15" s="101"/>
      <c r="MAJ15" s="101"/>
      <c r="MAK15" s="101"/>
      <c r="MAL15" s="101"/>
      <c r="MAM15" s="101"/>
      <c r="MAN15" s="101"/>
      <c r="MAO15" s="101"/>
      <c r="MAP15" s="101"/>
      <c r="MAQ15" s="101"/>
      <c r="MAR15" s="101"/>
      <c r="MAS15" s="101"/>
      <c r="MAT15" s="101"/>
      <c r="MAU15" s="101"/>
      <c r="MAV15" s="101"/>
      <c r="MAW15" s="101"/>
      <c r="MAX15" s="101"/>
      <c r="MAY15" s="101"/>
      <c r="MAZ15" s="101"/>
      <c r="MBA15" s="101"/>
      <c r="MBB15" s="101"/>
      <c r="MBC15" s="101"/>
      <c r="MBD15" s="101"/>
      <c r="MBE15" s="101"/>
      <c r="MBF15" s="101"/>
      <c r="MBG15" s="101"/>
      <c r="MBH15" s="101"/>
      <c r="MBI15" s="101"/>
      <c r="MBJ15" s="101"/>
      <c r="MBK15" s="101"/>
      <c r="MBL15" s="101"/>
      <c r="MBM15" s="101"/>
      <c r="MBN15" s="101"/>
      <c r="MBO15" s="101"/>
      <c r="MBP15" s="101"/>
      <c r="MBQ15" s="101"/>
      <c r="MBR15" s="101"/>
      <c r="MBS15" s="101"/>
      <c r="MBT15" s="101"/>
      <c r="MBU15" s="101"/>
      <c r="MBV15" s="101"/>
      <c r="MBW15" s="101"/>
      <c r="MBX15" s="101"/>
      <c r="MBY15" s="101"/>
      <c r="MBZ15" s="101"/>
      <c r="MCA15" s="101"/>
      <c r="MCB15" s="101"/>
      <c r="MCC15" s="101"/>
      <c r="MCD15" s="101"/>
      <c r="MCE15" s="101"/>
      <c r="MCF15" s="101"/>
      <c r="MCG15" s="101"/>
      <c r="MCH15" s="101"/>
      <c r="MCI15" s="101"/>
      <c r="MCJ15" s="101"/>
      <c r="MCK15" s="101"/>
      <c r="MCL15" s="101"/>
      <c r="MCM15" s="101"/>
      <c r="MCN15" s="101"/>
      <c r="MCO15" s="101"/>
      <c r="MCP15" s="101"/>
      <c r="MCQ15" s="101"/>
      <c r="MCR15" s="101"/>
      <c r="MCS15" s="101"/>
      <c r="MCT15" s="101"/>
      <c r="MCU15" s="101"/>
      <c r="MCV15" s="101"/>
      <c r="MCW15" s="101"/>
      <c r="MCX15" s="101"/>
      <c r="MCY15" s="101"/>
      <c r="MCZ15" s="101"/>
      <c r="MDA15" s="101"/>
      <c r="MDB15" s="101"/>
      <c r="MDC15" s="101"/>
      <c r="MDD15" s="101"/>
      <c r="MDE15" s="101"/>
      <c r="MDF15" s="101"/>
      <c r="MDG15" s="101"/>
      <c r="MDH15" s="101"/>
      <c r="MDI15" s="101"/>
      <c r="MDJ15" s="101"/>
      <c r="MDK15" s="101"/>
      <c r="MDL15" s="101"/>
      <c r="MDM15" s="101"/>
      <c r="MDN15" s="101"/>
      <c r="MDO15" s="101"/>
      <c r="MDP15" s="101"/>
      <c r="MDQ15" s="101"/>
      <c r="MDR15" s="101"/>
      <c r="MDS15" s="101"/>
      <c r="MDT15" s="101"/>
      <c r="MDU15" s="101"/>
      <c r="MDV15" s="101"/>
      <c r="MDW15" s="101"/>
      <c r="MDX15" s="101"/>
      <c r="MDY15" s="101"/>
      <c r="MDZ15" s="101"/>
      <c r="MEA15" s="101"/>
      <c r="MEB15" s="101"/>
      <c r="MEC15" s="101"/>
      <c r="MED15" s="101"/>
      <c r="MEE15" s="101"/>
      <c r="MEF15" s="101"/>
      <c r="MEG15" s="101"/>
      <c r="MEH15" s="101"/>
      <c r="MEI15" s="101"/>
      <c r="MEJ15" s="101"/>
      <c r="MEK15" s="101"/>
      <c r="MEL15" s="101"/>
      <c r="MEM15" s="101"/>
      <c r="MEN15" s="101"/>
      <c r="MEO15" s="101"/>
      <c r="MEP15" s="101"/>
      <c r="MEQ15" s="101"/>
      <c r="MER15" s="101"/>
      <c r="MES15" s="101"/>
      <c r="MET15" s="101"/>
      <c r="MEU15" s="101"/>
      <c r="MEV15" s="101"/>
      <c r="MEW15" s="101"/>
      <c r="MEX15" s="101"/>
      <c r="MEY15" s="101"/>
      <c r="MEZ15" s="101"/>
      <c r="MFA15" s="101"/>
      <c r="MFB15" s="101"/>
      <c r="MFC15" s="101"/>
      <c r="MFD15" s="101"/>
      <c r="MFE15" s="101"/>
      <c r="MFF15" s="101"/>
      <c r="MFG15" s="101"/>
      <c r="MFH15" s="101"/>
      <c r="MFI15" s="101"/>
      <c r="MFJ15" s="101"/>
      <c r="MFK15" s="101"/>
      <c r="MFL15" s="101"/>
      <c r="MFM15" s="101"/>
      <c r="MFN15" s="101"/>
      <c r="MFO15" s="101"/>
      <c r="MFP15" s="101"/>
      <c r="MFQ15" s="101"/>
      <c r="MFR15" s="101"/>
      <c r="MFS15" s="101"/>
      <c r="MFT15" s="101"/>
      <c r="MFU15" s="101"/>
      <c r="MFV15" s="101"/>
      <c r="MFW15" s="101"/>
      <c r="MFX15" s="101"/>
      <c r="MFY15" s="101"/>
      <c r="MFZ15" s="101"/>
      <c r="MGA15" s="101"/>
      <c r="MGB15" s="101"/>
      <c r="MGC15" s="101"/>
      <c r="MGD15" s="101"/>
      <c r="MGE15" s="101"/>
      <c r="MGF15" s="101"/>
      <c r="MGG15" s="101"/>
      <c r="MGH15" s="101"/>
      <c r="MGI15" s="101"/>
      <c r="MGJ15" s="101"/>
      <c r="MGK15" s="101"/>
      <c r="MGL15" s="101"/>
      <c r="MGM15" s="101"/>
      <c r="MGN15" s="101"/>
      <c r="MGO15" s="101"/>
      <c r="MGP15" s="101"/>
      <c r="MGQ15" s="101"/>
      <c r="MGR15" s="101"/>
      <c r="MGS15" s="101"/>
      <c r="MGT15" s="101"/>
      <c r="MGU15" s="101"/>
      <c r="MGV15" s="101"/>
      <c r="MGW15" s="101"/>
      <c r="MGX15" s="101"/>
      <c r="MGY15" s="101"/>
      <c r="MGZ15" s="101"/>
      <c r="MHA15" s="101"/>
      <c r="MHB15" s="101"/>
      <c r="MHC15" s="101"/>
      <c r="MHD15" s="101"/>
      <c r="MHE15" s="101"/>
      <c r="MHF15" s="101"/>
      <c r="MHG15" s="101"/>
      <c r="MHH15" s="101"/>
      <c r="MHI15" s="101"/>
      <c r="MHJ15" s="101"/>
      <c r="MHK15" s="101"/>
      <c r="MHL15" s="101"/>
      <c r="MHM15" s="101"/>
      <c r="MHN15" s="101"/>
      <c r="MHO15" s="101"/>
      <c r="MHP15" s="101"/>
      <c r="MHQ15" s="101"/>
      <c r="MHR15" s="101"/>
      <c r="MHS15" s="101"/>
      <c r="MHT15" s="101"/>
      <c r="MHU15" s="101"/>
      <c r="MHV15" s="101"/>
      <c r="MHW15" s="101"/>
      <c r="MHX15" s="101"/>
      <c r="MHY15" s="101"/>
      <c r="MHZ15" s="101"/>
      <c r="MIA15" s="101"/>
      <c r="MIB15" s="101"/>
      <c r="MIC15" s="101"/>
      <c r="MID15" s="101"/>
      <c r="MIE15" s="101"/>
      <c r="MIF15" s="101"/>
      <c r="MIG15" s="101"/>
      <c r="MIH15" s="101"/>
      <c r="MII15" s="101"/>
      <c r="MIJ15" s="101"/>
      <c r="MIK15" s="101"/>
      <c r="MIL15" s="101"/>
      <c r="MIM15" s="101"/>
      <c r="MIN15" s="101"/>
      <c r="MIO15" s="101"/>
      <c r="MIP15" s="101"/>
      <c r="MIQ15" s="101"/>
      <c r="MIR15" s="101"/>
      <c r="MIS15" s="101"/>
      <c r="MIT15" s="101"/>
      <c r="MIU15" s="101"/>
      <c r="MIV15" s="101"/>
      <c r="MIW15" s="101"/>
      <c r="MIX15" s="101"/>
      <c r="MIY15" s="101"/>
      <c r="MIZ15" s="101"/>
      <c r="MJA15" s="101"/>
      <c r="MJB15" s="101"/>
      <c r="MJC15" s="101"/>
      <c r="MJD15" s="101"/>
      <c r="MJE15" s="101"/>
      <c r="MJF15" s="101"/>
      <c r="MJG15" s="101"/>
      <c r="MJH15" s="101"/>
      <c r="MJI15" s="101"/>
      <c r="MJJ15" s="101"/>
      <c r="MJK15" s="101"/>
      <c r="MJL15" s="101"/>
      <c r="MJM15" s="101"/>
      <c r="MJN15" s="101"/>
      <c r="MJO15" s="101"/>
      <c r="MJP15" s="101"/>
      <c r="MJQ15" s="101"/>
      <c r="MJR15" s="101"/>
      <c r="MJS15" s="101"/>
      <c r="MJT15" s="101"/>
      <c r="MJU15" s="101"/>
      <c r="MJV15" s="101"/>
      <c r="MJW15" s="101"/>
      <c r="MJX15" s="101"/>
      <c r="MJY15" s="101"/>
      <c r="MJZ15" s="101"/>
      <c r="MKA15" s="101"/>
      <c r="MKB15" s="101"/>
      <c r="MKC15" s="101"/>
      <c r="MKD15" s="101"/>
      <c r="MKE15" s="101"/>
      <c r="MKF15" s="101"/>
      <c r="MKG15" s="101"/>
      <c r="MKH15" s="101"/>
      <c r="MKI15" s="101"/>
      <c r="MKJ15" s="101"/>
      <c r="MKK15" s="101"/>
      <c r="MKL15" s="101"/>
      <c r="MKM15" s="101"/>
      <c r="MKN15" s="101"/>
      <c r="MKO15" s="101"/>
      <c r="MKP15" s="101"/>
      <c r="MKQ15" s="101"/>
      <c r="MKR15" s="101"/>
      <c r="MKS15" s="101"/>
      <c r="MKT15" s="101"/>
      <c r="MKU15" s="101"/>
      <c r="MKV15" s="101"/>
      <c r="MKW15" s="101"/>
      <c r="MKX15" s="101"/>
      <c r="MKY15" s="101"/>
      <c r="MKZ15" s="101"/>
      <c r="MLA15" s="101"/>
      <c r="MLB15" s="101"/>
      <c r="MLC15" s="101"/>
      <c r="MLD15" s="101"/>
      <c r="MLE15" s="101"/>
      <c r="MLF15" s="101"/>
      <c r="MLG15" s="101"/>
      <c r="MLH15" s="101"/>
      <c r="MLI15" s="101"/>
      <c r="MLJ15" s="101"/>
      <c r="MLK15" s="101"/>
      <c r="MLL15" s="101"/>
      <c r="MLM15" s="101"/>
      <c r="MLN15" s="101"/>
      <c r="MLO15" s="101"/>
      <c r="MLP15" s="101"/>
      <c r="MLQ15" s="101"/>
      <c r="MLR15" s="101"/>
      <c r="MLS15" s="101"/>
      <c r="MLT15" s="101"/>
      <c r="MLU15" s="101"/>
      <c r="MLV15" s="101"/>
      <c r="MLW15" s="101"/>
      <c r="MLX15" s="101"/>
      <c r="MLY15" s="101"/>
      <c r="MLZ15" s="101"/>
      <c r="MMA15" s="101"/>
      <c r="MMB15" s="101"/>
      <c r="MMC15" s="101"/>
      <c r="MMD15" s="101"/>
      <c r="MME15" s="101"/>
      <c r="MMF15" s="101"/>
      <c r="MMG15" s="101"/>
      <c r="MMH15" s="101"/>
      <c r="MMI15" s="101"/>
      <c r="MMJ15" s="101"/>
      <c r="MMK15" s="101"/>
      <c r="MML15" s="101"/>
      <c r="MMM15" s="101"/>
      <c r="MMN15" s="101"/>
      <c r="MMO15" s="101"/>
      <c r="MMP15" s="101"/>
      <c r="MMQ15" s="101"/>
      <c r="MMR15" s="101"/>
      <c r="MMS15" s="101"/>
      <c r="MMT15" s="101"/>
      <c r="MMU15" s="101"/>
      <c r="MMV15" s="101"/>
      <c r="MMW15" s="101"/>
      <c r="MMX15" s="101"/>
      <c r="MMY15" s="101"/>
      <c r="MMZ15" s="101"/>
      <c r="MNA15" s="101"/>
      <c r="MNB15" s="101"/>
      <c r="MNC15" s="101"/>
      <c r="MND15" s="101"/>
      <c r="MNE15" s="101"/>
      <c r="MNF15" s="101"/>
      <c r="MNG15" s="101"/>
      <c r="MNH15" s="101"/>
      <c r="MNI15" s="101"/>
      <c r="MNJ15" s="101"/>
      <c r="MNK15" s="101"/>
      <c r="MNL15" s="101"/>
      <c r="MNM15" s="101"/>
      <c r="MNN15" s="101"/>
      <c r="MNO15" s="101"/>
      <c r="MNP15" s="101"/>
      <c r="MNQ15" s="101"/>
      <c r="MNR15" s="101"/>
      <c r="MNS15" s="101"/>
      <c r="MNT15" s="101"/>
      <c r="MNU15" s="101"/>
      <c r="MNV15" s="101"/>
      <c r="MNW15" s="101"/>
      <c r="MNX15" s="101"/>
      <c r="MNY15" s="101"/>
      <c r="MNZ15" s="101"/>
      <c r="MOA15" s="101"/>
      <c r="MOB15" s="101"/>
      <c r="MOC15" s="101"/>
      <c r="MOD15" s="101"/>
      <c r="MOE15" s="101"/>
      <c r="MOF15" s="101"/>
      <c r="MOG15" s="101"/>
      <c r="MOH15" s="101"/>
      <c r="MOI15" s="101"/>
      <c r="MOJ15" s="101"/>
      <c r="MOK15" s="101"/>
      <c r="MOL15" s="101"/>
      <c r="MOM15" s="101"/>
      <c r="MON15" s="101"/>
      <c r="MOO15" s="101"/>
      <c r="MOP15" s="101"/>
      <c r="MOQ15" s="101"/>
      <c r="MOR15" s="101"/>
      <c r="MOS15" s="101"/>
      <c r="MOT15" s="101"/>
      <c r="MOU15" s="101"/>
      <c r="MOV15" s="101"/>
      <c r="MOW15" s="101"/>
      <c r="MOX15" s="101"/>
      <c r="MOY15" s="101"/>
      <c r="MOZ15" s="101"/>
      <c r="MPA15" s="101"/>
      <c r="MPB15" s="101"/>
      <c r="MPC15" s="101"/>
      <c r="MPD15" s="101"/>
      <c r="MPE15" s="101"/>
      <c r="MPF15" s="101"/>
      <c r="MPG15" s="101"/>
      <c r="MPH15" s="101"/>
      <c r="MPI15" s="101"/>
      <c r="MPJ15" s="101"/>
      <c r="MPK15" s="101"/>
      <c r="MPL15" s="101"/>
      <c r="MPM15" s="101"/>
      <c r="MPN15" s="101"/>
      <c r="MPO15" s="101"/>
      <c r="MPP15" s="101"/>
      <c r="MPQ15" s="101"/>
      <c r="MPR15" s="101"/>
      <c r="MPS15" s="101"/>
      <c r="MPT15" s="101"/>
      <c r="MPU15" s="101"/>
      <c r="MPV15" s="101"/>
      <c r="MPW15" s="101"/>
      <c r="MPX15" s="101"/>
      <c r="MPY15" s="101"/>
      <c r="MPZ15" s="101"/>
      <c r="MQA15" s="101"/>
      <c r="MQB15" s="101"/>
      <c r="MQC15" s="101"/>
      <c r="MQD15" s="101"/>
      <c r="MQE15" s="101"/>
      <c r="MQF15" s="101"/>
      <c r="MQG15" s="101"/>
      <c r="MQH15" s="101"/>
      <c r="MQI15" s="101"/>
      <c r="MQJ15" s="101"/>
      <c r="MQK15" s="101"/>
      <c r="MQL15" s="101"/>
      <c r="MQM15" s="101"/>
      <c r="MQN15" s="101"/>
      <c r="MQO15" s="101"/>
      <c r="MQP15" s="101"/>
      <c r="MQQ15" s="101"/>
      <c r="MQR15" s="101"/>
      <c r="MQS15" s="101"/>
      <c r="MQT15" s="101"/>
      <c r="MQU15" s="101"/>
      <c r="MQV15" s="101"/>
      <c r="MQW15" s="101"/>
      <c r="MQX15" s="101"/>
      <c r="MQY15" s="101"/>
      <c r="MQZ15" s="101"/>
      <c r="MRA15" s="101"/>
      <c r="MRB15" s="101"/>
      <c r="MRC15" s="101"/>
      <c r="MRD15" s="101"/>
      <c r="MRE15" s="101"/>
      <c r="MRF15" s="101"/>
      <c r="MRG15" s="101"/>
      <c r="MRH15" s="101"/>
      <c r="MRI15" s="101"/>
      <c r="MRJ15" s="101"/>
      <c r="MRK15" s="101"/>
      <c r="MRL15" s="101"/>
      <c r="MRM15" s="101"/>
      <c r="MRN15" s="101"/>
      <c r="MRO15" s="101"/>
      <c r="MRP15" s="101"/>
      <c r="MRQ15" s="101"/>
      <c r="MRR15" s="101"/>
      <c r="MRS15" s="101"/>
      <c r="MRT15" s="101"/>
      <c r="MRU15" s="101"/>
      <c r="MRV15" s="101"/>
      <c r="MRW15" s="101"/>
      <c r="MRX15" s="101"/>
      <c r="MRY15" s="101"/>
      <c r="MRZ15" s="101"/>
      <c r="MSA15" s="101"/>
      <c r="MSB15" s="101"/>
      <c r="MSC15" s="101"/>
      <c r="MSD15" s="101"/>
      <c r="MSE15" s="101"/>
      <c r="MSF15" s="101"/>
      <c r="MSG15" s="101"/>
      <c r="MSH15" s="101"/>
      <c r="MSI15" s="101"/>
      <c r="MSJ15" s="101"/>
      <c r="MSK15" s="101"/>
      <c r="MSL15" s="101"/>
      <c r="MSM15" s="101"/>
      <c r="MSN15" s="101"/>
      <c r="MSO15" s="101"/>
      <c r="MSP15" s="101"/>
      <c r="MSQ15" s="101"/>
      <c r="MSR15" s="101"/>
      <c r="MSS15" s="101"/>
      <c r="MST15" s="101"/>
      <c r="MSU15" s="101"/>
      <c r="MSV15" s="101"/>
      <c r="MSW15" s="101"/>
      <c r="MSX15" s="101"/>
      <c r="MSY15" s="101"/>
      <c r="MSZ15" s="101"/>
      <c r="MTA15" s="101"/>
      <c r="MTB15" s="101"/>
      <c r="MTC15" s="101"/>
      <c r="MTD15" s="101"/>
      <c r="MTE15" s="101"/>
      <c r="MTF15" s="101"/>
      <c r="MTG15" s="101"/>
      <c r="MTH15" s="101"/>
      <c r="MTI15" s="101"/>
      <c r="MTJ15" s="101"/>
      <c r="MTK15" s="101"/>
      <c r="MTL15" s="101"/>
      <c r="MTM15" s="101"/>
      <c r="MTN15" s="101"/>
      <c r="MTO15" s="101"/>
      <c r="MTP15" s="101"/>
      <c r="MTQ15" s="101"/>
      <c r="MTR15" s="101"/>
      <c r="MTS15" s="101"/>
      <c r="MTT15" s="101"/>
      <c r="MTU15" s="101"/>
      <c r="MTV15" s="101"/>
      <c r="MTW15" s="101"/>
      <c r="MTX15" s="101"/>
      <c r="MTY15" s="101"/>
      <c r="MTZ15" s="101"/>
      <c r="MUA15" s="101"/>
      <c r="MUB15" s="101"/>
      <c r="MUC15" s="101"/>
      <c r="MUD15" s="101"/>
      <c r="MUE15" s="101"/>
      <c r="MUF15" s="101"/>
      <c r="MUG15" s="101"/>
      <c r="MUH15" s="101"/>
      <c r="MUI15" s="101"/>
      <c r="MUJ15" s="101"/>
      <c r="MUK15" s="101"/>
      <c r="MUL15" s="101"/>
      <c r="MUM15" s="101"/>
      <c r="MUN15" s="101"/>
      <c r="MUO15" s="101"/>
      <c r="MUP15" s="101"/>
      <c r="MUQ15" s="101"/>
      <c r="MUR15" s="101"/>
      <c r="MUS15" s="101"/>
      <c r="MUT15" s="101"/>
      <c r="MUU15" s="101"/>
      <c r="MUV15" s="101"/>
      <c r="MUW15" s="101"/>
      <c r="MUX15" s="101"/>
      <c r="MUY15" s="101"/>
      <c r="MUZ15" s="101"/>
      <c r="MVA15" s="101"/>
      <c r="MVB15" s="101"/>
      <c r="MVC15" s="101"/>
      <c r="MVD15" s="101"/>
      <c r="MVE15" s="101"/>
      <c r="MVF15" s="101"/>
      <c r="MVG15" s="101"/>
      <c r="MVH15" s="101"/>
      <c r="MVI15" s="101"/>
      <c r="MVJ15" s="101"/>
      <c r="MVK15" s="101"/>
      <c r="MVL15" s="101"/>
      <c r="MVM15" s="101"/>
      <c r="MVN15" s="101"/>
      <c r="MVO15" s="101"/>
      <c r="MVP15" s="101"/>
      <c r="MVQ15" s="101"/>
      <c r="MVR15" s="101"/>
      <c r="MVS15" s="101"/>
      <c r="MVT15" s="101"/>
      <c r="MVU15" s="101"/>
      <c r="MVV15" s="101"/>
      <c r="MVW15" s="101"/>
      <c r="MVX15" s="101"/>
      <c r="MVY15" s="101"/>
      <c r="MVZ15" s="101"/>
      <c r="MWA15" s="101"/>
      <c r="MWB15" s="101"/>
      <c r="MWC15" s="101"/>
      <c r="MWD15" s="101"/>
      <c r="MWE15" s="101"/>
      <c r="MWF15" s="101"/>
      <c r="MWG15" s="101"/>
      <c r="MWH15" s="101"/>
      <c r="MWI15" s="101"/>
      <c r="MWJ15" s="101"/>
      <c r="MWK15" s="101"/>
      <c r="MWL15" s="101"/>
      <c r="MWM15" s="101"/>
      <c r="MWN15" s="101"/>
      <c r="MWO15" s="101"/>
      <c r="MWP15" s="101"/>
      <c r="MWQ15" s="101"/>
      <c r="MWR15" s="101"/>
      <c r="MWS15" s="101"/>
      <c r="MWT15" s="101"/>
      <c r="MWU15" s="101"/>
      <c r="MWV15" s="101"/>
      <c r="MWW15" s="101"/>
      <c r="MWX15" s="101"/>
      <c r="MWY15" s="101"/>
      <c r="MWZ15" s="101"/>
      <c r="MXA15" s="101"/>
      <c r="MXB15" s="101"/>
      <c r="MXC15" s="101"/>
      <c r="MXD15" s="101"/>
      <c r="MXE15" s="101"/>
      <c r="MXF15" s="101"/>
      <c r="MXG15" s="101"/>
      <c r="MXH15" s="101"/>
      <c r="MXI15" s="101"/>
      <c r="MXJ15" s="101"/>
      <c r="MXK15" s="101"/>
      <c r="MXL15" s="101"/>
      <c r="MXM15" s="101"/>
      <c r="MXN15" s="101"/>
      <c r="MXO15" s="101"/>
      <c r="MXP15" s="101"/>
      <c r="MXQ15" s="101"/>
      <c r="MXR15" s="101"/>
      <c r="MXS15" s="101"/>
      <c r="MXT15" s="101"/>
      <c r="MXU15" s="101"/>
      <c r="MXV15" s="101"/>
      <c r="MXW15" s="101"/>
      <c r="MXX15" s="101"/>
      <c r="MXY15" s="101"/>
      <c r="MXZ15" s="101"/>
      <c r="MYA15" s="101"/>
      <c r="MYB15" s="101"/>
      <c r="MYC15" s="101"/>
      <c r="MYD15" s="101"/>
      <c r="MYE15" s="101"/>
      <c r="MYF15" s="101"/>
      <c r="MYG15" s="101"/>
      <c r="MYH15" s="101"/>
      <c r="MYI15" s="101"/>
      <c r="MYJ15" s="101"/>
      <c r="MYK15" s="101"/>
      <c r="MYL15" s="101"/>
      <c r="MYM15" s="101"/>
      <c r="MYN15" s="101"/>
      <c r="MYO15" s="101"/>
      <c r="MYP15" s="101"/>
      <c r="MYQ15" s="101"/>
      <c r="MYR15" s="101"/>
      <c r="MYS15" s="101"/>
      <c r="MYT15" s="101"/>
      <c r="MYU15" s="101"/>
      <c r="MYV15" s="101"/>
      <c r="MYW15" s="101"/>
      <c r="MYX15" s="101"/>
      <c r="MYY15" s="101"/>
      <c r="MYZ15" s="101"/>
      <c r="MZA15" s="101"/>
      <c r="MZB15" s="101"/>
      <c r="MZC15" s="101"/>
      <c r="MZD15" s="101"/>
      <c r="MZE15" s="101"/>
      <c r="MZF15" s="101"/>
      <c r="MZG15" s="101"/>
      <c r="MZH15" s="101"/>
      <c r="MZI15" s="101"/>
      <c r="MZJ15" s="101"/>
      <c r="MZK15" s="101"/>
      <c r="MZL15" s="101"/>
      <c r="MZM15" s="101"/>
      <c r="MZN15" s="101"/>
      <c r="MZO15" s="101"/>
      <c r="MZP15" s="101"/>
      <c r="MZQ15" s="101"/>
      <c r="MZR15" s="101"/>
      <c r="MZS15" s="101"/>
      <c r="MZT15" s="101"/>
      <c r="MZU15" s="101"/>
      <c r="MZV15" s="101"/>
      <c r="MZW15" s="101"/>
      <c r="MZX15" s="101"/>
      <c r="MZY15" s="101"/>
      <c r="MZZ15" s="101"/>
      <c r="NAA15" s="101"/>
      <c r="NAB15" s="101"/>
      <c r="NAC15" s="101"/>
      <c r="NAD15" s="101"/>
      <c r="NAE15" s="101"/>
      <c r="NAF15" s="101"/>
      <c r="NAG15" s="101"/>
      <c r="NAH15" s="101"/>
      <c r="NAI15" s="101"/>
      <c r="NAJ15" s="101"/>
      <c r="NAK15" s="101"/>
      <c r="NAL15" s="101"/>
      <c r="NAM15" s="101"/>
      <c r="NAN15" s="101"/>
      <c r="NAO15" s="101"/>
      <c r="NAP15" s="101"/>
      <c r="NAQ15" s="101"/>
      <c r="NAR15" s="101"/>
      <c r="NAS15" s="101"/>
      <c r="NAT15" s="101"/>
      <c r="NAU15" s="101"/>
      <c r="NAV15" s="101"/>
      <c r="NAW15" s="101"/>
      <c r="NAX15" s="101"/>
      <c r="NAY15" s="101"/>
      <c r="NAZ15" s="101"/>
      <c r="NBA15" s="101"/>
      <c r="NBB15" s="101"/>
      <c r="NBC15" s="101"/>
      <c r="NBD15" s="101"/>
      <c r="NBE15" s="101"/>
      <c r="NBF15" s="101"/>
      <c r="NBG15" s="101"/>
      <c r="NBH15" s="101"/>
      <c r="NBI15" s="101"/>
      <c r="NBJ15" s="101"/>
      <c r="NBK15" s="101"/>
      <c r="NBL15" s="101"/>
      <c r="NBM15" s="101"/>
      <c r="NBN15" s="101"/>
      <c r="NBO15" s="101"/>
      <c r="NBP15" s="101"/>
      <c r="NBQ15" s="101"/>
      <c r="NBR15" s="101"/>
      <c r="NBS15" s="101"/>
      <c r="NBT15" s="101"/>
      <c r="NBU15" s="101"/>
      <c r="NBV15" s="101"/>
      <c r="NBW15" s="101"/>
      <c r="NBX15" s="101"/>
      <c r="NBY15" s="101"/>
      <c r="NBZ15" s="101"/>
      <c r="NCA15" s="101"/>
      <c r="NCB15" s="101"/>
      <c r="NCC15" s="101"/>
      <c r="NCD15" s="101"/>
      <c r="NCE15" s="101"/>
      <c r="NCF15" s="101"/>
      <c r="NCG15" s="101"/>
      <c r="NCH15" s="101"/>
      <c r="NCI15" s="101"/>
      <c r="NCJ15" s="101"/>
      <c r="NCK15" s="101"/>
      <c r="NCL15" s="101"/>
      <c r="NCM15" s="101"/>
      <c r="NCN15" s="101"/>
      <c r="NCO15" s="101"/>
      <c r="NCP15" s="101"/>
      <c r="NCQ15" s="101"/>
      <c r="NCR15" s="101"/>
      <c r="NCS15" s="101"/>
      <c r="NCT15" s="101"/>
      <c r="NCU15" s="101"/>
      <c r="NCV15" s="101"/>
      <c r="NCW15" s="101"/>
      <c r="NCX15" s="101"/>
      <c r="NCY15" s="101"/>
      <c r="NCZ15" s="101"/>
      <c r="NDA15" s="101"/>
      <c r="NDB15" s="101"/>
      <c r="NDC15" s="101"/>
      <c r="NDD15" s="101"/>
      <c r="NDE15" s="101"/>
      <c r="NDF15" s="101"/>
      <c r="NDG15" s="101"/>
      <c r="NDH15" s="101"/>
      <c r="NDI15" s="101"/>
      <c r="NDJ15" s="101"/>
      <c r="NDK15" s="101"/>
      <c r="NDL15" s="101"/>
      <c r="NDM15" s="101"/>
      <c r="NDN15" s="101"/>
      <c r="NDO15" s="101"/>
      <c r="NDP15" s="101"/>
      <c r="NDQ15" s="101"/>
      <c r="NDR15" s="101"/>
      <c r="NDS15" s="101"/>
      <c r="NDT15" s="101"/>
      <c r="NDU15" s="101"/>
      <c r="NDV15" s="101"/>
      <c r="NDW15" s="101"/>
      <c r="NDX15" s="101"/>
      <c r="NDY15" s="101"/>
      <c r="NDZ15" s="101"/>
      <c r="NEA15" s="101"/>
      <c r="NEB15" s="101"/>
      <c r="NEC15" s="101"/>
      <c r="NED15" s="101"/>
      <c r="NEE15" s="101"/>
      <c r="NEF15" s="101"/>
      <c r="NEG15" s="101"/>
      <c r="NEH15" s="101"/>
      <c r="NEI15" s="101"/>
      <c r="NEJ15" s="101"/>
      <c r="NEK15" s="101"/>
      <c r="NEL15" s="101"/>
      <c r="NEM15" s="101"/>
      <c r="NEN15" s="101"/>
      <c r="NEO15" s="101"/>
      <c r="NEP15" s="101"/>
      <c r="NEQ15" s="101"/>
      <c r="NER15" s="101"/>
      <c r="NES15" s="101"/>
      <c r="NET15" s="101"/>
      <c r="NEU15" s="101"/>
      <c r="NEV15" s="101"/>
      <c r="NEW15" s="101"/>
      <c r="NEX15" s="101"/>
      <c r="NEY15" s="101"/>
      <c r="NEZ15" s="101"/>
      <c r="NFA15" s="101"/>
      <c r="NFB15" s="101"/>
      <c r="NFC15" s="101"/>
      <c r="NFD15" s="101"/>
      <c r="NFE15" s="101"/>
      <c r="NFF15" s="101"/>
      <c r="NFG15" s="101"/>
      <c r="NFH15" s="101"/>
      <c r="NFI15" s="101"/>
      <c r="NFJ15" s="101"/>
      <c r="NFK15" s="101"/>
      <c r="NFL15" s="101"/>
      <c r="NFM15" s="101"/>
      <c r="NFN15" s="101"/>
      <c r="NFO15" s="101"/>
      <c r="NFP15" s="101"/>
      <c r="NFQ15" s="101"/>
      <c r="NFR15" s="101"/>
      <c r="NFS15" s="101"/>
      <c r="NFT15" s="101"/>
      <c r="NFU15" s="101"/>
      <c r="NFV15" s="101"/>
      <c r="NFW15" s="101"/>
      <c r="NFX15" s="101"/>
      <c r="NFY15" s="101"/>
      <c r="NFZ15" s="101"/>
      <c r="NGA15" s="101"/>
      <c r="NGB15" s="101"/>
      <c r="NGC15" s="101"/>
      <c r="NGD15" s="101"/>
      <c r="NGE15" s="101"/>
      <c r="NGF15" s="101"/>
      <c r="NGG15" s="101"/>
      <c r="NGH15" s="101"/>
      <c r="NGI15" s="101"/>
      <c r="NGJ15" s="101"/>
      <c r="NGK15" s="101"/>
      <c r="NGL15" s="101"/>
      <c r="NGM15" s="101"/>
      <c r="NGN15" s="101"/>
      <c r="NGO15" s="101"/>
      <c r="NGP15" s="101"/>
      <c r="NGQ15" s="101"/>
      <c r="NGR15" s="101"/>
      <c r="NGS15" s="101"/>
      <c r="NGT15" s="101"/>
      <c r="NGU15" s="101"/>
      <c r="NGV15" s="101"/>
      <c r="NGW15" s="101"/>
      <c r="NGX15" s="101"/>
      <c r="NGY15" s="101"/>
      <c r="NGZ15" s="101"/>
      <c r="NHA15" s="101"/>
      <c r="NHB15" s="101"/>
      <c r="NHC15" s="101"/>
      <c r="NHD15" s="101"/>
      <c r="NHE15" s="101"/>
      <c r="NHF15" s="101"/>
      <c r="NHG15" s="101"/>
      <c r="NHH15" s="101"/>
      <c r="NHI15" s="101"/>
      <c r="NHJ15" s="101"/>
      <c r="NHK15" s="101"/>
      <c r="NHL15" s="101"/>
      <c r="NHM15" s="101"/>
      <c r="NHN15" s="101"/>
      <c r="NHO15" s="101"/>
      <c r="NHP15" s="101"/>
      <c r="NHQ15" s="101"/>
      <c r="NHR15" s="101"/>
      <c r="NHS15" s="101"/>
      <c r="NHT15" s="101"/>
      <c r="NHU15" s="101"/>
      <c r="NHV15" s="101"/>
      <c r="NHW15" s="101"/>
      <c r="NHX15" s="101"/>
      <c r="NHY15" s="101"/>
      <c r="NHZ15" s="101"/>
      <c r="NIA15" s="101"/>
      <c r="NIB15" s="101"/>
      <c r="NIC15" s="101"/>
      <c r="NID15" s="101"/>
      <c r="NIE15" s="101"/>
      <c r="NIF15" s="101"/>
      <c r="NIG15" s="101"/>
      <c r="NIH15" s="101"/>
      <c r="NII15" s="101"/>
      <c r="NIJ15" s="101"/>
      <c r="NIK15" s="101"/>
      <c r="NIL15" s="101"/>
      <c r="NIM15" s="101"/>
      <c r="NIN15" s="101"/>
      <c r="NIO15" s="101"/>
      <c r="NIP15" s="101"/>
      <c r="NIQ15" s="101"/>
      <c r="NIR15" s="101"/>
      <c r="NIS15" s="101"/>
      <c r="NIT15" s="101"/>
      <c r="NIU15" s="101"/>
      <c r="NIV15" s="101"/>
      <c r="NIW15" s="101"/>
      <c r="NIX15" s="101"/>
      <c r="NIY15" s="101"/>
      <c r="NIZ15" s="101"/>
      <c r="NJA15" s="101"/>
      <c r="NJB15" s="101"/>
      <c r="NJC15" s="101"/>
      <c r="NJD15" s="101"/>
      <c r="NJE15" s="101"/>
      <c r="NJF15" s="101"/>
      <c r="NJG15" s="101"/>
      <c r="NJH15" s="101"/>
      <c r="NJI15" s="101"/>
      <c r="NJJ15" s="101"/>
      <c r="NJK15" s="101"/>
      <c r="NJL15" s="101"/>
      <c r="NJM15" s="101"/>
      <c r="NJN15" s="101"/>
      <c r="NJO15" s="101"/>
      <c r="NJP15" s="101"/>
      <c r="NJQ15" s="101"/>
      <c r="NJR15" s="101"/>
      <c r="NJS15" s="101"/>
      <c r="NJT15" s="101"/>
      <c r="NJU15" s="101"/>
      <c r="NJV15" s="101"/>
      <c r="NJW15" s="101"/>
      <c r="NJX15" s="101"/>
      <c r="NJY15" s="101"/>
      <c r="NJZ15" s="101"/>
      <c r="NKA15" s="101"/>
      <c r="NKB15" s="101"/>
      <c r="NKC15" s="101"/>
      <c r="NKD15" s="101"/>
      <c r="NKE15" s="101"/>
      <c r="NKF15" s="101"/>
      <c r="NKG15" s="101"/>
      <c r="NKH15" s="101"/>
      <c r="NKI15" s="101"/>
      <c r="NKJ15" s="101"/>
      <c r="NKK15" s="101"/>
      <c r="NKL15" s="101"/>
      <c r="NKM15" s="101"/>
      <c r="NKN15" s="101"/>
      <c r="NKO15" s="101"/>
      <c r="NKP15" s="101"/>
      <c r="NKQ15" s="101"/>
      <c r="NKR15" s="101"/>
      <c r="NKS15" s="101"/>
      <c r="NKT15" s="101"/>
      <c r="NKU15" s="101"/>
      <c r="NKV15" s="101"/>
      <c r="NKW15" s="101"/>
      <c r="NKX15" s="101"/>
      <c r="NKY15" s="101"/>
      <c r="NKZ15" s="101"/>
      <c r="NLA15" s="101"/>
      <c r="NLB15" s="101"/>
      <c r="NLC15" s="101"/>
      <c r="NLD15" s="101"/>
      <c r="NLE15" s="101"/>
      <c r="NLF15" s="101"/>
      <c r="NLG15" s="101"/>
      <c r="NLH15" s="101"/>
      <c r="NLI15" s="101"/>
      <c r="NLJ15" s="101"/>
      <c r="NLK15" s="101"/>
      <c r="NLL15" s="101"/>
      <c r="NLM15" s="101"/>
      <c r="NLN15" s="101"/>
      <c r="NLO15" s="101"/>
      <c r="NLP15" s="101"/>
      <c r="NLQ15" s="101"/>
      <c r="NLR15" s="101"/>
      <c r="NLS15" s="101"/>
      <c r="NLT15" s="101"/>
      <c r="NLU15" s="101"/>
      <c r="NLV15" s="101"/>
      <c r="NLW15" s="101"/>
      <c r="NLX15" s="101"/>
      <c r="NLY15" s="101"/>
      <c r="NLZ15" s="101"/>
      <c r="NMA15" s="101"/>
      <c r="NMB15" s="101"/>
      <c r="NMC15" s="101"/>
      <c r="NMD15" s="101"/>
      <c r="NME15" s="101"/>
      <c r="NMF15" s="101"/>
      <c r="NMG15" s="101"/>
      <c r="NMH15" s="101"/>
      <c r="NMI15" s="101"/>
      <c r="NMJ15" s="101"/>
      <c r="NMK15" s="101"/>
      <c r="NML15" s="101"/>
      <c r="NMM15" s="101"/>
      <c r="NMN15" s="101"/>
      <c r="NMO15" s="101"/>
      <c r="NMP15" s="101"/>
      <c r="NMQ15" s="101"/>
      <c r="NMR15" s="101"/>
      <c r="NMS15" s="101"/>
      <c r="NMT15" s="101"/>
      <c r="NMU15" s="101"/>
      <c r="NMV15" s="101"/>
      <c r="NMW15" s="101"/>
      <c r="NMX15" s="101"/>
      <c r="NMY15" s="101"/>
      <c r="NMZ15" s="101"/>
      <c r="NNA15" s="101"/>
      <c r="NNB15" s="101"/>
      <c r="NNC15" s="101"/>
      <c r="NND15" s="101"/>
      <c r="NNE15" s="101"/>
      <c r="NNF15" s="101"/>
      <c r="NNG15" s="101"/>
      <c r="NNH15" s="101"/>
      <c r="NNI15" s="101"/>
      <c r="NNJ15" s="101"/>
      <c r="NNK15" s="101"/>
      <c r="NNL15" s="101"/>
      <c r="NNM15" s="101"/>
      <c r="NNN15" s="101"/>
      <c r="NNO15" s="101"/>
      <c r="NNP15" s="101"/>
      <c r="NNQ15" s="101"/>
      <c r="NNR15" s="101"/>
      <c r="NNS15" s="101"/>
      <c r="NNT15" s="101"/>
      <c r="NNU15" s="101"/>
      <c r="NNV15" s="101"/>
      <c r="NNW15" s="101"/>
      <c r="NNX15" s="101"/>
      <c r="NNY15" s="101"/>
      <c r="NNZ15" s="101"/>
      <c r="NOA15" s="101"/>
      <c r="NOB15" s="101"/>
      <c r="NOC15" s="101"/>
      <c r="NOD15" s="101"/>
      <c r="NOE15" s="101"/>
      <c r="NOF15" s="101"/>
      <c r="NOG15" s="101"/>
      <c r="NOH15" s="101"/>
      <c r="NOI15" s="101"/>
      <c r="NOJ15" s="101"/>
      <c r="NOK15" s="101"/>
      <c r="NOL15" s="101"/>
      <c r="NOM15" s="101"/>
      <c r="NON15" s="101"/>
      <c r="NOO15" s="101"/>
      <c r="NOP15" s="101"/>
      <c r="NOQ15" s="101"/>
      <c r="NOR15" s="101"/>
      <c r="NOS15" s="101"/>
      <c r="NOT15" s="101"/>
      <c r="NOU15" s="101"/>
      <c r="NOV15" s="101"/>
      <c r="NOW15" s="101"/>
      <c r="NOX15" s="101"/>
      <c r="NOY15" s="101"/>
      <c r="NOZ15" s="101"/>
      <c r="NPA15" s="101"/>
      <c r="NPB15" s="101"/>
      <c r="NPC15" s="101"/>
      <c r="NPD15" s="101"/>
      <c r="NPE15" s="101"/>
      <c r="NPF15" s="101"/>
      <c r="NPG15" s="101"/>
      <c r="NPH15" s="101"/>
      <c r="NPI15" s="101"/>
      <c r="NPJ15" s="101"/>
      <c r="NPK15" s="101"/>
      <c r="NPL15" s="101"/>
      <c r="NPM15" s="101"/>
      <c r="NPN15" s="101"/>
      <c r="NPO15" s="101"/>
      <c r="NPP15" s="101"/>
      <c r="NPQ15" s="101"/>
      <c r="NPR15" s="101"/>
      <c r="NPS15" s="101"/>
      <c r="NPT15" s="101"/>
      <c r="NPU15" s="101"/>
      <c r="NPV15" s="101"/>
      <c r="NPW15" s="101"/>
      <c r="NPX15" s="101"/>
      <c r="NPY15" s="101"/>
      <c r="NPZ15" s="101"/>
      <c r="NQA15" s="101"/>
      <c r="NQB15" s="101"/>
      <c r="NQC15" s="101"/>
      <c r="NQD15" s="101"/>
      <c r="NQE15" s="101"/>
      <c r="NQF15" s="101"/>
      <c r="NQG15" s="101"/>
      <c r="NQH15" s="101"/>
      <c r="NQI15" s="101"/>
      <c r="NQJ15" s="101"/>
      <c r="NQK15" s="101"/>
      <c r="NQL15" s="101"/>
      <c r="NQM15" s="101"/>
      <c r="NQN15" s="101"/>
      <c r="NQO15" s="101"/>
      <c r="NQP15" s="101"/>
      <c r="NQQ15" s="101"/>
      <c r="NQR15" s="101"/>
      <c r="NQS15" s="101"/>
      <c r="NQT15" s="101"/>
      <c r="NQU15" s="101"/>
      <c r="NQV15" s="101"/>
      <c r="NQW15" s="101"/>
      <c r="NQX15" s="101"/>
      <c r="NQY15" s="101"/>
      <c r="NQZ15" s="101"/>
      <c r="NRA15" s="101"/>
      <c r="NRB15" s="101"/>
      <c r="NRC15" s="101"/>
      <c r="NRD15" s="101"/>
      <c r="NRE15" s="101"/>
      <c r="NRF15" s="101"/>
      <c r="NRG15" s="101"/>
      <c r="NRH15" s="101"/>
      <c r="NRI15" s="101"/>
      <c r="NRJ15" s="101"/>
      <c r="NRK15" s="101"/>
      <c r="NRL15" s="101"/>
      <c r="NRM15" s="101"/>
      <c r="NRN15" s="101"/>
      <c r="NRO15" s="101"/>
      <c r="NRP15" s="101"/>
      <c r="NRQ15" s="101"/>
      <c r="NRR15" s="101"/>
      <c r="NRS15" s="101"/>
      <c r="NRT15" s="101"/>
      <c r="NRU15" s="101"/>
      <c r="NRV15" s="101"/>
      <c r="NRW15" s="101"/>
      <c r="NRX15" s="101"/>
      <c r="NRY15" s="101"/>
      <c r="NRZ15" s="101"/>
      <c r="NSA15" s="101"/>
      <c r="NSB15" s="101"/>
      <c r="NSC15" s="101"/>
      <c r="NSD15" s="101"/>
      <c r="NSE15" s="101"/>
      <c r="NSF15" s="101"/>
      <c r="NSG15" s="101"/>
      <c r="NSH15" s="101"/>
      <c r="NSI15" s="101"/>
      <c r="NSJ15" s="101"/>
      <c r="NSK15" s="101"/>
      <c r="NSL15" s="101"/>
      <c r="NSM15" s="101"/>
      <c r="NSN15" s="101"/>
      <c r="NSO15" s="101"/>
      <c r="NSP15" s="101"/>
      <c r="NSQ15" s="101"/>
      <c r="NSR15" s="101"/>
      <c r="NSS15" s="101"/>
      <c r="NST15" s="101"/>
      <c r="NSU15" s="101"/>
      <c r="NSV15" s="101"/>
      <c r="NSW15" s="101"/>
      <c r="NSX15" s="101"/>
      <c r="NSY15" s="101"/>
      <c r="NSZ15" s="101"/>
      <c r="NTA15" s="101"/>
      <c r="NTB15" s="101"/>
      <c r="NTC15" s="101"/>
      <c r="NTD15" s="101"/>
      <c r="NTE15" s="101"/>
      <c r="NTF15" s="101"/>
      <c r="NTG15" s="101"/>
      <c r="NTH15" s="101"/>
      <c r="NTI15" s="101"/>
      <c r="NTJ15" s="101"/>
      <c r="NTK15" s="101"/>
      <c r="NTL15" s="101"/>
      <c r="NTM15" s="101"/>
      <c r="NTN15" s="101"/>
      <c r="NTO15" s="101"/>
      <c r="NTP15" s="101"/>
      <c r="NTQ15" s="101"/>
      <c r="NTR15" s="101"/>
      <c r="NTS15" s="101"/>
      <c r="NTT15" s="101"/>
      <c r="NTU15" s="101"/>
      <c r="NTV15" s="101"/>
      <c r="NTW15" s="101"/>
      <c r="NTX15" s="101"/>
      <c r="NTY15" s="101"/>
      <c r="NTZ15" s="101"/>
      <c r="NUA15" s="101"/>
      <c r="NUB15" s="101"/>
      <c r="NUC15" s="101"/>
      <c r="NUD15" s="101"/>
      <c r="NUE15" s="101"/>
      <c r="NUF15" s="101"/>
      <c r="NUG15" s="101"/>
      <c r="NUH15" s="101"/>
      <c r="NUI15" s="101"/>
      <c r="NUJ15" s="101"/>
      <c r="NUK15" s="101"/>
      <c r="NUL15" s="101"/>
      <c r="NUM15" s="101"/>
      <c r="NUN15" s="101"/>
      <c r="NUO15" s="101"/>
      <c r="NUP15" s="101"/>
      <c r="NUQ15" s="101"/>
      <c r="NUR15" s="101"/>
      <c r="NUS15" s="101"/>
      <c r="NUT15" s="101"/>
      <c r="NUU15" s="101"/>
      <c r="NUV15" s="101"/>
      <c r="NUW15" s="101"/>
      <c r="NUX15" s="101"/>
      <c r="NUY15" s="101"/>
      <c r="NUZ15" s="101"/>
      <c r="NVA15" s="101"/>
      <c r="NVB15" s="101"/>
      <c r="NVC15" s="101"/>
      <c r="NVD15" s="101"/>
      <c r="NVE15" s="101"/>
      <c r="NVF15" s="101"/>
      <c r="NVG15" s="101"/>
      <c r="NVH15" s="101"/>
      <c r="NVI15" s="101"/>
      <c r="NVJ15" s="101"/>
      <c r="NVK15" s="101"/>
      <c r="NVL15" s="101"/>
      <c r="NVM15" s="101"/>
      <c r="NVN15" s="101"/>
      <c r="NVO15" s="101"/>
      <c r="NVP15" s="101"/>
      <c r="NVQ15" s="101"/>
      <c r="NVR15" s="101"/>
      <c r="NVS15" s="101"/>
      <c r="NVT15" s="101"/>
      <c r="NVU15" s="101"/>
      <c r="NVV15" s="101"/>
      <c r="NVW15" s="101"/>
      <c r="NVX15" s="101"/>
      <c r="NVY15" s="101"/>
      <c r="NVZ15" s="101"/>
      <c r="NWA15" s="101"/>
      <c r="NWB15" s="101"/>
      <c r="NWC15" s="101"/>
      <c r="NWD15" s="101"/>
      <c r="NWE15" s="101"/>
      <c r="NWF15" s="101"/>
      <c r="NWG15" s="101"/>
      <c r="NWH15" s="101"/>
      <c r="NWI15" s="101"/>
      <c r="NWJ15" s="101"/>
      <c r="NWK15" s="101"/>
      <c r="NWL15" s="101"/>
      <c r="NWM15" s="101"/>
      <c r="NWN15" s="101"/>
      <c r="NWO15" s="101"/>
      <c r="NWP15" s="101"/>
      <c r="NWQ15" s="101"/>
      <c r="NWR15" s="101"/>
      <c r="NWS15" s="101"/>
      <c r="NWT15" s="101"/>
      <c r="NWU15" s="101"/>
      <c r="NWV15" s="101"/>
      <c r="NWW15" s="101"/>
      <c r="NWX15" s="101"/>
      <c r="NWY15" s="101"/>
      <c r="NWZ15" s="101"/>
      <c r="NXA15" s="101"/>
      <c r="NXB15" s="101"/>
      <c r="NXC15" s="101"/>
      <c r="NXD15" s="101"/>
      <c r="NXE15" s="101"/>
      <c r="NXF15" s="101"/>
      <c r="NXG15" s="101"/>
      <c r="NXH15" s="101"/>
      <c r="NXI15" s="101"/>
      <c r="NXJ15" s="101"/>
      <c r="NXK15" s="101"/>
      <c r="NXL15" s="101"/>
      <c r="NXM15" s="101"/>
      <c r="NXN15" s="101"/>
      <c r="NXO15" s="101"/>
      <c r="NXP15" s="101"/>
      <c r="NXQ15" s="101"/>
      <c r="NXR15" s="101"/>
      <c r="NXS15" s="101"/>
      <c r="NXT15" s="101"/>
      <c r="NXU15" s="101"/>
      <c r="NXV15" s="101"/>
      <c r="NXW15" s="101"/>
      <c r="NXX15" s="101"/>
      <c r="NXY15" s="101"/>
      <c r="NXZ15" s="101"/>
      <c r="NYA15" s="101"/>
      <c r="NYB15" s="101"/>
      <c r="NYC15" s="101"/>
      <c r="NYD15" s="101"/>
      <c r="NYE15" s="101"/>
      <c r="NYF15" s="101"/>
      <c r="NYG15" s="101"/>
      <c r="NYH15" s="101"/>
      <c r="NYI15" s="101"/>
      <c r="NYJ15" s="101"/>
      <c r="NYK15" s="101"/>
      <c r="NYL15" s="101"/>
      <c r="NYM15" s="101"/>
      <c r="NYN15" s="101"/>
      <c r="NYO15" s="101"/>
      <c r="NYP15" s="101"/>
      <c r="NYQ15" s="101"/>
      <c r="NYR15" s="101"/>
      <c r="NYS15" s="101"/>
      <c r="NYT15" s="101"/>
      <c r="NYU15" s="101"/>
      <c r="NYV15" s="101"/>
      <c r="NYW15" s="101"/>
      <c r="NYX15" s="101"/>
      <c r="NYY15" s="101"/>
      <c r="NYZ15" s="101"/>
      <c r="NZA15" s="101"/>
      <c r="NZB15" s="101"/>
      <c r="NZC15" s="101"/>
      <c r="NZD15" s="101"/>
      <c r="NZE15" s="101"/>
      <c r="NZF15" s="101"/>
      <c r="NZG15" s="101"/>
      <c r="NZH15" s="101"/>
      <c r="NZI15" s="101"/>
      <c r="NZJ15" s="101"/>
      <c r="NZK15" s="101"/>
      <c r="NZL15" s="101"/>
      <c r="NZM15" s="101"/>
      <c r="NZN15" s="101"/>
      <c r="NZO15" s="101"/>
      <c r="NZP15" s="101"/>
      <c r="NZQ15" s="101"/>
      <c r="NZR15" s="101"/>
      <c r="NZS15" s="101"/>
      <c r="NZT15" s="101"/>
      <c r="NZU15" s="101"/>
      <c r="NZV15" s="101"/>
      <c r="NZW15" s="101"/>
      <c r="NZX15" s="101"/>
      <c r="NZY15" s="101"/>
      <c r="NZZ15" s="101"/>
      <c r="OAA15" s="101"/>
      <c r="OAB15" s="101"/>
      <c r="OAC15" s="101"/>
      <c r="OAD15" s="101"/>
      <c r="OAE15" s="101"/>
      <c r="OAF15" s="101"/>
      <c r="OAG15" s="101"/>
      <c r="OAH15" s="101"/>
      <c r="OAI15" s="101"/>
      <c r="OAJ15" s="101"/>
      <c r="OAK15" s="101"/>
      <c r="OAL15" s="101"/>
      <c r="OAM15" s="101"/>
      <c r="OAN15" s="101"/>
      <c r="OAO15" s="101"/>
      <c r="OAP15" s="101"/>
      <c r="OAQ15" s="101"/>
      <c r="OAR15" s="101"/>
      <c r="OAS15" s="101"/>
      <c r="OAT15" s="101"/>
      <c r="OAU15" s="101"/>
      <c r="OAV15" s="101"/>
      <c r="OAW15" s="101"/>
      <c r="OAX15" s="101"/>
      <c r="OAY15" s="101"/>
      <c r="OAZ15" s="101"/>
      <c r="OBA15" s="101"/>
      <c r="OBB15" s="101"/>
      <c r="OBC15" s="101"/>
      <c r="OBD15" s="101"/>
      <c r="OBE15" s="101"/>
      <c r="OBF15" s="101"/>
      <c r="OBG15" s="101"/>
      <c r="OBH15" s="101"/>
      <c r="OBI15" s="101"/>
      <c r="OBJ15" s="101"/>
      <c r="OBK15" s="101"/>
      <c r="OBL15" s="101"/>
      <c r="OBM15" s="101"/>
      <c r="OBN15" s="101"/>
      <c r="OBO15" s="101"/>
      <c r="OBP15" s="101"/>
      <c r="OBQ15" s="101"/>
      <c r="OBR15" s="101"/>
      <c r="OBS15" s="101"/>
      <c r="OBT15" s="101"/>
      <c r="OBU15" s="101"/>
      <c r="OBV15" s="101"/>
      <c r="OBW15" s="101"/>
      <c r="OBX15" s="101"/>
      <c r="OBY15" s="101"/>
      <c r="OBZ15" s="101"/>
      <c r="OCA15" s="101"/>
      <c r="OCB15" s="101"/>
      <c r="OCC15" s="101"/>
      <c r="OCD15" s="101"/>
      <c r="OCE15" s="101"/>
      <c r="OCF15" s="101"/>
      <c r="OCG15" s="101"/>
      <c r="OCH15" s="101"/>
      <c r="OCI15" s="101"/>
      <c r="OCJ15" s="101"/>
      <c r="OCK15" s="101"/>
      <c r="OCL15" s="101"/>
      <c r="OCM15" s="101"/>
      <c r="OCN15" s="101"/>
      <c r="OCO15" s="101"/>
      <c r="OCP15" s="101"/>
      <c r="OCQ15" s="101"/>
      <c r="OCR15" s="101"/>
      <c r="OCS15" s="101"/>
      <c r="OCT15" s="101"/>
      <c r="OCU15" s="101"/>
      <c r="OCV15" s="101"/>
      <c r="OCW15" s="101"/>
      <c r="OCX15" s="101"/>
      <c r="OCY15" s="101"/>
      <c r="OCZ15" s="101"/>
      <c r="ODA15" s="101"/>
      <c r="ODB15" s="101"/>
      <c r="ODC15" s="101"/>
      <c r="ODD15" s="101"/>
      <c r="ODE15" s="101"/>
      <c r="ODF15" s="101"/>
      <c r="ODG15" s="101"/>
      <c r="ODH15" s="101"/>
      <c r="ODI15" s="101"/>
      <c r="ODJ15" s="101"/>
      <c r="ODK15" s="101"/>
      <c r="ODL15" s="101"/>
      <c r="ODM15" s="101"/>
      <c r="ODN15" s="101"/>
      <c r="ODO15" s="101"/>
      <c r="ODP15" s="101"/>
      <c r="ODQ15" s="101"/>
      <c r="ODR15" s="101"/>
      <c r="ODS15" s="101"/>
      <c r="ODT15" s="101"/>
      <c r="ODU15" s="101"/>
      <c r="ODV15" s="101"/>
      <c r="ODW15" s="101"/>
      <c r="ODX15" s="101"/>
      <c r="ODY15" s="101"/>
      <c r="ODZ15" s="101"/>
      <c r="OEA15" s="101"/>
      <c r="OEB15" s="101"/>
      <c r="OEC15" s="101"/>
      <c r="OED15" s="101"/>
      <c r="OEE15" s="101"/>
      <c r="OEF15" s="101"/>
      <c r="OEG15" s="101"/>
      <c r="OEH15" s="101"/>
      <c r="OEI15" s="101"/>
      <c r="OEJ15" s="101"/>
      <c r="OEK15" s="101"/>
      <c r="OEL15" s="101"/>
      <c r="OEM15" s="101"/>
      <c r="OEN15" s="101"/>
      <c r="OEO15" s="101"/>
      <c r="OEP15" s="101"/>
      <c r="OEQ15" s="101"/>
      <c r="OER15" s="101"/>
      <c r="OES15" s="101"/>
      <c r="OET15" s="101"/>
      <c r="OEU15" s="101"/>
      <c r="OEV15" s="101"/>
      <c r="OEW15" s="101"/>
      <c r="OEX15" s="101"/>
      <c r="OEY15" s="101"/>
      <c r="OEZ15" s="101"/>
      <c r="OFA15" s="101"/>
      <c r="OFB15" s="101"/>
      <c r="OFC15" s="101"/>
      <c r="OFD15" s="101"/>
      <c r="OFE15" s="101"/>
      <c r="OFF15" s="101"/>
      <c r="OFG15" s="101"/>
      <c r="OFH15" s="101"/>
      <c r="OFI15" s="101"/>
      <c r="OFJ15" s="101"/>
      <c r="OFK15" s="101"/>
      <c r="OFL15" s="101"/>
      <c r="OFM15" s="101"/>
      <c r="OFN15" s="101"/>
      <c r="OFO15" s="101"/>
      <c r="OFP15" s="101"/>
      <c r="OFQ15" s="101"/>
      <c r="OFR15" s="101"/>
      <c r="OFS15" s="101"/>
      <c r="OFT15" s="101"/>
      <c r="OFU15" s="101"/>
      <c r="OFV15" s="101"/>
      <c r="OFW15" s="101"/>
      <c r="OFX15" s="101"/>
      <c r="OFY15" s="101"/>
      <c r="OFZ15" s="101"/>
      <c r="OGA15" s="101"/>
      <c r="OGB15" s="101"/>
      <c r="OGC15" s="101"/>
      <c r="OGD15" s="101"/>
      <c r="OGE15" s="101"/>
      <c r="OGF15" s="101"/>
      <c r="OGG15" s="101"/>
      <c r="OGH15" s="101"/>
      <c r="OGI15" s="101"/>
      <c r="OGJ15" s="101"/>
      <c r="OGK15" s="101"/>
      <c r="OGL15" s="101"/>
      <c r="OGM15" s="101"/>
      <c r="OGN15" s="101"/>
      <c r="OGO15" s="101"/>
      <c r="OGP15" s="101"/>
      <c r="OGQ15" s="101"/>
      <c r="OGR15" s="101"/>
      <c r="OGS15" s="101"/>
      <c r="OGT15" s="101"/>
      <c r="OGU15" s="101"/>
      <c r="OGV15" s="101"/>
      <c r="OGW15" s="101"/>
      <c r="OGX15" s="101"/>
      <c r="OGY15" s="101"/>
      <c r="OGZ15" s="101"/>
      <c r="OHA15" s="101"/>
      <c r="OHB15" s="101"/>
      <c r="OHC15" s="101"/>
      <c r="OHD15" s="101"/>
      <c r="OHE15" s="101"/>
      <c r="OHF15" s="101"/>
      <c r="OHG15" s="101"/>
      <c r="OHH15" s="101"/>
      <c r="OHI15" s="101"/>
      <c r="OHJ15" s="101"/>
      <c r="OHK15" s="101"/>
      <c r="OHL15" s="101"/>
      <c r="OHM15" s="101"/>
      <c r="OHN15" s="101"/>
      <c r="OHO15" s="101"/>
      <c r="OHP15" s="101"/>
      <c r="OHQ15" s="101"/>
      <c r="OHR15" s="101"/>
      <c r="OHS15" s="101"/>
      <c r="OHT15" s="101"/>
      <c r="OHU15" s="101"/>
      <c r="OHV15" s="101"/>
      <c r="OHW15" s="101"/>
      <c r="OHX15" s="101"/>
      <c r="OHY15" s="101"/>
      <c r="OHZ15" s="101"/>
      <c r="OIA15" s="101"/>
      <c r="OIB15" s="101"/>
      <c r="OIC15" s="101"/>
      <c r="OID15" s="101"/>
      <c r="OIE15" s="101"/>
      <c r="OIF15" s="101"/>
      <c r="OIG15" s="101"/>
      <c r="OIH15" s="101"/>
      <c r="OII15" s="101"/>
      <c r="OIJ15" s="101"/>
      <c r="OIK15" s="101"/>
      <c r="OIL15" s="101"/>
      <c r="OIM15" s="101"/>
      <c r="OIN15" s="101"/>
      <c r="OIO15" s="101"/>
      <c r="OIP15" s="101"/>
      <c r="OIQ15" s="101"/>
      <c r="OIR15" s="101"/>
      <c r="OIS15" s="101"/>
      <c r="OIT15" s="101"/>
      <c r="OIU15" s="101"/>
      <c r="OIV15" s="101"/>
      <c r="OIW15" s="101"/>
      <c r="OIX15" s="101"/>
      <c r="OIY15" s="101"/>
      <c r="OIZ15" s="101"/>
      <c r="OJA15" s="101"/>
      <c r="OJB15" s="101"/>
      <c r="OJC15" s="101"/>
      <c r="OJD15" s="101"/>
      <c r="OJE15" s="101"/>
      <c r="OJF15" s="101"/>
      <c r="OJG15" s="101"/>
      <c r="OJH15" s="101"/>
      <c r="OJI15" s="101"/>
      <c r="OJJ15" s="101"/>
      <c r="OJK15" s="101"/>
      <c r="OJL15" s="101"/>
      <c r="OJM15" s="101"/>
      <c r="OJN15" s="101"/>
      <c r="OJO15" s="101"/>
      <c r="OJP15" s="101"/>
      <c r="OJQ15" s="101"/>
      <c r="OJR15" s="101"/>
      <c r="OJS15" s="101"/>
      <c r="OJT15" s="101"/>
      <c r="OJU15" s="101"/>
      <c r="OJV15" s="101"/>
      <c r="OJW15" s="101"/>
      <c r="OJX15" s="101"/>
      <c r="OJY15" s="101"/>
      <c r="OJZ15" s="101"/>
      <c r="OKA15" s="101"/>
      <c r="OKB15" s="101"/>
      <c r="OKC15" s="101"/>
      <c r="OKD15" s="101"/>
      <c r="OKE15" s="101"/>
      <c r="OKF15" s="101"/>
      <c r="OKG15" s="101"/>
      <c r="OKH15" s="101"/>
      <c r="OKI15" s="101"/>
      <c r="OKJ15" s="101"/>
      <c r="OKK15" s="101"/>
      <c r="OKL15" s="101"/>
      <c r="OKM15" s="101"/>
      <c r="OKN15" s="101"/>
      <c r="OKO15" s="101"/>
      <c r="OKP15" s="101"/>
      <c r="OKQ15" s="101"/>
      <c r="OKR15" s="101"/>
      <c r="OKS15" s="101"/>
      <c r="OKT15" s="101"/>
      <c r="OKU15" s="101"/>
      <c r="OKV15" s="101"/>
      <c r="OKW15" s="101"/>
      <c r="OKX15" s="101"/>
      <c r="OKY15" s="101"/>
      <c r="OKZ15" s="101"/>
      <c r="OLA15" s="101"/>
      <c r="OLB15" s="101"/>
      <c r="OLC15" s="101"/>
      <c r="OLD15" s="101"/>
      <c r="OLE15" s="101"/>
      <c r="OLF15" s="101"/>
      <c r="OLG15" s="101"/>
      <c r="OLH15" s="101"/>
      <c r="OLI15" s="101"/>
      <c r="OLJ15" s="101"/>
      <c r="OLK15" s="101"/>
      <c r="OLL15" s="101"/>
      <c r="OLM15" s="101"/>
      <c r="OLN15" s="101"/>
      <c r="OLO15" s="101"/>
      <c r="OLP15" s="101"/>
      <c r="OLQ15" s="101"/>
      <c r="OLR15" s="101"/>
      <c r="OLS15" s="101"/>
      <c r="OLT15" s="101"/>
      <c r="OLU15" s="101"/>
      <c r="OLV15" s="101"/>
      <c r="OLW15" s="101"/>
      <c r="OLX15" s="101"/>
      <c r="OLY15" s="101"/>
      <c r="OLZ15" s="101"/>
      <c r="OMA15" s="101"/>
      <c r="OMB15" s="101"/>
      <c r="OMC15" s="101"/>
      <c r="OMD15" s="101"/>
      <c r="OME15" s="101"/>
      <c r="OMF15" s="101"/>
      <c r="OMG15" s="101"/>
      <c r="OMH15" s="101"/>
      <c r="OMI15" s="101"/>
      <c r="OMJ15" s="101"/>
      <c r="OMK15" s="101"/>
      <c r="OML15" s="101"/>
      <c r="OMM15" s="101"/>
      <c r="OMN15" s="101"/>
      <c r="OMO15" s="101"/>
      <c r="OMP15" s="101"/>
      <c r="OMQ15" s="101"/>
      <c r="OMR15" s="101"/>
      <c r="OMS15" s="101"/>
      <c r="OMT15" s="101"/>
      <c r="OMU15" s="101"/>
      <c r="OMV15" s="101"/>
      <c r="OMW15" s="101"/>
      <c r="OMX15" s="101"/>
      <c r="OMY15" s="101"/>
      <c r="OMZ15" s="101"/>
      <c r="ONA15" s="101"/>
      <c r="ONB15" s="101"/>
      <c r="ONC15" s="101"/>
      <c r="OND15" s="101"/>
      <c r="ONE15" s="101"/>
      <c r="ONF15" s="101"/>
      <c r="ONG15" s="101"/>
      <c r="ONH15" s="101"/>
      <c r="ONI15" s="101"/>
      <c r="ONJ15" s="101"/>
      <c r="ONK15" s="101"/>
      <c r="ONL15" s="101"/>
      <c r="ONM15" s="101"/>
      <c r="ONN15" s="101"/>
      <c r="ONO15" s="101"/>
      <c r="ONP15" s="101"/>
      <c r="ONQ15" s="101"/>
      <c r="ONR15" s="101"/>
      <c r="ONS15" s="101"/>
      <c r="ONT15" s="101"/>
      <c r="ONU15" s="101"/>
      <c r="ONV15" s="101"/>
      <c r="ONW15" s="101"/>
      <c r="ONX15" s="101"/>
      <c r="ONY15" s="101"/>
      <c r="ONZ15" s="101"/>
      <c r="OOA15" s="101"/>
      <c r="OOB15" s="101"/>
      <c r="OOC15" s="101"/>
      <c r="OOD15" s="101"/>
      <c r="OOE15" s="101"/>
      <c r="OOF15" s="101"/>
      <c r="OOG15" s="101"/>
      <c r="OOH15" s="101"/>
      <c r="OOI15" s="101"/>
      <c r="OOJ15" s="101"/>
      <c r="OOK15" s="101"/>
      <c r="OOL15" s="101"/>
      <c r="OOM15" s="101"/>
      <c r="OON15" s="101"/>
      <c r="OOO15" s="101"/>
      <c r="OOP15" s="101"/>
      <c r="OOQ15" s="101"/>
      <c r="OOR15" s="101"/>
      <c r="OOS15" s="101"/>
      <c r="OOT15" s="101"/>
      <c r="OOU15" s="101"/>
      <c r="OOV15" s="101"/>
      <c r="OOW15" s="101"/>
      <c r="OOX15" s="101"/>
      <c r="OOY15" s="101"/>
      <c r="OOZ15" s="101"/>
      <c r="OPA15" s="101"/>
      <c r="OPB15" s="101"/>
      <c r="OPC15" s="101"/>
      <c r="OPD15" s="101"/>
      <c r="OPE15" s="101"/>
      <c r="OPF15" s="101"/>
      <c r="OPG15" s="101"/>
      <c r="OPH15" s="101"/>
      <c r="OPI15" s="101"/>
      <c r="OPJ15" s="101"/>
      <c r="OPK15" s="101"/>
      <c r="OPL15" s="101"/>
      <c r="OPM15" s="101"/>
      <c r="OPN15" s="101"/>
      <c r="OPO15" s="101"/>
      <c r="OPP15" s="101"/>
      <c r="OPQ15" s="101"/>
      <c r="OPR15" s="101"/>
      <c r="OPS15" s="101"/>
      <c r="OPT15" s="101"/>
      <c r="OPU15" s="101"/>
      <c r="OPV15" s="101"/>
      <c r="OPW15" s="101"/>
      <c r="OPX15" s="101"/>
      <c r="OPY15" s="101"/>
      <c r="OPZ15" s="101"/>
      <c r="OQA15" s="101"/>
      <c r="OQB15" s="101"/>
      <c r="OQC15" s="101"/>
      <c r="OQD15" s="101"/>
      <c r="OQE15" s="101"/>
      <c r="OQF15" s="101"/>
      <c r="OQG15" s="101"/>
      <c r="OQH15" s="101"/>
      <c r="OQI15" s="101"/>
      <c r="OQJ15" s="101"/>
      <c r="OQK15" s="101"/>
      <c r="OQL15" s="101"/>
      <c r="OQM15" s="101"/>
      <c r="OQN15" s="101"/>
      <c r="OQO15" s="101"/>
      <c r="OQP15" s="101"/>
      <c r="OQQ15" s="101"/>
      <c r="OQR15" s="101"/>
      <c r="OQS15" s="101"/>
      <c r="OQT15" s="101"/>
      <c r="OQU15" s="101"/>
      <c r="OQV15" s="101"/>
      <c r="OQW15" s="101"/>
      <c r="OQX15" s="101"/>
      <c r="OQY15" s="101"/>
      <c r="OQZ15" s="101"/>
      <c r="ORA15" s="101"/>
      <c r="ORB15" s="101"/>
      <c r="ORC15" s="101"/>
      <c r="ORD15" s="101"/>
      <c r="ORE15" s="101"/>
      <c r="ORF15" s="101"/>
      <c r="ORG15" s="101"/>
      <c r="ORH15" s="101"/>
      <c r="ORI15" s="101"/>
      <c r="ORJ15" s="101"/>
      <c r="ORK15" s="101"/>
      <c r="ORL15" s="101"/>
      <c r="ORM15" s="101"/>
      <c r="ORN15" s="101"/>
      <c r="ORO15" s="101"/>
      <c r="ORP15" s="101"/>
      <c r="ORQ15" s="101"/>
      <c r="ORR15" s="101"/>
      <c r="ORS15" s="101"/>
      <c r="ORT15" s="101"/>
      <c r="ORU15" s="101"/>
      <c r="ORV15" s="101"/>
      <c r="ORW15" s="101"/>
      <c r="ORX15" s="101"/>
      <c r="ORY15" s="101"/>
      <c r="ORZ15" s="101"/>
      <c r="OSA15" s="101"/>
      <c r="OSB15" s="101"/>
      <c r="OSC15" s="101"/>
      <c r="OSD15" s="101"/>
      <c r="OSE15" s="101"/>
      <c r="OSF15" s="101"/>
      <c r="OSG15" s="101"/>
      <c r="OSH15" s="101"/>
      <c r="OSI15" s="101"/>
      <c r="OSJ15" s="101"/>
      <c r="OSK15" s="101"/>
      <c r="OSL15" s="101"/>
      <c r="OSM15" s="101"/>
      <c r="OSN15" s="101"/>
      <c r="OSO15" s="101"/>
      <c r="OSP15" s="101"/>
      <c r="OSQ15" s="101"/>
      <c r="OSR15" s="101"/>
      <c r="OSS15" s="101"/>
      <c r="OST15" s="101"/>
      <c r="OSU15" s="101"/>
      <c r="OSV15" s="101"/>
      <c r="OSW15" s="101"/>
      <c r="OSX15" s="101"/>
      <c r="OSY15" s="101"/>
      <c r="OSZ15" s="101"/>
      <c r="OTA15" s="101"/>
      <c r="OTB15" s="101"/>
      <c r="OTC15" s="101"/>
      <c r="OTD15" s="101"/>
      <c r="OTE15" s="101"/>
      <c r="OTF15" s="101"/>
      <c r="OTG15" s="101"/>
      <c r="OTH15" s="101"/>
      <c r="OTI15" s="101"/>
      <c r="OTJ15" s="101"/>
      <c r="OTK15" s="101"/>
      <c r="OTL15" s="101"/>
      <c r="OTM15" s="101"/>
      <c r="OTN15" s="101"/>
      <c r="OTO15" s="101"/>
      <c r="OTP15" s="101"/>
      <c r="OTQ15" s="101"/>
      <c r="OTR15" s="101"/>
      <c r="OTS15" s="101"/>
      <c r="OTT15" s="101"/>
      <c r="OTU15" s="101"/>
      <c r="OTV15" s="101"/>
      <c r="OTW15" s="101"/>
      <c r="OTX15" s="101"/>
      <c r="OTY15" s="101"/>
      <c r="OTZ15" s="101"/>
      <c r="OUA15" s="101"/>
      <c r="OUB15" s="101"/>
      <c r="OUC15" s="101"/>
      <c r="OUD15" s="101"/>
      <c r="OUE15" s="101"/>
      <c r="OUF15" s="101"/>
      <c r="OUG15" s="101"/>
      <c r="OUH15" s="101"/>
      <c r="OUI15" s="101"/>
      <c r="OUJ15" s="101"/>
      <c r="OUK15" s="101"/>
      <c r="OUL15" s="101"/>
      <c r="OUM15" s="101"/>
      <c r="OUN15" s="101"/>
      <c r="OUO15" s="101"/>
      <c r="OUP15" s="101"/>
      <c r="OUQ15" s="101"/>
      <c r="OUR15" s="101"/>
      <c r="OUS15" s="101"/>
      <c r="OUT15" s="101"/>
      <c r="OUU15" s="101"/>
      <c r="OUV15" s="101"/>
      <c r="OUW15" s="101"/>
      <c r="OUX15" s="101"/>
      <c r="OUY15" s="101"/>
      <c r="OUZ15" s="101"/>
      <c r="OVA15" s="101"/>
      <c r="OVB15" s="101"/>
      <c r="OVC15" s="101"/>
      <c r="OVD15" s="101"/>
      <c r="OVE15" s="101"/>
      <c r="OVF15" s="101"/>
      <c r="OVG15" s="101"/>
      <c r="OVH15" s="101"/>
      <c r="OVI15" s="101"/>
      <c r="OVJ15" s="101"/>
      <c r="OVK15" s="101"/>
      <c r="OVL15" s="101"/>
      <c r="OVM15" s="101"/>
      <c r="OVN15" s="101"/>
      <c r="OVO15" s="101"/>
      <c r="OVP15" s="101"/>
      <c r="OVQ15" s="101"/>
      <c r="OVR15" s="101"/>
      <c r="OVS15" s="101"/>
      <c r="OVT15" s="101"/>
      <c r="OVU15" s="101"/>
      <c r="OVV15" s="101"/>
      <c r="OVW15" s="101"/>
      <c r="OVX15" s="101"/>
      <c r="OVY15" s="101"/>
      <c r="OVZ15" s="101"/>
      <c r="OWA15" s="101"/>
      <c r="OWB15" s="101"/>
      <c r="OWC15" s="101"/>
      <c r="OWD15" s="101"/>
      <c r="OWE15" s="101"/>
      <c r="OWF15" s="101"/>
      <c r="OWG15" s="101"/>
      <c r="OWH15" s="101"/>
      <c r="OWI15" s="101"/>
      <c r="OWJ15" s="101"/>
      <c r="OWK15" s="101"/>
      <c r="OWL15" s="101"/>
      <c r="OWM15" s="101"/>
      <c r="OWN15" s="101"/>
      <c r="OWO15" s="101"/>
      <c r="OWP15" s="101"/>
      <c r="OWQ15" s="101"/>
      <c r="OWR15" s="101"/>
      <c r="OWS15" s="101"/>
      <c r="OWT15" s="101"/>
      <c r="OWU15" s="101"/>
      <c r="OWV15" s="101"/>
      <c r="OWW15" s="101"/>
      <c r="OWX15" s="101"/>
      <c r="OWY15" s="101"/>
      <c r="OWZ15" s="101"/>
      <c r="OXA15" s="101"/>
      <c r="OXB15" s="101"/>
      <c r="OXC15" s="101"/>
      <c r="OXD15" s="101"/>
      <c r="OXE15" s="101"/>
      <c r="OXF15" s="101"/>
      <c r="OXG15" s="101"/>
      <c r="OXH15" s="101"/>
      <c r="OXI15" s="101"/>
      <c r="OXJ15" s="101"/>
      <c r="OXK15" s="101"/>
      <c r="OXL15" s="101"/>
      <c r="OXM15" s="101"/>
      <c r="OXN15" s="101"/>
      <c r="OXO15" s="101"/>
      <c r="OXP15" s="101"/>
      <c r="OXQ15" s="101"/>
      <c r="OXR15" s="101"/>
      <c r="OXS15" s="101"/>
      <c r="OXT15" s="101"/>
      <c r="OXU15" s="101"/>
      <c r="OXV15" s="101"/>
      <c r="OXW15" s="101"/>
      <c r="OXX15" s="101"/>
      <c r="OXY15" s="101"/>
      <c r="OXZ15" s="101"/>
      <c r="OYA15" s="101"/>
      <c r="OYB15" s="101"/>
      <c r="OYC15" s="101"/>
      <c r="OYD15" s="101"/>
      <c r="OYE15" s="101"/>
      <c r="OYF15" s="101"/>
      <c r="OYG15" s="101"/>
      <c r="OYH15" s="101"/>
      <c r="OYI15" s="101"/>
      <c r="OYJ15" s="101"/>
      <c r="OYK15" s="101"/>
      <c r="OYL15" s="101"/>
      <c r="OYM15" s="101"/>
      <c r="OYN15" s="101"/>
      <c r="OYO15" s="101"/>
      <c r="OYP15" s="101"/>
      <c r="OYQ15" s="101"/>
      <c r="OYR15" s="101"/>
      <c r="OYS15" s="101"/>
      <c r="OYT15" s="101"/>
      <c r="OYU15" s="101"/>
      <c r="OYV15" s="101"/>
      <c r="OYW15" s="101"/>
      <c r="OYX15" s="101"/>
      <c r="OYY15" s="101"/>
      <c r="OYZ15" s="101"/>
      <c r="OZA15" s="101"/>
      <c r="OZB15" s="101"/>
      <c r="OZC15" s="101"/>
      <c r="OZD15" s="101"/>
      <c r="OZE15" s="101"/>
      <c r="OZF15" s="101"/>
      <c r="OZG15" s="101"/>
      <c r="OZH15" s="101"/>
      <c r="OZI15" s="101"/>
      <c r="OZJ15" s="101"/>
      <c r="OZK15" s="101"/>
      <c r="OZL15" s="101"/>
      <c r="OZM15" s="101"/>
      <c r="OZN15" s="101"/>
      <c r="OZO15" s="101"/>
      <c r="OZP15" s="101"/>
      <c r="OZQ15" s="101"/>
      <c r="OZR15" s="101"/>
      <c r="OZS15" s="101"/>
      <c r="OZT15" s="101"/>
      <c r="OZU15" s="101"/>
      <c r="OZV15" s="101"/>
      <c r="OZW15" s="101"/>
      <c r="OZX15" s="101"/>
      <c r="OZY15" s="101"/>
      <c r="OZZ15" s="101"/>
      <c r="PAA15" s="101"/>
      <c r="PAB15" s="101"/>
      <c r="PAC15" s="101"/>
      <c r="PAD15" s="101"/>
      <c r="PAE15" s="101"/>
      <c r="PAF15" s="101"/>
      <c r="PAG15" s="101"/>
      <c r="PAH15" s="101"/>
      <c r="PAI15" s="101"/>
      <c r="PAJ15" s="101"/>
      <c r="PAK15" s="101"/>
      <c r="PAL15" s="101"/>
      <c r="PAM15" s="101"/>
      <c r="PAN15" s="101"/>
      <c r="PAO15" s="101"/>
      <c r="PAP15" s="101"/>
      <c r="PAQ15" s="101"/>
      <c r="PAR15" s="101"/>
      <c r="PAS15" s="101"/>
      <c r="PAT15" s="101"/>
      <c r="PAU15" s="101"/>
      <c r="PAV15" s="101"/>
      <c r="PAW15" s="101"/>
      <c r="PAX15" s="101"/>
      <c r="PAY15" s="101"/>
      <c r="PAZ15" s="101"/>
      <c r="PBA15" s="101"/>
      <c r="PBB15" s="101"/>
      <c r="PBC15" s="101"/>
      <c r="PBD15" s="101"/>
      <c r="PBE15" s="101"/>
      <c r="PBF15" s="101"/>
      <c r="PBG15" s="101"/>
      <c r="PBH15" s="101"/>
      <c r="PBI15" s="101"/>
      <c r="PBJ15" s="101"/>
      <c r="PBK15" s="101"/>
      <c r="PBL15" s="101"/>
      <c r="PBM15" s="101"/>
      <c r="PBN15" s="101"/>
      <c r="PBO15" s="101"/>
      <c r="PBP15" s="101"/>
      <c r="PBQ15" s="101"/>
      <c r="PBR15" s="101"/>
      <c r="PBS15" s="101"/>
      <c r="PBT15" s="101"/>
      <c r="PBU15" s="101"/>
      <c r="PBV15" s="101"/>
      <c r="PBW15" s="101"/>
      <c r="PBX15" s="101"/>
      <c r="PBY15" s="101"/>
      <c r="PBZ15" s="101"/>
      <c r="PCA15" s="101"/>
      <c r="PCB15" s="101"/>
      <c r="PCC15" s="101"/>
      <c r="PCD15" s="101"/>
      <c r="PCE15" s="101"/>
      <c r="PCF15" s="101"/>
      <c r="PCG15" s="101"/>
      <c r="PCH15" s="101"/>
      <c r="PCI15" s="101"/>
      <c r="PCJ15" s="101"/>
      <c r="PCK15" s="101"/>
      <c r="PCL15" s="101"/>
      <c r="PCM15" s="101"/>
      <c r="PCN15" s="101"/>
      <c r="PCO15" s="101"/>
      <c r="PCP15" s="101"/>
      <c r="PCQ15" s="101"/>
      <c r="PCR15" s="101"/>
      <c r="PCS15" s="101"/>
      <c r="PCT15" s="101"/>
      <c r="PCU15" s="101"/>
      <c r="PCV15" s="101"/>
      <c r="PCW15" s="101"/>
      <c r="PCX15" s="101"/>
      <c r="PCY15" s="101"/>
      <c r="PCZ15" s="101"/>
      <c r="PDA15" s="101"/>
      <c r="PDB15" s="101"/>
      <c r="PDC15" s="101"/>
      <c r="PDD15" s="101"/>
      <c r="PDE15" s="101"/>
      <c r="PDF15" s="101"/>
      <c r="PDG15" s="101"/>
      <c r="PDH15" s="101"/>
      <c r="PDI15" s="101"/>
      <c r="PDJ15" s="101"/>
      <c r="PDK15" s="101"/>
      <c r="PDL15" s="101"/>
      <c r="PDM15" s="101"/>
      <c r="PDN15" s="101"/>
      <c r="PDO15" s="101"/>
      <c r="PDP15" s="101"/>
      <c r="PDQ15" s="101"/>
      <c r="PDR15" s="101"/>
      <c r="PDS15" s="101"/>
      <c r="PDT15" s="101"/>
      <c r="PDU15" s="101"/>
      <c r="PDV15" s="101"/>
      <c r="PDW15" s="101"/>
      <c r="PDX15" s="101"/>
      <c r="PDY15" s="101"/>
      <c r="PDZ15" s="101"/>
      <c r="PEA15" s="101"/>
      <c r="PEB15" s="101"/>
      <c r="PEC15" s="101"/>
      <c r="PED15" s="101"/>
      <c r="PEE15" s="101"/>
      <c r="PEF15" s="101"/>
      <c r="PEG15" s="101"/>
      <c r="PEH15" s="101"/>
      <c r="PEI15" s="101"/>
      <c r="PEJ15" s="101"/>
      <c r="PEK15" s="101"/>
      <c r="PEL15" s="101"/>
      <c r="PEM15" s="101"/>
      <c r="PEN15" s="101"/>
      <c r="PEO15" s="101"/>
      <c r="PEP15" s="101"/>
      <c r="PEQ15" s="101"/>
      <c r="PER15" s="101"/>
      <c r="PES15" s="101"/>
      <c r="PET15" s="101"/>
      <c r="PEU15" s="101"/>
      <c r="PEV15" s="101"/>
      <c r="PEW15" s="101"/>
      <c r="PEX15" s="101"/>
      <c r="PEY15" s="101"/>
      <c r="PEZ15" s="101"/>
      <c r="PFA15" s="101"/>
      <c r="PFB15" s="101"/>
      <c r="PFC15" s="101"/>
      <c r="PFD15" s="101"/>
      <c r="PFE15" s="101"/>
      <c r="PFF15" s="101"/>
      <c r="PFG15" s="101"/>
      <c r="PFH15" s="101"/>
      <c r="PFI15" s="101"/>
      <c r="PFJ15" s="101"/>
      <c r="PFK15" s="101"/>
      <c r="PFL15" s="101"/>
      <c r="PFM15" s="101"/>
      <c r="PFN15" s="101"/>
      <c r="PFO15" s="101"/>
      <c r="PFP15" s="101"/>
      <c r="PFQ15" s="101"/>
      <c r="PFR15" s="101"/>
      <c r="PFS15" s="101"/>
      <c r="PFT15" s="101"/>
      <c r="PFU15" s="101"/>
      <c r="PFV15" s="101"/>
      <c r="PFW15" s="101"/>
      <c r="PFX15" s="101"/>
      <c r="PFY15" s="101"/>
      <c r="PFZ15" s="101"/>
      <c r="PGA15" s="101"/>
      <c r="PGB15" s="101"/>
      <c r="PGC15" s="101"/>
      <c r="PGD15" s="101"/>
      <c r="PGE15" s="101"/>
      <c r="PGF15" s="101"/>
      <c r="PGG15" s="101"/>
      <c r="PGH15" s="101"/>
      <c r="PGI15" s="101"/>
      <c r="PGJ15" s="101"/>
      <c r="PGK15" s="101"/>
      <c r="PGL15" s="101"/>
      <c r="PGM15" s="101"/>
      <c r="PGN15" s="101"/>
      <c r="PGO15" s="101"/>
      <c r="PGP15" s="101"/>
      <c r="PGQ15" s="101"/>
      <c r="PGR15" s="101"/>
      <c r="PGS15" s="101"/>
      <c r="PGT15" s="101"/>
      <c r="PGU15" s="101"/>
      <c r="PGV15" s="101"/>
      <c r="PGW15" s="101"/>
      <c r="PGX15" s="101"/>
      <c r="PGY15" s="101"/>
      <c r="PGZ15" s="101"/>
      <c r="PHA15" s="101"/>
      <c r="PHB15" s="101"/>
      <c r="PHC15" s="101"/>
      <c r="PHD15" s="101"/>
      <c r="PHE15" s="101"/>
      <c r="PHF15" s="101"/>
      <c r="PHG15" s="101"/>
      <c r="PHH15" s="101"/>
      <c r="PHI15" s="101"/>
      <c r="PHJ15" s="101"/>
      <c r="PHK15" s="101"/>
      <c r="PHL15" s="101"/>
      <c r="PHM15" s="101"/>
      <c r="PHN15" s="101"/>
      <c r="PHO15" s="101"/>
      <c r="PHP15" s="101"/>
      <c r="PHQ15" s="101"/>
      <c r="PHR15" s="101"/>
      <c r="PHS15" s="101"/>
      <c r="PHT15" s="101"/>
      <c r="PHU15" s="101"/>
      <c r="PHV15" s="101"/>
      <c r="PHW15" s="101"/>
      <c r="PHX15" s="101"/>
      <c r="PHY15" s="101"/>
      <c r="PHZ15" s="101"/>
      <c r="PIA15" s="101"/>
      <c r="PIB15" s="101"/>
      <c r="PIC15" s="101"/>
      <c r="PID15" s="101"/>
      <c r="PIE15" s="101"/>
      <c r="PIF15" s="101"/>
      <c r="PIG15" s="101"/>
      <c r="PIH15" s="101"/>
      <c r="PII15" s="101"/>
      <c r="PIJ15" s="101"/>
      <c r="PIK15" s="101"/>
      <c r="PIL15" s="101"/>
      <c r="PIM15" s="101"/>
      <c r="PIN15" s="101"/>
      <c r="PIO15" s="101"/>
      <c r="PIP15" s="101"/>
      <c r="PIQ15" s="101"/>
      <c r="PIR15" s="101"/>
      <c r="PIS15" s="101"/>
      <c r="PIT15" s="101"/>
      <c r="PIU15" s="101"/>
      <c r="PIV15" s="101"/>
      <c r="PIW15" s="101"/>
      <c r="PIX15" s="101"/>
      <c r="PIY15" s="101"/>
      <c r="PIZ15" s="101"/>
      <c r="PJA15" s="101"/>
      <c r="PJB15" s="101"/>
      <c r="PJC15" s="101"/>
      <c r="PJD15" s="101"/>
      <c r="PJE15" s="101"/>
      <c r="PJF15" s="101"/>
      <c r="PJG15" s="101"/>
      <c r="PJH15" s="101"/>
      <c r="PJI15" s="101"/>
      <c r="PJJ15" s="101"/>
      <c r="PJK15" s="101"/>
      <c r="PJL15" s="101"/>
      <c r="PJM15" s="101"/>
      <c r="PJN15" s="101"/>
      <c r="PJO15" s="101"/>
      <c r="PJP15" s="101"/>
      <c r="PJQ15" s="101"/>
      <c r="PJR15" s="101"/>
      <c r="PJS15" s="101"/>
      <c r="PJT15" s="101"/>
      <c r="PJU15" s="101"/>
      <c r="PJV15" s="101"/>
      <c r="PJW15" s="101"/>
      <c r="PJX15" s="101"/>
      <c r="PJY15" s="101"/>
      <c r="PJZ15" s="101"/>
      <c r="PKA15" s="101"/>
      <c r="PKB15" s="101"/>
      <c r="PKC15" s="101"/>
      <c r="PKD15" s="101"/>
      <c r="PKE15" s="101"/>
      <c r="PKF15" s="101"/>
      <c r="PKG15" s="101"/>
      <c r="PKH15" s="101"/>
      <c r="PKI15" s="101"/>
      <c r="PKJ15" s="101"/>
      <c r="PKK15" s="101"/>
      <c r="PKL15" s="101"/>
      <c r="PKM15" s="101"/>
      <c r="PKN15" s="101"/>
      <c r="PKO15" s="101"/>
      <c r="PKP15" s="101"/>
      <c r="PKQ15" s="101"/>
      <c r="PKR15" s="101"/>
      <c r="PKS15" s="101"/>
      <c r="PKT15" s="101"/>
      <c r="PKU15" s="101"/>
      <c r="PKV15" s="101"/>
      <c r="PKW15" s="101"/>
      <c r="PKX15" s="101"/>
      <c r="PKY15" s="101"/>
      <c r="PKZ15" s="101"/>
      <c r="PLA15" s="101"/>
      <c r="PLB15" s="101"/>
      <c r="PLC15" s="101"/>
      <c r="PLD15" s="101"/>
      <c r="PLE15" s="101"/>
      <c r="PLF15" s="101"/>
      <c r="PLG15" s="101"/>
      <c r="PLH15" s="101"/>
      <c r="PLI15" s="101"/>
      <c r="PLJ15" s="101"/>
      <c r="PLK15" s="101"/>
      <c r="PLL15" s="101"/>
      <c r="PLM15" s="101"/>
      <c r="PLN15" s="101"/>
      <c r="PLO15" s="101"/>
      <c r="PLP15" s="101"/>
      <c r="PLQ15" s="101"/>
      <c r="PLR15" s="101"/>
      <c r="PLS15" s="101"/>
      <c r="PLT15" s="101"/>
      <c r="PLU15" s="101"/>
      <c r="PLV15" s="101"/>
      <c r="PLW15" s="101"/>
      <c r="PLX15" s="101"/>
      <c r="PLY15" s="101"/>
      <c r="PLZ15" s="101"/>
      <c r="PMA15" s="101"/>
      <c r="PMB15" s="101"/>
      <c r="PMC15" s="101"/>
      <c r="PMD15" s="101"/>
      <c r="PME15" s="101"/>
      <c r="PMF15" s="101"/>
      <c r="PMG15" s="101"/>
      <c r="PMH15" s="101"/>
      <c r="PMI15" s="101"/>
      <c r="PMJ15" s="101"/>
      <c r="PMK15" s="101"/>
      <c r="PML15" s="101"/>
      <c r="PMM15" s="101"/>
      <c r="PMN15" s="101"/>
      <c r="PMO15" s="101"/>
      <c r="PMP15" s="101"/>
      <c r="PMQ15" s="101"/>
      <c r="PMR15" s="101"/>
      <c r="PMS15" s="101"/>
      <c r="PMT15" s="101"/>
      <c r="PMU15" s="101"/>
      <c r="PMV15" s="101"/>
      <c r="PMW15" s="101"/>
      <c r="PMX15" s="101"/>
      <c r="PMY15" s="101"/>
      <c r="PMZ15" s="101"/>
      <c r="PNA15" s="101"/>
      <c r="PNB15" s="101"/>
      <c r="PNC15" s="101"/>
      <c r="PND15" s="101"/>
      <c r="PNE15" s="101"/>
      <c r="PNF15" s="101"/>
      <c r="PNG15" s="101"/>
      <c r="PNH15" s="101"/>
      <c r="PNI15" s="101"/>
      <c r="PNJ15" s="101"/>
      <c r="PNK15" s="101"/>
      <c r="PNL15" s="101"/>
      <c r="PNM15" s="101"/>
      <c r="PNN15" s="101"/>
      <c r="PNO15" s="101"/>
      <c r="PNP15" s="101"/>
      <c r="PNQ15" s="101"/>
      <c r="PNR15" s="101"/>
      <c r="PNS15" s="101"/>
      <c r="PNT15" s="101"/>
      <c r="PNU15" s="101"/>
      <c r="PNV15" s="101"/>
      <c r="PNW15" s="101"/>
      <c r="PNX15" s="101"/>
      <c r="PNY15" s="101"/>
      <c r="PNZ15" s="101"/>
      <c r="POA15" s="101"/>
      <c r="POB15" s="101"/>
      <c r="POC15" s="101"/>
      <c r="POD15" s="101"/>
      <c r="POE15" s="101"/>
      <c r="POF15" s="101"/>
      <c r="POG15" s="101"/>
      <c r="POH15" s="101"/>
      <c r="POI15" s="101"/>
      <c r="POJ15" s="101"/>
      <c r="POK15" s="101"/>
      <c r="POL15" s="101"/>
      <c r="POM15" s="101"/>
      <c r="PON15" s="101"/>
      <c r="POO15" s="101"/>
      <c r="POP15" s="101"/>
      <c r="POQ15" s="101"/>
      <c r="POR15" s="101"/>
      <c r="POS15" s="101"/>
      <c r="POT15" s="101"/>
      <c r="POU15" s="101"/>
      <c r="POV15" s="101"/>
      <c r="POW15" s="101"/>
      <c r="POX15" s="101"/>
      <c r="POY15" s="101"/>
      <c r="POZ15" s="101"/>
      <c r="PPA15" s="101"/>
      <c r="PPB15" s="101"/>
      <c r="PPC15" s="101"/>
      <c r="PPD15" s="101"/>
      <c r="PPE15" s="101"/>
      <c r="PPF15" s="101"/>
      <c r="PPG15" s="101"/>
      <c r="PPH15" s="101"/>
      <c r="PPI15" s="101"/>
      <c r="PPJ15" s="101"/>
      <c r="PPK15" s="101"/>
      <c r="PPL15" s="101"/>
      <c r="PPM15" s="101"/>
      <c r="PPN15" s="101"/>
      <c r="PPO15" s="101"/>
      <c r="PPP15" s="101"/>
      <c r="PPQ15" s="101"/>
      <c r="PPR15" s="101"/>
      <c r="PPS15" s="101"/>
      <c r="PPT15" s="101"/>
      <c r="PPU15" s="101"/>
      <c r="PPV15" s="101"/>
      <c r="PPW15" s="101"/>
      <c r="PPX15" s="101"/>
      <c r="PPY15" s="101"/>
      <c r="PPZ15" s="101"/>
      <c r="PQA15" s="101"/>
      <c r="PQB15" s="101"/>
      <c r="PQC15" s="101"/>
      <c r="PQD15" s="101"/>
      <c r="PQE15" s="101"/>
      <c r="PQF15" s="101"/>
      <c r="PQG15" s="101"/>
      <c r="PQH15" s="101"/>
      <c r="PQI15" s="101"/>
      <c r="PQJ15" s="101"/>
      <c r="PQK15" s="101"/>
      <c r="PQL15" s="101"/>
      <c r="PQM15" s="101"/>
      <c r="PQN15" s="101"/>
      <c r="PQO15" s="101"/>
      <c r="PQP15" s="101"/>
      <c r="PQQ15" s="101"/>
      <c r="PQR15" s="101"/>
      <c r="PQS15" s="101"/>
      <c r="PQT15" s="101"/>
      <c r="PQU15" s="101"/>
      <c r="PQV15" s="101"/>
      <c r="PQW15" s="101"/>
      <c r="PQX15" s="101"/>
      <c r="PQY15" s="101"/>
      <c r="PQZ15" s="101"/>
      <c r="PRA15" s="101"/>
      <c r="PRB15" s="101"/>
      <c r="PRC15" s="101"/>
      <c r="PRD15" s="101"/>
      <c r="PRE15" s="101"/>
      <c r="PRF15" s="101"/>
      <c r="PRG15" s="101"/>
      <c r="PRH15" s="101"/>
      <c r="PRI15" s="101"/>
      <c r="PRJ15" s="101"/>
      <c r="PRK15" s="101"/>
      <c r="PRL15" s="101"/>
      <c r="PRM15" s="101"/>
      <c r="PRN15" s="101"/>
      <c r="PRO15" s="101"/>
      <c r="PRP15" s="101"/>
      <c r="PRQ15" s="101"/>
      <c r="PRR15" s="101"/>
      <c r="PRS15" s="101"/>
      <c r="PRT15" s="101"/>
      <c r="PRU15" s="101"/>
      <c r="PRV15" s="101"/>
      <c r="PRW15" s="101"/>
      <c r="PRX15" s="101"/>
      <c r="PRY15" s="101"/>
      <c r="PRZ15" s="101"/>
      <c r="PSA15" s="101"/>
      <c r="PSB15" s="101"/>
      <c r="PSC15" s="101"/>
      <c r="PSD15" s="101"/>
      <c r="PSE15" s="101"/>
      <c r="PSF15" s="101"/>
      <c r="PSG15" s="101"/>
      <c r="PSH15" s="101"/>
      <c r="PSI15" s="101"/>
      <c r="PSJ15" s="101"/>
      <c r="PSK15" s="101"/>
      <c r="PSL15" s="101"/>
      <c r="PSM15" s="101"/>
      <c r="PSN15" s="101"/>
      <c r="PSO15" s="101"/>
      <c r="PSP15" s="101"/>
      <c r="PSQ15" s="101"/>
      <c r="PSR15" s="101"/>
      <c r="PSS15" s="101"/>
      <c r="PST15" s="101"/>
      <c r="PSU15" s="101"/>
      <c r="PSV15" s="101"/>
      <c r="PSW15" s="101"/>
      <c r="PSX15" s="101"/>
      <c r="PSY15" s="101"/>
      <c r="PSZ15" s="101"/>
      <c r="PTA15" s="101"/>
      <c r="PTB15" s="101"/>
      <c r="PTC15" s="101"/>
      <c r="PTD15" s="101"/>
      <c r="PTE15" s="101"/>
      <c r="PTF15" s="101"/>
      <c r="PTG15" s="101"/>
      <c r="PTH15" s="101"/>
      <c r="PTI15" s="101"/>
      <c r="PTJ15" s="101"/>
      <c r="PTK15" s="101"/>
      <c r="PTL15" s="101"/>
      <c r="PTM15" s="101"/>
      <c r="PTN15" s="101"/>
      <c r="PTO15" s="101"/>
      <c r="PTP15" s="101"/>
      <c r="PTQ15" s="101"/>
      <c r="PTR15" s="101"/>
      <c r="PTS15" s="101"/>
      <c r="PTT15" s="101"/>
      <c r="PTU15" s="101"/>
      <c r="PTV15" s="101"/>
      <c r="PTW15" s="101"/>
      <c r="PTX15" s="101"/>
      <c r="PTY15" s="101"/>
      <c r="PTZ15" s="101"/>
      <c r="PUA15" s="101"/>
      <c r="PUB15" s="101"/>
      <c r="PUC15" s="101"/>
      <c r="PUD15" s="101"/>
      <c r="PUE15" s="101"/>
      <c r="PUF15" s="101"/>
      <c r="PUG15" s="101"/>
      <c r="PUH15" s="101"/>
      <c r="PUI15" s="101"/>
      <c r="PUJ15" s="101"/>
      <c r="PUK15" s="101"/>
      <c r="PUL15" s="101"/>
      <c r="PUM15" s="101"/>
      <c r="PUN15" s="101"/>
      <c r="PUO15" s="101"/>
      <c r="PUP15" s="101"/>
      <c r="PUQ15" s="101"/>
      <c r="PUR15" s="101"/>
      <c r="PUS15" s="101"/>
      <c r="PUT15" s="101"/>
      <c r="PUU15" s="101"/>
      <c r="PUV15" s="101"/>
      <c r="PUW15" s="101"/>
      <c r="PUX15" s="101"/>
      <c r="PUY15" s="101"/>
      <c r="PUZ15" s="101"/>
      <c r="PVA15" s="101"/>
      <c r="PVB15" s="101"/>
      <c r="PVC15" s="101"/>
      <c r="PVD15" s="101"/>
      <c r="PVE15" s="101"/>
      <c r="PVF15" s="101"/>
      <c r="PVG15" s="101"/>
      <c r="PVH15" s="101"/>
      <c r="PVI15" s="101"/>
      <c r="PVJ15" s="101"/>
      <c r="PVK15" s="101"/>
      <c r="PVL15" s="101"/>
      <c r="PVM15" s="101"/>
      <c r="PVN15" s="101"/>
      <c r="PVO15" s="101"/>
      <c r="PVP15" s="101"/>
      <c r="PVQ15" s="101"/>
      <c r="PVR15" s="101"/>
      <c r="PVS15" s="101"/>
      <c r="PVT15" s="101"/>
      <c r="PVU15" s="101"/>
      <c r="PVV15" s="101"/>
      <c r="PVW15" s="101"/>
      <c r="PVX15" s="101"/>
      <c r="PVY15" s="101"/>
      <c r="PVZ15" s="101"/>
      <c r="PWA15" s="101"/>
      <c r="PWB15" s="101"/>
      <c r="PWC15" s="101"/>
      <c r="PWD15" s="101"/>
      <c r="PWE15" s="101"/>
      <c r="PWF15" s="101"/>
      <c r="PWG15" s="101"/>
      <c r="PWH15" s="101"/>
      <c r="PWI15" s="101"/>
      <c r="PWJ15" s="101"/>
      <c r="PWK15" s="101"/>
      <c r="PWL15" s="101"/>
      <c r="PWM15" s="101"/>
      <c r="PWN15" s="101"/>
      <c r="PWO15" s="101"/>
      <c r="PWP15" s="101"/>
      <c r="PWQ15" s="101"/>
      <c r="PWR15" s="101"/>
      <c r="PWS15" s="101"/>
      <c r="PWT15" s="101"/>
      <c r="PWU15" s="101"/>
      <c r="PWV15" s="101"/>
      <c r="PWW15" s="101"/>
      <c r="PWX15" s="101"/>
      <c r="PWY15" s="101"/>
      <c r="PWZ15" s="101"/>
      <c r="PXA15" s="101"/>
      <c r="PXB15" s="101"/>
      <c r="PXC15" s="101"/>
      <c r="PXD15" s="101"/>
      <c r="PXE15" s="101"/>
      <c r="PXF15" s="101"/>
      <c r="PXG15" s="101"/>
      <c r="PXH15" s="101"/>
      <c r="PXI15" s="101"/>
      <c r="PXJ15" s="101"/>
      <c r="PXK15" s="101"/>
      <c r="PXL15" s="101"/>
      <c r="PXM15" s="101"/>
      <c r="PXN15" s="101"/>
      <c r="PXO15" s="101"/>
      <c r="PXP15" s="101"/>
      <c r="PXQ15" s="101"/>
      <c r="PXR15" s="101"/>
      <c r="PXS15" s="101"/>
      <c r="PXT15" s="101"/>
      <c r="PXU15" s="101"/>
      <c r="PXV15" s="101"/>
      <c r="PXW15" s="101"/>
      <c r="PXX15" s="101"/>
      <c r="PXY15" s="101"/>
      <c r="PXZ15" s="101"/>
      <c r="PYA15" s="101"/>
      <c r="PYB15" s="101"/>
      <c r="PYC15" s="101"/>
      <c r="PYD15" s="101"/>
      <c r="PYE15" s="101"/>
      <c r="PYF15" s="101"/>
      <c r="PYG15" s="101"/>
      <c r="PYH15" s="101"/>
      <c r="PYI15" s="101"/>
      <c r="PYJ15" s="101"/>
      <c r="PYK15" s="101"/>
      <c r="PYL15" s="101"/>
      <c r="PYM15" s="101"/>
      <c r="PYN15" s="101"/>
      <c r="PYO15" s="101"/>
      <c r="PYP15" s="101"/>
      <c r="PYQ15" s="101"/>
      <c r="PYR15" s="101"/>
      <c r="PYS15" s="101"/>
      <c r="PYT15" s="101"/>
      <c r="PYU15" s="101"/>
      <c r="PYV15" s="101"/>
      <c r="PYW15" s="101"/>
      <c r="PYX15" s="101"/>
      <c r="PYY15" s="101"/>
      <c r="PYZ15" s="101"/>
      <c r="PZA15" s="101"/>
      <c r="PZB15" s="101"/>
      <c r="PZC15" s="101"/>
      <c r="PZD15" s="101"/>
      <c r="PZE15" s="101"/>
      <c r="PZF15" s="101"/>
      <c r="PZG15" s="101"/>
      <c r="PZH15" s="101"/>
      <c r="PZI15" s="101"/>
      <c r="PZJ15" s="101"/>
      <c r="PZK15" s="101"/>
      <c r="PZL15" s="101"/>
      <c r="PZM15" s="101"/>
      <c r="PZN15" s="101"/>
      <c r="PZO15" s="101"/>
      <c r="PZP15" s="101"/>
      <c r="PZQ15" s="101"/>
      <c r="PZR15" s="101"/>
      <c r="PZS15" s="101"/>
      <c r="PZT15" s="101"/>
      <c r="PZU15" s="101"/>
      <c r="PZV15" s="101"/>
      <c r="PZW15" s="101"/>
      <c r="PZX15" s="101"/>
      <c r="PZY15" s="101"/>
      <c r="PZZ15" s="101"/>
      <c r="QAA15" s="101"/>
      <c r="QAB15" s="101"/>
      <c r="QAC15" s="101"/>
      <c r="QAD15" s="101"/>
      <c r="QAE15" s="101"/>
      <c r="QAF15" s="101"/>
      <c r="QAG15" s="101"/>
      <c r="QAH15" s="101"/>
      <c r="QAI15" s="101"/>
      <c r="QAJ15" s="101"/>
      <c r="QAK15" s="101"/>
      <c r="QAL15" s="101"/>
      <c r="QAM15" s="101"/>
      <c r="QAN15" s="101"/>
      <c r="QAO15" s="101"/>
      <c r="QAP15" s="101"/>
      <c r="QAQ15" s="101"/>
      <c r="QAR15" s="101"/>
      <c r="QAS15" s="101"/>
      <c r="QAT15" s="101"/>
      <c r="QAU15" s="101"/>
      <c r="QAV15" s="101"/>
      <c r="QAW15" s="101"/>
      <c r="QAX15" s="101"/>
      <c r="QAY15" s="101"/>
      <c r="QAZ15" s="101"/>
      <c r="QBA15" s="101"/>
      <c r="QBB15" s="101"/>
      <c r="QBC15" s="101"/>
      <c r="QBD15" s="101"/>
      <c r="QBE15" s="101"/>
      <c r="QBF15" s="101"/>
      <c r="QBG15" s="101"/>
      <c r="QBH15" s="101"/>
      <c r="QBI15" s="101"/>
      <c r="QBJ15" s="101"/>
      <c r="QBK15" s="101"/>
      <c r="QBL15" s="101"/>
      <c r="QBM15" s="101"/>
      <c r="QBN15" s="101"/>
      <c r="QBO15" s="101"/>
      <c r="QBP15" s="101"/>
      <c r="QBQ15" s="101"/>
      <c r="QBR15" s="101"/>
      <c r="QBS15" s="101"/>
      <c r="QBT15" s="101"/>
      <c r="QBU15" s="101"/>
      <c r="QBV15" s="101"/>
      <c r="QBW15" s="101"/>
      <c r="QBX15" s="101"/>
      <c r="QBY15" s="101"/>
      <c r="QBZ15" s="101"/>
      <c r="QCA15" s="101"/>
      <c r="QCB15" s="101"/>
      <c r="QCC15" s="101"/>
      <c r="QCD15" s="101"/>
      <c r="QCE15" s="101"/>
      <c r="QCF15" s="101"/>
      <c r="QCG15" s="101"/>
      <c r="QCH15" s="101"/>
      <c r="QCI15" s="101"/>
      <c r="QCJ15" s="101"/>
      <c r="QCK15" s="101"/>
      <c r="QCL15" s="101"/>
      <c r="QCM15" s="101"/>
      <c r="QCN15" s="101"/>
      <c r="QCO15" s="101"/>
      <c r="QCP15" s="101"/>
      <c r="QCQ15" s="101"/>
      <c r="QCR15" s="101"/>
      <c r="QCS15" s="101"/>
      <c r="QCT15" s="101"/>
      <c r="QCU15" s="101"/>
      <c r="QCV15" s="101"/>
      <c r="QCW15" s="101"/>
      <c r="QCX15" s="101"/>
      <c r="QCY15" s="101"/>
      <c r="QCZ15" s="101"/>
      <c r="QDA15" s="101"/>
      <c r="QDB15" s="101"/>
      <c r="QDC15" s="101"/>
      <c r="QDD15" s="101"/>
      <c r="QDE15" s="101"/>
      <c r="QDF15" s="101"/>
      <c r="QDG15" s="101"/>
      <c r="QDH15" s="101"/>
      <c r="QDI15" s="101"/>
      <c r="QDJ15" s="101"/>
      <c r="QDK15" s="101"/>
      <c r="QDL15" s="101"/>
      <c r="QDM15" s="101"/>
      <c r="QDN15" s="101"/>
      <c r="QDO15" s="101"/>
      <c r="QDP15" s="101"/>
      <c r="QDQ15" s="101"/>
      <c r="QDR15" s="101"/>
      <c r="QDS15" s="101"/>
      <c r="QDT15" s="101"/>
      <c r="QDU15" s="101"/>
      <c r="QDV15" s="101"/>
      <c r="QDW15" s="101"/>
      <c r="QDX15" s="101"/>
      <c r="QDY15" s="101"/>
      <c r="QDZ15" s="101"/>
      <c r="QEA15" s="101"/>
      <c r="QEB15" s="101"/>
      <c r="QEC15" s="101"/>
      <c r="QED15" s="101"/>
      <c r="QEE15" s="101"/>
      <c r="QEF15" s="101"/>
      <c r="QEG15" s="101"/>
      <c r="QEH15" s="101"/>
      <c r="QEI15" s="101"/>
      <c r="QEJ15" s="101"/>
      <c r="QEK15" s="101"/>
      <c r="QEL15" s="101"/>
      <c r="QEM15" s="101"/>
      <c r="QEN15" s="101"/>
      <c r="QEO15" s="101"/>
      <c r="QEP15" s="101"/>
      <c r="QEQ15" s="101"/>
      <c r="QER15" s="101"/>
      <c r="QES15" s="101"/>
      <c r="QET15" s="101"/>
      <c r="QEU15" s="101"/>
      <c r="QEV15" s="101"/>
      <c r="QEW15" s="101"/>
      <c r="QEX15" s="101"/>
      <c r="QEY15" s="101"/>
      <c r="QEZ15" s="101"/>
      <c r="QFA15" s="101"/>
      <c r="QFB15" s="101"/>
      <c r="QFC15" s="101"/>
      <c r="QFD15" s="101"/>
      <c r="QFE15" s="101"/>
      <c r="QFF15" s="101"/>
      <c r="QFG15" s="101"/>
      <c r="QFH15" s="101"/>
      <c r="QFI15" s="101"/>
      <c r="QFJ15" s="101"/>
      <c r="QFK15" s="101"/>
      <c r="QFL15" s="101"/>
      <c r="QFM15" s="101"/>
      <c r="QFN15" s="101"/>
      <c r="QFO15" s="101"/>
      <c r="QFP15" s="101"/>
      <c r="QFQ15" s="101"/>
      <c r="QFR15" s="101"/>
      <c r="QFS15" s="101"/>
      <c r="QFT15" s="101"/>
      <c r="QFU15" s="101"/>
      <c r="QFV15" s="101"/>
      <c r="QFW15" s="101"/>
      <c r="QFX15" s="101"/>
      <c r="QFY15" s="101"/>
      <c r="QFZ15" s="101"/>
      <c r="QGA15" s="101"/>
      <c r="QGB15" s="101"/>
      <c r="QGC15" s="101"/>
      <c r="QGD15" s="101"/>
      <c r="QGE15" s="101"/>
      <c r="QGF15" s="101"/>
      <c r="QGG15" s="101"/>
      <c r="QGH15" s="101"/>
      <c r="QGI15" s="101"/>
      <c r="QGJ15" s="101"/>
      <c r="QGK15" s="101"/>
      <c r="QGL15" s="101"/>
      <c r="QGM15" s="101"/>
      <c r="QGN15" s="101"/>
      <c r="QGO15" s="101"/>
      <c r="QGP15" s="101"/>
      <c r="QGQ15" s="101"/>
      <c r="QGR15" s="101"/>
      <c r="QGS15" s="101"/>
      <c r="QGT15" s="101"/>
      <c r="QGU15" s="101"/>
      <c r="QGV15" s="101"/>
      <c r="QGW15" s="101"/>
      <c r="QGX15" s="101"/>
      <c r="QGY15" s="101"/>
      <c r="QGZ15" s="101"/>
      <c r="QHA15" s="101"/>
      <c r="QHB15" s="101"/>
      <c r="QHC15" s="101"/>
      <c r="QHD15" s="101"/>
      <c r="QHE15" s="101"/>
      <c r="QHF15" s="101"/>
      <c r="QHG15" s="101"/>
      <c r="QHH15" s="101"/>
      <c r="QHI15" s="101"/>
      <c r="QHJ15" s="101"/>
      <c r="QHK15" s="101"/>
      <c r="QHL15" s="101"/>
      <c r="QHM15" s="101"/>
      <c r="QHN15" s="101"/>
      <c r="QHO15" s="101"/>
      <c r="QHP15" s="101"/>
      <c r="QHQ15" s="101"/>
      <c r="QHR15" s="101"/>
      <c r="QHS15" s="101"/>
      <c r="QHT15" s="101"/>
      <c r="QHU15" s="101"/>
      <c r="QHV15" s="101"/>
      <c r="QHW15" s="101"/>
      <c r="QHX15" s="101"/>
      <c r="QHY15" s="101"/>
      <c r="QHZ15" s="101"/>
      <c r="QIA15" s="101"/>
      <c r="QIB15" s="101"/>
      <c r="QIC15" s="101"/>
      <c r="QID15" s="101"/>
      <c r="QIE15" s="101"/>
      <c r="QIF15" s="101"/>
      <c r="QIG15" s="101"/>
      <c r="QIH15" s="101"/>
      <c r="QII15" s="101"/>
      <c r="QIJ15" s="101"/>
      <c r="QIK15" s="101"/>
      <c r="QIL15" s="101"/>
      <c r="QIM15" s="101"/>
      <c r="QIN15" s="101"/>
      <c r="QIO15" s="101"/>
      <c r="QIP15" s="101"/>
      <c r="QIQ15" s="101"/>
      <c r="QIR15" s="101"/>
      <c r="QIS15" s="101"/>
      <c r="QIT15" s="101"/>
      <c r="QIU15" s="101"/>
      <c r="QIV15" s="101"/>
      <c r="QIW15" s="101"/>
      <c r="QIX15" s="101"/>
      <c r="QIY15" s="101"/>
      <c r="QIZ15" s="101"/>
      <c r="QJA15" s="101"/>
      <c r="QJB15" s="101"/>
      <c r="QJC15" s="101"/>
      <c r="QJD15" s="101"/>
      <c r="QJE15" s="101"/>
      <c r="QJF15" s="101"/>
      <c r="QJG15" s="101"/>
      <c r="QJH15" s="101"/>
      <c r="QJI15" s="101"/>
      <c r="QJJ15" s="101"/>
      <c r="QJK15" s="101"/>
      <c r="QJL15" s="101"/>
      <c r="QJM15" s="101"/>
      <c r="QJN15" s="101"/>
      <c r="QJO15" s="101"/>
      <c r="QJP15" s="101"/>
      <c r="QJQ15" s="101"/>
      <c r="QJR15" s="101"/>
      <c r="QJS15" s="101"/>
      <c r="QJT15" s="101"/>
      <c r="QJU15" s="101"/>
      <c r="QJV15" s="101"/>
      <c r="QJW15" s="101"/>
      <c r="QJX15" s="101"/>
      <c r="QJY15" s="101"/>
      <c r="QJZ15" s="101"/>
      <c r="QKA15" s="101"/>
      <c r="QKB15" s="101"/>
      <c r="QKC15" s="101"/>
      <c r="QKD15" s="101"/>
      <c r="QKE15" s="101"/>
      <c r="QKF15" s="101"/>
      <c r="QKG15" s="101"/>
      <c r="QKH15" s="101"/>
      <c r="QKI15" s="101"/>
      <c r="QKJ15" s="101"/>
      <c r="QKK15" s="101"/>
      <c r="QKL15" s="101"/>
      <c r="QKM15" s="101"/>
      <c r="QKN15" s="101"/>
      <c r="QKO15" s="101"/>
      <c r="QKP15" s="101"/>
      <c r="QKQ15" s="101"/>
      <c r="QKR15" s="101"/>
      <c r="QKS15" s="101"/>
      <c r="QKT15" s="101"/>
      <c r="QKU15" s="101"/>
      <c r="QKV15" s="101"/>
      <c r="QKW15" s="101"/>
      <c r="QKX15" s="101"/>
      <c r="QKY15" s="101"/>
      <c r="QKZ15" s="101"/>
      <c r="QLA15" s="101"/>
      <c r="QLB15" s="101"/>
      <c r="QLC15" s="101"/>
      <c r="QLD15" s="101"/>
      <c r="QLE15" s="101"/>
      <c r="QLF15" s="101"/>
      <c r="QLG15" s="101"/>
      <c r="QLH15" s="101"/>
      <c r="QLI15" s="101"/>
      <c r="QLJ15" s="101"/>
      <c r="QLK15" s="101"/>
      <c r="QLL15" s="101"/>
      <c r="QLM15" s="101"/>
      <c r="QLN15" s="101"/>
      <c r="QLO15" s="101"/>
      <c r="QLP15" s="101"/>
      <c r="QLQ15" s="101"/>
      <c r="QLR15" s="101"/>
      <c r="QLS15" s="101"/>
      <c r="QLT15" s="101"/>
      <c r="QLU15" s="101"/>
      <c r="QLV15" s="101"/>
      <c r="QLW15" s="101"/>
      <c r="QLX15" s="101"/>
      <c r="QLY15" s="101"/>
      <c r="QLZ15" s="101"/>
      <c r="QMA15" s="101"/>
      <c r="QMB15" s="101"/>
      <c r="QMC15" s="101"/>
      <c r="QMD15" s="101"/>
      <c r="QME15" s="101"/>
      <c r="QMF15" s="101"/>
      <c r="QMG15" s="101"/>
      <c r="QMH15" s="101"/>
      <c r="QMI15" s="101"/>
      <c r="QMJ15" s="101"/>
      <c r="QMK15" s="101"/>
      <c r="QML15" s="101"/>
      <c r="QMM15" s="101"/>
      <c r="QMN15" s="101"/>
      <c r="QMO15" s="101"/>
      <c r="QMP15" s="101"/>
      <c r="QMQ15" s="101"/>
      <c r="QMR15" s="101"/>
      <c r="QMS15" s="101"/>
      <c r="QMT15" s="101"/>
      <c r="QMU15" s="101"/>
      <c r="QMV15" s="101"/>
      <c r="QMW15" s="101"/>
      <c r="QMX15" s="101"/>
      <c r="QMY15" s="101"/>
      <c r="QMZ15" s="101"/>
      <c r="QNA15" s="101"/>
      <c r="QNB15" s="101"/>
      <c r="QNC15" s="101"/>
      <c r="QND15" s="101"/>
      <c r="QNE15" s="101"/>
      <c r="QNF15" s="101"/>
      <c r="QNG15" s="101"/>
      <c r="QNH15" s="101"/>
      <c r="QNI15" s="101"/>
      <c r="QNJ15" s="101"/>
      <c r="QNK15" s="101"/>
      <c r="QNL15" s="101"/>
      <c r="QNM15" s="101"/>
      <c r="QNN15" s="101"/>
      <c r="QNO15" s="101"/>
      <c r="QNP15" s="101"/>
      <c r="QNQ15" s="101"/>
      <c r="QNR15" s="101"/>
      <c r="QNS15" s="101"/>
      <c r="QNT15" s="101"/>
      <c r="QNU15" s="101"/>
      <c r="QNV15" s="101"/>
      <c r="QNW15" s="101"/>
      <c r="QNX15" s="101"/>
      <c r="QNY15" s="101"/>
      <c r="QNZ15" s="101"/>
      <c r="QOA15" s="101"/>
      <c r="QOB15" s="101"/>
      <c r="QOC15" s="101"/>
      <c r="QOD15" s="101"/>
      <c r="QOE15" s="101"/>
      <c r="QOF15" s="101"/>
      <c r="QOG15" s="101"/>
      <c r="QOH15" s="101"/>
      <c r="QOI15" s="101"/>
      <c r="QOJ15" s="101"/>
      <c r="QOK15" s="101"/>
      <c r="QOL15" s="101"/>
      <c r="QOM15" s="101"/>
      <c r="QON15" s="101"/>
      <c r="QOO15" s="101"/>
      <c r="QOP15" s="101"/>
      <c r="QOQ15" s="101"/>
      <c r="QOR15" s="101"/>
      <c r="QOS15" s="101"/>
      <c r="QOT15" s="101"/>
      <c r="QOU15" s="101"/>
      <c r="QOV15" s="101"/>
      <c r="QOW15" s="101"/>
      <c r="QOX15" s="101"/>
      <c r="QOY15" s="101"/>
      <c r="QOZ15" s="101"/>
      <c r="QPA15" s="101"/>
      <c r="QPB15" s="101"/>
      <c r="QPC15" s="101"/>
      <c r="QPD15" s="101"/>
      <c r="QPE15" s="101"/>
      <c r="QPF15" s="101"/>
      <c r="QPG15" s="101"/>
      <c r="QPH15" s="101"/>
      <c r="QPI15" s="101"/>
      <c r="QPJ15" s="101"/>
      <c r="QPK15" s="101"/>
      <c r="QPL15" s="101"/>
      <c r="QPM15" s="101"/>
      <c r="QPN15" s="101"/>
      <c r="QPO15" s="101"/>
      <c r="QPP15" s="101"/>
      <c r="QPQ15" s="101"/>
      <c r="QPR15" s="101"/>
      <c r="QPS15" s="101"/>
      <c r="QPT15" s="101"/>
      <c r="QPU15" s="101"/>
      <c r="QPV15" s="101"/>
      <c r="QPW15" s="101"/>
      <c r="QPX15" s="101"/>
      <c r="QPY15" s="101"/>
      <c r="QPZ15" s="101"/>
      <c r="QQA15" s="101"/>
      <c r="QQB15" s="101"/>
      <c r="QQC15" s="101"/>
      <c r="QQD15" s="101"/>
      <c r="QQE15" s="101"/>
      <c r="QQF15" s="101"/>
      <c r="QQG15" s="101"/>
      <c r="QQH15" s="101"/>
      <c r="QQI15" s="101"/>
      <c r="QQJ15" s="101"/>
      <c r="QQK15" s="101"/>
      <c r="QQL15" s="101"/>
      <c r="QQM15" s="101"/>
      <c r="QQN15" s="101"/>
      <c r="QQO15" s="101"/>
      <c r="QQP15" s="101"/>
      <c r="QQQ15" s="101"/>
      <c r="QQR15" s="101"/>
      <c r="QQS15" s="101"/>
      <c r="QQT15" s="101"/>
      <c r="QQU15" s="101"/>
      <c r="QQV15" s="101"/>
      <c r="QQW15" s="101"/>
      <c r="QQX15" s="101"/>
      <c r="QQY15" s="101"/>
      <c r="QQZ15" s="101"/>
      <c r="QRA15" s="101"/>
      <c r="QRB15" s="101"/>
      <c r="QRC15" s="101"/>
      <c r="QRD15" s="101"/>
      <c r="QRE15" s="101"/>
      <c r="QRF15" s="101"/>
      <c r="QRG15" s="101"/>
      <c r="QRH15" s="101"/>
      <c r="QRI15" s="101"/>
      <c r="QRJ15" s="101"/>
      <c r="QRK15" s="101"/>
      <c r="QRL15" s="101"/>
      <c r="QRM15" s="101"/>
      <c r="QRN15" s="101"/>
      <c r="QRO15" s="101"/>
      <c r="QRP15" s="101"/>
      <c r="QRQ15" s="101"/>
      <c r="QRR15" s="101"/>
      <c r="QRS15" s="101"/>
      <c r="QRT15" s="101"/>
      <c r="QRU15" s="101"/>
      <c r="QRV15" s="101"/>
      <c r="QRW15" s="101"/>
      <c r="QRX15" s="101"/>
      <c r="QRY15" s="101"/>
      <c r="QRZ15" s="101"/>
      <c r="QSA15" s="101"/>
      <c r="QSB15" s="101"/>
      <c r="QSC15" s="101"/>
      <c r="QSD15" s="101"/>
      <c r="QSE15" s="101"/>
      <c r="QSF15" s="101"/>
      <c r="QSG15" s="101"/>
      <c r="QSH15" s="101"/>
      <c r="QSI15" s="101"/>
      <c r="QSJ15" s="101"/>
      <c r="QSK15" s="101"/>
      <c r="QSL15" s="101"/>
      <c r="QSM15" s="101"/>
      <c r="QSN15" s="101"/>
      <c r="QSO15" s="101"/>
      <c r="QSP15" s="101"/>
      <c r="QSQ15" s="101"/>
      <c r="QSR15" s="101"/>
      <c r="QSS15" s="101"/>
      <c r="QST15" s="101"/>
      <c r="QSU15" s="101"/>
      <c r="QSV15" s="101"/>
      <c r="QSW15" s="101"/>
      <c r="QSX15" s="101"/>
      <c r="QSY15" s="101"/>
      <c r="QSZ15" s="101"/>
      <c r="QTA15" s="101"/>
      <c r="QTB15" s="101"/>
      <c r="QTC15" s="101"/>
      <c r="QTD15" s="101"/>
      <c r="QTE15" s="101"/>
      <c r="QTF15" s="101"/>
      <c r="QTG15" s="101"/>
      <c r="QTH15" s="101"/>
      <c r="QTI15" s="101"/>
      <c r="QTJ15" s="101"/>
      <c r="QTK15" s="101"/>
      <c r="QTL15" s="101"/>
      <c r="QTM15" s="101"/>
      <c r="QTN15" s="101"/>
      <c r="QTO15" s="101"/>
      <c r="QTP15" s="101"/>
      <c r="QTQ15" s="101"/>
      <c r="QTR15" s="101"/>
      <c r="QTS15" s="101"/>
      <c r="QTT15" s="101"/>
      <c r="QTU15" s="101"/>
      <c r="QTV15" s="101"/>
      <c r="QTW15" s="101"/>
      <c r="QTX15" s="101"/>
      <c r="QTY15" s="101"/>
      <c r="QTZ15" s="101"/>
      <c r="QUA15" s="101"/>
      <c r="QUB15" s="101"/>
      <c r="QUC15" s="101"/>
      <c r="QUD15" s="101"/>
      <c r="QUE15" s="101"/>
      <c r="QUF15" s="101"/>
      <c r="QUG15" s="101"/>
      <c r="QUH15" s="101"/>
      <c r="QUI15" s="101"/>
      <c r="QUJ15" s="101"/>
      <c r="QUK15" s="101"/>
      <c r="QUL15" s="101"/>
      <c r="QUM15" s="101"/>
      <c r="QUN15" s="101"/>
      <c r="QUO15" s="101"/>
      <c r="QUP15" s="101"/>
      <c r="QUQ15" s="101"/>
      <c r="QUR15" s="101"/>
      <c r="QUS15" s="101"/>
      <c r="QUT15" s="101"/>
      <c r="QUU15" s="101"/>
      <c r="QUV15" s="101"/>
      <c r="QUW15" s="101"/>
      <c r="QUX15" s="101"/>
      <c r="QUY15" s="101"/>
      <c r="QUZ15" s="101"/>
      <c r="QVA15" s="101"/>
      <c r="QVB15" s="101"/>
      <c r="QVC15" s="101"/>
      <c r="QVD15" s="101"/>
      <c r="QVE15" s="101"/>
      <c r="QVF15" s="101"/>
      <c r="QVG15" s="101"/>
      <c r="QVH15" s="101"/>
      <c r="QVI15" s="101"/>
      <c r="QVJ15" s="101"/>
      <c r="QVK15" s="101"/>
      <c r="QVL15" s="101"/>
      <c r="QVM15" s="101"/>
      <c r="QVN15" s="101"/>
      <c r="QVO15" s="101"/>
      <c r="QVP15" s="101"/>
      <c r="QVQ15" s="101"/>
      <c r="QVR15" s="101"/>
      <c r="QVS15" s="101"/>
      <c r="QVT15" s="101"/>
      <c r="QVU15" s="101"/>
      <c r="QVV15" s="101"/>
      <c r="QVW15" s="101"/>
      <c r="QVX15" s="101"/>
      <c r="QVY15" s="101"/>
      <c r="QVZ15" s="101"/>
      <c r="QWA15" s="101"/>
      <c r="QWB15" s="101"/>
      <c r="QWC15" s="101"/>
      <c r="QWD15" s="101"/>
      <c r="QWE15" s="101"/>
      <c r="QWF15" s="101"/>
      <c r="QWG15" s="101"/>
      <c r="QWH15" s="101"/>
      <c r="QWI15" s="101"/>
      <c r="QWJ15" s="101"/>
      <c r="QWK15" s="101"/>
      <c r="QWL15" s="101"/>
      <c r="QWM15" s="101"/>
      <c r="QWN15" s="101"/>
      <c r="QWO15" s="101"/>
      <c r="QWP15" s="101"/>
      <c r="QWQ15" s="101"/>
      <c r="QWR15" s="101"/>
      <c r="QWS15" s="101"/>
      <c r="QWT15" s="101"/>
      <c r="QWU15" s="101"/>
      <c r="QWV15" s="101"/>
      <c r="QWW15" s="101"/>
      <c r="QWX15" s="101"/>
      <c r="QWY15" s="101"/>
      <c r="QWZ15" s="101"/>
      <c r="QXA15" s="101"/>
      <c r="QXB15" s="101"/>
      <c r="QXC15" s="101"/>
      <c r="QXD15" s="101"/>
      <c r="QXE15" s="101"/>
      <c r="QXF15" s="101"/>
      <c r="QXG15" s="101"/>
      <c r="QXH15" s="101"/>
      <c r="QXI15" s="101"/>
      <c r="QXJ15" s="101"/>
      <c r="QXK15" s="101"/>
      <c r="QXL15" s="101"/>
      <c r="QXM15" s="101"/>
      <c r="QXN15" s="101"/>
      <c r="QXO15" s="101"/>
      <c r="QXP15" s="101"/>
      <c r="QXQ15" s="101"/>
      <c r="QXR15" s="101"/>
      <c r="QXS15" s="101"/>
      <c r="QXT15" s="101"/>
      <c r="QXU15" s="101"/>
      <c r="QXV15" s="101"/>
      <c r="QXW15" s="101"/>
      <c r="QXX15" s="101"/>
      <c r="QXY15" s="101"/>
      <c r="QXZ15" s="101"/>
      <c r="QYA15" s="101"/>
      <c r="QYB15" s="101"/>
      <c r="QYC15" s="101"/>
      <c r="QYD15" s="101"/>
      <c r="QYE15" s="101"/>
      <c r="QYF15" s="101"/>
      <c r="QYG15" s="101"/>
      <c r="QYH15" s="101"/>
      <c r="QYI15" s="101"/>
      <c r="QYJ15" s="101"/>
      <c r="QYK15" s="101"/>
      <c r="QYL15" s="101"/>
      <c r="QYM15" s="101"/>
      <c r="QYN15" s="101"/>
      <c r="QYO15" s="101"/>
      <c r="QYP15" s="101"/>
      <c r="QYQ15" s="101"/>
      <c r="QYR15" s="101"/>
      <c r="QYS15" s="101"/>
      <c r="QYT15" s="101"/>
      <c r="QYU15" s="101"/>
      <c r="QYV15" s="101"/>
      <c r="QYW15" s="101"/>
      <c r="QYX15" s="101"/>
      <c r="QYY15" s="101"/>
      <c r="QYZ15" s="101"/>
      <c r="QZA15" s="101"/>
      <c r="QZB15" s="101"/>
      <c r="QZC15" s="101"/>
      <c r="QZD15" s="101"/>
      <c r="QZE15" s="101"/>
      <c r="QZF15" s="101"/>
      <c r="QZG15" s="101"/>
      <c r="QZH15" s="101"/>
      <c r="QZI15" s="101"/>
      <c r="QZJ15" s="101"/>
      <c r="QZK15" s="101"/>
      <c r="QZL15" s="101"/>
      <c r="QZM15" s="101"/>
      <c r="QZN15" s="101"/>
      <c r="QZO15" s="101"/>
      <c r="QZP15" s="101"/>
      <c r="QZQ15" s="101"/>
      <c r="QZR15" s="101"/>
      <c r="QZS15" s="101"/>
      <c r="QZT15" s="101"/>
      <c r="QZU15" s="101"/>
      <c r="QZV15" s="101"/>
      <c r="QZW15" s="101"/>
      <c r="QZX15" s="101"/>
      <c r="QZY15" s="101"/>
      <c r="QZZ15" s="101"/>
      <c r="RAA15" s="101"/>
      <c r="RAB15" s="101"/>
      <c r="RAC15" s="101"/>
      <c r="RAD15" s="101"/>
      <c r="RAE15" s="101"/>
      <c r="RAF15" s="101"/>
      <c r="RAG15" s="101"/>
      <c r="RAH15" s="101"/>
      <c r="RAI15" s="101"/>
      <c r="RAJ15" s="101"/>
      <c r="RAK15" s="101"/>
      <c r="RAL15" s="101"/>
      <c r="RAM15" s="101"/>
      <c r="RAN15" s="101"/>
      <c r="RAO15" s="101"/>
      <c r="RAP15" s="101"/>
      <c r="RAQ15" s="101"/>
      <c r="RAR15" s="101"/>
      <c r="RAS15" s="101"/>
      <c r="RAT15" s="101"/>
      <c r="RAU15" s="101"/>
      <c r="RAV15" s="101"/>
      <c r="RAW15" s="101"/>
      <c r="RAX15" s="101"/>
      <c r="RAY15" s="101"/>
      <c r="RAZ15" s="101"/>
      <c r="RBA15" s="101"/>
      <c r="RBB15" s="101"/>
      <c r="RBC15" s="101"/>
      <c r="RBD15" s="101"/>
      <c r="RBE15" s="101"/>
      <c r="RBF15" s="101"/>
      <c r="RBG15" s="101"/>
      <c r="RBH15" s="101"/>
      <c r="RBI15" s="101"/>
      <c r="RBJ15" s="101"/>
      <c r="RBK15" s="101"/>
      <c r="RBL15" s="101"/>
      <c r="RBM15" s="101"/>
      <c r="RBN15" s="101"/>
      <c r="RBO15" s="101"/>
      <c r="RBP15" s="101"/>
      <c r="RBQ15" s="101"/>
      <c r="RBR15" s="101"/>
      <c r="RBS15" s="101"/>
      <c r="RBT15" s="101"/>
      <c r="RBU15" s="101"/>
      <c r="RBV15" s="101"/>
      <c r="RBW15" s="101"/>
      <c r="RBX15" s="101"/>
      <c r="RBY15" s="101"/>
      <c r="RBZ15" s="101"/>
      <c r="RCA15" s="101"/>
      <c r="RCB15" s="101"/>
      <c r="RCC15" s="101"/>
      <c r="RCD15" s="101"/>
      <c r="RCE15" s="101"/>
      <c r="RCF15" s="101"/>
      <c r="RCG15" s="101"/>
      <c r="RCH15" s="101"/>
      <c r="RCI15" s="101"/>
      <c r="RCJ15" s="101"/>
      <c r="RCK15" s="101"/>
      <c r="RCL15" s="101"/>
      <c r="RCM15" s="101"/>
      <c r="RCN15" s="101"/>
      <c r="RCO15" s="101"/>
      <c r="RCP15" s="101"/>
      <c r="RCQ15" s="101"/>
      <c r="RCR15" s="101"/>
      <c r="RCS15" s="101"/>
      <c r="RCT15" s="101"/>
      <c r="RCU15" s="101"/>
      <c r="RCV15" s="101"/>
      <c r="RCW15" s="101"/>
      <c r="RCX15" s="101"/>
      <c r="RCY15" s="101"/>
      <c r="RCZ15" s="101"/>
      <c r="RDA15" s="101"/>
      <c r="RDB15" s="101"/>
      <c r="RDC15" s="101"/>
      <c r="RDD15" s="101"/>
      <c r="RDE15" s="101"/>
      <c r="RDF15" s="101"/>
      <c r="RDG15" s="101"/>
      <c r="RDH15" s="101"/>
      <c r="RDI15" s="101"/>
      <c r="RDJ15" s="101"/>
      <c r="RDK15" s="101"/>
      <c r="RDL15" s="101"/>
      <c r="RDM15" s="101"/>
      <c r="RDN15" s="101"/>
      <c r="RDO15" s="101"/>
      <c r="RDP15" s="101"/>
      <c r="RDQ15" s="101"/>
      <c r="RDR15" s="101"/>
      <c r="RDS15" s="101"/>
      <c r="RDT15" s="101"/>
      <c r="RDU15" s="101"/>
      <c r="RDV15" s="101"/>
      <c r="RDW15" s="101"/>
      <c r="RDX15" s="101"/>
      <c r="RDY15" s="101"/>
      <c r="RDZ15" s="101"/>
      <c r="REA15" s="101"/>
      <c r="REB15" s="101"/>
      <c r="REC15" s="101"/>
      <c r="RED15" s="101"/>
      <c r="REE15" s="101"/>
      <c r="REF15" s="101"/>
      <c r="REG15" s="101"/>
      <c r="REH15" s="101"/>
      <c r="REI15" s="101"/>
      <c r="REJ15" s="101"/>
      <c r="REK15" s="101"/>
      <c r="REL15" s="101"/>
      <c r="REM15" s="101"/>
      <c r="REN15" s="101"/>
      <c r="REO15" s="101"/>
      <c r="REP15" s="101"/>
      <c r="REQ15" s="101"/>
      <c r="RER15" s="101"/>
      <c r="RES15" s="101"/>
      <c r="RET15" s="101"/>
      <c r="REU15" s="101"/>
      <c r="REV15" s="101"/>
      <c r="REW15" s="101"/>
      <c r="REX15" s="101"/>
      <c r="REY15" s="101"/>
      <c r="REZ15" s="101"/>
      <c r="RFA15" s="101"/>
      <c r="RFB15" s="101"/>
      <c r="RFC15" s="101"/>
      <c r="RFD15" s="101"/>
      <c r="RFE15" s="101"/>
      <c r="RFF15" s="101"/>
      <c r="RFG15" s="101"/>
      <c r="RFH15" s="101"/>
      <c r="RFI15" s="101"/>
      <c r="RFJ15" s="101"/>
      <c r="RFK15" s="101"/>
      <c r="RFL15" s="101"/>
      <c r="RFM15" s="101"/>
      <c r="RFN15" s="101"/>
      <c r="RFO15" s="101"/>
      <c r="RFP15" s="101"/>
      <c r="RFQ15" s="101"/>
      <c r="RFR15" s="101"/>
      <c r="RFS15" s="101"/>
      <c r="RFT15" s="101"/>
      <c r="RFU15" s="101"/>
      <c r="RFV15" s="101"/>
      <c r="RFW15" s="101"/>
      <c r="RFX15" s="101"/>
      <c r="RFY15" s="101"/>
      <c r="RFZ15" s="101"/>
      <c r="RGA15" s="101"/>
      <c r="RGB15" s="101"/>
      <c r="RGC15" s="101"/>
      <c r="RGD15" s="101"/>
      <c r="RGE15" s="101"/>
      <c r="RGF15" s="101"/>
      <c r="RGG15" s="101"/>
      <c r="RGH15" s="101"/>
      <c r="RGI15" s="101"/>
      <c r="RGJ15" s="101"/>
      <c r="RGK15" s="101"/>
      <c r="RGL15" s="101"/>
      <c r="RGM15" s="101"/>
      <c r="RGN15" s="101"/>
      <c r="RGO15" s="101"/>
      <c r="RGP15" s="101"/>
      <c r="RGQ15" s="101"/>
      <c r="RGR15" s="101"/>
      <c r="RGS15" s="101"/>
      <c r="RGT15" s="101"/>
      <c r="RGU15" s="101"/>
      <c r="RGV15" s="101"/>
      <c r="RGW15" s="101"/>
      <c r="RGX15" s="101"/>
      <c r="RGY15" s="101"/>
      <c r="RGZ15" s="101"/>
      <c r="RHA15" s="101"/>
      <c r="RHB15" s="101"/>
      <c r="RHC15" s="101"/>
      <c r="RHD15" s="101"/>
      <c r="RHE15" s="101"/>
      <c r="RHF15" s="101"/>
      <c r="RHG15" s="101"/>
      <c r="RHH15" s="101"/>
      <c r="RHI15" s="101"/>
      <c r="RHJ15" s="101"/>
      <c r="RHK15" s="101"/>
      <c r="RHL15" s="101"/>
      <c r="RHM15" s="101"/>
      <c r="RHN15" s="101"/>
      <c r="RHO15" s="101"/>
      <c r="RHP15" s="101"/>
      <c r="RHQ15" s="101"/>
      <c r="RHR15" s="101"/>
      <c r="RHS15" s="101"/>
      <c r="RHT15" s="101"/>
      <c r="RHU15" s="101"/>
      <c r="RHV15" s="101"/>
      <c r="RHW15" s="101"/>
      <c r="RHX15" s="101"/>
      <c r="RHY15" s="101"/>
      <c r="RHZ15" s="101"/>
      <c r="RIA15" s="101"/>
      <c r="RIB15" s="101"/>
      <c r="RIC15" s="101"/>
      <c r="RID15" s="101"/>
      <c r="RIE15" s="101"/>
      <c r="RIF15" s="101"/>
      <c r="RIG15" s="101"/>
      <c r="RIH15" s="101"/>
      <c r="RII15" s="101"/>
      <c r="RIJ15" s="101"/>
      <c r="RIK15" s="101"/>
      <c r="RIL15" s="101"/>
      <c r="RIM15" s="101"/>
      <c r="RIN15" s="101"/>
      <c r="RIO15" s="101"/>
      <c r="RIP15" s="101"/>
      <c r="RIQ15" s="101"/>
      <c r="RIR15" s="101"/>
      <c r="RIS15" s="101"/>
      <c r="RIT15" s="101"/>
      <c r="RIU15" s="101"/>
      <c r="RIV15" s="101"/>
      <c r="RIW15" s="101"/>
      <c r="RIX15" s="101"/>
      <c r="RIY15" s="101"/>
      <c r="RIZ15" s="101"/>
      <c r="RJA15" s="101"/>
      <c r="RJB15" s="101"/>
      <c r="RJC15" s="101"/>
      <c r="RJD15" s="101"/>
      <c r="RJE15" s="101"/>
      <c r="RJF15" s="101"/>
      <c r="RJG15" s="101"/>
      <c r="RJH15" s="101"/>
      <c r="RJI15" s="101"/>
      <c r="RJJ15" s="101"/>
      <c r="RJK15" s="101"/>
      <c r="RJL15" s="101"/>
      <c r="RJM15" s="101"/>
      <c r="RJN15" s="101"/>
      <c r="RJO15" s="101"/>
      <c r="RJP15" s="101"/>
      <c r="RJQ15" s="101"/>
      <c r="RJR15" s="101"/>
      <c r="RJS15" s="101"/>
      <c r="RJT15" s="101"/>
      <c r="RJU15" s="101"/>
      <c r="RJV15" s="101"/>
      <c r="RJW15" s="101"/>
      <c r="RJX15" s="101"/>
      <c r="RJY15" s="101"/>
      <c r="RJZ15" s="101"/>
      <c r="RKA15" s="101"/>
      <c r="RKB15" s="101"/>
      <c r="RKC15" s="101"/>
      <c r="RKD15" s="101"/>
      <c r="RKE15" s="101"/>
      <c r="RKF15" s="101"/>
      <c r="RKG15" s="101"/>
      <c r="RKH15" s="101"/>
      <c r="RKI15" s="101"/>
      <c r="RKJ15" s="101"/>
      <c r="RKK15" s="101"/>
      <c r="RKL15" s="101"/>
      <c r="RKM15" s="101"/>
      <c r="RKN15" s="101"/>
      <c r="RKO15" s="101"/>
      <c r="RKP15" s="101"/>
      <c r="RKQ15" s="101"/>
      <c r="RKR15" s="101"/>
      <c r="RKS15" s="101"/>
      <c r="RKT15" s="101"/>
      <c r="RKU15" s="101"/>
      <c r="RKV15" s="101"/>
      <c r="RKW15" s="101"/>
      <c r="RKX15" s="101"/>
      <c r="RKY15" s="101"/>
      <c r="RKZ15" s="101"/>
      <c r="RLA15" s="101"/>
      <c r="RLB15" s="101"/>
      <c r="RLC15" s="101"/>
      <c r="RLD15" s="101"/>
      <c r="RLE15" s="101"/>
      <c r="RLF15" s="101"/>
      <c r="RLG15" s="101"/>
      <c r="RLH15" s="101"/>
      <c r="RLI15" s="101"/>
      <c r="RLJ15" s="101"/>
      <c r="RLK15" s="101"/>
      <c r="RLL15" s="101"/>
      <c r="RLM15" s="101"/>
      <c r="RLN15" s="101"/>
      <c r="RLO15" s="101"/>
      <c r="RLP15" s="101"/>
      <c r="RLQ15" s="101"/>
      <c r="RLR15" s="101"/>
      <c r="RLS15" s="101"/>
      <c r="RLT15" s="101"/>
      <c r="RLU15" s="101"/>
      <c r="RLV15" s="101"/>
      <c r="RLW15" s="101"/>
      <c r="RLX15" s="101"/>
      <c r="RLY15" s="101"/>
      <c r="RLZ15" s="101"/>
      <c r="RMA15" s="101"/>
      <c r="RMB15" s="101"/>
      <c r="RMC15" s="101"/>
      <c r="RMD15" s="101"/>
      <c r="RME15" s="101"/>
      <c r="RMF15" s="101"/>
      <c r="RMG15" s="101"/>
      <c r="RMH15" s="101"/>
      <c r="RMI15" s="101"/>
      <c r="RMJ15" s="101"/>
      <c r="RMK15" s="101"/>
      <c r="RML15" s="101"/>
      <c r="RMM15" s="101"/>
      <c r="RMN15" s="101"/>
      <c r="RMO15" s="101"/>
      <c r="RMP15" s="101"/>
      <c r="RMQ15" s="101"/>
      <c r="RMR15" s="101"/>
      <c r="RMS15" s="101"/>
      <c r="RMT15" s="101"/>
      <c r="RMU15" s="101"/>
      <c r="RMV15" s="101"/>
      <c r="RMW15" s="101"/>
      <c r="RMX15" s="101"/>
      <c r="RMY15" s="101"/>
      <c r="RMZ15" s="101"/>
      <c r="RNA15" s="101"/>
      <c r="RNB15" s="101"/>
      <c r="RNC15" s="101"/>
      <c r="RND15" s="101"/>
      <c r="RNE15" s="101"/>
      <c r="RNF15" s="101"/>
      <c r="RNG15" s="101"/>
      <c r="RNH15" s="101"/>
      <c r="RNI15" s="101"/>
      <c r="RNJ15" s="101"/>
      <c r="RNK15" s="101"/>
      <c r="RNL15" s="101"/>
      <c r="RNM15" s="101"/>
      <c r="RNN15" s="101"/>
      <c r="RNO15" s="101"/>
      <c r="RNP15" s="101"/>
      <c r="RNQ15" s="101"/>
      <c r="RNR15" s="101"/>
      <c r="RNS15" s="101"/>
      <c r="RNT15" s="101"/>
      <c r="RNU15" s="101"/>
      <c r="RNV15" s="101"/>
      <c r="RNW15" s="101"/>
      <c r="RNX15" s="101"/>
      <c r="RNY15" s="101"/>
      <c r="RNZ15" s="101"/>
      <c r="ROA15" s="101"/>
      <c r="ROB15" s="101"/>
      <c r="ROC15" s="101"/>
      <c r="ROD15" s="101"/>
      <c r="ROE15" s="101"/>
      <c r="ROF15" s="101"/>
      <c r="ROG15" s="101"/>
      <c r="ROH15" s="101"/>
      <c r="ROI15" s="101"/>
      <c r="ROJ15" s="101"/>
      <c r="ROK15" s="101"/>
      <c r="ROL15" s="101"/>
      <c r="ROM15" s="101"/>
      <c r="RON15" s="101"/>
      <c r="ROO15" s="101"/>
      <c r="ROP15" s="101"/>
      <c r="ROQ15" s="101"/>
      <c r="ROR15" s="101"/>
      <c r="ROS15" s="101"/>
      <c r="ROT15" s="101"/>
      <c r="ROU15" s="101"/>
      <c r="ROV15" s="101"/>
      <c r="ROW15" s="101"/>
      <c r="ROX15" s="101"/>
      <c r="ROY15" s="101"/>
      <c r="ROZ15" s="101"/>
      <c r="RPA15" s="101"/>
      <c r="RPB15" s="101"/>
      <c r="RPC15" s="101"/>
      <c r="RPD15" s="101"/>
      <c r="RPE15" s="101"/>
      <c r="RPF15" s="101"/>
      <c r="RPG15" s="101"/>
      <c r="RPH15" s="101"/>
      <c r="RPI15" s="101"/>
      <c r="RPJ15" s="101"/>
      <c r="RPK15" s="101"/>
      <c r="RPL15" s="101"/>
      <c r="RPM15" s="101"/>
      <c r="RPN15" s="101"/>
      <c r="RPO15" s="101"/>
      <c r="RPP15" s="101"/>
      <c r="RPQ15" s="101"/>
      <c r="RPR15" s="101"/>
      <c r="RPS15" s="101"/>
      <c r="RPT15" s="101"/>
      <c r="RPU15" s="101"/>
      <c r="RPV15" s="101"/>
      <c r="RPW15" s="101"/>
      <c r="RPX15" s="101"/>
      <c r="RPY15" s="101"/>
      <c r="RPZ15" s="101"/>
      <c r="RQA15" s="101"/>
      <c r="RQB15" s="101"/>
      <c r="RQC15" s="101"/>
      <c r="RQD15" s="101"/>
      <c r="RQE15" s="101"/>
      <c r="RQF15" s="101"/>
      <c r="RQG15" s="101"/>
      <c r="RQH15" s="101"/>
      <c r="RQI15" s="101"/>
      <c r="RQJ15" s="101"/>
      <c r="RQK15" s="101"/>
      <c r="RQL15" s="101"/>
      <c r="RQM15" s="101"/>
      <c r="RQN15" s="101"/>
      <c r="RQO15" s="101"/>
      <c r="RQP15" s="101"/>
      <c r="RQQ15" s="101"/>
      <c r="RQR15" s="101"/>
      <c r="RQS15" s="101"/>
      <c r="RQT15" s="101"/>
      <c r="RQU15" s="101"/>
      <c r="RQV15" s="101"/>
      <c r="RQW15" s="101"/>
      <c r="RQX15" s="101"/>
      <c r="RQY15" s="101"/>
      <c r="RQZ15" s="101"/>
      <c r="RRA15" s="101"/>
      <c r="RRB15" s="101"/>
      <c r="RRC15" s="101"/>
      <c r="RRD15" s="101"/>
      <c r="RRE15" s="101"/>
      <c r="RRF15" s="101"/>
      <c r="RRG15" s="101"/>
      <c r="RRH15" s="101"/>
      <c r="RRI15" s="101"/>
      <c r="RRJ15" s="101"/>
      <c r="RRK15" s="101"/>
      <c r="RRL15" s="101"/>
      <c r="RRM15" s="101"/>
      <c r="RRN15" s="101"/>
      <c r="RRO15" s="101"/>
      <c r="RRP15" s="101"/>
      <c r="RRQ15" s="101"/>
      <c r="RRR15" s="101"/>
      <c r="RRS15" s="101"/>
      <c r="RRT15" s="101"/>
      <c r="RRU15" s="101"/>
      <c r="RRV15" s="101"/>
      <c r="RRW15" s="101"/>
      <c r="RRX15" s="101"/>
      <c r="RRY15" s="101"/>
      <c r="RRZ15" s="101"/>
      <c r="RSA15" s="101"/>
      <c r="RSB15" s="101"/>
      <c r="RSC15" s="101"/>
      <c r="RSD15" s="101"/>
      <c r="RSE15" s="101"/>
      <c r="RSF15" s="101"/>
      <c r="RSG15" s="101"/>
      <c r="RSH15" s="101"/>
      <c r="RSI15" s="101"/>
      <c r="RSJ15" s="101"/>
      <c r="RSK15" s="101"/>
      <c r="RSL15" s="101"/>
      <c r="RSM15" s="101"/>
      <c r="RSN15" s="101"/>
      <c r="RSO15" s="101"/>
      <c r="RSP15" s="101"/>
      <c r="RSQ15" s="101"/>
      <c r="RSR15" s="101"/>
      <c r="RSS15" s="101"/>
      <c r="RST15" s="101"/>
      <c r="RSU15" s="101"/>
      <c r="RSV15" s="101"/>
      <c r="RSW15" s="101"/>
      <c r="RSX15" s="101"/>
      <c r="RSY15" s="101"/>
      <c r="RSZ15" s="101"/>
      <c r="RTA15" s="101"/>
      <c r="RTB15" s="101"/>
      <c r="RTC15" s="101"/>
      <c r="RTD15" s="101"/>
      <c r="RTE15" s="101"/>
      <c r="RTF15" s="101"/>
      <c r="RTG15" s="101"/>
      <c r="RTH15" s="101"/>
      <c r="RTI15" s="101"/>
      <c r="RTJ15" s="101"/>
      <c r="RTK15" s="101"/>
      <c r="RTL15" s="101"/>
      <c r="RTM15" s="101"/>
      <c r="RTN15" s="101"/>
      <c r="RTO15" s="101"/>
      <c r="RTP15" s="101"/>
      <c r="RTQ15" s="101"/>
      <c r="RTR15" s="101"/>
      <c r="RTS15" s="101"/>
      <c r="RTT15" s="101"/>
      <c r="RTU15" s="101"/>
      <c r="RTV15" s="101"/>
      <c r="RTW15" s="101"/>
      <c r="RTX15" s="101"/>
      <c r="RTY15" s="101"/>
      <c r="RTZ15" s="101"/>
      <c r="RUA15" s="101"/>
      <c r="RUB15" s="101"/>
      <c r="RUC15" s="101"/>
      <c r="RUD15" s="101"/>
      <c r="RUE15" s="101"/>
      <c r="RUF15" s="101"/>
      <c r="RUG15" s="101"/>
      <c r="RUH15" s="101"/>
      <c r="RUI15" s="101"/>
      <c r="RUJ15" s="101"/>
      <c r="RUK15" s="101"/>
      <c r="RUL15" s="101"/>
      <c r="RUM15" s="101"/>
      <c r="RUN15" s="101"/>
      <c r="RUO15" s="101"/>
      <c r="RUP15" s="101"/>
      <c r="RUQ15" s="101"/>
      <c r="RUR15" s="101"/>
      <c r="RUS15" s="101"/>
      <c r="RUT15" s="101"/>
      <c r="RUU15" s="101"/>
      <c r="RUV15" s="101"/>
      <c r="RUW15" s="101"/>
      <c r="RUX15" s="101"/>
      <c r="RUY15" s="101"/>
      <c r="RUZ15" s="101"/>
      <c r="RVA15" s="101"/>
      <c r="RVB15" s="101"/>
      <c r="RVC15" s="101"/>
      <c r="RVD15" s="101"/>
      <c r="RVE15" s="101"/>
      <c r="RVF15" s="101"/>
      <c r="RVG15" s="101"/>
      <c r="RVH15" s="101"/>
      <c r="RVI15" s="101"/>
      <c r="RVJ15" s="101"/>
      <c r="RVK15" s="101"/>
      <c r="RVL15" s="101"/>
      <c r="RVM15" s="101"/>
      <c r="RVN15" s="101"/>
      <c r="RVO15" s="101"/>
      <c r="RVP15" s="101"/>
      <c r="RVQ15" s="101"/>
      <c r="RVR15" s="101"/>
      <c r="RVS15" s="101"/>
      <c r="RVT15" s="101"/>
      <c r="RVU15" s="101"/>
      <c r="RVV15" s="101"/>
      <c r="RVW15" s="101"/>
      <c r="RVX15" s="101"/>
      <c r="RVY15" s="101"/>
      <c r="RVZ15" s="101"/>
      <c r="RWA15" s="101"/>
      <c r="RWB15" s="101"/>
      <c r="RWC15" s="101"/>
      <c r="RWD15" s="101"/>
      <c r="RWE15" s="101"/>
      <c r="RWF15" s="101"/>
      <c r="RWG15" s="101"/>
      <c r="RWH15" s="101"/>
      <c r="RWI15" s="101"/>
      <c r="RWJ15" s="101"/>
      <c r="RWK15" s="101"/>
      <c r="RWL15" s="101"/>
      <c r="RWM15" s="101"/>
      <c r="RWN15" s="101"/>
      <c r="RWO15" s="101"/>
      <c r="RWP15" s="101"/>
      <c r="RWQ15" s="101"/>
      <c r="RWR15" s="101"/>
      <c r="RWS15" s="101"/>
      <c r="RWT15" s="101"/>
      <c r="RWU15" s="101"/>
      <c r="RWV15" s="101"/>
      <c r="RWW15" s="101"/>
      <c r="RWX15" s="101"/>
      <c r="RWY15" s="101"/>
      <c r="RWZ15" s="101"/>
      <c r="RXA15" s="101"/>
      <c r="RXB15" s="101"/>
      <c r="RXC15" s="101"/>
      <c r="RXD15" s="101"/>
      <c r="RXE15" s="101"/>
      <c r="RXF15" s="101"/>
      <c r="RXG15" s="101"/>
      <c r="RXH15" s="101"/>
      <c r="RXI15" s="101"/>
      <c r="RXJ15" s="101"/>
      <c r="RXK15" s="101"/>
      <c r="RXL15" s="101"/>
      <c r="RXM15" s="101"/>
      <c r="RXN15" s="101"/>
      <c r="RXO15" s="101"/>
      <c r="RXP15" s="101"/>
      <c r="RXQ15" s="101"/>
      <c r="RXR15" s="101"/>
      <c r="RXS15" s="101"/>
      <c r="RXT15" s="101"/>
      <c r="RXU15" s="101"/>
      <c r="RXV15" s="101"/>
      <c r="RXW15" s="101"/>
      <c r="RXX15" s="101"/>
      <c r="RXY15" s="101"/>
      <c r="RXZ15" s="101"/>
      <c r="RYA15" s="101"/>
      <c r="RYB15" s="101"/>
      <c r="RYC15" s="101"/>
      <c r="RYD15" s="101"/>
      <c r="RYE15" s="101"/>
      <c r="RYF15" s="101"/>
      <c r="RYG15" s="101"/>
      <c r="RYH15" s="101"/>
      <c r="RYI15" s="101"/>
      <c r="RYJ15" s="101"/>
      <c r="RYK15" s="101"/>
      <c r="RYL15" s="101"/>
      <c r="RYM15" s="101"/>
      <c r="RYN15" s="101"/>
      <c r="RYO15" s="101"/>
      <c r="RYP15" s="101"/>
      <c r="RYQ15" s="101"/>
      <c r="RYR15" s="101"/>
      <c r="RYS15" s="101"/>
      <c r="RYT15" s="101"/>
      <c r="RYU15" s="101"/>
      <c r="RYV15" s="101"/>
      <c r="RYW15" s="101"/>
      <c r="RYX15" s="101"/>
      <c r="RYY15" s="101"/>
      <c r="RYZ15" s="101"/>
      <c r="RZA15" s="101"/>
      <c r="RZB15" s="101"/>
      <c r="RZC15" s="101"/>
      <c r="RZD15" s="101"/>
      <c r="RZE15" s="101"/>
      <c r="RZF15" s="101"/>
      <c r="RZG15" s="101"/>
      <c r="RZH15" s="101"/>
      <c r="RZI15" s="101"/>
      <c r="RZJ15" s="101"/>
      <c r="RZK15" s="101"/>
      <c r="RZL15" s="101"/>
      <c r="RZM15" s="101"/>
      <c r="RZN15" s="101"/>
      <c r="RZO15" s="101"/>
      <c r="RZP15" s="101"/>
      <c r="RZQ15" s="101"/>
      <c r="RZR15" s="101"/>
      <c r="RZS15" s="101"/>
      <c r="RZT15" s="101"/>
      <c r="RZU15" s="101"/>
      <c r="RZV15" s="101"/>
      <c r="RZW15" s="101"/>
      <c r="RZX15" s="101"/>
      <c r="RZY15" s="101"/>
      <c r="RZZ15" s="101"/>
      <c r="SAA15" s="101"/>
      <c r="SAB15" s="101"/>
      <c r="SAC15" s="101"/>
      <c r="SAD15" s="101"/>
      <c r="SAE15" s="101"/>
      <c r="SAF15" s="101"/>
      <c r="SAG15" s="101"/>
      <c r="SAH15" s="101"/>
      <c r="SAI15" s="101"/>
      <c r="SAJ15" s="101"/>
      <c r="SAK15" s="101"/>
      <c r="SAL15" s="101"/>
      <c r="SAM15" s="101"/>
      <c r="SAN15" s="101"/>
      <c r="SAO15" s="101"/>
      <c r="SAP15" s="101"/>
      <c r="SAQ15" s="101"/>
      <c r="SAR15" s="101"/>
      <c r="SAS15" s="101"/>
      <c r="SAT15" s="101"/>
      <c r="SAU15" s="101"/>
      <c r="SAV15" s="101"/>
      <c r="SAW15" s="101"/>
      <c r="SAX15" s="101"/>
      <c r="SAY15" s="101"/>
      <c r="SAZ15" s="101"/>
      <c r="SBA15" s="101"/>
      <c r="SBB15" s="101"/>
      <c r="SBC15" s="101"/>
      <c r="SBD15" s="101"/>
      <c r="SBE15" s="101"/>
      <c r="SBF15" s="101"/>
      <c r="SBG15" s="101"/>
      <c r="SBH15" s="101"/>
      <c r="SBI15" s="101"/>
      <c r="SBJ15" s="101"/>
      <c r="SBK15" s="101"/>
      <c r="SBL15" s="101"/>
      <c r="SBM15" s="101"/>
      <c r="SBN15" s="101"/>
      <c r="SBO15" s="101"/>
      <c r="SBP15" s="101"/>
      <c r="SBQ15" s="101"/>
      <c r="SBR15" s="101"/>
      <c r="SBS15" s="101"/>
      <c r="SBT15" s="101"/>
      <c r="SBU15" s="101"/>
      <c r="SBV15" s="101"/>
      <c r="SBW15" s="101"/>
      <c r="SBX15" s="101"/>
      <c r="SBY15" s="101"/>
      <c r="SBZ15" s="101"/>
      <c r="SCA15" s="101"/>
      <c r="SCB15" s="101"/>
      <c r="SCC15" s="101"/>
      <c r="SCD15" s="101"/>
      <c r="SCE15" s="101"/>
      <c r="SCF15" s="101"/>
      <c r="SCG15" s="101"/>
      <c r="SCH15" s="101"/>
      <c r="SCI15" s="101"/>
      <c r="SCJ15" s="101"/>
      <c r="SCK15" s="101"/>
      <c r="SCL15" s="101"/>
      <c r="SCM15" s="101"/>
      <c r="SCN15" s="101"/>
      <c r="SCO15" s="101"/>
      <c r="SCP15" s="101"/>
      <c r="SCQ15" s="101"/>
      <c r="SCR15" s="101"/>
      <c r="SCS15" s="101"/>
      <c r="SCT15" s="101"/>
      <c r="SCU15" s="101"/>
      <c r="SCV15" s="101"/>
      <c r="SCW15" s="101"/>
      <c r="SCX15" s="101"/>
      <c r="SCY15" s="101"/>
      <c r="SCZ15" s="101"/>
      <c r="SDA15" s="101"/>
      <c r="SDB15" s="101"/>
      <c r="SDC15" s="101"/>
      <c r="SDD15" s="101"/>
      <c r="SDE15" s="101"/>
      <c r="SDF15" s="101"/>
      <c r="SDG15" s="101"/>
      <c r="SDH15" s="101"/>
      <c r="SDI15" s="101"/>
      <c r="SDJ15" s="101"/>
      <c r="SDK15" s="101"/>
      <c r="SDL15" s="101"/>
      <c r="SDM15" s="101"/>
      <c r="SDN15" s="101"/>
      <c r="SDO15" s="101"/>
      <c r="SDP15" s="101"/>
      <c r="SDQ15" s="101"/>
      <c r="SDR15" s="101"/>
      <c r="SDS15" s="101"/>
      <c r="SDT15" s="101"/>
      <c r="SDU15" s="101"/>
      <c r="SDV15" s="101"/>
      <c r="SDW15" s="101"/>
      <c r="SDX15" s="101"/>
      <c r="SDY15" s="101"/>
      <c r="SDZ15" s="101"/>
      <c r="SEA15" s="101"/>
      <c r="SEB15" s="101"/>
      <c r="SEC15" s="101"/>
      <c r="SED15" s="101"/>
      <c r="SEE15" s="101"/>
      <c r="SEF15" s="101"/>
      <c r="SEG15" s="101"/>
      <c r="SEH15" s="101"/>
      <c r="SEI15" s="101"/>
      <c r="SEJ15" s="101"/>
      <c r="SEK15" s="101"/>
      <c r="SEL15" s="101"/>
      <c r="SEM15" s="101"/>
      <c r="SEN15" s="101"/>
      <c r="SEO15" s="101"/>
      <c r="SEP15" s="101"/>
      <c r="SEQ15" s="101"/>
      <c r="SER15" s="101"/>
      <c r="SES15" s="101"/>
      <c r="SET15" s="101"/>
      <c r="SEU15" s="101"/>
      <c r="SEV15" s="101"/>
      <c r="SEW15" s="101"/>
      <c r="SEX15" s="101"/>
      <c r="SEY15" s="101"/>
      <c r="SEZ15" s="101"/>
      <c r="SFA15" s="101"/>
      <c r="SFB15" s="101"/>
      <c r="SFC15" s="101"/>
      <c r="SFD15" s="101"/>
      <c r="SFE15" s="101"/>
      <c r="SFF15" s="101"/>
      <c r="SFG15" s="101"/>
      <c r="SFH15" s="101"/>
      <c r="SFI15" s="101"/>
      <c r="SFJ15" s="101"/>
      <c r="SFK15" s="101"/>
      <c r="SFL15" s="101"/>
      <c r="SFM15" s="101"/>
      <c r="SFN15" s="101"/>
      <c r="SFO15" s="101"/>
      <c r="SFP15" s="101"/>
      <c r="SFQ15" s="101"/>
      <c r="SFR15" s="101"/>
      <c r="SFS15" s="101"/>
      <c r="SFT15" s="101"/>
      <c r="SFU15" s="101"/>
      <c r="SFV15" s="101"/>
      <c r="SFW15" s="101"/>
      <c r="SFX15" s="101"/>
      <c r="SFY15" s="101"/>
      <c r="SFZ15" s="101"/>
      <c r="SGA15" s="101"/>
      <c r="SGB15" s="101"/>
      <c r="SGC15" s="101"/>
      <c r="SGD15" s="101"/>
      <c r="SGE15" s="101"/>
      <c r="SGF15" s="101"/>
      <c r="SGG15" s="101"/>
      <c r="SGH15" s="101"/>
      <c r="SGI15" s="101"/>
      <c r="SGJ15" s="101"/>
      <c r="SGK15" s="101"/>
      <c r="SGL15" s="101"/>
      <c r="SGM15" s="101"/>
      <c r="SGN15" s="101"/>
      <c r="SGO15" s="101"/>
      <c r="SGP15" s="101"/>
      <c r="SGQ15" s="101"/>
      <c r="SGR15" s="101"/>
      <c r="SGS15" s="101"/>
      <c r="SGT15" s="101"/>
      <c r="SGU15" s="101"/>
      <c r="SGV15" s="101"/>
      <c r="SGW15" s="101"/>
      <c r="SGX15" s="101"/>
      <c r="SGY15" s="101"/>
      <c r="SGZ15" s="101"/>
      <c r="SHA15" s="101"/>
      <c r="SHB15" s="101"/>
      <c r="SHC15" s="101"/>
      <c r="SHD15" s="101"/>
      <c r="SHE15" s="101"/>
      <c r="SHF15" s="101"/>
      <c r="SHG15" s="101"/>
      <c r="SHH15" s="101"/>
      <c r="SHI15" s="101"/>
      <c r="SHJ15" s="101"/>
      <c r="SHK15" s="101"/>
      <c r="SHL15" s="101"/>
      <c r="SHM15" s="101"/>
      <c r="SHN15" s="101"/>
      <c r="SHO15" s="101"/>
      <c r="SHP15" s="101"/>
      <c r="SHQ15" s="101"/>
      <c r="SHR15" s="101"/>
      <c r="SHS15" s="101"/>
      <c r="SHT15" s="101"/>
      <c r="SHU15" s="101"/>
      <c r="SHV15" s="101"/>
      <c r="SHW15" s="101"/>
      <c r="SHX15" s="101"/>
      <c r="SHY15" s="101"/>
      <c r="SHZ15" s="101"/>
      <c r="SIA15" s="101"/>
      <c r="SIB15" s="101"/>
      <c r="SIC15" s="101"/>
      <c r="SID15" s="101"/>
      <c r="SIE15" s="101"/>
      <c r="SIF15" s="101"/>
      <c r="SIG15" s="101"/>
      <c r="SIH15" s="101"/>
      <c r="SII15" s="101"/>
      <c r="SIJ15" s="101"/>
      <c r="SIK15" s="101"/>
      <c r="SIL15" s="101"/>
      <c r="SIM15" s="101"/>
      <c r="SIN15" s="101"/>
      <c r="SIO15" s="101"/>
      <c r="SIP15" s="101"/>
      <c r="SIQ15" s="101"/>
      <c r="SIR15" s="101"/>
      <c r="SIS15" s="101"/>
      <c r="SIT15" s="101"/>
      <c r="SIU15" s="101"/>
      <c r="SIV15" s="101"/>
      <c r="SIW15" s="101"/>
      <c r="SIX15" s="101"/>
      <c r="SIY15" s="101"/>
      <c r="SIZ15" s="101"/>
      <c r="SJA15" s="101"/>
      <c r="SJB15" s="101"/>
      <c r="SJC15" s="101"/>
      <c r="SJD15" s="101"/>
      <c r="SJE15" s="101"/>
      <c r="SJF15" s="101"/>
      <c r="SJG15" s="101"/>
      <c r="SJH15" s="101"/>
      <c r="SJI15" s="101"/>
      <c r="SJJ15" s="101"/>
      <c r="SJK15" s="101"/>
      <c r="SJL15" s="101"/>
      <c r="SJM15" s="101"/>
      <c r="SJN15" s="101"/>
      <c r="SJO15" s="101"/>
      <c r="SJP15" s="101"/>
      <c r="SJQ15" s="101"/>
      <c r="SJR15" s="101"/>
      <c r="SJS15" s="101"/>
      <c r="SJT15" s="101"/>
      <c r="SJU15" s="101"/>
      <c r="SJV15" s="101"/>
      <c r="SJW15" s="101"/>
      <c r="SJX15" s="101"/>
      <c r="SJY15" s="101"/>
      <c r="SJZ15" s="101"/>
      <c r="SKA15" s="101"/>
      <c r="SKB15" s="101"/>
      <c r="SKC15" s="101"/>
      <c r="SKD15" s="101"/>
      <c r="SKE15" s="101"/>
      <c r="SKF15" s="101"/>
      <c r="SKG15" s="101"/>
      <c r="SKH15" s="101"/>
      <c r="SKI15" s="101"/>
      <c r="SKJ15" s="101"/>
      <c r="SKK15" s="101"/>
      <c r="SKL15" s="101"/>
      <c r="SKM15" s="101"/>
      <c r="SKN15" s="101"/>
      <c r="SKO15" s="101"/>
      <c r="SKP15" s="101"/>
      <c r="SKQ15" s="101"/>
      <c r="SKR15" s="101"/>
      <c r="SKS15" s="101"/>
      <c r="SKT15" s="101"/>
      <c r="SKU15" s="101"/>
      <c r="SKV15" s="101"/>
      <c r="SKW15" s="101"/>
      <c r="SKX15" s="101"/>
      <c r="SKY15" s="101"/>
      <c r="SKZ15" s="101"/>
      <c r="SLA15" s="101"/>
      <c r="SLB15" s="101"/>
      <c r="SLC15" s="101"/>
      <c r="SLD15" s="101"/>
      <c r="SLE15" s="101"/>
      <c r="SLF15" s="101"/>
      <c r="SLG15" s="101"/>
      <c r="SLH15" s="101"/>
      <c r="SLI15" s="101"/>
      <c r="SLJ15" s="101"/>
      <c r="SLK15" s="101"/>
      <c r="SLL15" s="101"/>
      <c r="SLM15" s="101"/>
      <c r="SLN15" s="101"/>
      <c r="SLO15" s="101"/>
      <c r="SLP15" s="101"/>
      <c r="SLQ15" s="101"/>
      <c r="SLR15" s="101"/>
      <c r="SLS15" s="101"/>
      <c r="SLT15" s="101"/>
      <c r="SLU15" s="101"/>
      <c r="SLV15" s="101"/>
      <c r="SLW15" s="101"/>
      <c r="SLX15" s="101"/>
      <c r="SLY15" s="101"/>
      <c r="SLZ15" s="101"/>
      <c r="SMA15" s="101"/>
      <c r="SMB15" s="101"/>
      <c r="SMC15" s="101"/>
      <c r="SMD15" s="101"/>
      <c r="SME15" s="101"/>
      <c r="SMF15" s="101"/>
      <c r="SMG15" s="101"/>
      <c r="SMH15" s="101"/>
      <c r="SMI15" s="101"/>
      <c r="SMJ15" s="101"/>
      <c r="SMK15" s="101"/>
      <c r="SML15" s="101"/>
      <c r="SMM15" s="101"/>
      <c r="SMN15" s="101"/>
      <c r="SMO15" s="101"/>
      <c r="SMP15" s="101"/>
      <c r="SMQ15" s="101"/>
      <c r="SMR15" s="101"/>
      <c r="SMS15" s="101"/>
      <c r="SMT15" s="101"/>
      <c r="SMU15" s="101"/>
      <c r="SMV15" s="101"/>
      <c r="SMW15" s="101"/>
      <c r="SMX15" s="101"/>
      <c r="SMY15" s="101"/>
      <c r="SMZ15" s="101"/>
      <c r="SNA15" s="101"/>
      <c r="SNB15" s="101"/>
      <c r="SNC15" s="101"/>
      <c r="SND15" s="101"/>
      <c r="SNE15" s="101"/>
      <c r="SNF15" s="101"/>
      <c r="SNG15" s="101"/>
      <c r="SNH15" s="101"/>
      <c r="SNI15" s="101"/>
      <c r="SNJ15" s="101"/>
      <c r="SNK15" s="101"/>
      <c r="SNL15" s="101"/>
      <c r="SNM15" s="101"/>
      <c r="SNN15" s="101"/>
      <c r="SNO15" s="101"/>
      <c r="SNP15" s="101"/>
      <c r="SNQ15" s="101"/>
      <c r="SNR15" s="101"/>
      <c r="SNS15" s="101"/>
      <c r="SNT15" s="101"/>
      <c r="SNU15" s="101"/>
      <c r="SNV15" s="101"/>
      <c r="SNW15" s="101"/>
      <c r="SNX15" s="101"/>
      <c r="SNY15" s="101"/>
      <c r="SNZ15" s="101"/>
      <c r="SOA15" s="101"/>
      <c r="SOB15" s="101"/>
      <c r="SOC15" s="101"/>
      <c r="SOD15" s="101"/>
      <c r="SOE15" s="101"/>
      <c r="SOF15" s="101"/>
      <c r="SOG15" s="101"/>
      <c r="SOH15" s="101"/>
      <c r="SOI15" s="101"/>
      <c r="SOJ15" s="101"/>
      <c r="SOK15" s="101"/>
      <c r="SOL15" s="101"/>
      <c r="SOM15" s="101"/>
      <c r="SON15" s="101"/>
      <c r="SOO15" s="101"/>
      <c r="SOP15" s="101"/>
      <c r="SOQ15" s="101"/>
      <c r="SOR15" s="101"/>
      <c r="SOS15" s="101"/>
      <c r="SOT15" s="101"/>
      <c r="SOU15" s="101"/>
      <c r="SOV15" s="101"/>
      <c r="SOW15" s="101"/>
      <c r="SOX15" s="101"/>
      <c r="SOY15" s="101"/>
      <c r="SOZ15" s="101"/>
      <c r="SPA15" s="101"/>
      <c r="SPB15" s="101"/>
      <c r="SPC15" s="101"/>
      <c r="SPD15" s="101"/>
      <c r="SPE15" s="101"/>
      <c r="SPF15" s="101"/>
      <c r="SPG15" s="101"/>
      <c r="SPH15" s="101"/>
      <c r="SPI15" s="101"/>
      <c r="SPJ15" s="101"/>
      <c r="SPK15" s="101"/>
      <c r="SPL15" s="101"/>
      <c r="SPM15" s="101"/>
      <c r="SPN15" s="101"/>
      <c r="SPO15" s="101"/>
      <c r="SPP15" s="101"/>
      <c r="SPQ15" s="101"/>
      <c r="SPR15" s="101"/>
      <c r="SPS15" s="101"/>
      <c r="SPT15" s="101"/>
      <c r="SPU15" s="101"/>
      <c r="SPV15" s="101"/>
      <c r="SPW15" s="101"/>
      <c r="SPX15" s="101"/>
      <c r="SPY15" s="101"/>
      <c r="SPZ15" s="101"/>
      <c r="SQA15" s="101"/>
      <c r="SQB15" s="101"/>
      <c r="SQC15" s="101"/>
      <c r="SQD15" s="101"/>
      <c r="SQE15" s="101"/>
      <c r="SQF15" s="101"/>
      <c r="SQG15" s="101"/>
      <c r="SQH15" s="101"/>
      <c r="SQI15" s="101"/>
      <c r="SQJ15" s="101"/>
      <c r="SQK15" s="101"/>
      <c r="SQL15" s="101"/>
      <c r="SQM15" s="101"/>
      <c r="SQN15" s="101"/>
      <c r="SQO15" s="101"/>
      <c r="SQP15" s="101"/>
      <c r="SQQ15" s="101"/>
      <c r="SQR15" s="101"/>
      <c r="SQS15" s="101"/>
      <c r="SQT15" s="101"/>
      <c r="SQU15" s="101"/>
      <c r="SQV15" s="101"/>
      <c r="SQW15" s="101"/>
      <c r="SQX15" s="101"/>
      <c r="SQY15" s="101"/>
      <c r="SQZ15" s="101"/>
      <c r="SRA15" s="101"/>
      <c r="SRB15" s="101"/>
      <c r="SRC15" s="101"/>
      <c r="SRD15" s="101"/>
      <c r="SRE15" s="101"/>
      <c r="SRF15" s="101"/>
      <c r="SRG15" s="101"/>
      <c r="SRH15" s="101"/>
      <c r="SRI15" s="101"/>
      <c r="SRJ15" s="101"/>
      <c r="SRK15" s="101"/>
      <c r="SRL15" s="101"/>
      <c r="SRM15" s="101"/>
      <c r="SRN15" s="101"/>
      <c r="SRO15" s="101"/>
      <c r="SRP15" s="101"/>
      <c r="SRQ15" s="101"/>
      <c r="SRR15" s="101"/>
      <c r="SRS15" s="101"/>
      <c r="SRT15" s="101"/>
      <c r="SRU15" s="101"/>
      <c r="SRV15" s="101"/>
      <c r="SRW15" s="101"/>
      <c r="SRX15" s="101"/>
      <c r="SRY15" s="101"/>
      <c r="SRZ15" s="101"/>
      <c r="SSA15" s="101"/>
      <c r="SSB15" s="101"/>
      <c r="SSC15" s="101"/>
      <c r="SSD15" s="101"/>
      <c r="SSE15" s="101"/>
      <c r="SSF15" s="101"/>
      <c r="SSG15" s="101"/>
      <c r="SSH15" s="101"/>
      <c r="SSI15" s="101"/>
      <c r="SSJ15" s="101"/>
      <c r="SSK15" s="101"/>
      <c r="SSL15" s="101"/>
      <c r="SSM15" s="101"/>
      <c r="SSN15" s="101"/>
      <c r="SSO15" s="101"/>
      <c r="SSP15" s="101"/>
      <c r="SSQ15" s="101"/>
      <c r="SSR15" s="101"/>
      <c r="SSS15" s="101"/>
      <c r="SST15" s="101"/>
      <c r="SSU15" s="101"/>
      <c r="SSV15" s="101"/>
      <c r="SSW15" s="101"/>
      <c r="SSX15" s="101"/>
      <c r="SSY15" s="101"/>
      <c r="SSZ15" s="101"/>
      <c r="STA15" s="101"/>
      <c r="STB15" s="101"/>
      <c r="STC15" s="101"/>
      <c r="STD15" s="101"/>
      <c r="STE15" s="101"/>
      <c r="STF15" s="101"/>
      <c r="STG15" s="101"/>
      <c r="STH15" s="101"/>
      <c r="STI15" s="101"/>
      <c r="STJ15" s="101"/>
      <c r="STK15" s="101"/>
      <c r="STL15" s="101"/>
      <c r="STM15" s="101"/>
      <c r="STN15" s="101"/>
      <c r="STO15" s="101"/>
      <c r="STP15" s="101"/>
      <c r="STQ15" s="101"/>
      <c r="STR15" s="101"/>
      <c r="STS15" s="101"/>
      <c r="STT15" s="101"/>
      <c r="STU15" s="101"/>
      <c r="STV15" s="101"/>
      <c r="STW15" s="101"/>
      <c r="STX15" s="101"/>
      <c r="STY15" s="101"/>
      <c r="STZ15" s="101"/>
      <c r="SUA15" s="101"/>
      <c r="SUB15" s="101"/>
      <c r="SUC15" s="101"/>
      <c r="SUD15" s="101"/>
      <c r="SUE15" s="101"/>
      <c r="SUF15" s="101"/>
      <c r="SUG15" s="101"/>
      <c r="SUH15" s="101"/>
      <c r="SUI15" s="101"/>
      <c r="SUJ15" s="101"/>
      <c r="SUK15" s="101"/>
      <c r="SUL15" s="101"/>
      <c r="SUM15" s="101"/>
      <c r="SUN15" s="101"/>
      <c r="SUO15" s="101"/>
      <c r="SUP15" s="101"/>
      <c r="SUQ15" s="101"/>
      <c r="SUR15" s="101"/>
      <c r="SUS15" s="101"/>
      <c r="SUT15" s="101"/>
      <c r="SUU15" s="101"/>
      <c r="SUV15" s="101"/>
      <c r="SUW15" s="101"/>
      <c r="SUX15" s="101"/>
      <c r="SUY15" s="101"/>
      <c r="SUZ15" s="101"/>
      <c r="SVA15" s="101"/>
      <c r="SVB15" s="101"/>
      <c r="SVC15" s="101"/>
      <c r="SVD15" s="101"/>
      <c r="SVE15" s="101"/>
      <c r="SVF15" s="101"/>
      <c r="SVG15" s="101"/>
      <c r="SVH15" s="101"/>
      <c r="SVI15" s="101"/>
      <c r="SVJ15" s="101"/>
      <c r="SVK15" s="101"/>
      <c r="SVL15" s="101"/>
      <c r="SVM15" s="101"/>
      <c r="SVN15" s="101"/>
      <c r="SVO15" s="101"/>
      <c r="SVP15" s="101"/>
      <c r="SVQ15" s="101"/>
      <c r="SVR15" s="101"/>
      <c r="SVS15" s="101"/>
      <c r="SVT15" s="101"/>
      <c r="SVU15" s="101"/>
      <c r="SVV15" s="101"/>
      <c r="SVW15" s="101"/>
      <c r="SVX15" s="101"/>
      <c r="SVY15" s="101"/>
      <c r="SVZ15" s="101"/>
      <c r="SWA15" s="101"/>
      <c r="SWB15" s="101"/>
      <c r="SWC15" s="101"/>
      <c r="SWD15" s="101"/>
      <c r="SWE15" s="101"/>
      <c r="SWF15" s="101"/>
      <c r="SWG15" s="101"/>
      <c r="SWH15" s="101"/>
      <c r="SWI15" s="101"/>
      <c r="SWJ15" s="101"/>
      <c r="SWK15" s="101"/>
      <c r="SWL15" s="101"/>
      <c r="SWM15" s="101"/>
      <c r="SWN15" s="101"/>
      <c r="SWO15" s="101"/>
      <c r="SWP15" s="101"/>
      <c r="SWQ15" s="101"/>
      <c r="SWR15" s="101"/>
      <c r="SWS15" s="101"/>
      <c r="SWT15" s="101"/>
      <c r="SWU15" s="101"/>
      <c r="SWV15" s="101"/>
      <c r="SWW15" s="101"/>
      <c r="SWX15" s="101"/>
      <c r="SWY15" s="101"/>
      <c r="SWZ15" s="101"/>
      <c r="SXA15" s="101"/>
      <c r="SXB15" s="101"/>
      <c r="SXC15" s="101"/>
      <c r="SXD15" s="101"/>
      <c r="SXE15" s="101"/>
      <c r="SXF15" s="101"/>
      <c r="SXG15" s="101"/>
      <c r="SXH15" s="101"/>
      <c r="SXI15" s="101"/>
      <c r="SXJ15" s="101"/>
      <c r="SXK15" s="101"/>
      <c r="SXL15" s="101"/>
      <c r="SXM15" s="101"/>
      <c r="SXN15" s="101"/>
      <c r="SXO15" s="101"/>
      <c r="SXP15" s="101"/>
      <c r="SXQ15" s="101"/>
      <c r="SXR15" s="101"/>
      <c r="SXS15" s="101"/>
      <c r="SXT15" s="101"/>
      <c r="SXU15" s="101"/>
      <c r="SXV15" s="101"/>
      <c r="SXW15" s="101"/>
      <c r="SXX15" s="101"/>
      <c r="SXY15" s="101"/>
      <c r="SXZ15" s="101"/>
      <c r="SYA15" s="101"/>
      <c r="SYB15" s="101"/>
      <c r="SYC15" s="101"/>
      <c r="SYD15" s="101"/>
      <c r="SYE15" s="101"/>
      <c r="SYF15" s="101"/>
      <c r="SYG15" s="101"/>
      <c r="SYH15" s="101"/>
      <c r="SYI15" s="101"/>
      <c r="SYJ15" s="101"/>
      <c r="SYK15" s="101"/>
      <c r="SYL15" s="101"/>
      <c r="SYM15" s="101"/>
      <c r="SYN15" s="101"/>
      <c r="SYO15" s="101"/>
      <c r="SYP15" s="101"/>
      <c r="SYQ15" s="101"/>
      <c r="SYR15" s="101"/>
      <c r="SYS15" s="101"/>
      <c r="SYT15" s="101"/>
      <c r="SYU15" s="101"/>
      <c r="SYV15" s="101"/>
      <c r="SYW15" s="101"/>
      <c r="SYX15" s="101"/>
      <c r="SYY15" s="101"/>
      <c r="SYZ15" s="101"/>
      <c r="SZA15" s="101"/>
      <c r="SZB15" s="101"/>
      <c r="SZC15" s="101"/>
      <c r="SZD15" s="101"/>
      <c r="SZE15" s="101"/>
      <c r="SZF15" s="101"/>
      <c r="SZG15" s="101"/>
      <c r="SZH15" s="101"/>
      <c r="SZI15" s="101"/>
      <c r="SZJ15" s="101"/>
      <c r="SZK15" s="101"/>
      <c r="SZL15" s="101"/>
      <c r="SZM15" s="101"/>
      <c r="SZN15" s="101"/>
      <c r="SZO15" s="101"/>
      <c r="SZP15" s="101"/>
      <c r="SZQ15" s="101"/>
      <c r="SZR15" s="101"/>
      <c r="SZS15" s="101"/>
      <c r="SZT15" s="101"/>
      <c r="SZU15" s="101"/>
      <c r="SZV15" s="101"/>
      <c r="SZW15" s="101"/>
      <c r="SZX15" s="101"/>
      <c r="SZY15" s="101"/>
      <c r="SZZ15" s="101"/>
      <c r="TAA15" s="101"/>
      <c r="TAB15" s="101"/>
      <c r="TAC15" s="101"/>
      <c r="TAD15" s="101"/>
      <c r="TAE15" s="101"/>
      <c r="TAF15" s="101"/>
      <c r="TAG15" s="101"/>
      <c r="TAH15" s="101"/>
      <c r="TAI15" s="101"/>
      <c r="TAJ15" s="101"/>
      <c r="TAK15" s="101"/>
      <c r="TAL15" s="101"/>
      <c r="TAM15" s="101"/>
      <c r="TAN15" s="101"/>
      <c r="TAO15" s="101"/>
      <c r="TAP15" s="101"/>
      <c r="TAQ15" s="101"/>
      <c r="TAR15" s="101"/>
      <c r="TAS15" s="101"/>
      <c r="TAT15" s="101"/>
      <c r="TAU15" s="101"/>
      <c r="TAV15" s="101"/>
      <c r="TAW15" s="101"/>
      <c r="TAX15" s="101"/>
      <c r="TAY15" s="101"/>
      <c r="TAZ15" s="101"/>
      <c r="TBA15" s="101"/>
      <c r="TBB15" s="101"/>
      <c r="TBC15" s="101"/>
      <c r="TBD15" s="101"/>
      <c r="TBE15" s="101"/>
      <c r="TBF15" s="101"/>
      <c r="TBG15" s="101"/>
      <c r="TBH15" s="101"/>
      <c r="TBI15" s="101"/>
      <c r="TBJ15" s="101"/>
      <c r="TBK15" s="101"/>
      <c r="TBL15" s="101"/>
      <c r="TBM15" s="101"/>
      <c r="TBN15" s="101"/>
      <c r="TBO15" s="101"/>
      <c r="TBP15" s="101"/>
      <c r="TBQ15" s="101"/>
      <c r="TBR15" s="101"/>
      <c r="TBS15" s="101"/>
      <c r="TBT15" s="101"/>
      <c r="TBU15" s="101"/>
      <c r="TBV15" s="101"/>
      <c r="TBW15" s="101"/>
      <c r="TBX15" s="101"/>
      <c r="TBY15" s="101"/>
      <c r="TBZ15" s="101"/>
      <c r="TCA15" s="101"/>
      <c r="TCB15" s="101"/>
      <c r="TCC15" s="101"/>
      <c r="TCD15" s="101"/>
      <c r="TCE15" s="101"/>
      <c r="TCF15" s="101"/>
      <c r="TCG15" s="101"/>
      <c r="TCH15" s="101"/>
      <c r="TCI15" s="101"/>
      <c r="TCJ15" s="101"/>
      <c r="TCK15" s="101"/>
      <c r="TCL15" s="101"/>
      <c r="TCM15" s="101"/>
      <c r="TCN15" s="101"/>
      <c r="TCO15" s="101"/>
      <c r="TCP15" s="101"/>
      <c r="TCQ15" s="101"/>
      <c r="TCR15" s="101"/>
      <c r="TCS15" s="101"/>
      <c r="TCT15" s="101"/>
      <c r="TCU15" s="101"/>
      <c r="TCV15" s="101"/>
      <c r="TCW15" s="101"/>
      <c r="TCX15" s="101"/>
      <c r="TCY15" s="101"/>
      <c r="TCZ15" s="101"/>
      <c r="TDA15" s="101"/>
      <c r="TDB15" s="101"/>
      <c r="TDC15" s="101"/>
      <c r="TDD15" s="101"/>
      <c r="TDE15" s="101"/>
      <c r="TDF15" s="101"/>
      <c r="TDG15" s="101"/>
      <c r="TDH15" s="101"/>
      <c r="TDI15" s="101"/>
      <c r="TDJ15" s="101"/>
      <c r="TDK15" s="101"/>
      <c r="TDL15" s="101"/>
      <c r="TDM15" s="101"/>
      <c r="TDN15" s="101"/>
      <c r="TDO15" s="101"/>
      <c r="TDP15" s="101"/>
      <c r="TDQ15" s="101"/>
      <c r="TDR15" s="101"/>
      <c r="TDS15" s="101"/>
      <c r="TDT15" s="101"/>
      <c r="TDU15" s="101"/>
      <c r="TDV15" s="101"/>
      <c r="TDW15" s="101"/>
      <c r="TDX15" s="101"/>
      <c r="TDY15" s="101"/>
      <c r="TDZ15" s="101"/>
      <c r="TEA15" s="101"/>
      <c r="TEB15" s="101"/>
      <c r="TEC15" s="101"/>
      <c r="TED15" s="101"/>
      <c r="TEE15" s="101"/>
      <c r="TEF15" s="101"/>
      <c r="TEG15" s="101"/>
      <c r="TEH15" s="101"/>
      <c r="TEI15" s="101"/>
      <c r="TEJ15" s="101"/>
      <c r="TEK15" s="101"/>
      <c r="TEL15" s="101"/>
      <c r="TEM15" s="101"/>
      <c r="TEN15" s="101"/>
      <c r="TEO15" s="101"/>
      <c r="TEP15" s="101"/>
      <c r="TEQ15" s="101"/>
      <c r="TER15" s="101"/>
      <c r="TES15" s="101"/>
      <c r="TET15" s="101"/>
      <c r="TEU15" s="101"/>
      <c r="TEV15" s="101"/>
      <c r="TEW15" s="101"/>
      <c r="TEX15" s="101"/>
      <c r="TEY15" s="101"/>
      <c r="TEZ15" s="101"/>
      <c r="TFA15" s="101"/>
      <c r="TFB15" s="101"/>
      <c r="TFC15" s="101"/>
      <c r="TFD15" s="101"/>
      <c r="TFE15" s="101"/>
      <c r="TFF15" s="101"/>
      <c r="TFG15" s="101"/>
      <c r="TFH15" s="101"/>
      <c r="TFI15" s="101"/>
      <c r="TFJ15" s="101"/>
      <c r="TFK15" s="101"/>
      <c r="TFL15" s="101"/>
      <c r="TFM15" s="101"/>
      <c r="TFN15" s="101"/>
      <c r="TFO15" s="101"/>
      <c r="TFP15" s="101"/>
      <c r="TFQ15" s="101"/>
      <c r="TFR15" s="101"/>
      <c r="TFS15" s="101"/>
      <c r="TFT15" s="101"/>
      <c r="TFU15" s="101"/>
      <c r="TFV15" s="101"/>
      <c r="TFW15" s="101"/>
      <c r="TFX15" s="101"/>
      <c r="TFY15" s="101"/>
      <c r="TFZ15" s="101"/>
      <c r="TGA15" s="101"/>
      <c r="TGB15" s="101"/>
      <c r="TGC15" s="101"/>
      <c r="TGD15" s="101"/>
      <c r="TGE15" s="101"/>
      <c r="TGF15" s="101"/>
      <c r="TGG15" s="101"/>
      <c r="TGH15" s="101"/>
      <c r="TGI15" s="101"/>
      <c r="TGJ15" s="101"/>
      <c r="TGK15" s="101"/>
      <c r="TGL15" s="101"/>
      <c r="TGM15" s="101"/>
      <c r="TGN15" s="101"/>
      <c r="TGO15" s="101"/>
      <c r="TGP15" s="101"/>
      <c r="TGQ15" s="101"/>
      <c r="TGR15" s="101"/>
      <c r="TGS15" s="101"/>
      <c r="TGT15" s="101"/>
      <c r="TGU15" s="101"/>
      <c r="TGV15" s="101"/>
      <c r="TGW15" s="101"/>
      <c r="TGX15" s="101"/>
      <c r="TGY15" s="101"/>
      <c r="TGZ15" s="101"/>
      <c r="THA15" s="101"/>
      <c r="THB15" s="101"/>
      <c r="THC15" s="101"/>
      <c r="THD15" s="101"/>
      <c r="THE15" s="101"/>
      <c r="THF15" s="101"/>
      <c r="THG15" s="101"/>
      <c r="THH15" s="101"/>
      <c r="THI15" s="101"/>
      <c r="THJ15" s="101"/>
      <c r="THK15" s="101"/>
      <c r="THL15" s="101"/>
      <c r="THM15" s="101"/>
      <c r="THN15" s="101"/>
      <c r="THO15" s="101"/>
      <c r="THP15" s="101"/>
      <c r="THQ15" s="101"/>
      <c r="THR15" s="101"/>
      <c r="THS15" s="101"/>
      <c r="THT15" s="101"/>
      <c r="THU15" s="101"/>
      <c r="THV15" s="101"/>
      <c r="THW15" s="101"/>
      <c r="THX15" s="101"/>
      <c r="THY15" s="101"/>
      <c r="THZ15" s="101"/>
      <c r="TIA15" s="101"/>
      <c r="TIB15" s="101"/>
      <c r="TIC15" s="101"/>
      <c r="TID15" s="101"/>
      <c r="TIE15" s="101"/>
      <c r="TIF15" s="101"/>
      <c r="TIG15" s="101"/>
      <c r="TIH15" s="101"/>
      <c r="TII15" s="101"/>
      <c r="TIJ15" s="101"/>
      <c r="TIK15" s="101"/>
      <c r="TIL15" s="101"/>
      <c r="TIM15" s="101"/>
      <c r="TIN15" s="101"/>
      <c r="TIO15" s="101"/>
      <c r="TIP15" s="101"/>
      <c r="TIQ15" s="101"/>
      <c r="TIR15" s="101"/>
      <c r="TIS15" s="101"/>
      <c r="TIT15" s="101"/>
      <c r="TIU15" s="101"/>
      <c r="TIV15" s="101"/>
      <c r="TIW15" s="101"/>
      <c r="TIX15" s="101"/>
      <c r="TIY15" s="101"/>
      <c r="TIZ15" s="101"/>
      <c r="TJA15" s="101"/>
      <c r="TJB15" s="101"/>
      <c r="TJC15" s="101"/>
      <c r="TJD15" s="101"/>
      <c r="TJE15" s="101"/>
      <c r="TJF15" s="101"/>
      <c r="TJG15" s="101"/>
      <c r="TJH15" s="101"/>
      <c r="TJI15" s="101"/>
      <c r="TJJ15" s="101"/>
      <c r="TJK15" s="101"/>
      <c r="TJL15" s="101"/>
      <c r="TJM15" s="101"/>
      <c r="TJN15" s="101"/>
      <c r="TJO15" s="101"/>
      <c r="TJP15" s="101"/>
      <c r="TJQ15" s="101"/>
      <c r="TJR15" s="101"/>
      <c r="TJS15" s="101"/>
      <c r="TJT15" s="101"/>
      <c r="TJU15" s="101"/>
      <c r="TJV15" s="101"/>
      <c r="TJW15" s="101"/>
      <c r="TJX15" s="101"/>
      <c r="TJY15" s="101"/>
      <c r="TJZ15" s="101"/>
      <c r="TKA15" s="101"/>
      <c r="TKB15" s="101"/>
      <c r="TKC15" s="101"/>
      <c r="TKD15" s="101"/>
      <c r="TKE15" s="101"/>
      <c r="TKF15" s="101"/>
      <c r="TKG15" s="101"/>
      <c r="TKH15" s="101"/>
      <c r="TKI15" s="101"/>
      <c r="TKJ15" s="101"/>
      <c r="TKK15" s="101"/>
      <c r="TKL15" s="101"/>
      <c r="TKM15" s="101"/>
      <c r="TKN15" s="101"/>
      <c r="TKO15" s="101"/>
      <c r="TKP15" s="101"/>
      <c r="TKQ15" s="101"/>
      <c r="TKR15" s="101"/>
      <c r="TKS15" s="101"/>
      <c r="TKT15" s="101"/>
      <c r="TKU15" s="101"/>
      <c r="TKV15" s="101"/>
      <c r="TKW15" s="101"/>
      <c r="TKX15" s="101"/>
      <c r="TKY15" s="101"/>
      <c r="TKZ15" s="101"/>
      <c r="TLA15" s="101"/>
      <c r="TLB15" s="101"/>
      <c r="TLC15" s="101"/>
      <c r="TLD15" s="101"/>
      <c r="TLE15" s="101"/>
      <c r="TLF15" s="101"/>
      <c r="TLG15" s="101"/>
      <c r="TLH15" s="101"/>
      <c r="TLI15" s="101"/>
      <c r="TLJ15" s="101"/>
      <c r="TLK15" s="101"/>
      <c r="TLL15" s="101"/>
      <c r="TLM15" s="101"/>
      <c r="TLN15" s="101"/>
      <c r="TLO15" s="101"/>
      <c r="TLP15" s="101"/>
      <c r="TLQ15" s="101"/>
      <c r="TLR15" s="101"/>
      <c r="TLS15" s="101"/>
      <c r="TLT15" s="101"/>
      <c r="TLU15" s="101"/>
      <c r="TLV15" s="101"/>
      <c r="TLW15" s="101"/>
      <c r="TLX15" s="101"/>
      <c r="TLY15" s="101"/>
      <c r="TLZ15" s="101"/>
      <c r="TMA15" s="101"/>
      <c r="TMB15" s="101"/>
      <c r="TMC15" s="101"/>
      <c r="TMD15" s="101"/>
      <c r="TME15" s="101"/>
      <c r="TMF15" s="101"/>
      <c r="TMG15" s="101"/>
      <c r="TMH15" s="101"/>
      <c r="TMI15" s="101"/>
      <c r="TMJ15" s="101"/>
      <c r="TMK15" s="101"/>
      <c r="TML15" s="101"/>
      <c r="TMM15" s="101"/>
      <c r="TMN15" s="101"/>
      <c r="TMO15" s="101"/>
      <c r="TMP15" s="101"/>
      <c r="TMQ15" s="101"/>
      <c r="TMR15" s="101"/>
      <c r="TMS15" s="101"/>
      <c r="TMT15" s="101"/>
      <c r="TMU15" s="101"/>
      <c r="TMV15" s="101"/>
      <c r="TMW15" s="101"/>
      <c r="TMX15" s="101"/>
      <c r="TMY15" s="101"/>
      <c r="TMZ15" s="101"/>
      <c r="TNA15" s="101"/>
      <c r="TNB15" s="101"/>
      <c r="TNC15" s="101"/>
      <c r="TND15" s="101"/>
      <c r="TNE15" s="101"/>
      <c r="TNF15" s="101"/>
      <c r="TNG15" s="101"/>
      <c r="TNH15" s="101"/>
      <c r="TNI15" s="101"/>
      <c r="TNJ15" s="101"/>
      <c r="TNK15" s="101"/>
      <c r="TNL15" s="101"/>
      <c r="TNM15" s="101"/>
      <c r="TNN15" s="101"/>
      <c r="TNO15" s="101"/>
      <c r="TNP15" s="101"/>
      <c r="TNQ15" s="101"/>
      <c r="TNR15" s="101"/>
      <c r="TNS15" s="101"/>
      <c r="TNT15" s="101"/>
      <c r="TNU15" s="101"/>
      <c r="TNV15" s="101"/>
      <c r="TNW15" s="101"/>
      <c r="TNX15" s="101"/>
      <c r="TNY15" s="101"/>
      <c r="TNZ15" s="101"/>
      <c r="TOA15" s="101"/>
      <c r="TOB15" s="101"/>
      <c r="TOC15" s="101"/>
      <c r="TOD15" s="101"/>
      <c r="TOE15" s="101"/>
      <c r="TOF15" s="101"/>
      <c r="TOG15" s="101"/>
      <c r="TOH15" s="101"/>
      <c r="TOI15" s="101"/>
      <c r="TOJ15" s="101"/>
      <c r="TOK15" s="101"/>
      <c r="TOL15" s="101"/>
      <c r="TOM15" s="101"/>
      <c r="TON15" s="101"/>
      <c r="TOO15" s="101"/>
      <c r="TOP15" s="101"/>
      <c r="TOQ15" s="101"/>
      <c r="TOR15" s="101"/>
      <c r="TOS15" s="101"/>
      <c r="TOT15" s="101"/>
      <c r="TOU15" s="101"/>
      <c r="TOV15" s="101"/>
      <c r="TOW15" s="101"/>
      <c r="TOX15" s="101"/>
      <c r="TOY15" s="101"/>
      <c r="TOZ15" s="101"/>
      <c r="TPA15" s="101"/>
      <c r="TPB15" s="101"/>
      <c r="TPC15" s="101"/>
      <c r="TPD15" s="101"/>
      <c r="TPE15" s="101"/>
      <c r="TPF15" s="101"/>
      <c r="TPG15" s="101"/>
      <c r="TPH15" s="101"/>
      <c r="TPI15" s="101"/>
      <c r="TPJ15" s="101"/>
      <c r="TPK15" s="101"/>
      <c r="TPL15" s="101"/>
      <c r="TPM15" s="101"/>
      <c r="TPN15" s="101"/>
      <c r="TPO15" s="101"/>
      <c r="TPP15" s="101"/>
      <c r="TPQ15" s="101"/>
      <c r="TPR15" s="101"/>
      <c r="TPS15" s="101"/>
      <c r="TPT15" s="101"/>
      <c r="TPU15" s="101"/>
      <c r="TPV15" s="101"/>
      <c r="TPW15" s="101"/>
      <c r="TPX15" s="101"/>
      <c r="TPY15" s="101"/>
      <c r="TPZ15" s="101"/>
      <c r="TQA15" s="101"/>
      <c r="TQB15" s="101"/>
      <c r="TQC15" s="101"/>
      <c r="TQD15" s="101"/>
      <c r="TQE15" s="101"/>
      <c r="TQF15" s="101"/>
      <c r="TQG15" s="101"/>
      <c r="TQH15" s="101"/>
      <c r="TQI15" s="101"/>
      <c r="TQJ15" s="101"/>
      <c r="TQK15" s="101"/>
      <c r="TQL15" s="101"/>
      <c r="TQM15" s="101"/>
      <c r="TQN15" s="101"/>
      <c r="TQO15" s="101"/>
      <c r="TQP15" s="101"/>
      <c r="TQQ15" s="101"/>
      <c r="TQR15" s="101"/>
      <c r="TQS15" s="101"/>
      <c r="TQT15" s="101"/>
      <c r="TQU15" s="101"/>
      <c r="TQV15" s="101"/>
      <c r="TQW15" s="101"/>
      <c r="TQX15" s="101"/>
      <c r="TQY15" s="101"/>
      <c r="TQZ15" s="101"/>
      <c r="TRA15" s="101"/>
      <c r="TRB15" s="101"/>
      <c r="TRC15" s="101"/>
      <c r="TRD15" s="101"/>
      <c r="TRE15" s="101"/>
      <c r="TRF15" s="101"/>
      <c r="TRG15" s="101"/>
      <c r="TRH15" s="101"/>
      <c r="TRI15" s="101"/>
      <c r="TRJ15" s="101"/>
      <c r="TRK15" s="101"/>
      <c r="TRL15" s="101"/>
      <c r="TRM15" s="101"/>
      <c r="TRN15" s="101"/>
      <c r="TRO15" s="101"/>
      <c r="TRP15" s="101"/>
      <c r="TRQ15" s="101"/>
      <c r="TRR15" s="101"/>
      <c r="TRS15" s="101"/>
      <c r="TRT15" s="101"/>
      <c r="TRU15" s="101"/>
      <c r="TRV15" s="101"/>
      <c r="TRW15" s="101"/>
      <c r="TRX15" s="101"/>
      <c r="TRY15" s="101"/>
      <c r="TRZ15" s="101"/>
      <c r="TSA15" s="101"/>
      <c r="TSB15" s="101"/>
      <c r="TSC15" s="101"/>
      <c r="TSD15" s="101"/>
      <c r="TSE15" s="101"/>
      <c r="TSF15" s="101"/>
      <c r="TSG15" s="101"/>
      <c r="TSH15" s="101"/>
      <c r="TSI15" s="101"/>
      <c r="TSJ15" s="101"/>
      <c r="TSK15" s="101"/>
      <c r="TSL15" s="101"/>
      <c r="TSM15" s="101"/>
      <c r="TSN15" s="101"/>
      <c r="TSO15" s="101"/>
      <c r="TSP15" s="101"/>
      <c r="TSQ15" s="101"/>
      <c r="TSR15" s="101"/>
      <c r="TSS15" s="101"/>
      <c r="TST15" s="101"/>
      <c r="TSU15" s="101"/>
      <c r="TSV15" s="101"/>
      <c r="TSW15" s="101"/>
      <c r="TSX15" s="101"/>
      <c r="TSY15" s="101"/>
      <c r="TSZ15" s="101"/>
      <c r="TTA15" s="101"/>
      <c r="TTB15" s="101"/>
      <c r="TTC15" s="101"/>
      <c r="TTD15" s="101"/>
      <c r="TTE15" s="101"/>
      <c r="TTF15" s="101"/>
      <c r="TTG15" s="101"/>
      <c r="TTH15" s="101"/>
      <c r="TTI15" s="101"/>
      <c r="TTJ15" s="101"/>
      <c r="TTK15" s="101"/>
      <c r="TTL15" s="101"/>
      <c r="TTM15" s="101"/>
      <c r="TTN15" s="101"/>
      <c r="TTO15" s="101"/>
      <c r="TTP15" s="101"/>
      <c r="TTQ15" s="101"/>
      <c r="TTR15" s="101"/>
      <c r="TTS15" s="101"/>
      <c r="TTT15" s="101"/>
      <c r="TTU15" s="101"/>
      <c r="TTV15" s="101"/>
      <c r="TTW15" s="101"/>
      <c r="TTX15" s="101"/>
      <c r="TTY15" s="101"/>
      <c r="TTZ15" s="101"/>
      <c r="TUA15" s="101"/>
      <c r="TUB15" s="101"/>
      <c r="TUC15" s="101"/>
      <c r="TUD15" s="101"/>
      <c r="TUE15" s="101"/>
      <c r="TUF15" s="101"/>
      <c r="TUG15" s="101"/>
      <c r="TUH15" s="101"/>
      <c r="TUI15" s="101"/>
      <c r="TUJ15" s="101"/>
      <c r="TUK15" s="101"/>
      <c r="TUL15" s="101"/>
      <c r="TUM15" s="101"/>
      <c r="TUN15" s="101"/>
      <c r="TUO15" s="101"/>
      <c r="TUP15" s="101"/>
      <c r="TUQ15" s="101"/>
      <c r="TUR15" s="101"/>
      <c r="TUS15" s="101"/>
      <c r="TUT15" s="101"/>
      <c r="TUU15" s="101"/>
      <c r="TUV15" s="101"/>
      <c r="TUW15" s="101"/>
      <c r="TUX15" s="101"/>
      <c r="TUY15" s="101"/>
      <c r="TUZ15" s="101"/>
      <c r="TVA15" s="101"/>
      <c r="TVB15" s="101"/>
      <c r="TVC15" s="101"/>
      <c r="TVD15" s="101"/>
      <c r="TVE15" s="101"/>
      <c r="TVF15" s="101"/>
      <c r="TVG15" s="101"/>
      <c r="TVH15" s="101"/>
      <c r="TVI15" s="101"/>
      <c r="TVJ15" s="101"/>
      <c r="TVK15" s="101"/>
      <c r="TVL15" s="101"/>
      <c r="TVM15" s="101"/>
      <c r="TVN15" s="101"/>
      <c r="TVO15" s="101"/>
      <c r="TVP15" s="101"/>
      <c r="TVQ15" s="101"/>
      <c r="TVR15" s="101"/>
      <c r="TVS15" s="101"/>
      <c r="TVT15" s="101"/>
      <c r="TVU15" s="101"/>
      <c r="TVV15" s="101"/>
      <c r="TVW15" s="101"/>
      <c r="TVX15" s="101"/>
      <c r="TVY15" s="101"/>
      <c r="TVZ15" s="101"/>
      <c r="TWA15" s="101"/>
      <c r="TWB15" s="101"/>
      <c r="TWC15" s="101"/>
      <c r="TWD15" s="101"/>
      <c r="TWE15" s="101"/>
      <c r="TWF15" s="101"/>
      <c r="TWG15" s="101"/>
      <c r="TWH15" s="101"/>
      <c r="TWI15" s="101"/>
      <c r="TWJ15" s="101"/>
      <c r="TWK15" s="101"/>
      <c r="TWL15" s="101"/>
      <c r="TWM15" s="101"/>
      <c r="TWN15" s="101"/>
      <c r="TWO15" s="101"/>
      <c r="TWP15" s="101"/>
      <c r="TWQ15" s="101"/>
      <c r="TWR15" s="101"/>
      <c r="TWS15" s="101"/>
      <c r="TWT15" s="101"/>
      <c r="TWU15" s="101"/>
      <c r="TWV15" s="101"/>
      <c r="TWW15" s="101"/>
      <c r="TWX15" s="101"/>
      <c r="TWY15" s="101"/>
      <c r="TWZ15" s="101"/>
      <c r="TXA15" s="101"/>
      <c r="TXB15" s="101"/>
      <c r="TXC15" s="101"/>
      <c r="TXD15" s="101"/>
      <c r="TXE15" s="101"/>
      <c r="TXF15" s="101"/>
      <c r="TXG15" s="101"/>
      <c r="TXH15" s="101"/>
      <c r="TXI15" s="101"/>
      <c r="TXJ15" s="101"/>
      <c r="TXK15" s="101"/>
      <c r="TXL15" s="101"/>
      <c r="TXM15" s="101"/>
      <c r="TXN15" s="101"/>
      <c r="TXO15" s="101"/>
      <c r="TXP15" s="101"/>
      <c r="TXQ15" s="101"/>
      <c r="TXR15" s="101"/>
      <c r="TXS15" s="101"/>
      <c r="TXT15" s="101"/>
      <c r="TXU15" s="101"/>
      <c r="TXV15" s="101"/>
      <c r="TXW15" s="101"/>
      <c r="TXX15" s="101"/>
      <c r="TXY15" s="101"/>
      <c r="TXZ15" s="101"/>
      <c r="TYA15" s="101"/>
      <c r="TYB15" s="101"/>
      <c r="TYC15" s="101"/>
      <c r="TYD15" s="101"/>
      <c r="TYE15" s="101"/>
      <c r="TYF15" s="101"/>
      <c r="TYG15" s="101"/>
      <c r="TYH15" s="101"/>
      <c r="TYI15" s="101"/>
      <c r="TYJ15" s="101"/>
      <c r="TYK15" s="101"/>
      <c r="TYL15" s="101"/>
      <c r="TYM15" s="101"/>
      <c r="TYN15" s="101"/>
      <c r="TYO15" s="101"/>
      <c r="TYP15" s="101"/>
      <c r="TYQ15" s="101"/>
      <c r="TYR15" s="101"/>
      <c r="TYS15" s="101"/>
      <c r="TYT15" s="101"/>
      <c r="TYU15" s="101"/>
      <c r="TYV15" s="101"/>
      <c r="TYW15" s="101"/>
      <c r="TYX15" s="101"/>
      <c r="TYY15" s="101"/>
      <c r="TYZ15" s="101"/>
      <c r="TZA15" s="101"/>
      <c r="TZB15" s="101"/>
      <c r="TZC15" s="101"/>
      <c r="TZD15" s="101"/>
      <c r="TZE15" s="101"/>
      <c r="TZF15" s="101"/>
      <c r="TZG15" s="101"/>
      <c r="TZH15" s="101"/>
      <c r="TZI15" s="101"/>
      <c r="TZJ15" s="101"/>
      <c r="TZK15" s="101"/>
      <c r="TZL15" s="101"/>
      <c r="TZM15" s="101"/>
      <c r="TZN15" s="101"/>
      <c r="TZO15" s="101"/>
      <c r="TZP15" s="101"/>
      <c r="TZQ15" s="101"/>
      <c r="TZR15" s="101"/>
      <c r="TZS15" s="101"/>
      <c r="TZT15" s="101"/>
      <c r="TZU15" s="101"/>
      <c r="TZV15" s="101"/>
      <c r="TZW15" s="101"/>
      <c r="TZX15" s="101"/>
      <c r="TZY15" s="101"/>
      <c r="TZZ15" s="101"/>
      <c r="UAA15" s="101"/>
      <c r="UAB15" s="101"/>
      <c r="UAC15" s="101"/>
      <c r="UAD15" s="101"/>
      <c r="UAE15" s="101"/>
      <c r="UAF15" s="101"/>
      <c r="UAG15" s="101"/>
      <c r="UAH15" s="101"/>
      <c r="UAI15" s="101"/>
      <c r="UAJ15" s="101"/>
      <c r="UAK15" s="101"/>
      <c r="UAL15" s="101"/>
      <c r="UAM15" s="101"/>
      <c r="UAN15" s="101"/>
      <c r="UAO15" s="101"/>
      <c r="UAP15" s="101"/>
      <c r="UAQ15" s="101"/>
      <c r="UAR15" s="101"/>
      <c r="UAS15" s="101"/>
      <c r="UAT15" s="101"/>
      <c r="UAU15" s="101"/>
      <c r="UAV15" s="101"/>
      <c r="UAW15" s="101"/>
      <c r="UAX15" s="101"/>
      <c r="UAY15" s="101"/>
      <c r="UAZ15" s="101"/>
      <c r="UBA15" s="101"/>
      <c r="UBB15" s="101"/>
      <c r="UBC15" s="101"/>
      <c r="UBD15" s="101"/>
      <c r="UBE15" s="101"/>
      <c r="UBF15" s="101"/>
      <c r="UBG15" s="101"/>
      <c r="UBH15" s="101"/>
      <c r="UBI15" s="101"/>
      <c r="UBJ15" s="101"/>
      <c r="UBK15" s="101"/>
      <c r="UBL15" s="101"/>
      <c r="UBM15" s="101"/>
      <c r="UBN15" s="101"/>
      <c r="UBO15" s="101"/>
      <c r="UBP15" s="101"/>
      <c r="UBQ15" s="101"/>
      <c r="UBR15" s="101"/>
      <c r="UBS15" s="101"/>
      <c r="UBT15" s="101"/>
      <c r="UBU15" s="101"/>
      <c r="UBV15" s="101"/>
      <c r="UBW15" s="101"/>
      <c r="UBX15" s="101"/>
      <c r="UBY15" s="101"/>
      <c r="UBZ15" s="101"/>
      <c r="UCA15" s="101"/>
      <c r="UCB15" s="101"/>
      <c r="UCC15" s="101"/>
      <c r="UCD15" s="101"/>
      <c r="UCE15" s="101"/>
      <c r="UCF15" s="101"/>
      <c r="UCG15" s="101"/>
      <c r="UCH15" s="101"/>
      <c r="UCI15" s="101"/>
      <c r="UCJ15" s="101"/>
      <c r="UCK15" s="101"/>
      <c r="UCL15" s="101"/>
      <c r="UCM15" s="101"/>
      <c r="UCN15" s="101"/>
      <c r="UCO15" s="101"/>
      <c r="UCP15" s="101"/>
      <c r="UCQ15" s="101"/>
      <c r="UCR15" s="101"/>
      <c r="UCS15" s="101"/>
      <c r="UCT15" s="101"/>
      <c r="UCU15" s="101"/>
      <c r="UCV15" s="101"/>
      <c r="UCW15" s="101"/>
      <c r="UCX15" s="101"/>
      <c r="UCY15" s="101"/>
      <c r="UCZ15" s="101"/>
      <c r="UDA15" s="101"/>
      <c r="UDB15" s="101"/>
      <c r="UDC15" s="101"/>
      <c r="UDD15" s="101"/>
      <c r="UDE15" s="101"/>
      <c r="UDF15" s="101"/>
      <c r="UDG15" s="101"/>
      <c r="UDH15" s="101"/>
      <c r="UDI15" s="101"/>
      <c r="UDJ15" s="101"/>
      <c r="UDK15" s="101"/>
      <c r="UDL15" s="101"/>
      <c r="UDM15" s="101"/>
      <c r="UDN15" s="101"/>
      <c r="UDO15" s="101"/>
      <c r="UDP15" s="101"/>
      <c r="UDQ15" s="101"/>
      <c r="UDR15" s="101"/>
      <c r="UDS15" s="101"/>
      <c r="UDT15" s="101"/>
      <c r="UDU15" s="101"/>
      <c r="UDV15" s="101"/>
      <c r="UDW15" s="101"/>
      <c r="UDX15" s="101"/>
      <c r="UDY15" s="101"/>
      <c r="UDZ15" s="101"/>
      <c r="UEA15" s="101"/>
      <c r="UEB15" s="101"/>
      <c r="UEC15" s="101"/>
      <c r="UED15" s="101"/>
      <c r="UEE15" s="101"/>
      <c r="UEF15" s="101"/>
      <c r="UEG15" s="101"/>
      <c r="UEH15" s="101"/>
      <c r="UEI15" s="101"/>
      <c r="UEJ15" s="101"/>
      <c r="UEK15" s="101"/>
      <c r="UEL15" s="101"/>
      <c r="UEM15" s="101"/>
      <c r="UEN15" s="101"/>
      <c r="UEO15" s="101"/>
      <c r="UEP15" s="101"/>
      <c r="UEQ15" s="101"/>
      <c r="UER15" s="101"/>
      <c r="UES15" s="101"/>
      <c r="UET15" s="101"/>
      <c r="UEU15" s="101"/>
      <c r="UEV15" s="101"/>
      <c r="UEW15" s="101"/>
      <c r="UEX15" s="101"/>
      <c r="UEY15" s="101"/>
      <c r="UEZ15" s="101"/>
      <c r="UFA15" s="101"/>
      <c r="UFB15" s="101"/>
      <c r="UFC15" s="101"/>
      <c r="UFD15" s="101"/>
      <c r="UFE15" s="101"/>
      <c r="UFF15" s="101"/>
      <c r="UFG15" s="101"/>
      <c r="UFH15" s="101"/>
      <c r="UFI15" s="101"/>
      <c r="UFJ15" s="101"/>
      <c r="UFK15" s="101"/>
      <c r="UFL15" s="101"/>
      <c r="UFM15" s="101"/>
      <c r="UFN15" s="101"/>
      <c r="UFO15" s="101"/>
      <c r="UFP15" s="101"/>
      <c r="UFQ15" s="101"/>
      <c r="UFR15" s="101"/>
      <c r="UFS15" s="101"/>
      <c r="UFT15" s="101"/>
      <c r="UFU15" s="101"/>
      <c r="UFV15" s="101"/>
      <c r="UFW15" s="101"/>
      <c r="UFX15" s="101"/>
      <c r="UFY15" s="101"/>
      <c r="UFZ15" s="101"/>
      <c r="UGA15" s="101"/>
      <c r="UGB15" s="101"/>
      <c r="UGC15" s="101"/>
      <c r="UGD15" s="101"/>
      <c r="UGE15" s="101"/>
      <c r="UGF15" s="101"/>
      <c r="UGG15" s="101"/>
      <c r="UGH15" s="101"/>
      <c r="UGI15" s="101"/>
      <c r="UGJ15" s="101"/>
      <c r="UGK15" s="101"/>
      <c r="UGL15" s="101"/>
      <c r="UGM15" s="101"/>
      <c r="UGN15" s="101"/>
      <c r="UGO15" s="101"/>
      <c r="UGP15" s="101"/>
      <c r="UGQ15" s="101"/>
      <c r="UGR15" s="101"/>
      <c r="UGS15" s="101"/>
      <c r="UGT15" s="101"/>
      <c r="UGU15" s="101"/>
      <c r="UGV15" s="101"/>
      <c r="UGW15" s="101"/>
      <c r="UGX15" s="101"/>
      <c r="UGY15" s="101"/>
      <c r="UGZ15" s="101"/>
      <c r="UHA15" s="101"/>
      <c r="UHB15" s="101"/>
      <c r="UHC15" s="101"/>
      <c r="UHD15" s="101"/>
      <c r="UHE15" s="101"/>
      <c r="UHF15" s="101"/>
      <c r="UHG15" s="101"/>
      <c r="UHH15" s="101"/>
      <c r="UHI15" s="101"/>
      <c r="UHJ15" s="101"/>
      <c r="UHK15" s="101"/>
      <c r="UHL15" s="101"/>
      <c r="UHM15" s="101"/>
      <c r="UHN15" s="101"/>
      <c r="UHO15" s="101"/>
      <c r="UHP15" s="101"/>
      <c r="UHQ15" s="101"/>
      <c r="UHR15" s="101"/>
      <c r="UHS15" s="101"/>
      <c r="UHT15" s="101"/>
      <c r="UHU15" s="101"/>
      <c r="UHV15" s="101"/>
      <c r="UHW15" s="101"/>
      <c r="UHX15" s="101"/>
      <c r="UHY15" s="101"/>
      <c r="UHZ15" s="101"/>
      <c r="UIA15" s="101"/>
      <c r="UIB15" s="101"/>
      <c r="UIC15" s="101"/>
      <c r="UID15" s="101"/>
      <c r="UIE15" s="101"/>
      <c r="UIF15" s="101"/>
      <c r="UIG15" s="101"/>
      <c r="UIH15" s="101"/>
      <c r="UII15" s="101"/>
      <c r="UIJ15" s="101"/>
      <c r="UIK15" s="101"/>
      <c r="UIL15" s="101"/>
      <c r="UIM15" s="101"/>
      <c r="UIN15" s="101"/>
      <c r="UIO15" s="101"/>
      <c r="UIP15" s="101"/>
      <c r="UIQ15" s="101"/>
      <c r="UIR15" s="101"/>
      <c r="UIS15" s="101"/>
      <c r="UIT15" s="101"/>
      <c r="UIU15" s="101"/>
      <c r="UIV15" s="101"/>
      <c r="UIW15" s="101"/>
      <c r="UIX15" s="101"/>
      <c r="UIY15" s="101"/>
      <c r="UIZ15" s="101"/>
      <c r="UJA15" s="101"/>
      <c r="UJB15" s="101"/>
      <c r="UJC15" s="101"/>
      <c r="UJD15" s="101"/>
      <c r="UJE15" s="101"/>
      <c r="UJF15" s="101"/>
      <c r="UJG15" s="101"/>
      <c r="UJH15" s="101"/>
      <c r="UJI15" s="101"/>
      <c r="UJJ15" s="101"/>
      <c r="UJK15" s="101"/>
      <c r="UJL15" s="101"/>
      <c r="UJM15" s="101"/>
      <c r="UJN15" s="101"/>
      <c r="UJO15" s="101"/>
      <c r="UJP15" s="101"/>
      <c r="UJQ15" s="101"/>
      <c r="UJR15" s="101"/>
      <c r="UJS15" s="101"/>
      <c r="UJT15" s="101"/>
      <c r="UJU15" s="101"/>
      <c r="UJV15" s="101"/>
      <c r="UJW15" s="101"/>
      <c r="UJX15" s="101"/>
      <c r="UJY15" s="101"/>
      <c r="UJZ15" s="101"/>
      <c r="UKA15" s="101"/>
      <c r="UKB15" s="101"/>
      <c r="UKC15" s="101"/>
      <c r="UKD15" s="101"/>
      <c r="UKE15" s="101"/>
      <c r="UKF15" s="101"/>
      <c r="UKG15" s="101"/>
      <c r="UKH15" s="101"/>
      <c r="UKI15" s="101"/>
      <c r="UKJ15" s="101"/>
      <c r="UKK15" s="101"/>
      <c r="UKL15" s="101"/>
      <c r="UKM15" s="101"/>
      <c r="UKN15" s="101"/>
      <c r="UKO15" s="101"/>
      <c r="UKP15" s="101"/>
      <c r="UKQ15" s="101"/>
      <c r="UKR15" s="101"/>
      <c r="UKS15" s="101"/>
      <c r="UKT15" s="101"/>
      <c r="UKU15" s="101"/>
      <c r="UKV15" s="101"/>
      <c r="UKW15" s="101"/>
      <c r="UKX15" s="101"/>
      <c r="UKY15" s="101"/>
      <c r="UKZ15" s="101"/>
      <c r="ULA15" s="101"/>
      <c r="ULB15" s="101"/>
      <c r="ULC15" s="101"/>
      <c r="ULD15" s="101"/>
      <c r="ULE15" s="101"/>
      <c r="ULF15" s="101"/>
      <c r="ULG15" s="101"/>
      <c r="ULH15" s="101"/>
      <c r="ULI15" s="101"/>
      <c r="ULJ15" s="101"/>
      <c r="ULK15" s="101"/>
      <c r="ULL15" s="101"/>
      <c r="ULM15" s="101"/>
      <c r="ULN15" s="101"/>
      <c r="ULO15" s="101"/>
      <c r="ULP15" s="101"/>
      <c r="ULQ15" s="101"/>
      <c r="ULR15" s="101"/>
      <c r="ULS15" s="101"/>
      <c r="ULT15" s="101"/>
      <c r="ULU15" s="101"/>
      <c r="ULV15" s="101"/>
      <c r="ULW15" s="101"/>
      <c r="ULX15" s="101"/>
      <c r="ULY15" s="101"/>
      <c r="ULZ15" s="101"/>
      <c r="UMA15" s="101"/>
      <c r="UMB15" s="101"/>
      <c r="UMC15" s="101"/>
      <c r="UMD15" s="101"/>
      <c r="UME15" s="101"/>
      <c r="UMF15" s="101"/>
      <c r="UMG15" s="101"/>
      <c r="UMH15" s="101"/>
      <c r="UMI15" s="101"/>
      <c r="UMJ15" s="101"/>
      <c r="UMK15" s="101"/>
      <c r="UML15" s="101"/>
      <c r="UMM15" s="101"/>
      <c r="UMN15" s="101"/>
      <c r="UMO15" s="101"/>
      <c r="UMP15" s="101"/>
      <c r="UMQ15" s="101"/>
      <c r="UMR15" s="101"/>
      <c r="UMS15" s="101"/>
      <c r="UMT15" s="101"/>
      <c r="UMU15" s="101"/>
      <c r="UMV15" s="101"/>
      <c r="UMW15" s="101"/>
      <c r="UMX15" s="101"/>
      <c r="UMY15" s="101"/>
      <c r="UMZ15" s="101"/>
      <c r="UNA15" s="101"/>
      <c r="UNB15" s="101"/>
      <c r="UNC15" s="101"/>
      <c r="UND15" s="101"/>
      <c r="UNE15" s="101"/>
      <c r="UNF15" s="101"/>
      <c r="UNG15" s="101"/>
      <c r="UNH15" s="101"/>
      <c r="UNI15" s="101"/>
      <c r="UNJ15" s="101"/>
      <c r="UNK15" s="101"/>
      <c r="UNL15" s="101"/>
      <c r="UNM15" s="101"/>
      <c r="UNN15" s="101"/>
      <c r="UNO15" s="101"/>
      <c r="UNP15" s="101"/>
      <c r="UNQ15" s="101"/>
      <c r="UNR15" s="101"/>
      <c r="UNS15" s="101"/>
      <c r="UNT15" s="101"/>
      <c r="UNU15" s="101"/>
      <c r="UNV15" s="101"/>
      <c r="UNW15" s="101"/>
      <c r="UNX15" s="101"/>
      <c r="UNY15" s="101"/>
      <c r="UNZ15" s="101"/>
      <c r="UOA15" s="101"/>
      <c r="UOB15" s="101"/>
      <c r="UOC15" s="101"/>
      <c r="UOD15" s="101"/>
      <c r="UOE15" s="101"/>
      <c r="UOF15" s="101"/>
      <c r="UOG15" s="101"/>
      <c r="UOH15" s="101"/>
      <c r="UOI15" s="101"/>
      <c r="UOJ15" s="101"/>
      <c r="UOK15" s="101"/>
      <c r="UOL15" s="101"/>
      <c r="UOM15" s="101"/>
      <c r="UON15" s="101"/>
      <c r="UOO15" s="101"/>
      <c r="UOP15" s="101"/>
      <c r="UOQ15" s="101"/>
      <c r="UOR15" s="101"/>
      <c r="UOS15" s="101"/>
      <c r="UOT15" s="101"/>
      <c r="UOU15" s="101"/>
      <c r="UOV15" s="101"/>
      <c r="UOW15" s="101"/>
      <c r="UOX15" s="101"/>
      <c r="UOY15" s="101"/>
      <c r="UOZ15" s="101"/>
      <c r="UPA15" s="101"/>
      <c r="UPB15" s="101"/>
      <c r="UPC15" s="101"/>
      <c r="UPD15" s="101"/>
      <c r="UPE15" s="101"/>
      <c r="UPF15" s="101"/>
      <c r="UPG15" s="101"/>
      <c r="UPH15" s="101"/>
      <c r="UPI15" s="101"/>
      <c r="UPJ15" s="101"/>
      <c r="UPK15" s="101"/>
      <c r="UPL15" s="101"/>
      <c r="UPM15" s="101"/>
      <c r="UPN15" s="101"/>
      <c r="UPO15" s="101"/>
      <c r="UPP15" s="101"/>
      <c r="UPQ15" s="101"/>
      <c r="UPR15" s="101"/>
      <c r="UPS15" s="101"/>
      <c r="UPT15" s="101"/>
      <c r="UPU15" s="101"/>
      <c r="UPV15" s="101"/>
      <c r="UPW15" s="101"/>
      <c r="UPX15" s="101"/>
      <c r="UPY15" s="101"/>
      <c r="UPZ15" s="101"/>
      <c r="UQA15" s="101"/>
      <c r="UQB15" s="101"/>
      <c r="UQC15" s="101"/>
      <c r="UQD15" s="101"/>
      <c r="UQE15" s="101"/>
      <c r="UQF15" s="101"/>
      <c r="UQG15" s="101"/>
      <c r="UQH15" s="101"/>
      <c r="UQI15" s="101"/>
      <c r="UQJ15" s="101"/>
      <c r="UQK15" s="101"/>
      <c r="UQL15" s="101"/>
      <c r="UQM15" s="101"/>
      <c r="UQN15" s="101"/>
      <c r="UQO15" s="101"/>
      <c r="UQP15" s="101"/>
      <c r="UQQ15" s="101"/>
      <c r="UQR15" s="101"/>
      <c r="UQS15" s="101"/>
      <c r="UQT15" s="101"/>
      <c r="UQU15" s="101"/>
      <c r="UQV15" s="101"/>
      <c r="UQW15" s="101"/>
      <c r="UQX15" s="101"/>
      <c r="UQY15" s="101"/>
      <c r="UQZ15" s="101"/>
      <c r="URA15" s="101"/>
      <c r="URB15" s="101"/>
      <c r="URC15" s="101"/>
      <c r="URD15" s="101"/>
      <c r="URE15" s="101"/>
      <c r="URF15" s="101"/>
      <c r="URG15" s="101"/>
      <c r="URH15" s="101"/>
      <c r="URI15" s="101"/>
      <c r="URJ15" s="101"/>
      <c r="URK15" s="101"/>
      <c r="URL15" s="101"/>
      <c r="URM15" s="101"/>
      <c r="URN15" s="101"/>
      <c r="URO15" s="101"/>
      <c r="URP15" s="101"/>
      <c r="URQ15" s="101"/>
      <c r="URR15" s="101"/>
      <c r="URS15" s="101"/>
      <c r="URT15" s="101"/>
      <c r="URU15" s="101"/>
      <c r="URV15" s="101"/>
      <c r="URW15" s="101"/>
      <c r="URX15" s="101"/>
      <c r="URY15" s="101"/>
      <c r="URZ15" s="101"/>
      <c r="USA15" s="101"/>
      <c r="USB15" s="101"/>
      <c r="USC15" s="101"/>
      <c r="USD15" s="101"/>
      <c r="USE15" s="101"/>
      <c r="USF15" s="101"/>
      <c r="USG15" s="101"/>
      <c r="USH15" s="101"/>
      <c r="USI15" s="101"/>
      <c r="USJ15" s="101"/>
      <c r="USK15" s="101"/>
      <c r="USL15" s="101"/>
      <c r="USM15" s="101"/>
      <c r="USN15" s="101"/>
      <c r="USO15" s="101"/>
      <c r="USP15" s="101"/>
      <c r="USQ15" s="101"/>
      <c r="USR15" s="101"/>
      <c r="USS15" s="101"/>
      <c r="UST15" s="101"/>
      <c r="USU15" s="101"/>
      <c r="USV15" s="101"/>
      <c r="USW15" s="101"/>
      <c r="USX15" s="101"/>
      <c r="USY15" s="101"/>
      <c r="USZ15" s="101"/>
      <c r="UTA15" s="101"/>
      <c r="UTB15" s="101"/>
      <c r="UTC15" s="101"/>
      <c r="UTD15" s="101"/>
      <c r="UTE15" s="101"/>
      <c r="UTF15" s="101"/>
      <c r="UTG15" s="101"/>
      <c r="UTH15" s="101"/>
      <c r="UTI15" s="101"/>
      <c r="UTJ15" s="101"/>
      <c r="UTK15" s="101"/>
      <c r="UTL15" s="101"/>
      <c r="UTM15" s="101"/>
      <c r="UTN15" s="101"/>
      <c r="UTO15" s="101"/>
      <c r="UTP15" s="101"/>
      <c r="UTQ15" s="101"/>
      <c r="UTR15" s="101"/>
      <c r="UTS15" s="101"/>
      <c r="UTT15" s="101"/>
      <c r="UTU15" s="101"/>
      <c r="UTV15" s="101"/>
      <c r="UTW15" s="101"/>
      <c r="UTX15" s="101"/>
      <c r="UTY15" s="101"/>
      <c r="UTZ15" s="101"/>
      <c r="UUA15" s="101"/>
      <c r="UUB15" s="101"/>
      <c r="UUC15" s="101"/>
      <c r="UUD15" s="101"/>
      <c r="UUE15" s="101"/>
      <c r="UUF15" s="101"/>
      <c r="UUG15" s="101"/>
      <c r="UUH15" s="101"/>
      <c r="UUI15" s="101"/>
      <c r="UUJ15" s="101"/>
      <c r="UUK15" s="101"/>
      <c r="UUL15" s="101"/>
      <c r="UUM15" s="101"/>
      <c r="UUN15" s="101"/>
      <c r="UUO15" s="101"/>
      <c r="UUP15" s="101"/>
      <c r="UUQ15" s="101"/>
      <c r="UUR15" s="101"/>
      <c r="UUS15" s="101"/>
      <c r="UUT15" s="101"/>
      <c r="UUU15" s="101"/>
      <c r="UUV15" s="101"/>
      <c r="UUW15" s="101"/>
      <c r="UUX15" s="101"/>
      <c r="UUY15" s="101"/>
      <c r="UUZ15" s="101"/>
      <c r="UVA15" s="101"/>
      <c r="UVB15" s="101"/>
      <c r="UVC15" s="101"/>
      <c r="UVD15" s="101"/>
      <c r="UVE15" s="101"/>
      <c r="UVF15" s="101"/>
      <c r="UVG15" s="101"/>
      <c r="UVH15" s="101"/>
      <c r="UVI15" s="101"/>
      <c r="UVJ15" s="101"/>
      <c r="UVK15" s="101"/>
      <c r="UVL15" s="101"/>
      <c r="UVM15" s="101"/>
      <c r="UVN15" s="101"/>
      <c r="UVO15" s="101"/>
      <c r="UVP15" s="101"/>
      <c r="UVQ15" s="101"/>
      <c r="UVR15" s="101"/>
      <c r="UVS15" s="101"/>
      <c r="UVT15" s="101"/>
      <c r="UVU15" s="101"/>
      <c r="UVV15" s="101"/>
      <c r="UVW15" s="101"/>
      <c r="UVX15" s="101"/>
      <c r="UVY15" s="101"/>
      <c r="UVZ15" s="101"/>
      <c r="UWA15" s="101"/>
      <c r="UWB15" s="101"/>
      <c r="UWC15" s="101"/>
      <c r="UWD15" s="101"/>
      <c r="UWE15" s="101"/>
      <c r="UWF15" s="101"/>
      <c r="UWG15" s="101"/>
      <c r="UWH15" s="101"/>
      <c r="UWI15" s="101"/>
      <c r="UWJ15" s="101"/>
      <c r="UWK15" s="101"/>
      <c r="UWL15" s="101"/>
      <c r="UWM15" s="101"/>
      <c r="UWN15" s="101"/>
      <c r="UWO15" s="101"/>
      <c r="UWP15" s="101"/>
      <c r="UWQ15" s="101"/>
      <c r="UWR15" s="101"/>
      <c r="UWS15" s="101"/>
      <c r="UWT15" s="101"/>
      <c r="UWU15" s="101"/>
      <c r="UWV15" s="101"/>
      <c r="UWW15" s="101"/>
      <c r="UWX15" s="101"/>
      <c r="UWY15" s="101"/>
      <c r="UWZ15" s="101"/>
      <c r="UXA15" s="101"/>
      <c r="UXB15" s="101"/>
      <c r="UXC15" s="101"/>
      <c r="UXD15" s="101"/>
      <c r="UXE15" s="101"/>
      <c r="UXF15" s="101"/>
      <c r="UXG15" s="101"/>
      <c r="UXH15" s="101"/>
      <c r="UXI15" s="101"/>
      <c r="UXJ15" s="101"/>
      <c r="UXK15" s="101"/>
      <c r="UXL15" s="101"/>
      <c r="UXM15" s="101"/>
      <c r="UXN15" s="101"/>
      <c r="UXO15" s="101"/>
      <c r="UXP15" s="101"/>
      <c r="UXQ15" s="101"/>
      <c r="UXR15" s="101"/>
      <c r="UXS15" s="101"/>
      <c r="UXT15" s="101"/>
      <c r="UXU15" s="101"/>
      <c r="UXV15" s="101"/>
      <c r="UXW15" s="101"/>
      <c r="UXX15" s="101"/>
      <c r="UXY15" s="101"/>
      <c r="UXZ15" s="101"/>
      <c r="UYA15" s="101"/>
      <c r="UYB15" s="101"/>
      <c r="UYC15" s="101"/>
      <c r="UYD15" s="101"/>
      <c r="UYE15" s="101"/>
      <c r="UYF15" s="101"/>
      <c r="UYG15" s="101"/>
      <c r="UYH15" s="101"/>
      <c r="UYI15" s="101"/>
      <c r="UYJ15" s="101"/>
      <c r="UYK15" s="101"/>
      <c r="UYL15" s="101"/>
      <c r="UYM15" s="101"/>
      <c r="UYN15" s="101"/>
      <c r="UYO15" s="101"/>
      <c r="UYP15" s="101"/>
      <c r="UYQ15" s="101"/>
      <c r="UYR15" s="101"/>
      <c r="UYS15" s="101"/>
      <c r="UYT15" s="101"/>
      <c r="UYU15" s="101"/>
      <c r="UYV15" s="101"/>
      <c r="UYW15" s="101"/>
      <c r="UYX15" s="101"/>
      <c r="UYY15" s="101"/>
      <c r="UYZ15" s="101"/>
      <c r="UZA15" s="101"/>
      <c r="UZB15" s="101"/>
      <c r="UZC15" s="101"/>
      <c r="UZD15" s="101"/>
      <c r="UZE15" s="101"/>
      <c r="UZF15" s="101"/>
      <c r="UZG15" s="101"/>
      <c r="UZH15" s="101"/>
      <c r="UZI15" s="101"/>
      <c r="UZJ15" s="101"/>
      <c r="UZK15" s="101"/>
      <c r="UZL15" s="101"/>
      <c r="UZM15" s="101"/>
      <c r="UZN15" s="101"/>
      <c r="UZO15" s="101"/>
      <c r="UZP15" s="101"/>
      <c r="UZQ15" s="101"/>
      <c r="UZR15" s="101"/>
      <c r="UZS15" s="101"/>
      <c r="UZT15" s="101"/>
      <c r="UZU15" s="101"/>
      <c r="UZV15" s="101"/>
      <c r="UZW15" s="101"/>
      <c r="UZX15" s="101"/>
      <c r="UZY15" s="101"/>
      <c r="UZZ15" s="101"/>
      <c r="VAA15" s="101"/>
      <c r="VAB15" s="101"/>
      <c r="VAC15" s="101"/>
      <c r="VAD15" s="101"/>
      <c r="VAE15" s="101"/>
      <c r="VAF15" s="101"/>
      <c r="VAG15" s="101"/>
      <c r="VAH15" s="101"/>
      <c r="VAI15" s="101"/>
      <c r="VAJ15" s="101"/>
      <c r="VAK15" s="101"/>
      <c r="VAL15" s="101"/>
      <c r="VAM15" s="101"/>
      <c r="VAN15" s="101"/>
      <c r="VAO15" s="101"/>
      <c r="VAP15" s="101"/>
      <c r="VAQ15" s="101"/>
      <c r="VAR15" s="101"/>
      <c r="VAS15" s="101"/>
      <c r="VAT15" s="101"/>
      <c r="VAU15" s="101"/>
      <c r="VAV15" s="101"/>
      <c r="VAW15" s="101"/>
      <c r="VAX15" s="101"/>
      <c r="VAY15" s="101"/>
      <c r="VAZ15" s="101"/>
      <c r="VBA15" s="101"/>
      <c r="VBB15" s="101"/>
      <c r="VBC15" s="101"/>
      <c r="VBD15" s="101"/>
      <c r="VBE15" s="101"/>
      <c r="VBF15" s="101"/>
      <c r="VBG15" s="101"/>
      <c r="VBH15" s="101"/>
      <c r="VBI15" s="101"/>
      <c r="VBJ15" s="101"/>
      <c r="VBK15" s="101"/>
      <c r="VBL15" s="101"/>
      <c r="VBM15" s="101"/>
      <c r="VBN15" s="101"/>
      <c r="VBO15" s="101"/>
      <c r="VBP15" s="101"/>
      <c r="VBQ15" s="101"/>
      <c r="VBR15" s="101"/>
      <c r="VBS15" s="101"/>
      <c r="VBT15" s="101"/>
      <c r="VBU15" s="101"/>
      <c r="VBV15" s="101"/>
      <c r="VBW15" s="101"/>
      <c r="VBX15" s="101"/>
      <c r="VBY15" s="101"/>
      <c r="VBZ15" s="101"/>
      <c r="VCA15" s="101"/>
      <c r="VCB15" s="101"/>
      <c r="VCC15" s="101"/>
      <c r="VCD15" s="101"/>
      <c r="VCE15" s="101"/>
      <c r="VCF15" s="101"/>
      <c r="VCG15" s="101"/>
      <c r="VCH15" s="101"/>
      <c r="VCI15" s="101"/>
      <c r="VCJ15" s="101"/>
      <c r="VCK15" s="101"/>
      <c r="VCL15" s="101"/>
      <c r="VCM15" s="101"/>
      <c r="VCN15" s="101"/>
      <c r="VCO15" s="101"/>
      <c r="VCP15" s="101"/>
      <c r="VCQ15" s="101"/>
      <c r="VCR15" s="101"/>
      <c r="VCS15" s="101"/>
      <c r="VCT15" s="101"/>
      <c r="VCU15" s="101"/>
      <c r="VCV15" s="101"/>
      <c r="VCW15" s="101"/>
      <c r="VCX15" s="101"/>
      <c r="VCY15" s="101"/>
      <c r="VCZ15" s="101"/>
      <c r="VDA15" s="101"/>
      <c r="VDB15" s="101"/>
      <c r="VDC15" s="101"/>
      <c r="VDD15" s="101"/>
      <c r="VDE15" s="101"/>
      <c r="VDF15" s="101"/>
      <c r="VDG15" s="101"/>
      <c r="VDH15" s="101"/>
      <c r="VDI15" s="101"/>
      <c r="VDJ15" s="101"/>
      <c r="VDK15" s="101"/>
      <c r="VDL15" s="101"/>
      <c r="VDM15" s="101"/>
      <c r="VDN15" s="101"/>
      <c r="VDO15" s="101"/>
      <c r="VDP15" s="101"/>
      <c r="VDQ15" s="101"/>
      <c r="VDR15" s="101"/>
      <c r="VDS15" s="101"/>
      <c r="VDT15" s="101"/>
      <c r="VDU15" s="101"/>
      <c r="VDV15" s="101"/>
      <c r="VDW15" s="101"/>
      <c r="VDX15" s="101"/>
      <c r="VDY15" s="101"/>
      <c r="VDZ15" s="101"/>
      <c r="VEA15" s="101"/>
      <c r="VEB15" s="101"/>
      <c r="VEC15" s="101"/>
      <c r="VED15" s="101"/>
      <c r="VEE15" s="101"/>
      <c r="VEF15" s="101"/>
      <c r="VEG15" s="101"/>
      <c r="VEH15" s="101"/>
      <c r="VEI15" s="101"/>
      <c r="VEJ15" s="101"/>
      <c r="VEK15" s="101"/>
      <c r="VEL15" s="101"/>
      <c r="VEM15" s="101"/>
      <c r="VEN15" s="101"/>
      <c r="VEO15" s="101"/>
      <c r="VEP15" s="101"/>
      <c r="VEQ15" s="101"/>
      <c r="VER15" s="101"/>
      <c r="VES15" s="101"/>
      <c r="VET15" s="101"/>
      <c r="VEU15" s="101"/>
      <c r="VEV15" s="101"/>
      <c r="VEW15" s="101"/>
      <c r="VEX15" s="101"/>
      <c r="VEY15" s="101"/>
      <c r="VEZ15" s="101"/>
      <c r="VFA15" s="101"/>
      <c r="VFB15" s="101"/>
      <c r="VFC15" s="101"/>
      <c r="VFD15" s="101"/>
      <c r="VFE15" s="101"/>
      <c r="VFF15" s="101"/>
      <c r="VFG15" s="101"/>
      <c r="VFH15" s="101"/>
      <c r="VFI15" s="101"/>
      <c r="VFJ15" s="101"/>
      <c r="VFK15" s="101"/>
      <c r="VFL15" s="101"/>
      <c r="VFM15" s="101"/>
      <c r="VFN15" s="101"/>
      <c r="VFO15" s="101"/>
      <c r="VFP15" s="101"/>
      <c r="VFQ15" s="101"/>
      <c r="VFR15" s="101"/>
      <c r="VFS15" s="101"/>
      <c r="VFT15" s="101"/>
      <c r="VFU15" s="101"/>
      <c r="VFV15" s="101"/>
      <c r="VFW15" s="101"/>
      <c r="VFX15" s="101"/>
      <c r="VFY15" s="101"/>
      <c r="VFZ15" s="101"/>
      <c r="VGA15" s="101"/>
      <c r="VGB15" s="101"/>
      <c r="VGC15" s="101"/>
      <c r="VGD15" s="101"/>
      <c r="VGE15" s="101"/>
      <c r="VGF15" s="101"/>
      <c r="VGG15" s="101"/>
      <c r="VGH15" s="101"/>
      <c r="VGI15" s="101"/>
      <c r="VGJ15" s="101"/>
      <c r="VGK15" s="101"/>
      <c r="VGL15" s="101"/>
      <c r="VGM15" s="101"/>
      <c r="VGN15" s="101"/>
      <c r="VGO15" s="101"/>
      <c r="VGP15" s="101"/>
      <c r="VGQ15" s="101"/>
      <c r="VGR15" s="101"/>
      <c r="VGS15" s="101"/>
      <c r="VGT15" s="101"/>
      <c r="VGU15" s="101"/>
      <c r="VGV15" s="101"/>
      <c r="VGW15" s="101"/>
      <c r="VGX15" s="101"/>
      <c r="VGY15" s="101"/>
      <c r="VGZ15" s="101"/>
      <c r="VHA15" s="101"/>
      <c r="VHB15" s="101"/>
      <c r="VHC15" s="101"/>
      <c r="VHD15" s="101"/>
      <c r="VHE15" s="101"/>
      <c r="VHF15" s="101"/>
      <c r="VHG15" s="101"/>
      <c r="VHH15" s="101"/>
      <c r="VHI15" s="101"/>
      <c r="VHJ15" s="101"/>
      <c r="VHK15" s="101"/>
      <c r="VHL15" s="101"/>
      <c r="VHM15" s="101"/>
      <c r="VHN15" s="101"/>
      <c r="VHO15" s="101"/>
      <c r="VHP15" s="101"/>
      <c r="VHQ15" s="101"/>
      <c r="VHR15" s="101"/>
      <c r="VHS15" s="101"/>
      <c r="VHT15" s="101"/>
      <c r="VHU15" s="101"/>
      <c r="VHV15" s="101"/>
      <c r="VHW15" s="101"/>
      <c r="VHX15" s="101"/>
      <c r="VHY15" s="101"/>
      <c r="VHZ15" s="101"/>
      <c r="VIA15" s="101"/>
      <c r="VIB15" s="101"/>
      <c r="VIC15" s="101"/>
      <c r="VID15" s="101"/>
      <c r="VIE15" s="101"/>
      <c r="VIF15" s="101"/>
      <c r="VIG15" s="101"/>
      <c r="VIH15" s="101"/>
      <c r="VII15" s="101"/>
      <c r="VIJ15" s="101"/>
      <c r="VIK15" s="101"/>
      <c r="VIL15" s="101"/>
      <c r="VIM15" s="101"/>
      <c r="VIN15" s="101"/>
      <c r="VIO15" s="101"/>
      <c r="VIP15" s="101"/>
      <c r="VIQ15" s="101"/>
      <c r="VIR15" s="101"/>
      <c r="VIS15" s="101"/>
      <c r="VIT15" s="101"/>
      <c r="VIU15" s="101"/>
      <c r="VIV15" s="101"/>
      <c r="VIW15" s="101"/>
      <c r="VIX15" s="101"/>
      <c r="VIY15" s="101"/>
      <c r="VIZ15" s="101"/>
      <c r="VJA15" s="101"/>
      <c r="VJB15" s="101"/>
      <c r="VJC15" s="101"/>
      <c r="VJD15" s="101"/>
      <c r="VJE15" s="101"/>
      <c r="VJF15" s="101"/>
      <c r="VJG15" s="101"/>
      <c r="VJH15" s="101"/>
      <c r="VJI15" s="101"/>
      <c r="VJJ15" s="101"/>
      <c r="VJK15" s="101"/>
      <c r="VJL15" s="101"/>
      <c r="VJM15" s="101"/>
      <c r="VJN15" s="101"/>
      <c r="VJO15" s="101"/>
      <c r="VJP15" s="101"/>
      <c r="VJQ15" s="101"/>
      <c r="VJR15" s="101"/>
      <c r="VJS15" s="101"/>
      <c r="VJT15" s="101"/>
      <c r="VJU15" s="101"/>
      <c r="VJV15" s="101"/>
      <c r="VJW15" s="101"/>
      <c r="VJX15" s="101"/>
      <c r="VJY15" s="101"/>
      <c r="VJZ15" s="101"/>
      <c r="VKA15" s="101"/>
      <c r="VKB15" s="101"/>
      <c r="VKC15" s="101"/>
      <c r="VKD15" s="101"/>
      <c r="VKE15" s="101"/>
      <c r="VKF15" s="101"/>
      <c r="VKG15" s="101"/>
      <c r="VKH15" s="101"/>
      <c r="VKI15" s="101"/>
      <c r="VKJ15" s="101"/>
      <c r="VKK15" s="101"/>
      <c r="VKL15" s="101"/>
      <c r="VKM15" s="101"/>
      <c r="VKN15" s="101"/>
      <c r="VKO15" s="101"/>
      <c r="VKP15" s="101"/>
      <c r="VKQ15" s="101"/>
      <c r="VKR15" s="101"/>
      <c r="VKS15" s="101"/>
      <c r="VKT15" s="101"/>
      <c r="VKU15" s="101"/>
      <c r="VKV15" s="101"/>
      <c r="VKW15" s="101"/>
      <c r="VKX15" s="101"/>
      <c r="VKY15" s="101"/>
      <c r="VKZ15" s="101"/>
      <c r="VLA15" s="101"/>
      <c r="VLB15" s="101"/>
      <c r="VLC15" s="101"/>
      <c r="VLD15" s="101"/>
      <c r="VLE15" s="101"/>
      <c r="VLF15" s="101"/>
      <c r="VLG15" s="101"/>
      <c r="VLH15" s="101"/>
      <c r="VLI15" s="101"/>
      <c r="VLJ15" s="101"/>
      <c r="VLK15" s="101"/>
      <c r="VLL15" s="101"/>
      <c r="VLM15" s="101"/>
      <c r="VLN15" s="101"/>
      <c r="VLO15" s="101"/>
      <c r="VLP15" s="101"/>
      <c r="VLQ15" s="101"/>
      <c r="VLR15" s="101"/>
      <c r="VLS15" s="101"/>
      <c r="VLT15" s="101"/>
      <c r="VLU15" s="101"/>
      <c r="VLV15" s="101"/>
      <c r="VLW15" s="101"/>
      <c r="VLX15" s="101"/>
      <c r="VLY15" s="101"/>
      <c r="VLZ15" s="101"/>
      <c r="VMA15" s="101"/>
      <c r="VMB15" s="101"/>
      <c r="VMC15" s="101"/>
      <c r="VMD15" s="101"/>
      <c r="VME15" s="101"/>
      <c r="VMF15" s="101"/>
      <c r="VMG15" s="101"/>
      <c r="VMH15" s="101"/>
      <c r="VMI15" s="101"/>
      <c r="VMJ15" s="101"/>
      <c r="VMK15" s="101"/>
      <c r="VML15" s="101"/>
      <c r="VMM15" s="101"/>
      <c r="VMN15" s="101"/>
      <c r="VMO15" s="101"/>
      <c r="VMP15" s="101"/>
      <c r="VMQ15" s="101"/>
      <c r="VMR15" s="101"/>
      <c r="VMS15" s="101"/>
      <c r="VMT15" s="101"/>
      <c r="VMU15" s="101"/>
      <c r="VMV15" s="101"/>
      <c r="VMW15" s="101"/>
      <c r="VMX15" s="101"/>
      <c r="VMY15" s="101"/>
      <c r="VMZ15" s="101"/>
      <c r="VNA15" s="101"/>
      <c r="VNB15" s="101"/>
      <c r="VNC15" s="101"/>
      <c r="VND15" s="101"/>
      <c r="VNE15" s="101"/>
      <c r="VNF15" s="101"/>
      <c r="VNG15" s="101"/>
      <c r="VNH15" s="101"/>
      <c r="VNI15" s="101"/>
      <c r="VNJ15" s="101"/>
      <c r="VNK15" s="101"/>
      <c r="VNL15" s="101"/>
      <c r="VNM15" s="101"/>
      <c r="VNN15" s="101"/>
      <c r="VNO15" s="101"/>
      <c r="VNP15" s="101"/>
      <c r="VNQ15" s="101"/>
      <c r="VNR15" s="101"/>
      <c r="VNS15" s="101"/>
      <c r="VNT15" s="101"/>
      <c r="VNU15" s="101"/>
      <c r="VNV15" s="101"/>
      <c r="VNW15" s="101"/>
      <c r="VNX15" s="101"/>
      <c r="VNY15" s="101"/>
      <c r="VNZ15" s="101"/>
      <c r="VOA15" s="101"/>
      <c r="VOB15" s="101"/>
      <c r="VOC15" s="101"/>
      <c r="VOD15" s="101"/>
      <c r="VOE15" s="101"/>
      <c r="VOF15" s="101"/>
      <c r="VOG15" s="101"/>
      <c r="VOH15" s="101"/>
      <c r="VOI15" s="101"/>
      <c r="VOJ15" s="101"/>
      <c r="VOK15" s="101"/>
      <c r="VOL15" s="101"/>
      <c r="VOM15" s="101"/>
      <c r="VON15" s="101"/>
      <c r="VOO15" s="101"/>
      <c r="VOP15" s="101"/>
      <c r="VOQ15" s="101"/>
      <c r="VOR15" s="101"/>
      <c r="VOS15" s="101"/>
      <c r="VOT15" s="101"/>
      <c r="VOU15" s="101"/>
      <c r="VOV15" s="101"/>
      <c r="VOW15" s="101"/>
      <c r="VOX15" s="101"/>
      <c r="VOY15" s="101"/>
      <c r="VOZ15" s="101"/>
      <c r="VPA15" s="101"/>
      <c r="VPB15" s="101"/>
      <c r="VPC15" s="101"/>
      <c r="VPD15" s="101"/>
      <c r="VPE15" s="101"/>
      <c r="VPF15" s="101"/>
      <c r="VPG15" s="101"/>
      <c r="VPH15" s="101"/>
      <c r="VPI15" s="101"/>
      <c r="VPJ15" s="101"/>
      <c r="VPK15" s="101"/>
      <c r="VPL15" s="101"/>
      <c r="VPM15" s="101"/>
      <c r="VPN15" s="101"/>
      <c r="VPO15" s="101"/>
      <c r="VPP15" s="101"/>
      <c r="VPQ15" s="101"/>
      <c r="VPR15" s="101"/>
      <c r="VPS15" s="101"/>
      <c r="VPT15" s="101"/>
      <c r="VPU15" s="101"/>
      <c r="VPV15" s="101"/>
      <c r="VPW15" s="101"/>
      <c r="VPX15" s="101"/>
      <c r="VPY15" s="101"/>
      <c r="VPZ15" s="101"/>
      <c r="VQA15" s="101"/>
      <c r="VQB15" s="101"/>
      <c r="VQC15" s="101"/>
      <c r="VQD15" s="101"/>
      <c r="VQE15" s="101"/>
      <c r="VQF15" s="101"/>
      <c r="VQG15" s="101"/>
      <c r="VQH15" s="101"/>
      <c r="VQI15" s="101"/>
      <c r="VQJ15" s="101"/>
      <c r="VQK15" s="101"/>
      <c r="VQL15" s="101"/>
      <c r="VQM15" s="101"/>
      <c r="VQN15" s="101"/>
      <c r="VQO15" s="101"/>
      <c r="VQP15" s="101"/>
      <c r="VQQ15" s="101"/>
      <c r="VQR15" s="101"/>
      <c r="VQS15" s="101"/>
      <c r="VQT15" s="101"/>
      <c r="VQU15" s="101"/>
      <c r="VQV15" s="101"/>
      <c r="VQW15" s="101"/>
      <c r="VQX15" s="101"/>
      <c r="VQY15" s="101"/>
      <c r="VQZ15" s="101"/>
      <c r="VRA15" s="101"/>
      <c r="VRB15" s="101"/>
      <c r="VRC15" s="101"/>
      <c r="VRD15" s="101"/>
      <c r="VRE15" s="101"/>
      <c r="VRF15" s="101"/>
      <c r="VRG15" s="101"/>
      <c r="VRH15" s="101"/>
      <c r="VRI15" s="101"/>
      <c r="VRJ15" s="101"/>
      <c r="VRK15" s="101"/>
      <c r="VRL15" s="101"/>
      <c r="VRM15" s="101"/>
      <c r="VRN15" s="101"/>
      <c r="VRO15" s="101"/>
      <c r="VRP15" s="101"/>
      <c r="VRQ15" s="101"/>
      <c r="VRR15" s="101"/>
      <c r="VRS15" s="101"/>
      <c r="VRT15" s="101"/>
      <c r="VRU15" s="101"/>
      <c r="VRV15" s="101"/>
      <c r="VRW15" s="101"/>
      <c r="VRX15" s="101"/>
      <c r="VRY15" s="101"/>
      <c r="VRZ15" s="101"/>
      <c r="VSA15" s="101"/>
      <c r="VSB15" s="101"/>
      <c r="VSC15" s="101"/>
      <c r="VSD15" s="101"/>
      <c r="VSE15" s="101"/>
      <c r="VSF15" s="101"/>
      <c r="VSG15" s="101"/>
      <c r="VSH15" s="101"/>
      <c r="VSI15" s="101"/>
      <c r="VSJ15" s="101"/>
      <c r="VSK15" s="101"/>
      <c r="VSL15" s="101"/>
      <c r="VSM15" s="101"/>
      <c r="VSN15" s="101"/>
      <c r="VSO15" s="101"/>
      <c r="VSP15" s="101"/>
      <c r="VSQ15" s="101"/>
      <c r="VSR15" s="101"/>
      <c r="VSS15" s="101"/>
      <c r="VST15" s="101"/>
      <c r="VSU15" s="101"/>
      <c r="VSV15" s="101"/>
      <c r="VSW15" s="101"/>
      <c r="VSX15" s="101"/>
      <c r="VSY15" s="101"/>
      <c r="VSZ15" s="101"/>
      <c r="VTA15" s="101"/>
      <c r="VTB15" s="101"/>
      <c r="VTC15" s="101"/>
      <c r="VTD15" s="101"/>
      <c r="VTE15" s="101"/>
      <c r="VTF15" s="101"/>
      <c r="VTG15" s="101"/>
      <c r="VTH15" s="101"/>
      <c r="VTI15" s="101"/>
      <c r="VTJ15" s="101"/>
      <c r="VTK15" s="101"/>
      <c r="VTL15" s="101"/>
      <c r="VTM15" s="101"/>
      <c r="VTN15" s="101"/>
      <c r="VTO15" s="101"/>
      <c r="VTP15" s="101"/>
      <c r="VTQ15" s="101"/>
      <c r="VTR15" s="101"/>
      <c r="VTS15" s="101"/>
      <c r="VTT15" s="101"/>
      <c r="VTU15" s="101"/>
      <c r="VTV15" s="101"/>
      <c r="VTW15" s="101"/>
      <c r="VTX15" s="101"/>
      <c r="VTY15" s="101"/>
      <c r="VTZ15" s="101"/>
      <c r="VUA15" s="101"/>
      <c r="VUB15" s="101"/>
      <c r="VUC15" s="101"/>
      <c r="VUD15" s="101"/>
      <c r="VUE15" s="101"/>
      <c r="VUF15" s="101"/>
      <c r="VUG15" s="101"/>
      <c r="VUH15" s="101"/>
      <c r="VUI15" s="101"/>
      <c r="VUJ15" s="101"/>
      <c r="VUK15" s="101"/>
      <c r="VUL15" s="101"/>
      <c r="VUM15" s="101"/>
      <c r="VUN15" s="101"/>
      <c r="VUO15" s="101"/>
      <c r="VUP15" s="101"/>
      <c r="VUQ15" s="101"/>
      <c r="VUR15" s="101"/>
      <c r="VUS15" s="101"/>
      <c r="VUT15" s="101"/>
      <c r="VUU15" s="101"/>
      <c r="VUV15" s="101"/>
      <c r="VUW15" s="101"/>
      <c r="VUX15" s="101"/>
      <c r="VUY15" s="101"/>
      <c r="VUZ15" s="101"/>
      <c r="VVA15" s="101"/>
      <c r="VVB15" s="101"/>
      <c r="VVC15" s="101"/>
      <c r="VVD15" s="101"/>
      <c r="VVE15" s="101"/>
      <c r="VVF15" s="101"/>
      <c r="VVG15" s="101"/>
      <c r="VVH15" s="101"/>
      <c r="VVI15" s="101"/>
      <c r="VVJ15" s="101"/>
      <c r="VVK15" s="101"/>
      <c r="VVL15" s="101"/>
      <c r="VVM15" s="101"/>
      <c r="VVN15" s="101"/>
      <c r="VVO15" s="101"/>
      <c r="VVP15" s="101"/>
      <c r="VVQ15" s="101"/>
      <c r="VVR15" s="101"/>
      <c r="VVS15" s="101"/>
      <c r="VVT15" s="101"/>
      <c r="VVU15" s="101"/>
      <c r="VVV15" s="101"/>
      <c r="VVW15" s="101"/>
      <c r="VVX15" s="101"/>
      <c r="VVY15" s="101"/>
      <c r="VVZ15" s="101"/>
      <c r="VWA15" s="101"/>
      <c r="VWB15" s="101"/>
      <c r="VWC15" s="101"/>
      <c r="VWD15" s="101"/>
      <c r="VWE15" s="101"/>
      <c r="VWF15" s="101"/>
      <c r="VWG15" s="101"/>
      <c r="VWH15" s="101"/>
      <c r="VWI15" s="101"/>
      <c r="VWJ15" s="101"/>
      <c r="VWK15" s="101"/>
      <c r="VWL15" s="101"/>
      <c r="VWM15" s="101"/>
      <c r="VWN15" s="101"/>
      <c r="VWO15" s="101"/>
      <c r="VWP15" s="101"/>
      <c r="VWQ15" s="101"/>
      <c r="VWR15" s="101"/>
      <c r="VWS15" s="101"/>
      <c r="VWT15" s="101"/>
      <c r="VWU15" s="101"/>
      <c r="VWV15" s="101"/>
      <c r="VWW15" s="101"/>
      <c r="VWX15" s="101"/>
      <c r="VWY15" s="101"/>
      <c r="VWZ15" s="101"/>
      <c r="VXA15" s="101"/>
      <c r="VXB15" s="101"/>
      <c r="VXC15" s="101"/>
      <c r="VXD15" s="101"/>
      <c r="VXE15" s="101"/>
      <c r="VXF15" s="101"/>
      <c r="VXG15" s="101"/>
      <c r="VXH15" s="101"/>
      <c r="VXI15" s="101"/>
      <c r="VXJ15" s="101"/>
      <c r="VXK15" s="101"/>
      <c r="VXL15" s="101"/>
      <c r="VXM15" s="101"/>
      <c r="VXN15" s="101"/>
      <c r="VXO15" s="101"/>
      <c r="VXP15" s="101"/>
      <c r="VXQ15" s="101"/>
      <c r="VXR15" s="101"/>
      <c r="VXS15" s="101"/>
      <c r="VXT15" s="101"/>
      <c r="VXU15" s="101"/>
      <c r="VXV15" s="101"/>
      <c r="VXW15" s="101"/>
      <c r="VXX15" s="101"/>
      <c r="VXY15" s="101"/>
      <c r="VXZ15" s="101"/>
      <c r="VYA15" s="101"/>
      <c r="VYB15" s="101"/>
      <c r="VYC15" s="101"/>
      <c r="VYD15" s="101"/>
      <c r="VYE15" s="101"/>
      <c r="VYF15" s="101"/>
      <c r="VYG15" s="101"/>
      <c r="VYH15" s="101"/>
      <c r="VYI15" s="101"/>
      <c r="VYJ15" s="101"/>
      <c r="VYK15" s="101"/>
      <c r="VYL15" s="101"/>
      <c r="VYM15" s="101"/>
      <c r="VYN15" s="101"/>
      <c r="VYO15" s="101"/>
      <c r="VYP15" s="101"/>
      <c r="VYQ15" s="101"/>
      <c r="VYR15" s="101"/>
      <c r="VYS15" s="101"/>
      <c r="VYT15" s="101"/>
      <c r="VYU15" s="101"/>
      <c r="VYV15" s="101"/>
      <c r="VYW15" s="101"/>
      <c r="VYX15" s="101"/>
      <c r="VYY15" s="101"/>
      <c r="VYZ15" s="101"/>
      <c r="VZA15" s="101"/>
      <c r="VZB15" s="101"/>
      <c r="VZC15" s="101"/>
      <c r="VZD15" s="101"/>
      <c r="VZE15" s="101"/>
      <c r="VZF15" s="101"/>
      <c r="VZG15" s="101"/>
      <c r="VZH15" s="101"/>
      <c r="VZI15" s="101"/>
      <c r="VZJ15" s="101"/>
      <c r="VZK15" s="101"/>
      <c r="VZL15" s="101"/>
      <c r="VZM15" s="101"/>
      <c r="VZN15" s="101"/>
      <c r="VZO15" s="101"/>
      <c r="VZP15" s="101"/>
      <c r="VZQ15" s="101"/>
      <c r="VZR15" s="101"/>
      <c r="VZS15" s="101"/>
      <c r="VZT15" s="101"/>
      <c r="VZU15" s="101"/>
      <c r="VZV15" s="101"/>
      <c r="VZW15" s="101"/>
      <c r="VZX15" s="101"/>
      <c r="VZY15" s="101"/>
      <c r="VZZ15" s="101"/>
      <c r="WAA15" s="101"/>
      <c r="WAB15" s="101"/>
      <c r="WAC15" s="101"/>
      <c r="WAD15" s="101"/>
      <c r="WAE15" s="101"/>
      <c r="WAF15" s="101"/>
      <c r="WAG15" s="101"/>
      <c r="WAH15" s="101"/>
      <c r="WAI15" s="101"/>
      <c r="WAJ15" s="101"/>
      <c r="WAK15" s="101"/>
      <c r="WAL15" s="101"/>
      <c r="WAM15" s="101"/>
      <c r="WAN15" s="101"/>
      <c r="WAO15" s="101"/>
      <c r="WAP15" s="101"/>
      <c r="WAQ15" s="101"/>
      <c r="WAR15" s="101"/>
      <c r="WAS15" s="101"/>
      <c r="WAT15" s="101"/>
      <c r="WAU15" s="101"/>
      <c r="WAV15" s="101"/>
      <c r="WAW15" s="101"/>
      <c r="WAX15" s="101"/>
      <c r="WAY15" s="101"/>
      <c r="WAZ15" s="101"/>
      <c r="WBA15" s="101"/>
      <c r="WBB15" s="101"/>
      <c r="WBC15" s="101"/>
      <c r="WBD15" s="101"/>
      <c r="WBE15" s="101"/>
      <c r="WBF15" s="101"/>
      <c r="WBG15" s="101"/>
      <c r="WBH15" s="101"/>
      <c r="WBI15" s="101"/>
      <c r="WBJ15" s="101"/>
      <c r="WBK15" s="101"/>
      <c r="WBL15" s="101"/>
      <c r="WBM15" s="101"/>
      <c r="WBN15" s="101"/>
      <c r="WBO15" s="101"/>
      <c r="WBP15" s="101"/>
      <c r="WBQ15" s="101"/>
      <c r="WBR15" s="101"/>
      <c r="WBS15" s="101"/>
      <c r="WBT15" s="101"/>
      <c r="WBU15" s="101"/>
      <c r="WBV15" s="101"/>
      <c r="WBW15" s="101"/>
      <c r="WBX15" s="101"/>
      <c r="WBY15" s="101"/>
      <c r="WBZ15" s="101"/>
      <c r="WCA15" s="101"/>
      <c r="WCB15" s="101"/>
      <c r="WCC15" s="101"/>
      <c r="WCD15" s="101"/>
      <c r="WCE15" s="101"/>
      <c r="WCF15" s="101"/>
      <c r="WCG15" s="101"/>
      <c r="WCH15" s="101"/>
      <c r="WCI15" s="101"/>
      <c r="WCJ15" s="101"/>
      <c r="WCK15" s="101"/>
      <c r="WCL15" s="101"/>
      <c r="WCM15" s="101"/>
      <c r="WCN15" s="101"/>
      <c r="WCO15" s="101"/>
      <c r="WCP15" s="101"/>
      <c r="WCQ15" s="101"/>
      <c r="WCR15" s="101"/>
      <c r="WCS15" s="101"/>
      <c r="WCT15" s="101"/>
      <c r="WCU15" s="101"/>
      <c r="WCV15" s="101"/>
      <c r="WCW15" s="101"/>
      <c r="WCX15" s="101"/>
      <c r="WCY15" s="101"/>
      <c r="WCZ15" s="101"/>
      <c r="WDA15" s="101"/>
      <c r="WDB15" s="101"/>
      <c r="WDC15" s="101"/>
      <c r="WDD15" s="101"/>
      <c r="WDE15" s="101"/>
      <c r="WDF15" s="101"/>
      <c r="WDG15" s="101"/>
      <c r="WDH15" s="101"/>
      <c r="WDI15" s="101"/>
      <c r="WDJ15" s="101"/>
      <c r="WDK15" s="101"/>
      <c r="WDL15" s="101"/>
      <c r="WDM15" s="101"/>
      <c r="WDN15" s="101"/>
      <c r="WDO15" s="101"/>
      <c r="WDP15" s="101"/>
      <c r="WDQ15" s="101"/>
      <c r="WDR15" s="101"/>
      <c r="WDS15" s="101"/>
      <c r="WDT15" s="101"/>
      <c r="WDU15" s="101"/>
      <c r="WDV15" s="101"/>
      <c r="WDW15" s="101"/>
      <c r="WDX15" s="101"/>
      <c r="WDY15" s="101"/>
      <c r="WDZ15" s="101"/>
      <c r="WEA15" s="101"/>
      <c r="WEB15" s="101"/>
      <c r="WEC15" s="101"/>
      <c r="WED15" s="101"/>
      <c r="WEE15" s="101"/>
      <c r="WEF15" s="101"/>
      <c r="WEG15" s="101"/>
      <c r="WEH15" s="101"/>
      <c r="WEI15" s="101"/>
      <c r="WEJ15" s="101"/>
      <c r="WEK15" s="101"/>
      <c r="WEL15" s="101"/>
      <c r="WEM15" s="101"/>
      <c r="WEN15" s="101"/>
      <c r="WEO15" s="101"/>
      <c r="WEP15" s="101"/>
      <c r="WEQ15" s="101"/>
      <c r="WER15" s="101"/>
      <c r="WES15" s="101"/>
      <c r="WET15" s="101"/>
      <c r="WEU15" s="101"/>
      <c r="WEV15" s="101"/>
      <c r="WEW15" s="101"/>
      <c r="WEX15" s="101"/>
      <c r="WEY15" s="101"/>
      <c r="WEZ15" s="101"/>
      <c r="WFA15" s="101"/>
      <c r="WFB15" s="101"/>
      <c r="WFC15" s="101"/>
      <c r="WFD15" s="101"/>
      <c r="WFE15" s="101"/>
      <c r="WFF15" s="101"/>
      <c r="WFG15" s="101"/>
      <c r="WFH15" s="101"/>
      <c r="WFI15" s="101"/>
      <c r="WFJ15" s="101"/>
      <c r="WFK15" s="101"/>
      <c r="WFL15" s="101"/>
      <c r="WFM15" s="101"/>
      <c r="WFN15" s="101"/>
      <c r="WFO15" s="101"/>
      <c r="WFP15" s="101"/>
      <c r="WFQ15" s="101"/>
      <c r="WFR15" s="101"/>
      <c r="WFS15" s="101"/>
      <c r="WFT15" s="101"/>
      <c r="WFU15" s="101"/>
      <c r="WFV15" s="101"/>
      <c r="WFW15" s="101"/>
      <c r="WFX15" s="101"/>
      <c r="WFY15" s="101"/>
      <c r="WFZ15" s="101"/>
      <c r="WGA15" s="101"/>
      <c r="WGB15" s="101"/>
      <c r="WGC15" s="101"/>
      <c r="WGD15" s="101"/>
      <c r="WGE15" s="101"/>
      <c r="WGF15" s="101"/>
      <c r="WGG15" s="101"/>
      <c r="WGH15" s="101"/>
      <c r="WGI15" s="101"/>
      <c r="WGJ15" s="101"/>
      <c r="WGK15" s="101"/>
      <c r="WGL15" s="101"/>
      <c r="WGM15" s="101"/>
      <c r="WGN15" s="101"/>
      <c r="WGO15" s="101"/>
      <c r="WGP15" s="101"/>
      <c r="WGQ15" s="101"/>
      <c r="WGR15" s="101"/>
      <c r="WGS15" s="101"/>
      <c r="WGT15" s="101"/>
      <c r="WGU15" s="101"/>
      <c r="WGV15" s="101"/>
      <c r="WGW15" s="101"/>
      <c r="WGX15" s="101"/>
      <c r="WGY15" s="101"/>
      <c r="WGZ15" s="101"/>
      <c r="WHA15" s="101"/>
      <c r="WHB15" s="101"/>
      <c r="WHC15" s="101"/>
      <c r="WHD15" s="101"/>
      <c r="WHE15" s="101"/>
      <c r="WHF15" s="101"/>
      <c r="WHG15" s="101"/>
      <c r="WHH15" s="101"/>
      <c r="WHI15" s="101"/>
      <c r="WHJ15" s="101"/>
      <c r="WHK15" s="101"/>
      <c r="WHL15" s="101"/>
      <c r="WHM15" s="101"/>
      <c r="WHN15" s="101"/>
      <c r="WHO15" s="101"/>
      <c r="WHP15" s="101"/>
      <c r="WHQ15" s="101"/>
      <c r="WHR15" s="101"/>
      <c r="WHS15" s="101"/>
      <c r="WHT15" s="101"/>
      <c r="WHU15" s="101"/>
      <c r="WHV15" s="101"/>
      <c r="WHW15" s="101"/>
      <c r="WHX15" s="101"/>
      <c r="WHY15" s="101"/>
      <c r="WHZ15" s="101"/>
      <c r="WIA15" s="101"/>
      <c r="WIB15" s="101"/>
      <c r="WIC15" s="101"/>
      <c r="WID15" s="101"/>
      <c r="WIE15" s="101"/>
      <c r="WIF15" s="101"/>
      <c r="WIG15" s="101"/>
      <c r="WIH15" s="101"/>
      <c r="WII15" s="101"/>
      <c r="WIJ15" s="101"/>
      <c r="WIK15" s="101"/>
      <c r="WIL15" s="101"/>
      <c r="WIM15" s="101"/>
      <c r="WIN15" s="101"/>
      <c r="WIO15" s="101"/>
      <c r="WIP15" s="101"/>
      <c r="WIQ15" s="101"/>
      <c r="WIR15" s="101"/>
      <c r="WIS15" s="101"/>
      <c r="WIT15" s="101"/>
      <c r="WIU15" s="101"/>
      <c r="WIV15" s="101"/>
      <c r="WIW15" s="101"/>
      <c r="WIX15" s="101"/>
      <c r="WIY15" s="101"/>
      <c r="WIZ15" s="101"/>
      <c r="WJA15" s="101"/>
      <c r="WJB15" s="101"/>
      <c r="WJC15" s="101"/>
      <c r="WJD15" s="101"/>
      <c r="WJE15" s="101"/>
      <c r="WJF15" s="101"/>
      <c r="WJG15" s="101"/>
      <c r="WJH15" s="101"/>
      <c r="WJI15" s="101"/>
      <c r="WJJ15" s="101"/>
      <c r="WJK15" s="101"/>
      <c r="WJL15" s="101"/>
      <c r="WJM15" s="101"/>
      <c r="WJN15" s="101"/>
      <c r="WJO15" s="101"/>
      <c r="WJP15" s="101"/>
      <c r="WJQ15" s="101"/>
      <c r="WJR15" s="101"/>
      <c r="WJS15" s="101"/>
      <c r="WJT15" s="101"/>
      <c r="WJU15" s="101"/>
      <c r="WJV15" s="101"/>
      <c r="WJW15" s="101"/>
      <c r="WJX15" s="101"/>
      <c r="WJY15" s="101"/>
      <c r="WJZ15" s="101"/>
      <c r="WKA15" s="101"/>
      <c r="WKB15" s="101"/>
      <c r="WKC15" s="101"/>
      <c r="WKD15" s="101"/>
      <c r="WKE15" s="101"/>
      <c r="WKF15" s="101"/>
      <c r="WKG15" s="101"/>
      <c r="WKH15" s="101"/>
      <c r="WKI15" s="101"/>
      <c r="WKJ15" s="101"/>
      <c r="WKK15" s="101"/>
      <c r="WKL15" s="101"/>
      <c r="WKM15" s="101"/>
      <c r="WKN15" s="101"/>
      <c r="WKO15" s="101"/>
      <c r="WKP15" s="101"/>
      <c r="WKQ15" s="101"/>
      <c r="WKR15" s="101"/>
      <c r="WKS15" s="101"/>
      <c r="WKT15" s="101"/>
      <c r="WKU15" s="101"/>
      <c r="WKV15" s="101"/>
      <c r="WKW15" s="101"/>
      <c r="WKX15" s="101"/>
      <c r="WKY15" s="101"/>
      <c r="WKZ15" s="101"/>
      <c r="WLA15" s="101"/>
      <c r="WLB15" s="101"/>
      <c r="WLC15" s="101"/>
      <c r="WLD15" s="101"/>
      <c r="WLE15" s="101"/>
      <c r="WLF15" s="101"/>
      <c r="WLG15" s="101"/>
      <c r="WLH15" s="101"/>
      <c r="WLI15" s="101"/>
      <c r="WLJ15" s="101"/>
      <c r="WLK15" s="101"/>
      <c r="WLL15" s="101"/>
      <c r="WLM15" s="101"/>
      <c r="WLN15" s="101"/>
      <c r="WLO15" s="101"/>
      <c r="WLP15" s="101"/>
      <c r="WLQ15" s="101"/>
      <c r="WLR15" s="101"/>
      <c r="WLS15" s="101"/>
      <c r="WLT15" s="101"/>
      <c r="WLU15" s="101"/>
      <c r="WLV15" s="101"/>
      <c r="WLW15" s="101"/>
      <c r="WLX15" s="101"/>
      <c r="WLY15" s="101"/>
      <c r="WLZ15" s="101"/>
      <c r="WMA15" s="101"/>
      <c r="WMB15" s="101"/>
      <c r="WMC15" s="101"/>
      <c r="WMD15" s="101"/>
      <c r="WME15" s="101"/>
      <c r="WMF15" s="101"/>
      <c r="WMG15" s="101"/>
      <c r="WMH15" s="101"/>
      <c r="WMI15" s="101"/>
      <c r="WMJ15" s="101"/>
      <c r="WMK15" s="101"/>
      <c r="WML15" s="101"/>
      <c r="WMM15" s="101"/>
      <c r="WMN15" s="101"/>
      <c r="WMO15" s="101"/>
      <c r="WMP15" s="101"/>
      <c r="WMQ15" s="101"/>
      <c r="WMR15" s="101"/>
      <c r="WMS15" s="101"/>
      <c r="WMT15" s="101"/>
      <c r="WMU15" s="101"/>
      <c r="WMV15" s="101"/>
      <c r="WMW15" s="101"/>
      <c r="WMX15" s="101"/>
      <c r="WMY15" s="101"/>
      <c r="WMZ15" s="101"/>
      <c r="WNA15" s="101"/>
      <c r="WNB15" s="101"/>
      <c r="WNC15" s="101"/>
      <c r="WND15" s="101"/>
      <c r="WNE15" s="101"/>
      <c r="WNF15" s="101"/>
      <c r="WNG15" s="101"/>
      <c r="WNH15" s="101"/>
      <c r="WNI15" s="101"/>
      <c r="WNJ15" s="101"/>
      <c r="WNK15" s="101"/>
      <c r="WNL15" s="101"/>
      <c r="WNM15" s="101"/>
      <c r="WNN15" s="101"/>
      <c r="WNO15" s="101"/>
      <c r="WNP15" s="101"/>
      <c r="WNQ15" s="101"/>
      <c r="WNR15" s="101"/>
      <c r="WNS15" s="101"/>
      <c r="WNT15" s="101"/>
      <c r="WNU15" s="101"/>
      <c r="WNV15" s="101"/>
      <c r="WNW15" s="101"/>
      <c r="WNX15" s="101"/>
      <c r="WNY15" s="101"/>
      <c r="WNZ15" s="101"/>
      <c r="WOA15" s="101"/>
      <c r="WOB15" s="101"/>
      <c r="WOC15" s="101"/>
      <c r="WOD15" s="101"/>
      <c r="WOE15" s="101"/>
      <c r="WOF15" s="101"/>
      <c r="WOG15" s="101"/>
      <c r="WOH15" s="101"/>
      <c r="WOI15" s="101"/>
      <c r="WOJ15" s="101"/>
      <c r="WOK15" s="101"/>
      <c r="WOL15" s="101"/>
      <c r="WOM15" s="101"/>
      <c r="WON15" s="101"/>
      <c r="WOO15" s="101"/>
      <c r="WOP15" s="101"/>
      <c r="WOQ15" s="101"/>
      <c r="WOR15" s="101"/>
      <c r="WOS15" s="101"/>
      <c r="WOT15" s="101"/>
      <c r="WOU15" s="101"/>
      <c r="WOV15" s="101"/>
      <c r="WOW15" s="101"/>
      <c r="WOX15" s="101"/>
      <c r="WOY15" s="101"/>
      <c r="WOZ15" s="101"/>
      <c r="WPA15" s="101"/>
      <c r="WPB15" s="101"/>
      <c r="WPC15" s="101"/>
      <c r="WPD15" s="101"/>
      <c r="WPE15" s="101"/>
      <c r="WPF15" s="101"/>
      <c r="WPG15" s="101"/>
      <c r="WPH15" s="101"/>
      <c r="WPI15" s="101"/>
      <c r="WPJ15" s="101"/>
      <c r="WPK15" s="101"/>
      <c r="WPL15" s="101"/>
      <c r="WPM15" s="101"/>
      <c r="WPN15" s="101"/>
      <c r="WPO15" s="101"/>
      <c r="WPP15" s="101"/>
      <c r="WPQ15" s="101"/>
      <c r="WPR15" s="101"/>
      <c r="WPS15" s="101"/>
      <c r="WPT15" s="101"/>
      <c r="WPU15" s="101"/>
      <c r="WPV15" s="101"/>
      <c r="WPW15" s="101"/>
      <c r="WPX15" s="101"/>
      <c r="WPY15" s="101"/>
      <c r="WPZ15" s="101"/>
      <c r="WQA15" s="101"/>
      <c r="WQB15" s="101"/>
      <c r="WQC15" s="101"/>
      <c r="WQD15" s="101"/>
      <c r="WQE15" s="101"/>
      <c r="WQF15" s="101"/>
      <c r="WQG15" s="101"/>
      <c r="WQH15" s="101"/>
      <c r="WQI15" s="101"/>
      <c r="WQJ15" s="101"/>
      <c r="WQK15" s="101"/>
      <c r="WQL15" s="101"/>
      <c r="WQM15" s="101"/>
      <c r="WQN15" s="101"/>
      <c r="WQO15" s="101"/>
      <c r="WQP15" s="101"/>
      <c r="WQQ15" s="101"/>
      <c r="WQR15" s="101"/>
      <c r="WQS15" s="101"/>
      <c r="WQT15" s="101"/>
      <c r="WQU15" s="101"/>
      <c r="WQV15" s="101"/>
      <c r="WQW15" s="101"/>
      <c r="WQX15" s="101"/>
      <c r="WQY15" s="101"/>
      <c r="WQZ15" s="101"/>
      <c r="WRA15" s="101"/>
      <c r="WRB15" s="101"/>
      <c r="WRC15" s="101"/>
      <c r="WRD15" s="101"/>
      <c r="WRE15" s="101"/>
      <c r="WRF15" s="101"/>
      <c r="WRG15" s="101"/>
      <c r="WRH15" s="101"/>
      <c r="WRI15" s="101"/>
      <c r="WRJ15" s="101"/>
      <c r="WRK15" s="101"/>
      <c r="WRL15" s="101"/>
      <c r="WRM15" s="101"/>
      <c r="WRN15" s="101"/>
      <c r="WRO15" s="101"/>
      <c r="WRP15" s="101"/>
      <c r="WRQ15" s="101"/>
      <c r="WRR15" s="101"/>
      <c r="WRS15" s="101"/>
      <c r="WRT15" s="101"/>
      <c r="WRU15" s="101"/>
      <c r="WRV15" s="101"/>
      <c r="WRW15" s="101"/>
      <c r="WRX15" s="101"/>
      <c r="WRY15" s="101"/>
      <c r="WRZ15" s="101"/>
      <c r="WSA15" s="101"/>
      <c r="WSB15" s="101"/>
      <c r="WSC15" s="101"/>
      <c r="WSD15" s="101"/>
      <c r="WSE15" s="101"/>
      <c r="WSF15" s="101"/>
      <c r="WSG15" s="101"/>
      <c r="WSH15" s="101"/>
      <c r="WSI15" s="101"/>
      <c r="WSJ15" s="101"/>
      <c r="WSK15" s="101"/>
      <c r="WSL15" s="101"/>
      <c r="WSM15" s="101"/>
      <c r="WSN15" s="101"/>
      <c r="WSO15" s="101"/>
      <c r="WSP15" s="101"/>
      <c r="WSQ15" s="101"/>
      <c r="WSR15" s="101"/>
      <c r="WSS15" s="101"/>
      <c r="WST15" s="101"/>
      <c r="WSU15" s="101"/>
      <c r="WSV15" s="101"/>
      <c r="WSW15" s="101"/>
      <c r="WSX15" s="101"/>
      <c r="WSY15" s="101"/>
      <c r="WSZ15" s="101"/>
      <c r="WTA15" s="101"/>
      <c r="WTB15" s="101"/>
      <c r="WTC15" s="101"/>
      <c r="WTD15" s="101"/>
      <c r="WTE15" s="101"/>
      <c r="WTF15" s="101"/>
      <c r="WTG15" s="101"/>
      <c r="WTH15" s="101"/>
      <c r="WTI15" s="101"/>
      <c r="WTJ15" s="101"/>
      <c r="WTK15" s="101"/>
      <c r="WTL15" s="101"/>
      <c r="WTM15" s="101"/>
      <c r="WTN15" s="101"/>
      <c r="WTO15" s="101"/>
      <c r="WTP15" s="101"/>
      <c r="WTQ15" s="101"/>
      <c r="WTR15" s="101"/>
      <c r="WTS15" s="101"/>
      <c r="WTT15" s="101"/>
      <c r="WTU15" s="101"/>
      <c r="WTV15" s="101"/>
      <c r="WTW15" s="101"/>
      <c r="WTX15" s="101"/>
      <c r="WTY15" s="101"/>
      <c r="WTZ15" s="101"/>
      <c r="WUA15" s="101"/>
      <c r="WUB15" s="101"/>
      <c r="WUC15" s="101"/>
      <c r="WUD15" s="101"/>
      <c r="WUE15" s="101"/>
      <c r="WUF15" s="101"/>
      <c r="WUG15" s="101"/>
      <c r="WUH15" s="101"/>
      <c r="WUI15" s="101"/>
      <c r="WUJ15" s="101"/>
      <c r="WUK15" s="101"/>
      <c r="WUL15" s="101"/>
      <c r="WUM15" s="101"/>
      <c r="WUN15" s="101"/>
      <c r="WUO15" s="101"/>
      <c r="WUP15" s="101"/>
      <c r="WUQ15" s="101"/>
      <c r="WUR15" s="101"/>
      <c r="WUS15" s="101"/>
      <c r="WUT15" s="101"/>
      <c r="WUU15" s="101"/>
      <c r="WUV15" s="101"/>
      <c r="WUW15" s="101"/>
      <c r="WUX15" s="101"/>
      <c r="WUY15" s="101"/>
      <c r="WUZ15" s="101"/>
      <c r="WVA15" s="101"/>
      <c r="WVB15" s="101"/>
      <c r="WVC15" s="101"/>
      <c r="WVD15" s="101"/>
      <c r="WVE15" s="101"/>
      <c r="WVF15" s="101"/>
      <c r="WVG15" s="101"/>
      <c r="WVH15" s="101"/>
      <c r="WVI15" s="101"/>
      <c r="WVJ15" s="101"/>
      <c r="WVK15" s="101"/>
      <c r="WVL15" s="101"/>
      <c r="WVM15" s="101"/>
      <c r="WVN15" s="101"/>
      <c r="WVO15" s="101"/>
      <c r="WVP15" s="101"/>
      <c r="WVQ15" s="101"/>
      <c r="WVR15" s="101"/>
      <c r="WVS15" s="101"/>
      <c r="WVT15" s="101"/>
      <c r="WVU15" s="101"/>
      <c r="WVV15" s="101"/>
      <c r="WVW15" s="101"/>
      <c r="WVX15" s="101"/>
      <c r="WVY15" s="101"/>
      <c r="WVZ15" s="101"/>
      <c r="WWA15" s="101"/>
      <c r="WWB15" s="101"/>
      <c r="WWC15" s="101"/>
      <c r="WWD15" s="101"/>
      <c r="WWE15" s="101"/>
      <c r="WWF15" s="101"/>
      <c r="WWG15" s="101"/>
      <c r="WWH15" s="101"/>
      <c r="WWI15" s="101"/>
      <c r="WWJ15" s="101"/>
      <c r="WWK15" s="101"/>
      <c r="WWL15" s="101"/>
      <c r="WWM15" s="101"/>
      <c r="WWN15" s="101"/>
      <c r="WWO15" s="101"/>
      <c r="WWP15" s="101"/>
      <c r="WWQ15" s="101"/>
      <c r="WWR15" s="101"/>
      <c r="WWS15" s="101"/>
      <c r="WWT15" s="101"/>
      <c r="WWU15" s="101"/>
      <c r="WWV15" s="101"/>
      <c r="WWW15" s="101"/>
      <c r="WWX15" s="101"/>
      <c r="WWY15" s="101"/>
      <c r="WWZ15" s="101"/>
      <c r="WXA15" s="101"/>
      <c r="WXB15" s="101"/>
      <c r="WXC15" s="101"/>
      <c r="WXD15" s="101"/>
      <c r="WXE15" s="101"/>
      <c r="WXF15" s="101"/>
      <c r="WXG15" s="101"/>
      <c r="WXH15" s="101"/>
      <c r="WXI15" s="101"/>
      <c r="WXJ15" s="101"/>
      <c r="WXK15" s="101"/>
      <c r="WXL15" s="101"/>
      <c r="WXM15" s="101"/>
      <c r="WXN15" s="101"/>
      <c r="WXO15" s="101"/>
      <c r="WXP15" s="101"/>
      <c r="WXQ15" s="101"/>
      <c r="WXR15" s="101"/>
      <c r="WXS15" s="101"/>
      <c r="WXT15" s="101"/>
      <c r="WXU15" s="101"/>
      <c r="WXV15" s="101"/>
      <c r="WXW15" s="101"/>
      <c r="WXX15" s="101"/>
      <c r="WXY15" s="101"/>
      <c r="WXZ15" s="101"/>
      <c r="WYA15" s="101"/>
      <c r="WYB15" s="101"/>
      <c r="WYC15" s="101"/>
      <c r="WYD15" s="101"/>
      <c r="WYE15" s="101"/>
      <c r="WYF15" s="101"/>
      <c r="WYG15" s="101"/>
      <c r="WYH15" s="101"/>
      <c r="WYI15" s="101"/>
      <c r="WYJ15" s="101"/>
      <c r="WYK15" s="101"/>
      <c r="WYL15" s="101"/>
      <c r="WYM15" s="101"/>
      <c r="WYN15" s="101"/>
      <c r="WYO15" s="101"/>
      <c r="WYP15" s="101"/>
      <c r="WYQ15" s="101"/>
      <c r="WYR15" s="101"/>
      <c r="WYS15" s="101"/>
      <c r="WYT15" s="101"/>
      <c r="WYU15" s="101"/>
      <c r="WYV15" s="101"/>
      <c r="WYW15" s="101"/>
      <c r="WYX15" s="101"/>
      <c r="WYY15" s="101"/>
      <c r="WYZ15" s="101"/>
      <c r="WZA15" s="101"/>
      <c r="WZB15" s="101"/>
      <c r="WZC15" s="101"/>
      <c r="WZD15" s="101"/>
      <c r="WZE15" s="101"/>
      <c r="WZF15" s="101"/>
      <c r="WZG15" s="101"/>
      <c r="WZH15" s="101"/>
      <c r="WZI15" s="101"/>
      <c r="WZJ15" s="101"/>
      <c r="WZK15" s="101"/>
      <c r="WZL15" s="101"/>
      <c r="WZM15" s="101"/>
      <c r="WZN15" s="101"/>
      <c r="WZO15" s="101"/>
      <c r="WZP15" s="101"/>
      <c r="WZQ15" s="101"/>
      <c r="WZR15" s="101"/>
      <c r="WZS15" s="101"/>
      <c r="WZT15" s="101"/>
      <c r="WZU15" s="101"/>
      <c r="WZV15" s="101"/>
      <c r="WZW15" s="101"/>
      <c r="WZX15" s="101"/>
      <c r="WZY15" s="101"/>
      <c r="WZZ15" s="101"/>
      <c r="XAA15" s="101"/>
      <c r="XAB15" s="101"/>
      <c r="XAC15" s="101"/>
      <c r="XAD15" s="101"/>
      <c r="XAE15" s="101"/>
      <c r="XAF15" s="101"/>
      <c r="XAG15" s="101"/>
      <c r="XAH15" s="101"/>
      <c r="XAI15" s="101"/>
      <c r="XAJ15" s="101"/>
      <c r="XAK15" s="101"/>
      <c r="XAL15" s="101"/>
      <c r="XAM15" s="101"/>
      <c r="XAN15" s="101"/>
      <c r="XAO15" s="101"/>
      <c r="XAP15" s="101"/>
      <c r="XAQ15" s="101"/>
      <c r="XAR15" s="101"/>
      <c r="XAS15" s="101"/>
      <c r="XAT15" s="101"/>
      <c r="XAU15" s="101"/>
      <c r="XAV15" s="101"/>
      <c r="XAW15" s="101"/>
      <c r="XAX15" s="101"/>
      <c r="XAY15" s="101"/>
      <c r="XAZ15" s="101"/>
      <c r="XBA15" s="101"/>
      <c r="XBB15" s="101"/>
      <c r="XBC15" s="101"/>
      <c r="XBD15" s="101"/>
      <c r="XBE15" s="101"/>
      <c r="XBF15" s="101"/>
      <c r="XBG15" s="101"/>
      <c r="XBH15" s="101"/>
      <c r="XBI15" s="101"/>
      <c r="XBJ15" s="101"/>
      <c r="XBK15" s="101"/>
      <c r="XBL15" s="101"/>
      <c r="XBM15" s="101"/>
      <c r="XBN15" s="101"/>
      <c r="XBO15" s="101"/>
      <c r="XBP15" s="101"/>
      <c r="XBQ15" s="101"/>
      <c r="XBR15" s="101"/>
      <c r="XBS15" s="101"/>
      <c r="XBT15" s="101"/>
      <c r="XBU15" s="101"/>
      <c r="XBV15" s="101"/>
      <c r="XBW15" s="101"/>
      <c r="XBX15" s="101"/>
      <c r="XBY15" s="101"/>
      <c r="XBZ15" s="101"/>
      <c r="XCA15" s="101"/>
      <c r="XCB15" s="101"/>
      <c r="XCC15" s="101"/>
      <c r="XCD15" s="101"/>
      <c r="XCE15" s="101"/>
      <c r="XCF15" s="101"/>
      <c r="XCG15" s="101"/>
      <c r="XCH15" s="101"/>
      <c r="XCI15" s="101"/>
      <c r="XCJ15" s="101"/>
      <c r="XCK15" s="101"/>
      <c r="XCL15" s="101"/>
      <c r="XCM15" s="101"/>
      <c r="XCN15" s="101"/>
      <c r="XCO15" s="101"/>
      <c r="XCP15" s="101"/>
      <c r="XCQ15" s="101"/>
      <c r="XCR15" s="101"/>
      <c r="XCS15" s="101"/>
      <c r="XCT15" s="101"/>
      <c r="XCU15" s="101"/>
      <c r="XCV15" s="101"/>
      <c r="XCW15" s="101"/>
      <c r="XCX15" s="101"/>
      <c r="XCY15" s="101"/>
      <c r="XCZ15" s="101"/>
      <c r="XDA15" s="101"/>
      <c r="XDB15" s="101"/>
      <c r="XDC15" s="101"/>
      <c r="XDD15" s="101"/>
      <c r="XDE15" s="101"/>
      <c r="XDF15" s="101"/>
      <c r="XDG15" s="101"/>
      <c r="XDH15" s="101"/>
      <c r="XDI15" s="101"/>
      <c r="XDJ15" s="101"/>
      <c r="XDK15" s="101"/>
      <c r="XDL15" s="101"/>
      <c r="XDM15" s="101"/>
      <c r="XDN15" s="101"/>
      <c r="XDO15" s="101"/>
      <c r="XDP15" s="101"/>
      <c r="XDQ15" s="101"/>
      <c r="XDR15" s="101"/>
      <c r="XDS15" s="101"/>
      <c r="XDT15" s="101"/>
      <c r="XDU15" s="101"/>
      <c r="XDV15" s="101"/>
      <c r="XDW15" s="101"/>
      <c r="XDX15" s="101"/>
      <c r="XDY15" s="101"/>
      <c r="XDZ15" s="101"/>
      <c r="XEA15" s="101"/>
      <c r="XEB15" s="101"/>
      <c r="XEC15" s="101"/>
      <c r="XED15" s="101"/>
      <c r="XEE15" s="101"/>
      <c r="XEF15" s="101"/>
      <c r="XEG15" s="101"/>
      <c r="XEH15" s="101"/>
      <c r="XEI15" s="101"/>
      <c r="XEJ15" s="101"/>
      <c r="XEK15" s="101"/>
      <c r="XEL15" s="101"/>
      <c r="XEM15" s="101"/>
      <c r="XEN15" s="101"/>
      <c r="XEO15" s="101"/>
      <c r="XEP15" s="101"/>
      <c r="XEQ15" s="101"/>
      <c r="XER15" s="101"/>
      <c r="XES15" s="101"/>
      <c r="XET15" s="101"/>
      <c r="XEU15" s="101"/>
      <c r="XEV15" s="101"/>
      <c r="XEW15" s="101"/>
      <c r="XEX15" s="101"/>
      <c r="XEY15" s="101"/>
      <c r="XEZ15" s="101"/>
      <c r="XFA15" s="101"/>
      <c r="XFB15" s="101"/>
      <c r="XFC15" s="101"/>
    </row>
    <row r="16" spans="1:16383">
      <c r="A16" s="139">
        <v>30439</v>
      </c>
      <c r="B16" s="104" t="s">
        <v>3583</v>
      </c>
      <c r="C16" s="261">
        <f>T16</f>
        <v>2.37</v>
      </c>
      <c r="D16" s="104">
        <f>COUNTIF(AJ16:AX16,"*OK*")</f>
        <v>0</v>
      </c>
      <c r="E16" s="104"/>
      <c r="F16" s="138" t="s">
        <v>3386</v>
      </c>
      <c r="G16" s="124"/>
      <c r="H16" s="111"/>
      <c r="I16" s="111"/>
      <c r="J16" s="124"/>
      <c r="K16" s="133" t="s">
        <v>562</v>
      </c>
      <c r="L16" s="140" t="s">
        <v>3584</v>
      </c>
      <c r="M16" s="124"/>
      <c r="N16" s="124"/>
      <c r="O16" s="105">
        <v>2.41</v>
      </c>
      <c r="P16" s="105">
        <v>2.4</v>
      </c>
      <c r="Q16" s="105">
        <v>2.29</v>
      </c>
      <c r="R16" s="126">
        <v>2.36</v>
      </c>
      <c r="S16" s="271">
        <v>2.3963000000000001</v>
      </c>
      <c r="T16" s="274">
        <v>2.37</v>
      </c>
      <c r="U16" s="107">
        <v>2.37</v>
      </c>
      <c r="V16" s="108">
        <v>100</v>
      </c>
      <c r="W16" s="127"/>
      <c r="X16" s="134" t="s">
        <v>83</v>
      </c>
      <c r="Y16" s="109" t="s">
        <v>101</v>
      </c>
      <c r="Z16" s="110" t="s">
        <v>3585</v>
      </c>
      <c r="AA16" s="108" t="s">
        <v>101</v>
      </c>
      <c r="AB16" s="128" t="s">
        <v>209</v>
      </c>
      <c r="AC16" s="111" t="s">
        <v>525</v>
      </c>
      <c r="AD16" s="104"/>
      <c r="AE16" s="104"/>
      <c r="AF16" s="104"/>
      <c r="AG16" s="104"/>
      <c r="AH16" s="104"/>
      <c r="AI16" s="106" t="s">
        <v>89</v>
      </c>
      <c r="AJ16" s="113"/>
      <c r="AK16" s="113"/>
      <c r="AL16" s="113"/>
      <c r="AM16" s="113"/>
      <c r="AN16" s="113"/>
      <c r="AO16" s="113"/>
      <c r="AP16" s="113"/>
      <c r="AQ16" s="113"/>
      <c r="AR16" s="113"/>
      <c r="AS16" s="113"/>
      <c r="AT16" s="113"/>
      <c r="AU16" s="113"/>
      <c r="AV16" s="113"/>
      <c r="AW16" s="113"/>
      <c r="AX16" s="113"/>
      <c r="AY16" s="113"/>
      <c r="AZ16" s="112" t="s">
        <v>103</v>
      </c>
      <c r="BA16" s="104">
        <f>(COUNTIF(AJ16:AL16,"*OK*")*3) + (COUNTIF(AM16:AO16,"*OK*")*2) + COUNTIF(AP16:AR16,"*OK*")+COUNTIF(AZ16:AZ16,"SI")*0.5</f>
        <v>0</v>
      </c>
      <c r="BB16" s="104" t="str">
        <f>IF(BA16&lt;0.6,"Demasiado Riesgo",IF(BA16&lt;=5,"Riesgo Medio",IF(BA16&lt;=11,"Riesgo Bajo","Cliente Blindado")))</f>
        <v>Demasiado Riesgo</v>
      </c>
      <c r="BC16" s="104"/>
      <c r="BD16" s="104"/>
      <c r="BE16" s="104">
        <v>0</v>
      </c>
      <c r="BF16" s="104"/>
      <c r="BG16" s="104"/>
      <c r="BH16" s="104"/>
      <c r="BI16" s="104"/>
      <c r="BJ16" s="104"/>
      <c r="BK16" s="104"/>
      <c r="BL16" s="104"/>
      <c r="BM16" s="104"/>
      <c r="BN16" s="104"/>
      <c r="BO16" s="104"/>
      <c r="BP16" s="104"/>
      <c r="BQ16" s="104"/>
      <c r="BR16" s="104"/>
      <c r="BS16" s="104"/>
      <c r="BT16" s="104"/>
      <c r="BU16" s="104"/>
      <c r="BV16" s="104"/>
      <c r="BW16" s="104"/>
      <c r="BX16" s="104"/>
      <c r="BY16" s="104"/>
      <c r="BZ16" s="104"/>
      <c r="CA16" s="104">
        <f>COUNTIF(AJ16:AX16,"*OK*")</f>
        <v>0</v>
      </c>
      <c r="CB16" s="104"/>
      <c r="CC16" s="104">
        <f>COUNTIF(AJ16:AX16,"*OP*")</f>
        <v>0</v>
      </c>
    </row>
    <row r="17" spans="1:90">
      <c r="A17" s="348">
        <v>24340</v>
      </c>
      <c r="B17" s="349"/>
      <c r="C17" s="329">
        <f>V17</f>
        <v>27.73</v>
      </c>
      <c r="D17" s="349">
        <f>COUNTIF(AK17:AY17,"*OK*")</f>
        <v>0</v>
      </c>
      <c r="E17" s="349"/>
      <c r="F17" s="351" t="s">
        <v>3384</v>
      </c>
      <c r="G17" s="351"/>
      <c r="H17" s="352"/>
      <c r="I17" s="352"/>
      <c r="J17" s="352"/>
      <c r="K17" s="352"/>
      <c r="L17" s="351"/>
      <c r="M17" s="413" t="s">
        <v>562</v>
      </c>
      <c r="N17" s="331" t="s">
        <v>782</v>
      </c>
      <c r="O17" s="351"/>
      <c r="P17" s="362" t="s">
        <v>198</v>
      </c>
      <c r="Q17" s="355">
        <v>29.71</v>
      </c>
      <c r="R17" s="355">
        <v>29.68</v>
      </c>
      <c r="S17" s="355">
        <v>28.29</v>
      </c>
      <c r="T17" s="356">
        <v>27.66</v>
      </c>
      <c r="U17" s="337">
        <v>28.0351</v>
      </c>
      <c r="V17" s="365">
        <v>27.73</v>
      </c>
      <c r="W17" s="357"/>
      <c r="X17" s="358">
        <v>50</v>
      </c>
      <c r="Y17" s="359"/>
      <c r="Z17" s="427" t="s">
        <v>83</v>
      </c>
      <c r="AA17" s="361" t="s">
        <v>130</v>
      </c>
      <c r="AB17" s="362" t="s">
        <v>3586</v>
      </c>
      <c r="AC17" s="358" t="s">
        <v>103</v>
      </c>
      <c r="AD17" s="352" t="s">
        <v>787</v>
      </c>
      <c r="AE17" s="349"/>
      <c r="AF17" s="349"/>
      <c r="AG17" s="349"/>
      <c r="AH17" s="349"/>
      <c r="AI17" s="349"/>
      <c r="AJ17" s="371" t="s">
        <v>103</v>
      </c>
      <c r="AK17" s="345"/>
      <c r="AL17" s="345"/>
      <c r="AM17" s="345"/>
      <c r="AN17" s="345"/>
      <c r="AO17" s="345"/>
      <c r="AP17" s="345"/>
      <c r="AQ17" s="345"/>
      <c r="AR17" s="345"/>
      <c r="AS17" s="345"/>
      <c r="AT17" s="345"/>
      <c r="AU17" s="345"/>
      <c r="AV17" s="345"/>
      <c r="AW17" s="345"/>
      <c r="AX17" s="345"/>
      <c r="AY17" s="345"/>
      <c r="AZ17" s="345"/>
      <c r="BA17" s="364">
        <f>COUNTIF(AK17:AZ17,"*OP*")</f>
        <v>0</v>
      </c>
      <c r="BB17" s="363" t="s">
        <v>103</v>
      </c>
      <c r="BC17" s="349">
        <f>(COUNTIF(AK17:AM17,"*OK*")*3) + (COUNTIF(AN17:AP17,"*OK*")*2) + COUNTIF(AQ17:AS17,"*OK*")+COUNTIF(BB17:BB17,"SI")*0.5</f>
        <v>0</v>
      </c>
      <c r="BD17" s="349" t="str">
        <f>IF(BC17&lt;0.6,"Demasiado Riesgo",IF(BC17&lt;=5,"Riesgo Medio",IF(BC17&lt;=11,"Riesgo Bajo","Cliente Blindado")))</f>
        <v>Demasiado Riesgo</v>
      </c>
      <c r="BE17" s="349"/>
      <c r="BF17" s="349"/>
      <c r="BG17" s="349">
        <v>0</v>
      </c>
      <c r="BH17" s="349"/>
      <c r="BI17" s="349"/>
      <c r="BJ17" s="349"/>
      <c r="BK17" s="349"/>
      <c r="BL17" s="349"/>
      <c r="BM17" s="349"/>
      <c r="BN17" s="349"/>
      <c r="BO17" s="349"/>
      <c r="BP17" s="349"/>
      <c r="BQ17" s="349"/>
      <c r="BR17" s="349"/>
      <c r="BS17" s="349"/>
      <c r="BT17" s="349"/>
      <c r="BU17" s="349"/>
      <c r="BV17" s="349"/>
      <c r="BW17" s="349"/>
      <c r="BX17" s="349"/>
      <c r="BY17" s="349"/>
      <c r="BZ17" s="349"/>
      <c r="CA17" s="349"/>
      <c r="CB17" s="349"/>
      <c r="CC17" s="349">
        <f>COUNTIF(AK17:AY17,"*OK*")</f>
        <v>0</v>
      </c>
      <c r="CD17" s="349"/>
      <c r="CE17" s="349">
        <f>COUNTIF(AK17:AY17,"*OP*")</f>
        <v>0</v>
      </c>
    </row>
    <row r="18" spans="1:90">
      <c r="A18" s="419">
        <v>23536</v>
      </c>
      <c r="B18" s="397" t="s">
        <v>3587</v>
      </c>
      <c r="C18" s="329" t="str">
        <f>X18</f>
        <v> </v>
      </c>
      <c r="D18" s="349">
        <f>COUNTIF(AQ18:BE18,"*OK*")</f>
        <v>0</v>
      </c>
      <c r="E18" s="349"/>
      <c r="F18" s="351" t="s">
        <v>3343</v>
      </c>
      <c r="G18" s="351"/>
      <c r="H18" s="352"/>
      <c r="I18" s="352" t="s">
        <v>3588</v>
      </c>
      <c r="J18" s="352" t="s">
        <v>3589</v>
      </c>
      <c r="K18" s="352" t="s">
        <v>3590</v>
      </c>
      <c r="L18" s="352"/>
      <c r="M18" s="352"/>
      <c r="N18" s="351"/>
      <c r="O18" s="413" t="s">
        <v>76</v>
      </c>
      <c r="P18" s="351" t="s">
        <v>73</v>
      </c>
      <c r="Q18" s="351"/>
      <c r="R18" s="354" t="s">
        <v>82</v>
      </c>
      <c r="S18" s="355">
        <v>537.37</v>
      </c>
      <c r="T18" s="355">
        <v>514.5</v>
      </c>
      <c r="U18" s="355">
        <v>511.94</v>
      </c>
      <c r="V18" s="356">
        <v>524.11</v>
      </c>
      <c r="W18" s="337">
        <v>536.78340000000003</v>
      </c>
      <c r="X18" s="365" t="s">
        <v>103</v>
      </c>
      <c r="Y18" s="365"/>
      <c r="Z18" s="365"/>
      <c r="AA18" s="365"/>
      <c r="AB18" s="357"/>
      <c r="AC18" s="358">
        <v>300</v>
      </c>
      <c r="AD18" s="359"/>
      <c r="AE18" s="361" t="s">
        <v>129</v>
      </c>
      <c r="AF18" s="361" t="s">
        <v>130</v>
      </c>
      <c r="AG18" s="362" t="s">
        <v>3591</v>
      </c>
      <c r="AH18" s="358" t="s">
        <v>103</v>
      </c>
      <c r="AI18" s="352" t="s">
        <v>167</v>
      </c>
      <c r="AJ18" s="349"/>
      <c r="AK18" s="349"/>
      <c r="AL18" s="349"/>
      <c r="AM18" s="349"/>
      <c r="AN18" s="349"/>
      <c r="AO18" s="453"/>
      <c r="AP18" s="371" t="s">
        <v>103</v>
      </c>
      <c r="AQ18" s="345"/>
      <c r="AR18" s="345"/>
      <c r="AS18" s="345"/>
      <c r="AT18" s="345"/>
      <c r="AU18" s="345"/>
      <c r="AV18" s="345"/>
      <c r="AW18" s="345"/>
      <c r="AX18" s="345"/>
      <c r="AY18" s="345"/>
      <c r="AZ18" s="345"/>
      <c r="BA18" s="345"/>
      <c r="BB18" s="345"/>
      <c r="BC18" s="345"/>
      <c r="BD18" s="345"/>
      <c r="BE18" s="345"/>
      <c r="BF18" s="345"/>
      <c r="BG18" s="346">
        <f>COUNTIF(AQ18:BF18,"*OP*")</f>
        <v>0</v>
      </c>
      <c r="BH18" s="362" t="s">
        <v>103</v>
      </c>
      <c r="BI18" s="349">
        <f>(COUNTIF(AQ18:AS18,"*OK*")*3) + (COUNTIF(AT18:AV18,"*OK*")*2) + COUNTIF(AW18:AY18,"*OK*")+COUNTIF(BH18:BH18,"SI")*0.5</f>
        <v>0</v>
      </c>
      <c r="BJ18" s="349" t="str">
        <f>IF(BI18&lt;0.6,"Demasiado Riesgo",IF(BI18&lt;=5,"Riesgo Medio",IF(BI18&lt;=11,"Riesgo Bajo","Cliente Blindado")))</f>
        <v>Demasiado Riesgo</v>
      </c>
      <c r="BK18" s="349"/>
      <c r="BL18" s="349"/>
      <c r="BM18" s="349">
        <v>0</v>
      </c>
      <c r="BN18" s="349"/>
      <c r="BO18" s="349"/>
      <c r="BP18" s="349"/>
      <c r="BQ18" s="349"/>
      <c r="BR18" s="349"/>
      <c r="BS18" s="349"/>
      <c r="BT18" s="349"/>
      <c r="BU18" s="349"/>
      <c r="BV18" s="349"/>
      <c r="BW18" s="349"/>
      <c r="BX18" s="349"/>
      <c r="BY18" s="349"/>
      <c r="BZ18" s="349"/>
      <c r="CA18" s="349"/>
      <c r="CB18" s="349"/>
      <c r="CC18" s="349"/>
      <c r="CD18" s="349"/>
      <c r="CE18" s="349"/>
      <c r="CF18" s="349"/>
      <c r="CG18" s="349"/>
      <c r="CH18" s="349"/>
      <c r="CI18" s="349">
        <f>COUNTIF(AQ18:BE18,"*OK*")</f>
        <v>0</v>
      </c>
      <c r="CJ18" s="349"/>
      <c r="CK18" s="349">
        <f>COUNTIF(AQ18:BE18,"*OP*")</f>
        <v>0</v>
      </c>
    </row>
    <row r="19" spans="1:90">
      <c r="A19" s="348"/>
      <c r="B19" s="349"/>
      <c r="C19" s="329">
        <f>X19</f>
        <v>242.83</v>
      </c>
      <c r="D19" s="349">
        <f>COUNTIF(AU19:BF19,"OK")</f>
        <v>0</v>
      </c>
      <c r="E19" s="349"/>
      <c r="F19" s="470" t="s">
        <v>3365</v>
      </c>
      <c r="G19" s="466" t="s">
        <v>103</v>
      </c>
      <c r="H19" s="466" t="s">
        <v>103</v>
      </c>
      <c r="I19" s="466"/>
      <c r="J19" s="466"/>
      <c r="K19" s="466"/>
      <c r="L19" s="466"/>
      <c r="M19" s="466" t="s">
        <v>103</v>
      </c>
      <c r="N19" s="466" t="s">
        <v>103</v>
      </c>
      <c r="O19" s="466" t="s">
        <v>562</v>
      </c>
      <c r="P19" s="466"/>
      <c r="Q19" s="466" t="s">
        <v>88</v>
      </c>
      <c r="R19" s="467" t="s">
        <v>103</v>
      </c>
      <c r="S19" s="466" t="s">
        <v>103</v>
      </c>
      <c r="T19" s="466" t="s">
        <v>103</v>
      </c>
      <c r="U19" s="466" t="s">
        <v>103</v>
      </c>
      <c r="V19" s="466" t="s">
        <v>103</v>
      </c>
      <c r="W19" s="468" t="s">
        <v>103</v>
      </c>
      <c r="X19" s="394">
        <v>242.83</v>
      </c>
      <c r="Y19" s="394">
        <v>244.88339999999999</v>
      </c>
      <c r="Z19" s="394"/>
      <c r="AA19" s="394"/>
      <c r="AB19" s="348"/>
      <c r="AC19" s="371" t="s">
        <v>103</v>
      </c>
      <c r="AD19" s="349"/>
      <c r="AE19" s="361"/>
      <c r="AF19" s="361"/>
      <c r="AG19" s="362"/>
      <c r="AH19" s="371" t="s">
        <v>103</v>
      </c>
      <c r="AI19" s="352"/>
      <c r="AJ19" s="349"/>
      <c r="AK19" s="349"/>
      <c r="AL19" s="349"/>
      <c r="AM19" s="349"/>
      <c r="AN19" s="349"/>
      <c r="AO19" s="349"/>
      <c r="AP19" s="349"/>
      <c r="AQ19" s="287"/>
      <c r="AR19" s="287"/>
      <c r="AS19" s="345" t="s">
        <v>173</v>
      </c>
      <c r="AT19" s="287"/>
      <c r="AU19" s="287"/>
      <c r="AV19" s="287"/>
      <c r="AW19" s="287"/>
      <c r="AX19" s="287"/>
      <c r="AY19" s="287"/>
      <c r="AZ19" s="287"/>
      <c r="BA19" s="287"/>
      <c r="BB19" s="287"/>
      <c r="BC19" s="287"/>
      <c r="BD19" s="287"/>
      <c r="BE19" s="287"/>
      <c r="BF19" s="287"/>
      <c r="BG19" s="285">
        <f>COUNTIF(AQ19:BF19,"*OP*")</f>
        <v>1</v>
      </c>
      <c r="BH19" s="349"/>
      <c r="BI19" s="349">
        <f>(COUNTIF(AQ19:AS19,"*OK*")*3) + (COUNTIF(AT19:AV19,"*OK*")*2) + COUNTIF(AW19:AY19,"*OK*")+COUNTIF(BH19:BH19,"SI")*0.5</f>
        <v>0</v>
      </c>
      <c r="BJ19" s="349" t="str">
        <f>IF(BI19&lt;0.6,"Demasiado Riesgo",IF(BI19&lt;=5,"Riesgo Medio",IF(BI19&lt;=11,"Riesgo Bajo","Cliente Blindado")))</f>
        <v>Demasiado Riesgo</v>
      </c>
      <c r="BK19" s="349"/>
      <c r="BL19" s="349"/>
      <c r="BM19" s="349"/>
      <c r="BN19" s="349"/>
      <c r="BO19" s="349"/>
      <c r="BP19" s="349"/>
      <c r="BQ19" s="349"/>
      <c r="BR19" s="349"/>
      <c r="BS19" s="349"/>
      <c r="BT19" s="349"/>
      <c r="BU19" s="349"/>
      <c r="BV19" s="349"/>
      <c r="BW19" s="349"/>
      <c r="BX19" s="349"/>
      <c r="BY19" s="349"/>
      <c r="BZ19" s="349"/>
      <c r="CA19" s="349"/>
      <c r="CB19" s="349"/>
      <c r="CC19" s="349"/>
      <c r="CD19" s="349"/>
      <c r="CE19" s="349"/>
      <c r="CF19" s="349"/>
      <c r="CG19" s="349"/>
      <c r="CH19" s="349"/>
      <c r="CI19" s="349">
        <f>COUNTIF(AQ19:BE19,"*OK*")</f>
        <v>0</v>
      </c>
      <c r="CJ19" s="287"/>
      <c r="CK19" s="287"/>
    </row>
    <row r="20" spans="1:90">
      <c r="A20" s="327"/>
      <c r="B20" s="328"/>
      <c r="C20" s="329">
        <f>Y20</f>
        <v>0</v>
      </c>
      <c r="D20" s="328">
        <f>COUNTIF(AU20:BF20,"OK")</f>
        <v>0</v>
      </c>
      <c r="E20" s="328"/>
      <c r="F20" s="500" t="s">
        <v>3368</v>
      </c>
      <c r="G20" s="501" t="s">
        <v>103</v>
      </c>
      <c r="H20" s="501" t="s">
        <v>103</v>
      </c>
      <c r="I20" s="522" t="s">
        <v>1101</v>
      </c>
      <c r="J20" s="522" t="s">
        <v>1102</v>
      </c>
      <c r="K20" s="522" t="s">
        <v>1103</v>
      </c>
      <c r="L20" s="501"/>
      <c r="M20" s="501" t="s">
        <v>103</v>
      </c>
      <c r="N20" s="501" t="s">
        <v>103</v>
      </c>
      <c r="O20" s="501" t="s">
        <v>562</v>
      </c>
      <c r="P20" s="501" t="s">
        <v>103</v>
      </c>
      <c r="Q20" s="501" t="s">
        <v>88</v>
      </c>
      <c r="R20" s="469" t="s">
        <v>103</v>
      </c>
      <c r="S20" s="501" t="s">
        <v>103</v>
      </c>
      <c r="T20" s="501" t="s">
        <v>103</v>
      </c>
      <c r="U20" s="501" t="s">
        <v>103</v>
      </c>
      <c r="V20" s="470" t="s">
        <v>103</v>
      </c>
      <c r="W20" s="513" t="s">
        <v>103</v>
      </c>
      <c r="X20" s="518">
        <v>391.83</v>
      </c>
      <c r="Y20" s="518"/>
      <c r="Z20" s="518"/>
      <c r="AA20" s="518"/>
      <c r="AB20" s="327"/>
      <c r="AC20" s="372" t="s">
        <v>103</v>
      </c>
      <c r="AD20" s="406"/>
      <c r="AE20" s="407"/>
      <c r="AF20" s="407"/>
      <c r="AG20" s="408"/>
      <c r="AH20" s="409" t="s">
        <v>103</v>
      </c>
      <c r="AI20" s="332"/>
      <c r="AJ20" s="328"/>
      <c r="AK20" s="328"/>
      <c r="AL20" s="328"/>
      <c r="AM20" s="328"/>
      <c r="AN20" s="328"/>
      <c r="AO20" s="451"/>
      <c r="AP20" s="451"/>
      <c r="AQ20" s="445"/>
      <c r="AR20" s="445"/>
      <c r="AS20" s="445"/>
      <c r="AT20" s="445"/>
      <c r="AU20" s="445"/>
      <c r="AV20" s="445"/>
      <c r="AW20" s="445"/>
      <c r="AX20" s="445"/>
      <c r="AY20" s="445"/>
      <c r="AZ20" s="445"/>
      <c r="BA20" s="445"/>
      <c r="BB20" s="445"/>
      <c r="BC20" s="445"/>
      <c r="BD20" s="445"/>
      <c r="BE20" s="445"/>
      <c r="BF20" s="445"/>
      <c r="BG20" s="446">
        <f>COUNTIF(AQ20:BF20,"*OP*")</f>
        <v>0</v>
      </c>
      <c r="BH20" s="447"/>
      <c r="BI20" s="328">
        <f>(COUNTIF(AQ20:AS20,"*OK*")*3) + (COUNTIF(AT20:AV20,"*OK*")*2) + COUNTIF(AW20:AY20,"*OK*")+COUNTIF(BH20:BH20,"SI")*0.5</f>
        <v>0</v>
      </c>
      <c r="BJ20" s="328" t="str">
        <f>IF(BI20&lt;0.6,"Demasiado Riesgo",IF(BI20&lt;=5,"Riesgo Medio",IF(BI20&lt;=11,"Riesgo Bajo","Cliente Blindado")))</f>
        <v>Demasiado Riesgo</v>
      </c>
      <c r="BK20" s="328"/>
      <c r="BL20" s="328"/>
      <c r="BM20" s="328"/>
      <c r="BN20" s="328"/>
      <c r="BO20" s="328"/>
      <c r="BP20" s="328"/>
      <c r="BQ20" s="328"/>
      <c r="BR20" s="328"/>
      <c r="BS20" s="328"/>
      <c r="BT20" s="328"/>
      <c r="BU20" s="328"/>
      <c r="BV20" s="328"/>
      <c r="BW20" s="328"/>
      <c r="BX20" s="328"/>
      <c r="BY20" s="328"/>
      <c r="BZ20" s="328"/>
      <c r="CA20" s="328"/>
      <c r="CB20" s="328"/>
      <c r="CC20" s="328"/>
      <c r="CD20" s="328"/>
      <c r="CE20" s="328"/>
      <c r="CF20" s="328"/>
      <c r="CG20" s="328"/>
      <c r="CH20" s="328"/>
      <c r="CI20" s="328">
        <f>COUNTIF(AQ20:BE20,"*OK*")</f>
        <v>0</v>
      </c>
      <c r="CJ20" s="287"/>
      <c r="CK20" s="287"/>
    </row>
    <row r="21" spans="1:90">
      <c r="A21" s="348"/>
      <c r="B21" s="349"/>
      <c r="C21" s="329">
        <f>Y21</f>
        <v>57.619599999999998</v>
      </c>
      <c r="D21" s="349">
        <f>COUNTIF(AU21:BF21,"OK")</f>
        <v>0</v>
      </c>
      <c r="E21" s="349"/>
      <c r="F21" s="349" t="s">
        <v>3382</v>
      </c>
      <c r="G21" s="349"/>
      <c r="H21" s="352"/>
      <c r="I21" s="352" t="s">
        <v>3592</v>
      </c>
      <c r="J21" s="352" t="s">
        <v>3593</v>
      </c>
      <c r="K21" s="352" t="s">
        <v>3594</v>
      </c>
      <c r="L21" s="352"/>
      <c r="M21" s="352"/>
      <c r="N21" s="349"/>
      <c r="O21" s="368" t="s">
        <v>562</v>
      </c>
      <c r="P21" s="331" t="s">
        <v>782</v>
      </c>
      <c r="Q21" s="349"/>
      <c r="R21" s="362"/>
      <c r="S21" s="335"/>
      <c r="T21" s="335"/>
      <c r="U21" s="335"/>
      <c r="V21" s="336"/>
      <c r="W21" s="337">
        <v>57.771099999999997</v>
      </c>
      <c r="X21" s="405">
        <v>57.14</v>
      </c>
      <c r="Y21" s="405">
        <v>57.619599999999998</v>
      </c>
      <c r="Z21" s="405"/>
      <c r="AA21" s="405"/>
      <c r="AB21" s="357"/>
      <c r="AC21" s="358" t="s">
        <v>103</v>
      </c>
      <c r="AD21" s="349"/>
      <c r="AE21" s="370"/>
      <c r="AF21" s="361"/>
      <c r="AG21" s="362"/>
      <c r="AH21" s="371" t="s">
        <v>103</v>
      </c>
      <c r="AI21" s="352"/>
      <c r="AJ21" s="349"/>
      <c r="AK21" s="349"/>
      <c r="AL21" s="349"/>
      <c r="AM21" s="349"/>
      <c r="AN21" s="349"/>
      <c r="AO21" s="453"/>
      <c r="AP21" s="449"/>
      <c r="AQ21" s="445"/>
      <c r="AR21" s="445"/>
      <c r="AS21" s="445"/>
      <c r="AT21" s="445"/>
      <c r="AU21" s="445"/>
      <c r="AV21" s="445"/>
      <c r="AW21" s="445"/>
      <c r="AX21" s="445"/>
      <c r="AY21" s="445"/>
      <c r="AZ21" s="445"/>
      <c r="BA21" s="445"/>
      <c r="BB21" s="445"/>
      <c r="BC21" s="445"/>
      <c r="BD21" s="445"/>
      <c r="BE21" s="445"/>
      <c r="BF21" s="445"/>
      <c r="BG21" s="446">
        <f>COUNTIF(AQ21:BF21,"*OP*")</f>
        <v>0</v>
      </c>
      <c r="BH21" s="450"/>
      <c r="BI21" s="349">
        <f>(COUNTIF(AQ21:AS21,"*OK*")*3) + (COUNTIF(AT21:AV21,"*OK*")*2) + COUNTIF(AW21:AY21,"*OK*")+COUNTIF(BH21:BH21,"SI")*0.5</f>
        <v>0</v>
      </c>
      <c r="BJ21" s="349" t="str">
        <f>IF(BI21&lt;0.6,"Demasiado Riesgo",IF(BI21&lt;=5,"Riesgo Medio",IF(BI21&lt;=11,"Riesgo Bajo","Cliente Blindado")))</f>
        <v>Demasiado Riesgo</v>
      </c>
      <c r="BK21" s="349"/>
      <c r="BL21" s="349"/>
      <c r="BM21" s="349"/>
      <c r="BN21" s="349"/>
      <c r="BO21" s="349"/>
      <c r="BP21" s="349"/>
      <c r="BQ21" s="349"/>
      <c r="BR21" s="349"/>
      <c r="BS21" s="349"/>
      <c r="BT21" s="349"/>
      <c r="BU21" s="349"/>
      <c r="BV21" s="349"/>
      <c r="BW21" s="349"/>
      <c r="BX21" s="349"/>
      <c r="BY21" s="349"/>
      <c r="BZ21" s="349"/>
      <c r="CA21" s="349"/>
      <c r="CB21" s="349"/>
      <c r="CC21" s="349"/>
      <c r="CD21" s="349"/>
      <c r="CE21" s="349"/>
      <c r="CF21" s="349"/>
      <c r="CG21" s="349"/>
      <c r="CH21" s="349"/>
      <c r="CI21" s="349">
        <f>COUNTIF(AQ21:BE21,"*OK*")</f>
        <v>0</v>
      </c>
      <c r="CJ21" s="349"/>
      <c r="CK21" s="349"/>
    </row>
    <row r="22" spans="1:90">
      <c r="A22" s="348"/>
      <c r="B22" s="349"/>
      <c r="C22" s="329">
        <f>Y22</f>
        <v>86.429400000000001</v>
      </c>
      <c r="D22" s="349">
        <f>COUNTIF(AU22:BF22,"OK")</f>
        <v>0</v>
      </c>
      <c r="E22" s="349"/>
      <c r="F22" s="349" t="s">
        <v>3595</v>
      </c>
      <c r="G22" s="349"/>
      <c r="H22" s="352"/>
      <c r="I22" s="523" t="s">
        <v>3596</v>
      </c>
      <c r="J22" s="523" t="s">
        <v>3597</v>
      </c>
      <c r="K22" s="523" t="s">
        <v>3598</v>
      </c>
      <c r="L22" s="352"/>
      <c r="M22" s="352"/>
      <c r="N22" s="349"/>
      <c r="O22" s="368" t="s">
        <v>562</v>
      </c>
      <c r="P22" s="331" t="s">
        <v>782</v>
      </c>
      <c r="Q22" s="349"/>
      <c r="R22" s="362"/>
      <c r="S22" s="335"/>
      <c r="T22" s="335"/>
      <c r="U22" s="335"/>
      <c r="V22" s="336"/>
      <c r="W22" s="337">
        <v>86.656599999999997</v>
      </c>
      <c r="X22" s="405">
        <v>85.71</v>
      </c>
      <c r="Y22" s="405">
        <v>86.429400000000001</v>
      </c>
      <c r="Z22" s="405"/>
      <c r="AA22" s="405"/>
      <c r="AB22" s="357"/>
      <c r="AC22" s="358" t="s">
        <v>103</v>
      </c>
      <c r="AD22" s="349"/>
      <c r="AE22" s="370"/>
      <c r="AF22" s="361"/>
      <c r="AG22" s="362"/>
      <c r="AH22" s="371" t="s">
        <v>103</v>
      </c>
      <c r="AI22" s="352"/>
      <c r="AJ22" s="349"/>
      <c r="AK22" s="349"/>
      <c r="AL22" s="349"/>
      <c r="AM22" s="349"/>
      <c r="AN22" s="349"/>
      <c r="AO22" s="453"/>
      <c r="AP22" s="449"/>
      <c r="AQ22" s="445"/>
      <c r="AR22" s="445"/>
      <c r="AS22" s="445"/>
      <c r="AT22" s="445"/>
      <c r="AU22" s="445"/>
      <c r="AV22" s="445"/>
      <c r="AW22" s="445"/>
      <c r="AX22" s="445"/>
      <c r="AY22" s="445"/>
      <c r="AZ22" s="445"/>
      <c r="BA22" s="445"/>
      <c r="BB22" s="445"/>
      <c r="BC22" s="445"/>
      <c r="BD22" s="445"/>
      <c r="BE22" s="445"/>
      <c r="BF22" s="445"/>
      <c r="BG22" s="446">
        <f>COUNTIF(AQ22:BF22,"*OP*")</f>
        <v>0</v>
      </c>
      <c r="BH22" s="450"/>
      <c r="BI22" s="349">
        <f>(COUNTIF(AQ22:AS22,"*OK*")*3) + (COUNTIF(AT22:AV22,"*OK*")*2) + COUNTIF(AW22:AY22,"*OK*")+COUNTIF(BH22:BH22,"SI")*0.5</f>
        <v>0</v>
      </c>
      <c r="BJ22" s="349" t="str">
        <f>IF(BI22&lt;0.6,"Demasiado Riesgo",IF(BI22&lt;=5,"Riesgo Medio",IF(BI22&lt;=11,"Riesgo Bajo","Cliente Blindado")))</f>
        <v>Demasiado Riesgo</v>
      </c>
      <c r="BK22" s="349"/>
      <c r="BL22" s="349"/>
      <c r="BM22" s="349"/>
      <c r="BN22" s="349"/>
      <c r="BO22" s="349"/>
      <c r="BP22" s="349"/>
      <c r="BQ22" s="349"/>
      <c r="BR22" s="349"/>
      <c r="BS22" s="349"/>
      <c r="BT22" s="349"/>
      <c r="BU22" s="349"/>
      <c r="BV22" s="349"/>
      <c r="BW22" s="349"/>
      <c r="BX22" s="349"/>
      <c r="BY22" s="349"/>
      <c r="BZ22" s="349"/>
      <c r="CA22" s="349"/>
      <c r="CB22" s="349"/>
      <c r="CC22" s="349"/>
      <c r="CD22" s="349"/>
      <c r="CE22" s="349"/>
      <c r="CF22" s="349"/>
      <c r="CG22" s="349"/>
      <c r="CH22" s="349"/>
      <c r="CI22" s="349">
        <f>COUNTIF(AQ22:BE22,"*OK*")</f>
        <v>0</v>
      </c>
      <c r="CJ22" s="287"/>
      <c r="CK22" s="287"/>
    </row>
    <row r="23" spans="1:90">
      <c r="A23" s="585">
        <v>24310</v>
      </c>
      <c r="B23" s="586" t="s">
        <v>3599</v>
      </c>
      <c r="C23" s="583">
        <f>Z23</f>
        <v>0</v>
      </c>
      <c r="D23" s="587">
        <v>1</v>
      </c>
      <c r="E23" s="558"/>
      <c r="F23" s="424" t="s">
        <v>3373</v>
      </c>
      <c r="G23" s="584"/>
      <c r="H23" s="558"/>
      <c r="I23" s="559" t="s">
        <v>3600</v>
      </c>
      <c r="J23" s="559" t="s">
        <v>3601</v>
      </c>
      <c r="K23" s="559" t="s">
        <v>3602</v>
      </c>
      <c r="L23" s="558"/>
      <c r="M23" s="352"/>
      <c r="N23" s="351"/>
      <c r="O23" s="353" t="s">
        <v>562</v>
      </c>
      <c r="P23" s="351" t="s">
        <v>73</v>
      </c>
      <c r="Q23" s="351"/>
      <c r="R23" s="354" t="s">
        <v>82</v>
      </c>
      <c r="S23" s="355">
        <v>268.24</v>
      </c>
      <c r="T23" s="355">
        <v>247.96</v>
      </c>
      <c r="U23" s="355">
        <v>241.08</v>
      </c>
      <c r="V23" s="356">
        <v>263.62</v>
      </c>
      <c r="W23" s="337">
        <v>269.66160000000002</v>
      </c>
      <c r="X23" s="347">
        <v>246.95</v>
      </c>
      <c r="Y23" s="347">
        <v>249.03200000000001</v>
      </c>
      <c r="Z23" s="347"/>
      <c r="AA23" s="347"/>
      <c r="AB23" s="347"/>
      <c r="AC23" s="357"/>
      <c r="AD23" s="358">
        <v>100</v>
      </c>
      <c r="AE23" s="359" t="s">
        <v>83</v>
      </c>
      <c r="AF23" s="360" t="s">
        <v>83</v>
      </c>
      <c r="AG23" s="361" t="s">
        <v>120</v>
      </c>
      <c r="AH23" s="362" t="s">
        <v>3603</v>
      </c>
      <c r="AI23" s="358" t="s">
        <v>396</v>
      </c>
      <c r="AJ23" s="352" t="s">
        <v>525</v>
      </c>
      <c r="AK23" s="349"/>
      <c r="AL23" s="349"/>
      <c r="AM23" s="349"/>
      <c r="AN23" s="349"/>
      <c r="AO23" s="349"/>
      <c r="AP23" s="453"/>
      <c r="AQ23" s="362" t="s">
        <v>103</v>
      </c>
      <c r="AR23" s="345"/>
      <c r="AS23" s="345"/>
      <c r="AT23" s="594"/>
      <c r="AU23" s="345"/>
      <c r="AV23" s="345"/>
      <c r="AW23" s="345"/>
      <c r="AX23" s="345"/>
      <c r="AY23" s="345"/>
      <c r="AZ23" s="345"/>
      <c r="BA23" s="345"/>
      <c r="BB23" s="345"/>
      <c r="BC23" s="345"/>
      <c r="BD23" s="345"/>
      <c r="BE23" s="345"/>
      <c r="BF23" s="345"/>
      <c r="BG23" s="345"/>
      <c r="BH23" s="346">
        <f>COUNTIF(AR23:BG23,"*OP*")</f>
        <v>0</v>
      </c>
      <c r="BI23" s="362" t="s">
        <v>103</v>
      </c>
      <c r="BJ23" s="349">
        <f>(COUNTIF(AR23:AT23,"*OK*")*3) + (COUNTIF(AU23:AW23,"*OK*")*2) + COUNTIF(AX23:AZ23,"*OK*")+COUNTIF(BI23:BI23,"SI")*0.5</f>
        <v>0</v>
      </c>
      <c r="BK23" s="349" t="str">
        <f>IF(BJ23&lt;0.6,"Demasiado Riesgo",IF(BJ23&lt;=5,"Riesgo Medio",IF(BJ23&lt;=11,"Riesgo Bajo","Cliente Blindado")))</f>
        <v>Demasiado Riesgo</v>
      </c>
      <c r="BL23" s="349"/>
      <c r="BM23" s="328"/>
      <c r="BN23" s="328">
        <v>0</v>
      </c>
      <c r="BO23" s="328"/>
      <c r="BP23" s="328"/>
      <c r="BQ23" s="328"/>
      <c r="BR23" s="328"/>
      <c r="BS23" s="328"/>
      <c r="BT23" s="328"/>
      <c r="BU23" s="328"/>
      <c r="BV23" s="328"/>
      <c r="BW23" s="328"/>
      <c r="BX23" s="328"/>
      <c r="BY23" s="328"/>
      <c r="BZ23" s="328"/>
      <c r="CA23" s="328"/>
      <c r="CB23" s="328"/>
      <c r="CC23" s="328"/>
      <c r="CD23" s="328"/>
      <c r="CE23" s="328"/>
      <c r="CF23" s="328"/>
      <c r="CG23" s="328"/>
      <c r="CH23" s="328"/>
      <c r="CI23" s="328"/>
      <c r="CJ23" s="328">
        <f>COUNTIF(AR23:BF23,"*OK*")</f>
        <v>0</v>
      </c>
      <c r="CK23" s="328"/>
      <c r="CL23" s="328">
        <f>COUNTIF(AR23:BF23,"*OP*")</f>
        <v>0</v>
      </c>
    </row>
    <row r="24" spans="1:90">
      <c r="A24" s="348">
        <v>37760</v>
      </c>
      <c r="B24" s="530" t="s">
        <v>3604</v>
      </c>
      <c r="C24" s="329">
        <f>Z24</f>
        <v>0</v>
      </c>
      <c r="D24" s="335">
        <f>C24</f>
        <v>0</v>
      </c>
      <c r="E24" s="349">
        <f>COUNTIF(AV24:BG24,"OK")</f>
        <v>0</v>
      </c>
      <c r="F24" s="349"/>
      <c r="G24" s="368" t="s">
        <v>3357</v>
      </c>
      <c r="H24" s="368"/>
      <c r="I24" s="352" t="s">
        <v>3605</v>
      </c>
      <c r="J24" s="540"/>
      <c r="K24" s="540"/>
      <c r="L24" s="540"/>
      <c r="M24" s="352"/>
      <c r="N24" s="352"/>
      <c r="O24" s="349"/>
      <c r="P24" s="526" t="s">
        <v>1023</v>
      </c>
      <c r="Q24" s="331" t="s">
        <v>93</v>
      </c>
      <c r="R24" s="349" t="s">
        <v>88</v>
      </c>
      <c r="S24" s="362"/>
      <c r="T24" s="335"/>
      <c r="U24" s="335"/>
      <c r="V24" s="335"/>
      <c r="W24" s="510"/>
      <c r="X24" s="516">
        <v>2975.2103999999999</v>
      </c>
      <c r="Y24" s="529">
        <v>3625.38</v>
      </c>
      <c r="Z24" s="529"/>
      <c r="AA24" s="529"/>
      <c r="AB24" s="529"/>
      <c r="AC24" s="357"/>
      <c r="AD24" s="358" t="s">
        <v>103</v>
      </c>
      <c r="AE24" s="349"/>
      <c r="AF24" s="361"/>
      <c r="AG24" s="361"/>
      <c r="AH24" s="362"/>
      <c r="AI24" s="371" t="s">
        <v>103</v>
      </c>
      <c r="AJ24" s="352"/>
      <c r="AK24" s="349"/>
      <c r="AL24" s="349"/>
      <c r="AM24" s="349"/>
      <c r="AN24" s="349"/>
      <c r="AO24" s="349"/>
      <c r="AP24" s="349"/>
      <c r="AQ24" s="349"/>
      <c r="AR24" s="462"/>
      <c r="AS24" s="462"/>
      <c r="AT24" s="462"/>
      <c r="AU24" s="462"/>
      <c r="AV24" s="462"/>
      <c r="AW24" s="462"/>
      <c r="AX24" s="462"/>
      <c r="AY24" s="462"/>
      <c r="AZ24" s="462"/>
      <c r="BA24" s="462"/>
      <c r="BB24" s="462"/>
      <c r="BC24" s="462"/>
      <c r="BD24" s="462"/>
      <c r="BE24" s="462"/>
      <c r="BF24" s="462"/>
      <c r="BG24" s="462"/>
      <c r="BH24" s="463">
        <f>COUNTIF(AR24:BG24,"*OP*")</f>
        <v>0</v>
      </c>
      <c r="BI24" s="349"/>
      <c r="BJ24" s="349">
        <f>(COUNTIF(AR24:AT24,"*OK*")*3) + (COUNTIF(AU24:AW24,"*OK*")*2) + COUNTIF(AX24:AZ24,"*OK*")+COUNTIF(BI24:BI24,"SI")*0.5</f>
        <v>0</v>
      </c>
      <c r="BK24" s="349" t="str">
        <f>IF(BJ24&lt;0.6,"Demasiado Riesgo",IF(BJ24&lt;=5,"Riesgo Medio",IF(BJ24&lt;=11,"Riesgo Bajo","Cliente Blindado")))</f>
        <v>Demasiado Riesgo</v>
      </c>
      <c r="BL24" s="349"/>
      <c r="BM24" s="349"/>
      <c r="BN24" s="349"/>
      <c r="BO24" s="349"/>
      <c r="BP24" s="349"/>
      <c r="BQ24" s="349"/>
      <c r="BR24" s="349"/>
      <c r="BS24" s="349"/>
      <c r="BT24" s="349"/>
      <c r="BU24" s="349"/>
      <c r="BV24" s="349"/>
      <c r="BW24" s="349"/>
      <c r="BX24" s="349"/>
      <c r="BY24" s="349"/>
      <c r="BZ24" s="349"/>
      <c r="CA24" s="349"/>
      <c r="CB24" s="349"/>
      <c r="CC24" s="349"/>
      <c r="CD24" s="349"/>
      <c r="CE24" s="349"/>
      <c r="CF24" s="349"/>
      <c r="CG24" s="349"/>
      <c r="CH24" s="349"/>
      <c r="CI24" s="349"/>
      <c r="CJ24" s="349">
        <f>COUNTIF(AR24:BF24,"*OK*")</f>
        <v>0</v>
      </c>
      <c r="CK24" s="349"/>
      <c r="CL24" s="349"/>
    </row>
  </sheetData>
  <protectedRanges>
    <protectedRange sqref="M7:N7" name="Facturación_8"/>
    <protectedRange sqref="M8:N8" name="Facturación_9"/>
    <protectedRange sqref="M9:N9" name="Facturación_10"/>
    <protectedRange sqref="M10:N10" name="Facturación_11"/>
    <protectedRange sqref="M11:N11" name="Facturación_12"/>
    <protectedRange sqref="M12:N12" name="Facturación_13"/>
    <protectedRange sqref="M13:N13" name="Facturación_14"/>
    <protectedRange sqref="M14:N14" name="Facturación"/>
    <protectedRange sqref="N15:O15" name="Facturación_2"/>
    <protectedRange sqref="O16:P16" name="Facturación_4"/>
    <protectedRange sqref="Q17:R17" name="Facturación_1"/>
    <protectedRange sqref="S18:T18" name="Facturación_3"/>
    <protectedRange sqref="S19:T19" name="Facturación_5"/>
    <protectedRange sqref="S20:T20" name="Facturación_15"/>
    <protectedRange sqref="S21:T21" name="Facturación_6"/>
    <protectedRange sqref="S22:T22" name="Facturación_7"/>
    <protectedRange sqref="T24:U24" name="Facturación_17"/>
  </protectedRanges>
  <conditionalFormatting sqref="A2:B24">
    <cfRule type="containsBlanks" dxfId="139" priority="16">
      <formula>LEN(TRIM(A2))=0</formula>
    </cfRule>
  </conditionalFormatting>
  <conditionalFormatting sqref="A18:X18">
    <cfRule type="expression" dxfId="138" priority="132">
      <formula>MOD(ROW(),2)=0</formula>
    </cfRule>
  </conditionalFormatting>
  <conditionalFormatting sqref="A20:X20">
    <cfRule type="expression" dxfId="137" priority="72">
      <formula>MOD(ROW(),2)=0</formula>
    </cfRule>
  </conditionalFormatting>
  <conditionalFormatting sqref="A24:BH24">
    <cfRule type="expression" dxfId="136" priority="4">
      <formula>ISEVEN(ROW())</formula>
    </cfRule>
    <cfRule type="expression" dxfId="135" priority="5">
      <formula>ISODD(ROW())</formula>
    </cfRule>
  </conditionalFormatting>
  <conditionalFormatting sqref="A23:BK23">
    <cfRule type="expression" dxfId="134" priority="31">
      <formula>ISEVEN(ROW())</formula>
    </cfRule>
    <cfRule type="expression" dxfId="133" priority="32">
      <formula>ISODD(ROW())</formula>
    </cfRule>
  </conditionalFormatting>
  <conditionalFormatting sqref="A17:CE17">
    <cfRule type="expression" dxfId="132" priority="150">
      <formula>MOD(ROW(),2)=0</formula>
    </cfRule>
  </conditionalFormatting>
  <conditionalFormatting sqref="A21:CK22">
    <cfRule type="expression" dxfId="131" priority="49">
      <formula>MOD(ROW(),2)=0</formula>
    </cfRule>
  </conditionalFormatting>
  <conditionalFormatting sqref="C3:AV13">
    <cfRule type="expression" dxfId="130" priority="228">
      <formula>AND(ISODD(ROW()),LEN(TRIM(C3))=0)</formula>
    </cfRule>
    <cfRule type="expression" dxfId="129" priority="229">
      <formula>AND(ISEVEN(ROW()),LEN(TRIM(C3))=0)</formula>
    </cfRule>
  </conditionalFormatting>
  <conditionalFormatting sqref="G15:Q15 S15:AH15">
    <cfRule type="expression" dxfId="128" priority="182">
      <formula>ISEVEN(ROW())</formula>
    </cfRule>
    <cfRule type="expression" dxfId="127" priority="185">
      <formula>ISODD(ROW())</formula>
    </cfRule>
  </conditionalFormatting>
  <conditionalFormatting sqref="G16:R16 T16:AI16">
    <cfRule type="expression" dxfId="126" priority="157">
      <formula>ISEVEN(ROW())</formula>
    </cfRule>
    <cfRule type="expression" dxfId="125" priority="160">
      <formula>ISODD(ROW())</formula>
    </cfRule>
  </conditionalFormatting>
  <conditionalFormatting sqref="G17:T17 V17:AJ17">
    <cfRule type="expression" dxfId="124" priority="138">
      <formula>ISEVEN(ROW())</formula>
    </cfRule>
    <cfRule type="expression" dxfId="123" priority="140">
      <formula>ISODD(ROW())</formula>
    </cfRule>
  </conditionalFormatting>
  <conditionalFormatting sqref="G18:V18">
    <cfRule type="expression" dxfId="122" priority="121">
      <formula>ISEVEN(ROW())</formula>
    </cfRule>
    <cfRule type="expression" dxfId="121" priority="123">
      <formula>ISODD(ROW())</formula>
    </cfRule>
  </conditionalFormatting>
  <conditionalFormatting sqref="G14:AF14">
    <cfRule type="expression" dxfId="120" priority="204">
      <formula>ISEVEN(ROW())</formula>
    </cfRule>
    <cfRule type="expression" dxfId="119" priority="207">
      <formula>ISODD(ROW())</formula>
    </cfRule>
  </conditionalFormatting>
  <conditionalFormatting sqref="G23:AQ23">
    <cfRule type="expression" dxfId="118" priority="20">
      <formula>ISEVEN(ROW())</formula>
    </cfRule>
    <cfRule type="expression" dxfId="117" priority="22">
      <formula>ISODD(ROW())</formula>
    </cfRule>
  </conditionalFormatting>
  <conditionalFormatting sqref="L3:L14">
    <cfRule type="containsText" dxfId="116" priority="206" operator="containsText" text="Crítico">
      <formula>NOT(ISERROR(SEARCH("Crítico",L3)))</formula>
    </cfRule>
  </conditionalFormatting>
  <conditionalFormatting sqref="M15">
    <cfRule type="containsText" dxfId="115" priority="184" operator="containsText" text="Crítico">
      <formula>NOT(ISERROR(SEARCH("Crítico",M15)))</formula>
    </cfRule>
  </conditionalFormatting>
  <conditionalFormatting sqref="N16">
    <cfRule type="containsText" dxfId="114" priority="159" operator="containsText" text="Crítico">
      <formula>NOT(ISERROR(SEARCH("Crítico",N16)))</formula>
    </cfRule>
  </conditionalFormatting>
  <conditionalFormatting sqref="N3:O13">
    <cfRule type="expression" dxfId="113" priority="219">
      <formula>AND(N3&lt;M3, M3&gt;0)</formula>
    </cfRule>
  </conditionalFormatting>
  <conditionalFormatting sqref="N3:P13">
    <cfRule type="expression" dxfId="112" priority="218">
      <formula>AND(N3&gt;M3, M3&gt;0)</formula>
    </cfRule>
  </conditionalFormatting>
  <conditionalFormatting sqref="N14:P14">
    <cfRule type="expression" dxfId="111" priority="203">
      <formula>AND(N14&lt;M14, M14&gt;0)</formula>
    </cfRule>
    <cfRule type="expression" dxfId="110" priority="205">
      <formula>AND(N14&gt;M14, M14&gt;0)</formula>
    </cfRule>
  </conditionalFormatting>
  <conditionalFormatting sqref="O15:S15">
    <cfRule type="expression" dxfId="109" priority="181">
      <formula>AND(O15&lt;N15, N15&gt;0)</formula>
    </cfRule>
    <cfRule type="expression" dxfId="108" priority="183">
      <formula>AND(O15&gt;N15, N15&gt;0)</formula>
    </cfRule>
  </conditionalFormatting>
  <conditionalFormatting sqref="P3:P13">
    <cfRule type="expression" dxfId="107" priority="216">
      <formula>AND(P3&lt;O3, O3&gt;0,NOT(ISBLANK(O3)))</formula>
    </cfRule>
  </conditionalFormatting>
  <conditionalFormatting sqref="P16:T16">
    <cfRule type="expression" dxfId="106" priority="156">
      <formula>AND(P16&lt;O16, O16&gt;0)</formula>
    </cfRule>
    <cfRule type="expression" dxfId="105" priority="158">
      <formula>AND(P16&gt;O16, O16&gt;0)</formula>
    </cfRule>
  </conditionalFormatting>
  <conditionalFormatting sqref="Q16:T16">
    <cfRule type="expression" dxfId="104" priority="169">
      <formula>AND(Q16&lt;P16, P16&gt;0)</formula>
    </cfRule>
    <cfRule type="expression" dxfId="103" priority="170">
      <formula>AND(Q16&gt;P16, P16&gt;0)</formula>
    </cfRule>
  </conditionalFormatting>
  <conditionalFormatting sqref="R15">
    <cfRule type="expression" dxfId="102" priority="177">
      <formula>ISEVEN(ROW())</formula>
    </cfRule>
    <cfRule type="expression" dxfId="101" priority="178">
      <formula>ISODD(ROW())</formula>
    </cfRule>
  </conditionalFormatting>
  <conditionalFormatting sqref="R17:V17">
    <cfRule type="expression" dxfId="100" priority="137">
      <formula>AND(R17&lt;Q17, Q17&gt;0)</formula>
    </cfRule>
    <cfRule type="expression" dxfId="99" priority="139">
      <formula>AND(R17&gt;Q17, Q17&gt;0)</formula>
    </cfRule>
  </conditionalFormatting>
  <conditionalFormatting sqref="S16">
    <cfRule type="expression" dxfId="98" priority="152">
      <formula>ISEVEN(ROW())</formula>
    </cfRule>
    <cfRule type="expression" dxfId="97" priority="153">
      <formula>ISODD(ROW())</formula>
    </cfRule>
  </conditionalFormatting>
  <conditionalFormatting sqref="S17:V17">
    <cfRule type="expression" dxfId="96" priority="149">
      <formula>AND(S17&gt;R17, R17&gt;0)</formula>
    </cfRule>
  </conditionalFormatting>
  <conditionalFormatting sqref="S18:AA22">
    <cfRule type="expression" dxfId="95" priority="37">
      <formula>AND(S18&lt;R18, R18&gt;0)</formula>
    </cfRule>
    <cfRule type="expression" dxfId="94" priority="39">
      <formula>AND(S18&gt;R18, R18&gt;0)</formula>
    </cfRule>
  </conditionalFormatting>
  <conditionalFormatting sqref="S23:AB23">
    <cfRule type="expression" dxfId="93" priority="19">
      <formula>AND(S23&lt;R23, R23&gt;0)</formula>
    </cfRule>
    <cfRule type="expression" dxfId="92" priority="21">
      <formula>AND(S23&gt;R23, R23&gt;0)</formula>
    </cfRule>
  </conditionalFormatting>
  <conditionalFormatting sqref="T24:AB24">
    <cfRule type="expression" dxfId="91" priority="8">
      <formula>AND(T24&lt;S24, S24&gt;0)</formula>
    </cfRule>
    <cfRule type="expression" dxfId="90" priority="10">
      <formula>AND(T24&gt;S24, S24&gt;0)</formula>
    </cfRule>
  </conditionalFormatting>
  <conditionalFormatting sqref="U17">
    <cfRule type="expression" dxfId="89" priority="134">
      <formula>ISODD(ROW())</formula>
    </cfRule>
    <cfRule type="expression" dxfId="88" priority="151">
      <formula>ISEVEN(ROW())</formula>
    </cfRule>
  </conditionalFormatting>
  <conditionalFormatting sqref="W18">
    <cfRule type="expression" dxfId="87" priority="117">
      <formula>ISODD(ROW())</formula>
    </cfRule>
    <cfRule type="expression" dxfId="86" priority="133">
      <formula>ISEVEN(ROW())</formula>
    </cfRule>
  </conditionalFormatting>
  <conditionalFormatting sqref="W20">
    <cfRule type="expression" dxfId="85" priority="95">
      <formula>ISEVEN(ROW())</formula>
    </cfRule>
  </conditionalFormatting>
  <conditionalFormatting sqref="W20:W22">
    <cfRule type="expression" dxfId="84" priority="34">
      <formula>ISODD(ROW())</formula>
    </cfRule>
  </conditionalFormatting>
  <conditionalFormatting sqref="W21:W22">
    <cfRule type="expression" dxfId="83" priority="50">
      <formula>ISEVEN(ROW())</formula>
    </cfRule>
  </conditionalFormatting>
  <conditionalFormatting sqref="W23:X23">
    <cfRule type="expression" dxfId="82" priority="33">
      <formula>ISEVEN(ROW())</formula>
    </cfRule>
  </conditionalFormatting>
  <conditionalFormatting sqref="X19 A19:E19">
    <cfRule type="expression" dxfId="81" priority="113">
      <formula>MOD(ROW(),2)=0</formula>
    </cfRule>
  </conditionalFormatting>
  <conditionalFormatting sqref="X18:AP22 G20:V22">
    <cfRule type="expression" dxfId="80" priority="38">
      <formula>ISEVEN(ROW())</formula>
    </cfRule>
    <cfRule type="expression" dxfId="79" priority="40">
      <formula>ISODD(ROW())</formula>
    </cfRule>
  </conditionalFormatting>
  <conditionalFormatting sqref="Y18:CK20">
    <cfRule type="expression" dxfId="78" priority="78">
      <formula>MOD(ROW(),2)=0</formula>
    </cfRule>
  </conditionalFormatting>
  <conditionalFormatting sqref="AG3:AV14">
    <cfRule type="containsText" dxfId="77" priority="213" operator="containsText" text="OK">
      <formula>NOT(ISERROR(SEARCH("OK",AG3)))</formula>
    </cfRule>
    <cfRule type="containsText" dxfId="76" priority="214" operator="containsText" text="OP">
      <formula>NOT(ISERROR(SEARCH("OP",AG3)))</formula>
    </cfRule>
    <cfRule type="containsText" dxfId="75" priority="215" operator="containsText" text="NO">
      <formula>NOT(ISERROR(SEARCH("NO",AG3)))</formula>
    </cfRule>
  </conditionalFormatting>
  <conditionalFormatting sqref="AG14:AV14">
    <cfRule type="expression" dxfId="74" priority="201">
      <formula>AND(ISODD(ROW()),LEN(TRIM(AG14))=0)</formula>
    </cfRule>
    <cfRule type="expression" dxfId="73" priority="202">
      <formula>AND(ISEVEN(ROW()),LEN(TRIM(AG14))=0)</formula>
    </cfRule>
  </conditionalFormatting>
  <conditionalFormatting sqref="AI15:AX15">
    <cfRule type="expression" dxfId="72" priority="179">
      <formula>AND(ISODD(ROW()),LEN(TRIM(AI15))=0)</formula>
    </cfRule>
    <cfRule type="expression" dxfId="71" priority="180">
      <formula>AND(ISEVEN(ROW()),LEN(TRIM(AI15))=0)</formula>
    </cfRule>
    <cfRule type="containsText" dxfId="70" priority="191" operator="containsText" text="OK">
      <formula>NOT(ISERROR(SEARCH("OK",AI15)))</formula>
    </cfRule>
    <cfRule type="containsText" dxfId="69" priority="192" operator="containsText" text="OP">
      <formula>NOT(ISERROR(SEARCH("OP",AI15)))</formula>
    </cfRule>
    <cfRule type="containsText" dxfId="68" priority="193" operator="containsText" text="NO">
      <formula>NOT(ISERROR(SEARCH("NO",AI15)))</formula>
    </cfRule>
  </conditionalFormatting>
  <conditionalFormatting sqref="AJ16:AY16">
    <cfRule type="expression" dxfId="67" priority="154">
      <formula>AND(ISODD(ROW()),LEN(TRIM(AJ16))=0)</formula>
    </cfRule>
    <cfRule type="expression" dxfId="66" priority="155">
      <formula>AND(ISEVEN(ROW()),LEN(TRIM(AJ16))=0)</formula>
    </cfRule>
    <cfRule type="containsText" dxfId="65" priority="166" operator="containsText" text="OK">
      <formula>NOT(ISERROR(SEARCH("OK",AJ16)))</formula>
    </cfRule>
    <cfRule type="containsText" dxfId="64" priority="167" operator="containsText" text="OP">
      <formula>NOT(ISERROR(SEARCH("OP",AJ16)))</formula>
    </cfRule>
    <cfRule type="containsText" dxfId="63" priority="168" operator="containsText" text="NO">
      <formula>NOT(ISERROR(SEARCH("NO",AJ16)))</formula>
    </cfRule>
  </conditionalFormatting>
  <conditionalFormatting sqref="AK17:BA17">
    <cfRule type="containsText" dxfId="62" priority="146" operator="containsText" text="OK">
      <formula>NOT(ISERROR(SEARCH("OK",AK17)))</formula>
    </cfRule>
    <cfRule type="containsText" dxfId="61" priority="147" operator="containsText" text="OP">
      <formula>NOT(ISERROR(SEARCH("OP",AK17)))</formula>
    </cfRule>
    <cfRule type="containsText" dxfId="60" priority="148" operator="containsText" text="NO">
      <formula>NOT(ISERROR(SEARCH("NO",AK17)))</formula>
    </cfRule>
  </conditionalFormatting>
  <conditionalFormatting sqref="AK17:CE17">
    <cfRule type="expression" dxfId="59" priority="135">
      <formula>AND(ISODD(ROW()),LEN(TRIM(AK17))=0)</formula>
    </cfRule>
    <cfRule type="expression" dxfId="58" priority="136">
      <formula>AND(ISEVEN(ROW()),LEN(TRIM(AK17))=0)</formula>
    </cfRule>
  </conditionalFormatting>
  <conditionalFormatting sqref="AQ18:BG22">
    <cfRule type="containsText" dxfId="57" priority="46" operator="containsText" text="OK">
      <formula>NOT(ISERROR(SEARCH("OK",AQ18)))</formula>
    </cfRule>
    <cfRule type="containsText" dxfId="56" priority="47" operator="containsText" text="OP">
      <formula>NOT(ISERROR(SEARCH("OP",AQ18)))</formula>
    </cfRule>
    <cfRule type="containsText" dxfId="55" priority="48" operator="containsText" text="NO">
      <formula>NOT(ISERROR(SEARCH("NO",AQ18)))</formula>
    </cfRule>
  </conditionalFormatting>
  <conditionalFormatting sqref="AQ18:CK22">
    <cfRule type="expression" dxfId="54" priority="35">
      <formula>AND(ISODD(ROW()),LEN(TRIM(AQ18))=0)</formula>
    </cfRule>
    <cfRule type="expression" dxfId="53" priority="36">
      <formula>AND(ISEVEN(ROW()),LEN(TRIM(AQ18))=0)</formula>
    </cfRule>
  </conditionalFormatting>
  <conditionalFormatting sqref="AR23:BH23">
    <cfRule type="containsText" dxfId="52" priority="28" operator="containsText" text="OK">
      <formula>NOT(ISERROR(SEARCH("OK",AR23)))</formula>
    </cfRule>
    <cfRule type="containsText" dxfId="51" priority="29" operator="containsText" text="OP">
      <formula>NOT(ISERROR(SEARCH("OP",AR23)))</formula>
    </cfRule>
    <cfRule type="containsText" dxfId="50" priority="30" operator="containsText" text="NO">
      <formula>NOT(ISERROR(SEARCH("NO",AR23)))</formula>
    </cfRule>
  </conditionalFormatting>
  <conditionalFormatting sqref="AR24:BH24">
    <cfRule type="containsText" dxfId="49" priority="1" operator="containsText" text="OK">
      <formula>NOT(ISERROR(SEARCH("OK",AR24)))</formula>
    </cfRule>
    <cfRule type="containsText" dxfId="48" priority="2" operator="containsText" text="OP">
      <formula>NOT(ISERROR(SEARCH("OP",AR24)))</formula>
    </cfRule>
    <cfRule type="containsText" dxfId="47" priority="3" operator="containsText" text="NO">
      <formula>NOT(ISERROR(SEARCH("NO",AR24)))</formula>
    </cfRule>
  </conditionalFormatting>
  <conditionalFormatting sqref="AR23:CL23">
    <cfRule type="expression" dxfId="46" priority="17">
      <formula>AND(ISODD(ROW()),LEN(TRIM(AR23))=0)</formula>
    </cfRule>
    <cfRule type="expression" dxfId="45" priority="18">
      <formula>AND(ISEVEN(ROW()),LEN(TRIM(AR23))=0)</formula>
    </cfRule>
  </conditionalFormatting>
  <conditionalFormatting sqref="AX2:AY2">
    <cfRule type="containsText" dxfId="44" priority="198" operator="containsText" text="NO">
      <formula>NOT(ISERROR(SEARCH("NO",AX2)))</formula>
    </cfRule>
    <cfRule type="containsText" dxfId="43" priority="199" operator="containsText" text="SI">
      <formula>NOT(ISERROR(SEARCH("SI",AX2)))</formula>
    </cfRule>
  </conditionalFormatting>
  <conditionalFormatting sqref="AY2:AY14">
    <cfRule type="containsText" dxfId="42" priority="194" operator="containsText" text="Riesgo bajo">
      <formula>NOT(ISERROR(SEARCH("Riesgo bajo",AY2)))</formula>
    </cfRule>
    <cfRule type="containsText" dxfId="41" priority="195" operator="containsText" text="Cliente blindado">
      <formula>NOT(ISERROR(SEARCH("Cliente blindado",AY2)))</formula>
    </cfRule>
    <cfRule type="containsText" dxfId="40" priority="196" operator="containsText" text="Riesgo medio">
      <formula>NOT(ISERROR(SEARCH("Riesgo medio",AY2)))</formula>
    </cfRule>
    <cfRule type="containsText" dxfId="39" priority="197" operator="containsText" text="Demasiado riesgo">
      <formula>NOT(ISERROR(SEARCH("Demasiado riesgo",AY2)))</formula>
    </cfRule>
  </conditionalFormatting>
  <conditionalFormatting sqref="BA15">
    <cfRule type="containsText" dxfId="38" priority="186" operator="containsText" text="Riesgo bajo">
      <formula>NOT(ISERROR(SEARCH("Riesgo bajo",BA15)))</formula>
    </cfRule>
    <cfRule type="containsText" dxfId="37" priority="187" operator="containsText" text="Cliente blindado">
      <formula>NOT(ISERROR(SEARCH("Cliente blindado",BA15)))</formula>
    </cfRule>
    <cfRule type="containsText" dxfId="36" priority="188" operator="containsText" text="Riesgo medio">
      <formula>NOT(ISERROR(SEARCH("Riesgo medio",BA15)))</formula>
    </cfRule>
    <cfRule type="containsText" dxfId="35" priority="189" operator="containsText" text="Demasiado riesgo">
      <formula>NOT(ISERROR(SEARCH("Demasiado riesgo",BA15)))</formula>
    </cfRule>
  </conditionalFormatting>
  <conditionalFormatting sqref="BB16">
    <cfRule type="containsText" dxfId="34" priority="161" operator="containsText" text="Riesgo bajo">
      <formula>NOT(ISERROR(SEARCH("Riesgo bajo",BB16)))</formula>
    </cfRule>
    <cfRule type="containsText" dxfId="33" priority="162" operator="containsText" text="Cliente blindado">
      <formula>NOT(ISERROR(SEARCH("Cliente blindado",BB16)))</formula>
    </cfRule>
    <cfRule type="containsText" dxfId="32" priority="163" operator="containsText" text="Riesgo medio">
      <formula>NOT(ISERROR(SEARCH("Riesgo medio",BB16)))</formula>
    </cfRule>
    <cfRule type="containsText" dxfId="31" priority="164" operator="containsText" text="Demasiado riesgo">
      <formula>NOT(ISERROR(SEARCH("Demasiado riesgo",BB16)))</formula>
    </cfRule>
  </conditionalFormatting>
  <conditionalFormatting sqref="BD17">
    <cfRule type="containsText" dxfId="30" priority="141" operator="containsText" text="Riesgo bajo">
      <formula>NOT(ISERROR(SEARCH("Riesgo bajo",BD17)))</formula>
    </cfRule>
    <cfRule type="containsText" dxfId="29" priority="142" operator="containsText" text="Cliente blindado">
      <formula>NOT(ISERROR(SEARCH("Cliente blindado",BD17)))</formula>
    </cfRule>
    <cfRule type="containsText" dxfId="28" priority="143" operator="containsText" text="Riesgo medio">
      <formula>NOT(ISERROR(SEARCH("Riesgo medio",BD17)))</formula>
    </cfRule>
    <cfRule type="containsText" dxfId="27" priority="144" operator="containsText" text="Demasiado riesgo">
      <formula>NOT(ISERROR(SEARCH("Demasiado riesgo",BD17)))</formula>
    </cfRule>
  </conditionalFormatting>
  <conditionalFormatting sqref="BI24:BK24">
    <cfRule type="expression" dxfId="26" priority="9">
      <formula>ISEVEN(ROW())</formula>
    </cfRule>
    <cfRule type="expression" dxfId="25" priority="11">
      <formula>ISODD(ROW())</formula>
    </cfRule>
  </conditionalFormatting>
  <conditionalFormatting sqref="BI24:CL24">
    <cfRule type="expression" dxfId="24" priority="6">
      <formula>AND(ISODD(ROW()),LEN(TRIM(BI24))=0)</formula>
    </cfRule>
    <cfRule type="expression" dxfId="23" priority="7">
      <formula>AND(ISEVEN(ROW()),LEN(TRIM(BI24))=0)</formula>
    </cfRule>
  </conditionalFormatting>
  <conditionalFormatting sqref="BJ18:BJ22">
    <cfRule type="containsText" dxfId="22" priority="41" operator="containsText" text="Riesgo bajo">
      <formula>NOT(ISERROR(SEARCH("Riesgo bajo",BJ18)))</formula>
    </cfRule>
    <cfRule type="containsText" dxfId="21" priority="42" operator="containsText" text="Cliente blindado">
      <formula>NOT(ISERROR(SEARCH("Cliente blindado",BJ18)))</formula>
    </cfRule>
    <cfRule type="containsText" dxfId="20" priority="43" operator="containsText" text="Riesgo medio">
      <formula>NOT(ISERROR(SEARCH("Riesgo medio",BJ18)))</formula>
    </cfRule>
    <cfRule type="containsText" dxfId="19" priority="44" operator="containsText" text="Demasiado riesgo">
      <formula>NOT(ISERROR(SEARCH("Demasiado riesgo",BJ18)))</formula>
    </cfRule>
  </conditionalFormatting>
  <conditionalFormatting sqref="BK23">
    <cfRule type="containsText" dxfId="18" priority="23" operator="containsText" text="Riesgo bajo">
      <formula>NOT(ISERROR(SEARCH("Riesgo bajo",BK23)))</formula>
    </cfRule>
    <cfRule type="containsText" dxfId="17" priority="24" operator="containsText" text="Cliente blindado">
      <formula>NOT(ISERROR(SEARCH("Cliente blindado",BK23)))</formula>
    </cfRule>
    <cfRule type="containsText" dxfId="16" priority="25" operator="containsText" text="Riesgo medio">
      <formula>NOT(ISERROR(SEARCH("Riesgo medio",BK23)))</formula>
    </cfRule>
    <cfRule type="containsText" dxfId="15" priority="26" operator="containsText" text="Demasiado riesgo">
      <formula>NOT(ISERROR(SEARCH("Demasiado riesgo",BK23)))</formula>
    </cfRule>
  </conditionalFormatting>
  <conditionalFormatting sqref="BK24">
    <cfRule type="containsText" dxfId="14" priority="12" operator="containsText" text="Riesgo bajo">
      <formula>NOT(ISERROR(SEARCH("Riesgo bajo",BK24)))</formula>
    </cfRule>
    <cfRule type="containsText" dxfId="13" priority="13" operator="containsText" text="Cliente blindado">
      <formula>NOT(ISERROR(SEARCH("Cliente blindado",BK24)))</formula>
    </cfRule>
    <cfRule type="containsText" dxfId="12" priority="14" operator="containsText" text="Riesgo medio">
      <formula>NOT(ISERROR(SEARCH("Riesgo medio",BK24)))</formula>
    </cfRule>
    <cfRule type="containsText" dxfId="11" priority="15" operator="containsText" text="Demasiado riesgo">
      <formula>NOT(ISERROR(SEARCH("Demasiado riesgo",BK24)))</formula>
    </cfRule>
  </conditionalFormatting>
  <dataValidations count="3">
    <dataValidation type="list" allowBlank="1" showInputMessage="1" showErrorMessage="1" sqref="AZ3:AZ14 BB15 BC16 BE17 BK18:BK22 BL23:BL24" xr:uid="{8DC52599-E93A-42E0-9296-B0EA79AA6553}">
      <formula1>"Pedir referido,Usar como referencia,Ambos"</formula1>
    </dataValidation>
    <dataValidation allowBlank="1" showInputMessage="1" showErrorMessage="1" sqref="AA2:AA14 H15 H16:I17 J17:K17 H18:M18 H20:M23 I24:N24" xr:uid="{CC05CEB8-390A-4969-81CE-F12E33B1E76C}"/>
    <dataValidation type="list" allowBlank="1" showInputMessage="1" showErrorMessage="1" sqref="L3:L14 M15 N16" xr:uid="{A5985F07-9B45-4D12-9B7D-FAE127199C73}">
      <formula1>"Crítico-marcaje,Crítico-incidencias,Crítico-NPS,Riesgo,Saludable"</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2287A6CC-44C6-4579-BCC0-83E77A3CA722}">
          <x14:formula1>
            <xm:f>'Info general'!$G$2:$G$7</xm:f>
          </x14:formula1>
          <xm:sqref>Y3:Z14 AB15:AC15 AC16:AD16 AD17:AE17 AI18:AJ22 AJ23:AK24</xm:sqref>
        </x14:dataValidation>
        <x14:dataValidation type="list" allowBlank="1" showInputMessage="1" showErrorMessage="1" xr:uid="{B602BD20-28F2-45E8-B25D-D0B48543DA1A}">
          <x14:formula1>
            <xm:f>'Info general'!$N$2:$N$7</xm:f>
          </x14:formula1>
          <xm:sqref>AC3:AC14 AE15 AF16 AG17 AL18:AL22 AM23:AM24</xm:sqref>
        </x14:dataValidation>
        <x14:dataValidation type="list" allowBlank="1" showInputMessage="1" showErrorMessage="1" xr:uid="{A7AB06E3-8520-4704-A75D-05C4C7FBE613}">
          <x14:formula1>
            <xm:f>'Info general'!$K$2:$K$6</xm:f>
          </x14:formula1>
          <xm:sqref>AB3:AB14 AD15 AE16 AF17 AK18:AK22 AL23:AL24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86"/>
  <sheetViews>
    <sheetView topLeftCell="A22" workbookViewId="0">
      <selection activeCell="I38" sqref="I38"/>
    </sheetView>
  </sheetViews>
  <sheetFormatPr defaultColWidth="11.42578125" defaultRowHeight="15"/>
  <cols>
    <col min="9" max="9" width="30.85546875" style="22" customWidth="1"/>
  </cols>
  <sheetData>
    <row r="1" spans="1:12" ht="28.5" customHeight="1">
      <c r="I1" s="22" t="s">
        <v>3606</v>
      </c>
      <c r="K1" t="s">
        <v>23</v>
      </c>
      <c r="L1" t="s">
        <v>24</v>
      </c>
    </row>
    <row r="2" spans="1:12" ht="25.5" customHeight="1">
      <c r="A2" s="31" t="s">
        <v>3607</v>
      </c>
      <c r="I2" s="37" t="s">
        <v>1385</v>
      </c>
      <c r="J2" s="31" t="s">
        <v>562</v>
      </c>
      <c r="K2" s="33">
        <v>173.8526</v>
      </c>
      <c r="L2" s="33">
        <v>168.44040000000001</v>
      </c>
    </row>
    <row r="3" spans="1:12">
      <c r="A3" s="31" t="s">
        <v>3608</v>
      </c>
      <c r="B3" s="32"/>
      <c r="I3" s="37" t="s">
        <v>119</v>
      </c>
      <c r="J3" s="31" t="s">
        <v>76</v>
      </c>
      <c r="K3" s="33">
        <v>2862.7723999999998</v>
      </c>
      <c r="L3" s="33">
        <v>2889.4423999999999</v>
      </c>
    </row>
    <row r="4" spans="1:12" ht="25.5" customHeight="1">
      <c r="A4" s="617" t="s">
        <v>754</v>
      </c>
      <c r="I4" s="38" t="s">
        <v>176</v>
      </c>
      <c r="J4" s="31" t="s">
        <v>76</v>
      </c>
      <c r="K4" s="35">
        <v>2338</v>
      </c>
      <c r="L4" s="35">
        <v>2338</v>
      </c>
    </row>
    <row r="5" spans="1:12">
      <c r="A5" s="31" t="s">
        <v>3609</v>
      </c>
      <c r="I5" s="37" t="s">
        <v>2527</v>
      </c>
      <c r="J5" s="31" t="s">
        <v>76</v>
      </c>
      <c r="K5" s="33"/>
      <c r="L5" s="33">
        <v>1585.5482999999999</v>
      </c>
    </row>
    <row r="6" spans="1:12">
      <c r="A6" s="34" t="s">
        <v>3610</v>
      </c>
      <c r="I6" s="38" t="s">
        <v>612</v>
      </c>
      <c r="J6" s="31" t="s">
        <v>76</v>
      </c>
      <c r="K6" s="35"/>
      <c r="L6" s="35">
        <v>1573.9508000000001</v>
      </c>
    </row>
    <row r="7" spans="1:12">
      <c r="A7" s="31" t="s">
        <v>3611</v>
      </c>
      <c r="I7" s="37" t="s">
        <v>3443</v>
      </c>
      <c r="J7" s="31" t="s">
        <v>76</v>
      </c>
      <c r="K7" s="33">
        <v>1388.5025000000001</v>
      </c>
      <c r="L7" s="33">
        <v>1179.6347000000001</v>
      </c>
    </row>
    <row r="8" spans="1:12" ht="25.5" customHeight="1">
      <c r="A8" s="34" t="s">
        <v>3612</v>
      </c>
      <c r="I8" s="37" t="s">
        <v>3613</v>
      </c>
      <c r="J8" s="31" t="s">
        <v>76</v>
      </c>
      <c r="K8" s="33">
        <v>1220.4450999999999</v>
      </c>
      <c r="L8" s="33">
        <v>1113.3631</v>
      </c>
    </row>
    <row r="9" spans="1:12">
      <c r="A9" s="31" t="s">
        <v>3614</v>
      </c>
      <c r="I9" s="38" t="s">
        <v>3375</v>
      </c>
      <c r="J9" s="31" t="s">
        <v>76</v>
      </c>
      <c r="K9" s="35"/>
      <c r="L9" s="35">
        <v>900.74170000000004</v>
      </c>
    </row>
    <row r="10" spans="1:12">
      <c r="A10" s="40" t="s">
        <v>3615</v>
      </c>
      <c r="I10" s="38" t="s">
        <v>477</v>
      </c>
      <c r="J10" s="31" t="s">
        <v>76</v>
      </c>
      <c r="K10" s="35"/>
      <c r="L10" s="35">
        <v>834.63580000000002</v>
      </c>
    </row>
    <row r="11" spans="1:12" ht="38.25" customHeight="1">
      <c r="A11" s="41" t="s">
        <v>3616</v>
      </c>
      <c r="I11" s="37" t="s">
        <v>351</v>
      </c>
      <c r="J11" s="31" t="s">
        <v>76</v>
      </c>
      <c r="K11" s="33"/>
      <c r="L11" s="33">
        <v>770.07619999999997</v>
      </c>
    </row>
    <row r="12" spans="1:12" ht="25.5" customHeight="1">
      <c r="A12" t="s">
        <v>3617</v>
      </c>
      <c r="I12" s="38" t="s">
        <v>3618</v>
      </c>
      <c r="J12" s="31" t="s">
        <v>76</v>
      </c>
      <c r="K12" s="35">
        <v>782.33659999999998</v>
      </c>
      <c r="L12" s="35">
        <v>745.5557</v>
      </c>
    </row>
    <row r="13" spans="1:12" ht="25.5" customHeight="1">
      <c r="A13" s="57" t="s">
        <v>3619</v>
      </c>
      <c r="I13" s="38" t="s">
        <v>737</v>
      </c>
      <c r="J13" s="31" t="s">
        <v>76</v>
      </c>
      <c r="K13" s="35">
        <v>707.00049999999999</v>
      </c>
      <c r="L13" s="35">
        <v>680.66470000000004</v>
      </c>
    </row>
    <row r="14" spans="1:12" ht="25.5" customHeight="1">
      <c r="A14" s="58" t="s">
        <v>3620</v>
      </c>
      <c r="I14" s="37" t="s">
        <v>3450</v>
      </c>
      <c r="J14" s="31" t="s">
        <v>76</v>
      </c>
      <c r="K14" s="33">
        <v>788.01580000000001</v>
      </c>
      <c r="L14" s="33">
        <v>644.27049999999997</v>
      </c>
    </row>
    <row r="15" spans="1:12">
      <c r="I15" s="38" t="s">
        <v>3621</v>
      </c>
      <c r="J15" s="31" t="s">
        <v>76</v>
      </c>
      <c r="K15" s="35">
        <v>525.14020000000005</v>
      </c>
      <c r="L15" s="35">
        <v>500.45119999999997</v>
      </c>
    </row>
    <row r="16" spans="1:12">
      <c r="I16" s="37" t="s">
        <v>2542</v>
      </c>
      <c r="J16" s="31" t="s">
        <v>562</v>
      </c>
      <c r="K16" s="33">
        <v>368.5675</v>
      </c>
      <c r="L16" s="33">
        <v>347.92599999999999</v>
      </c>
    </row>
    <row r="17" spans="9:12">
      <c r="I17" s="38" t="s">
        <v>2290</v>
      </c>
      <c r="J17" s="31" t="s">
        <v>562</v>
      </c>
      <c r="K17" s="35">
        <v>359.09249999999997</v>
      </c>
      <c r="L17" s="35">
        <v>342.21</v>
      </c>
    </row>
    <row r="18" spans="9:12">
      <c r="I18" s="37" t="s">
        <v>2581</v>
      </c>
      <c r="J18" s="31" t="s">
        <v>562</v>
      </c>
      <c r="K18" s="33"/>
      <c r="L18" s="33">
        <v>323.07409999999999</v>
      </c>
    </row>
    <row r="19" spans="9:12">
      <c r="I19" s="37" t="s">
        <v>1266</v>
      </c>
      <c r="J19" s="31" t="s">
        <v>562</v>
      </c>
      <c r="K19" s="33">
        <v>254.60249999999999</v>
      </c>
      <c r="L19" s="33">
        <v>308.39269999999999</v>
      </c>
    </row>
    <row r="20" spans="9:12">
      <c r="I20" s="37" t="s">
        <v>1135</v>
      </c>
      <c r="J20" s="31" t="s">
        <v>562</v>
      </c>
      <c r="K20" s="33">
        <v>312.93459999999999</v>
      </c>
      <c r="L20" s="33">
        <v>305.67779999999999</v>
      </c>
    </row>
    <row r="21" spans="9:12" ht="25.5" customHeight="1">
      <c r="I21" s="38" t="s">
        <v>2608</v>
      </c>
      <c r="J21" s="31" t="s">
        <v>562</v>
      </c>
      <c r="K21" s="35"/>
      <c r="L21" s="35">
        <v>300.98349999999999</v>
      </c>
    </row>
    <row r="22" spans="9:12">
      <c r="I22" s="38" t="s">
        <v>1172</v>
      </c>
      <c r="J22" s="31" t="s">
        <v>562</v>
      </c>
      <c r="K22" s="35">
        <v>272.36900000000003</v>
      </c>
      <c r="L22" s="35">
        <v>270.60899999999998</v>
      </c>
    </row>
    <row r="23" spans="9:12">
      <c r="I23" s="38" t="s">
        <v>2616</v>
      </c>
      <c r="J23" s="31" t="s">
        <v>562</v>
      </c>
      <c r="K23" s="35">
        <v>141.9796</v>
      </c>
      <c r="L23" s="35">
        <v>267.84780000000001</v>
      </c>
    </row>
    <row r="24" spans="9:12">
      <c r="I24" s="38" t="s">
        <v>1196</v>
      </c>
      <c r="J24" s="31" t="s">
        <v>562</v>
      </c>
      <c r="K24" s="35">
        <v>238.7</v>
      </c>
      <c r="L24" s="35">
        <v>247.26</v>
      </c>
    </row>
    <row r="25" spans="9:12" ht="25.5" customHeight="1">
      <c r="I25" s="38" t="s">
        <v>3622</v>
      </c>
      <c r="J25" s="31" t="s">
        <v>562</v>
      </c>
      <c r="K25" s="35"/>
      <c r="L25" s="35">
        <v>246.0334</v>
      </c>
    </row>
    <row r="26" spans="9:12">
      <c r="I26" s="37" t="s">
        <v>2565</v>
      </c>
      <c r="J26" s="31" t="s">
        <v>562</v>
      </c>
      <c r="K26" s="33"/>
      <c r="L26" s="33">
        <v>237.47329999999999</v>
      </c>
    </row>
    <row r="27" spans="9:12">
      <c r="I27" s="38" t="s">
        <v>1368</v>
      </c>
      <c r="J27" s="31" t="s">
        <v>562</v>
      </c>
      <c r="K27" s="35"/>
      <c r="L27" s="35">
        <v>215.3827</v>
      </c>
    </row>
    <row r="28" spans="9:12">
      <c r="I28" s="38" t="s">
        <v>1339</v>
      </c>
      <c r="J28" s="31" t="s">
        <v>562</v>
      </c>
      <c r="K28" s="35">
        <v>283.95920000000001</v>
      </c>
      <c r="L28" s="35">
        <v>204.33750000000001</v>
      </c>
    </row>
    <row r="29" spans="9:12">
      <c r="I29" s="37" t="s">
        <v>1557</v>
      </c>
      <c r="J29" s="31" t="s">
        <v>562</v>
      </c>
      <c r="K29" s="33"/>
      <c r="L29" s="33">
        <v>199.47749999999999</v>
      </c>
    </row>
    <row r="30" spans="9:12">
      <c r="I30" s="38" t="s">
        <v>3623</v>
      </c>
      <c r="J30" s="31" t="s">
        <v>562</v>
      </c>
      <c r="K30" s="35">
        <v>195.87389999999999</v>
      </c>
      <c r="L30" s="35">
        <v>193.84440000000001</v>
      </c>
    </row>
    <row r="31" spans="9:12" ht="25.5" customHeight="1">
      <c r="I31" s="37" t="s">
        <v>3624</v>
      </c>
      <c r="J31" s="31" t="s">
        <v>562</v>
      </c>
      <c r="K31" s="33">
        <v>182.96420000000001</v>
      </c>
      <c r="L31" s="33">
        <v>182.37889999999999</v>
      </c>
    </row>
    <row r="32" spans="9:12">
      <c r="I32" s="37" t="s">
        <v>1498</v>
      </c>
      <c r="J32" s="31" t="s">
        <v>562</v>
      </c>
      <c r="K32" s="33"/>
      <c r="L32" s="33">
        <v>176.816</v>
      </c>
    </row>
    <row r="33" spans="9:12">
      <c r="I33" s="37" t="s">
        <v>2546</v>
      </c>
      <c r="J33" s="31" t="s">
        <v>562</v>
      </c>
      <c r="K33" s="33"/>
      <c r="L33" s="33">
        <v>171.20169999999999</v>
      </c>
    </row>
    <row r="34" spans="9:12">
      <c r="I34" s="37" t="s">
        <v>2070</v>
      </c>
      <c r="J34" s="31" t="s">
        <v>562</v>
      </c>
      <c r="K34" s="33">
        <v>175.8229</v>
      </c>
      <c r="L34" s="33">
        <v>169.821</v>
      </c>
    </row>
    <row r="35" spans="9:12" ht="25.5" customHeight="1">
      <c r="I35" s="38" t="s">
        <v>3625</v>
      </c>
      <c r="J35" s="31" t="s">
        <v>562</v>
      </c>
      <c r="K35" s="35">
        <v>81.131200000000007</v>
      </c>
      <c r="L35" s="35">
        <v>149.11109999999999</v>
      </c>
    </row>
    <row r="36" spans="9:12" ht="25.5" customHeight="1">
      <c r="I36" s="38" t="s">
        <v>2588</v>
      </c>
      <c r="J36" s="31" t="s">
        <v>562</v>
      </c>
      <c r="K36" s="35"/>
      <c r="L36" s="35">
        <v>146.90209999999999</v>
      </c>
    </row>
    <row r="37" spans="9:12">
      <c r="I37" s="38" t="s">
        <v>2595</v>
      </c>
      <c r="J37" s="31" t="s">
        <v>562</v>
      </c>
      <c r="K37" s="35">
        <v>142.9966</v>
      </c>
      <c r="L37" s="35">
        <v>144.28989999999999</v>
      </c>
    </row>
    <row r="38" spans="9:12">
      <c r="I38" s="37" t="s">
        <v>1359</v>
      </c>
      <c r="J38" s="31" t="s">
        <v>562</v>
      </c>
      <c r="K38" s="33">
        <v>130.3895</v>
      </c>
      <c r="L38" s="33">
        <v>143.58850000000001</v>
      </c>
    </row>
    <row r="39" spans="9:12">
      <c r="I39" s="38" t="s">
        <v>1632</v>
      </c>
      <c r="J39" s="31" t="s">
        <v>562</v>
      </c>
      <c r="K39" s="35">
        <v>148.00360000000001</v>
      </c>
      <c r="L39" s="35">
        <v>141.0453</v>
      </c>
    </row>
    <row r="40" spans="9:12">
      <c r="I40" s="37" t="s">
        <v>2533</v>
      </c>
      <c r="J40" s="31" t="s">
        <v>562</v>
      </c>
      <c r="K40" s="33">
        <v>144.87710000000001</v>
      </c>
      <c r="L40" s="33">
        <v>138.0659</v>
      </c>
    </row>
    <row r="41" spans="9:12">
      <c r="I41" s="37" t="s">
        <v>1740</v>
      </c>
      <c r="J41" s="31" t="s">
        <v>562</v>
      </c>
      <c r="K41" s="33">
        <v>137.0538</v>
      </c>
      <c r="L41" s="33">
        <v>130.6103</v>
      </c>
    </row>
    <row r="42" spans="9:12">
      <c r="I42" s="38" t="s">
        <v>1660</v>
      </c>
      <c r="J42" s="31" t="s">
        <v>562</v>
      </c>
      <c r="K42" s="35">
        <v>132.70740000000001</v>
      </c>
      <c r="L42" s="35">
        <v>129.78190000000001</v>
      </c>
    </row>
    <row r="43" spans="9:12" ht="25.5" customHeight="1">
      <c r="I43" s="37" t="s">
        <v>1820</v>
      </c>
      <c r="J43" s="31" t="s">
        <v>562</v>
      </c>
      <c r="K43" s="33">
        <v>134.02119999999999</v>
      </c>
      <c r="L43" s="33">
        <v>119.67489999999999</v>
      </c>
    </row>
    <row r="44" spans="9:12">
      <c r="I44" s="37" t="s">
        <v>1771</v>
      </c>
      <c r="J44" s="31" t="s">
        <v>562</v>
      </c>
      <c r="K44" s="33">
        <v>110.1066</v>
      </c>
      <c r="L44" s="33">
        <v>107.6914</v>
      </c>
    </row>
    <row r="45" spans="9:12">
      <c r="I45" s="38" t="s">
        <v>2536</v>
      </c>
      <c r="J45" s="31" t="s">
        <v>562</v>
      </c>
      <c r="K45" s="35">
        <v>111.26560000000001</v>
      </c>
      <c r="L45" s="35">
        <v>102.5001</v>
      </c>
    </row>
    <row r="46" spans="9:12">
      <c r="I46" s="39" t="s">
        <v>1809</v>
      </c>
      <c r="J46" s="31" t="s">
        <v>562</v>
      </c>
      <c r="K46" s="36">
        <v>108.65779999999999</v>
      </c>
      <c r="L46" s="36">
        <v>99.407399999999996</v>
      </c>
    </row>
    <row r="47" spans="9:12">
      <c r="I47" s="37" t="s">
        <v>2662</v>
      </c>
      <c r="J47" s="31" t="s">
        <v>562</v>
      </c>
      <c r="K47" s="33"/>
      <c r="L47" s="33">
        <v>83.944000000000003</v>
      </c>
    </row>
    <row r="48" spans="9:12" ht="38.25" customHeight="1">
      <c r="I48" s="37" t="s">
        <v>2716</v>
      </c>
      <c r="J48" s="31" t="s">
        <v>562</v>
      </c>
      <c r="K48" s="33">
        <v>79.102900000000005</v>
      </c>
      <c r="L48" s="33">
        <v>75.384</v>
      </c>
    </row>
    <row r="49" spans="9:12" ht="25.5" customHeight="1">
      <c r="I49" s="37" t="s">
        <v>2730</v>
      </c>
      <c r="J49" s="31" t="s">
        <v>562</v>
      </c>
      <c r="K49" s="33">
        <v>77.074600000000004</v>
      </c>
      <c r="L49" s="33">
        <v>75.384</v>
      </c>
    </row>
    <row r="50" spans="9:12">
      <c r="I50" s="38" t="s">
        <v>2111</v>
      </c>
      <c r="J50" s="31" t="s">
        <v>562</v>
      </c>
      <c r="K50" s="35">
        <v>83.449200000000005</v>
      </c>
      <c r="L50" s="35">
        <v>75.107799999999997</v>
      </c>
    </row>
    <row r="51" spans="9:12">
      <c r="I51" s="37" t="s">
        <v>1957</v>
      </c>
      <c r="J51" s="31" t="s">
        <v>562</v>
      </c>
      <c r="K51" s="33">
        <v>73.887299999999996</v>
      </c>
      <c r="L51" s="33">
        <v>74.555599999999998</v>
      </c>
    </row>
    <row r="52" spans="9:12">
      <c r="I52" s="37" t="s">
        <v>1951</v>
      </c>
      <c r="J52" s="31" t="s">
        <v>562</v>
      </c>
      <c r="K52" s="33"/>
      <c r="L52" s="33">
        <v>71.794200000000004</v>
      </c>
    </row>
    <row r="53" spans="9:12">
      <c r="I53" s="37" t="s">
        <v>1745</v>
      </c>
      <c r="J53" s="31" t="s">
        <v>562</v>
      </c>
      <c r="K53" s="33"/>
      <c r="L53" s="33">
        <v>70.413600000000002</v>
      </c>
    </row>
    <row r="54" spans="9:12">
      <c r="I54" s="38" t="s">
        <v>1082</v>
      </c>
      <c r="J54" s="31" t="s">
        <v>562</v>
      </c>
      <c r="K54" s="35"/>
      <c r="L54" s="35">
        <v>69.8613</v>
      </c>
    </row>
    <row r="55" spans="9:12">
      <c r="I55" s="37" t="s">
        <v>2000</v>
      </c>
      <c r="J55" s="31" t="s">
        <v>562</v>
      </c>
      <c r="K55" s="33">
        <v>79.682400000000001</v>
      </c>
      <c r="L55" s="33">
        <v>69.8613</v>
      </c>
    </row>
    <row r="56" spans="9:12">
      <c r="I56" s="37" t="s">
        <v>1994</v>
      </c>
      <c r="J56" s="31" t="s">
        <v>562</v>
      </c>
      <c r="K56" s="33">
        <v>68.743600000000001</v>
      </c>
      <c r="L56" s="33">
        <v>67.000600000000006</v>
      </c>
    </row>
    <row r="57" spans="9:12" ht="25.5" customHeight="1">
      <c r="I57" s="37" t="s">
        <v>2045</v>
      </c>
      <c r="J57" s="31" t="s">
        <v>562</v>
      </c>
      <c r="K57" s="33">
        <v>66.933199999999999</v>
      </c>
      <c r="L57" s="33">
        <v>66.823899999999995</v>
      </c>
    </row>
    <row r="58" spans="9:12" ht="25.5" customHeight="1">
      <c r="I58" s="38" t="s">
        <v>2024</v>
      </c>
      <c r="J58" s="31" t="s">
        <v>562</v>
      </c>
      <c r="K58" s="35">
        <v>69.540999999999997</v>
      </c>
      <c r="L58" s="35">
        <v>66.271600000000007</v>
      </c>
    </row>
    <row r="59" spans="9:12" ht="25.5" customHeight="1">
      <c r="I59" s="38" t="s">
        <v>2084</v>
      </c>
      <c r="J59" s="31" t="s">
        <v>562</v>
      </c>
      <c r="K59" s="35">
        <v>65.484499999999997</v>
      </c>
      <c r="L59" s="35">
        <v>62.405700000000003</v>
      </c>
    </row>
    <row r="60" spans="9:12" ht="25.5" customHeight="1">
      <c r="I60" s="37" t="s">
        <v>2101</v>
      </c>
      <c r="J60" s="31" t="s">
        <v>562</v>
      </c>
      <c r="K60" s="33">
        <v>60.848399999999998</v>
      </c>
      <c r="L60" s="33">
        <v>57.987699999999997</v>
      </c>
    </row>
    <row r="61" spans="9:12">
      <c r="I61" s="38" t="s">
        <v>884</v>
      </c>
      <c r="J61" s="31" t="s">
        <v>562</v>
      </c>
      <c r="K61" s="35"/>
      <c r="L61" s="35">
        <v>57.987699999999997</v>
      </c>
    </row>
    <row r="62" spans="9:12" ht="25.5" customHeight="1">
      <c r="I62" s="38" t="s">
        <v>2651</v>
      </c>
      <c r="J62" s="31" t="s">
        <v>562</v>
      </c>
      <c r="K62" s="35">
        <v>58.672899999999998</v>
      </c>
      <c r="L62" s="35">
        <v>55.914499999999997</v>
      </c>
    </row>
    <row r="63" spans="9:12" ht="25.5" customHeight="1">
      <c r="I63" s="38" t="s">
        <v>2137</v>
      </c>
      <c r="J63" s="31" t="s">
        <v>562</v>
      </c>
      <c r="K63" s="35">
        <v>57.950899999999997</v>
      </c>
      <c r="L63" s="35">
        <v>55.226300000000002</v>
      </c>
    </row>
    <row r="64" spans="9:12">
      <c r="I64" s="37" t="s">
        <v>2064</v>
      </c>
      <c r="J64" s="31" t="s">
        <v>562</v>
      </c>
      <c r="K64" s="33">
        <v>57.950899999999997</v>
      </c>
      <c r="L64" s="33">
        <v>55.226300000000002</v>
      </c>
    </row>
    <row r="65" spans="9:12">
      <c r="I65" s="38" t="s">
        <v>2633</v>
      </c>
      <c r="J65" s="31" t="s">
        <v>562</v>
      </c>
      <c r="K65" s="35">
        <v>56.502099999999999</v>
      </c>
      <c r="L65" s="35">
        <v>53.845700000000001</v>
      </c>
    </row>
    <row r="66" spans="9:12" ht="25.5" customHeight="1">
      <c r="I66" s="37" t="s">
        <v>2249</v>
      </c>
      <c r="J66" s="31" t="s">
        <v>562</v>
      </c>
      <c r="K66" s="33">
        <v>54.241999999999997</v>
      </c>
      <c r="L66" s="33">
        <v>51.691899999999997</v>
      </c>
    </row>
    <row r="67" spans="9:12">
      <c r="I67" s="37" t="s">
        <v>2379</v>
      </c>
      <c r="J67" s="31" t="s">
        <v>562</v>
      </c>
      <c r="K67" s="33"/>
      <c r="L67" s="33">
        <v>50.256</v>
      </c>
    </row>
    <row r="68" spans="9:12" ht="25.5" customHeight="1">
      <c r="I68" s="37" t="s">
        <v>2185</v>
      </c>
      <c r="J68" s="31" t="s">
        <v>562</v>
      </c>
      <c r="K68" s="33">
        <v>57.255499999999998</v>
      </c>
      <c r="L68" s="33">
        <v>46.169199999999996</v>
      </c>
    </row>
    <row r="69" spans="9:12" ht="25.5" customHeight="1">
      <c r="I69" s="37" t="s">
        <v>2330</v>
      </c>
      <c r="J69" s="31" t="s">
        <v>562</v>
      </c>
      <c r="K69" s="33">
        <v>85.477500000000006</v>
      </c>
      <c r="L69" s="33">
        <v>44.181100000000001</v>
      </c>
    </row>
    <row r="70" spans="9:12">
      <c r="I70" s="38" t="s">
        <v>2297</v>
      </c>
      <c r="J70" s="31" t="s">
        <v>562</v>
      </c>
      <c r="K70" s="35">
        <v>46.360700000000001</v>
      </c>
      <c r="L70" s="35">
        <v>44.181100000000001</v>
      </c>
    </row>
    <row r="71" spans="9:12">
      <c r="I71" s="37" t="s">
        <v>2492</v>
      </c>
      <c r="J71" s="31" t="s">
        <v>562</v>
      </c>
      <c r="K71" s="33">
        <v>42.830300000000001</v>
      </c>
      <c r="L71" s="33">
        <v>40.816699999999997</v>
      </c>
    </row>
    <row r="72" spans="9:12">
      <c r="I72" s="38" t="s">
        <v>2147</v>
      </c>
      <c r="J72" s="31" t="s">
        <v>562</v>
      </c>
      <c r="K72" s="35">
        <v>44.673699999999997</v>
      </c>
      <c r="L72" s="35">
        <v>39.891599999999997</v>
      </c>
    </row>
    <row r="73" spans="9:12" ht="25.5" customHeight="1">
      <c r="I73" s="37" t="s">
        <v>2343</v>
      </c>
      <c r="J73" s="31" t="s">
        <v>562</v>
      </c>
      <c r="K73" s="33"/>
      <c r="L73" s="33">
        <v>34.7926</v>
      </c>
    </row>
    <row r="74" spans="9:12">
      <c r="I74" s="38" t="s">
        <v>2685</v>
      </c>
      <c r="J74" s="31" t="s">
        <v>562</v>
      </c>
      <c r="K74" s="35">
        <v>4.0566000000000004</v>
      </c>
      <c r="L74" s="35">
        <v>30.9268</v>
      </c>
    </row>
    <row r="75" spans="9:12">
      <c r="I75" s="37" t="s">
        <v>2369</v>
      </c>
      <c r="J75" s="31" t="s">
        <v>562</v>
      </c>
      <c r="K75" s="33">
        <v>26.367599999999999</v>
      </c>
      <c r="L75" s="33">
        <v>28.717700000000001</v>
      </c>
    </row>
    <row r="76" spans="9:12">
      <c r="I76" s="38" t="s">
        <v>561</v>
      </c>
      <c r="J76" s="31" t="s">
        <v>562</v>
      </c>
      <c r="K76" s="35"/>
      <c r="L76" s="35">
        <v>24.299600000000002</v>
      </c>
    </row>
    <row r="77" spans="9:12" ht="25.5" customHeight="1">
      <c r="I77" s="38" t="s">
        <v>2415</v>
      </c>
      <c r="J77" s="31" t="s">
        <v>562</v>
      </c>
      <c r="K77" s="35">
        <v>21.094100000000001</v>
      </c>
      <c r="L77" s="35">
        <v>20.102399999999999</v>
      </c>
    </row>
    <row r="78" spans="9:12">
      <c r="I78" s="38" t="s">
        <v>2324</v>
      </c>
      <c r="J78" s="31" t="s">
        <v>562</v>
      </c>
      <c r="K78" s="35">
        <v>17.385300000000001</v>
      </c>
      <c r="L78" s="35">
        <v>16.567900000000002</v>
      </c>
    </row>
    <row r="79" spans="9:12">
      <c r="I79" s="38" t="s">
        <v>2422</v>
      </c>
      <c r="J79" s="31" t="s">
        <v>562</v>
      </c>
      <c r="K79" s="35">
        <v>17.385300000000001</v>
      </c>
      <c r="L79" s="35">
        <v>16.567900000000002</v>
      </c>
    </row>
    <row r="80" spans="9:12">
      <c r="I80" s="38" t="s">
        <v>2447</v>
      </c>
      <c r="J80" s="31" t="s">
        <v>562</v>
      </c>
      <c r="K80" s="35">
        <v>10.9527</v>
      </c>
      <c r="L80" s="35">
        <v>10.437799999999999</v>
      </c>
    </row>
    <row r="81" spans="9:12" ht="25.5" customHeight="1">
      <c r="I81" s="38" t="s">
        <v>2451</v>
      </c>
      <c r="J81" s="31" t="s">
        <v>562</v>
      </c>
      <c r="K81" s="35">
        <v>9.3879999999999999</v>
      </c>
      <c r="L81" s="35">
        <v>8.9466999999999999</v>
      </c>
    </row>
    <row r="82" spans="9:12" ht="25.5" customHeight="1">
      <c r="I82" s="37" t="s">
        <v>2467</v>
      </c>
      <c r="J82" s="31" t="s">
        <v>562</v>
      </c>
      <c r="K82" s="33"/>
      <c r="L82" s="33">
        <v>7.4555999999999996</v>
      </c>
    </row>
    <row r="83" spans="9:12">
      <c r="I83" s="37" t="s">
        <v>2456</v>
      </c>
      <c r="J83" s="31" t="s">
        <v>562</v>
      </c>
      <c r="K83" s="33">
        <v>7.8234000000000004</v>
      </c>
      <c r="L83" s="33">
        <v>7.4555999999999996</v>
      </c>
    </row>
    <row r="84" spans="9:12" ht="25.5" customHeight="1">
      <c r="I84" s="38" t="s">
        <v>2459</v>
      </c>
      <c r="J84" s="31" t="s">
        <v>562</v>
      </c>
      <c r="K84" s="35">
        <v>6.2587000000000002</v>
      </c>
      <c r="L84" s="35">
        <v>5.9644000000000004</v>
      </c>
    </row>
    <row r="85" spans="9:12" ht="25.5" customHeight="1">
      <c r="I85" s="38" t="s">
        <v>2462</v>
      </c>
      <c r="J85" s="31" t="s">
        <v>562</v>
      </c>
      <c r="K85" s="35">
        <v>6.2587000000000002</v>
      </c>
      <c r="L85" s="35">
        <v>5.9644000000000004</v>
      </c>
    </row>
    <row r="86" spans="9:12" ht="25.5" customHeight="1">
      <c r="I86" s="38" t="s">
        <v>2470</v>
      </c>
      <c r="J86" s="31" t="s">
        <v>562</v>
      </c>
      <c r="K86" s="35">
        <v>4.694</v>
      </c>
      <c r="L86" s="35">
        <v>4.4733000000000001</v>
      </c>
    </row>
  </sheetData>
  <hyperlinks>
    <hyperlink ref="A13" r:id="rId1" display="C. &amp; G. OFTALMOLOGOS (San Angel Oftalmologica)" xr:uid="{E967B526-85FD-47B3-8516-7FD8BD6BE5D4}"/>
    <hyperlink ref="A14" r:id="rId2" display="TECNO ESPECIALIZADOS KIURT(Partner)" xr:uid="{90DD01C5-FC6E-4DA0-9672-BAE629B703D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92"/>
  <sheetViews>
    <sheetView workbookViewId="0">
      <selection activeCell="K16" sqref="K16"/>
    </sheetView>
  </sheetViews>
  <sheetFormatPr defaultColWidth="11.42578125" defaultRowHeight="15"/>
  <cols>
    <col min="1" max="1" width="3.5703125" customWidth="1"/>
    <col min="2" max="2" width="25.85546875" bestFit="1" customWidth="1"/>
    <col min="3" max="3" width="50.28515625" customWidth="1"/>
    <col min="4" max="4" width="35.85546875" bestFit="1" customWidth="1"/>
    <col min="5" max="5" width="38.42578125" bestFit="1" customWidth="1"/>
    <col min="6" max="6" width="39.5703125" customWidth="1"/>
  </cols>
  <sheetData>
    <row r="2" spans="2:11" ht="14.85" customHeight="1" thickBot="1">
      <c r="B2" s="890" t="s">
        <v>3626</v>
      </c>
      <c r="C2" s="894"/>
      <c r="D2" s="891" t="s">
        <v>3627</v>
      </c>
      <c r="E2" s="895"/>
      <c r="F2" s="13" t="s">
        <v>3628</v>
      </c>
      <c r="K2" t="s">
        <v>3629</v>
      </c>
    </row>
    <row r="3" spans="2:11">
      <c r="B3" s="4" t="s">
        <v>3630</v>
      </c>
      <c r="C3" s="618" t="s">
        <v>3631</v>
      </c>
      <c r="D3" s="9" t="s">
        <v>3632</v>
      </c>
      <c r="E3" s="27" t="s">
        <v>3633</v>
      </c>
      <c r="F3" s="619" t="s">
        <v>3634</v>
      </c>
      <c r="K3" s="137" t="s">
        <v>3344</v>
      </c>
    </row>
    <row r="4" spans="2:11">
      <c r="B4" s="4" t="s">
        <v>3635</v>
      </c>
      <c r="C4" s="618" t="s">
        <v>3636</v>
      </c>
      <c r="D4" s="4" t="s">
        <v>3637</v>
      </c>
      <c r="E4" s="29" t="s">
        <v>3638</v>
      </c>
      <c r="F4" s="619" t="s">
        <v>3639</v>
      </c>
      <c r="K4" s="137" t="s">
        <v>3255</v>
      </c>
    </row>
    <row r="5" spans="2:11">
      <c r="B5" s="4" t="s">
        <v>3640</v>
      </c>
      <c r="C5" s="618" t="s">
        <v>3641</v>
      </c>
      <c r="D5" s="4" t="s">
        <v>3642</v>
      </c>
      <c r="E5" s="5" t="s">
        <v>3643</v>
      </c>
      <c r="F5" s="619" t="s">
        <v>3644</v>
      </c>
      <c r="K5" s="137" t="s">
        <v>3258</v>
      </c>
    </row>
    <row r="6" spans="2:11">
      <c r="B6" s="4" t="s">
        <v>3645</v>
      </c>
      <c r="C6" s="618" t="s">
        <v>3646</v>
      </c>
      <c r="D6" s="4" t="s">
        <v>3647</v>
      </c>
      <c r="E6" s="30" t="s">
        <v>3648</v>
      </c>
      <c r="F6" s="619" t="s">
        <v>3649</v>
      </c>
      <c r="K6" s="137" t="s">
        <v>3261</v>
      </c>
    </row>
    <row r="7" spans="2:11" ht="14.85" customHeight="1" thickBot="1">
      <c r="B7" s="6" t="s">
        <v>3650</v>
      </c>
      <c r="C7" s="8" t="s">
        <v>3651</v>
      </c>
      <c r="D7" s="6" t="s">
        <v>3652</v>
      </c>
      <c r="E7" s="28" t="s">
        <v>3653</v>
      </c>
      <c r="F7" s="7" t="s">
        <v>3654</v>
      </c>
      <c r="G7" t="s">
        <v>3655</v>
      </c>
      <c r="K7" s="137" t="s">
        <v>3264</v>
      </c>
    </row>
    <row r="8" spans="2:11">
      <c r="K8" s="137" t="s">
        <v>3269</v>
      </c>
    </row>
    <row r="9" spans="2:11" ht="14.85" customHeight="1" thickBot="1">
      <c r="K9" s="137" t="s">
        <v>3272</v>
      </c>
    </row>
    <row r="10" spans="2:11" ht="14.85" customHeight="1" thickBot="1">
      <c r="B10" s="12" t="s">
        <v>3656</v>
      </c>
      <c r="C10" s="23" t="s">
        <v>3640</v>
      </c>
      <c r="K10" s="137" t="s">
        <v>3276</v>
      </c>
    </row>
    <row r="11" spans="2:11">
      <c r="B11" s="10" t="s">
        <v>3657</v>
      </c>
      <c r="C11" s="24" t="s">
        <v>236</v>
      </c>
      <c r="E11" t="s">
        <v>3658</v>
      </c>
      <c r="K11" s="137" t="s">
        <v>3302</v>
      </c>
    </row>
    <row r="12" spans="2:11">
      <c r="B12" s="10" t="s">
        <v>3659</v>
      </c>
      <c r="C12" s="24" t="s">
        <v>104</v>
      </c>
      <c r="E12" t="s">
        <v>3660</v>
      </c>
      <c r="F12" t="s">
        <v>3661</v>
      </c>
      <c r="G12" t="s">
        <v>3662</v>
      </c>
      <c r="K12" s="137" t="s">
        <v>3309</v>
      </c>
    </row>
    <row r="13" spans="2:11">
      <c r="B13" s="10" t="s">
        <v>3663</v>
      </c>
      <c r="C13" s="24" t="s">
        <v>1080</v>
      </c>
      <c r="E13" t="s">
        <v>3664</v>
      </c>
      <c r="F13" t="s">
        <v>3665</v>
      </c>
      <c r="G13" t="s">
        <v>3666</v>
      </c>
      <c r="K13" s="137" t="s">
        <v>3280</v>
      </c>
    </row>
    <row r="14" spans="2:11">
      <c r="B14" s="10" t="s">
        <v>3667</v>
      </c>
      <c r="C14" s="24" t="s">
        <v>152</v>
      </c>
      <c r="K14" s="137" t="s">
        <v>3319</v>
      </c>
    </row>
    <row r="15" spans="2:11" ht="14.85" customHeight="1" thickBot="1">
      <c r="B15" s="11" t="s">
        <v>3668</v>
      </c>
      <c r="C15" s="25" t="s">
        <v>484</v>
      </c>
      <c r="K15" t="s">
        <v>3346</v>
      </c>
    </row>
    <row r="16" spans="2:11">
      <c r="C16" t="s">
        <v>3669</v>
      </c>
    </row>
    <row r="17" spans="4:11">
      <c r="K17" s="48"/>
    </row>
    <row r="18" spans="4:11">
      <c r="K18" s="48"/>
    </row>
    <row r="19" spans="4:11">
      <c r="K19" s="48"/>
    </row>
    <row r="20" spans="4:11">
      <c r="K20" s="48"/>
    </row>
    <row r="21" spans="4:11">
      <c r="K21" s="48"/>
    </row>
    <row r="22" spans="4:11">
      <c r="K22" s="48"/>
    </row>
    <row r="23" spans="4:11">
      <c r="K23" s="48"/>
    </row>
    <row r="24" spans="4:11">
      <c r="K24" s="48"/>
    </row>
    <row r="25" spans="4:11">
      <c r="K25" s="48"/>
    </row>
    <row r="26" spans="4:11">
      <c r="K26" s="48"/>
    </row>
    <row r="27" spans="4:11">
      <c r="D27" t="s">
        <v>3670</v>
      </c>
      <c r="K27" s="48"/>
    </row>
    <row r="28" spans="4:11">
      <c r="D28" t="s">
        <v>3671</v>
      </c>
      <c r="K28" s="48"/>
    </row>
    <row r="29" spans="4:11">
      <c r="D29" t="s">
        <v>3672</v>
      </c>
      <c r="E29" t="s">
        <v>3673</v>
      </c>
      <c r="K29" s="48"/>
    </row>
    <row r="30" spans="4:11">
      <c r="D30" t="s">
        <v>3674</v>
      </c>
      <c r="K30" s="48"/>
    </row>
    <row r="31" spans="4:11">
      <c r="D31" t="s">
        <v>3675</v>
      </c>
      <c r="K31" s="48"/>
    </row>
    <row r="32" spans="4:11">
      <c r="D32" t="s">
        <v>3676</v>
      </c>
      <c r="E32" t="s">
        <v>3677</v>
      </c>
      <c r="K32" s="48"/>
    </row>
    <row r="33" spans="4:11">
      <c r="D33" t="s">
        <v>3678</v>
      </c>
      <c r="K33" s="48"/>
    </row>
    <row r="34" spans="4:11">
      <c r="K34" s="48"/>
    </row>
    <row r="35" spans="4:11">
      <c r="K35" s="48"/>
    </row>
    <row r="36" spans="4:11">
      <c r="K36" s="48"/>
    </row>
    <row r="37" spans="4:11">
      <c r="K37" s="48"/>
    </row>
    <row r="38" spans="4:11">
      <c r="K38" s="48"/>
    </row>
    <row r="39" spans="4:11">
      <c r="K39" s="48"/>
    </row>
    <row r="40" spans="4:11">
      <c r="K40" s="48"/>
    </row>
    <row r="41" spans="4:11">
      <c r="K41" s="48"/>
    </row>
    <row r="42" spans="4:11">
      <c r="K42" s="48"/>
    </row>
    <row r="43" spans="4:11">
      <c r="K43" s="48"/>
    </row>
    <row r="44" spans="4:11">
      <c r="K44" s="48"/>
    </row>
    <row r="45" spans="4:11">
      <c r="K45" s="48"/>
    </row>
    <row r="46" spans="4:11">
      <c r="K46" s="48"/>
    </row>
    <row r="47" spans="4:11">
      <c r="K47" s="48"/>
    </row>
    <row r="48" spans="4:11">
      <c r="K48" s="48"/>
    </row>
    <row r="49" spans="11:11">
      <c r="K49" s="48"/>
    </row>
    <row r="50" spans="11:11">
      <c r="K50" s="209" t="s">
        <v>3261</v>
      </c>
    </row>
    <row r="51" spans="11:11">
      <c r="K51" s="209" t="s">
        <v>3261</v>
      </c>
    </row>
    <row r="52" spans="11:11">
      <c r="K52" s="209" t="s">
        <v>3261</v>
      </c>
    </row>
    <row r="53" spans="11:11">
      <c r="K53" s="209" t="s">
        <v>3261</v>
      </c>
    </row>
    <row r="54" spans="11:11">
      <c r="K54" s="195"/>
    </row>
    <row r="55" spans="11:11">
      <c r="K55" s="490"/>
    </row>
    <row r="56" spans="11:11">
      <c r="K56" s="488"/>
    </row>
    <row r="57" spans="11:11">
      <c r="K57" s="488"/>
    </row>
    <row r="58" spans="11:11">
      <c r="K58" s="488"/>
    </row>
    <row r="59" spans="11:11">
      <c r="K59" s="477"/>
    </row>
    <row r="60" spans="11:11">
      <c r="K60" s="477"/>
    </row>
    <row r="61" spans="11:11">
      <c r="K61" s="477"/>
    </row>
    <row r="62" spans="11:11">
      <c r="K62" s="477"/>
    </row>
    <row r="63" spans="11:11">
      <c r="K63" s="477"/>
    </row>
    <row r="64" spans="11:11">
      <c r="K64" s="477"/>
    </row>
    <row r="65" spans="11:11">
      <c r="K65" s="215"/>
    </row>
    <row r="66" spans="11:11">
      <c r="K66" s="215"/>
    </row>
    <row r="67" spans="11:11">
      <c r="K67" s="477"/>
    </row>
    <row r="68" spans="11:11">
      <c r="K68" s="477"/>
    </row>
    <row r="69" spans="11:11">
      <c r="K69" s="488"/>
    </row>
    <row r="70" spans="11:11">
      <c r="K70" s="477"/>
    </row>
    <row r="71" spans="11:11">
      <c r="K71" s="477"/>
    </row>
    <row r="72" spans="11:11">
      <c r="K72" s="473"/>
    </row>
    <row r="73" spans="11:11">
      <c r="K73" s="473" t="s">
        <v>3358</v>
      </c>
    </row>
    <row r="74" spans="11:11">
      <c r="K74" s="473" t="s">
        <v>3349</v>
      </c>
    </row>
    <row r="75" spans="11:11">
      <c r="K75" s="473" t="s">
        <v>3349</v>
      </c>
    </row>
    <row r="76" spans="11:11">
      <c r="K76" s="473" t="s">
        <v>3363</v>
      </c>
    </row>
    <row r="77" spans="11:11">
      <c r="K77" s="477"/>
    </row>
    <row r="78" spans="11:11">
      <c r="K78" s="477" t="s">
        <v>3248</v>
      </c>
    </row>
    <row r="79" spans="11:11">
      <c r="K79" s="477" t="s">
        <v>3248</v>
      </c>
    </row>
    <row r="80" spans="11:11">
      <c r="K80" s="477" t="s">
        <v>3248</v>
      </c>
    </row>
    <row r="81" spans="11:11">
      <c r="K81" s="477" t="s">
        <v>3248</v>
      </c>
    </row>
    <row r="82" spans="11:11">
      <c r="K82" s="477" t="s">
        <v>3248</v>
      </c>
    </row>
    <row r="83" spans="11:11">
      <c r="K83" s="477" t="s">
        <v>3248</v>
      </c>
    </row>
    <row r="84" spans="11:11">
      <c r="K84" s="477" t="s">
        <v>3248</v>
      </c>
    </row>
    <row r="85" spans="11:11">
      <c r="K85" s="209" t="s">
        <v>3261</v>
      </c>
    </row>
    <row r="86" spans="11:11">
      <c r="K86" s="209" t="s">
        <v>3258</v>
      </c>
    </row>
    <row r="87" spans="11:11">
      <c r="K87" s="215"/>
    </row>
    <row r="88" spans="11:11">
      <c r="K88" s="215" t="s">
        <v>3258</v>
      </c>
    </row>
    <row r="89" spans="11:11">
      <c r="K89" s="195"/>
    </row>
    <row r="90" spans="11:11">
      <c r="K90" s="195"/>
    </row>
    <row r="91" spans="11:11">
      <c r="K91" s="195" t="s">
        <v>3261</v>
      </c>
    </row>
    <row r="92" spans="11:11">
      <c r="K92" s="195" t="s">
        <v>3395</v>
      </c>
    </row>
  </sheetData>
  <mergeCells count="2">
    <mergeCell ref="B2:C2"/>
    <mergeCell ref="D2:E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
  <sheetViews>
    <sheetView workbookViewId="0">
      <selection activeCell="A3" sqref="A3"/>
    </sheetView>
  </sheetViews>
  <sheetFormatPr defaultColWidth="11.42578125" defaultRowHeight="15"/>
  <cols>
    <col min="1" max="1" width="24.42578125" bestFit="1" customWidth="1"/>
    <col min="2" max="2" width="24.42578125" customWidth="1"/>
    <col min="3" max="3" width="7.7109375" bestFit="1" customWidth="1"/>
    <col min="4" max="4" width="14.28515625" customWidth="1"/>
  </cols>
  <sheetData>
    <row r="1" spans="1:4">
      <c r="A1" s="1" t="s">
        <v>3679</v>
      </c>
      <c r="B1" s="3" t="s">
        <v>40</v>
      </c>
      <c r="C1" s="3" t="s">
        <v>3680</v>
      </c>
      <c r="D1" s="2" t="s">
        <v>3681</v>
      </c>
    </row>
    <row r="2" spans="1:4">
      <c r="A2" s="66" t="s">
        <v>3682</v>
      </c>
      <c r="B2" s="65" t="s">
        <v>3683</v>
      </c>
      <c r="C2" s="83">
        <v>45689</v>
      </c>
      <c r="D2" s="618" t="s">
        <v>3684</v>
      </c>
    </row>
    <row r="3" spans="1:4">
      <c r="A3" s="66" t="s">
        <v>3685</v>
      </c>
      <c r="B3" s="65" t="s">
        <v>3686</v>
      </c>
      <c r="C3" s="83">
        <v>45748</v>
      </c>
      <c r="D3" s="618" t="s">
        <v>3684</v>
      </c>
    </row>
    <row r="4" spans="1:4">
      <c r="A4" s="66" t="s">
        <v>3687</v>
      </c>
      <c r="B4" s="65" t="s">
        <v>3686</v>
      </c>
      <c r="C4" s="83">
        <v>45748</v>
      </c>
      <c r="D4" s="618" t="s">
        <v>3688</v>
      </c>
    </row>
    <row r="5" spans="1:4">
      <c r="A5" s="66" t="s">
        <v>3689</v>
      </c>
      <c r="B5" s="65" t="s">
        <v>3686</v>
      </c>
      <c r="C5" s="83">
        <v>45717</v>
      </c>
      <c r="D5" s="618" t="s">
        <v>3684</v>
      </c>
    </row>
    <row r="6" spans="1:4">
      <c r="A6" s="66" t="s">
        <v>3690</v>
      </c>
      <c r="B6" s="65" t="s">
        <v>3683</v>
      </c>
      <c r="C6" s="83">
        <v>45748</v>
      </c>
      <c r="D6" s="618" t="s">
        <v>3684</v>
      </c>
    </row>
    <row r="7" spans="1:4">
      <c r="A7" s="66" t="s">
        <v>3691</v>
      </c>
      <c r="B7" s="65" t="s">
        <v>3683</v>
      </c>
      <c r="C7" s="83">
        <v>45689</v>
      </c>
      <c r="D7" s="618" t="s">
        <v>5</v>
      </c>
    </row>
    <row r="8" spans="1:4">
      <c r="A8" s="66" t="s">
        <v>3692</v>
      </c>
      <c r="B8" s="65" t="s">
        <v>105</v>
      </c>
      <c r="C8" s="83">
        <v>45748</v>
      </c>
      <c r="D8" s="618" t="s">
        <v>3684</v>
      </c>
    </row>
    <row r="9" spans="1:4">
      <c r="A9" s="66" t="s">
        <v>3693</v>
      </c>
      <c r="B9" s="65" t="s">
        <v>105</v>
      </c>
      <c r="C9" s="83">
        <v>45658</v>
      </c>
      <c r="D9" s="618" t="s">
        <v>5</v>
      </c>
    </row>
    <row r="10" spans="1:4">
      <c r="A10" s="66" t="s">
        <v>3694</v>
      </c>
      <c r="B10" s="65" t="s">
        <v>3695</v>
      </c>
      <c r="C10" s="83">
        <v>45689</v>
      </c>
      <c r="D10" s="618" t="s">
        <v>5</v>
      </c>
    </row>
    <row r="11" spans="1:4">
      <c r="A11" s="66" t="s">
        <v>3696</v>
      </c>
      <c r="B11" s="65" t="s">
        <v>132</v>
      </c>
      <c r="C11" s="83">
        <v>45658</v>
      </c>
      <c r="D11" s="618" t="s">
        <v>5</v>
      </c>
    </row>
    <row r="12" spans="1:4">
      <c r="A12" s="70" t="s">
        <v>3697</v>
      </c>
      <c r="B12" s="68" t="s">
        <v>105</v>
      </c>
      <c r="C12" s="83">
        <v>45658</v>
      </c>
      <c r="D12" s="69" t="s">
        <v>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2:N49"/>
  <sheetViews>
    <sheetView topLeftCell="A12" workbookViewId="0">
      <selection activeCell="L10" sqref="L10"/>
    </sheetView>
  </sheetViews>
  <sheetFormatPr defaultColWidth="9" defaultRowHeight="15"/>
  <sheetData>
    <row r="2" spans="3:14">
      <c r="C2" t="s">
        <v>3698</v>
      </c>
      <c r="D2" s="16"/>
      <c r="E2" t="s">
        <v>300</v>
      </c>
      <c r="G2" t="s">
        <v>96</v>
      </c>
      <c r="K2" t="s">
        <v>236</v>
      </c>
      <c r="N2" t="s">
        <v>132</v>
      </c>
    </row>
    <row r="3" spans="3:14">
      <c r="C3" t="s">
        <v>3699</v>
      </c>
      <c r="D3" s="14"/>
      <c r="G3" t="s">
        <v>77</v>
      </c>
      <c r="K3" t="s">
        <v>104</v>
      </c>
      <c r="N3" t="s">
        <v>105</v>
      </c>
    </row>
    <row r="4" spans="3:14">
      <c r="C4" t="s">
        <v>3700</v>
      </c>
      <c r="D4" s="26"/>
      <c r="E4" t="s">
        <v>179</v>
      </c>
      <c r="G4" t="s">
        <v>787</v>
      </c>
      <c r="K4" t="s">
        <v>1080</v>
      </c>
      <c r="N4" t="s">
        <v>3701</v>
      </c>
    </row>
    <row r="5" spans="3:14">
      <c r="G5" t="s">
        <v>167</v>
      </c>
      <c r="K5" t="s">
        <v>152</v>
      </c>
      <c r="N5" t="s">
        <v>3695</v>
      </c>
    </row>
    <row r="6" spans="3:14">
      <c r="G6" t="s">
        <v>525</v>
      </c>
      <c r="K6" t="s">
        <v>484</v>
      </c>
      <c r="N6" t="s">
        <v>3683</v>
      </c>
    </row>
    <row r="7" spans="3:14">
      <c r="G7" t="s">
        <v>3702</v>
      </c>
      <c r="N7" t="s">
        <v>3703</v>
      </c>
    </row>
    <row r="12" spans="3:14">
      <c r="C12" s="62"/>
      <c r="D12" s="62"/>
      <c r="E12" s="62"/>
      <c r="F12" s="62"/>
      <c r="G12" s="62"/>
      <c r="H12" s="62"/>
      <c r="I12" s="62"/>
      <c r="J12" s="62"/>
      <c r="K12" s="62"/>
      <c r="L12" s="62"/>
      <c r="M12" s="62"/>
      <c r="N12" s="62"/>
    </row>
    <row r="14" spans="3:14">
      <c r="C14" t="s">
        <v>3704</v>
      </c>
      <c r="D14" t="s">
        <v>3705</v>
      </c>
      <c r="E14" t="s">
        <v>3706</v>
      </c>
      <c r="F14" t="s">
        <v>3707</v>
      </c>
    </row>
    <row r="15" spans="3:14">
      <c r="C15" t="s">
        <v>3708</v>
      </c>
      <c r="D15" s="14" t="s">
        <v>3709</v>
      </c>
      <c r="E15" t="s">
        <v>3710</v>
      </c>
      <c r="F15" t="s">
        <v>3711</v>
      </c>
    </row>
    <row r="16" spans="3:14">
      <c r="C16" t="s">
        <v>3712</v>
      </c>
      <c r="D16" s="15" t="s">
        <v>3713</v>
      </c>
      <c r="E16" t="s">
        <v>3714</v>
      </c>
      <c r="F16" t="s">
        <v>3715</v>
      </c>
    </row>
    <row r="17" spans="3:6">
      <c r="C17" t="s">
        <v>3716</v>
      </c>
      <c r="D17" s="59" t="s">
        <v>3717</v>
      </c>
      <c r="E17" t="s">
        <v>3718</v>
      </c>
      <c r="F17" t="s">
        <v>3719</v>
      </c>
    </row>
    <row r="18" spans="3:6">
      <c r="C18" t="s">
        <v>3720</v>
      </c>
      <c r="D18" s="60" t="s">
        <v>3721</v>
      </c>
      <c r="E18" t="s">
        <v>3722</v>
      </c>
      <c r="F18" t="s">
        <v>3723</v>
      </c>
    </row>
    <row r="23" spans="3:6">
      <c r="C23" s="53" t="s">
        <v>3724</v>
      </c>
    </row>
    <row r="24" spans="3:6">
      <c r="C24" s="61"/>
    </row>
    <row r="25" spans="3:6">
      <c r="C25" s="63" t="s">
        <v>3725</v>
      </c>
    </row>
    <row r="26" spans="3:6">
      <c r="C26" s="61"/>
    </row>
    <row r="27" spans="3:6">
      <c r="C27" s="63" t="s">
        <v>3726</v>
      </c>
    </row>
    <row r="28" spans="3:6">
      <c r="C28" s="61"/>
    </row>
    <row r="29" spans="3:6">
      <c r="C29" s="63" t="s">
        <v>3727</v>
      </c>
    </row>
    <row r="31" spans="3:6">
      <c r="C31" s="53" t="s">
        <v>3728</v>
      </c>
    </row>
    <row r="33" spans="3:3">
      <c r="C33" s="63" t="s">
        <v>3729</v>
      </c>
    </row>
    <row r="34" spans="3:3">
      <c r="C34" s="61"/>
    </row>
    <row r="35" spans="3:3">
      <c r="C35" s="63" t="s">
        <v>3730</v>
      </c>
    </row>
    <row r="36" spans="3:3">
      <c r="C36" s="61"/>
    </row>
    <row r="37" spans="3:3">
      <c r="C37" s="63" t="s">
        <v>3731</v>
      </c>
    </row>
    <row r="39" spans="3:3">
      <c r="C39" s="53" t="s">
        <v>3732</v>
      </c>
    </row>
    <row r="40" spans="3:3">
      <c r="C40" s="61"/>
    </row>
    <row r="41" spans="3:3">
      <c r="C41" s="63" t="s">
        <v>3733</v>
      </c>
    </row>
    <row r="42" spans="3:3">
      <c r="C42" s="61"/>
    </row>
    <row r="43" spans="3:3">
      <c r="C43" s="63" t="s">
        <v>3734</v>
      </c>
    </row>
    <row r="44" spans="3:3">
      <c r="C44" s="61"/>
    </row>
    <row r="45" spans="3:3">
      <c r="C45" s="63" t="s">
        <v>3735</v>
      </c>
    </row>
    <row r="47" spans="3:3">
      <c r="C47" t="s">
        <v>3736</v>
      </c>
    </row>
    <row r="49" spans="3:3">
      <c r="C49" t="s">
        <v>3737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3D23-B776-4984-9026-99C6A59C39C5}">
  <dimension ref="B2:Z21"/>
  <sheetViews>
    <sheetView workbookViewId="0">
      <selection activeCell="Y11" sqref="Y11"/>
    </sheetView>
  </sheetViews>
  <sheetFormatPr defaultColWidth="8.85546875" defaultRowHeight="15"/>
  <cols>
    <col min="2" max="2" width="14" bestFit="1" customWidth="1"/>
    <col min="3" max="3" width="14.42578125" bestFit="1" customWidth="1"/>
    <col min="4" max="4" width="14.5703125" bestFit="1" customWidth="1"/>
    <col min="6" max="6" width="9.28515625" bestFit="1" customWidth="1"/>
    <col min="8" max="8" width="14" bestFit="1" customWidth="1"/>
    <col min="9" max="9" width="18.28515625" bestFit="1" customWidth="1"/>
    <col min="10" max="10" width="14.140625" bestFit="1" customWidth="1"/>
    <col min="11" max="11" width="15.140625" bestFit="1" customWidth="1"/>
    <col min="12" max="12" width="14.42578125" bestFit="1" customWidth="1"/>
    <col min="13" max="13" width="17.7109375" bestFit="1" customWidth="1"/>
    <col min="16" max="16" width="14" bestFit="1" customWidth="1"/>
    <col min="17" max="17" width="18.28515625" bestFit="1" customWidth="1"/>
    <col min="18" max="18" width="14.140625" bestFit="1" customWidth="1"/>
    <col min="19" max="19" width="15.140625" bestFit="1" customWidth="1"/>
    <col min="20" max="20" width="14.42578125" bestFit="1" customWidth="1"/>
    <col min="24" max="24" width="20.7109375" bestFit="1" customWidth="1"/>
    <col min="25" max="25" width="14.42578125" bestFit="1" customWidth="1"/>
  </cols>
  <sheetData>
    <row r="2" spans="2:26">
      <c r="B2" s="77">
        <v>46148</v>
      </c>
    </row>
    <row r="3" spans="2:26">
      <c r="B3" t="s">
        <v>2826</v>
      </c>
      <c r="H3" t="s">
        <v>2827</v>
      </c>
      <c r="P3" t="s">
        <v>2828</v>
      </c>
    </row>
    <row r="4" spans="2:26">
      <c r="B4" t="s">
        <v>2832</v>
      </c>
      <c r="C4" t="s">
        <v>76</v>
      </c>
      <c r="D4" t="s">
        <v>2833</v>
      </c>
      <c r="E4" t="s">
        <v>562</v>
      </c>
      <c r="F4" t="s">
        <v>2834</v>
      </c>
      <c r="H4" t="s">
        <v>2832</v>
      </c>
      <c r="I4" t="s">
        <v>73</v>
      </c>
      <c r="J4" t="s">
        <v>439</v>
      </c>
      <c r="K4" t="s">
        <v>93</v>
      </c>
      <c r="L4" t="s">
        <v>782</v>
      </c>
      <c r="M4" t="s">
        <v>2526</v>
      </c>
      <c r="N4" t="s">
        <v>2805</v>
      </c>
      <c r="P4" t="s">
        <v>2832</v>
      </c>
      <c r="Q4" t="s">
        <v>73</v>
      </c>
      <c r="R4" t="s">
        <v>439</v>
      </c>
      <c r="S4" t="s">
        <v>93</v>
      </c>
      <c r="T4" t="s">
        <v>782</v>
      </c>
      <c r="U4" t="s">
        <v>2805</v>
      </c>
      <c r="X4" t="s">
        <v>2838</v>
      </c>
      <c r="Y4" t="s">
        <v>76</v>
      </c>
      <c r="Z4" t="s">
        <v>562</v>
      </c>
    </row>
    <row r="5" spans="2:26">
      <c r="B5">
        <v>0</v>
      </c>
      <c r="C5">
        <v>90</v>
      </c>
      <c r="D5">
        <v>0.72580645161290325</v>
      </c>
      <c r="E5">
        <v>310</v>
      </c>
      <c r="F5">
        <v>0.9538461538461539</v>
      </c>
      <c r="H5">
        <v>0</v>
      </c>
      <c r="I5">
        <v>35</v>
      </c>
      <c r="J5">
        <v>5</v>
      </c>
      <c r="K5">
        <v>42</v>
      </c>
      <c r="L5">
        <v>2</v>
      </c>
      <c r="M5">
        <v>5</v>
      </c>
      <c r="N5">
        <v>89</v>
      </c>
      <c r="P5">
        <v>0</v>
      </c>
      <c r="Q5">
        <v>47</v>
      </c>
      <c r="R5">
        <v>78</v>
      </c>
      <c r="S5">
        <v>6</v>
      </c>
      <c r="T5">
        <v>179</v>
      </c>
      <c r="U5">
        <v>310</v>
      </c>
      <c r="X5" t="s">
        <v>45</v>
      </c>
      <c r="Y5">
        <v>0</v>
      </c>
      <c r="Z5">
        <v>0</v>
      </c>
    </row>
    <row r="6" spans="2:26">
      <c r="B6">
        <v>1</v>
      </c>
      <c r="C6">
        <v>25</v>
      </c>
      <c r="D6">
        <v>0.20161290322580644</v>
      </c>
      <c r="E6">
        <v>12</v>
      </c>
      <c r="F6">
        <v>3.6923076923076927E-2</v>
      </c>
      <c r="H6">
        <v>1</v>
      </c>
      <c r="I6">
        <v>8</v>
      </c>
      <c r="J6">
        <v>0</v>
      </c>
      <c r="K6">
        <v>17</v>
      </c>
      <c r="L6">
        <v>0</v>
      </c>
      <c r="M6">
        <v>0</v>
      </c>
      <c r="N6">
        <v>25</v>
      </c>
      <c r="P6">
        <v>1</v>
      </c>
      <c r="Q6">
        <v>3</v>
      </c>
      <c r="R6">
        <v>3</v>
      </c>
      <c r="S6">
        <v>2</v>
      </c>
      <c r="T6">
        <v>4</v>
      </c>
      <c r="U6">
        <v>12</v>
      </c>
      <c r="X6" t="s">
        <v>46</v>
      </c>
      <c r="Y6">
        <v>0</v>
      </c>
      <c r="Z6">
        <v>0</v>
      </c>
    </row>
    <row r="7" spans="2:26">
      <c r="B7">
        <v>2</v>
      </c>
      <c r="C7">
        <v>6</v>
      </c>
      <c r="D7">
        <v>4.8387096774193547E-2</v>
      </c>
      <c r="E7">
        <v>3</v>
      </c>
      <c r="F7">
        <v>9.2307692307692316E-3</v>
      </c>
      <c r="H7">
        <v>2</v>
      </c>
      <c r="I7">
        <v>2</v>
      </c>
      <c r="J7">
        <v>0</v>
      </c>
      <c r="K7">
        <v>4</v>
      </c>
      <c r="L7">
        <v>0</v>
      </c>
      <c r="M7">
        <v>0</v>
      </c>
      <c r="N7">
        <v>6</v>
      </c>
      <c r="P7">
        <v>2</v>
      </c>
      <c r="Q7">
        <v>2</v>
      </c>
      <c r="R7">
        <v>0</v>
      </c>
      <c r="S7">
        <v>1</v>
      </c>
      <c r="T7">
        <v>0</v>
      </c>
      <c r="U7">
        <v>3</v>
      </c>
      <c r="X7" t="s">
        <v>47</v>
      </c>
      <c r="Y7">
        <v>10</v>
      </c>
      <c r="Z7">
        <v>10</v>
      </c>
    </row>
    <row r="8" spans="2:26">
      <c r="B8">
        <v>3</v>
      </c>
      <c r="C8">
        <v>3</v>
      </c>
      <c r="D8">
        <v>2.4193548387096774E-2</v>
      </c>
      <c r="E8">
        <v>0</v>
      </c>
      <c r="F8">
        <v>0</v>
      </c>
      <c r="H8">
        <v>3</v>
      </c>
      <c r="I8">
        <v>0</v>
      </c>
      <c r="J8">
        <v>0</v>
      </c>
      <c r="K8">
        <v>3</v>
      </c>
      <c r="L8">
        <v>0</v>
      </c>
      <c r="M8">
        <v>0</v>
      </c>
      <c r="N8">
        <v>3</v>
      </c>
      <c r="P8">
        <v>3</v>
      </c>
      <c r="Q8">
        <v>0</v>
      </c>
      <c r="R8">
        <v>0</v>
      </c>
      <c r="S8">
        <v>0</v>
      </c>
      <c r="T8">
        <v>0</v>
      </c>
      <c r="U8">
        <v>0</v>
      </c>
      <c r="X8" t="s">
        <v>2840</v>
      </c>
      <c r="Y8">
        <v>3</v>
      </c>
      <c r="Z8">
        <v>0</v>
      </c>
    </row>
    <row r="9" spans="2:26">
      <c r="B9">
        <v>4</v>
      </c>
      <c r="C9">
        <v>0</v>
      </c>
      <c r="D9">
        <v>0</v>
      </c>
      <c r="E9">
        <v>0</v>
      </c>
      <c r="F9">
        <v>0</v>
      </c>
      <c r="H9">
        <v>4</v>
      </c>
      <c r="I9">
        <v>0</v>
      </c>
      <c r="J9">
        <v>0</v>
      </c>
      <c r="K9">
        <v>0</v>
      </c>
      <c r="L9">
        <v>0</v>
      </c>
      <c r="M9">
        <v>0</v>
      </c>
      <c r="N9">
        <v>0</v>
      </c>
      <c r="P9">
        <v>4</v>
      </c>
      <c r="Q9">
        <v>0</v>
      </c>
      <c r="R9">
        <v>0</v>
      </c>
      <c r="S9">
        <v>0</v>
      </c>
      <c r="T9">
        <v>0</v>
      </c>
      <c r="U9">
        <v>0</v>
      </c>
      <c r="X9" t="s">
        <v>49</v>
      </c>
      <c r="Y9">
        <v>8</v>
      </c>
      <c r="Z9">
        <v>2</v>
      </c>
    </row>
    <row r="10" spans="2:26">
      <c r="B10" s="53" t="s">
        <v>2805</v>
      </c>
      <c r="C10" s="53">
        <v>124</v>
      </c>
      <c r="D10" s="53"/>
      <c r="E10" s="53">
        <v>325</v>
      </c>
      <c r="F10" s="53"/>
      <c r="G10" s="53"/>
      <c r="H10" s="53" t="s">
        <v>2805</v>
      </c>
      <c r="I10" s="53">
        <v>45</v>
      </c>
      <c r="J10" s="53">
        <v>5</v>
      </c>
      <c r="K10" s="53">
        <v>66</v>
      </c>
      <c r="L10" s="53">
        <v>2</v>
      </c>
      <c r="M10" s="53">
        <v>5</v>
      </c>
      <c r="N10" s="53">
        <v>123</v>
      </c>
      <c r="O10" s="53"/>
      <c r="P10" s="53" t="s">
        <v>2805</v>
      </c>
      <c r="Q10" s="53">
        <v>52</v>
      </c>
      <c r="R10" s="53">
        <v>81</v>
      </c>
      <c r="S10" s="53">
        <v>9</v>
      </c>
      <c r="T10" s="53">
        <v>183</v>
      </c>
      <c r="U10" s="53">
        <v>325</v>
      </c>
      <c r="X10" t="s">
        <v>50</v>
      </c>
      <c r="Y10">
        <v>4</v>
      </c>
      <c r="Z10">
        <v>0</v>
      </c>
    </row>
    <row r="11" spans="2:26">
      <c r="X11" t="s">
        <v>51</v>
      </c>
      <c r="Y11">
        <v>11</v>
      </c>
      <c r="Z11">
        <v>2</v>
      </c>
    </row>
    <row r="12" spans="2:26">
      <c r="H12" t="s">
        <v>2843</v>
      </c>
      <c r="I12">
        <v>0.22222222222222221</v>
      </c>
      <c r="J12">
        <v>0</v>
      </c>
      <c r="K12">
        <v>0.36363636363636365</v>
      </c>
      <c r="L12">
        <v>0</v>
      </c>
      <c r="M12">
        <v>0</v>
      </c>
      <c r="P12" t="s">
        <v>2843</v>
      </c>
      <c r="Q12">
        <v>9.6153846153846159E-2</v>
      </c>
      <c r="R12">
        <v>3.7037037037037035E-2</v>
      </c>
      <c r="S12">
        <v>0.33333333333333331</v>
      </c>
      <c r="T12">
        <v>2.185792349726776E-2</v>
      </c>
      <c r="U12">
        <v>4.6153846153846156E-2</v>
      </c>
      <c r="X12" t="s">
        <v>52</v>
      </c>
      <c r="Y12">
        <v>9</v>
      </c>
      <c r="Z12">
        <v>3</v>
      </c>
    </row>
    <row r="13" spans="2:26">
      <c r="X13" t="s">
        <v>53</v>
      </c>
      <c r="Y13">
        <v>0</v>
      </c>
      <c r="Z13">
        <v>0</v>
      </c>
    </row>
    <row r="14" spans="2:26">
      <c r="X14" t="s">
        <v>54</v>
      </c>
      <c r="Y14">
        <v>0</v>
      </c>
      <c r="Z14">
        <v>0</v>
      </c>
    </row>
    <row r="15" spans="2:26">
      <c r="X15" t="s">
        <v>55</v>
      </c>
      <c r="Y15">
        <v>0</v>
      </c>
      <c r="Z15">
        <v>0</v>
      </c>
    </row>
    <row r="16" spans="2:26">
      <c r="X16" t="s">
        <v>56</v>
      </c>
      <c r="Y16">
        <v>1</v>
      </c>
      <c r="Z16">
        <v>0</v>
      </c>
    </row>
    <row r="17" spans="24:26">
      <c r="X17" t="s">
        <v>57</v>
      </c>
      <c r="Y17">
        <v>0</v>
      </c>
      <c r="Z17">
        <v>0</v>
      </c>
    </row>
    <row r="18" spans="24:26">
      <c r="X18" t="s">
        <v>58</v>
      </c>
      <c r="Y18">
        <v>0</v>
      </c>
      <c r="Z18">
        <v>0</v>
      </c>
    </row>
    <row r="19" spans="24:26">
      <c r="X19" t="s">
        <v>59</v>
      </c>
      <c r="Y19">
        <v>0</v>
      </c>
      <c r="Z19">
        <v>1</v>
      </c>
    </row>
    <row r="20" spans="24:26">
      <c r="X20" t="s">
        <v>60</v>
      </c>
      <c r="Y20">
        <v>2</v>
      </c>
      <c r="Z20">
        <v>0</v>
      </c>
    </row>
    <row r="21" spans="24:26">
      <c r="X21" s="53" t="s">
        <v>2805</v>
      </c>
      <c r="Y21" s="53">
        <v>48</v>
      </c>
      <c r="Z21" s="53">
        <v>18</v>
      </c>
    </row>
  </sheetData>
  <pageMargins left="0.7" right="0.7" top="0.75" bottom="0.75" header="0.3" footer="0.3"/>
  <tableParts count="4">
    <tablePart r:id="rId1"/>
    <tablePart r:id="rId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7F613-A72F-48E7-9C3C-E09D33300533}">
  <sheetPr filterMode="1"/>
  <dimension ref="A1:E65"/>
  <sheetViews>
    <sheetView workbookViewId="0">
      <selection activeCell="G34" sqref="G34"/>
    </sheetView>
  </sheetViews>
  <sheetFormatPr defaultColWidth="9" defaultRowHeight="15" customHeight="1"/>
  <cols>
    <col min="1" max="1" width="24.42578125" customWidth="1"/>
    <col min="2" max="2" width="13.28515625" bestFit="1" customWidth="1"/>
  </cols>
  <sheetData>
    <row r="1" spans="1:5">
      <c r="A1">
        <f>COUNTA(A3:A377)</f>
        <v>62</v>
      </c>
      <c r="E1">
        <f>SUM(E3:E377)</f>
        <v>11427.09</v>
      </c>
    </row>
    <row r="2" spans="1:5">
      <c r="A2" t="s">
        <v>3738</v>
      </c>
      <c r="B2" t="s">
        <v>7</v>
      </c>
      <c r="C2" t="s">
        <v>3739</v>
      </c>
      <c r="D2" t="s">
        <v>5</v>
      </c>
      <c r="E2" t="s">
        <v>2865</v>
      </c>
    </row>
    <row r="3" spans="1:5" hidden="1">
      <c r="A3" s="50" t="s">
        <v>816</v>
      </c>
      <c r="B3" s="50"/>
      <c r="C3" s="50" t="s">
        <v>562</v>
      </c>
      <c r="D3" s="50" t="s">
        <v>782</v>
      </c>
      <c r="E3" s="84">
        <v>365.11</v>
      </c>
    </row>
    <row r="4" spans="1:5" hidden="1">
      <c r="A4" s="50" t="s">
        <v>2542</v>
      </c>
      <c r="B4" s="50"/>
      <c r="C4" s="51" t="s">
        <v>562</v>
      </c>
      <c r="D4" s="50" t="s">
        <v>782</v>
      </c>
      <c r="E4" s="85">
        <v>362.55</v>
      </c>
    </row>
    <row r="5" spans="1:5" hidden="1">
      <c r="A5" s="50" t="s">
        <v>2290</v>
      </c>
      <c r="B5" s="50"/>
      <c r="C5" s="51" t="s">
        <v>562</v>
      </c>
      <c r="D5" s="50" t="s">
        <v>782</v>
      </c>
      <c r="E5" s="84">
        <v>353.23</v>
      </c>
    </row>
    <row r="6" spans="1:5" hidden="1">
      <c r="A6" s="50" t="s">
        <v>2608</v>
      </c>
      <c r="B6" s="50"/>
      <c r="C6" s="51" t="s">
        <v>562</v>
      </c>
      <c r="D6" s="50" t="s">
        <v>782</v>
      </c>
      <c r="E6" s="84">
        <v>329.03</v>
      </c>
    </row>
    <row r="7" spans="1:5" hidden="1">
      <c r="A7" s="50" t="s">
        <v>1240</v>
      </c>
      <c r="B7" s="50"/>
      <c r="C7" s="50" t="s">
        <v>562</v>
      </c>
      <c r="D7" s="50" t="s">
        <v>782</v>
      </c>
      <c r="E7" s="84">
        <v>321.5</v>
      </c>
    </row>
    <row r="8" spans="1:5" hidden="1">
      <c r="A8" s="50" t="s">
        <v>1118</v>
      </c>
      <c r="B8" s="50"/>
      <c r="C8" s="50" t="s">
        <v>562</v>
      </c>
      <c r="D8" s="50" t="s">
        <v>782</v>
      </c>
      <c r="E8" s="85">
        <v>313.45999999999998</v>
      </c>
    </row>
    <row r="9" spans="1:5" hidden="1">
      <c r="A9" s="50" t="s">
        <v>1124</v>
      </c>
      <c r="B9" s="50"/>
      <c r="C9" s="52" t="s">
        <v>562</v>
      </c>
      <c r="D9" s="50" t="s">
        <v>782</v>
      </c>
      <c r="E9" s="85">
        <v>308</v>
      </c>
    </row>
    <row r="10" spans="1:5" hidden="1">
      <c r="A10" s="50" t="s">
        <v>1250</v>
      </c>
      <c r="B10" s="50"/>
      <c r="C10" s="50" t="s">
        <v>562</v>
      </c>
      <c r="D10" s="50" t="s">
        <v>782</v>
      </c>
      <c r="E10" s="84">
        <v>283.69</v>
      </c>
    </row>
    <row r="11" spans="1:5" hidden="1">
      <c r="A11" s="50" t="s">
        <v>1261</v>
      </c>
      <c r="B11" s="50"/>
      <c r="C11" s="50" t="s">
        <v>562</v>
      </c>
      <c r="D11" s="50" t="s">
        <v>782</v>
      </c>
      <c r="E11" s="84">
        <v>276.61</v>
      </c>
    </row>
    <row r="12" spans="1:5" hidden="1">
      <c r="A12" s="50" t="s">
        <v>1172</v>
      </c>
      <c r="B12" s="50"/>
      <c r="C12" s="51" t="s">
        <v>562</v>
      </c>
      <c r="D12" s="50" t="s">
        <v>782</v>
      </c>
      <c r="E12" s="84">
        <v>270.2</v>
      </c>
    </row>
    <row r="13" spans="1:5">
      <c r="A13" s="94" t="s">
        <v>1224</v>
      </c>
      <c r="B13" s="94"/>
      <c r="C13" s="95" t="s">
        <v>562</v>
      </c>
      <c r="D13" s="94" t="s">
        <v>73</v>
      </c>
      <c r="E13" s="96">
        <v>267.82</v>
      </c>
    </row>
    <row r="14" spans="1:5">
      <c r="A14" s="94" t="s">
        <v>1234</v>
      </c>
      <c r="B14" s="94"/>
      <c r="C14" s="95" t="s">
        <v>562</v>
      </c>
      <c r="D14" s="94" t="s">
        <v>73</v>
      </c>
      <c r="E14" s="96">
        <v>264.33</v>
      </c>
    </row>
    <row r="15" spans="1:5" hidden="1">
      <c r="A15" s="50" t="s">
        <v>1196</v>
      </c>
      <c r="B15" s="50"/>
      <c r="C15" s="51" t="s">
        <v>562</v>
      </c>
      <c r="D15" s="50" t="s">
        <v>782</v>
      </c>
      <c r="E15" s="84">
        <v>238.68</v>
      </c>
    </row>
    <row r="16" spans="1:5">
      <c r="A16" s="94" t="s">
        <v>1112</v>
      </c>
      <c r="B16" s="94"/>
      <c r="C16" s="95" t="s">
        <v>562</v>
      </c>
      <c r="D16" s="94" t="s">
        <v>73</v>
      </c>
      <c r="E16" s="96">
        <v>230.72</v>
      </c>
    </row>
    <row r="17" spans="1:5" hidden="1">
      <c r="A17" s="50" t="s">
        <v>1368</v>
      </c>
      <c r="B17" s="50"/>
      <c r="C17" s="51" t="s">
        <v>562</v>
      </c>
      <c r="D17" s="50" t="s">
        <v>782</v>
      </c>
      <c r="E17" s="84">
        <v>228.02</v>
      </c>
    </row>
    <row r="18" spans="1:5">
      <c r="A18" s="94" t="s">
        <v>1474</v>
      </c>
      <c r="B18" s="94"/>
      <c r="C18" s="95" t="s">
        <v>562</v>
      </c>
      <c r="D18" s="94" t="s">
        <v>73</v>
      </c>
      <c r="E18" s="96">
        <v>219.87</v>
      </c>
    </row>
    <row r="19" spans="1:5" hidden="1">
      <c r="A19" s="50" t="s">
        <v>3623</v>
      </c>
      <c r="B19" s="50"/>
      <c r="C19" s="51" t="s">
        <v>562</v>
      </c>
      <c r="D19" s="50" t="s">
        <v>782</v>
      </c>
      <c r="E19" s="84">
        <v>214.91</v>
      </c>
    </row>
    <row r="20" spans="1:5" hidden="1">
      <c r="A20" s="50" t="s">
        <v>1382</v>
      </c>
      <c r="B20" s="50"/>
      <c r="C20" s="50" t="s">
        <v>562</v>
      </c>
      <c r="D20" s="50" t="s">
        <v>782</v>
      </c>
      <c r="E20" s="85">
        <v>208.54</v>
      </c>
    </row>
    <row r="21" spans="1:5" hidden="1">
      <c r="A21" s="50" t="s">
        <v>1339</v>
      </c>
      <c r="B21" s="50"/>
      <c r="C21" s="51" t="s">
        <v>562</v>
      </c>
      <c r="D21" s="50" t="s">
        <v>782</v>
      </c>
      <c r="E21" s="84">
        <v>208.06</v>
      </c>
    </row>
    <row r="22" spans="1:5" hidden="1">
      <c r="A22" s="50" t="s">
        <v>855</v>
      </c>
      <c r="B22" s="50"/>
      <c r="C22" s="50" t="s">
        <v>562</v>
      </c>
      <c r="D22" s="50" t="s">
        <v>782</v>
      </c>
      <c r="E22" s="84">
        <v>199.51</v>
      </c>
    </row>
    <row r="23" spans="1:5">
      <c r="A23" s="94" t="s">
        <v>1422</v>
      </c>
      <c r="B23" s="94"/>
      <c r="C23" s="97" t="s">
        <v>562</v>
      </c>
      <c r="D23" s="94" t="s">
        <v>73</v>
      </c>
      <c r="E23" s="96">
        <v>192.08</v>
      </c>
    </row>
    <row r="24" spans="1:5" hidden="1">
      <c r="A24" s="50" t="s">
        <v>3740</v>
      </c>
      <c r="B24" s="50"/>
      <c r="C24" s="51" t="s">
        <v>562</v>
      </c>
      <c r="D24" s="50" t="s">
        <v>782</v>
      </c>
      <c r="E24" s="85">
        <v>186.23</v>
      </c>
    </row>
    <row r="25" spans="1:5" hidden="1">
      <c r="A25" s="50" t="s">
        <v>2546</v>
      </c>
      <c r="B25" s="50"/>
      <c r="C25" s="51" t="s">
        <v>562</v>
      </c>
      <c r="D25" s="50" t="s">
        <v>782</v>
      </c>
      <c r="E25" s="85">
        <v>185.26</v>
      </c>
    </row>
    <row r="26" spans="1:5" hidden="1">
      <c r="A26" s="50" t="s">
        <v>3549</v>
      </c>
      <c r="B26" s="50"/>
      <c r="C26" s="50" t="s">
        <v>562</v>
      </c>
      <c r="D26" s="50" t="s">
        <v>782</v>
      </c>
      <c r="E26" s="85">
        <v>183.34</v>
      </c>
    </row>
    <row r="27" spans="1:5" hidden="1">
      <c r="A27" s="50" t="s">
        <v>3741</v>
      </c>
      <c r="B27" s="50"/>
      <c r="C27" s="51" t="s">
        <v>562</v>
      </c>
      <c r="D27" s="50" t="s">
        <v>782</v>
      </c>
      <c r="E27" s="85">
        <v>177.17</v>
      </c>
    </row>
    <row r="28" spans="1:5" hidden="1">
      <c r="A28" s="50" t="s">
        <v>2705</v>
      </c>
      <c r="B28" s="50"/>
      <c r="C28" s="50" t="s">
        <v>562</v>
      </c>
      <c r="D28" s="50" t="s">
        <v>782</v>
      </c>
      <c r="E28" s="85">
        <v>174.15</v>
      </c>
    </row>
    <row r="29" spans="1:5" hidden="1">
      <c r="A29" s="50" t="s">
        <v>1479</v>
      </c>
      <c r="B29" s="50"/>
      <c r="C29" s="50" t="s">
        <v>562</v>
      </c>
      <c r="D29" s="50" t="s">
        <v>782</v>
      </c>
      <c r="E29" s="84">
        <v>173.76</v>
      </c>
    </row>
    <row r="30" spans="1:5" hidden="1">
      <c r="A30" s="50" t="s">
        <v>1699</v>
      </c>
      <c r="B30" s="50"/>
      <c r="C30" s="50" t="s">
        <v>562</v>
      </c>
      <c r="D30" s="50" t="s">
        <v>782</v>
      </c>
      <c r="E30" s="85">
        <v>166.34</v>
      </c>
    </row>
    <row r="31" spans="1:5" hidden="1">
      <c r="A31" s="50" t="s">
        <v>1575</v>
      </c>
      <c r="B31" s="50"/>
      <c r="C31" s="50" t="s">
        <v>562</v>
      </c>
      <c r="D31" s="50" t="s">
        <v>782</v>
      </c>
      <c r="E31" s="84">
        <v>165.51</v>
      </c>
    </row>
    <row r="32" spans="1:5" hidden="1">
      <c r="A32" s="50" t="s">
        <v>1609</v>
      </c>
      <c r="B32" s="50"/>
      <c r="C32" s="50" t="s">
        <v>562</v>
      </c>
      <c r="D32" s="50" t="s">
        <v>782</v>
      </c>
      <c r="E32" s="84">
        <v>165</v>
      </c>
    </row>
    <row r="33" spans="1:5" hidden="1">
      <c r="A33" s="50" t="s">
        <v>2588</v>
      </c>
      <c r="B33" s="50"/>
      <c r="C33" s="51" t="s">
        <v>562</v>
      </c>
      <c r="D33" s="50" t="s">
        <v>782</v>
      </c>
      <c r="E33" s="84">
        <v>160.75</v>
      </c>
    </row>
    <row r="34" spans="1:5">
      <c r="A34" s="94" t="s">
        <v>1593</v>
      </c>
      <c r="B34" s="94"/>
      <c r="C34" s="95" t="s">
        <v>562</v>
      </c>
      <c r="D34" s="94" t="s">
        <v>73</v>
      </c>
      <c r="E34" s="96">
        <v>160.61000000000001</v>
      </c>
    </row>
    <row r="35" spans="1:5" hidden="1">
      <c r="A35" s="50" t="s">
        <v>1450</v>
      </c>
      <c r="B35" s="50"/>
      <c r="C35" s="50" t="s">
        <v>562</v>
      </c>
      <c r="D35" s="50" t="s">
        <v>782</v>
      </c>
      <c r="E35" s="84">
        <v>160.16</v>
      </c>
    </row>
    <row r="36" spans="1:5" hidden="1">
      <c r="A36" s="50" t="s">
        <v>1587</v>
      </c>
      <c r="B36" s="50"/>
      <c r="C36" s="50" t="s">
        <v>562</v>
      </c>
      <c r="D36" s="50" t="s">
        <v>782</v>
      </c>
      <c r="E36" s="85">
        <v>159.61000000000001</v>
      </c>
    </row>
    <row r="37" spans="1:5" hidden="1">
      <c r="A37" s="50" t="s">
        <v>3742</v>
      </c>
      <c r="B37" s="50"/>
      <c r="C37" s="50" t="s">
        <v>562</v>
      </c>
      <c r="D37" s="50" t="s">
        <v>782</v>
      </c>
      <c r="E37" s="85">
        <v>159.25</v>
      </c>
    </row>
    <row r="38" spans="1:5">
      <c r="A38" s="98" t="s">
        <v>3743</v>
      </c>
      <c r="B38" s="94"/>
      <c r="C38" s="95" t="s">
        <v>562</v>
      </c>
      <c r="D38" s="94" t="s">
        <v>73</v>
      </c>
      <c r="E38" s="96">
        <v>158</v>
      </c>
    </row>
    <row r="39" spans="1:5" hidden="1">
      <c r="A39" s="50" t="s">
        <v>2070</v>
      </c>
      <c r="B39" s="50"/>
      <c r="C39" s="50" t="s">
        <v>562</v>
      </c>
      <c r="D39" s="50" t="s">
        <v>782</v>
      </c>
      <c r="E39" s="85">
        <v>156.59</v>
      </c>
    </row>
    <row r="40" spans="1:5" hidden="1">
      <c r="A40" s="50" t="s">
        <v>1359</v>
      </c>
      <c r="B40" s="50"/>
      <c r="C40" s="51" t="s">
        <v>562</v>
      </c>
      <c r="D40" s="50" t="s">
        <v>782</v>
      </c>
      <c r="E40" s="85">
        <v>151.06</v>
      </c>
    </row>
    <row r="41" spans="1:5" hidden="1">
      <c r="A41" s="50" t="s">
        <v>2595</v>
      </c>
      <c r="B41" s="50"/>
      <c r="C41" s="51" t="s">
        <v>562</v>
      </c>
      <c r="D41" s="50" t="s">
        <v>782</v>
      </c>
      <c r="E41" s="84">
        <v>148.93</v>
      </c>
    </row>
    <row r="42" spans="1:5" hidden="1">
      <c r="A42" s="50" t="s">
        <v>1660</v>
      </c>
      <c r="B42" s="50"/>
      <c r="C42" s="51" t="s">
        <v>562</v>
      </c>
      <c r="D42" s="50" t="s">
        <v>782</v>
      </c>
      <c r="E42" s="84">
        <v>147.63999999999999</v>
      </c>
    </row>
    <row r="43" spans="1:5" hidden="1">
      <c r="A43" s="50" t="s">
        <v>1632</v>
      </c>
      <c r="B43" s="50"/>
      <c r="C43" s="51" t="s">
        <v>562</v>
      </c>
      <c r="D43" s="50" t="s">
        <v>782</v>
      </c>
      <c r="E43" s="84">
        <v>145.59</v>
      </c>
    </row>
    <row r="44" spans="1:5" hidden="1">
      <c r="A44" s="50" t="s">
        <v>1740</v>
      </c>
      <c r="B44" s="50"/>
      <c r="C44" s="51" t="s">
        <v>562</v>
      </c>
      <c r="D44" s="50" t="s">
        <v>782</v>
      </c>
      <c r="E44" s="85">
        <v>145.08000000000001</v>
      </c>
    </row>
    <row r="45" spans="1:5" hidden="1">
      <c r="A45" s="94" t="s">
        <v>1638</v>
      </c>
      <c r="B45" s="94"/>
      <c r="C45" s="95" t="s">
        <v>562</v>
      </c>
      <c r="D45" s="94" t="s">
        <v>93</v>
      </c>
      <c r="E45" s="96">
        <v>144.79</v>
      </c>
    </row>
    <row r="46" spans="1:5" hidden="1">
      <c r="A46" s="50" t="s">
        <v>1689</v>
      </c>
      <c r="B46" s="50"/>
      <c r="C46" s="50" t="s">
        <v>562</v>
      </c>
      <c r="D46" s="50" t="s">
        <v>782</v>
      </c>
      <c r="E46" s="85">
        <v>143.4</v>
      </c>
    </row>
    <row r="47" spans="1:5" hidden="1">
      <c r="A47" s="50" t="s">
        <v>2533</v>
      </c>
      <c r="B47" s="50"/>
      <c r="C47" s="51" t="s">
        <v>562</v>
      </c>
      <c r="D47" s="50" t="s">
        <v>782</v>
      </c>
      <c r="E47" s="85">
        <v>142.51</v>
      </c>
    </row>
    <row r="48" spans="1:5" hidden="1">
      <c r="A48" s="50" t="s">
        <v>1716</v>
      </c>
      <c r="B48" s="50"/>
      <c r="C48" s="50" t="s">
        <v>562</v>
      </c>
      <c r="D48" s="50" t="s">
        <v>782</v>
      </c>
      <c r="E48" s="84">
        <v>132.82</v>
      </c>
    </row>
    <row r="49" spans="1:5" hidden="1">
      <c r="A49" s="50" t="s">
        <v>2605</v>
      </c>
      <c r="B49" s="50"/>
      <c r="C49" s="50" t="s">
        <v>562</v>
      </c>
      <c r="D49" s="50" t="s">
        <v>782</v>
      </c>
      <c r="E49" s="84">
        <v>130.49</v>
      </c>
    </row>
    <row r="50" spans="1:5" hidden="1">
      <c r="A50" s="50" t="s">
        <v>2565</v>
      </c>
      <c r="B50" s="50"/>
      <c r="C50" s="51" t="s">
        <v>562</v>
      </c>
      <c r="D50" s="50" t="s">
        <v>782</v>
      </c>
      <c r="E50" s="85">
        <v>128.83000000000001</v>
      </c>
    </row>
    <row r="51" spans="1:5" hidden="1">
      <c r="A51" s="50" t="s">
        <v>1710</v>
      </c>
      <c r="B51" s="50"/>
      <c r="C51" s="50" t="s">
        <v>562</v>
      </c>
      <c r="D51" s="50" t="s">
        <v>782</v>
      </c>
      <c r="E51" s="84">
        <v>126.83</v>
      </c>
    </row>
    <row r="52" spans="1:5" hidden="1">
      <c r="A52" s="50" t="s">
        <v>1722</v>
      </c>
      <c r="B52" s="50"/>
      <c r="C52" s="50" t="s">
        <v>562</v>
      </c>
      <c r="D52" s="50" t="s">
        <v>782</v>
      </c>
      <c r="E52" s="84">
        <v>125.51</v>
      </c>
    </row>
    <row r="53" spans="1:5">
      <c r="A53" s="94" t="s">
        <v>1759</v>
      </c>
      <c r="B53" s="94"/>
      <c r="C53" s="97" t="s">
        <v>562</v>
      </c>
      <c r="D53" s="94" t="s">
        <v>73</v>
      </c>
      <c r="E53" s="96">
        <v>124.71</v>
      </c>
    </row>
    <row r="54" spans="1:5" hidden="1">
      <c r="A54" s="50" t="s">
        <v>1752</v>
      </c>
      <c r="B54" s="50"/>
      <c r="C54" s="50" t="s">
        <v>562</v>
      </c>
      <c r="D54" s="50" t="s">
        <v>782</v>
      </c>
      <c r="E54" s="84">
        <v>122.59</v>
      </c>
    </row>
    <row r="55" spans="1:5" hidden="1">
      <c r="A55" s="50" t="s">
        <v>1734</v>
      </c>
      <c r="B55" s="50"/>
      <c r="C55" s="50" t="s">
        <v>562</v>
      </c>
      <c r="D55" s="50" t="s">
        <v>782</v>
      </c>
      <c r="E55" s="85">
        <v>121.16</v>
      </c>
    </row>
    <row r="56" spans="1:5" hidden="1">
      <c r="A56" s="50" t="s">
        <v>1785</v>
      </c>
      <c r="B56" s="50"/>
      <c r="C56" s="50" t="s">
        <v>562</v>
      </c>
      <c r="D56" s="50" t="s">
        <v>782</v>
      </c>
      <c r="E56" s="85">
        <v>118.2</v>
      </c>
    </row>
    <row r="57" spans="1:5" hidden="1">
      <c r="A57" s="94" t="s">
        <v>2385</v>
      </c>
      <c r="B57" s="94"/>
      <c r="C57" s="95" t="s">
        <v>562</v>
      </c>
      <c r="D57" s="94" t="s">
        <v>93</v>
      </c>
      <c r="E57" s="96">
        <v>116.24</v>
      </c>
    </row>
    <row r="58" spans="1:5" hidden="1">
      <c r="A58" s="50" t="s">
        <v>1771</v>
      </c>
      <c r="B58" s="50"/>
      <c r="C58" s="51" t="s">
        <v>562</v>
      </c>
      <c r="D58" s="50" t="s">
        <v>782</v>
      </c>
      <c r="E58" s="85">
        <v>111.16</v>
      </c>
    </row>
    <row r="59" spans="1:5" hidden="1">
      <c r="A59" s="50" t="s">
        <v>1830</v>
      </c>
      <c r="B59" s="50"/>
      <c r="C59" s="50" t="s">
        <v>562</v>
      </c>
      <c r="D59" s="50" t="s">
        <v>782</v>
      </c>
      <c r="E59" s="84">
        <v>108.1</v>
      </c>
    </row>
    <row r="60" spans="1:5" hidden="1">
      <c r="A60" s="50" t="s">
        <v>1844</v>
      </c>
      <c r="B60" s="50"/>
      <c r="C60" s="50" t="s">
        <v>562</v>
      </c>
      <c r="D60" s="50" t="s">
        <v>782</v>
      </c>
      <c r="E60" s="85">
        <v>107.28</v>
      </c>
    </row>
    <row r="61" spans="1:5" hidden="1">
      <c r="A61" s="50" t="s">
        <v>1778</v>
      </c>
      <c r="B61" s="50"/>
      <c r="C61" s="50" t="s">
        <v>562</v>
      </c>
      <c r="D61" s="50" t="s">
        <v>782</v>
      </c>
      <c r="E61" s="85">
        <v>106.77</v>
      </c>
    </row>
    <row r="62" spans="1:5" hidden="1">
      <c r="A62" s="50" t="s">
        <v>2536</v>
      </c>
      <c r="B62" s="50"/>
      <c r="C62" s="51" t="s">
        <v>562</v>
      </c>
      <c r="D62" s="50" t="s">
        <v>782</v>
      </c>
      <c r="E62" s="84">
        <v>105.8</v>
      </c>
    </row>
    <row r="63" spans="1:5" hidden="1">
      <c r="A63" s="90" t="s">
        <v>1824</v>
      </c>
      <c r="B63" s="91"/>
      <c r="C63" s="91" t="s">
        <v>562</v>
      </c>
      <c r="D63" s="91" t="s">
        <v>782</v>
      </c>
      <c r="E63" s="93">
        <v>103.43</v>
      </c>
    </row>
    <row r="64" spans="1:5" hidden="1">
      <c r="A64" s="90" t="s">
        <v>2581</v>
      </c>
      <c r="B64" s="91"/>
      <c r="C64" s="92" t="s">
        <v>562</v>
      </c>
      <c r="D64" s="91" t="s">
        <v>782</v>
      </c>
      <c r="E64" s="93">
        <v>20.52</v>
      </c>
    </row>
    <row r="65" ht="15" hidden="1" customHeight="1"/>
  </sheetData>
  <autoFilter ref="A2:E65" xr:uid="{7B67F613-A72F-48E7-9C3C-E09D33300533}">
    <filterColumn colId="3">
      <filters>
        <filter val="Dafne de la Rosa"/>
      </filters>
    </filterColumn>
    <sortState xmlns:xlrd2="http://schemas.microsoft.com/office/spreadsheetml/2017/richdata2" ref="A3:E65">
      <sortCondition descending="1" ref="E2:E65"/>
    </sortState>
  </autoFilter>
  <conditionalFormatting sqref="E3:E62">
    <cfRule type="expression" dxfId="2" priority="83">
      <formula>AND(E3&lt;#REF!, #REF!&gt;0,NOT(ISBLANK(#REF!)))</formula>
    </cfRule>
    <cfRule type="expression" dxfId="1" priority="84">
      <formula>AND(E3&gt;#REF!, #REF!&gt;0)</formula>
    </cfRule>
  </conditionalFormatting>
  <conditionalFormatting sqref="E65">
    <cfRule type="containsBlanks" dxfId="0" priority="5">
      <formula>LEN(TRIM(E65))=0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Alfonso</dc:creator>
  <cp:keywords/>
  <dc:description/>
  <cp:lastModifiedBy/>
  <cp:revision/>
  <dcterms:created xsi:type="dcterms:W3CDTF">2025-08-29T17:11:19Z</dcterms:created>
  <dcterms:modified xsi:type="dcterms:W3CDTF">2026-10-28T08:58:07Z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0x010100C79A48A823250E488D7A45FCD67DBB20</vt:lpwstr>
  </property>
  <property fmtid="{D5CDD505-2E9C-101B-9397-08002B2CF9AE}" pid="3" name="MediaServiceImageTags">
    <vt:lpwstr/>
  </property>
</Properties>
</file>