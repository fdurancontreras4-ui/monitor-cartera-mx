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4C9153F5-D33D-45AD-B910-6CD0C4F1BED7}" xr6:coauthVersionLast="47" xr6:coauthVersionMax="47" xr10:uidLastSave="{00000000-0000-0000-0000-000000000000}"/>
  <bookViews>
    <workbookView xWindow="-118" yWindow="-118" windowWidth="25370" windowHeight="13667" tabRatio="513" firstSheet="6"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5" hidden="1">'Ventas 2026'!$A$1:$S$141</definedName>
    <definedName name="_xlnm._FilterDatabase" localSheetId="0" hidden="1">'MARE MX'!$A$2:$CC$475</definedName>
    <definedName name="_xlnm._FilterDatabase" localSheetId="6" hidden="1">'Detalle Fuga 2026'!$A$1:$O$65</definedName>
  </definedNames>
  <calcPr calcId="191028"/>
  <pivotCaches>
    <pivotCache cacheId="28"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 i="3" l="1"/>
  <c r="S1" i="3"/>
  <c r="R1" i="3"/>
  <c r="Q1" i="3"/>
  <c r="P1" i="3"/>
  <c r="O1" i="3"/>
  <c r="AY703" i="3"/>
  <c r="AY702" i="3"/>
  <c r="AY701" i="3"/>
  <c r="AY700" i="3"/>
  <c r="AY699" i="3"/>
  <c r="AY698" i="3"/>
  <c r="AY697" i="3"/>
  <c r="AY696" i="3"/>
  <c r="AY695" i="3"/>
  <c r="AY694" i="3"/>
  <c r="AY693" i="3"/>
  <c r="AY692" i="3"/>
  <c r="AY691" i="3"/>
  <c r="AY690" i="3"/>
  <c r="AY689" i="3"/>
  <c r="AY688" i="3"/>
  <c r="AY687" i="3"/>
  <c r="AY686" i="3"/>
  <c r="AY685" i="3"/>
  <c r="AY684" i="3"/>
  <c r="AY683" i="3"/>
  <c r="AY682" i="3"/>
  <c r="AY681" i="3"/>
  <c r="AY680" i="3"/>
  <c r="AY679" i="3"/>
  <c r="AY678" i="3"/>
  <c r="AY677" i="3"/>
  <c r="AY676" i="3"/>
  <c r="AY675" i="3"/>
  <c r="AY674" i="3"/>
  <c r="AY673" i="3"/>
  <c r="AY672" i="3"/>
  <c r="AY671" i="3"/>
  <c r="AY670" i="3"/>
  <c r="AY669" i="3"/>
  <c r="AY668" i="3"/>
  <c r="AY667" i="3"/>
  <c r="AY666" i="3"/>
  <c r="AY665" i="3"/>
  <c r="AY664" i="3"/>
  <c r="AY663" i="3"/>
  <c r="AY662" i="3"/>
  <c r="AY661" i="3"/>
  <c r="AY660" i="3"/>
  <c r="AY659" i="3"/>
  <c r="AY658" i="3"/>
  <c r="AY657" i="3"/>
  <c r="AY656" i="3"/>
  <c r="AY655" i="3"/>
  <c r="AY654" i="3"/>
  <c r="AY653" i="3"/>
  <c r="AY652" i="3"/>
  <c r="AY651" i="3"/>
  <c r="AY650" i="3"/>
  <c r="AY649" i="3"/>
  <c r="AY648" i="3"/>
  <c r="AY647" i="3"/>
  <c r="AY646" i="3"/>
  <c r="AY645" i="3"/>
  <c r="AY644" i="3"/>
  <c r="AY643" i="3"/>
  <c r="AY642" i="3"/>
  <c r="AY641" i="3"/>
  <c r="AY640" i="3"/>
  <c r="AY639" i="3"/>
  <c r="AY638" i="3"/>
  <c r="AY637" i="3"/>
  <c r="AY636" i="3"/>
  <c r="AY635" i="3"/>
  <c r="AY634" i="3"/>
  <c r="AY633" i="3"/>
  <c r="AY632" i="3"/>
  <c r="AY631" i="3"/>
  <c r="AY630" i="3"/>
  <c r="AY629" i="3"/>
  <c r="AY628" i="3"/>
  <c r="AY627" i="3"/>
  <c r="AY626" i="3"/>
  <c r="AY625" i="3"/>
  <c r="AY624" i="3"/>
  <c r="AY623" i="3"/>
  <c r="AY622" i="3"/>
  <c r="AY621" i="3"/>
  <c r="AY620" i="3"/>
  <c r="AY619" i="3"/>
  <c r="AY618" i="3"/>
  <c r="AY617" i="3"/>
  <c r="AY616" i="3"/>
  <c r="AY615" i="3"/>
  <c r="AY614" i="3"/>
  <c r="AY613" i="3"/>
  <c r="AY612" i="3"/>
  <c r="AY611" i="3"/>
  <c r="AY610" i="3"/>
  <c r="AY609" i="3"/>
  <c r="AY608" i="3"/>
  <c r="AY607" i="3"/>
  <c r="AY606" i="3"/>
  <c r="AY605" i="3"/>
  <c r="AY604" i="3"/>
  <c r="AY603" i="3"/>
  <c r="AY602" i="3"/>
  <c r="AY601" i="3"/>
  <c r="AY600" i="3"/>
  <c r="AY599" i="3"/>
  <c r="AY598" i="3"/>
  <c r="AY597" i="3"/>
  <c r="AY596" i="3"/>
  <c r="AY595" i="3"/>
  <c r="AY594" i="3"/>
  <c r="AY593" i="3"/>
  <c r="AY592" i="3"/>
  <c r="AY591" i="3"/>
  <c r="AY590" i="3"/>
  <c r="AY589" i="3"/>
  <c r="AY588" i="3"/>
  <c r="AY587" i="3"/>
  <c r="AY586" i="3"/>
  <c r="AY585" i="3"/>
  <c r="AY584" i="3"/>
  <c r="AY583" i="3"/>
  <c r="AY582" i="3"/>
  <c r="AY581" i="3"/>
  <c r="AY580" i="3"/>
  <c r="AY579" i="3"/>
  <c r="AY578" i="3"/>
  <c r="AY577" i="3"/>
  <c r="AY576" i="3"/>
  <c r="AY575" i="3"/>
  <c r="AY574" i="3"/>
  <c r="AY573" i="3"/>
  <c r="AY572" i="3"/>
  <c r="AY571" i="3"/>
  <c r="AY570" i="3"/>
  <c r="AY569" i="3"/>
  <c r="AY568" i="3"/>
  <c r="AY567" i="3"/>
  <c r="AY566" i="3"/>
  <c r="AY565" i="3"/>
  <c r="AY564" i="3"/>
  <c r="AY563" i="3"/>
  <c r="AY562" i="3"/>
  <c r="AY561" i="3"/>
  <c r="AY560" i="3"/>
  <c r="AY559" i="3"/>
  <c r="AY558" i="3"/>
  <c r="AY557" i="3"/>
  <c r="AY556" i="3"/>
  <c r="AY555" i="3"/>
  <c r="AY554" i="3"/>
  <c r="AY553" i="3"/>
  <c r="AY552" i="3"/>
  <c r="AY551" i="3"/>
  <c r="AY550" i="3"/>
  <c r="AY549" i="3"/>
  <c r="AY548" i="3"/>
  <c r="AY547" i="3"/>
  <c r="AY546" i="3"/>
  <c r="AY545" i="3"/>
  <c r="AY544" i="3"/>
  <c r="AY543" i="3"/>
  <c r="AY542" i="3"/>
  <c r="AY541" i="3"/>
  <c r="AY540" i="3"/>
  <c r="AY539" i="3"/>
  <c r="AY538" i="3"/>
  <c r="AY537" i="3"/>
  <c r="AY536" i="3"/>
  <c r="AY535" i="3"/>
  <c r="AY534" i="3"/>
  <c r="AY533" i="3"/>
  <c r="AY532" i="3"/>
  <c r="AY531" i="3"/>
  <c r="AY530" i="3"/>
  <c r="AY529" i="3"/>
  <c r="AY528" i="3"/>
  <c r="AY527" i="3"/>
  <c r="AY526" i="3"/>
  <c r="AY525" i="3"/>
  <c r="AY524" i="3"/>
  <c r="AY523" i="3"/>
  <c r="AY522" i="3"/>
  <c r="AY521" i="3"/>
  <c r="AY520" i="3"/>
  <c r="AY519" i="3"/>
  <c r="AY518" i="3"/>
  <c r="AY517" i="3"/>
  <c r="AY516" i="3"/>
  <c r="AY515" i="3"/>
  <c r="AY514" i="3"/>
  <c r="AY513" i="3"/>
  <c r="AY512" i="3"/>
  <c r="AY511" i="3"/>
  <c r="AY510" i="3"/>
  <c r="AY509" i="3"/>
  <c r="AY508" i="3"/>
  <c r="AY507" i="3"/>
  <c r="AY506" i="3"/>
  <c r="AY505" i="3"/>
  <c r="AY504" i="3"/>
  <c r="AY503" i="3"/>
  <c r="AY502" i="3"/>
  <c r="AY501" i="3"/>
  <c r="AY500" i="3"/>
  <c r="AY499" i="3"/>
  <c r="AY498" i="3"/>
  <c r="AY497" i="3"/>
  <c r="AY496" i="3"/>
  <c r="AY495" i="3"/>
  <c r="AY494" i="3"/>
  <c r="AY493" i="3"/>
  <c r="AY492" i="3"/>
  <c r="AY491" i="3"/>
  <c r="AY490" i="3"/>
  <c r="AY489" i="3"/>
  <c r="AY488" i="3"/>
  <c r="AY487" i="3"/>
  <c r="AY486" i="3"/>
  <c r="AY485" i="3"/>
  <c r="AY484" i="3"/>
  <c r="AY483" i="3"/>
  <c r="AY482" i="3"/>
  <c r="AY481" i="3"/>
  <c r="AY480" i="3"/>
  <c r="AY479" i="3"/>
  <c r="AY478" i="3"/>
  <c r="AY477" i="3"/>
  <c r="AY476" i="3"/>
  <c r="AY475" i="3"/>
  <c r="AY474" i="3"/>
  <c r="AY473" i="3"/>
  <c r="AY472" i="3"/>
  <c r="AY471" i="3"/>
  <c r="AY470" i="3"/>
  <c r="AY469" i="3"/>
  <c r="AY468" i="3"/>
  <c r="AY467" i="3"/>
  <c r="AY466" i="3"/>
  <c r="AY465" i="3"/>
  <c r="AY464" i="3"/>
  <c r="AY463" i="3"/>
  <c r="AY462" i="3"/>
  <c r="AY461" i="3"/>
  <c r="AY460" i="3"/>
  <c r="AY459" i="3"/>
  <c r="AY458" i="3"/>
  <c r="AY457" i="3"/>
  <c r="AY456" i="3"/>
  <c r="AY455" i="3"/>
  <c r="AY454" i="3"/>
  <c r="AY453" i="3"/>
  <c r="AY452" i="3"/>
  <c r="AY451" i="3"/>
  <c r="AY450" i="3"/>
  <c r="AY449" i="3"/>
  <c r="AY448" i="3"/>
  <c r="AY447" i="3"/>
  <c r="AY446" i="3"/>
  <c r="AY445" i="3"/>
  <c r="AY444" i="3"/>
  <c r="AY443" i="3"/>
  <c r="AY442" i="3"/>
  <c r="AY441" i="3"/>
  <c r="AY440" i="3"/>
  <c r="AY439" i="3"/>
  <c r="AY438" i="3"/>
  <c r="AY437" i="3"/>
  <c r="AY436" i="3"/>
  <c r="AY435" i="3"/>
  <c r="AY434" i="3"/>
  <c r="AY433" i="3"/>
  <c r="AY432" i="3"/>
  <c r="AY431" i="3"/>
  <c r="AY430" i="3"/>
  <c r="AY429" i="3"/>
  <c r="AY428" i="3"/>
  <c r="AY427" i="3"/>
  <c r="AY426" i="3"/>
  <c r="AY425" i="3"/>
  <c r="AY424" i="3"/>
  <c r="AY423" i="3"/>
  <c r="AY422" i="3"/>
  <c r="AY421" i="3"/>
  <c r="AY420" i="3"/>
  <c r="AY419" i="3"/>
  <c r="AY418" i="3"/>
  <c r="AY417" i="3"/>
  <c r="AY416" i="3"/>
  <c r="AY415" i="3"/>
  <c r="AY414" i="3"/>
  <c r="AY413" i="3"/>
  <c r="AY412" i="3"/>
  <c r="AY411" i="3"/>
  <c r="AY410" i="3"/>
  <c r="AY409" i="3"/>
  <c r="AY408" i="3"/>
  <c r="AY407" i="3"/>
  <c r="AY406" i="3"/>
  <c r="AY405" i="3"/>
  <c r="AY404" i="3"/>
  <c r="AY403" i="3"/>
  <c r="AY402" i="3"/>
  <c r="AY401" i="3"/>
  <c r="AY400" i="3"/>
  <c r="AY399" i="3"/>
  <c r="AY398" i="3"/>
  <c r="AY397" i="3"/>
  <c r="AY396" i="3"/>
  <c r="AY395" i="3"/>
  <c r="AY394" i="3"/>
  <c r="AY393" i="3"/>
  <c r="AY392" i="3"/>
  <c r="AY391" i="3"/>
  <c r="AY390" i="3"/>
  <c r="AY389" i="3"/>
  <c r="AY388" i="3"/>
  <c r="AY387" i="3"/>
  <c r="AY386" i="3"/>
  <c r="AY385" i="3"/>
  <c r="AY383" i="3"/>
  <c r="AY381" i="3"/>
  <c r="AY380" i="3"/>
  <c r="AY379" i="3"/>
  <c r="AY378" i="3"/>
  <c r="AY377" i="3"/>
  <c r="AY376" i="3"/>
  <c r="AY375" i="3"/>
  <c r="AY373" i="3"/>
  <c r="AY372" i="3"/>
  <c r="AY371" i="3"/>
  <c r="AY370" i="3"/>
  <c r="AY368" i="3"/>
  <c r="AY359" i="3"/>
  <c r="AY313" i="3"/>
  <c r="AY305" i="3"/>
  <c r="AY304" i="3"/>
  <c r="AY302" i="3"/>
  <c r="AY299" i="3"/>
  <c r="AY298" i="3"/>
  <c r="AY297" i="3"/>
  <c r="AY296" i="3"/>
  <c r="AY295" i="3"/>
  <c r="AY294" i="3"/>
  <c r="AY293" i="3"/>
  <c r="AY292" i="3"/>
  <c r="AY291" i="3"/>
  <c r="AY290" i="3"/>
  <c r="AY289" i="3"/>
  <c r="AY288" i="3"/>
  <c r="AY287" i="3"/>
  <c r="AY286" i="3"/>
  <c r="AY285" i="3"/>
  <c r="AY284" i="3"/>
  <c r="AY283" i="3"/>
  <c r="AY282" i="3"/>
  <c r="AY281" i="3"/>
  <c r="AY280" i="3"/>
  <c r="AY279" i="3"/>
  <c r="AY278" i="3"/>
  <c r="AY277" i="3"/>
  <c r="AY276" i="3"/>
  <c r="AY275" i="3"/>
  <c r="AY274" i="3"/>
  <c r="AY273" i="3"/>
  <c r="AY272" i="3"/>
  <c r="AY271" i="3"/>
  <c r="AY270" i="3"/>
  <c r="AY269" i="3"/>
  <c r="AY268" i="3"/>
  <c r="AY267" i="3"/>
  <c r="AY266" i="3"/>
  <c r="AY265" i="3"/>
  <c r="AY264" i="3"/>
  <c r="AY263" i="3"/>
  <c r="AY262" i="3"/>
  <c r="AY261" i="3"/>
  <c r="AY260" i="3"/>
  <c r="AY259" i="3"/>
  <c r="AY258" i="3"/>
  <c r="AY257" i="3"/>
  <c r="AY256" i="3"/>
  <c r="AY255" i="3"/>
  <c r="AY254" i="3"/>
  <c r="AY253" i="3"/>
  <c r="AY252" i="3"/>
  <c r="AY251" i="3"/>
  <c r="AY250" i="3"/>
  <c r="AY249" i="3"/>
  <c r="AY248" i="3"/>
  <c r="AY247" i="3"/>
  <c r="AY246" i="3"/>
  <c r="AY245" i="3"/>
  <c r="AY244" i="3"/>
  <c r="AY243" i="3"/>
  <c r="AY242" i="3"/>
  <c r="AY241" i="3"/>
  <c r="AY240" i="3"/>
  <c r="AY239" i="3"/>
  <c r="AY238" i="3"/>
  <c r="AY237" i="3"/>
  <c r="AY236" i="3"/>
  <c r="AY235" i="3"/>
  <c r="AY234" i="3"/>
  <c r="AY233" i="3"/>
  <c r="AY232" i="3"/>
  <c r="AY231" i="3"/>
  <c r="AY230" i="3"/>
  <c r="AY229" i="3"/>
  <c r="AY228" i="3"/>
  <c r="AY227" i="3"/>
  <c r="AY226" i="3"/>
  <c r="AY225" i="3"/>
  <c r="AY224" i="3"/>
  <c r="AY223" i="3"/>
  <c r="AY222" i="3"/>
  <c r="AY221" i="3"/>
  <c r="AY220" i="3"/>
  <c r="AY219" i="3"/>
  <c r="AY218" i="3"/>
  <c r="AY217" i="3"/>
  <c r="AY216" i="3"/>
  <c r="AY215" i="3"/>
  <c r="AY214" i="3"/>
  <c r="AY213" i="3"/>
  <c r="AY212" i="3"/>
  <c r="AY211" i="3"/>
  <c r="AY210" i="3"/>
  <c r="AY209" i="3"/>
  <c r="AY208" i="3"/>
  <c r="AY207" i="3"/>
  <c r="AY206" i="3"/>
  <c r="AY205" i="3"/>
  <c r="AY204" i="3"/>
  <c r="AY203" i="3"/>
  <c r="AY202" i="3"/>
  <c r="AY201" i="3"/>
  <c r="AY200" i="3"/>
  <c r="AY199" i="3"/>
  <c r="AY198" i="3"/>
  <c r="AY197" i="3"/>
  <c r="AY196" i="3"/>
  <c r="AY195" i="3"/>
  <c r="AY384" i="3"/>
  <c r="AY382" i="3"/>
  <c r="AY374" i="3"/>
  <c r="AY194" i="3"/>
  <c r="AY193" i="3"/>
  <c r="AY192" i="3"/>
  <c r="AY191" i="3"/>
  <c r="AY190" i="3"/>
  <c r="AY189" i="3"/>
  <c r="AY188" i="3"/>
  <c r="AY187" i="3"/>
  <c r="AY186" i="3"/>
  <c r="AY185" i="3"/>
  <c r="AY184" i="3"/>
  <c r="AY183" i="3"/>
  <c r="AY182" i="3"/>
  <c r="AY181" i="3"/>
  <c r="AY180" i="3"/>
  <c r="AY369" i="3"/>
  <c r="AY179" i="3"/>
  <c r="AY178" i="3"/>
  <c r="AY177" i="3"/>
  <c r="AY176" i="3"/>
  <c r="AY175" i="3"/>
  <c r="AY174" i="3"/>
  <c r="AY173" i="3"/>
  <c r="AY367" i="3"/>
  <c r="AY366" i="3"/>
  <c r="AY365" i="3"/>
  <c r="AY172" i="3"/>
  <c r="AY364" i="3"/>
  <c r="AY171" i="3"/>
  <c r="AY363" i="3"/>
  <c r="AY362" i="3"/>
  <c r="AY170" i="3"/>
  <c r="AY361" i="3"/>
  <c r="AY360" i="3"/>
  <c r="AY169" i="3"/>
  <c r="AY102" i="3"/>
  <c r="AY358" i="3"/>
  <c r="AY168" i="3"/>
  <c r="AY167" i="3"/>
  <c r="AY357" i="3"/>
  <c r="AY356" i="3"/>
  <c r="AY166" i="3"/>
  <c r="AY165" i="3"/>
  <c r="AY355" i="3"/>
  <c r="AY164" i="3"/>
  <c r="AY354" i="3"/>
  <c r="AY353" i="3"/>
  <c r="AY352" i="3"/>
  <c r="AY163" i="3"/>
  <c r="AY351" i="3"/>
  <c r="AY350" i="3"/>
  <c r="AY162" i="3"/>
  <c r="AY349" i="3"/>
  <c r="AY161" i="3"/>
  <c r="AY160" i="3"/>
  <c r="AY159" i="3"/>
  <c r="AY348" i="3"/>
  <c r="AY347" i="3"/>
  <c r="AY346" i="3"/>
  <c r="AY158" i="3"/>
  <c r="AY157" i="3"/>
  <c r="AY345" i="3"/>
  <c r="AY156" i="3"/>
  <c r="AY155" i="3"/>
  <c r="AY154" i="3"/>
  <c r="AY153" i="3"/>
  <c r="AY152" i="3"/>
  <c r="AY151" i="3"/>
  <c r="AY150" i="3"/>
  <c r="AY149" i="3"/>
  <c r="AY148" i="3"/>
  <c r="AY147" i="3"/>
  <c r="AY344" i="3"/>
  <c r="AY343" i="3"/>
  <c r="AY342" i="3"/>
  <c r="AY146" i="3"/>
  <c r="AY341" i="3"/>
  <c r="AY340" i="3"/>
  <c r="AY339" i="3"/>
  <c r="AY145" i="3"/>
  <c r="AY338" i="3"/>
  <c r="AY337" i="3"/>
  <c r="AY336" i="3"/>
  <c r="AY335" i="3"/>
  <c r="AY144" i="3"/>
  <c r="AY143" i="3"/>
  <c r="AY142" i="3"/>
  <c r="AY334" i="3"/>
  <c r="AY333" i="3"/>
  <c r="AY141" i="3"/>
  <c r="AY140" i="3"/>
  <c r="AY139" i="3"/>
  <c r="AY138" i="3"/>
  <c r="AY137" i="3"/>
  <c r="AY136" i="3"/>
  <c r="AY332" i="3"/>
  <c r="AY135" i="3"/>
  <c r="AY331" i="3"/>
  <c r="AY330" i="3"/>
  <c r="AY134" i="3"/>
  <c r="AY329" i="3"/>
  <c r="AY133" i="3"/>
  <c r="AY328" i="3"/>
  <c r="AY327" i="3"/>
  <c r="AY132" i="3"/>
  <c r="AY326" i="3"/>
  <c r="AY131" i="3"/>
  <c r="AY325" i="3"/>
  <c r="AY324" i="3"/>
  <c r="AY323" i="3"/>
  <c r="AY322" i="3"/>
  <c r="AY130" i="3"/>
  <c r="AY321" i="3"/>
  <c r="AY320" i="3"/>
  <c r="AY129" i="3"/>
  <c r="AY319" i="3"/>
  <c r="AY318" i="3"/>
  <c r="AY317" i="3"/>
  <c r="AY128" i="3"/>
  <c r="AY316" i="3"/>
  <c r="AY315" i="3"/>
  <c r="AY314" i="3"/>
  <c r="AY312" i="3"/>
  <c r="AY127" i="3"/>
  <c r="AY311" i="3"/>
  <c r="AY310" i="3"/>
  <c r="AY126" i="3"/>
  <c r="AY309" i="3"/>
  <c r="AY308" i="3"/>
  <c r="AY307" i="3"/>
  <c r="AY125" i="3"/>
  <c r="AY306" i="3"/>
  <c r="AY303" i="3"/>
  <c r="AY301" i="3"/>
  <c r="AY300" i="3"/>
  <c r="AY124" i="3"/>
  <c r="AY123" i="3"/>
  <c r="AY122" i="3"/>
  <c r="AY121" i="3"/>
  <c r="AY120" i="3"/>
  <c r="AY119" i="3"/>
  <c r="AY118" i="3"/>
  <c r="AY117" i="3"/>
  <c r="AY116" i="3"/>
  <c r="AY115" i="3"/>
  <c r="AY114" i="3"/>
  <c r="AY113" i="3"/>
  <c r="AY112" i="3"/>
  <c r="AY111" i="3"/>
  <c r="AY110" i="3"/>
  <c r="AY109" i="3"/>
  <c r="AY108" i="3"/>
  <c r="AY107" i="3"/>
  <c r="AY106" i="3"/>
  <c r="AY105" i="3"/>
  <c r="AY104" i="3"/>
  <c r="AY103" i="3"/>
  <c r="AY101" i="3"/>
  <c r="AY100" i="3"/>
  <c r="AY99" i="3"/>
  <c r="AY98" i="3"/>
  <c r="AY97" i="3"/>
  <c r="AY96" i="3"/>
  <c r="AY95" i="3"/>
  <c r="AY94" i="3"/>
  <c r="AY93" i="3"/>
  <c r="AY92" i="3"/>
  <c r="AY91" i="3"/>
  <c r="AY90" i="3"/>
  <c r="AY89" i="3"/>
  <c r="AY88" i="3"/>
  <c r="AY87" i="3"/>
  <c r="AY86" i="3"/>
  <c r="AY85" i="3"/>
  <c r="AY84" i="3"/>
  <c r="AY83" i="3"/>
  <c r="AY82" i="3"/>
  <c r="AY81" i="3"/>
  <c r="AY80" i="3"/>
  <c r="AY79" i="3"/>
  <c r="AY78" i="3"/>
  <c r="AY77" i="3"/>
  <c r="AY76" i="3"/>
  <c r="AY75" i="3"/>
  <c r="AY74" i="3"/>
  <c r="AY73" i="3"/>
  <c r="AY72" i="3"/>
  <c r="AY71" i="3"/>
  <c r="AY70" i="3"/>
  <c r="AY69" i="3"/>
  <c r="AY68" i="3"/>
  <c r="AY67" i="3"/>
  <c r="AY66" i="3"/>
  <c r="AY65" i="3"/>
  <c r="AY64" i="3"/>
  <c r="AY63" i="3"/>
  <c r="AY62" i="3"/>
  <c r="AY61" i="3"/>
  <c r="AY60" i="3"/>
  <c r="AY59" i="3"/>
  <c r="AY58" i="3"/>
  <c r="AY57" i="3"/>
  <c r="AY56" i="3"/>
  <c r="AY55" i="3"/>
  <c r="AY54" i="3"/>
  <c r="AY53" i="3"/>
  <c r="AY52" i="3"/>
  <c r="AY51" i="3"/>
  <c r="AY50" i="3"/>
  <c r="AY49" i="3"/>
  <c r="AY48" i="3"/>
  <c r="AY47" i="3"/>
  <c r="AY46" i="3"/>
  <c r="AY45" i="3"/>
  <c r="AY44" i="3"/>
  <c r="AY43" i="3"/>
  <c r="AY42" i="3"/>
  <c r="AY41" i="3"/>
  <c r="AY40" i="3"/>
  <c r="AY39" i="3"/>
  <c r="AY38" i="3"/>
  <c r="AY37" i="3"/>
  <c r="AY36" i="3"/>
  <c r="AY35" i="3"/>
  <c r="AY34" i="3"/>
  <c r="AY33" i="3"/>
  <c r="AY32" i="3"/>
  <c r="AY31" i="3"/>
  <c r="AY30" i="3"/>
  <c r="AY29" i="3"/>
  <c r="AY28" i="3"/>
  <c r="AY27" i="3"/>
  <c r="AY26" i="3"/>
  <c r="AY25" i="3"/>
  <c r="AY24" i="3"/>
  <c r="AY23" i="3"/>
  <c r="AY22" i="3"/>
  <c r="AY21" i="3"/>
  <c r="AY20" i="3"/>
  <c r="AY19" i="3"/>
  <c r="AY18" i="3"/>
  <c r="AY17" i="3"/>
  <c r="AY16" i="3"/>
  <c r="AY15" i="3"/>
  <c r="AY14" i="3"/>
  <c r="AY13" i="3"/>
  <c r="AY12" i="3"/>
  <c r="AY11" i="3"/>
  <c r="AY10" i="3"/>
  <c r="AY9" i="3"/>
  <c r="AY8" i="3"/>
  <c r="AY7" i="3"/>
  <c r="AY6" i="3"/>
  <c r="AY5" i="3"/>
  <c r="AY4" i="3"/>
  <c r="AY3" i="3"/>
  <c r="H27" i="29"/>
  <c r="H25" i="29"/>
  <c r="H24" i="29"/>
  <c r="H18" i="29"/>
  <c r="H16" i="29"/>
  <c r="H7" i="29"/>
  <c r="H6" i="29"/>
  <c r="Q102" i="24"/>
  <c r="M102" i="24"/>
  <c r="N102" i="24" s="1"/>
  <c r="M96" i="24"/>
  <c r="N96" i="24" s="1"/>
  <c r="M99" i="24"/>
  <c r="N99" i="24" s="1"/>
  <c r="M98" i="24"/>
  <c r="N98" i="24" s="1"/>
  <c r="M97" i="24"/>
  <c r="N97" i="24" s="1"/>
  <c r="M95" i="24"/>
  <c r="N95" i="24" s="1"/>
  <c r="Q42" i="24"/>
  <c r="N80" i="24"/>
  <c r="Q68" i="24"/>
  <c r="M68" i="24"/>
  <c r="N68" i="24" s="1"/>
  <c r="H15" i="29" s="1"/>
  <c r="M79" i="24"/>
  <c r="N79" i="24" s="1"/>
  <c r="M78" i="24"/>
  <c r="N78" i="24" s="1"/>
  <c r="M77" i="24"/>
  <c r="N77" i="24" s="1"/>
  <c r="M76" i="24"/>
  <c r="N76" i="24"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216"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27" i="24"/>
  <c r="N127" i="24"/>
  <c r="M128" i="24"/>
  <c r="N128" i="24"/>
  <c r="M129" i="24"/>
  <c r="N129" i="24"/>
  <c r="M130" i="24"/>
  <c r="N130" i="24"/>
  <c r="N126" i="24"/>
  <c r="N125"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4" i="24"/>
  <c r="N93" i="24"/>
  <c r="D459" i="3"/>
  <c r="M92" i="24"/>
  <c r="N92"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6" i="24"/>
  <c r="Q67" i="24"/>
  <c r="Q69" i="24"/>
  <c r="Q36" i="24"/>
  <c r="Q87" i="24"/>
  <c r="Q89" i="24"/>
  <c r="Q90" i="24"/>
  <c r="Q107" i="24"/>
  <c r="Q108" i="24"/>
  <c r="Q112" i="24"/>
  <c r="Q109" i="24"/>
  <c r="Q110" i="24"/>
  <c r="Q111" i="24"/>
  <c r="Q113" i="24"/>
  <c r="Q121" i="24"/>
  <c r="Q122" i="24"/>
  <c r="Q123" i="24"/>
  <c r="Q114" i="24"/>
  <c r="Q115" i="24"/>
  <c r="Q116" i="24"/>
  <c r="Q117" i="24"/>
  <c r="Q118" i="24"/>
  <c r="Q119" i="24"/>
  <c r="Q120" i="24"/>
  <c r="Q37" i="24"/>
  <c r="Q38" i="24"/>
  <c r="Q39" i="24"/>
  <c r="Q40" i="24"/>
  <c r="Q41" i="24"/>
  <c r="Q43" i="24"/>
  <c r="Q44" i="24"/>
  <c r="Q45" i="24"/>
  <c r="Q46" i="24"/>
  <c r="Q47" i="24"/>
  <c r="Q48" i="24"/>
  <c r="Q49" i="24"/>
  <c r="Q50" i="24"/>
  <c r="Q82" i="24"/>
  <c r="Q85" i="24"/>
  <c r="Q51" i="24"/>
  <c r="Q53" i="24"/>
  <c r="Q100" i="24"/>
  <c r="Q84" i="24"/>
  <c r="Q54" i="24"/>
  <c r="Q86" i="24"/>
  <c r="Q104" i="24"/>
  <c r="Q105" i="24"/>
  <c r="Q124" i="24"/>
  <c r="Q101" i="24"/>
  <c r="Q57" i="24"/>
  <c r="Q58" i="24"/>
  <c r="Q142" i="24"/>
  <c r="Q143" i="24"/>
  <c r="Q103" i="24"/>
  <c r="Q106"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4" i="24"/>
  <c r="Q64" i="24"/>
  <c r="M116" i="24"/>
  <c r="N116" i="24" s="1"/>
  <c r="M115" i="24"/>
  <c r="N115" i="24" s="1"/>
  <c r="I52" i="4"/>
  <c r="D165" i="3"/>
  <c r="M88" i="24"/>
  <c r="N88" i="24" s="1"/>
  <c r="M120" i="24"/>
  <c r="N120" i="24" s="1"/>
  <c r="M119" i="24"/>
  <c r="N119" i="24" s="1"/>
  <c r="M90" i="24"/>
  <c r="N90" i="24" s="1"/>
  <c r="H4" i="29" s="1"/>
  <c r="M87" i="24"/>
  <c r="N87" i="24" s="1"/>
  <c r="M83" i="24"/>
  <c r="N83" i="24" s="1"/>
  <c r="N86"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L3" i="8"/>
  <c r="C3" i="8"/>
  <c r="M47" i="24"/>
  <c r="N47" i="24" s="1"/>
  <c r="M74" i="24"/>
  <c r="N74" i="24" s="1"/>
  <c r="N69" i="24"/>
  <c r="N106" i="24"/>
  <c r="N45" i="24"/>
  <c r="F6" i="29" s="1"/>
  <c r="N104" i="24"/>
  <c r="N41" i="24"/>
  <c r="E6" i="29" s="1"/>
  <c r="M121" i="24"/>
  <c r="N121" i="24" s="1"/>
  <c r="M122" i="24"/>
  <c r="N122" i="24" s="1"/>
  <c r="M123" i="24"/>
  <c r="N123" i="24" s="1"/>
  <c r="M117" i="24"/>
  <c r="N117" i="24" s="1"/>
  <c r="M118" i="24"/>
  <c r="N118" i="24" s="1"/>
  <c r="M28" i="24"/>
  <c r="N28" i="24" s="1"/>
  <c r="M70" i="24"/>
  <c r="N70" i="24" s="1"/>
  <c r="M71" i="24"/>
  <c r="N71" i="24" s="1"/>
  <c r="M72" i="24"/>
  <c r="N72" i="24" s="1"/>
  <c r="N64" i="24"/>
  <c r="M27" i="24"/>
  <c r="N27" i="24" s="1"/>
  <c r="E14" i="29" s="1"/>
  <c r="N62" i="24"/>
  <c r="M61" i="24"/>
  <c r="N61" i="24" s="1"/>
  <c r="M124" i="24"/>
  <c r="N124" i="24" s="1"/>
  <c r="M89" i="24"/>
  <c r="N89" i="24" s="1"/>
  <c r="M48" i="24"/>
  <c r="N48" i="24" s="1"/>
  <c r="M82" i="24"/>
  <c r="N82" i="24" s="1"/>
  <c r="M84" i="24"/>
  <c r="N84" i="24" s="1"/>
  <c r="M108" i="24"/>
  <c r="N108" i="24" s="1"/>
  <c r="M112" i="24"/>
  <c r="N112"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09" i="24"/>
  <c r="M59" i="24"/>
  <c r="N59" i="24" s="1"/>
  <c r="F22" i="29" s="1"/>
  <c r="M107" i="24"/>
  <c r="M44" i="24"/>
  <c r="N44" i="24" s="1"/>
  <c r="M51" i="24"/>
  <c r="N51" i="24" s="1"/>
  <c r="M53" i="24"/>
  <c r="N53" i="24" s="1"/>
  <c r="M85" i="24"/>
  <c r="N85" i="24" s="1"/>
  <c r="M105" i="24"/>
  <c r="N105" i="24" s="1"/>
  <c r="N110" i="24"/>
  <c r="N111" i="24"/>
  <c r="M113" i="24"/>
  <c r="N113" i="24" s="1"/>
  <c r="M114" i="24"/>
  <c r="N114" i="24" s="1"/>
  <c r="M91" i="24"/>
  <c r="N91" i="24" s="1"/>
  <c r="M35" i="24"/>
  <c r="N35" i="24" s="1"/>
  <c r="M32" i="24"/>
  <c r="N32" i="24" s="1"/>
  <c r="M66" i="24"/>
  <c r="N66" i="24" s="1"/>
  <c r="H13" i="29" s="1"/>
  <c r="M67" i="24"/>
  <c r="N67" i="24" s="1"/>
  <c r="M63" i="24"/>
  <c r="N63" i="24" s="1"/>
  <c r="M33" i="24"/>
  <c r="N33" i="24" s="1"/>
  <c r="M65" i="24"/>
  <c r="N65" i="24" s="1"/>
  <c r="M46" i="24"/>
  <c r="N46" i="24" s="1"/>
  <c r="M101" i="24"/>
  <c r="N101" i="24" s="1"/>
  <c r="H22" i="29" s="1"/>
  <c r="M100" i="24"/>
  <c r="N100" i="24" s="1"/>
  <c r="M142" i="24"/>
  <c r="N142" i="24" s="1"/>
  <c r="M143" i="24"/>
  <c r="N143"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A78" i="3"/>
  <c r="BB78" i="3"/>
  <c r="CA78" i="3"/>
  <c r="CC78" i="3"/>
  <c r="D103" i="3"/>
  <c r="BA103" i="3"/>
  <c r="BB103" i="3"/>
  <c r="CA103" i="3"/>
  <c r="CC103" i="3"/>
  <c r="D449" i="3"/>
  <c r="BA449" i="3"/>
  <c r="BB449" i="3"/>
  <c r="CA449" i="3"/>
  <c r="CC449" i="3"/>
  <c r="D104" i="3"/>
  <c r="BA104" i="3"/>
  <c r="BB104" i="3"/>
  <c r="CA104" i="3"/>
  <c r="CC104" i="3"/>
  <c r="D105" i="3"/>
  <c r="BA105" i="3"/>
  <c r="BB105" i="3"/>
  <c r="CA105" i="3"/>
  <c r="CC105" i="3"/>
  <c r="D107" i="3"/>
  <c r="BA107" i="3"/>
  <c r="BB107" i="3"/>
  <c r="CA107" i="3"/>
  <c r="CC107" i="3"/>
  <c r="D188" i="3"/>
  <c r="BA188" i="3"/>
  <c r="CA188" i="3"/>
  <c r="CC188" i="3"/>
  <c r="D189" i="3"/>
  <c r="BA189" i="3"/>
  <c r="BB189" i="3"/>
  <c r="CA189" i="3"/>
  <c r="CC189" i="3"/>
  <c r="D190" i="3"/>
  <c r="BA190" i="3"/>
  <c r="BB190" i="3"/>
  <c r="CA190" i="3"/>
  <c r="CC190" i="3"/>
  <c r="D191" i="3"/>
  <c r="BA191" i="3"/>
  <c r="BB191" i="3"/>
  <c r="CA191" i="3"/>
  <c r="CC191" i="3"/>
  <c r="D187" i="3"/>
  <c r="BA187" i="3"/>
  <c r="BB187" i="3"/>
  <c r="CA187" i="3"/>
  <c r="CC187" i="3"/>
  <c r="D186" i="3"/>
  <c r="BA186" i="3"/>
  <c r="BB186" i="3"/>
  <c r="CA186" i="3"/>
  <c r="CC186" i="3"/>
  <c r="D185" i="3"/>
  <c r="BA185" i="3"/>
  <c r="BB185" i="3"/>
  <c r="CA185" i="3"/>
  <c r="CC185" i="3"/>
  <c r="D184" i="3"/>
  <c r="BA184" i="3"/>
  <c r="BB184" i="3"/>
  <c r="CA184" i="3"/>
  <c r="CC184" i="3"/>
  <c r="D183" i="3"/>
  <c r="BA183" i="3"/>
  <c r="BB183" i="3"/>
  <c r="CA183" i="3"/>
  <c r="CC183" i="3"/>
  <c r="D178" i="3"/>
  <c r="BA178" i="3"/>
  <c r="BB178" i="3"/>
  <c r="CA178" i="3"/>
  <c r="CC178" i="3"/>
  <c r="D176" i="3"/>
  <c r="BA176" i="3"/>
  <c r="BB176" i="3"/>
  <c r="CA176" i="3"/>
  <c r="CC176" i="3"/>
  <c r="D177" i="3"/>
  <c r="BA177" i="3"/>
  <c r="BB177" i="3"/>
  <c r="CA177" i="3"/>
  <c r="CC177" i="3"/>
  <c r="D180" i="3"/>
  <c r="BA180" i="3"/>
  <c r="BB180" i="3"/>
  <c r="CA180" i="3"/>
  <c r="CC180" i="3"/>
  <c r="D182" i="3"/>
  <c r="BA182" i="3"/>
  <c r="BB182" i="3"/>
  <c r="CA182" i="3"/>
  <c r="CC182" i="3"/>
  <c r="D181" i="3"/>
  <c r="BA181" i="3"/>
  <c r="BB181" i="3"/>
  <c r="CA181" i="3"/>
  <c r="CC181" i="3"/>
  <c r="D172" i="3"/>
  <c r="BA172" i="3"/>
  <c r="BB172" i="3"/>
  <c r="CA172" i="3"/>
  <c r="CC172" i="3"/>
  <c r="D174" i="3"/>
  <c r="BA174" i="3"/>
  <c r="BB174" i="3"/>
  <c r="CA174" i="3"/>
  <c r="CC174" i="3"/>
  <c r="D192" i="3"/>
  <c r="BA192" i="3"/>
  <c r="BB192" i="3"/>
  <c r="CA192" i="3"/>
  <c r="CC192" i="3"/>
  <c r="D170" i="3"/>
  <c r="BA170" i="3"/>
  <c r="BB170" i="3"/>
  <c r="CA170" i="3"/>
  <c r="CC170" i="3"/>
  <c r="D166" i="3"/>
  <c r="BA166" i="3"/>
  <c r="BB166" i="3"/>
  <c r="CA166" i="3"/>
  <c r="CC166" i="3"/>
  <c r="D168" i="3"/>
  <c r="BA168" i="3"/>
  <c r="BB168" i="3"/>
  <c r="CA168" i="3"/>
  <c r="CC168" i="3"/>
  <c r="D154" i="3"/>
  <c r="BA154" i="3"/>
  <c r="BB154" i="3"/>
  <c r="CA154" i="3"/>
  <c r="CC154" i="3"/>
  <c r="BA165" i="3"/>
  <c r="BB165" i="3"/>
  <c r="CA165" i="3"/>
  <c r="CC165" i="3"/>
  <c r="D171" i="3"/>
  <c r="BA171" i="3"/>
  <c r="BB171" i="3"/>
  <c r="CA171" i="3"/>
  <c r="CC171" i="3"/>
  <c r="D163" i="3"/>
  <c r="BA163" i="3"/>
  <c r="BB163" i="3"/>
  <c r="CA163" i="3"/>
  <c r="CC163" i="3"/>
  <c r="D153" i="3"/>
  <c r="BA153" i="3"/>
  <c r="BB153" i="3"/>
  <c r="CA153" i="3"/>
  <c r="CC153" i="3"/>
  <c r="D131" i="3"/>
  <c r="BA131" i="3"/>
  <c r="BB131" i="3"/>
  <c r="CA131" i="3"/>
  <c r="CC131" i="3"/>
  <c r="D162" i="3"/>
  <c r="BA162" i="3"/>
  <c r="BB162" i="3"/>
  <c r="CA162" i="3"/>
  <c r="CC162" i="3"/>
  <c r="D167" i="3"/>
  <c r="BA167" i="3"/>
  <c r="BB167" i="3"/>
  <c r="CA167" i="3"/>
  <c r="CC167" i="3"/>
  <c r="D173" i="3"/>
  <c r="BA173" i="3"/>
  <c r="BB173" i="3"/>
  <c r="CA173" i="3"/>
  <c r="CC173" i="3"/>
  <c r="D164" i="3"/>
  <c r="BA164" i="3"/>
  <c r="BB164" i="3"/>
  <c r="CA164" i="3"/>
  <c r="CC164" i="3"/>
  <c r="D160" i="3"/>
  <c r="BA160" i="3"/>
  <c r="BB160" i="3"/>
  <c r="CA160" i="3"/>
  <c r="CC160" i="3"/>
  <c r="D161" i="3"/>
  <c r="BA161" i="3"/>
  <c r="BB161" i="3"/>
  <c r="CA161" i="3"/>
  <c r="CC161" i="3"/>
  <c r="D159" i="3"/>
  <c r="BA159" i="3"/>
  <c r="BB159" i="3"/>
  <c r="CA159" i="3"/>
  <c r="CC159" i="3"/>
  <c r="D155" i="3"/>
  <c r="BA155" i="3"/>
  <c r="BB155" i="3"/>
  <c r="CA155" i="3"/>
  <c r="CC155" i="3"/>
  <c r="D175" i="3"/>
  <c r="BA175" i="3"/>
  <c r="BB175" i="3"/>
  <c r="CA175" i="3"/>
  <c r="CC175" i="3"/>
  <c r="D157" i="3"/>
  <c r="BA157" i="3"/>
  <c r="BB157" i="3"/>
  <c r="CA157" i="3"/>
  <c r="CC157" i="3"/>
  <c r="D151" i="3"/>
  <c r="BA151" i="3"/>
  <c r="BB151" i="3"/>
  <c r="CA151" i="3"/>
  <c r="CC151" i="3"/>
  <c r="D150" i="3"/>
  <c r="BA150" i="3"/>
  <c r="BB150" i="3"/>
  <c r="CA150" i="3"/>
  <c r="CC150" i="3"/>
  <c r="D149" i="3"/>
  <c r="BA149" i="3"/>
  <c r="BB149" i="3"/>
  <c r="CA149" i="3"/>
  <c r="CC149" i="3"/>
  <c r="D152" i="3"/>
  <c r="BA152" i="3"/>
  <c r="BB152" i="3"/>
  <c r="CA152" i="3"/>
  <c r="CC152" i="3"/>
  <c r="D128" i="3"/>
  <c r="BA128" i="3"/>
  <c r="BB128" i="3"/>
  <c r="CA128" i="3"/>
  <c r="CC128" i="3"/>
  <c r="D146" i="3"/>
  <c r="BA146" i="3"/>
  <c r="BB146" i="3"/>
  <c r="CA146" i="3"/>
  <c r="CC146" i="3"/>
  <c r="D148" i="3"/>
  <c r="BA148" i="3"/>
  <c r="BB148" i="3"/>
  <c r="CA148" i="3"/>
  <c r="CC148" i="3"/>
  <c r="D142" i="3"/>
  <c r="BA142" i="3"/>
  <c r="BB142" i="3"/>
  <c r="CA142" i="3"/>
  <c r="CC142" i="3"/>
  <c r="D169" i="3"/>
  <c r="BA169" i="3"/>
  <c r="BB169" i="3"/>
  <c r="CA169" i="3"/>
  <c r="CC169" i="3"/>
  <c r="D145" i="3"/>
  <c r="BA145" i="3"/>
  <c r="BB145" i="3"/>
  <c r="CA145" i="3"/>
  <c r="CC145" i="3"/>
  <c r="D143" i="3"/>
  <c r="BA143" i="3"/>
  <c r="BB143" i="3"/>
  <c r="CA143" i="3"/>
  <c r="CC143" i="3"/>
  <c r="D136" i="3"/>
  <c r="BA136" i="3"/>
  <c r="BB136" i="3"/>
  <c r="CA136" i="3"/>
  <c r="CC136" i="3"/>
  <c r="D156" i="3"/>
  <c r="BA156" i="3"/>
  <c r="BB156" i="3"/>
  <c r="CA156" i="3"/>
  <c r="CC156" i="3"/>
  <c r="D179" i="3"/>
  <c r="BA179" i="3"/>
  <c r="BB179" i="3"/>
  <c r="CA179" i="3"/>
  <c r="CC179" i="3"/>
  <c r="D158" i="3"/>
  <c r="BA158" i="3"/>
  <c r="BB158" i="3"/>
  <c r="CA158" i="3"/>
  <c r="CC158" i="3"/>
  <c r="D138" i="3"/>
  <c r="BA138" i="3"/>
  <c r="BB138" i="3"/>
  <c r="CA138" i="3"/>
  <c r="CC138" i="3"/>
  <c r="D137" i="3"/>
  <c r="BA137" i="3"/>
  <c r="BB137" i="3"/>
  <c r="CA137" i="3"/>
  <c r="CC137" i="3"/>
  <c r="D140" i="3"/>
  <c r="BA140" i="3"/>
  <c r="BB140" i="3"/>
  <c r="CA140" i="3"/>
  <c r="CC140" i="3"/>
  <c r="D144" i="3"/>
  <c r="BA144" i="3"/>
  <c r="BB144" i="3"/>
  <c r="CA144" i="3"/>
  <c r="CC144" i="3"/>
  <c r="D133" i="3"/>
  <c r="BA133" i="3"/>
  <c r="BB133" i="3"/>
  <c r="CA133" i="3"/>
  <c r="CC133" i="3"/>
  <c r="D141" i="3"/>
  <c r="BA141" i="3"/>
  <c r="BB141" i="3"/>
  <c r="CA141" i="3"/>
  <c r="CC141" i="3"/>
  <c r="D132" i="3"/>
  <c r="BA132" i="3"/>
  <c r="BB132" i="3"/>
  <c r="CA132" i="3"/>
  <c r="CC132" i="3"/>
  <c r="D129" i="3"/>
  <c r="BA129" i="3"/>
  <c r="BB129" i="3"/>
  <c r="CA129" i="3"/>
  <c r="CC129" i="3"/>
  <c r="D147" i="3"/>
  <c r="BA147" i="3"/>
  <c r="BB147" i="3"/>
  <c r="CA147" i="3"/>
  <c r="CC147" i="3"/>
  <c r="D134" i="3"/>
  <c r="BA134" i="3"/>
  <c r="BB134" i="3"/>
  <c r="CA134" i="3"/>
  <c r="CC134" i="3"/>
  <c r="D127" i="3"/>
  <c r="BA127" i="3"/>
  <c r="BB127" i="3"/>
  <c r="CA127" i="3"/>
  <c r="CC127" i="3"/>
  <c r="D126" i="3"/>
  <c r="BA126" i="3"/>
  <c r="BB126" i="3"/>
  <c r="CA126" i="3"/>
  <c r="CC126" i="3"/>
  <c r="D130" i="3"/>
  <c r="BA130" i="3"/>
  <c r="BB130" i="3"/>
  <c r="CA130" i="3"/>
  <c r="CC130" i="3"/>
  <c r="D123" i="3"/>
  <c r="BA123" i="3"/>
  <c r="BB123" i="3"/>
  <c r="CA123" i="3"/>
  <c r="CC123" i="3"/>
  <c r="D122" i="3"/>
  <c r="BA122" i="3"/>
  <c r="BB122" i="3"/>
  <c r="CA122" i="3"/>
  <c r="CC122" i="3"/>
  <c r="D119" i="3"/>
  <c r="BA119" i="3"/>
  <c r="BB119" i="3"/>
  <c r="CA119" i="3"/>
  <c r="CC119" i="3"/>
  <c r="D124" i="3"/>
  <c r="BA124" i="3"/>
  <c r="BB124" i="3"/>
  <c r="CA124" i="3"/>
  <c r="CC124" i="3"/>
  <c r="D120" i="3"/>
  <c r="BA120" i="3"/>
  <c r="BB120" i="3"/>
  <c r="CA120" i="3"/>
  <c r="CC120" i="3"/>
  <c r="D121" i="3"/>
  <c r="BA121" i="3"/>
  <c r="BB121" i="3"/>
  <c r="CA121" i="3"/>
  <c r="CC121" i="3"/>
  <c r="D125" i="3"/>
  <c r="BA125" i="3"/>
  <c r="BB125" i="3"/>
  <c r="CA125" i="3"/>
  <c r="CC125" i="3"/>
  <c r="D193" i="3"/>
  <c r="BA193" i="3"/>
  <c r="BB193" i="3"/>
  <c r="CA193" i="3"/>
  <c r="CC193" i="3"/>
  <c r="D118" i="3"/>
  <c r="BA118" i="3"/>
  <c r="BB118" i="3"/>
  <c r="CA118" i="3"/>
  <c r="CC118" i="3"/>
  <c r="D117" i="3"/>
  <c r="BA117" i="3"/>
  <c r="BB117" i="3"/>
  <c r="CA117" i="3"/>
  <c r="CC117" i="3"/>
  <c r="D116" i="3"/>
  <c r="BA116" i="3"/>
  <c r="BB116" i="3"/>
  <c r="CA116" i="3"/>
  <c r="CC116" i="3"/>
  <c r="D115" i="3"/>
  <c r="BA115" i="3"/>
  <c r="BB115" i="3"/>
  <c r="CA115" i="3"/>
  <c r="CC115" i="3"/>
  <c r="D113" i="3"/>
  <c r="BA113" i="3"/>
  <c r="BB113" i="3"/>
  <c r="CA113" i="3"/>
  <c r="CC113" i="3"/>
  <c r="D111" i="3"/>
  <c r="BA111" i="3"/>
  <c r="BB111" i="3"/>
  <c r="CA111" i="3"/>
  <c r="CC111" i="3"/>
  <c r="D112" i="3"/>
  <c r="BA112" i="3"/>
  <c r="BB112" i="3"/>
  <c r="CA112" i="3"/>
  <c r="CC112" i="3"/>
  <c r="D114" i="3"/>
  <c r="BA114" i="3"/>
  <c r="BB114" i="3"/>
  <c r="CA114" i="3"/>
  <c r="CC114" i="3"/>
  <c r="D110" i="3"/>
  <c r="BA110" i="3"/>
  <c r="BB110" i="3"/>
  <c r="CA110" i="3"/>
  <c r="CC110" i="3"/>
  <c r="D109" i="3"/>
  <c r="BA109" i="3"/>
  <c r="BB109" i="3"/>
  <c r="CA109" i="3"/>
  <c r="CC109" i="3"/>
  <c r="D108" i="3"/>
  <c r="BA108" i="3"/>
  <c r="BB108" i="3"/>
  <c r="CA108" i="3"/>
  <c r="CC108" i="3"/>
  <c r="D194" i="3"/>
  <c r="BA194" i="3"/>
  <c r="BB194" i="3"/>
  <c r="CA194" i="3"/>
  <c r="CC194" i="3"/>
  <c r="D195" i="3"/>
  <c r="BA195" i="3"/>
  <c r="BB195" i="3"/>
  <c r="CA195" i="3"/>
  <c r="CC195" i="3"/>
  <c r="D101" i="3"/>
  <c r="BA101" i="3"/>
  <c r="BB101" i="3"/>
  <c r="CA101" i="3"/>
  <c r="CC101" i="3"/>
  <c r="D304" i="3"/>
  <c r="BA304" i="3"/>
  <c r="BB304" i="3"/>
  <c r="CA304" i="3"/>
  <c r="CC304" i="3"/>
  <c r="D375" i="3"/>
  <c r="BA375" i="3"/>
  <c r="BB375" i="3"/>
  <c r="CA375" i="3"/>
  <c r="CC375" i="3"/>
  <c r="D376" i="3"/>
  <c r="BA376" i="3"/>
  <c r="BB376" i="3"/>
  <c r="CA376" i="3"/>
  <c r="CC376" i="3"/>
  <c r="D279" i="3"/>
  <c r="BA279" i="3"/>
  <c r="BB279" i="3"/>
  <c r="CA279" i="3"/>
  <c r="CC279" i="3"/>
  <c r="D377" i="3"/>
  <c r="BA377" i="3"/>
  <c r="BB377" i="3"/>
  <c r="CA377" i="3"/>
  <c r="CC377" i="3"/>
  <c r="D378" i="3"/>
  <c r="BA378" i="3"/>
  <c r="BB378" i="3"/>
  <c r="CA378" i="3"/>
  <c r="CC378" i="3"/>
  <c r="D379" i="3"/>
  <c r="BA379" i="3"/>
  <c r="BB379" i="3"/>
  <c r="CA379" i="3"/>
  <c r="CC379" i="3"/>
  <c r="D380" i="3"/>
  <c r="BA380" i="3"/>
  <c r="BB380" i="3"/>
  <c r="CA380" i="3"/>
  <c r="CC380" i="3"/>
  <c r="D259" i="3"/>
  <c r="BA259" i="3"/>
  <c r="BB259" i="3"/>
  <c r="CA259" i="3"/>
  <c r="CC259" i="3"/>
  <c r="D211" i="3"/>
  <c r="BA211" i="3"/>
  <c r="BB211" i="3"/>
  <c r="CA211" i="3"/>
  <c r="CC211" i="3"/>
  <c r="D381" i="3"/>
  <c r="BA381" i="3"/>
  <c r="BB381" i="3"/>
  <c r="CA381" i="3"/>
  <c r="CC381" i="3"/>
  <c r="G1" i="17"/>
  <c r="N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C369" i="3"/>
  <c r="CC339" i="3"/>
  <c r="CC325" i="3"/>
  <c r="CC214" i="3"/>
  <c r="CC358" i="3"/>
  <c r="CC372" i="3"/>
  <c r="CC345" i="3"/>
  <c r="CC359" i="3"/>
  <c r="CC225" i="3"/>
  <c r="CC444" i="3"/>
  <c r="CC396" i="3"/>
  <c r="CC222" i="3"/>
  <c r="CC395" i="3"/>
  <c r="CC284" i="3"/>
  <c r="CC306" i="3"/>
  <c r="CC360" i="3"/>
  <c r="CC106" i="3"/>
  <c r="CC399" i="3"/>
  <c r="CC397" i="3"/>
  <c r="CC401" i="3"/>
  <c r="CC403" i="3"/>
  <c r="CC406" i="3"/>
  <c r="CC408" i="3"/>
  <c r="CC409" i="3"/>
  <c r="CC442" i="3"/>
  <c r="CC475" i="3"/>
  <c r="CC474" i="3"/>
  <c r="CC410" i="3"/>
  <c r="CC411" i="3"/>
  <c r="CC412" i="3"/>
  <c r="CC414" i="3"/>
  <c r="CC413" i="3"/>
  <c r="CC415" i="3"/>
  <c r="CC417" i="3"/>
  <c r="CC416" i="3"/>
  <c r="CC419" i="3"/>
  <c r="CC421" i="3"/>
  <c r="CC420" i="3"/>
  <c r="CC422" i="3"/>
  <c r="CC424" i="3"/>
  <c r="CC436" i="3"/>
  <c r="CC423" i="3"/>
  <c r="CC425" i="3"/>
  <c r="CC473" i="3"/>
  <c r="CC437" i="3"/>
  <c r="CC426" i="3"/>
  <c r="CC427" i="3"/>
  <c r="CC430" i="3"/>
  <c r="CC398" i="3"/>
  <c r="CC429" i="3"/>
  <c r="CC432" i="3"/>
  <c r="CC431" i="3"/>
  <c r="CC428" i="3"/>
  <c r="CC433" i="3"/>
  <c r="CC434" i="3"/>
  <c r="CC439" i="3"/>
  <c r="CC438" i="3"/>
  <c r="CC472" i="3"/>
  <c r="CC435" i="3"/>
  <c r="CC440" i="3"/>
  <c r="CC441" i="3"/>
  <c r="CC446" i="3"/>
  <c r="CC443" i="3"/>
  <c r="CC407" i="3"/>
  <c r="CC445" i="3"/>
  <c r="CC453" i="3"/>
  <c r="CC448" i="3"/>
  <c r="CC447" i="3"/>
  <c r="CC456" i="3"/>
  <c r="CC450" i="3"/>
  <c r="CC452" i="3"/>
  <c r="CC451" i="3"/>
  <c r="CC454" i="3"/>
  <c r="CC455" i="3"/>
  <c r="CC457" i="3"/>
  <c r="CC458" i="3"/>
  <c r="CC459" i="3"/>
  <c r="CC460" i="3"/>
  <c r="CC461" i="3"/>
  <c r="CC471" i="3"/>
  <c r="CC463" i="3"/>
  <c r="CC462" i="3"/>
  <c r="CC464" i="3"/>
  <c r="CC465" i="3"/>
  <c r="CC466" i="3"/>
  <c r="CC468" i="3"/>
  <c r="CC469" i="3"/>
  <c r="CC470" i="3"/>
  <c r="CC400" i="3"/>
  <c r="CC404" i="3"/>
  <c r="CC405" i="3"/>
  <c r="CC402" i="3"/>
  <c r="CC418" i="3"/>
  <c r="CC467" i="3"/>
  <c r="CC196" i="3"/>
  <c r="CC197" i="3"/>
  <c r="CC200" i="3"/>
  <c r="CC199" i="3"/>
  <c r="CC201" i="3"/>
  <c r="CC198" i="3"/>
  <c r="CC202" i="3"/>
  <c r="CC203" i="3"/>
  <c r="CC204" i="3"/>
  <c r="CC205" i="3"/>
  <c r="CC206" i="3"/>
  <c r="CC207" i="3"/>
  <c r="CC208" i="3"/>
  <c r="CC218" i="3"/>
  <c r="CC209" i="3"/>
  <c r="CC394" i="3"/>
  <c r="CC210" i="3"/>
  <c r="CC100" i="3"/>
  <c r="CC212" i="3"/>
  <c r="CC213" i="3"/>
  <c r="CC393" i="3"/>
  <c r="CC215" i="3"/>
  <c r="CC216" i="3"/>
  <c r="CC392" i="3"/>
  <c r="CC391" i="3"/>
  <c r="CC219" i="3"/>
  <c r="CC220" i="3"/>
  <c r="CC217" i="3"/>
  <c r="CC221" i="3"/>
  <c r="CC223" i="3"/>
  <c r="CC224" i="3"/>
  <c r="CC390" i="3"/>
  <c r="CC239" i="3"/>
  <c r="CC235" i="3"/>
  <c r="CC242" i="3"/>
  <c r="CC234" i="3"/>
  <c r="CC389" i="3"/>
  <c r="CC229" i="3"/>
  <c r="CC230" i="3"/>
  <c r="CC241" i="3"/>
  <c r="CC233" i="3"/>
  <c r="CC232" i="3"/>
  <c r="CC231" i="3"/>
  <c r="CC250" i="3"/>
  <c r="CC247" i="3"/>
  <c r="CC238" i="3"/>
  <c r="CC240" i="3"/>
  <c r="CC388" i="3"/>
  <c r="CC236" i="3"/>
  <c r="CC249" i="3"/>
  <c r="CC387" i="3"/>
  <c r="CC228" i="3"/>
  <c r="CC252" i="3"/>
  <c r="CC243" i="3"/>
  <c r="CC226" i="3"/>
  <c r="CC246" i="3"/>
  <c r="CC245" i="3"/>
  <c r="CC244" i="3"/>
  <c r="CC251" i="3"/>
  <c r="CC253" i="3"/>
  <c r="CC255" i="3"/>
  <c r="CC254" i="3"/>
  <c r="CC267" i="3"/>
  <c r="CC386" i="3"/>
  <c r="CC276" i="3"/>
  <c r="CC257" i="3"/>
  <c r="CC248" i="3"/>
  <c r="CC258" i="3"/>
  <c r="CC260" i="3"/>
  <c r="CC263" i="3"/>
  <c r="CC262" i="3"/>
  <c r="CC256" i="3"/>
  <c r="CC237" i="3"/>
  <c r="CC368" i="3"/>
  <c r="CC268" i="3"/>
  <c r="CC270" i="3"/>
  <c r="CC282" i="3"/>
  <c r="CC271" i="3"/>
  <c r="CC261" i="3"/>
  <c r="CC272" i="3"/>
  <c r="CC266" i="3"/>
  <c r="CC274" i="3"/>
  <c r="CC275" i="3"/>
  <c r="CC269" i="3"/>
  <c r="CC277" i="3"/>
  <c r="CC278" i="3"/>
  <c r="CC295" i="3"/>
  <c r="CC385" i="3"/>
  <c r="CC283" i="3"/>
  <c r="CC285" i="3"/>
  <c r="CC338" i="3"/>
  <c r="CC296" i="3"/>
  <c r="CC286" i="3"/>
  <c r="CC287" i="3"/>
  <c r="CC288" i="3"/>
  <c r="CC289" i="3"/>
  <c r="CC291" i="3"/>
  <c r="CC290" i="3"/>
  <c r="CC281" i="3"/>
  <c r="CC294" i="3"/>
  <c r="CC292" i="3"/>
  <c r="CC297" i="3"/>
  <c r="CC273" i="3"/>
  <c r="CC298" i="3"/>
  <c r="CC299" i="3"/>
  <c r="CC302" i="3"/>
  <c r="CC227" i="3"/>
  <c r="CC305" i="3"/>
  <c r="CC300" i="3"/>
  <c r="CC303" i="3"/>
  <c r="CC135" i="3"/>
  <c r="CC308" i="3"/>
  <c r="CC309" i="3"/>
  <c r="CC301" i="3"/>
  <c r="CC307" i="3"/>
  <c r="CC312" i="3"/>
  <c r="CC310" i="3"/>
  <c r="CC314" i="3"/>
  <c r="CC316" i="3"/>
  <c r="CC315" i="3"/>
  <c r="CC317" i="3"/>
  <c r="CC334" i="3"/>
  <c r="CC311" i="3"/>
  <c r="CC319" i="3"/>
  <c r="CC323" i="3"/>
  <c r="CC354" i="3"/>
  <c r="CC384" i="3"/>
  <c r="CC327" i="3"/>
  <c r="CC321" i="3"/>
  <c r="CC322" i="3"/>
  <c r="CC318" i="3"/>
  <c r="CC324" i="3"/>
  <c r="CC139" i="3"/>
  <c r="CC333" i="3"/>
  <c r="CC328" i="3"/>
  <c r="CC329" i="3"/>
  <c r="CC337" i="3"/>
  <c r="CC320" i="3"/>
  <c r="CC330" i="3"/>
  <c r="CC331" i="3"/>
  <c r="CC326" i="3"/>
  <c r="CC343" i="3"/>
  <c r="CC383" i="3"/>
  <c r="CC332" i="3"/>
  <c r="CC355" i="3"/>
  <c r="CC336" i="3"/>
  <c r="CC341" i="3"/>
  <c r="CC342" i="3"/>
  <c r="CC351" i="3"/>
  <c r="CC363" i="3"/>
  <c r="CC348" i="3"/>
  <c r="CC346" i="3"/>
  <c r="CC340" i="3"/>
  <c r="CC347" i="3"/>
  <c r="CC353" i="3"/>
  <c r="CC356" i="3"/>
  <c r="CC350" i="3"/>
  <c r="CC352" i="3"/>
  <c r="CC361" i="3"/>
  <c r="CC362" i="3"/>
  <c r="CC335" i="3"/>
  <c r="CC364" i="3"/>
  <c r="CC365" i="3"/>
  <c r="CC366" i="3"/>
  <c r="CC367" i="3"/>
  <c r="CC382" i="3"/>
  <c r="CC370" i="3"/>
  <c r="CC99" i="3"/>
  <c r="CC13" i="3"/>
  <c r="CC98" i="3"/>
  <c r="CC7" i="3"/>
  <c r="CC97" i="3"/>
  <c r="CC8" i="3"/>
  <c r="CC96" i="3"/>
  <c r="CC20" i="3"/>
  <c r="CC19" i="3"/>
  <c r="CC95" i="3"/>
  <c r="CC14" i="3"/>
  <c r="CC6" i="3"/>
  <c r="CC9" i="3"/>
  <c r="CC10" i="3"/>
  <c r="CC12" i="3"/>
  <c r="CC11" i="3"/>
  <c r="CC15" i="3"/>
  <c r="CC16" i="3"/>
  <c r="CC17" i="3"/>
  <c r="CC18" i="3"/>
  <c r="CC21" i="3"/>
  <c r="CC25" i="3"/>
  <c r="CC23" i="3"/>
  <c r="CC94" i="3"/>
  <c r="CC22" i="3"/>
  <c r="CC26" i="3"/>
  <c r="CC27" i="3"/>
  <c r="CC24" i="3"/>
  <c r="CC28" i="3"/>
  <c r="CC35" i="3"/>
  <c r="CC31" i="3"/>
  <c r="CC32" i="3"/>
  <c r="CC34" i="3"/>
  <c r="CC30" i="3"/>
  <c r="CC36" i="3"/>
  <c r="CC33" i="3"/>
  <c r="CC29" i="3"/>
  <c r="CC39" i="3"/>
  <c r="CC37" i="3"/>
  <c r="CC40" i="3"/>
  <c r="CC42" i="3"/>
  <c r="CC41" i="3"/>
  <c r="CC43" i="3"/>
  <c r="CC38" i="3"/>
  <c r="CC93" i="3"/>
  <c r="CC44" i="3"/>
  <c r="CC46" i="3"/>
  <c r="CC47" i="3"/>
  <c r="CC45" i="3"/>
  <c r="CC48" i="3"/>
  <c r="CC51" i="3"/>
  <c r="CC50" i="3"/>
  <c r="CC49" i="3"/>
  <c r="CC59" i="3"/>
  <c r="CC53" i="3"/>
  <c r="CC55" i="3"/>
  <c r="CC56" i="3"/>
  <c r="CC58" i="3"/>
  <c r="CC52" i="3"/>
  <c r="CC57" i="3"/>
  <c r="CC60" i="3"/>
  <c r="CC62" i="3"/>
  <c r="CC61" i="3"/>
  <c r="CC64" i="3"/>
  <c r="CC92" i="3"/>
  <c r="CC66" i="3"/>
  <c r="CC67" i="3"/>
  <c r="CC65" i="3"/>
  <c r="CC71" i="3"/>
  <c r="CC68" i="3"/>
  <c r="CC72" i="3"/>
  <c r="CC91" i="3"/>
  <c r="CC63" i="3"/>
  <c r="CC73" i="3"/>
  <c r="CC74" i="3"/>
  <c r="CC75" i="3"/>
  <c r="CC70" i="3"/>
  <c r="CC79" i="3"/>
  <c r="CC69" i="3"/>
  <c r="CC76" i="3"/>
  <c r="CC80" i="3"/>
  <c r="CC77" i="3"/>
  <c r="CC83" i="3"/>
  <c r="CC82" i="3"/>
  <c r="CC81" i="3"/>
  <c r="CC85" i="3"/>
  <c r="CC86" i="3"/>
  <c r="CC84" i="3"/>
  <c r="CC87" i="3"/>
  <c r="CC88" i="3"/>
  <c r="CC89" i="3"/>
  <c r="CC90" i="3"/>
  <c r="CC4" i="3"/>
  <c r="CC5" i="3"/>
  <c r="CC374" i="3"/>
  <c r="CC344" i="3"/>
  <c r="CC102" i="3"/>
  <c r="CC54" i="3"/>
  <c r="CC3" i="3"/>
  <c r="CA70" i="3"/>
  <c r="CA75" i="3"/>
  <c r="CA74" i="3"/>
  <c r="CA73" i="3"/>
  <c r="CA57" i="3"/>
  <c r="CA72" i="3"/>
  <c r="CA91" i="3"/>
  <c r="CA66" i="3"/>
  <c r="CA68" i="3"/>
  <c r="CA71" i="3"/>
  <c r="CA65" i="3"/>
  <c r="CA63" i="3"/>
  <c r="CA67" i="3"/>
  <c r="CA92" i="3"/>
  <c r="CA61" i="3"/>
  <c r="CA58" i="3"/>
  <c r="CA64" i="3"/>
  <c r="CA62" i="3"/>
  <c r="CA89" i="3"/>
  <c r="CA52" i="3"/>
  <c r="CA56" i="3"/>
  <c r="CA55" i="3"/>
  <c r="CA49" i="3"/>
  <c r="CA93" i="3"/>
  <c r="CA53" i="3"/>
  <c r="CA50" i="3"/>
  <c r="CA51" i="3"/>
  <c r="CA48" i="3"/>
  <c r="CA44" i="3"/>
  <c r="CA45" i="3"/>
  <c r="CA47" i="3"/>
  <c r="CA46" i="3"/>
  <c r="CA88" i="3"/>
  <c r="CA38" i="3"/>
  <c r="CA37" i="3"/>
  <c r="CA42" i="3"/>
  <c r="CA43" i="3"/>
  <c r="CA39" i="3"/>
  <c r="CA40" i="3"/>
  <c r="CA33" i="3"/>
  <c r="CA29" i="3"/>
  <c r="CA87" i="3"/>
  <c r="CA31" i="3"/>
  <c r="CA30" i="3"/>
  <c r="CA36" i="3"/>
  <c r="CA27" i="3"/>
  <c r="CA32" i="3"/>
  <c r="CA28" i="3"/>
  <c r="CA35" i="3"/>
  <c r="CA24" i="3"/>
  <c r="CA26" i="3"/>
  <c r="CA34" i="3"/>
  <c r="CA84" i="3"/>
  <c r="CA22" i="3"/>
  <c r="CA41" i="3"/>
  <c r="CA86" i="3"/>
  <c r="CA23" i="3"/>
  <c r="CA94" i="3"/>
  <c r="CA21" i="3"/>
  <c r="CA18" i="3"/>
  <c r="CA16" i="3"/>
  <c r="CA17" i="3"/>
  <c r="CA10" i="3"/>
  <c r="CA11" i="3"/>
  <c r="CA15" i="3"/>
  <c r="CA6" i="3"/>
  <c r="CA12" i="3"/>
  <c r="CA19" i="3"/>
  <c r="CA14" i="3"/>
  <c r="CA20" i="3"/>
  <c r="CA8" i="3"/>
  <c r="CA96" i="3"/>
  <c r="CA60" i="3"/>
  <c r="CA7" i="3"/>
  <c r="CA97" i="3"/>
  <c r="CA9" i="3"/>
  <c r="CA85" i="3"/>
  <c r="CA98" i="3"/>
  <c r="CA81" i="3"/>
  <c r="CA13" i="3"/>
  <c r="CA82" i="3"/>
  <c r="CA83" i="3"/>
  <c r="CA77" i="3"/>
  <c r="CA80" i="3"/>
  <c r="CA76" i="3"/>
  <c r="CA69" i="3"/>
  <c r="CA59" i="3"/>
  <c r="CA99" i="3"/>
  <c r="CA370" i="3"/>
  <c r="CA366" i="3"/>
  <c r="CA365" i="3"/>
  <c r="CA100" i="3"/>
  <c r="CA361" i="3"/>
  <c r="CA367" i="3"/>
  <c r="CA335" i="3"/>
  <c r="CA25" i="3"/>
  <c r="CA364" i="3"/>
  <c r="CA362" i="3"/>
  <c r="CA356" i="3"/>
  <c r="CA382" i="3"/>
  <c r="CA350" i="3"/>
  <c r="CA352" i="3"/>
  <c r="CA353" i="3"/>
  <c r="CA334" i="3"/>
  <c r="CA347" i="3"/>
  <c r="CA348" i="3"/>
  <c r="CA332" i="3"/>
  <c r="CA340" i="3"/>
  <c r="CA346" i="3"/>
  <c r="CA342" i="3"/>
  <c r="CA351" i="3"/>
  <c r="CA355" i="3"/>
  <c r="CA341" i="3"/>
  <c r="CA343" i="3"/>
  <c r="CA336" i="3"/>
  <c r="CA333" i="3"/>
  <c r="CA331" i="3"/>
  <c r="CA330" i="3"/>
  <c r="CA326" i="3"/>
  <c r="CA329" i="3"/>
  <c r="CA337" i="3"/>
  <c r="CA328" i="3"/>
  <c r="CA327" i="3"/>
  <c r="CA320" i="3"/>
  <c r="CA324" i="3"/>
  <c r="CA139" i="3"/>
  <c r="CA322" i="3"/>
  <c r="CA383" i="3"/>
  <c r="CA384" i="3"/>
  <c r="CA321" i="3"/>
  <c r="CA311" i="3"/>
  <c r="CA318" i="3"/>
  <c r="CA319" i="3"/>
  <c r="CA317" i="3"/>
  <c r="CA314" i="3"/>
  <c r="CA315" i="3"/>
  <c r="CA95" i="3"/>
  <c r="CA316" i="3"/>
  <c r="CA310" i="3"/>
  <c r="CA312" i="3"/>
  <c r="CA309" i="3"/>
  <c r="CA308" i="3"/>
  <c r="CA307" i="3"/>
  <c r="CA301" i="3"/>
  <c r="CA303" i="3"/>
  <c r="CA300" i="3"/>
  <c r="CA135" i="3"/>
  <c r="CA305" i="3"/>
  <c r="CA227" i="3"/>
  <c r="CA302" i="3"/>
  <c r="CA299" i="3"/>
  <c r="CA298" i="3"/>
  <c r="CA273" i="3"/>
  <c r="CA297" i="3"/>
  <c r="CA391" i="3"/>
  <c r="CA294" i="3"/>
  <c r="CA292" i="3"/>
  <c r="CA290" i="3"/>
  <c r="CA289" i="3"/>
  <c r="CA288" i="3"/>
  <c r="CA291" i="3"/>
  <c r="CA272" i="3"/>
  <c r="CA286" i="3"/>
  <c r="CA295" i="3"/>
  <c r="CA296" i="3"/>
  <c r="CA385" i="3"/>
  <c r="CA285" i="3"/>
  <c r="CA287" i="3"/>
  <c r="CA283" i="3"/>
  <c r="CA338" i="3"/>
  <c r="CA323" i="3"/>
  <c r="CA281" i="3"/>
  <c r="CA278" i="3"/>
  <c r="CA277" i="3"/>
  <c r="CA354" i="3"/>
  <c r="CA275" i="3"/>
  <c r="CA266" i="3"/>
  <c r="CA269" i="3"/>
  <c r="CA271" i="3"/>
  <c r="CA270" i="3"/>
  <c r="CA274" i="3"/>
  <c r="CA268" i="3"/>
  <c r="CA368" i="3"/>
  <c r="CA276" i="3"/>
  <c r="CA237" i="3"/>
  <c r="CA262" i="3"/>
  <c r="CA261" i="3"/>
  <c r="CA263" i="3"/>
  <c r="CA260" i="3"/>
  <c r="CA258" i="3"/>
  <c r="CA282" i="3"/>
  <c r="CA386" i="3"/>
  <c r="CA267" i="3"/>
  <c r="CA254" i="3"/>
  <c r="CA255" i="3"/>
  <c r="CA253" i="3"/>
  <c r="CA251" i="3"/>
  <c r="CA240" i="3"/>
  <c r="CA248" i="3"/>
  <c r="CA244" i="3"/>
  <c r="CA245" i="3"/>
  <c r="CA246" i="3"/>
  <c r="CA226" i="3"/>
  <c r="CA243" i="3"/>
  <c r="CA387" i="3"/>
  <c r="CA256" i="3"/>
  <c r="CA241" i="3"/>
  <c r="CA388" i="3"/>
  <c r="CA238" i="3"/>
  <c r="CA236" i="3"/>
  <c r="CA250" i="3"/>
  <c r="CA231" i="3"/>
  <c r="CA232" i="3"/>
  <c r="CA233" i="3"/>
  <c r="CA230" i="3"/>
  <c r="CA224" i="3"/>
  <c r="CA229" i="3"/>
  <c r="CA389" i="3"/>
  <c r="CA249" i="3"/>
  <c r="CA242" i="3"/>
  <c r="CA228" i="3"/>
  <c r="CA257" i="3"/>
  <c r="CA79" i="3"/>
  <c r="CA235" i="3"/>
  <c r="CA234" i="3"/>
  <c r="CA252" i="3"/>
  <c r="CA239" i="3"/>
  <c r="CA390" i="3"/>
  <c r="CA247" i="3"/>
  <c r="CA221" i="3"/>
  <c r="CA217" i="3"/>
  <c r="CA220" i="3"/>
  <c r="CA219" i="3"/>
  <c r="CA223" i="3"/>
  <c r="CA392" i="3"/>
  <c r="CA216" i="3"/>
  <c r="CA393" i="3"/>
  <c r="CA215" i="3"/>
  <c r="CA213" i="3"/>
  <c r="CA363" i="3"/>
  <c r="CA212" i="3"/>
  <c r="CA210" i="3"/>
  <c r="CA394" i="3"/>
  <c r="CA209" i="3"/>
  <c r="CA218" i="3"/>
  <c r="CA208" i="3"/>
  <c r="CA205" i="3"/>
  <c r="CA207" i="3"/>
  <c r="CA206" i="3"/>
  <c r="CA204" i="3"/>
  <c r="CA203" i="3"/>
  <c r="CA202" i="3"/>
  <c r="CA198" i="3"/>
  <c r="CA201" i="3"/>
  <c r="CA199" i="3"/>
  <c r="CA200" i="3"/>
  <c r="CA197" i="3"/>
  <c r="CA196" i="3"/>
  <c r="CA470" i="3"/>
  <c r="CA469" i="3"/>
  <c r="CA468" i="3"/>
  <c r="CA466" i="3"/>
  <c r="CA467" i="3"/>
  <c r="CA465" i="3"/>
  <c r="CA464" i="3"/>
  <c r="CA462" i="3"/>
  <c r="CA463" i="3"/>
  <c r="CA461" i="3"/>
  <c r="CA460" i="3"/>
  <c r="CA458" i="3"/>
  <c r="CA459" i="3"/>
  <c r="CA457" i="3"/>
  <c r="CA455" i="3"/>
  <c r="CA454" i="3"/>
  <c r="CA456" i="3"/>
  <c r="CA451" i="3"/>
  <c r="CA452" i="3"/>
  <c r="CA450" i="3"/>
  <c r="CA447" i="3"/>
  <c r="CA445" i="3"/>
  <c r="CA448" i="3"/>
  <c r="CA453" i="3"/>
  <c r="CA446" i="3"/>
  <c r="CA440" i="3"/>
  <c r="CA441" i="3"/>
  <c r="CA443" i="3"/>
  <c r="CA438" i="3"/>
  <c r="CA435" i="3"/>
  <c r="CA439" i="3"/>
  <c r="CA472" i="3"/>
  <c r="CA434" i="3"/>
  <c r="CA436" i="3"/>
  <c r="CA433" i="3"/>
  <c r="CA428" i="3"/>
  <c r="CA430" i="3"/>
  <c r="CA431" i="3"/>
  <c r="CA429" i="3"/>
  <c r="CA398" i="3"/>
  <c r="CA432" i="3"/>
  <c r="CA427" i="3"/>
  <c r="CA426" i="3"/>
  <c r="CA425" i="3"/>
  <c r="CA473" i="3"/>
  <c r="CA437" i="3"/>
  <c r="CA423" i="3"/>
  <c r="CA422" i="3"/>
  <c r="CA420" i="3"/>
  <c r="CA424" i="3"/>
  <c r="CA421" i="3"/>
  <c r="CA418" i="3"/>
  <c r="CA419" i="3"/>
  <c r="CA474" i="3"/>
  <c r="CA416" i="3"/>
  <c r="CA407" i="3"/>
  <c r="CA417" i="3"/>
  <c r="CA415" i="3"/>
  <c r="CA413" i="3"/>
  <c r="CA401" i="3"/>
  <c r="CA412" i="3"/>
  <c r="CA414" i="3"/>
  <c r="CA411" i="3"/>
  <c r="CA410" i="3"/>
  <c r="CA475" i="3"/>
  <c r="CA409" i="3"/>
  <c r="CA442" i="3"/>
  <c r="CA402" i="3"/>
  <c r="CA405" i="3"/>
  <c r="CA404" i="3"/>
  <c r="CA408" i="3"/>
  <c r="CA406" i="3"/>
  <c r="CA403" i="3"/>
  <c r="CA397" i="3"/>
  <c r="CA400" i="3"/>
  <c r="CA471" i="3"/>
  <c r="CA399" i="3"/>
  <c r="CA3" i="3"/>
  <c r="CA54" i="3"/>
  <c r="CA102" i="3"/>
  <c r="CA344" i="3"/>
  <c r="CA374" i="3"/>
  <c r="CA5" i="3"/>
  <c r="CA4" i="3"/>
  <c r="CA90" i="3"/>
  <c r="CA106" i="3"/>
  <c r="CA360" i="3"/>
  <c r="CA306" i="3"/>
  <c r="CA284" i="3"/>
  <c r="CA395" i="3"/>
  <c r="CA222" i="3"/>
  <c r="CA396" i="3"/>
  <c r="CA444" i="3"/>
  <c r="CA225" i="3"/>
  <c r="CA359" i="3"/>
  <c r="CA345" i="3"/>
  <c r="CA372" i="3"/>
  <c r="CA358" i="3"/>
  <c r="CA214" i="3"/>
  <c r="CA325" i="3"/>
  <c r="CA339" i="3"/>
  <c r="CA369" i="3"/>
  <c r="CA264" i="3"/>
  <c r="CA349" i="3"/>
  <c r="CA313" i="3"/>
  <c r="CA280" i="3"/>
  <c r="CA373" i="3"/>
  <c r="CA371" i="3"/>
  <c r="CA265" i="3"/>
  <c r="CA357" i="3"/>
  <c r="CA293" i="3"/>
  <c r="CA476" i="3"/>
  <c r="CA477" i="3"/>
  <c r="CA478" i="3"/>
  <c r="CA479" i="3"/>
  <c r="CA480" i="3"/>
  <c r="CA481" i="3"/>
  <c r="CA482" i="3"/>
  <c r="CA483" i="3"/>
  <c r="CA484" i="3"/>
  <c r="CA485" i="3"/>
  <c r="CA486" i="3"/>
  <c r="CA487" i="3"/>
  <c r="CA488" i="3"/>
  <c r="CA489" i="3"/>
  <c r="CA490" i="3"/>
  <c r="CA491" i="3"/>
  <c r="CA492" i="3"/>
  <c r="CA493" i="3"/>
  <c r="CA494" i="3"/>
  <c r="CA495" i="3"/>
  <c r="CA496" i="3"/>
  <c r="CA497" i="3"/>
  <c r="CA498" i="3"/>
  <c r="CA499" i="3"/>
  <c r="CA500" i="3"/>
  <c r="CA501" i="3"/>
  <c r="CA502" i="3"/>
  <c r="CA503" i="3"/>
  <c r="CA504" i="3"/>
  <c r="CA505" i="3"/>
  <c r="CA506" i="3"/>
  <c r="CA507" i="3"/>
  <c r="CA508" i="3"/>
  <c r="CA509" i="3"/>
  <c r="CA510" i="3"/>
  <c r="CA511" i="3"/>
  <c r="CA512" i="3"/>
  <c r="CA513" i="3"/>
  <c r="CA514" i="3"/>
  <c r="CA515" i="3"/>
  <c r="CA516" i="3"/>
  <c r="CA517" i="3"/>
  <c r="CA518" i="3"/>
  <c r="CA519" i="3"/>
  <c r="CA520" i="3"/>
  <c r="CA521" i="3"/>
  <c r="CA522" i="3"/>
  <c r="CA523" i="3"/>
  <c r="CA524" i="3"/>
  <c r="CA525" i="3"/>
  <c r="CA526" i="3"/>
  <c r="CA527" i="3"/>
  <c r="CA528" i="3"/>
  <c r="CA529" i="3"/>
  <c r="CA530" i="3"/>
  <c r="CA531" i="3"/>
  <c r="CA532" i="3"/>
  <c r="CA533" i="3"/>
  <c r="CA534" i="3"/>
  <c r="CA535" i="3"/>
  <c r="CA536" i="3"/>
  <c r="CA537" i="3"/>
  <c r="CA538" i="3"/>
  <c r="CA539" i="3"/>
  <c r="CA540" i="3"/>
  <c r="CA541" i="3"/>
  <c r="CA542" i="3"/>
  <c r="CA543" i="3"/>
  <c r="CA544" i="3"/>
  <c r="CA545" i="3"/>
  <c r="CA546" i="3"/>
  <c r="CA547" i="3"/>
  <c r="CA548" i="3"/>
  <c r="CA549" i="3"/>
  <c r="CA550" i="3"/>
  <c r="CA551" i="3"/>
  <c r="CA552" i="3"/>
  <c r="CA553" i="3"/>
  <c r="CA554" i="3"/>
  <c r="CA555" i="3"/>
  <c r="CA556" i="3"/>
  <c r="CA557" i="3"/>
  <c r="CA558" i="3"/>
  <c r="CA559" i="3"/>
  <c r="CA560" i="3"/>
  <c r="CA561" i="3"/>
  <c r="CA562" i="3"/>
  <c r="CA563" i="3"/>
  <c r="CA564" i="3"/>
  <c r="CA565" i="3"/>
  <c r="CA566" i="3"/>
  <c r="CA567" i="3"/>
  <c r="CA568" i="3"/>
  <c r="CA569" i="3"/>
  <c r="CA570" i="3"/>
  <c r="CA571" i="3"/>
  <c r="CA572" i="3"/>
  <c r="CA573" i="3"/>
  <c r="CA574" i="3"/>
  <c r="CA575" i="3"/>
  <c r="CA576" i="3"/>
  <c r="CA577" i="3"/>
  <c r="CA578" i="3"/>
  <c r="CA579" i="3"/>
  <c r="CA580" i="3"/>
  <c r="CA581" i="3"/>
  <c r="CA582" i="3"/>
  <c r="CA583" i="3"/>
  <c r="CA584" i="3"/>
  <c r="CA585" i="3"/>
  <c r="CA586" i="3"/>
  <c r="CA587" i="3"/>
  <c r="CA588" i="3"/>
  <c r="CA589" i="3"/>
  <c r="CA590" i="3"/>
  <c r="CA591" i="3"/>
  <c r="CA592" i="3"/>
  <c r="CA593" i="3"/>
  <c r="CA594" i="3"/>
  <c r="CA595" i="3"/>
  <c r="CA596" i="3"/>
  <c r="CA597" i="3"/>
  <c r="CA598" i="3"/>
  <c r="CA599" i="3"/>
  <c r="CA600" i="3"/>
  <c r="CA601" i="3"/>
  <c r="CA602" i="3"/>
  <c r="CA603" i="3"/>
  <c r="CA604" i="3"/>
  <c r="CA605" i="3"/>
  <c r="CA606" i="3"/>
  <c r="CA607" i="3"/>
  <c r="CA608" i="3"/>
  <c r="CA609" i="3"/>
  <c r="CA610" i="3"/>
  <c r="CA611" i="3"/>
  <c r="CA612" i="3"/>
  <c r="CA613" i="3"/>
  <c r="CA614" i="3"/>
  <c r="CA615" i="3"/>
  <c r="CA616" i="3"/>
  <c r="CA617" i="3"/>
  <c r="CA618" i="3"/>
  <c r="CA619" i="3"/>
  <c r="CA620" i="3"/>
  <c r="CA621" i="3"/>
  <c r="CA622" i="3"/>
  <c r="CA623" i="3"/>
  <c r="CA624" i="3"/>
  <c r="CA625" i="3"/>
  <c r="CA626" i="3"/>
  <c r="CA627" i="3"/>
  <c r="CA628" i="3"/>
  <c r="CA629" i="3"/>
  <c r="CA630" i="3"/>
  <c r="CA631" i="3"/>
  <c r="CA632"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293" i="3"/>
  <c r="BA357" i="3"/>
  <c r="BA265" i="3"/>
  <c r="BA371" i="3"/>
  <c r="BA373" i="3"/>
  <c r="BA280" i="3"/>
  <c r="BA313" i="3"/>
  <c r="BA349" i="3"/>
  <c r="BA264" i="3"/>
  <c r="BA369" i="3"/>
  <c r="BA339" i="3"/>
  <c r="BA325" i="3"/>
  <c r="BA214" i="3"/>
  <c r="BA358" i="3"/>
  <c r="BA372" i="3"/>
  <c r="BA345" i="3"/>
  <c r="BA359" i="3"/>
  <c r="BA225" i="3"/>
  <c r="BA444" i="3"/>
  <c r="BA396" i="3"/>
  <c r="BA222" i="3"/>
  <c r="BA395" i="3"/>
  <c r="BA284" i="3"/>
  <c r="BA306" i="3"/>
  <c r="BA360" i="3"/>
  <c r="BA106" i="3"/>
  <c r="BA374" i="3"/>
  <c r="BA5" i="3"/>
  <c r="BA344" i="3"/>
  <c r="BA54" i="3"/>
  <c r="BA4" i="3"/>
  <c r="BA102" i="3"/>
  <c r="BA3" i="3"/>
  <c r="BA474" i="3"/>
  <c r="BA471" i="3"/>
  <c r="BA400" i="3"/>
  <c r="BA399" i="3"/>
  <c r="BA401" i="3"/>
  <c r="BA403" i="3"/>
  <c r="BA406" i="3"/>
  <c r="BA404" i="3"/>
  <c r="BA405" i="3"/>
  <c r="BA402" i="3"/>
  <c r="BA409" i="3"/>
  <c r="BA408" i="3"/>
  <c r="BA442" i="3"/>
  <c r="BA475" i="3"/>
  <c r="BA410" i="3"/>
  <c r="BA412" i="3"/>
  <c r="BA411" i="3"/>
  <c r="BA397" i="3"/>
  <c r="BA414" i="3"/>
  <c r="BA413" i="3"/>
  <c r="BA415" i="3"/>
  <c r="BA407" i="3"/>
  <c r="BA417" i="3"/>
  <c r="BA416" i="3"/>
  <c r="BA419" i="3"/>
  <c r="BA418" i="3"/>
  <c r="BA421" i="3"/>
  <c r="BA424" i="3"/>
  <c r="BA420" i="3"/>
  <c r="BA422" i="3"/>
  <c r="BA423" i="3"/>
  <c r="BA437" i="3"/>
  <c r="BA473" i="3"/>
  <c r="BA425" i="3"/>
  <c r="BA426" i="3"/>
  <c r="BA427" i="3"/>
  <c r="BA432" i="3"/>
  <c r="BA398" i="3"/>
  <c r="BA429" i="3"/>
  <c r="BA431" i="3"/>
  <c r="BA430" i="3"/>
  <c r="BA428" i="3"/>
  <c r="BA433" i="3"/>
  <c r="BA436" i="3"/>
  <c r="BA434" i="3"/>
  <c r="BA472" i="3"/>
  <c r="BA439" i="3"/>
  <c r="BA435" i="3"/>
  <c r="BA438" i="3"/>
  <c r="BA443" i="3"/>
  <c r="BA441" i="3"/>
  <c r="BA440" i="3"/>
  <c r="BA446" i="3"/>
  <c r="BA453" i="3"/>
  <c r="BA448" i="3"/>
  <c r="BA445" i="3"/>
  <c r="BA447" i="3"/>
  <c r="BA450" i="3"/>
  <c r="BA452" i="3"/>
  <c r="BA451" i="3"/>
  <c r="BA456" i="3"/>
  <c r="BA454" i="3"/>
  <c r="BA455" i="3"/>
  <c r="BA457" i="3"/>
  <c r="BA459" i="3"/>
  <c r="BA458" i="3"/>
  <c r="BA460" i="3"/>
  <c r="BA461" i="3"/>
  <c r="BA463" i="3"/>
  <c r="BA462" i="3"/>
  <c r="BA464" i="3"/>
  <c r="BA465" i="3"/>
  <c r="BA467" i="3"/>
  <c r="BA466" i="3"/>
  <c r="BA468" i="3"/>
  <c r="BA469" i="3"/>
  <c r="BA470" i="3"/>
  <c r="BA196" i="3"/>
  <c r="BA197" i="3"/>
  <c r="BA200" i="3"/>
  <c r="BA199" i="3"/>
  <c r="BA201" i="3"/>
  <c r="BA198" i="3"/>
  <c r="BA202" i="3"/>
  <c r="BA203" i="3"/>
  <c r="BA204" i="3"/>
  <c r="BA206" i="3"/>
  <c r="BA207" i="3"/>
  <c r="BA205" i="3"/>
  <c r="BA208" i="3"/>
  <c r="BA218" i="3"/>
  <c r="BA209" i="3"/>
  <c r="BA394" i="3"/>
  <c r="BA210" i="3"/>
  <c r="BA212" i="3"/>
  <c r="BA363" i="3"/>
  <c r="BA213" i="3"/>
  <c r="BA215" i="3"/>
  <c r="BA393" i="3"/>
  <c r="BA216" i="3"/>
  <c r="BA392" i="3"/>
  <c r="BA223" i="3"/>
  <c r="BA219" i="3"/>
  <c r="BA220" i="3"/>
  <c r="BA217" i="3"/>
  <c r="BA221" i="3"/>
  <c r="BA247" i="3"/>
  <c r="BA390" i="3"/>
  <c r="BA239" i="3"/>
  <c r="BA252" i="3"/>
  <c r="BA234" i="3"/>
  <c r="BA235" i="3"/>
  <c r="BA13" i="3"/>
  <c r="BA257" i="3"/>
  <c r="BA228" i="3"/>
  <c r="BA242" i="3"/>
  <c r="BA249" i="3"/>
  <c r="BA389" i="3"/>
  <c r="BA229" i="3"/>
  <c r="BA224" i="3"/>
  <c r="BA230" i="3"/>
  <c r="BA233" i="3"/>
  <c r="BA232" i="3"/>
  <c r="BA231" i="3"/>
  <c r="BA250" i="3"/>
  <c r="BA236" i="3"/>
  <c r="BA238" i="3"/>
  <c r="BA388" i="3"/>
  <c r="BA241" i="3"/>
  <c r="BA256" i="3"/>
  <c r="BA387" i="3"/>
  <c r="BA243" i="3"/>
  <c r="BA226" i="3"/>
  <c r="BA246" i="3"/>
  <c r="BA245" i="3"/>
  <c r="BA244" i="3"/>
  <c r="BA248" i="3"/>
  <c r="BA240" i="3"/>
  <c r="BA251" i="3"/>
  <c r="BA253" i="3"/>
  <c r="BA255" i="3"/>
  <c r="BA254" i="3"/>
  <c r="BA267" i="3"/>
  <c r="BA386" i="3"/>
  <c r="BA282" i="3"/>
  <c r="BA258" i="3"/>
  <c r="BA260" i="3"/>
  <c r="BA263" i="3"/>
  <c r="BA261" i="3"/>
  <c r="BA262" i="3"/>
  <c r="BA237" i="3"/>
  <c r="BA276" i="3"/>
  <c r="BA368" i="3"/>
  <c r="BA268" i="3"/>
  <c r="BA274" i="3"/>
  <c r="BA270" i="3"/>
  <c r="BA271" i="3"/>
  <c r="BA269" i="3"/>
  <c r="BA266" i="3"/>
  <c r="BA275" i="3"/>
  <c r="BA354" i="3"/>
  <c r="BA277" i="3"/>
  <c r="BA278" i="3"/>
  <c r="BA281" i="3"/>
  <c r="BA323" i="3"/>
  <c r="BA338" i="3"/>
  <c r="BA283" i="3"/>
  <c r="BA287" i="3"/>
  <c r="BA285" i="3"/>
  <c r="BA385" i="3"/>
  <c r="BA296" i="3"/>
  <c r="BA295" i="3"/>
  <c r="BA286" i="3"/>
  <c r="BA272" i="3"/>
  <c r="BA291" i="3"/>
  <c r="BA288" i="3"/>
  <c r="BA289" i="3"/>
  <c r="BA290" i="3"/>
  <c r="BA292" i="3"/>
  <c r="BA294" i="3"/>
  <c r="BA391" i="3"/>
  <c r="BA297" i="3"/>
  <c r="BA273" i="3"/>
  <c r="BA298" i="3"/>
  <c r="BA299" i="3"/>
  <c r="BA302" i="3"/>
  <c r="BA227" i="3"/>
  <c r="BA305" i="3"/>
  <c r="BA135" i="3"/>
  <c r="BA300" i="3"/>
  <c r="BA303" i="3"/>
  <c r="BA301" i="3"/>
  <c r="BA307" i="3"/>
  <c r="BA308" i="3"/>
  <c r="BA309" i="3"/>
  <c r="BA312" i="3"/>
  <c r="BA310" i="3"/>
  <c r="BA316" i="3"/>
  <c r="BA94" i="3"/>
  <c r="BA315" i="3"/>
  <c r="BA314" i="3"/>
  <c r="BA317" i="3"/>
  <c r="BA319" i="3"/>
  <c r="BA318" i="3"/>
  <c r="BA311" i="3"/>
  <c r="BA321" i="3"/>
  <c r="BA384" i="3"/>
  <c r="BA383" i="3"/>
  <c r="BA322" i="3"/>
  <c r="BA139" i="3"/>
  <c r="BA324" i="3"/>
  <c r="BA320" i="3"/>
  <c r="BA327" i="3"/>
  <c r="BA328" i="3"/>
  <c r="BA337" i="3"/>
  <c r="BA329" i="3"/>
  <c r="BA326" i="3"/>
  <c r="BA330" i="3"/>
  <c r="BA331" i="3"/>
  <c r="BA333" i="3"/>
  <c r="BA336" i="3"/>
  <c r="BA343" i="3"/>
  <c r="BA341" i="3"/>
  <c r="BA355" i="3"/>
  <c r="BA351" i="3"/>
  <c r="BA342" i="3"/>
  <c r="BA346" i="3"/>
  <c r="BA340" i="3"/>
  <c r="BA332" i="3"/>
  <c r="BA348" i="3"/>
  <c r="BA347" i="3"/>
  <c r="BA334" i="3"/>
  <c r="BA353" i="3"/>
  <c r="BA352" i="3"/>
  <c r="BA350" i="3"/>
  <c r="BA382" i="3"/>
  <c r="BA356" i="3"/>
  <c r="BA362" i="3"/>
  <c r="BA364" i="3"/>
  <c r="BA37" i="3"/>
  <c r="BA335" i="3"/>
  <c r="BA367" i="3"/>
  <c r="BA361" i="3"/>
  <c r="BA100" i="3"/>
  <c r="BA365" i="3"/>
  <c r="BA366" i="3"/>
  <c r="BA370" i="3"/>
  <c r="BA99" i="3"/>
  <c r="BA71" i="3"/>
  <c r="BA98" i="3"/>
  <c r="BA7" i="3"/>
  <c r="BA14" i="3"/>
  <c r="BA97" i="3"/>
  <c r="BA8" i="3"/>
  <c r="BA6" i="3"/>
  <c r="BA96" i="3"/>
  <c r="BA9" i="3"/>
  <c r="BA10" i="3"/>
  <c r="BA12" i="3"/>
  <c r="BA15" i="3"/>
  <c r="BA16" i="3"/>
  <c r="BA24" i="3"/>
  <c r="BA18" i="3"/>
  <c r="BA17" i="3"/>
  <c r="BA11" i="3"/>
  <c r="BA19" i="3"/>
  <c r="BA20" i="3"/>
  <c r="BA22" i="3"/>
  <c r="BA23" i="3"/>
  <c r="BA25" i="3"/>
  <c r="BA21" i="3"/>
  <c r="BA26" i="3"/>
  <c r="BA35" i="3"/>
  <c r="BA28" i="3"/>
  <c r="BA27" i="3"/>
  <c r="BA30" i="3"/>
  <c r="BA32" i="3"/>
  <c r="BA34" i="3"/>
  <c r="BA36" i="3"/>
  <c r="BA33" i="3"/>
  <c r="BA40" i="3"/>
  <c r="BA38" i="3"/>
  <c r="BA57" i="3"/>
  <c r="BA39" i="3"/>
  <c r="BA29" i="3"/>
  <c r="BA47" i="3"/>
  <c r="BA42" i="3"/>
  <c r="BA43" i="3"/>
  <c r="BA41" i="3"/>
  <c r="BA44" i="3"/>
  <c r="BA46" i="3"/>
  <c r="BA31" i="3"/>
  <c r="BA93" i="3"/>
  <c r="BA48" i="3"/>
  <c r="BA51" i="3"/>
  <c r="BA55" i="3"/>
  <c r="BA50" i="3"/>
  <c r="BA45" i="3"/>
  <c r="BA59" i="3"/>
  <c r="BA49" i="3"/>
  <c r="BA58" i="3"/>
  <c r="BA56" i="3"/>
  <c r="BA52" i="3"/>
  <c r="BA53" i="3"/>
  <c r="BA95" i="3"/>
  <c r="BA62" i="3"/>
  <c r="BA61" i="3"/>
  <c r="BA64" i="3"/>
  <c r="BA92" i="3"/>
  <c r="BA66" i="3"/>
  <c r="BA67" i="3"/>
  <c r="BA68" i="3"/>
  <c r="BA60" i="3"/>
  <c r="BA65" i="3"/>
  <c r="BA72" i="3"/>
  <c r="BA91" i="3"/>
  <c r="BA73" i="3"/>
  <c r="BA70" i="3"/>
  <c r="BA75" i="3"/>
  <c r="BA69" i="3"/>
  <c r="BA63" i="3"/>
  <c r="BA79" i="3"/>
  <c r="BA76" i="3"/>
  <c r="BA77" i="3"/>
  <c r="BA84" i="3"/>
  <c r="BA83" i="3"/>
  <c r="BA82" i="3"/>
  <c r="BA81" i="3"/>
  <c r="BA80" i="3"/>
  <c r="BA86" i="3"/>
  <c r="BA85" i="3"/>
  <c r="BA74" i="3"/>
  <c r="BA87" i="3"/>
  <c r="BA88" i="3"/>
  <c r="BA89" i="3"/>
  <c r="BA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216"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B578" i="3"/>
  <c r="BB577" i="3"/>
  <c r="BB576" i="3"/>
  <c r="BB575" i="3"/>
  <c r="BB574" i="3"/>
  <c r="BB573" i="3"/>
  <c r="BB572" i="3"/>
  <c r="BB571" i="3"/>
  <c r="BB570" i="3"/>
  <c r="BB569" i="3"/>
  <c r="BB568" i="3"/>
  <c r="BB567" i="3"/>
  <c r="BB566" i="3"/>
  <c r="BB565" i="3"/>
  <c r="BB564" i="3"/>
  <c r="BB563" i="3"/>
  <c r="BB562" i="3"/>
  <c r="BB561" i="3"/>
  <c r="BB560" i="3"/>
  <c r="BB559" i="3"/>
  <c r="BB558" i="3"/>
  <c r="BB557" i="3"/>
  <c r="BB556" i="3"/>
  <c r="BB555" i="3"/>
  <c r="BB554" i="3"/>
  <c r="BB553" i="3"/>
  <c r="BB552" i="3"/>
  <c r="BB551" i="3"/>
  <c r="BB550" i="3"/>
  <c r="BB549" i="3"/>
  <c r="BB548" i="3"/>
  <c r="BB547" i="3"/>
  <c r="BB546" i="3"/>
  <c r="BB545" i="3"/>
  <c r="BB544" i="3"/>
  <c r="BB543" i="3"/>
  <c r="BB542" i="3"/>
  <c r="BB541" i="3"/>
  <c r="BB540" i="3"/>
  <c r="BB539" i="3"/>
  <c r="BB538" i="3"/>
  <c r="BB537" i="3"/>
  <c r="BB536" i="3"/>
  <c r="BB535" i="3"/>
  <c r="BB534" i="3"/>
  <c r="BB533" i="3"/>
  <c r="BB532" i="3"/>
  <c r="BB531" i="3"/>
  <c r="BB530" i="3"/>
  <c r="BB529" i="3"/>
  <c r="BB528" i="3"/>
  <c r="BB527" i="3"/>
  <c r="BB526" i="3"/>
  <c r="BB525" i="3"/>
  <c r="BB524" i="3"/>
  <c r="BB523" i="3"/>
  <c r="BB522" i="3"/>
  <c r="BB521" i="3"/>
  <c r="BB520" i="3"/>
  <c r="BB519" i="3"/>
  <c r="BB518" i="3"/>
  <c r="BB517" i="3"/>
  <c r="BB516" i="3"/>
  <c r="BB515" i="3"/>
  <c r="BB514" i="3"/>
  <c r="BB513" i="3"/>
  <c r="BB512" i="3"/>
  <c r="BB511" i="3"/>
  <c r="BB510" i="3"/>
  <c r="BB509" i="3"/>
  <c r="BB508" i="3"/>
  <c r="BB507" i="3"/>
  <c r="BB506" i="3"/>
  <c r="BB505" i="3"/>
  <c r="BB504" i="3"/>
  <c r="BB503" i="3"/>
  <c r="BB502" i="3"/>
  <c r="BB501" i="3"/>
  <c r="BB500" i="3"/>
  <c r="BB499" i="3"/>
  <c r="BB498" i="3"/>
  <c r="BB497" i="3"/>
  <c r="BB496" i="3"/>
  <c r="BB495" i="3"/>
  <c r="BB494" i="3"/>
  <c r="BB493" i="3"/>
  <c r="BB492" i="3"/>
  <c r="BB491" i="3"/>
  <c r="BB490" i="3"/>
  <c r="BB489" i="3"/>
  <c r="BB488" i="3"/>
  <c r="BB487" i="3"/>
  <c r="BB486" i="3"/>
  <c r="BB485" i="3"/>
  <c r="BB484" i="3"/>
  <c r="BB483" i="3"/>
  <c r="BB482" i="3"/>
  <c r="BB481" i="3"/>
  <c r="BB480" i="3"/>
  <c r="BB479" i="3"/>
  <c r="BB478" i="3"/>
  <c r="BB477" i="3"/>
  <c r="BB476" i="3"/>
  <c r="BB293" i="3"/>
  <c r="BB357" i="3"/>
  <c r="BB265" i="3"/>
  <c r="BB371" i="3"/>
  <c r="BB373" i="3"/>
  <c r="BB280" i="3"/>
  <c r="BB313" i="3"/>
  <c r="BB349" i="3"/>
  <c r="BB264" i="3"/>
  <c r="BB369" i="3"/>
  <c r="BB339" i="3"/>
  <c r="BB325" i="3"/>
  <c r="BB214" i="3"/>
  <c r="BB358" i="3"/>
  <c r="BB372" i="3"/>
  <c r="BB345" i="3"/>
  <c r="BB359" i="3"/>
  <c r="BB225" i="3"/>
  <c r="BB444" i="3"/>
  <c r="BB396" i="3"/>
  <c r="BB222" i="3"/>
  <c r="BB395" i="3"/>
  <c r="BB284" i="3"/>
  <c r="BB306" i="3"/>
  <c r="BB360" i="3"/>
  <c r="BB106" i="3"/>
  <c r="BB374" i="3"/>
  <c r="BB5" i="3"/>
  <c r="BB344" i="3"/>
  <c r="BB54" i="3"/>
  <c r="BB4" i="3"/>
  <c r="BB102" i="3"/>
  <c r="BB3" i="3"/>
  <c r="BB474" i="3"/>
  <c r="BB471" i="3"/>
  <c r="BB400" i="3"/>
  <c r="BB399" i="3"/>
  <c r="BB401" i="3"/>
  <c r="BB403" i="3"/>
  <c r="BB406" i="3"/>
  <c r="BB404" i="3"/>
  <c r="BB405" i="3"/>
  <c r="BB402" i="3"/>
  <c r="BB409" i="3"/>
  <c r="BB408" i="3"/>
  <c r="BB442" i="3"/>
  <c r="BB475" i="3"/>
  <c r="BB410" i="3"/>
  <c r="BB412" i="3"/>
  <c r="BB411" i="3"/>
  <c r="BB397" i="3"/>
  <c r="BB414" i="3"/>
  <c r="BB413" i="3"/>
  <c r="BB415" i="3"/>
  <c r="BB407" i="3"/>
  <c r="BB417" i="3"/>
  <c r="BB416" i="3"/>
  <c r="BB419" i="3"/>
  <c r="BB418" i="3"/>
  <c r="BB421" i="3"/>
  <c r="BB424" i="3"/>
  <c r="BB420" i="3"/>
  <c r="BB422" i="3"/>
  <c r="BB423" i="3"/>
  <c r="BB437" i="3"/>
  <c r="BB473" i="3"/>
  <c r="BB425" i="3"/>
  <c r="BB426" i="3"/>
  <c r="BB427" i="3"/>
  <c r="BB432" i="3"/>
  <c r="BB398" i="3"/>
  <c r="BB429" i="3"/>
  <c r="BB431" i="3"/>
  <c r="BB430" i="3"/>
  <c r="BB433" i="3"/>
  <c r="BB436" i="3"/>
  <c r="BB434" i="3"/>
  <c r="BB472" i="3"/>
  <c r="BB439" i="3"/>
  <c r="BB435" i="3"/>
  <c r="BB438" i="3"/>
  <c r="BB441" i="3"/>
  <c r="BB440" i="3"/>
  <c r="BB446" i="3"/>
  <c r="BB453" i="3"/>
  <c r="BB448" i="3"/>
  <c r="BB445" i="3"/>
  <c r="BB447" i="3"/>
  <c r="BB450" i="3"/>
  <c r="BB451" i="3"/>
  <c r="BB456" i="3"/>
  <c r="BB454" i="3"/>
  <c r="BB455" i="3"/>
  <c r="BB457" i="3"/>
  <c r="BB459" i="3"/>
  <c r="BB458" i="3"/>
  <c r="BB460" i="3"/>
  <c r="BB461" i="3"/>
  <c r="BB463" i="3"/>
  <c r="BB462" i="3"/>
  <c r="BB465" i="3"/>
  <c r="BB466" i="3"/>
  <c r="BB468" i="3"/>
  <c r="BB469" i="3"/>
  <c r="BB470" i="3"/>
  <c r="BB196" i="3"/>
  <c r="BB197" i="3"/>
  <c r="BB200" i="3"/>
  <c r="BB199" i="3"/>
  <c r="BB201" i="3"/>
  <c r="BB198" i="3"/>
  <c r="BB202" i="3"/>
  <c r="BB203" i="3"/>
  <c r="BB204" i="3"/>
  <c r="BB206" i="3"/>
  <c r="BB207" i="3"/>
  <c r="BB205" i="3"/>
  <c r="BB208" i="3"/>
  <c r="BB218" i="3"/>
  <c r="BB209" i="3"/>
  <c r="BB394" i="3"/>
  <c r="BB210" i="3"/>
  <c r="BB212" i="3"/>
  <c r="BB363" i="3"/>
  <c r="BB213" i="3"/>
  <c r="BB215" i="3"/>
  <c r="BB393" i="3"/>
  <c r="BB216" i="3"/>
  <c r="BB392" i="3"/>
  <c r="BB223" i="3"/>
  <c r="BB219" i="3"/>
  <c r="BB220" i="3"/>
  <c r="BB217" i="3"/>
  <c r="BB221" i="3"/>
  <c r="BB247" i="3"/>
  <c r="BB390" i="3"/>
  <c r="BB239" i="3"/>
  <c r="BB252" i="3"/>
  <c r="BB234" i="3"/>
  <c r="BB235" i="3"/>
  <c r="BB13" i="3"/>
  <c r="BB257" i="3"/>
  <c r="BB228" i="3"/>
  <c r="BB242" i="3"/>
  <c r="BB249" i="3"/>
  <c r="BB389" i="3"/>
  <c r="BB229" i="3"/>
  <c r="BB224" i="3"/>
  <c r="BB230" i="3"/>
  <c r="BB233" i="3"/>
  <c r="BB232" i="3"/>
  <c r="BB231" i="3"/>
  <c r="BB250" i="3"/>
  <c r="BB236" i="3"/>
  <c r="BB238" i="3"/>
  <c r="BB388" i="3"/>
  <c r="BB241" i="3"/>
  <c r="BB256" i="3"/>
  <c r="BB387" i="3"/>
  <c r="BB243" i="3"/>
  <c r="BB226" i="3"/>
  <c r="BB246" i="3"/>
  <c r="BB245" i="3"/>
  <c r="BB244" i="3"/>
  <c r="BB248" i="3"/>
  <c r="BB240" i="3"/>
  <c r="BB251" i="3"/>
  <c r="BB253" i="3"/>
  <c r="BB255" i="3"/>
  <c r="BB254" i="3"/>
  <c r="BB267" i="3"/>
  <c r="BB386" i="3"/>
  <c r="BB282" i="3"/>
  <c r="BB258" i="3"/>
  <c r="BB260" i="3"/>
  <c r="BB263" i="3"/>
  <c r="BB261" i="3"/>
  <c r="BB262" i="3"/>
  <c r="BB237" i="3"/>
  <c r="BB276" i="3"/>
  <c r="BB368" i="3"/>
  <c r="BB268" i="3"/>
  <c r="BB274" i="3"/>
  <c r="BB270" i="3"/>
  <c r="BB271" i="3"/>
  <c r="BB269" i="3"/>
  <c r="BB266" i="3"/>
  <c r="BB275" i="3"/>
  <c r="BB354" i="3"/>
  <c r="BB277" i="3"/>
  <c r="BB278" i="3"/>
  <c r="BB281" i="3"/>
  <c r="BB323" i="3"/>
  <c r="BB338" i="3"/>
  <c r="BB283" i="3"/>
  <c r="BB287" i="3"/>
  <c r="BB285" i="3"/>
  <c r="BB385" i="3"/>
  <c r="BB296" i="3"/>
  <c r="BB295" i="3"/>
  <c r="BB286" i="3"/>
  <c r="BB272" i="3"/>
  <c r="BB291" i="3"/>
  <c r="BB288" i="3"/>
  <c r="BB289" i="3"/>
  <c r="BB290" i="3"/>
  <c r="BB292" i="3"/>
  <c r="BB294" i="3"/>
  <c r="BB391" i="3"/>
  <c r="BB297" i="3"/>
  <c r="BB273" i="3"/>
  <c r="BB298" i="3"/>
  <c r="BB299" i="3"/>
  <c r="BB302" i="3"/>
  <c r="BB227" i="3"/>
  <c r="BB305" i="3"/>
  <c r="BB135" i="3"/>
  <c r="BB300" i="3"/>
  <c r="BB303" i="3"/>
  <c r="BB301" i="3"/>
  <c r="BB307" i="3"/>
  <c r="BB308" i="3"/>
  <c r="BB309" i="3"/>
  <c r="BB312" i="3"/>
  <c r="BB310" i="3"/>
  <c r="BB316" i="3"/>
  <c r="BB94" i="3"/>
  <c r="BB315" i="3"/>
  <c r="BB314" i="3"/>
  <c r="BB317" i="3"/>
  <c r="BB319" i="3"/>
  <c r="BB318" i="3"/>
  <c r="BB311" i="3"/>
  <c r="BB321" i="3"/>
  <c r="BB384" i="3"/>
  <c r="BB383" i="3"/>
  <c r="BB322" i="3"/>
  <c r="BB139" i="3"/>
  <c r="BB324" i="3"/>
  <c r="BB320" i="3"/>
  <c r="BB327" i="3"/>
  <c r="BB328" i="3"/>
  <c r="BB337" i="3"/>
  <c r="BB329" i="3"/>
  <c r="BB326" i="3"/>
  <c r="BB330" i="3"/>
  <c r="BB331" i="3"/>
  <c r="BB333" i="3"/>
  <c r="BB336" i="3"/>
  <c r="BB343" i="3"/>
  <c r="BB341" i="3"/>
  <c r="BB355" i="3"/>
  <c r="BB351" i="3"/>
  <c r="BB346" i="3"/>
  <c r="BB340" i="3"/>
  <c r="BB332" i="3"/>
  <c r="BB348" i="3"/>
  <c r="BB347" i="3"/>
  <c r="BB334" i="3"/>
  <c r="BB353" i="3"/>
  <c r="BB352" i="3"/>
  <c r="BB350" i="3"/>
  <c r="BB382" i="3"/>
  <c r="BB356" i="3"/>
  <c r="BB362" i="3"/>
  <c r="BB364" i="3"/>
  <c r="BB37" i="3"/>
  <c r="BB29" i="3"/>
  <c r="BB335" i="3"/>
  <c r="BB367" i="3"/>
  <c r="BB361" i="3"/>
  <c r="BB100" i="3"/>
  <c r="BB365" i="3"/>
  <c r="BB366" i="3"/>
  <c r="BB370" i="3"/>
  <c r="BB71" i="3"/>
  <c r="BB428" i="3"/>
  <c r="BB99" i="3"/>
  <c r="BB443" i="3"/>
  <c r="BB452" i="3"/>
  <c r="BB74" i="3"/>
  <c r="BB464" i="3"/>
  <c r="BB467" i="3"/>
  <c r="BB342" i="3"/>
  <c r="BB98" i="3"/>
  <c r="BB7" i="3"/>
  <c r="BB14" i="3"/>
  <c r="BB97" i="3"/>
  <c r="BB8" i="3"/>
  <c r="BB6" i="3"/>
  <c r="BB96" i="3"/>
  <c r="BB9" i="3"/>
  <c r="BB10" i="3"/>
  <c r="BB12" i="3"/>
  <c r="BB15" i="3"/>
  <c r="BB16" i="3"/>
  <c r="BB24" i="3"/>
  <c r="BB18" i="3"/>
  <c r="BB17" i="3"/>
  <c r="BB11" i="3"/>
  <c r="BB19" i="3"/>
  <c r="BB20" i="3"/>
  <c r="BB22" i="3"/>
  <c r="BB23" i="3"/>
  <c r="BB25" i="3"/>
  <c r="BB21" i="3"/>
  <c r="BB26" i="3"/>
  <c r="BB35" i="3"/>
  <c r="BB28" i="3"/>
  <c r="BB27" i="3"/>
  <c r="BB30" i="3"/>
  <c r="BB32" i="3"/>
  <c r="BB34" i="3"/>
  <c r="BB36" i="3"/>
  <c r="BB33" i="3"/>
  <c r="BB40" i="3"/>
  <c r="BB38" i="3"/>
  <c r="BB57" i="3"/>
  <c r="BB39" i="3"/>
  <c r="BB47" i="3"/>
  <c r="BB42" i="3"/>
  <c r="BB43" i="3"/>
  <c r="BB41" i="3"/>
  <c r="BB44" i="3"/>
  <c r="BB46" i="3"/>
  <c r="BB31" i="3"/>
  <c r="BB93" i="3"/>
  <c r="BB48" i="3"/>
  <c r="BB51" i="3"/>
  <c r="BB55" i="3"/>
  <c r="BB50" i="3"/>
  <c r="BB45" i="3"/>
  <c r="BB59" i="3"/>
  <c r="BB49" i="3"/>
  <c r="BB58" i="3"/>
  <c r="BB56" i="3"/>
  <c r="BB52" i="3"/>
  <c r="BB53" i="3"/>
  <c r="BB95" i="3"/>
  <c r="BB62" i="3"/>
  <c r="BB61" i="3"/>
  <c r="BB64" i="3"/>
  <c r="BB92" i="3"/>
  <c r="BB66" i="3"/>
  <c r="BB67" i="3"/>
  <c r="BB68" i="3"/>
  <c r="BB60" i="3"/>
  <c r="BB65" i="3"/>
  <c r="BB72" i="3"/>
  <c r="BB91" i="3"/>
  <c r="BB73" i="3"/>
  <c r="BB70" i="3"/>
  <c r="BB75" i="3"/>
  <c r="BB69" i="3"/>
  <c r="BB63" i="3"/>
  <c r="BB79" i="3"/>
  <c r="BB76" i="3"/>
  <c r="BB77" i="3"/>
  <c r="BB84" i="3"/>
  <c r="BB83" i="3"/>
  <c r="BB82" i="3"/>
  <c r="BB81" i="3"/>
  <c r="BB80" i="3"/>
  <c r="BB86" i="3"/>
  <c r="BB85" i="3"/>
  <c r="BB87" i="3"/>
  <c r="BB88" i="3"/>
  <c r="BB89" i="3"/>
  <c r="BB90" i="3"/>
  <c r="E1" i="18"/>
  <c r="A1" i="18"/>
  <c r="A1" i="17"/>
  <c r="W5" i="4"/>
  <c r="W6" i="4"/>
  <c r="W7" i="4"/>
  <c r="W8" i="4"/>
  <c r="W9" i="4"/>
  <c r="W10" i="4"/>
  <c r="W11" i="4"/>
  <c r="W12" i="4"/>
  <c r="W13" i="4"/>
  <c r="W14" i="4"/>
  <c r="W15" i="4"/>
  <c r="W4" i="4"/>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H26" i="29" l="1"/>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6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7"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28" i="29" l="1"/>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87"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I1" i="3"/>
  <c r="AJ1" i="3"/>
  <c r="AK1" i="3"/>
  <c r="AL1" i="3"/>
  <c r="AM1" i="3"/>
  <c r="AN1" i="3"/>
  <c r="AO1" i="3"/>
  <c r="AP1" i="3"/>
  <c r="AQ1" i="3"/>
  <c r="AR1" i="3"/>
  <c r="AS1" i="3"/>
  <c r="AT1" i="3"/>
  <c r="AU1" i="3"/>
  <c r="AV1" i="3"/>
  <c r="AW1" i="3"/>
  <c r="AX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A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K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L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P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P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R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N463" authorId="1" shapeId="0" xr:uid="{6CAEE0AE-9FF8-48D3-AF81-37A2CCE128F0}">
      <text>
        <r>
          <rPr>
            <sz val="11"/>
            <color theme="1"/>
            <rFont val="Aptos Narrow"/>
            <family val="2"/>
            <scheme val="minor"/>
          </rPr>
          <t>Fernanda Duran:
Ver si upsell justifica habilitarles el reporte por ahora y se cobre a futuro</t>
        </r>
      </text>
    </comment>
    <comment ref="AJ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<sst xmlns="http://schemas.openxmlformats.org/spreadsheetml/2006/main" count="9707" uniqueCount="2139">
  <si>
    <t>ID Geo</t>
  </si>
  <si>
    <t>RFC</t>
  </si>
  <si>
    <t>Facturación actual USD</t>
  </si>
  <si>
    <t>Productos Cross</t>
  </si>
  <si>
    <t>Enganche otro</t>
  </si>
  <si>
    <t>CLIENTE</t>
  </si>
  <si>
    <t>Grupo</t>
  </si>
  <si>
    <t>Comentario</t>
  </si>
  <si>
    <t>Tag</t>
  </si>
  <si>
    <t>Facturado por partner</t>
  </si>
  <si>
    <t>Cartera</t>
  </si>
  <si>
    <t>KAM</t>
  </si>
  <si>
    <t>Implementando?</t>
  </si>
  <si>
    <t>Rubro zoho</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</si>
  <si>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</si>
  <si>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</si>
  <si>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</si>
  <si>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</si>
  <si>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</si>
  <si>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</si>
  <si>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</si>
  <si>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</si>
  <si>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</si>
  <si>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</si>
  <si>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</si>
  <si>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</si>
  <si>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</si>
  <si>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</si>
  <si>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</si>
  <si>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</si>
  <si>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</si>
  <si>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</si>
  <si>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</si>
  <si>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</si>
  <si>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</si>
  <si>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</si>
  <si>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</si>
  <si>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</si>
  <si>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</si>
  <si>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</si>
  <si>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</si>
  <si>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</si>
  <si>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</si>
  <si>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</si>
  <si>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</si>
  <si>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</si>
  <si>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</si>
  <si>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</si>
  <si>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</si>
  <si>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</si>
  <si>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</si>
  <si>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</si>
  <si>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</si>
  <si>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</si>
  <si>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</si>
  <si>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</si>
  <si>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</si>
  <si>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</si>
  <si>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</si>
  <si>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</si>
  <si>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</si>
  <si>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</si>
  <si>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</si>
  <si>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</si>
  <si>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</si>
  <si>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</si>
  <si>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</si>
  <si>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</si>
  <si>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</si>
  <si>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</si>
  <si>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</si>
  <si>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</si>
  <si>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</si>
  <si>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</si>
  <si>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</si>
  <si>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</si>
  <si>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</si>
  <si>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</si>
  <si>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</si>
  <si>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</si>
  <si>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</si>
  <si>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</si>
  <si>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</si>
  <si>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</si>
  <si>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</si>
  <si>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</si>
  <si>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</si>
  <si>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</si>
  <si>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</si>
  <si>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</si>
  <si>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</si>
  <si>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</si>
  <si>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</si>
  <si>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</si>
  <si>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</si>
  <si>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</si>
  <si>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</si>
  <si>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</si>
  <si>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</si>
  <si>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</si>
  <si>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</si>
  <si>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</si>
  <si>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</si>
  <si>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15. Planta Productiva</t>
  </si>
  <si>
    <t>División de comisariato del grupo Benedetti's, empresa gastronómica con sede en CDMX que provee servicios de alimentación para empresas, comedores industriales y colectividades.</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</si>
  <si>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</si>
  <si>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</si>
  <si>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</si>
  <si>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</si>
  <si>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</si>
  <si>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</si>
  <si>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</si>
  <si>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</si>
  <si>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</si>
  <si>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</si>
  <si>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</si>
  <si>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</si>
  <si>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16. Logistica</t>
  </si>
  <si>
    <t>Empresa de logística y servicios portuarios con sede en CDMX, especializada en operaciones de importación, exportación y gestión de carga en puertos y terminales de México.</t>
  </si>
  <si>
    <t>Logistica</t>
  </si>
  <si>
    <t>JLM SERVICIOS PROFESIONALES INTEGRALES</t>
  </si>
  <si>
    <t>Empresa de servicios profesionales integrales con sede en CDMX, que provee soluciones de consultoría, outsourcing y gestión para clientes del sector empresarial en México.</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</si>
  <si>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</si>
  <si>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</si>
  <si>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</si>
  <si>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</si>
  <si>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</si>
  <si>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</si>
  <si>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</si>
  <si>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</si>
  <si>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</si>
  <si>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</si>
  <si>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</si>
  <si>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</si>
  <si>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</si>
  <si>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21. Transporte</t>
  </si>
  <si>
    <t>Empresa de traslados y transporte especial con sede en CDMX, dedicada al traslado de pacientes, personal o carga especializada con unidades adecuadas para cada servicio.</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</si>
  <si>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</si>
  <si>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</si>
  <si>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</si>
  <si>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</si>
  <si>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</si>
  <si>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</si>
  <si>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</si>
  <si>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</si>
  <si>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</si>
  <si>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</si>
  <si>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</si>
  <si>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</si>
  <si>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</si>
  <si>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</si>
  <si>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</si>
  <si>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</si>
  <si>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</si>
  <si>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</si>
  <si>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</si>
  <si>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20. Servicios</t>
  </si>
  <si>
    <t>Empresa de marketing digital y publicidad con sede en CDMX, especializada en estrategias de medios digitales, redes sociales y contenido para marcas y empresas en México.</t>
  </si>
  <si>
    <t>ESA9402086U4</t>
  </si>
  <si>
    <t>ESTEBAN SANCHEZ Y ASOCIADOS</t>
  </si>
  <si>
    <t>6. Banca y Finanzas</t>
  </si>
  <si>
    <t>Construcción</t>
  </si>
  <si>
    <t>Despacho de ingeniería y construcción con sede en CDMX, especializado en proyectos arquitectónicos, estructurales y de obra civil para el sector inmobiliario y empresarial.</t>
  </si>
  <si>
    <t>Empresa mexicana especializada en la fabricación y comercialización de productos plásticos y empaques para uso industrial y de consumo.</t>
  </si>
  <si>
    <t>CEN180307897</t>
  </si>
  <si>
    <t>LOGICAMEX</t>
  </si>
  <si>
    <t>Empresa mexicana de tecnología y servicios de TI especializada en soluciones de software, integración de sistemas y consultoría para empresas del sector privado y público.</t>
  </si>
  <si>
    <t>TECNOLOGIA SINTEL (FORBO)</t>
  </si>
  <si>
    <t>Tecnología Sintel</t>
  </si>
  <si>
    <t>5. Consultoria</t>
  </si>
  <si>
    <t>Empresa del grupo suizo Forbo, dedicada a la distribución y comercialización de pisos vinílicos, textiles técnicos y sistemas de transportación de materiales en México.</t>
  </si>
  <si>
    <t>OP</t>
  </si>
  <si>
    <t>CDI1305022N7</t>
  </si>
  <si>
    <t>COMPUMEX DIGITAL</t>
  </si>
  <si>
    <t>17. Retail Enterprise</t>
  </si>
  <si>
    <t>Empresa comercializadora de equipos de cómputo, tecnología y consumibles con sede en la Ciudad de México, orientada a ventas empresariales y público general.</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</si>
  <si>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</si>
  <si>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</si>
  <si>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</si>
  <si>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</si>
  <si>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</si>
  <si>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</si>
  <si>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</si>
  <si>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</si>
  <si>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</si>
  <si>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</si>
  <si>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</si>
  <si>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</si>
  <si>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</si>
  <si>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</si>
  <si>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</si>
  <si>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18. Retail SMB</t>
  </si>
  <si>
    <t>Empresa mexicana dedicada a la producción y comercialización de quesos y productos lácteos artesanales e industriales para el mercado nacional.</t>
  </si>
  <si>
    <t>ACTIC</t>
  </si>
  <si>
    <t>GAYA</t>
  </si>
  <si>
    <t>Empresa mexicana de servicios con presencia en la Ciudad de México, especializada en consultoría, capacitación o servicios técnicos para el sector empresarial.</t>
  </si>
  <si>
    <t>PRM151028TH8</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</si>
  <si>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</si>
  <si>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</si>
  <si>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</si>
  <si>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</si>
  <si>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</si>
  <si>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</si>
  <si>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</si>
  <si>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</si>
  <si>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</si>
  <si>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</si>
  <si>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</si>
  <si>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</si>
  <si>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</si>
  <si>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</si>
  <si>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</si>
  <si>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</si>
  <si>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</si>
  <si>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</si>
  <si>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</si>
  <si>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</si>
  <si>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</si>
  <si>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</si>
  <si>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</si>
  <si>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</si>
  <si>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</si>
  <si>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</si>
  <si>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</si>
  <si>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</si>
  <si>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</si>
  <si>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</si>
  <si>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</si>
  <si>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</si>
  <si>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</si>
  <si>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</si>
  <si>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</si>
  <si>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</si>
  <si>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</si>
  <si>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</si>
  <si>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</si>
  <si>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</si>
  <si>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3. Construcción</t>
  </si>
  <si>
    <t>Empresa de seguridad privada y vigilancia corporativa que presta servicios de protección a instalaciones, empresas y eventos en la Ciudad de México y área metropolitana.</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</si>
  <si>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</si>
  <si>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</si>
  <si>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</si>
  <si>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</si>
  <si>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</si>
  <si>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</si>
  <si>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</si>
  <si>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</si>
  <si>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</si>
  <si>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</si>
  <si>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</si>
  <si>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</si>
  <si>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</si>
  <si>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</si>
  <si>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</si>
  <si>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</si>
  <si>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</si>
  <si>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</si>
  <si>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</si>
  <si>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</si>
  <si>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</si>
  <si>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</si>
  <si>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GRUPO MODS</t>
  </si>
  <si>
    <t>Empresa mexicana de servicios con operaciones en Ciudad de México, orientada a soluciones comerciales y de gestión para clientes del sector empresarial.</t>
  </si>
  <si>
    <t>ISEG MEXICO SEGURIDAD PRIVADA</t>
  </si>
  <si>
    <t>12. Outsourcing Seguridad</t>
  </si>
  <si>
    <t>Empresa peruana con operaciones en México dedicada a la seguridad privada, prevención de pérdidas y protección de instalaciones para el sector retail y corporativo.</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</si>
  <si>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</si>
  <si>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</si>
  <si>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</si>
  <si>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</si>
  <si>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</si>
  <si>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</si>
  <si>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</si>
  <si>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</si>
  <si>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</si>
  <si>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</si>
  <si>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</si>
  <si>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</si>
  <si>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</si>
  <si>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</si>
  <si>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</si>
  <si>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</si>
  <si>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1. Agrícola</t>
  </si>
  <si>
    <t>Jalisco</t>
  </si>
  <si>
    <t>Agrícola</t>
  </si>
  <si>
    <t>Empresa especializada en agricultura de alta tecnología e hidroponía en Jalisco, producción de hortalizas y frutas bajo invernadero.</t>
  </si>
  <si>
    <t>ULA751222J13</t>
  </si>
  <si>
    <t>UNIVERSIDAD LATINOAMERICANA</t>
  </si>
  <si>
    <t>7. Educación</t>
  </si>
  <si>
    <t>Educación</t>
  </si>
  <si>
    <t>Universidad privada mexicana con campus en CDMX, Nuevo León y otras ciudades, con oferta educativa de licenciaturas, posgrados y educación continua.</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</si>
  <si>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</si>
  <si>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</si>
  <si>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</si>
  <si>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</si>
  <si>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</si>
  <si>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</si>
  <si>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</si>
  <si>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</si>
  <si>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</si>
  <si>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</si>
  <si>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</si>
  <si>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</si>
  <si>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</si>
  <si>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</si>
  <si>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</si>
  <si>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</si>
  <si>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</si>
  <si>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</si>
  <si>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</si>
  <si>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</si>
  <si>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</si>
  <si>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</si>
  <si>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</si>
  <si>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</si>
  <si>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</si>
  <si>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NO - lo tienen interno</t>
  </si>
  <si>
    <t>IPS130906GZ3</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</si>
  <si>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</si>
  <si>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</si>
  <si>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</si>
  <si>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</si>
  <si>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</si>
  <si>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</si>
  <si>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</si>
  <si>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</si>
  <si>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</si>
  <si>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</si>
  <si>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</si>
  <si>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</si>
  <si>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</si>
  <si>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</si>
  <si>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</si>
  <si>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</si>
  <si>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Otros</t>
  </si>
  <si>
    <t>Grupo empresarial con laboratorios farmacéuticos y clínicos, especializado en producción y comercialización de medicamentos y servicios de salud.</t>
  </si>
  <si>
    <t xml:space="preserve">Laboratorios </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</si>
  <si>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</si>
  <si>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</si>
  <si>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</si>
  <si>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</si>
  <si>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</si>
  <si>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</si>
  <si>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</si>
  <si>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</si>
  <si>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</si>
  <si>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</si>
  <si>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</si>
  <si>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</si>
  <si>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</si>
  <si>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</si>
  <si>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</si>
  <si>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</si>
  <si>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</si>
  <si>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</si>
  <si>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</si>
  <si>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</si>
  <si>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</si>
  <si>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</si>
  <si>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</si>
  <si>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</si>
  <si>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</si>
  <si>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</si>
  <si>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</si>
  <si>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</si>
  <si>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</si>
  <si>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</si>
  <si>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</si>
  <si>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</si>
  <si>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</si>
  <si>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</si>
  <si>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</si>
  <si>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</si>
  <si>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</si>
  <si>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</si>
  <si>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</si>
  <si>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</si>
  <si>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</si>
  <si>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</si>
  <si>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</si>
  <si>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</si>
  <si>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</si>
  <si>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NO - tienen intranet</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</si>
  <si>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</si>
  <si>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</si>
  <si>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</si>
  <si>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</si>
  <si>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</si>
  <si>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</si>
  <si>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</si>
  <si>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</si>
  <si>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</si>
  <si>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</si>
  <si>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</si>
  <si>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</si>
  <si>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</si>
  <si>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</si>
  <si>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</si>
  <si>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</si>
  <si>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</si>
  <si>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</si>
  <si>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</si>
  <si>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</si>
  <si>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</si>
  <si>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</si>
  <si>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</si>
  <si>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</si>
  <si>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</si>
  <si>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</si>
  <si>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</si>
  <si>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</si>
  <si>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</si>
  <si>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</si>
  <si>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</si>
  <si>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</si>
  <si>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</si>
  <si>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</si>
  <si>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</si>
  <si>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</si>
  <si>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Empresa de mensajería y logística de última milla, parte del grupo internacional J&amp;T Express, con operaciones en toda la República Mexicana.</t>
  </si>
  <si>
    <t>OP (Q2-Q3, Regiones,)</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</si>
  <si>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</si>
  <si>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</si>
  <si>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</si>
  <si>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</si>
  <si>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</si>
  <si>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</si>
  <si>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</si>
  <si>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</si>
  <si>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</si>
  <si>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</si>
  <si>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</si>
  <si>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</si>
  <si>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</si>
  <si>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</si>
  <si>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</si>
  <si>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</si>
  <si>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</si>
  <si>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</si>
  <si>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</si>
  <si>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</si>
  <si>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Asignar a Dafne</t>
  </si>
  <si>
    <t>Raúl Campos</t>
  </si>
  <si>
    <t>Empresa del VI Group comercializadora de combustibles ecológicos y alternativos, con soluciones de abastecimiento de energía limpia para flotas vehiculares.</t>
  </si>
  <si>
    <t>MOGAR SEGURIDAD PRIVADA</t>
  </si>
  <si>
    <t>Karla Patiño</t>
  </si>
  <si>
    <t>Empresa de seguridad privada y vigilancia con sede en CDMX, proveedora de servicios de protección para corporativos e industria.</t>
  </si>
  <si>
    <t>Outsourcing Seguridad</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</si>
  <si>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</si>
  <si>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</si>
  <si>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</si>
  <si>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</si>
  <si>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</si>
  <si>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</si>
  <si>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</si>
  <si>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</si>
  <si>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</si>
  <si>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OPERADORA URIMAR</t>
  </si>
  <si>
    <t>Empresa de servicios especializados con operaciones principalmente en CDMX, orientada a la administración y operación de negocios.</t>
  </si>
  <si>
    <t>TRANSPORTES ESPECIALIZADOS RUGA</t>
  </si>
  <si>
    <t>TUSSAN</t>
  </si>
  <si>
    <t>No Asignado</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</si>
  <si>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</si>
  <si>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</si>
  <si>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</si>
  <si>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</si>
  <si>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</si>
  <si>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</si>
  <si>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</si>
  <si>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</si>
  <si>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</si>
  <si>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</si>
  <si>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</si>
  <si>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</si>
  <si>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</si>
  <si>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</si>
  <si>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</si>
  <si>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</si>
  <si>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</si>
  <si>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</si>
  <si>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</si>
  <si>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</si>
  <si>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</si>
  <si>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</si>
  <si>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</si>
  <si>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</si>
  <si>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</si>
  <si>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</si>
  <si>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13. Outsourcing General</t>
  </si>
  <si>
    <t>Subsidiaria de People 2, empresa global de servicios de outsourcing de recursos humanos. Provee soluciones de empleador de registro (EOR), nómina y gestión de personal en México.</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</si>
  <si>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</si>
  <si>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</si>
  <si>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</si>
  <si>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</si>
  <si>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</si>
  <si>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</si>
  <si>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</si>
  <si>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</si>
  <si>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</si>
  <si>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</si>
  <si>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19. Salud</t>
  </si>
  <si>
    <t>Red de centros auditivos del grupo español GAES con presencia en México, especializada en diagnóstico, adaptación de audífonos y rehabilitación auditiva para personas con pérdida auditiva.</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</si>
  <si>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</si>
  <si>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</si>
  <si>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</si>
  <si>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</si>
  <si>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</si>
  <si>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</si>
  <si>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</si>
  <si>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</si>
  <si>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</si>
  <si>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</si>
  <si>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</si>
  <si>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</si>
  <si>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</si>
  <si>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</si>
  <si>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</si>
  <si>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</si>
  <si>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</si>
  <si>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</si>
  <si>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</si>
  <si>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</si>
  <si>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</si>
  <si>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</si>
  <si>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</si>
  <si>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</si>
  <si>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</si>
  <si>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</si>
  <si>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</si>
  <si>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</si>
  <si>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</si>
  <si>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4. Inmobilaria</t>
  </si>
  <si>
    <t>Empresa inmobiliaria con sede en CDMX, dedicada al desarrollo, comercialización y gestión de propiedades residenciales y comerciales en el mercado mexicano.</t>
  </si>
  <si>
    <t>CBS151221DQA</t>
  </si>
  <si>
    <t>CLEAVER BROOKS DE MEXICO</t>
  </si>
  <si>
    <t>Subsidiaria de Cleaver-Brooks, empresa estadounidense fabricante de calderas y sistemas de generación de vapor y calor para procesos industriales con presencia en México.</t>
  </si>
  <si>
    <t>JORGE LEAL SEGOVIA</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</si>
  <si>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</si>
  <si>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</si>
  <si>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</si>
  <si>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</si>
  <si>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</si>
  <si>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</si>
  <si>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</si>
  <si>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</si>
  <si>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</si>
  <si>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</si>
  <si>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</si>
  <si>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</si>
  <si>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</si>
  <si>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</si>
  <si>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</si>
  <si>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</si>
  <si>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</si>
  <si>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</si>
  <si>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</si>
  <si>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</si>
  <si>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</si>
  <si>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</si>
  <si>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</si>
  <si>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</si>
  <si>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</si>
  <si>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</si>
  <si>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</si>
  <si>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</si>
  <si>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</si>
  <si>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</si>
  <si>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</si>
  <si>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</si>
  <si>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</si>
  <si>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</si>
  <si>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</si>
  <si>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</si>
  <si>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</si>
  <si>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</si>
  <si>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</si>
  <si>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</si>
  <si>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</si>
  <si>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</si>
  <si>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</si>
  <si>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</si>
  <si>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</si>
  <si>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</si>
  <si>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</si>
  <si>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</si>
  <si>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</si>
  <si>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</si>
  <si>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</si>
  <si>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</si>
  <si>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</si>
  <si>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</si>
  <si>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</si>
  <si>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</si>
  <si>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</si>
  <si>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</si>
  <si>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</si>
  <si>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</si>
  <si>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</si>
  <si>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</si>
  <si>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</si>
  <si>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</si>
  <si>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</si>
  <si>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</si>
  <si>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</si>
  <si>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</si>
  <si>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</si>
  <si>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</si>
  <si>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</si>
  <si>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</si>
  <si>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</si>
  <si>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</si>
  <si>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</si>
  <si>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</si>
  <si>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</si>
  <si>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</si>
  <si>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</si>
  <si>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</si>
  <si>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</si>
  <si>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</si>
  <si>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</si>
  <si>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</si>
  <si>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</si>
  <si>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</si>
  <si>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</si>
  <si>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</si>
  <si>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</si>
  <si>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</si>
  <si>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</si>
  <si>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</si>
  <si>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</si>
  <si>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</si>
  <si>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</si>
  <si>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</si>
  <si>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</si>
  <si>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</si>
  <si>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</si>
  <si>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</si>
  <si>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</si>
  <si>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</si>
  <si>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</si>
  <si>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</si>
  <si>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</si>
  <si>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</si>
  <si>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</si>
  <si>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</si>
  <si>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</si>
  <si>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</si>
  <si>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</si>
  <si>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</si>
  <si>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</si>
  <si>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OP (Q3)</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</si>
  <si>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</si>
  <si>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</si>
  <si>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</si>
  <si>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</si>
  <si>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</si>
  <si>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</si>
  <si>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</si>
  <si>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</si>
  <si>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</si>
  <si>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</si>
  <si>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</si>
  <si>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</si>
  <si>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</si>
  <si>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</si>
  <si>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</si>
  <si>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</si>
  <si>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</si>
  <si>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</si>
  <si>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</si>
  <si>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</si>
  <si>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</si>
  <si>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</si>
  <si>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</si>
  <si>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</si>
  <si>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</si>
  <si>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</si>
  <si>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</si>
  <si>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</si>
  <si>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</si>
  <si>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</si>
  <si>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</si>
  <si>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</si>
  <si>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</si>
  <si>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</si>
  <si>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</si>
  <si>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</si>
  <si>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</si>
  <si>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</si>
  <si>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</si>
  <si>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</si>
  <si>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</si>
  <si>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</si>
  <si>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</si>
  <si>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</si>
  <si>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</si>
  <si>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</si>
  <si>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</si>
  <si>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</si>
  <si>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</si>
  <si>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</si>
  <si>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</si>
  <si>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</si>
  <si>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</si>
  <si>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</si>
  <si>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</si>
  <si>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</si>
  <si>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</si>
  <si>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</si>
  <si>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</si>
  <si>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</si>
  <si>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</si>
  <si>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</si>
  <si>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</si>
  <si>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</si>
  <si>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</si>
  <si>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</si>
  <si>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</si>
  <si>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</si>
  <si>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</si>
  <si>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</si>
  <si>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</si>
  <si>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</si>
  <si>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</si>
  <si>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</si>
  <si>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</si>
  <si>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</si>
  <si>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</si>
  <si>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</si>
  <si>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Subsidiaria de Marel, empresa islandesa fabricante de sistemas de procesamiento de alimentos, que provee equipos y soluciones para la industria cárnica, pesquera y avícola en México.</t>
  </si>
  <si>
    <t>TRABAJADORES CAPACITADOS EN SUBCONTRATACION</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</si>
  <si>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</si>
  <si>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</si>
  <si>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</si>
  <si>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</si>
  <si>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</si>
  <si>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</si>
  <si>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</si>
  <si>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</si>
  <si>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</si>
  <si>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</si>
  <si>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</si>
  <si>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</si>
  <si>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</si>
  <si>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</si>
  <si>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</si>
  <si>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</si>
  <si>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</si>
  <si>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</si>
  <si>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</si>
  <si>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</si>
  <si>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</si>
  <si>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</si>
  <si>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</si>
  <si>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</si>
  <si>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</si>
  <si>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</si>
  <si>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</si>
  <si>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</si>
  <si>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</si>
  <si>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</si>
  <si>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</si>
  <si>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</si>
  <si>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OPERADORA DE FRANQUICIAS CIROS</t>
  </si>
  <si>
    <t>Empresa operadora de franquicias con sede en CDMX, que desarrolla y gestiona redes de franquicias en el sector de alimentos, bebidas o servicios en México.</t>
  </si>
  <si>
    <t>NEWCHEM &amp; COMMERCE</t>
  </si>
  <si>
    <t>Empresa de comercialización de productos químicos con sede en CDMX, dedicada a la importación y distribución de especialidades químicas para la industria.</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</si>
  <si>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</si>
  <si>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</si>
  <si>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</si>
  <si>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</si>
  <si>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</si>
  <si>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</si>
  <si>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</si>
  <si>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</si>
  <si>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</si>
  <si>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</si>
  <si>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</si>
  <si>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</si>
  <si>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</si>
  <si>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</si>
  <si>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</si>
  <si>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</si>
  <si>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</si>
  <si>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</si>
  <si>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</si>
  <si>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</si>
  <si>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</si>
  <si>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</si>
  <si>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</si>
  <si>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</si>
  <si>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</si>
  <si>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</si>
  <si>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</si>
  <si>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</si>
  <si>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</si>
  <si>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</si>
  <si>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</si>
  <si>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</si>
  <si>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</si>
  <si>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</si>
  <si>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</si>
  <si>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</si>
  <si>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</si>
  <si>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</si>
  <si>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</si>
  <si>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</si>
  <si>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</si>
  <si>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</si>
  <si>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</si>
  <si>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</si>
  <si>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</si>
  <si>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</si>
  <si>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</si>
  <si>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</si>
  <si>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</si>
  <si>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</si>
  <si>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</si>
  <si>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</si>
  <si>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</si>
  <si>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</si>
  <si>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</si>
  <si>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</si>
  <si>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</si>
  <si>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</si>
  <si>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</si>
  <si>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</si>
  <si>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</si>
  <si>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</si>
  <si>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</si>
  <si>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</si>
  <si>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</si>
  <si>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</si>
  <si>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</si>
  <si>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</si>
  <si>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</si>
  <si>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</si>
  <si>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</si>
  <si>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</si>
  <si>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</si>
  <si>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</si>
  <si>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</si>
  <si>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</si>
  <si>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</si>
  <si>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</si>
  <si>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</si>
  <si>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</si>
  <si>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</si>
  <si>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</si>
  <si>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</si>
  <si>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</si>
  <si>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</si>
  <si>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</si>
  <si>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</si>
  <si>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</si>
  <si>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</si>
  <si>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</si>
  <si>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</si>
  <si>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</si>
  <si>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</si>
  <si>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</si>
  <si>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</si>
  <si>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</si>
  <si>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</si>
  <si>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</si>
  <si>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</si>
  <si>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</si>
  <si>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</si>
  <si>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</si>
  <si>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</si>
  <si>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</si>
  <si>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</si>
  <si>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</si>
  <si>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</si>
  <si>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</si>
  <si>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</si>
  <si>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</si>
  <si>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</si>
  <si>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</si>
  <si>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</si>
  <si>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</si>
  <si>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</si>
  <si>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</si>
  <si>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</si>
  <si>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</si>
  <si>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</si>
  <si>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</si>
  <si>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</si>
  <si>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</si>
  <si>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</si>
  <si>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</si>
  <si>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</si>
  <si>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</si>
  <si>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</si>
  <si>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</si>
  <si>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</si>
  <si>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</si>
  <si>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</si>
  <si>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</si>
  <si>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</si>
  <si>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</si>
  <si>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</si>
  <si>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</si>
  <si>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</si>
  <si>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</si>
  <si>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</si>
  <si>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</si>
  <si>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</si>
  <si>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</si>
  <si>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</si>
  <si>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</si>
  <si>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</si>
  <si>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</si>
  <si>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</si>
  <si>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</si>
  <si>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</si>
  <si>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</si>
  <si>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</si>
  <si>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</si>
  <si>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</si>
  <si>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</si>
  <si>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</si>
  <si>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</si>
  <si>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</si>
  <si>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</si>
  <si>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</si>
  <si>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</si>
  <si>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</si>
  <si>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</si>
  <si>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</si>
  <si>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</si>
  <si>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</si>
  <si>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</si>
  <si>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</si>
  <si>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</si>
  <si>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</si>
  <si>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</si>
  <si>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</si>
  <si>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</si>
  <si>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</si>
  <si>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</si>
  <si>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</si>
  <si>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</si>
  <si>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</si>
  <si>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</si>
  <si>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</si>
  <si>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</si>
  <si>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</si>
  <si>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</si>
  <si>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</si>
  <si>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</si>
  <si>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</si>
  <si>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</si>
  <si>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</si>
  <si>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</si>
  <si>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</si>
  <si>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</si>
  <si>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</si>
  <si>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</si>
  <si>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</si>
  <si>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</si>
  <si>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</si>
  <si>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</si>
  <si>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</si>
  <si>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</si>
  <si>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</si>
  <si>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</si>
  <si>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</si>
  <si>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</si>
  <si>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</si>
  <si>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</si>
  <si>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</si>
  <si>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</si>
  <si>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ALEJANDRA MORA MENDOZA</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</si>
  <si>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</si>
  <si>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</si>
  <si>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</si>
  <si>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</si>
  <si>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</si>
  <si>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</si>
  <si>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</si>
  <si>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EMPACADORA NOR VER (implementando)</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</si>
  <si>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</si>
  <si>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</si>
  <si>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</si>
  <si>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</si>
  <si>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</si>
  <si>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</si>
  <si>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</si>
  <si>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</si>
  <si>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</si>
  <si>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</si>
  <si>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</si>
  <si>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</si>
  <si>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</si>
  <si>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</si>
  <si>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</si>
  <si>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</si>
  <si>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</si>
  <si>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</si>
  <si>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</si>
  <si>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</si>
  <si>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</si>
  <si>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</si>
  <si>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</si>
  <si>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RENDIMIENTO NAXU</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</si>
  <si>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</si>
  <si>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</si>
  <si>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</si>
  <si>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</si>
  <si>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</si>
  <si>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</si>
  <si>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</si>
  <si>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</si>
  <si>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</si>
  <si>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</si>
  <si>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</si>
  <si>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</si>
  <si>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</si>
  <si>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</si>
  <si>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</si>
  <si>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</si>
  <si>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</si>
  <si>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</si>
  <si>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</si>
  <si>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</si>
  <si>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</si>
  <si>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</si>
  <si>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</si>
  <si>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</si>
  <si>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</si>
  <si>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</si>
  <si>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</si>
  <si>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</si>
  <si>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</si>
  <si>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</si>
  <si>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</si>
  <si>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</si>
  <si>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</si>
  <si>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</si>
  <si>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</si>
  <si>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</si>
  <si>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</si>
  <si>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</si>
  <si>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</si>
  <si>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</si>
  <si>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</si>
  <si>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</si>
  <si>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</si>
  <si>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</si>
  <si>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</si>
  <si>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</si>
  <si>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</si>
  <si>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</si>
  <si>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</si>
  <si>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</si>
  <si>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</si>
  <si>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</si>
  <si>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</si>
  <si>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</si>
  <si>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</si>
  <si>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</si>
  <si>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</si>
  <si>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</si>
  <si>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</si>
  <si>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</si>
  <si>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</si>
  <si>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</si>
  <si>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</si>
  <si>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</si>
  <si>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</si>
  <si>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</si>
  <si>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</si>
  <si>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</si>
  <si>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</si>
  <si>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</si>
  <si>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</si>
  <si>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</si>
  <si>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</si>
  <si>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</si>
  <si>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</si>
  <si>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</si>
  <si>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</si>
  <si>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</si>
  <si>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</si>
  <si>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</si>
  <si>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</si>
  <si>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</si>
  <si>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</si>
  <si>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</si>
  <si>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</si>
  <si>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</si>
  <si>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</si>
  <si>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</si>
  <si>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</si>
  <si>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</si>
  <si>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</si>
  <si>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</si>
  <si>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</si>
  <si>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</si>
  <si>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</si>
  <si>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</si>
  <si>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</si>
  <si>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</si>
  <si>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</si>
  <si>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</si>
  <si>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</si>
  <si>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</si>
  <si>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</si>
  <si>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</si>
  <si>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</si>
  <si>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</si>
  <si>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</si>
  <si>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</si>
  <si>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</si>
  <si>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</si>
  <si>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</si>
  <si>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</si>
  <si>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</si>
  <si>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</si>
  <si>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</si>
  <si>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</si>
  <si>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</si>
  <si>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</si>
  <si>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</si>
  <si>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</si>
  <si>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</si>
  <si>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</si>
  <si>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</si>
  <si>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</si>
  <si>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</si>
  <si>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</si>
  <si>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</si>
  <si>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</si>
  <si>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</si>
  <si>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</si>
  <si>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</si>
  <si>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</si>
  <si>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</si>
  <si>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</si>
  <si>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</si>
  <si>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</si>
  <si>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</si>
  <si>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</si>
  <si>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</si>
  <si>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</si>
  <si>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</si>
  <si>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</si>
  <si>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</si>
  <si>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</si>
  <si>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</si>
  <si>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</si>
  <si>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</si>
  <si>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</si>
  <si>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</si>
  <si>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</si>
  <si>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</si>
  <si>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</si>
  <si>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</si>
  <si>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</si>
  <si>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</si>
  <si>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</si>
  <si>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</si>
  <si>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</si>
  <si>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</si>
  <si>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</si>
  <si>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</si>
  <si>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</si>
  <si>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</si>
  <si>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</si>
  <si>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</si>
  <si>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</si>
  <si>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</si>
  <si>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</si>
  <si>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</si>
  <si>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</si>
  <si>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</si>
  <si>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</si>
  <si>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</si>
  <si>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</si>
  <si>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</si>
  <si>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</si>
  <si>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</si>
  <si>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</si>
  <si>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</si>
  <si>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</si>
  <si>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</si>
  <si>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</si>
  <si>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</si>
  <si>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</si>
  <si>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</si>
  <si>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</si>
  <si>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</si>
  <si>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</si>
  <si>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</si>
  <si>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</si>
  <si>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</si>
  <si>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</si>
  <si>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</si>
  <si>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</si>
  <si>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</si>
  <si>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</si>
  <si>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</si>
  <si>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</si>
  <si>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</si>
  <si>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</si>
  <si>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</si>
  <si>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</si>
  <si>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</si>
  <si>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</si>
  <si>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</si>
  <si>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</si>
  <si>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</si>
  <si>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</si>
  <si>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</si>
  <si>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</si>
  <si>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</si>
  <si>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</si>
  <si>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</si>
  <si>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</si>
  <si>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</si>
  <si>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</si>
  <si>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</si>
  <si>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</si>
  <si>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OP(Q3)</t>
  </si>
  <si>
    <t>OK(Q3)</t>
  </si>
  <si>
    <t>NEWREST CATERING MEXICO (Implementando)</t>
  </si>
  <si>
    <t>Filial mexicana de Newrest, empresa multinacional francesa de catering y restauración colectiva para aerolíneas, industria y colectividades.</t>
  </si>
  <si>
    <t>AFORE SURA (Implementando)</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</si>
  <si>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</si>
  <si>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</si>
  <si>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</si>
  <si>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</si>
  <si>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</si>
  <si>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</si>
  <si>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</si>
  <si>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</si>
  <si>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</si>
  <si>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</si>
  <si>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</si>
  <si>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</si>
  <si>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</si>
  <si>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</si>
  <si>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</si>
  <si>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</si>
  <si>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</si>
  <si>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</si>
  <si>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</si>
  <si>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</si>
  <si>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</si>
  <si>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</si>
  <si>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</si>
  <si>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</si>
  <si>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</si>
  <si>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</si>
  <si>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</si>
  <si>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</si>
  <si>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</si>
  <si>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</si>
  <si>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</si>
  <si>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</si>
  <si>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</si>
  <si>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</si>
  <si>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</si>
  <si>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</si>
  <si>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</si>
  <si>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</si>
  <si>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</si>
  <si>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</si>
  <si>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</si>
  <si>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</si>
  <si>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</si>
  <si>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</si>
  <si>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</si>
  <si>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</si>
  <si>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</si>
  <si>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</si>
  <si>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</si>
  <si>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</si>
  <si>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</si>
  <si>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</si>
  <si>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</si>
  <si>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</si>
  <si>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</si>
  <si>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</si>
  <si>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</si>
  <si>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</si>
  <si>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</si>
  <si>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</si>
  <si>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</si>
  <si>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</si>
  <si>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</si>
  <si>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</si>
  <si>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</si>
  <si>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</si>
  <si>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</si>
  <si>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</si>
  <si>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</si>
  <si>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</si>
  <si>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</si>
  <si>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</si>
  <si>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</si>
  <si>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</si>
  <si>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</si>
  <si>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</si>
  <si>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</si>
  <si>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</si>
  <si>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</si>
  <si>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</si>
  <si>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</si>
  <si>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</si>
  <si>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</si>
  <si>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</si>
  <si>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</si>
  <si>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</si>
  <si>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</si>
  <si>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</si>
  <si>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</si>
  <si>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</si>
  <si>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</si>
  <si>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VFL2509027ZA</t>
  </si>
  <si>
    <t>VIRAL FLAVOR (COCINA MEXICANA)</t>
  </si>
  <si>
    <t>TADA</t>
  </si>
  <si>
    <t>Dafne</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</si>
  <si>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</si>
  <si>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</si>
  <si>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</si>
  <si>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</si>
  <si>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</si>
  <si>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</si>
  <si>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</si>
  <si>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</si>
  <si>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</si>
  <si>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</si>
  <si>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</si>
  <si>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</si>
  <si>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</si>
  <si>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</si>
  <si>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</si>
  <si>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</si>
  <si>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</si>
  <si>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</si>
  <si>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</si>
  <si>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</si>
  <si>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</si>
  <si>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</si>
  <si>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</si>
  <si>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</si>
  <si>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</si>
  <si>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</si>
  <si>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</si>
  <si>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</si>
  <si>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</si>
  <si>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</si>
  <si>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</si>
  <si>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</si>
  <si>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</si>
  <si>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</si>
  <si>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</si>
  <si>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</si>
  <si>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</si>
  <si>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</si>
  <si>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</si>
  <si>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</si>
  <si>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</si>
  <si>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</si>
  <si>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</si>
  <si>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</si>
  <si>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</si>
  <si>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</si>
  <si>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</si>
  <si>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</si>
  <si>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</si>
  <si>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</si>
  <si>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</si>
  <si>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</si>
  <si>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</si>
  <si>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</si>
  <si>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</si>
  <si>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</si>
  <si>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</si>
  <si>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</si>
  <si>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</si>
  <si>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</si>
  <si>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</si>
  <si>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</si>
  <si>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</si>
  <si>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</si>
  <si>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</si>
  <si>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</si>
  <si>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</si>
  <si>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</si>
  <si>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</si>
  <si>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</si>
  <si>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</si>
  <si>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</si>
  <si>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</si>
  <si>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</si>
  <si>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</si>
  <si>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</si>
  <si>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</si>
  <si>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</si>
  <si>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</si>
  <si>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</si>
  <si>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</si>
  <si>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</si>
  <si>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</si>
  <si>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</si>
  <si>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</si>
  <si>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</si>
  <si>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</si>
  <si>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</si>
  <si>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</si>
  <si>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</si>
  <si>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</si>
  <si>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</si>
  <si>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</si>
  <si>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</si>
  <si>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</si>
  <si>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</si>
  <si>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</si>
  <si>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</si>
  <si>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</si>
  <si>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</si>
  <si>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</si>
  <si>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</si>
  <si>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</si>
  <si>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</si>
  <si>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</si>
  <si>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</si>
  <si>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</si>
  <si>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</si>
  <si>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</si>
  <si>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</si>
  <si>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</si>
  <si>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</si>
  <si>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</si>
  <si>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</si>
  <si>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</si>
  <si>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</si>
  <si>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</si>
  <si>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</si>
  <si>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</si>
  <si>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</si>
  <si>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</si>
  <si>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</si>
  <si>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</si>
  <si>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</si>
  <si>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</si>
  <si>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</si>
  <si>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</si>
  <si>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</si>
  <si>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</si>
  <si>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</si>
  <si>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</si>
  <si>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</si>
  <si>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</si>
  <si>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</si>
  <si>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</si>
  <si>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</si>
  <si>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</si>
  <si>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</si>
  <si>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</si>
  <si>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</si>
  <si>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</si>
  <si>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</si>
  <si>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</si>
  <si>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</si>
  <si>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</si>
  <si>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</si>
  <si>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</si>
  <si>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</si>
  <si>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</si>
  <si>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</si>
  <si>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</si>
  <si>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</si>
  <si>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</si>
  <si>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</si>
  <si>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</si>
  <si>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</si>
  <si>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</si>
  <si>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</si>
  <si>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</si>
  <si>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</si>
  <si>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</si>
  <si>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</si>
  <si>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</si>
  <si>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</si>
  <si>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</si>
  <si>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</si>
  <si>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</si>
  <si>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</si>
  <si>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</si>
  <si>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</si>
  <si>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</si>
  <si>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</si>
  <si>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</si>
  <si>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</si>
  <si>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</si>
  <si>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</si>
  <si>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</si>
  <si>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</si>
  <si>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</si>
  <si>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</si>
  <si>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</si>
  <si>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</si>
  <si>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</si>
  <si>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</si>
  <si>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</si>
  <si>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</si>
  <si>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</si>
  <si>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</si>
  <si>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</si>
  <si>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</si>
  <si>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</si>
  <si>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</si>
  <si>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</si>
  <si>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</si>
  <si>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</si>
  <si>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</si>
  <si>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</si>
  <si>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</si>
  <si>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</si>
  <si>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</si>
  <si>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</si>
  <si>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</si>
  <si>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</si>
  <si>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</si>
  <si>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</si>
  <si>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</si>
  <si>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</si>
  <si>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</si>
  <si>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</si>
  <si>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</si>
  <si>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</si>
  <si>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</si>
  <si>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</si>
  <si>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</si>
  <si>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</si>
  <si>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</si>
  <si>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</si>
  <si>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</si>
  <si>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</si>
  <si>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</si>
  <si>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</si>
  <si>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</si>
  <si>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</si>
  <si>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</si>
  <si>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</si>
  <si>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</si>
  <si>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</si>
  <si>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</si>
  <si>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</si>
  <si>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</si>
  <si>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</si>
  <si>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</si>
  <si>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</si>
  <si>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</si>
  <si>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</si>
  <si>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</si>
  <si>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</si>
  <si>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</si>
  <si>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</si>
  <si>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</si>
  <si>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</si>
  <si>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</si>
  <si>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</si>
  <si>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</si>
  <si>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</si>
  <si>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</si>
  <si>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</si>
  <si>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</si>
  <si>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</si>
  <si>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</si>
  <si>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</si>
  <si>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</si>
  <si>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</si>
  <si>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</si>
  <si>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</si>
  <si>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</si>
  <si>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</si>
  <si>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</si>
  <si>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</si>
  <si>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</si>
  <si>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</si>
  <si>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</si>
  <si>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</si>
  <si>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</si>
  <si>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</si>
  <si>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</si>
  <si>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</si>
  <si>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</si>
  <si>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</si>
  <si>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</si>
  <si>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</si>
  <si>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</si>
  <si>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</si>
  <si>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</si>
  <si>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</si>
  <si>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</si>
  <si>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</si>
  <si>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</si>
  <si>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</si>
  <si>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</si>
  <si>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</si>
  <si>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</si>
  <si>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</si>
  <si>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</si>
  <si>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</si>
  <si>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</si>
  <si>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</si>
  <si>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</si>
  <si>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</si>
  <si>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</si>
  <si>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</si>
  <si>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</si>
  <si>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</si>
  <si>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</si>
  <si>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</si>
  <si>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</si>
  <si>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</si>
  <si>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</si>
  <si>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</si>
  <si>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</si>
  <si>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</si>
  <si>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</si>
  <si>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</si>
  <si>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</si>
  <si>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</si>
  <si>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</si>
  <si>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</si>
  <si>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</si>
  <si>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</si>
  <si>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</si>
  <si>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</si>
  <si>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</si>
  <si>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</si>
  <si>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Aprovechar seguimiento para ver reu con Tadá
Validando Tadá, según eso avanzamos con vacaciones</t>
  </si>
  <si>
    <t>Mapeo 10 cuentas Junio</t>
  </si>
  <si>
    <t>Crear deal</t>
  </si>
  <si>
    <t>Amer Sports</t>
  </si>
  <si>
    <t>Entraría junto a acceso, julio. Esperando aprobación de presupuesto</t>
  </si>
  <si>
    <t>Dólar Q3</t>
  </si>
  <si>
    <t>Cross Selling</t>
  </si>
  <si>
    <t>Evaluar instalaciones aún, entraría julio. Seguimiento a levantamiento de las instalaciones</t>
  </si>
  <si>
    <t>Renta de 30 relojes sense2A</t>
  </si>
  <si>
    <t>Idinsa - Proyecto 1</t>
  </si>
  <si>
    <t xml:space="preserve">Levantar deal por proyecto (Validación de si entran los 5 proyectos por baja de precio por usuario (proyectos con tabletas biométricas). </t>
  </si>
  <si>
    <t>MODULO DASHBOARD BI MONTERREY (Trato) - Zoho CRM</t>
  </si>
  <si>
    <t>BI - MTY</t>
  </si>
  <si>
    <t>Seguimiento al deal, ofrecer piloto en caso de</t>
  </si>
  <si>
    <t>Vacaciones simi del norte (Trato) - Zoho CRM</t>
  </si>
  <si>
    <t>Similares del Norte</t>
  </si>
  <si>
    <t>En espera de planilla</t>
  </si>
  <si>
    <t>Calendario Inteligente (Trato) - Zoho CRM</t>
  </si>
  <si>
    <t>Esperando respuesta, ofrecer muy muy barato</t>
  </si>
  <si>
    <t>Esperando reu demo</t>
  </si>
  <si>
    <t>https://crm.zoho.com/crm/org685875245/tab/Potentials/3525045000629365190</t>
  </si>
  <si>
    <t>Almacenadora Sur</t>
  </si>
  <si>
    <t>Fue rechazado, será un acceso falso. Se podría impulsar próximo Q
Cliente no dio reunión, solo quieren 1 equipo, no el módulo</t>
  </si>
  <si>
    <t>JP implementación</t>
  </si>
  <si>
    <t>Porco Rosso</t>
  </si>
  <si>
    <t>Asistencia - Baja California</t>
  </si>
  <si>
    <t>Aceptado, esperando planilla</t>
  </si>
  <si>
    <t>Asistencia - Hidalgo</t>
  </si>
  <si>
    <t>Piloto julio</t>
  </si>
  <si>
    <t>Planificador- Baja California</t>
  </si>
  <si>
    <t>Planificador Inteligente- Hidalgo</t>
  </si>
  <si>
    <t>Oportunidad de upsell a todo el corporativo</t>
  </si>
  <si>
    <t>Sinforosa Cafe</t>
  </si>
  <si>
    <t>Apertura 3 cafeterías</t>
  </si>
  <si>
    <t>SERINTRA (Cuenta) - Zoho CRM</t>
  </si>
  <si>
    <t>Serintra</t>
  </si>
  <si>
    <t>Buscar reu para nueva demo o algo para presionar</t>
  </si>
  <si>
    <t>Vacaciones WYN Coacalco (Trato) - Zoho CRM</t>
  </si>
  <si>
    <t>Vacaciones</t>
  </si>
  <si>
    <t>Administradora entretenimiento platino (Wyn Coacalco)</t>
  </si>
  <si>
    <t>https://crm.zoho.com/crm/org685875245/tab/Potentials/3525045000621513363</t>
  </si>
  <si>
    <t>Transportes Wong</t>
  </si>
  <si>
    <t>Entraría seguro, Gio trabajando en él
Revisando con jefe si aprueba para junio</t>
  </si>
  <si>
    <t>Serviap Logistics S.A. de C.V. (Cuenta) - Zoho CRM</t>
  </si>
  <si>
    <t>No han respodido. Seguimiento</t>
  </si>
  <si>
    <t>RAM AMIB (Trato) - Zoho CRM</t>
  </si>
  <si>
    <t>AMIB</t>
  </si>
  <si>
    <t>Armar RAM después de los otros dos para apurar cierre. Ver opciones de precio para hacerlo atractivo</t>
  </si>
  <si>
    <t>https://crm.zoho.com/crm/org685875245/tab/Potentials/3525045000592368068</t>
  </si>
  <si>
    <t>*Volver a empujar piloto</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</si>
  <si>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</si>
  <si>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</si>
  <si>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</si>
  <si>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</si>
  <si>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</si>
  <si>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</si>
  <si>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Tussan</t>
  </si>
  <si>
    <t>Posible up de planta que genera pintura</t>
  </si>
  <si>
    <t>Vacaciones TUSSAN (Trato) - Zoho CRM</t>
  </si>
  <si>
    <t>Se envió propuesta, hacer seguimiento (llegó de JP)</t>
  </si>
  <si>
    <t>https://crm.zoho.com/crm/org685875245/tab/Potentials/3525045000636661622</t>
  </si>
  <si>
    <t>PTI-QCS</t>
  </si>
  <si>
    <t>Negociación. Buscarlos a inicio de semana del 21 de julio</t>
  </si>
  <si>
    <t>Victoria Connect</t>
  </si>
  <si>
    <t>ABC SIVMED</t>
  </si>
  <si>
    <t>Negociación. (Odoo)</t>
  </si>
  <si>
    <t>Negociación</t>
  </si>
  <si>
    <t>Fullmex Industrial</t>
  </si>
  <si>
    <t>Se solicitó ya la activación, se factura en julio</t>
  </si>
  <si>
    <t>Buscar up de 19 a 30 usuarioos</t>
  </si>
  <si>
    <t>Lo mejor en electronica</t>
  </si>
  <si>
    <t>Up desde 15 usuarios a 201 proyectado</t>
  </si>
  <si>
    <t>LI Financiera (Enelcom)</t>
  </si>
  <si>
    <t>Pelear en comisiones porque Karla hizo la subida de usuarios a plataforma.
Pasan de 10 usuarios a 38</t>
  </si>
  <si>
    <t>HiTech Services</t>
  </si>
  <si>
    <t>https://crm.zoho.com/crm/org685875245/tab/Potentials/3525045000621513339</t>
  </si>
  <si>
    <t>Team back 11</t>
  </si>
  <si>
    <t>Empujar piloto preventa</t>
  </si>
  <si>
    <t>https://one.zoho.com/zohoone/geovictoria/home/cxapp/crm/org685875245/tab/Potentials/3525045000630888010</t>
  </si>
  <si>
    <t xml:space="preserve">Alertas &amp; </t>
  </si>
  <si>
    <t>https://one.zoho.com/zohoone/geovictoria/home/cxapp/crm/org685875245/tab/Potentials/3525045000634463014</t>
  </si>
  <si>
    <t>Junio-Julio</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</si>
  <si>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</si>
  <si>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</si>
  <si>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</si>
  <si>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</si>
  <si>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</si>
  <si>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a mediados de julio
</t>
  </si>
  <si>
    <t>https://one.zoho.com/zohoone/geovictoria/home/cxapp/crm/org685875245/tab/Potentials/3525045000632446183</t>
  </si>
  <si>
    <t>Sura</t>
  </si>
  <si>
    <t>Piloto termina el 15 de julio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</si>
  <si>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</si>
  <si>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</si>
  <si>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</si>
  <si>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</si>
  <si>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</si>
  <si>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</si>
  <si>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</si>
  <si>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</si>
  <si>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</si>
  <si>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</si>
  <si>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</si>
  <si>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</si>
  <si>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</si>
  <si>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</si>
  <si>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</si>
  <si>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</si>
  <si>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</si>
  <si>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</si>
  <si>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</si>
  <si>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</si>
  <si>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</si>
  <si>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</si>
  <si>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Julio-Agosto</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</si>
  <si>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</si>
  <si>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</si>
  <si>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</si>
  <si>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</si>
  <si>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</si>
  <si>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</si>
  <si>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</si>
  <si>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</si>
  <si>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</si>
  <si>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</si>
  <si>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</si>
  <si>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</si>
  <si>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</si>
  <si>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Netfim</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</si>
  <si>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</si>
  <si>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</si>
  <si>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</si>
  <si>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</si>
  <si>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 xml:space="preserve">
Fecha máxima 15 de julio para decisión</t>
  </si>
  <si>
    <t>https://one.zoho.com/zohoone/geovictoria/home/cxapp/crm/org685875245/tab/Potentials/3525045000639910076</t>
  </si>
  <si>
    <t>Nueva regional</t>
  </si>
  <si>
    <t>Cierre de imple en julio</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</si>
  <si>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</si>
  <si>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</si>
  <si>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</si>
  <si>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</si>
  <si>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</si>
  <si>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</si>
  <si>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</si>
  <si>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</si>
  <si>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</si>
  <si>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</si>
  <si>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https://one.zoho.com/zohoone/geovictoria/home/cxapp/crm/org685875245/tab/Potentials/3525045000644512040</t>
  </si>
  <si>
    <t>https://one.zoho.com/zohoone/geovictoria/home/cxapp/crm/org685875245/tab/Potentials/3525045000630888026</t>
  </si>
  <si>
    <t>Kosmos</t>
  </si>
  <si>
    <t>https://one.zoho.com/zohoone/geovictoria/home/cxapp/crm/org685875245/tab/Potentials/3525045000630888031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</si>
  <si>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</si>
  <si>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</si>
  <si>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</si>
  <si>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</si>
  <si>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</si>
  <si>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</si>
  <si>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</si>
  <si>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</si>
  <si>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</si>
  <si>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</si>
  <si>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</si>
  <si>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</si>
  <si>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</si>
  <si>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</si>
  <si>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</si>
  <si>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</si>
  <si>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</si>
  <si>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</si>
  <si>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</si>
  <si>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</si>
  <si>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</si>
  <si>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</si>
  <si>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</si>
  <si>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</si>
  <si>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</si>
  <si>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</si>
  <si>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</si>
  <si>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</si>
  <si>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</si>
  <si>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</si>
  <si>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</si>
  <si>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</si>
  <si>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</si>
  <si>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</si>
  <si>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</si>
  <si>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</si>
  <si>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</si>
  <si>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</si>
  <si>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</si>
  <si>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</si>
  <si>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</si>
  <si>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</si>
  <si>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</si>
  <si>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</si>
  <si>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</si>
  <si>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</si>
  <si>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</si>
  <si>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</si>
  <si>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</si>
  <si>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</si>
  <si>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</si>
  <si>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</si>
  <si>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</si>
  <si>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</si>
  <si>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</si>
  <si>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</si>
  <si>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</si>
  <si>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</si>
  <si>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</si>
  <si>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</si>
  <si>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</si>
  <si>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</si>
  <si>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</si>
  <si>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</si>
  <si>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</si>
  <si>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</si>
  <si>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</si>
  <si>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</si>
  <si>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</si>
  <si>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</si>
  <si>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</si>
  <si>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</si>
  <si>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</si>
  <si>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</si>
  <si>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</si>
  <si>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</si>
  <si>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</si>
  <si>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</si>
  <si>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</si>
  <si>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</si>
  <si>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</si>
  <si>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</si>
  <si>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</si>
  <si>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</si>
  <si>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</si>
  <si>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</si>
  <si>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</si>
  <si>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</si>
  <si>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</si>
  <si>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</si>
  <si>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</si>
  <si>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</si>
  <si>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</si>
  <si>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</si>
  <si>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</si>
  <si>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</si>
  <si>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</si>
  <si>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Solicitó baja en septiembre 2025</t>
  </si>
  <si>
    <t>*Se desactivó el 13-05 pero debió ser 31-03</t>
  </si>
  <si>
    <t>Pasa a Fármacos Darovi</t>
  </si>
  <si>
    <t>Pasa a Stevanato</t>
  </si>
  <si>
    <t>STEEL TEK</t>
  </si>
  <si>
    <t>Viendo reimplementación</t>
  </si>
  <si>
    <t>Desactivada por Mora. Revisar*</t>
  </si>
  <si>
    <t>Desactivado, revisar si es por mora?</t>
  </si>
  <si>
    <t>Desactivada por mora</t>
  </si>
  <si>
    <t>KYSOR WARREN</t>
  </si>
  <si>
    <t>Q32026</t>
  </si>
  <si>
    <t>*Decisión de nueva jefatura</t>
  </si>
  <si>
    <t>GRUPO PIRAMIDE</t>
  </si>
  <si>
    <t>WISDOM**</t>
  </si>
  <si>
    <t>FEHR BROS. INDUSTRIES</t>
  </si>
  <si>
    <t>Tony</t>
  </si>
  <si>
    <t>Razon social</t>
  </si>
  <si>
    <t>Cat</t>
  </si>
  <si>
    <t>Por KAM</t>
  </si>
  <si>
    <t>Up-selling</t>
  </si>
  <si>
    <t>Cross-selling</t>
  </si>
  <si>
    <t>Referidos</t>
  </si>
  <si>
    <t>Fuga</t>
  </si>
  <si>
    <t>MRR Cartera</t>
  </si>
  <si>
    <t>% Fuga</t>
  </si>
  <si>
    <t>Aporte neto</t>
  </si>
  <si>
    <t>Disminuciones menor a 100%</t>
  </si>
  <si>
    <t>Variación</t>
  </si>
  <si>
    <t>Variación %</t>
  </si>
  <si>
    <t>Ver con Dani</t>
  </si>
  <si>
    <t>Sin KAM, ver detalle en modelo salud</t>
  </si>
  <si>
    <t>GEVILLA</t>
  </si>
  <si>
    <t>Serán baja de mayo</t>
  </si>
  <si>
    <t>Ver con Raúl</t>
  </si>
  <si>
    <t>LATAM LOGISTICS</t>
  </si>
  <si>
    <t>Ver con Dafne</t>
  </si>
  <si>
    <t>DESARROLLO INTEGRAL ADMINISTRATIVO LUAN</t>
  </si>
  <si>
    <t>Ver con Karla</t>
  </si>
  <si>
    <t>WILSON SPORTING GOODS CO DE MEXICO</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</si>
  <si>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</si>
  <si>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</si>
  <si>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</si>
  <si>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</si>
  <si>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</si>
  <si>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</si>
  <si>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</si>
  <si>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</si>
  <si>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</si>
  <si>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</si>
  <si>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</si>
  <si>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</si>
  <si>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</si>
  <si>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</si>
  <si>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</si>
  <si>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</si>
  <si>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</si>
  <si>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</si>
  <si>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</si>
  <si>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</si>
  <si>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</si>
  <si>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</si>
  <si>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</si>
  <si>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</si>
  <si>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</si>
  <si>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</si>
  <si>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</si>
  <si>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</si>
  <si>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</si>
  <si>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</si>
  <si>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</si>
  <si>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</si>
  <si>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</si>
  <si>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</si>
  <si>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</si>
  <si>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MASTER BUILDER</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</si>
  <si>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</si>
  <si>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</si>
  <si>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</si>
  <si>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</si>
  <si>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</si>
  <si>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</si>
  <si>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</si>
  <si>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</si>
  <si>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GRUPO EMPRESARIAL LA PIRAMIDE</t>
  </si>
  <si>
    <t>No asignado</t>
  </si>
  <si>
    <t>Grupo empresarial con actividades en construcción y desarrollo inmobiliario con sede en CDMX, orientado a proyectos de edificación residencial y comercial en México.</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</si>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</sst>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61">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76">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17" fillId="2" borderId="0" xfId="0" applyFont="1" applyFill="1"/>
    <xf numFmtId="0" fontId="20" fillId="2" borderId="0" xfId="0" applyFont="1" applyFill="1"/>
    <xf numFmtId="0" fontId="20" fillId="2" borderId="0" xfId="0" applyFont="1" applyFill="1" applyAlignment="1">
      <alignment horizontal="right"/>
    </xf>
    <xf numFmtId="168" fontId="20" fillId="2" borderId="0" xfId="0" applyNumberFormat="1" applyFont="1" applyFill="1" applyAlignment="1">
      <alignment horizontal="right"/>
    </xf>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0" fillId="34" borderId="0" xfId="0" applyFont="1" applyFill="1"/>
    <xf numFmtId="0" fontId="22" fillId="34" borderId="0" xfId="0" applyFont="1" applyFill="1"/>
    <xf numFmtId="0" fontId="17" fillId="34" borderId="0" xfId="0" applyFont="1" applyFill="1"/>
    <xf numFmtId="0" fontId="22" fillId="2"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168" fontId="20"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0" fillId="57" borderId="0" xfId="0" applyFont="1" applyFill="1"/>
    <xf numFmtId="0" fontId="22" fillId="57" borderId="0" xfId="0" applyFont="1" applyFill="1"/>
    <xf numFmtId="0" fontId="17" fillId="57" borderId="0" xfId="0" applyFont="1" applyFill="1" applyAlignment="1">
      <alignment horizontal="center"/>
    </xf>
    <xf numFmtId="0" fontId="17" fillId="57" borderId="0" xfId="0" applyFont="1" applyFill="1"/>
    <xf numFmtId="168" fontId="20" fillId="57" borderId="0" xfId="0" applyNumberFormat="1" applyFont="1" applyFill="1" applyAlignment="1">
      <alignment horizontal="left"/>
    </xf>
    <xf numFmtId="0" fontId="17" fillId="57" borderId="0" xfId="0" applyFont="1" applyFill="1" applyAlignment="1">
      <alignment horizontal="left"/>
    </xf>
    <xf numFmtId="0" fontId="20"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8" borderId="0" xfId="0" applyFont="1" applyFill="1"/>
    <xf numFmtId="0" fontId="35" fillId="58" borderId="0" xfId="0" applyFont="1" applyFill="1">
      <extLst>
        <ext xmlns:xfpb="http://schemas.microsoft.com/office/spreadsheetml/2022/featurepropertybag" uri="{C7286773-470A-42A8-94C5-96B5CB345126}">
          <xfpb:xfComplement i="0"/>
        </ext>
      </extLst>
    </xf>
    <xf numFmtId="0" fontId="36" fillId="58" borderId="0" xfId="1" applyFont="1" applyFill="1"/>
    <xf numFmtId="168" fontId="35" fillId="58"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60" borderId="0" xfId="0" applyNumberFormat="1" applyFont="1" applyFill="1"/>
    <xf numFmtId="0" fontId="1" fillId="61" borderId="0" xfId="0" applyFont="1" applyFill="1"/>
    <xf numFmtId="168" fontId="1" fillId="61"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168" fontId="0" fillId="2" borderId="0" xfId="0" applyNumberFormat="1" applyFill="1"/>
    <xf numFmtId="165" fontId="0" fillId="2" borderId="0" xfId="0" applyNumberFormat="1" applyFill="1"/>
    <xf numFmtId="10" fontId="0" fillId="2" borderId="0" xfId="0" applyNumberFormat="1" applyFill="1"/>
    <xf numFmtId="168" fontId="1" fillId="2" borderId="0" xfId="0" applyNumberFormat="1" applyFont="1" applyFill="1"/>
    <xf numFmtId="0" fontId="20" fillId="2" borderId="0" xfId="0" applyFont="1" applyFill="1" applyAlignment="1">
      <alignment horizontal="left"/>
    </xf>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60"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60"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9" borderId="0" xfId="0" applyNumberFormat="1" applyFont="1" applyFill="1"/>
    <xf numFmtId="1" fontId="49" fillId="36" borderId="24" xfId="0" applyNumberFormat="1" applyFont="1" applyFill="1" applyBorder="1"/>
    <xf numFmtId="0" fontId="49" fillId="36" borderId="24" xfId="0" applyFont="1" applyFill="1" applyBorder="1"/>
    <xf numFmtId="168" fontId="48" fillId="59" borderId="0" xfId="0" applyNumberFormat="1" applyFont="1" applyFill="1"/>
    <xf numFmtId="0" fontId="39" fillId="37" borderId="24" xfId="0" applyFont="1" applyFill="1" applyBorder="1" applyAlignment="1">
      <alignment horizontal="left"/>
    </xf>
    <xf numFmtId="168" fontId="50" fillId="59"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9" borderId="0" xfId="0" applyNumberFormat="1" applyFont="1" applyFill="1"/>
    <xf numFmtId="0" fontId="49" fillId="36" borderId="32" xfId="0" applyFont="1" applyFill="1" applyBorder="1"/>
    <xf numFmtId="44" fontId="45" fillId="36" borderId="24" xfId="0" applyNumberFormat="1" applyFont="1" applyFill="1" applyBorder="1" applyAlignment="1">
      <alignment horizontal="left"/>
    </xf>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44" fontId="45" fillId="37" borderId="24" xfId="0" applyNumberFormat="1" applyFont="1" applyFill="1" applyBorder="1" applyAlignment="1">
      <alignment horizontal="left"/>
    </xf>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0" fillId="43" borderId="0" xfId="0" applyFill="1" applyAlignment="1">
      <alignment horizontal="center"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0" fillId="11" borderId="24"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60"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4" fontId="45" fillId="36" borderId="57" xfId="0" applyNumberFormat="1" applyFont="1" applyFill="1" applyBorder="1" applyAlignment="1">
      <alignment horizontal="lef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4" fontId="45" fillId="37" borderId="57" xfId="0" applyNumberFormat="1" applyFont="1" applyFill="1" applyBorder="1" applyAlignment="1">
      <alignment horizontal="lef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0" fontId="49" fillId="18" borderId="0" xfId="0" applyFont="1" applyFill="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39" fillId="0" borderId="0" xfId="0" applyFont="1"/>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1" fontId="49" fillId="37" borderId="0" xfId="0" applyNumberFormat="1" applyFont="1" applyFill="1"/>
    <xf numFmtId="0" fontId="49" fillId="16" borderId="0" xfId="0" applyFont="1" applyFill="1"/>
    <xf numFmtId="0" fontId="46" fillId="18" borderId="32" xfId="1" applyFont="1" applyFill="1" applyBorder="1" applyAlignment="1">
      <alignment wrapText="1"/>
    </xf>
    <xf numFmtId="0" fontId="46" fillId="11" borderId="0" xfId="1" applyFont="1" applyFill="1" applyBorder="1" applyAlignment="1">
      <alignment wrapText="1"/>
    </xf>
    <xf numFmtId="0" fontId="49" fillId="2" borderId="32" xfId="0" applyFont="1" applyFill="1" applyBorder="1"/>
    <xf numFmtId="168" fontId="50" fillId="60"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5" fillId="36" borderId="0" xfId="0" applyFont="1" applyFill="1" applyAlignment="1">
      <alignment horizontal="left" vertical="center"/>
    </xf>
    <xf numFmtId="0" fontId="39" fillId="36" borderId="0" xfId="0" applyFont="1" applyFill="1" applyAlignment="1">
      <alignment horizontal="right"/>
    </xf>
    <xf numFmtId="0" fontId="45" fillId="37" borderId="0" xfId="0" applyFont="1" applyFill="1" applyAlignment="1">
      <alignment horizontal="left" vertical="center"/>
    </xf>
    <xf numFmtId="0" fontId="39" fillId="37" borderId="0" xfId="0" applyFont="1" applyFill="1" applyAlignment="1">
      <alignment horizontal="right"/>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9" borderId="0" xfId="0" applyNumberFormat="1" applyFont="1" applyFill="1"/>
    <xf numFmtId="0" fontId="46" fillId="24" borderId="24" xfId="1" applyFont="1" applyFill="1" applyBorder="1" applyAlignment="1">
      <alignment horizontal="left" vertical="center"/>
    </xf>
    <xf numFmtId="168" fontId="49" fillId="60"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49" fillId="18" borderId="33" xfId="0" applyFont="1" applyFill="1" applyBorder="1"/>
    <xf numFmtId="0" fontId="39" fillId="36" borderId="0" xfId="0" applyFont="1" applyFill="1"/>
    <xf numFmtId="168" fontId="45" fillId="36" borderId="33" xfId="0" applyNumberFormat="1" applyFont="1" applyFill="1" applyBorder="1"/>
    <xf numFmtId="168" fontId="45" fillId="59" borderId="0" xfId="0" applyNumberFormat="1" applyFont="1" applyFill="1"/>
    <xf numFmtId="0" fontId="45" fillId="11" borderId="24" xfId="0" applyFont="1" applyFill="1" applyBorder="1" applyAlignment="1">
      <alignment horizontal="left" vertical="center"/>
    </xf>
    <xf numFmtId="4" fontId="45" fillId="36" borderId="0" xfId="0" applyNumberFormat="1" applyFont="1" applyFill="1" applyAlignment="1">
      <alignment horizontal="right"/>
    </xf>
    <xf numFmtId="0" fontId="45" fillId="36" borderId="51" xfId="0" applyFont="1" applyFill="1" applyBorder="1" applyAlignment="1">
      <alignment horizontal="left" vertical="center"/>
    </xf>
    <xf numFmtId="0" fontId="45" fillId="36" borderId="51" xfId="0" applyFont="1" applyFill="1" applyBorder="1" applyAlignment="1">
      <alignment horizontal="left"/>
    </xf>
    <xf numFmtId="168" fontId="45" fillId="36" borderId="51" xfId="0" applyNumberFormat="1" applyFont="1" applyFill="1" applyBorder="1" applyAlignment="1">
      <alignment horizontal="right"/>
    </xf>
    <xf numFmtId="168" fontId="47" fillId="36" borderId="51" xfId="0" applyNumberFormat="1" applyFont="1" applyFill="1" applyBorder="1"/>
    <xf numFmtId="170" fontId="45" fillId="0" borderId="51" xfId="0" applyNumberFormat="1" applyFont="1" applyBorder="1"/>
    <xf numFmtId="168" fontId="48" fillId="60" borderId="61" xfId="0" applyNumberFormat="1" applyFont="1" applyFill="1" applyBorder="1"/>
    <xf numFmtId="0" fontId="39" fillId="37" borderId="0" xfId="0" applyFont="1" applyFill="1"/>
    <xf numFmtId="4" fontId="45" fillId="37" borderId="0" xfId="0" applyNumberFormat="1" applyFont="1" applyFill="1" applyAlignment="1">
      <alignment horizontal="right"/>
    </xf>
    <xf numFmtId="0" fontId="45" fillId="37" borderId="0" xfId="0" applyFont="1" applyFill="1" applyAlignment="1">
      <alignment horizontal="left"/>
    </xf>
    <xf numFmtId="168" fontId="45" fillId="37" borderId="0" xfId="0" applyNumberFormat="1" applyFont="1" applyFill="1" applyAlignment="1">
      <alignment horizontal="right"/>
    </xf>
    <xf numFmtId="168" fontId="47" fillId="37" borderId="0" xfId="0" applyNumberFormat="1" applyFont="1" applyFill="1"/>
    <xf numFmtId="1" fontId="45" fillId="37" borderId="36" xfId="0" applyNumberFormat="1" applyFont="1" applyFill="1" applyBorder="1" applyAlignment="1">
      <alignment horizontal="right"/>
    </xf>
    <xf numFmtId="0" fontId="47" fillId="36" borderId="0" xfId="0" applyFont="1" applyFill="1" applyAlignment="1">
      <alignment horizontal="left"/>
    </xf>
    <xf numFmtId="168" fontId="45" fillId="36" borderId="0" xfId="0" applyNumberFormat="1" applyFont="1" applyFill="1" applyAlignment="1">
      <alignment horizontal="right"/>
    </xf>
    <xf numFmtId="168" fontId="47" fillId="36" borderId="0" xfId="0" applyNumberFormat="1" applyFont="1" applyFill="1"/>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0" fontId="45" fillId="36" borderId="0" xfId="0" applyFont="1" applyFill="1" applyAlignment="1">
      <alignment horizontal="left"/>
    </xf>
    <xf numFmtId="0" fontId="47" fillId="37" borderId="0" xfId="0" applyFont="1" applyFill="1" applyAlignment="1">
      <alignment horizontal="left"/>
    </xf>
    <xf numFmtId="0" fontId="39" fillId="36" borderId="0" xfId="0" applyFont="1" applyFill="1" applyAlignment="1">
      <alignment horizontal="left"/>
    </xf>
    <xf numFmtId="164" fontId="39" fillId="36" borderId="24" xfId="0" applyNumberFormat="1" applyFont="1" applyFill="1" applyBorder="1"/>
    <xf numFmtId="0" fontId="45" fillId="36" borderId="50" xfId="0" applyFont="1" applyFill="1" applyBorder="1" applyAlignment="1">
      <alignment horizontal="left" vertical="center"/>
    </xf>
    <xf numFmtId="4" fontId="45" fillId="36" borderId="50" xfId="0" applyNumberFormat="1" applyFont="1" applyFill="1" applyBorder="1" applyAlignment="1">
      <alignment horizontal="right"/>
    </xf>
    <xf numFmtId="0" fontId="45" fillId="36" borderId="50" xfId="0" applyFont="1" applyFill="1" applyBorder="1" applyAlignment="1">
      <alignment horizontal="left"/>
    </xf>
    <xf numFmtId="168" fontId="47" fillId="60" borderId="34" xfId="0" applyNumberFormat="1" applyFont="1" applyFill="1" applyBorder="1"/>
    <xf numFmtId="168" fontId="47" fillId="60" borderId="62" xfId="0" applyNumberFormat="1" applyFont="1" applyFill="1" applyBorder="1"/>
    <xf numFmtId="168" fontId="47" fillId="59" borderId="62" xfId="0" applyNumberFormat="1" applyFont="1" applyFill="1" applyBorder="1"/>
    <xf numFmtId="4" fontId="45" fillId="37" borderId="24" xfId="0" applyNumberFormat="1" applyFont="1" applyFill="1" applyBorder="1" applyAlignment="1">
      <alignment horizontal="right" wrapText="1"/>
    </xf>
    <xf numFmtId="168" fontId="48" fillId="59" borderId="62" xfId="0" applyNumberFormat="1" applyFont="1" applyFill="1" applyBorder="1"/>
    <xf numFmtId="0" fontId="46" fillId="34" borderId="24" xfId="1" applyFont="1" applyFill="1" applyBorder="1" applyAlignment="1">
      <alignment horizontal="left" vertical="center"/>
    </xf>
    <xf numFmtId="168" fontId="48" fillId="60"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39" fillId="23" borderId="24" xfId="0" applyFont="1" applyFill="1" applyBorder="1"/>
    <xf numFmtId="0" fontId="39" fillId="36" borderId="24" xfId="0" applyFont="1" applyFill="1" applyBorder="1" applyAlignment="1">
      <alignment horizontal="right" wrapText="1"/>
    </xf>
    <xf numFmtId="168" fontId="39" fillId="36" borderId="0" xfId="0" applyNumberFormat="1" applyFont="1" applyFill="1"/>
    <xf numFmtId="168" fontId="49" fillId="36" borderId="0" xfId="0" applyNumberFormat="1" applyFont="1" applyFill="1"/>
    <xf numFmtId="168" fontId="49" fillId="60" borderId="62" xfId="0" applyNumberFormat="1" applyFont="1" applyFill="1" applyBorder="1"/>
    <xf numFmtId="168" fontId="39" fillId="37" borderId="0" xfId="0" applyNumberFormat="1" applyFont="1" applyFill="1"/>
    <xf numFmtId="2" fontId="39" fillId="37" borderId="0" xfId="0" applyNumberFormat="1" applyFont="1" applyFill="1"/>
    <xf numFmtId="2" fontId="45" fillId="0" borderId="60" xfId="0" applyNumberFormat="1" applyFont="1" applyBorder="1"/>
    <xf numFmtId="168" fontId="49" fillId="59" borderId="62" xfId="0" applyNumberFormat="1" applyFont="1" applyFill="1" applyBorder="1"/>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6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E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2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63">
      <pivotArea outline="0" fieldPosition="0">
        <references count="1">
          <reference field="4294967294" count="1" selected="0">
            <x v="2"/>
          </reference>
        </references>
      </pivotArea>
    </format>
    <format dxfId="164">
      <pivotArea dataOnly="0" labelOnly="1" outline="0" fieldPosition="0">
        <references count="1">
          <reference field="4294967294" count="1">
            <x v="2"/>
          </reference>
        </references>
      </pivotArea>
    </format>
    <format dxfId="165">
      <pivotArea field="15" type="button" dataOnly="0" labelOnly="1" outline="0" axis="axisRow" fieldPosition="0"/>
    </format>
    <format dxfId="166">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28"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9">
      <pivotArea outline="0" fieldPosition="0">
        <references count="1">
          <reference field="4294967294" count="1" selected="0">
            <x v="2"/>
          </reference>
        </references>
      </pivotArea>
    </format>
    <format dxfId="160">
      <pivotArea dataOnly="0" labelOnly="1" outline="0" fieldPosition="0">
        <references count="1">
          <reference field="4294967294" count="1">
            <x v="2"/>
          </reference>
        </references>
      </pivotArea>
    </format>
    <format dxfId="161">
      <pivotArea field="15" type="button" dataOnly="0" labelOnly="1" outline="0" axis="axisRow" fieldPosition="0"/>
    </format>
    <format dxfId="162">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2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5">
      <pivotArea outline="0" fieldPosition="0">
        <references count="1">
          <reference field="4294967294" count="1" selected="0">
            <x v="2"/>
          </reference>
        </references>
      </pivotArea>
    </format>
    <format dxfId="156">
      <pivotArea dataOnly="0" labelOnly="1" outline="0" fieldPosition="0">
        <references count="1">
          <reference field="4294967294" count="1">
            <x v="2"/>
          </reference>
        </references>
      </pivotArea>
    </format>
    <format dxfId="157">
      <pivotArea field="15" type="button" dataOnly="0" labelOnly="1" outline="0" axis="axisRow" fieldPosition="1"/>
    </format>
    <format dxfId="158">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2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52">
      <pivotArea outline="0" fieldPosition="0">
        <references count="1">
          <reference field="4294967294" count="1" selected="0">
            <x v="2"/>
          </reference>
        </references>
      </pivotArea>
    </format>
    <format dxfId="153">
      <pivotArea field="15" type="button" dataOnly="0" labelOnly="1" outline="0" axis="axisRow" fieldPosition="0"/>
    </format>
    <format dxfId="154">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24" tableBorderDxfId="12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22"/>
    <tableColumn id="4" xr3:uid="{9A374E54-219E-4BD0-915C-4F98C303AC44}" name="SMB"/>
    <tableColumn id="5" xr3:uid="{E354BF05-7DBD-4944-9AA0-7D297C82E6D7}" name="% SMB" dataDxfId="12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2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19" dataDxfId="118" tableBorderDxfId="117">
  <autoFilter ref="AX18:BC24" xr:uid="{7DB81ACB-0050-4F54-BE4C-5C7BA007F361}"/>
  <tableColumns count="6">
    <tableColumn id="1" xr3:uid="{F2647E7A-7125-487D-A59A-9944BF3BABFF}" name="# Productos" dataDxfId="116"/>
    <tableColumn id="2" xr3:uid="{BB19AC5F-D6E1-4E54-96CA-1E56E71E3922}" name="Dafne de la Rosa" dataDxfId="115"/>
    <tableColumn id="3" xr3:uid="{91489469-E6DA-46C6-AA3A-D69BC4542B2A}" name="Karla Patiño" dataDxfId="114"/>
    <tableColumn id="4" xr3:uid="{F88B0DB7-59ED-45BD-AF6A-16F4D6559E97}" name="Raúl Campos" dataDxfId="113"/>
    <tableColumn id="5" xr3:uid="{48ABFE68-A1F7-42D6-A724-E403446AC48B}" name="No Asignado" dataDxfId="112"/>
    <tableColumn id="6" xr3:uid="{6B266AC9-F21B-412E-ACD4-0153FC463F4E}" name="TOTAL" dataDxfId="11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10" tableBorderDxfId="10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08"/>
    <tableColumn id="4" xr3:uid="{F8ED30DF-BF26-4F67-A2F4-6440F7009AFE}" name="SMB"/>
    <tableColumn id="5" xr3:uid="{427FB0DF-24DF-454C-8688-E3CC41F9D4D8}" name="% SMB" dataDxfId="10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06" dataDxfId="105">
  <autoFilter ref="AP32:AV38" xr:uid="{03E573A6-45A7-49F3-BCEE-3FE37EE80112}"/>
  <tableColumns count="7">
    <tableColumn id="1" xr3:uid="{7C8BCD5B-8F2B-4C34-9E55-E9A6137A95C0}" name="# Productos" dataDxfId="104"/>
    <tableColumn id="2" xr3:uid="{17EEC619-BA1B-4F3C-A3DE-5EE469693E4A}" name="Dafne de la Rosa" dataDxfId="103"/>
    <tableColumn id="3" xr3:uid="{20517A74-BE54-40B9-9AE7-60488768BA58}" name="Karla Patiño" dataDxfId="102"/>
    <tableColumn id="4" xr3:uid="{029119CD-0D1A-457C-91A1-ACC797D2A221}" name="Raúl Campos" dataDxfId="101"/>
    <tableColumn id="5" xr3:uid="{CFCE6A51-3F94-4783-8099-24BC0D0B924F}" name="No Asignado" dataDxfId="100"/>
    <tableColumn id="6" xr3:uid="{A9A08D76-CB05-4440-B35B-17EE66077975}" name="Implementando" dataDxfId="99"/>
    <tableColumn id="7" xr3:uid="{0D2813CA-B2A6-4B5E-9A23-41624E5189BE}" name="TOTAL" dataDxfId="9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97" dataDxfId="96" tableBorderDxfId="95">
  <autoFilter ref="AX32:BC38" xr:uid="{16C5AC62-C16F-440B-BB4C-494CACD13A65}"/>
  <tableColumns count="6">
    <tableColumn id="1" xr3:uid="{E3D218FD-20FD-4FEC-883F-31F82AC3FA68}" name="# Productos" dataDxfId="94"/>
    <tableColumn id="2" xr3:uid="{84350D1A-8D91-4726-8FAC-8B67E7867B65}" name="Dafne de la Rosa" dataDxfId="93"/>
    <tableColumn id="3" xr3:uid="{C3EB37D7-8B25-4AD3-9AD4-3C2BC5DEDC97}" name="Karla Patiño" dataDxfId="92"/>
    <tableColumn id="4" xr3:uid="{7A5415F5-09E2-4AF8-A2B8-7AF7063E6970}" name="Raúl Campos" dataDxfId="91"/>
    <tableColumn id="5" xr3:uid="{A8B2E06F-42A0-48FC-97EC-769BC5C88BCD}" name="No Asignado" dataDxfId="90"/>
    <tableColumn id="6" xr3:uid="{CF6BF9AE-CE08-438F-ADBD-9D9C8752D832}" name="TOTAL" dataDxfId="8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6-05-11T22:14:51.31" personId="{3F88114D-2A78-449A-ADC0-0C321448AD5E}" id="{64BF6F3B-4A77-47EC-BFB9-A7BA19993EBF}">
    <text xml:space="preserve">Rellenar bien la industria
</text>
  </threadedComment>
  <threadedComment ref="AK90" dT="2026-04-28T18:17:41.03" personId="{3F88114D-2A78-449A-ADC0-0C321448AD5E}" id="{D3FD0C23-551D-407A-9F90-3FB4CEE8F29D}">
    <text>Definir número de usuarios y precio por usuario</text>
  </threadedComment>
  <threadedComment ref="AK90" dT="2026-04-28T19:16:41.58" personId="{3F88114D-2A78-449A-ADC0-0C321448AD5E}" id="{0C88B364-E916-4AA4-9085-91305DE4B9B7}" parentId="{D3FD0C23-551D-407A-9F90-3FB4CEE8F29D}">
    <text>Se le vendió app de supervisor</text>
  </threadedComment>
  <threadedComment ref="AL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P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P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microsoft.com/office/2017/10/relationships/threadedComment" Target="../threadedComments/threadedComment1.x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41" Type="http://schemas.openxmlformats.org/officeDocument/2006/relationships/comments" Target="../comments1.xm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vmlDrawing" Target="../drawings/vmlDrawing1.vm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27572053" TargetMode="External"/><Relationship Id="rId89" Type="http://schemas.openxmlformats.org/officeDocument/2006/relationships/hyperlink" Target="https://one.zoho.com/zohoone/geovictoria/home/cxapp/crm/org685875245/tab/Potentials/3525045000630888031" TargetMode="External"/><Relationship Id="rId112" Type="http://schemas.openxmlformats.org/officeDocument/2006/relationships/comments" Target="../comments2.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40693036"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0" TargetMode="External"/><Relationship Id="rId79" Type="http://schemas.openxmlformats.org/officeDocument/2006/relationships/hyperlink" Target="https://crm.zoho.com/crm/org685875245/tab/Potentials/3525045000573675667" TargetMode="External"/><Relationship Id="rId102" Type="http://schemas.openxmlformats.org/officeDocument/2006/relationships/hyperlink" Target="https://one.zoho.com/zohoone/geovictoria/home/cxapp/crm/org685875245/tab/Potentials/3525045000639910076"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3" TargetMode="External"/><Relationship Id="rId95" Type="http://schemas.openxmlformats.org/officeDocument/2006/relationships/hyperlink" Target="https://crm.zoho.com/crm/org685875245/tab/Potentials/352504500063232410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9256121" TargetMode="External"/><Relationship Id="rId113" Type="http://schemas.microsoft.com/office/2017/10/relationships/threadedComment" Target="../threadedComments/threadedComment2.xml"/><Relationship Id="rId80" Type="http://schemas.openxmlformats.org/officeDocument/2006/relationships/hyperlink" Target="https://crm.zoho.com/crm/org685875245/tab/Potentials/3525045000573675642" TargetMode="External"/><Relationship Id="rId85" Type="http://schemas.openxmlformats.org/officeDocument/2006/relationships/hyperlink" Target="https://one.zoho.com/zohoone/geovictoria/home/cxapp/crm/org685875245/tab/Potentials/3525045000629837148"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Accounts/3525045000348478718?pfrom=gsearch" TargetMode="External"/><Relationship Id="rId103" Type="http://schemas.openxmlformats.org/officeDocument/2006/relationships/hyperlink" Target="https://one.zoho.com/zohoone/geovictoria/home/cxapp/crm/org685875245/tab/Potentials/3525045000640263241" TargetMode="External"/><Relationship Id="rId108" Type="http://schemas.openxmlformats.org/officeDocument/2006/relationships/hyperlink" Target="https://crm.zoho.com/crm/org685875245/tab/Potentials/3525045000626778002"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7459302" TargetMode="External"/><Relationship Id="rId75" Type="http://schemas.openxmlformats.org/officeDocument/2006/relationships/hyperlink" Target="https://crm.zoho.com/crm/org685875245/tab/Potentials/3525045000629854045" TargetMode="External"/><Relationship Id="rId91" Type="http://schemas.openxmlformats.org/officeDocument/2006/relationships/hyperlink" Target="https://one.zoho.com/zohoone/geovictoria/home/cxapp/crm/org685875245/tab/Potentials/3525045000630888068" TargetMode="External"/><Relationship Id="rId96" Type="http://schemas.openxmlformats.org/officeDocument/2006/relationships/hyperlink" Target="https://crm.zoho.com/crm/org685875245/tab/Potentials/3525045000630721337"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one.zoho.com/zohoone/geovictoria/home/cxapp/crm/org685875245/tab/Potentials/3525045000640711143" TargetMode="External"/><Relationship Id="rId114" Type="http://schemas.microsoft.com/office/2019/04/relationships/documenttask" Target="../documenttasks/documenttask1.xm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Potentials/3525045000531173001"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1513434" TargetMode="External"/><Relationship Id="rId78" Type="http://schemas.openxmlformats.org/officeDocument/2006/relationships/hyperlink" Target="https://crm.zoho.com/crm/org685875245/tab/Potentials/3525045000600118001" TargetMode="External"/><Relationship Id="rId81" Type="http://schemas.openxmlformats.org/officeDocument/2006/relationships/hyperlink" Target="https://one.zoho.com/zohoone/geovictoria/home/cxapp/crm/org685875245/tab/Potentials/3525045000600073103" TargetMode="External"/><Relationship Id="rId86" Type="http://schemas.openxmlformats.org/officeDocument/2006/relationships/hyperlink" Target="https://one.zoho.com/zohoone/geovictoria/home/cxapp/crm/org685875245/tab/Potentials/3525045000630888005" TargetMode="External"/><Relationship Id="rId94" Type="http://schemas.openxmlformats.org/officeDocument/2006/relationships/hyperlink" Target="https://one.zoho.com/zohoone/geovictoria/home/cxapp/crm/org685875245/tab/Potentials/3525045000632446183" TargetMode="External"/><Relationship Id="rId99" Type="http://schemas.openxmlformats.org/officeDocument/2006/relationships/hyperlink" Target="https://crm.zoho.com/crm/org685875245/tab/Potentials/3525045000627075125" TargetMode="External"/><Relationship Id="rId101" Type="http://schemas.openxmlformats.org/officeDocument/2006/relationships/hyperlink" Target="https://crm.zoho.com/crm/org685875245/tab/Potentials/3525045000636661622"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30888010"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21513339" TargetMode="External"/><Relationship Id="rId97" Type="http://schemas.openxmlformats.org/officeDocument/2006/relationships/hyperlink" Target="https://one.zoho.com/zohoone/geovictoria/home/cxapp/crm/org685875245/tab/Potentials/3525045000634463014" TargetMode="External"/><Relationship Id="rId104" Type="http://schemas.openxmlformats.org/officeDocument/2006/relationships/hyperlink" Target="https://one.zoho.com/zohoone/geovictoria/home/cxapp/crm/org685875245/tab/Potentials/3525045000640263246"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9365190" TargetMode="External"/><Relationship Id="rId92" Type="http://schemas.openxmlformats.org/officeDocument/2006/relationships/hyperlink" Target="https://crm.zoho.com/crm/org685875245/tab/Potentials/3525045000630427535"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10" TargetMode="External"/><Relationship Id="rId110" Type="http://schemas.openxmlformats.org/officeDocument/2006/relationships/hyperlink" Target="https://one.zoho.com/zohoone/geovictoria/home/cxapp/crm/org685875245/tab/Potentials/3525045000644512040" TargetMode="External"/><Relationship Id="rId61" Type="http://schemas.openxmlformats.org/officeDocument/2006/relationships/hyperlink" Target="https://crm.zoho.com/crm/org685875245/tab/Accounts/3525045000354852479?pfrom=gsearch" TargetMode="External"/><Relationship Id="rId82" Type="http://schemas.openxmlformats.org/officeDocument/2006/relationships/hyperlink" Target="https://one.zoho.com/zohoone/geovictoria/home/cxapp/crm/org685875245/tab/Potentials/3525045000583773080"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30124155" TargetMode="External"/><Relationship Id="rId100" Type="http://schemas.openxmlformats.org/officeDocument/2006/relationships/hyperlink" Target="https://crm.zoho.com/crm/org685875245/tab/Potentials/3525045000626778007" TargetMode="External"/><Relationship Id="rId105" Type="http://schemas.openxmlformats.org/officeDocument/2006/relationships/hyperlink" Target="https://one.zoho.com/zohoone/geovictoria/home/cxapp/crm/org685875245/tab/Potentials/3525045000640711138"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6778002" TargetMode="External"/><Relationship Id="rId93" Type="http://schemas.openxmlformats.org/officeDocument/2006/relationships/hyperlink" Target="https://crm.zoho.com/crm/org685875245/tab/Potentials/3525045000630207042" TargetMode="External"/><Relationship Id="rId98" Type="http://schemas.openxmlformats.org/officeDocument/2006/relationships/hyperlink" Target="https://crm.zoho.com/crm/org685875245/tab/Potentials/3525045000636381028"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8571148" TargetMode="External"/><Relationship Id="rId83" Type="http://schemas.openxmlformats.org/officeDocument/2006/relationships/hyperlink" Target="https://one.zoho.com/zohoone/geovictoria/home/cxapp/crm/org685875245/tab/Potentials/3525045000627572048" TargetMode="External"/><Relationship Id="rId88" Type="http://schemas.openxmlformats.org/officeDocument/2006/relationships/hyperlink" Target="https://one.zoho.com/zohoone/geovictoria/home/cxapp/crm/org685875245/tab/Potentials/3525045000630888026" TargetMode="External"/><Relationship Id="rId11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C703"/>
  <sheetViews>
    <sheetView tabSelected="1" workbookViewId="0">
      <pane xSplit="6" ySplit="2" topLeftCell="G448" activePane="bottomRight" state="frozen"/>
      <selection pane="bottomRight" activeCell="A468" sqref="A468"/>
      <selection pane="bottomLeft" activeCell="A3" sqref="A3"/>
      <selection pane="topRight"/>
    </sheetView>
  </sheetViews>
  <sheetFormatPr defaultColWidth="9.140625" defaultRowHeight="0" customHeight="1" zeroHeight="1"/>
  <cols>
    <col min="1" max="1" width="11.42578125" style="405" customWidth="1"/>
    <col min="2" max="2" width="11.42578125" style="406" customWidth="1"/>
    <col min="3" max="3" width="14.85546875" style="407" customWidth="1"/>
    <col min="4" max="5" width="12.7109375" style="408" customWidth="1"/>
    <col min="6" max="6" width="42" style="406" customWidth="1"/>
    <col min="7" max="7" width="22" style="406" customWidth="1"/>
    <col min="8" max="9" width="11.42578125" style="409" customWidth="1"/>
    <col min="10" max="10" width="11.140625" style="406" bestFit="1" customWidth="1"/>
    <col min="11" max="11" width="13.28515625" style="410" customWidth="1"/>
    <col min="12" max="12" width="14.85546875" style="406" bestFit="1" customWidth="1"/>
    <col min="13" max="13" width="17.28515625" style="406" customWidth="1"/>
    <col min="14" max="14" width="14.42578125" style="406" customWidth="1"/>
    <col min="15" max="15" width="15" style="412" customWidth="1"/>
    <col min="16" max="16" width="13.140625" style="413" customWidth="1"/>
    <col min="17" max="17" width="14.5703125" style="413" customWidth="1"/>
    <col min="18" max="18" width="15" style="414" customWidth="1"/>
    <col min="19" max="19" width="17.42578125" style="415" customWidth="1"/>
    <col min="20" max="20" width="14.5703125" style="416" bestFit="1" customWidth="1"/>
    <col min="21" max="21" width="8.7109375" style="405" customWidth="1"/>
    <col min="22" max="22" width="9.7109375" style="405" customWidth="1"/>
    <col min="23" max="23" width="13.7109375" style="406" customWidth="1"/>
    <col min="24" max="25" width="13.7109375" style="410" customWidth="1"/>
    <col min="26" max="26" width="13.7109375" style="406" customWidth="1"/>
    <col min="27" max="27" width="14.42578125" style="406" customWidth="1"/>
    <col min="28" max="28" width="11.42578125" style="409" customWidth="1"/>
    <col min="29" max="29" width="16" style="408" customWidth="1"/>
    <col min="30" max="30" width="13.140625" style="408" customWidth="1"/>
    <col min="31" max="31" width="11.5703125" style="408" customWidth="1"/>
    <col min="32" max="32" width="16" style="408" customWidth="1"/>
    <col min="33" max="34" width="14.42578125" style="408" customWidth="1"/>
    <col min="35" max="50" width="10.42578125" style="408" customWidth="1"/>
    <col min="51" max="52" width="10.42578125" style="406" customWidth="1"/>
    <col min="53" max="53" width="12.7109375" style="408" customWidth="1"/>
    <col min="54" max="54" width="17.28515625" style="408" customWidth="1"/>
    <col min="55" max="56" width="20.140625" style="408" customWidth="1"/>
    <col min="57" max="57" width="11.42578125" style="408" hidden="1" customWidth="1"/>
    <col min="58" max="77" width="11.42578125" style="408" customWidth="1"/>
    <col min="78" max="78" width="9.140625" style="408" customWidth="1"/>
    <col min="79" max="16384" width="9.140625" style="408"/>
  </cols>
  <sheetData>
    <row r="1" spans="1:81" ht="15" customHeight="1">
      <c r="N1" s="411">
        <f>COUNTA(B3:B581)</f>
        <v>108</v>
      </c>
      <c r="O1" s="412">
        <f>SUM(O3:O600)</f>
        <v>147919.35000000009</v>
      </c>
      <c r="P1" s="412">
        <f t="shared" ref="P1:T1" si="0">SUM(P3:P600)</f>
        <v>152311.33999999994</v>
      </c>
      <c r="Q1" s="412">
        <f t="shared" si="0"/>
        <v>161681.79000000007</v>
      </c>
      <c r="R1" s="412">
        <f t="shared" si="0"/>
        <v>166633.70740000004</v>
      </c>
      <c r="S1" s="412">
        <f t="shared" si="0"/>
        <v>173472.41440000001</v>
      </c>
      <c r="T1" s="412">
        <f t="shared" si="0"/>
        <v>174598.35110000006</v>
      </c>
      <c r="V1" s="417"/>
      <c r="X1" s="418"/>
      <c r="Y1" s="418"/>
      <c r="Z1" s="411"/>
      <c r="AA1" s="411"/>
      <c r="AI1" s="408">
        <f>COUNTIF(AI$3:AI$575,"*OK*")</f>
        <v>2</v>
      </c>
      <c r="AJ1" s="408">
        <f>COUNTIF(AJ$3:AJ$575,"*OK*")</f>
        <v>1</v>
      </c>
      <c r="AK1" s="408">
        <f>COUNTIF(AK$3:AK$575,"*OK*")</f>
        <v>23</v>
      </c>
      <c r="AL1" s="408">
        <f>COUNTIF(AL$3:AL$575,"*OK*")</f>
        <v>4</v>
      </c>
      <c r="AM1" s="408">
        <f>COUNTIF(AM$3:AM$575,"*OK*")</f>
        <v>10</v>
      </c>
      <c r="AN1" s="408">
        <f>COUNTIF(AN$3:AN$575,"*OK*")</f>
        <v>8</v>
      </c>
      <c r="AO1" s="408">
        <f>COUNTIF(AO$3:AO$575,"*OK*")</f>
        <v>15</v>
      </c>
      <c r="AP1" s="408">
        <f>COUNTIF(AP$3:AP$575,"*OK*")</f>
        <v>13</v>
      </c>
      <c r="AQ1" s="408">
        <f>COUNTIF(AQ$3:AQ$575,"*OK*")</f>
        <v>0</v>
      </c>
      <c r="AR1" s="408">
        <f>COUNTIF(AR$3:AR$575,"*OK*")</f>
        <v>0</v>
      </c>
      <c r="AS1" s="408">
        <f>COUNTIF(AS$3:AS$575,"*OK*")</f>
        <v>3</v>
      </c>
      <c r="AT1" s="408">
        <f>COUNTIF(AT$3:AT$575,"*OK*")</f>
        <v>1</v>
      </c>
      <c r="AU1" s="408">
        <f>COUNTIF(AU$3:AU$575,"*OK*")</f>
        <v>0</v>
      </c>
      <c r="AV1" s="408">
        <f>COUNTIF(AV$3:AV$575,"*OK*")</f>
        <v>0</v>
      </c>
      <c r="AW1" s="408">
        <f>COUNTIF(AW$3:AW$575,"*OK*")</f>
        <v>1</v>
      </c>
      <c r="AX1" s="408">
        <f>COUNTIF(AX$3:AX$575,"*OK*")</f>
        <v>2</v>
      </c>
    </row>
    <row r="2" spans="1:81" s="448" customFormat="1" ht="27.95" customHeight="1">
      <c r="A2" s="419" t="s">
        <v>0</v>
      </c>
      <c r="B2" s="419" t="s">
        <v>1</v>
      </c>
      <c r="C2" s="420" t="s">
        <v>2</v>
      </c>
      <c r="D2" s="420" t="s">
        <v>3</v>
      </c>
      <c r="E2" s="420" t="s">
        <v>4</v>
      </c>
      <c r="F2" s="419" t="s">
        <v>5</v>
      </c>
      <c r="G2" s="419" t="s">
        <v>6</v>
      </c>
      <c r="H2" s="421" t="s">
        <v>7</v>
      </c>
      <c r="I2" s="421" t="s">
        <v>8</v>
      </c>
      <c r="J2" s="419" t="s">
        <v>9</v>
      </c>
      <c r="K2" s="422" t="s">
        <v>10</v>
      </c>
      <c r="L2" s="419" t="s">
        <v>11</v>
      </c>
      <c r="M2" s="419" t="s">
        <v>12</v>
      </c>
      <c r="N2" s="423" t="s">
        <v>13</v>
      </c>
      <c r="O2" s="424" t="s">
        <v>14</v>
      </c>
      <c r="P2" s="424" t="s">
        <v>15</v>
      </c>
      <c r="Q2" s="425" t="s">
        <v>16</v>
      </c>
      <c r="R2" s="426" t="s">
        <v>17</v>
      </c>
      <c r="S2" s="427" t="s">
        <v>18</v>
      </c>
      <c r="T2" s="423" t="s">
        <v>19</v>
      </c>
      <c r="U2" s="428" t="s">
        <v>20</v>
      </c>
      <c r="V2" s="426" t="s">
        <v>21</v>
      </c>
      <c r="W2" s="429" t="s">
        <v>22</v>
      </c>
      <c r="X2" s="430" t="s">
        <v>23</v>
      </c>
      <c r="Y2" s="430" t="s">
        <v>24</v>
      </c>
      <c r="Z2" s="431" t="s">
        <v>25</v>
      </c>
      <c r="AA2" s="426" t="s">
        <v>26</v>
      </c>
      <c r="AB2" s="421" t="s">
        <v>27</v>
      </c>
      <c r="AC2" s="432" t="s">
        <v>28</v>
      </c>
      <c r="AD2" s="432" t="s">
        <v>29</v>
      </c>
      <c r="AE2" s="432" t="s">
        <v>30</v>
      </c>
      <c r="AF2" s="432" t="s">
        <v>31</v>
      </c>
      <c r="AG2" s="433" t="s">
        <v>32</v>
      </c>
      <c r="AH2" s="433" t="s">
        <v>33</v>
      </c>
      <c r="AI2" s="434" t="s">
        <v>34</v>
      </c>
      <c r="AJ2" s="434" t="s">
        <v>35</v>
      </c>
      <c r="AK2" s="435" t="s">
        <v>36</v>
      </c>
      <c r="AL2" s="436" t="s">
        <v>37</v>
      </c>
      <c r="AM2" s="437" t="s">
        <v>38</v>
      </c>
      <c r="AN2" s="438" t="s">
        <v>39</v>
      </c>
      <c r="AO2" s="439" t="s">
        <v>40</v>
      </c>
      <c r="AP2" s="440" t="s">
        <v>41</v>
      </c>
      <c r="AQ2" s="441" t="s">
        <v>42</v>
      </c>
      <c r="AR2" s="442" t="s">
        <v>43</v>
      </c>
      <c r="AS2" s="434" t="s">
        <v>44</v>
      </c>
      <c r="AT2" s="434" t="s">
        <v>45</v>
      </c>
      <c r="AU2" s="443" t="s">
        <v>46</v>
      </c>
      <c r="AV2" s="443" t="s">
        <v>47</v>
      </c>
      <c r="AW2" s="443" t="s">
        <v>48</v>
      </c>
      <c r="AX2" s="443" t="s">
        <v>49</v>
      </c>
      <c r="AY2" s="443" t="s">
        <v>50</v>
      </c>
      <c r="AZ2" s="444" t="s">
        <v>51</v>
      </c>
      <c r="BA2" s="433" t="s">
        <v>52</v>
      </c>
      <c r="BB2" s="433" t="s">
        <v>53</v>
      </c>
      <c r="BC2" s="445" t="s">
        <v>54</v>
      </c>
      <c r="BD2" s="445"/>
      <c r="BE2" s="446" t="s">
        <v>55</v>
      </c>
      <c r="BF2" s="446"/>
      <c r="BG2" s="446"/>
      <c r="BH2" s="446"/>
      <c r="BI2" s="446"/>
      <c r="BJ2" s="446"/>
      <c r="BK2" s="446"/>
      <c r="BL2" s="446"/>
      <c r="BM2" s="446"/>
      <c r="BN2" s="446"/>
      <c r="BO2" s="446"/>
      <c r="BP2" s="446"/>
      <c r="BQ2" s="446"/>
      <c r="BR2" s="446"/>
      <c r="BS2" s="446"/>
      <c r="BT2" s="446"/>
      <c r="BU2" s="446"/>
      <c r="BV2" s="446"/>
      <c r="BW2" s="446"/>
      <c r="BX2" s="446"/>
      <c r="BY2" s="446"/>
      <c r="BZ2" s="446"/>
      <c r="CA2" s="447" t="s">
        <v>56</v>
      </c>
      <c r="CC2" s="447" t="s">
        <v>57</v>
      </c>
    </row>
    <row r="3" spans="1:81" ht="14.25" customHeight="1">
      <c r="A3" s="470">
        <v>3009</v>
      </c>
      <c r="B3" s="471"/>
      <c r="C3" s="451">
        <f>T3</f>
        <v>0</v>
      </c>
      <c r="D3" s="471">
        <f>COUNTIF(AM3:AX3,"OK")</f>
        <v>0</v>
      </c>
      <c r="E3" s="471"/>
      <c r="F3" s="536" t="s">
        <v>58</v>
      </c>
      <c r="G3" s="536" t="s">
        <v>59</v>
      </c>
      <c r="H3" s="474" t="s">
        <v>60</v>
      </c>
      <c r="I3" s="474"/>
      <c r="J3" s="536" t="s">
        <v>59</v>
      </c>
      <c r="K3" s="536" t="s">
        <v>59</v>
      </c>
      <c r="L3" s="536" t="s">
        <v>59</v>
      </c>
      <c r="M3" s="536"/>
      <c r="N3" s="484" t="s">
        <v>61</v>
      </c>
      <c r="O3" s="537" t="s">
        <v>59</v>
      </c>
      <c r="P3" s="537" t="s">
        <v>59</v>
      </c>
      <c r="Q3" s="537" t="s">
        <v>59</v>
      </c>
      <c r="R3" s="538">
        <v>450.33</v>
      </c>
      <c r="S3" s="539"/>
      <c r="T3" s="540"/>
      <c r="U3" s="479"/>
      <c r="V3" s="480" t="s">
        <v>59</v>
      </c>
      <c r="W3" s="541"/>
      <c r="X3" s="542"/>
      <c r="Y3" s="542"/>
      <c r="Z3" s="543"/>
      <c r="AA3" s="544" t="s">
        <v>59</v>
      </c>
      <c r="AB3" s="474"/>
      <c r="AC3" s="471"/>
      <c r="AD3" s="471"/>
      <c r="AE3" s="471"/>
      <c r="AF3" s="471"/>
      <c r="AG3" s="471"/>
      <c r="AH3" s="484" t="s">
        <v>59</v>
      </c>
      <c r="AI3" s="467"/>
      <c r="AJ3" s="467"/>
      <c r="AK3" s="467"/>
      <c r="AL3" s="467"/>
      <c r="AM3" s="467"/>
      <c r="AN3" s="467"/>
      <c r="AO3" s="467"/>
      <c r="AP3" s="467"/>
      <c r="AQ3" s="467"/>
      <c r="AR3" s="467"/>
      <c r="AS3" s="467"/>
      <c r="AT3" s="467"/>
      <c r="AU3" s="467"/>
      <c r="AV3" s="467"/>
      <c r="AW3" s="467"/>
      <c r="AX3" s="467"/>
      <c r="AY3" s="486">
        <f>COUNTIF(AI3:AX3,"*OP*")</f>
        <v>0</v>
      </c>
      <c r="AZ3" s="485" t="s">
        <v>59</v>
      </c>
      <c r="BA3" s="471">
        <f>(COUNTIF(AI3:AK3,"*OK*")*3) + (COUNTIF(AL3:AN3,"*OK*")*2) + COUNTIF(AO3:AQ3,"*OK*")+COUNTIF(AZ3:AZ3,"SI")*0.5</f>
        <v>0</v>
      </c>
      <c r="BB3" s="471" t="str">
        <f>IF(BA3&lt;0.6,"Demasiado Riesgo",IF(BA3&lt;=5,"Riesgo Medio",IF(BA3&lt;=11,"Riesgo Bajo","Cliente Blindado")))</f>
        <v>Demasiado Riesgo</v>
      </c>
      <c r="BC3" s="471"/>
      <c r="BD3" s="471"/>
      <c r="BE3" s="471">
        <v>0</v>
      </c>
      <c r="BF3" s="471"/>
      <c r="BG3" s="471"/>
      <c r="BH3" s="471"/>
      <c r="BI3" s="471"/>
      <c r="BJ3" s="471"/>
      <c r="BK3" s="471"/>
      <c r="BL3" s="471"/>
      <c r="BM3" s="471"/>
      <c r="BN3" s="471"/>
      <c r="BO3" s="471"/>
      <c r="BP3" s="471"/>
      <c r="BQ3" s="471"/>
      <c r="BR3" s="471"/>
      <c r="BS3" s="471"/>
      <c r="BT3" s="471"/>
      <c r="BU3" s="471"/>
      <c r="BV3" s="471"/>
      <c r="BW3" s="471"/>
      <c r="BX3" s="471"/>
      <c r="BY3" s="471"/>
      <c r="BZ3" s="471"/>
      <c r="CA3" s="471">
        <f>COUNTIF(AI3:AW3,"*OK*")</f>
        <v>0</v>
      </c>
      <c r="CB3" s="471"/>
      <c r="CC3" s="471">
        <f>COUNTIF(AI3:AW3,"*OP*")</f>
        <v>0</v>
      </c>
    </row>
    <row r="4" spans="1:81" ht="14.25" customHeight="1">
      <c r="A4" s="470"/>
      <c r="B4" s="471"/>
      <c r="C4" s="451">
        <f>T4</f>
        <v>2.1608999999999998</v>
      </c>
      <c r="D4" s="471">
        <f>COUNTIF(AM4:AX4,"OK")</f>
        <v>0</v>
      </c>
      <c r="E4" s="471"/>
      <c r="F4" s="536" t="s">
        <v>62</v>
      </c>
      <c r="G4" s="473" t="s">
        <v>63</v>
      </c>
      <c r="H4" s="454" t="s">
        <v>64</v>
      </c>
      <c r="I4" s="454"/>
      <c r="J4" s="536" t="s">
        <v>59</v>
      </c>
      <c r="K4" s="536" t="s">
        <v>59</v>
      </c>
      <c r="L4" s="536" t="s">
        <v>59</v>
      </c>
      <c r="M4" s="536"/>
      <c r="N4" s="484" t="s">
        <v>65</v>
      </c>
      <c r="O4" s="537" t="s">
        <v>59</v>
      </c>
      <c r="P4" s="537" t="s">
        <v>59</v>
      </c>
      <c r="Q4" s="537" t="s">
        <v>59</v>
      </c>
      <c r="R4" s="538">
        <v>2.17</v>
      </c>
      <c r="S4" s="539">
        <v>8.7395999999999994</v>
      </c>
      <c r="T4" s="498">
        <v>2.1608999999999998</v>
      </c>
      <c r="U4" s="479"/>
      <c r="V4" s="480" t="s">
        <v>59</v>
      </c>
      <c r="W4" s="541"/>
      <c r="X4" s="542"/>
      <c r="Y4" s="542"/>
      <c r="Z4" s="543"/>
      <c r="AA4" s="544" t="s">
        <v>59</v>
      </c>
      <c r="AB4" s="474"/>
      <c r="AC4" s="471"/>
      <c r="AD4" s="471"/>
      <c r="AE4" s="471"/>
      <c r="AF4" s="471"/>
      <c r="AG4" s="471"/>
      <c r="AH4" s="484" t="s">
        <v>59</v>
      </c>
      <c r="AI4" s="467"/>
      <c r="AJ4" s="467"/>
      <c r="AK4" s="467"/>
      <c r="AL4" s="467"/>
      <c r="AM4" s="467"/>
      <c r="AN4" s="467"/>
      <c r="AO4" s="467"/>
      <c r="AP4" s="467"/>
      <c r="AQ4" s="467"/>
      <c r="AR4" s="467"/>
      <c r="AS4" s="467"/>
      <c r="AT4" s="467"/>
      <c r="AU4" s="467"/>
      <c r="AV4" s="467"/>
      <c r="AW4" s="467"/>
      <c r="AX4" s="467"/>
      <c r="AY4" s="468">
        <f>COUNTIF(AI4:AX4,"*OP*")</f>
        <v>0</v>
      </c>
      <c r="AZ4" s="484" t="s">
        <v>59</v>
      </c>
      <c r="BA4" s="471">
        <f>(COUNTIF(AI4:AK4,"*OK*")*3) + (COUNTIF(AL4:AN4,"*OK*")*2) + COUNTIF(AO4:AQ4,"*OK*")+COUNTIF(AZ4:AZ4,"SI")*0.5</f>
        <v>0</v>
      </c>
      <c r="BB4" s="471" t="str">
        <f>IF(BA4&lt;0.6,"Demasiado Riesgo",IF(BA4&lt;=5,"Riesgo Medio",IF(BA4&lt;=11,"Riesgo Bajo","Cliente Blindado")))</f>
        <v>Demasiado Riesgo</v>
      </c>
      <c r="BC4" s="471"/>
      <c r="BD4" s="471"/>
      <c r="BE4" s="471">
        <v>0</v>
      </c>
      <c r="BF4" s="471"/>
      <c r="BG4" s="471"/>
      <c r="BH4" s="471"/>
      <c r="BI4" s="471"/>
      <c r="BJ4" s="471"/>
      <c r="BK4" s="471"/>
      <c r="BL4" s="471"/>
      <c r="BM4" s="471"/>
      <c r="BN4" s="471"/>
      <c r="BO4" s="471"/>
      <c r="BP4" s="471"/>
      <c r="BQ4" s="471"/>
      <c r="BR4" s="471"/>
      <c r="BS4" s="471"/>
      <c r="BT4" s="471"/>
      <c r="BU4" s="471"/>
      <c r="BV4" s="471"/>
      <c r="BW4" s="471"/>
      <c r="BX4" s="471"/>
      <c r="BY4" s="471"/>
      <c r="BZ4" s="471"/>
      <c r="CA4" s="471">
        <f>COUNTIF(AI4:AW4,"*OK*")</f>
        <v>0</v>
      </c>
      <c r="CB4" s="471"/>
      <c r="CC4" s="471">
        <f>COUNTIF(AI4:AW4,"*OP*")</f>
        <v>0</v>
      </c>
    </row>
    <row r="5" spans="1:81" ht="14.25" customHeight="1">
      <c r="A5" s="449">
        <v>23839</v>
      </c>
      <c r="B5" s="450"/>
      <c r="C5" s="451">
        <f>T5</f>
        <v>4.3219000000000003</v>
      </c>
      <c r="D5" s="450">
        <f>COUNTIF(AM5:AX5,"OK")</f>
        <v>0</v>
      </c>
      <c r="E5" s="450"/>
      <c r="F5" s="489" t="s">
        <v>66</v>
      </c>
      <c r="G5" s="453" t="s">
        <v>63</v>
      </c>
      <c r="H5" s="454" t="s">
        <v>64</v>
      </c>
      <c r="I5" s="454"/>
      <c r="J5" s="489" t="s">
        <v>59</v>
      </c>
      <c r="K5" s="489" t="s">
        <v>59</v>
      </c>
      <c r="L5" s="489" t="s">
        <v>59</v>
      </c>
      <c r="M5" s="489"/>
      <c r="N5" s="466" t="s">
        <v>65</v>
      </c>
      <c r="O5" s="545" t="s">
        <v>59</v>
      </c>
      <c r="P5" s="545" t="s">
        <v>59</v>
      </c>
      <c r="Q5" s="545" t="s">
        <v>59</v>
      </c>
      <c r="R5" s="546">
        <v>4.33</v>
      </c>
      <c r="S5" s="539">
        <v>4.3697999999999997</v>
      </c>
      <c r="T5" s="547">
        <v>4.3219000000000003</v>
      </c>
      <c r="U5" s="461"/>
      <c r="V5" s="462" t="s">
        <v>59</v>
      </c>
      <c r="W5" s="548"/>
      <c r="X5" s="549"/>
      <c r="Y5" s="549"/>
      <c r="Z5" s="550"/>
      <c r="AA5" s="551" t="s">
        <v>59</v>
      </c>
      <c r="AB5" s="454"/>
      <c r="AC5" s="450"/>
      <c r="AD5" s="450"/>
      <c r="AE5" s="450"/>
      <c r="AF5" s="450"/>
      <c r="AG5" s="450"/>
      <c r="AH5" s="466" t="s">
        <v>59</v>
      </c>
      <c r="AI5" s="467"/>
      <c r="AJ5" s="467"/>
      <c r="AK5" s="467"/>
      <c r="AL5" s="467"/>
      <c r="AM5" s="467"/>
      <c r="AN5" s="467"/>
      <c r="AO5" s="467"/>
      <c r="AP5" s="467"/>
      <c r="AQ5" s="467"/>
      <c r="AR5" s="467"/>
      <c r="AS5" s="467"/>
      <c r="AT5" s="467"/>
      <c r="AU5" s="467"/>
      <c r="AV5" s="467"/>
      <c r="AW5" s="467"/>
      <c r="AX5" s="467"/>
      <c r="AY5" s="486">
        <f>COUNTIF(AI5:AX5,"*OP*")</f>
        <v>0</v>
      </c>
      <c r="AZ5" s="499" t="s">
        <v>59</v>
      </c>
      <c r="BA5" s="450">
        <f>(COUNTIF(AI5:AK5,"*OK*")*3) + (COUNTIF(AL5:AN5,"*OK*")*2) + COUNTIF(AO5:AQ5,"*OK*")+COUNTIF(AZ5:AZ5,"SI")*0.5</f>
        <v>0</v>
      </c>
      <c r="BB5" s="450" t="str">
        <f>IF(BA5&lt;0.6,"Demasiado Riesgo",IF(BA5&lt;=5,"Riesgo Medio",IF(BA5&lt;=11,"Riesgo Bajo","Cliente Blindado")))</f>
        <v>Demasiado Riesgo</v>
      </c>
      <c r="BC5" s="450"/>
      <c r="BD5" s="450"/>
      <c r="BE5" s="450">
        <v>0</v>
      </c>
      <c r="BF5" s="450"/>
      <c r="BG5" s="450"/>
      <c r="BH5" s="450"/>
      <c r="BI5" s="450"/>
      <c r="BJ5" s="450"/>
      <c r="BK5" s="450"/>
      <c r="BL5" s="450"/>
      <c r="BM5" s="450"/>
      <c r="BN5" s="450"/>
      <c r="BO5" s="450"/>
      <c r="BP5" s="450"/>
      <c r="BQ5" s="450"/>
      <c r="BR5" s="450"/>
      <c r="BS5" s="450"/>
      <c r="BT5" s="450"/>
      <c r="BU5" s="450"/>
      <c r="BV5" s="450"/>
      <c r="BW5" s="450"/>
      <c r="BX5" s="450"/>
      <c r="BY5" s="450"/>
      <c r="BZ5" s="450"/>
      <c r="CA5" s="450">
        <f>COUNTIF(AI5:AW5,"*OK*")</f>
        <v>0</v>
      </c>
      <c r="CB5" s="450"/>
      <c r="CC5" s="450">
        <f>COUNTIF(AI5:AW5,"*OP*")</f>
        <v>0</v>
      </c>
    </row>
    <row r="6" spans="1:81" ht="14.25" customHeight="1">
      <c r="A6" s="449"/>
      <c r="B6" s="450"/>
      <c r="C6" s="451">
        <f>T6</f>
        <v>6.48</v>
      </c>
      <c r="D6" s="450">
        <f>COUNTIF(AI6:AW6,"*OK*")</f>
        <v>0</v>
      </c>
      <c r="E6" s="450"/>
      <c r="F6" s="453" t="s">
        <v>67</v>
      </c>
      <c r="G6" s="453" t="s">
        <v>63</v>
      </c>
      <c r="H6" s="454"/>
      <c r="I6" s="454"/>
      <c r="J6" s="453"/>
      <c r="K6" s="552" t="s">
        <v>68</v>
      </c>
      <c r="L6" s="453" t="s">
        <v>69</v>
      </c>
      <c r="M6" s="453"/>
      <c r="N6" s="456" t="s">
        <v>65</v>
      </c>
      <c r="O6" s="457"/>
      <c r="P6" s="457">
        <v>13.15</v>
      </c>
      <c r="Q6" s="457">
        <v>22.98</v>
      </c>
      <c r="R6" s="458">
        <v>23.71</v>
      </c>
      <c r="S6" s="459">
        <v>15.2943</v>
      </c>
      <c r="T6" s="469">
        <v>6.48</v>
      </c>
      <c r="U6" s="461"/>
      <c r="V6" s="462">
        <v>50</v>
      </c>
      <c r="W6" s="553"/>
      <c r="X6" s="554" t="s">
        <v>70</v>
      </c>
      <c r="Y6" s="549" t="s">
        <v>71</v>
      </c>
      <c r="Z6" s="550" t="s">
        <v>72</v>
      </c>
      <c r="AA6" s="555" t="s">
        <v>59</v>
      </c>
      <c r="AB6" s="454"/>
      <c r="AC6" s="450"/>
      <c r="AD6" s="450"/>
      <c r="AE6" s="450"/>
      <c r="AF6" s="450"/>
      <c r="AG6" s="450"/>
      <c r="AH6" s="466" t="s">
        <v>59</v>
      </c>
      <c r="AI6" s="486"/>
      <c r="AJ6" s="486"/>
      <c r="AK6" s="486"/>
      <c r="AL6" s="486"/>
      <c r="AM6" s="468"/>
      <c r="AN6" s="486"/>
      <c r="AO6" s="486"/>
      <c r="AP6" s="486"/>
      <c r="AQ6" s="486"/>
      <c r="AR6" s="486"/>
      <c r="AS6" s="486"/>
      <c r="AT6" s="486"/>
      <c r="AU6" s="486"/>
      <c r="AV6" s="486"/>
      <c r="AW6" s="486"/>
      <c r="AX6" s="486"/>
      <c r="AY6" s="468">
        <f>COUNTIF(AI6:AX6,"*OP*")</f>
        <v>0</v>
      </c>
      <c r="AZ6" s="466" t="s">
        <v>59</v>
      </c>
      <c r="BA6" s="450">
        <f>(COUNTIF(AI6:AK6,"*OK*")*3) + (COUNTIF(AL6:AN6,"*OK*")*2) + COUNTIF(AO6:AQ6,"*OK*")+COUNTIF(AZ6:AZ6,"SI")*0.5</f>
        <v>0</v>
      </c>
      <c r="BB6" s="450" t="str">
        <f>IF(BA6&lt;0.6,"Demasiado Riesgo",IF(BA6&lt;=5,"Riesgo Medio",IF(BA6&lt;=11,"Riesgo Bajo","Cliente Blindado")))</f>
        <v>Demasiado Riesgo</v>
      </c>
      <c r="BC6" s="450"/>
      <c r="BD6" s="450"/>
      <c r="BE6" s="450">
        <v>0</v>
      </c>
      <c r="BF6" s="450"/>
      <c r="BG6" s="450"/>
      <c r="BH6" s="450"/>
      <c r="BI6" s="450"/>
      <c r="BJ6" s="450"/>
      <c r="BK6" s="450"/>
      <c r="BL6" s="450"/>
      <c r="BM6" s="450"/>
      <c r="BN6" s="450"/>
      <c r="BO6" s="450"/>
      <c r="BP6" s="450"/>
      <c r="BQ6" s="450"/>
      <c r="BR6" s="450"/>
      <c r="BS6" s="450"/>
      <c r="BT6" s="450"/>
      <c r="BU6" s="450"/>
      <c r="BV6" s="450"/>
      <c r="BW6" s="450"/>
      <c r="BX6" s="450"/>
      <c r="BY6" s="450"/>
      <c r="BZ6" s="450"/>
      <c r="CA6" s="450">
        <f>COUNTIF(AI6:AW6,"*OK*")</f>
        <v>0</v>
      </c>
      <c r="CB6" s="450"/>
      <c r="CC6" s="450">
        <f>COUNTIF(AI6:AW6,"*OP*")</f>
        <v>0</v>
      </c>
    </row>
    <row r="7" spans="1:81" ht="14.25" customHeight="1">
      <c r="A7" s="470"/>
      <c r="B7" s="471"/>
      <c r="C7" s="451">
        <f>T7</f>
        <v>8.64</v>
      </c>
      <c r="D7" s="471">
        <f>COUNTIF(AI7:AW7,"*OK*")</f>
        <v>0</v>
      </c>
      <c r="E7" s="471"/>
      <c r="F7" s="473" t="s">
        <v>73</v>
      </c>
      <c r="G7" s="473" t="s">
        <v>63</v>
      </c>
      <c r="H7" s="474"/>
      <c r="I7" s="474"/>
      <c r="J7" s="473"/>
      <c r="K7" s="556" t="s">
        <v>68</v>
      </c>
      <c r="L7" s="473" t="s">
        <v>69</v>
      </c>
      <c r="M7" s="473"/>
      <c r="N7" s="476" t="s">
        <v>65</v>
      </c>
      <c r="O7" s="477">
        <v>10.97</v>
      </c>
      <c r="P7" s="477">
        <v>10.96</v>
      </c>
      <c r="Q7" s="477">
        <v>10.44</v>
      </c>
      <c r="R7" s="478">
        <v>10.78</v>
      </c>
      <c r="S7" s="459">
        <v>15.2943</v>
      </c>
      <c r="T7" s="487">
        <v>8.64</v>
      </c>
      <c r="U7" s="479"/>
      <c r="V7" s="480">
        <v>50</v>
      </c>
      <c r="W7" s="557"/>
      <c r="X7" s="558" t="s">
        <v>70</v>
      </c>
      <c r="Y7" s="542" t="s">
        <v>71</v>
      </c>
      <c r="Z7" s="543" t="s">
        <v>74</v>
      </c>
      <c r="AA7" s="559" t="s">
        <v>59</v>
      </c>
      <c r="AB7" s="474"/>
      <c r="AC7" s="471"/>
      <c r="AD7" s="471"/>
      <c r="AE7" s="471"/>
      <c r="AF7" s="471"/>
      <c r="AG7" s="471"/>
      <c r="AH7" s="484" t="s">
        <v>59</v>
      </c>
      <c r="AI7" s="486"/>
      <c r="AJ7" s="486"/>
      <c r="AK7" s="486"/>
      <c r="AL7" s="486"/>
      <c r="AM7" s="486"/>
      <c r="AN7" s="486"/>
      <c r="AO7" s="468"/>
      <c r="AP7" s="486"/>
      <c r="AQ7" s="486"/>
      <c r="AR7" s="486"/>
      <c r="AS7" s="486"/>
      <c r="AT7" s="486"/>
      <c r="AU7" s="486"/>
      <c r="AV7" s="486"/>
      <c r="AW7" s="486"/>
      <c r="AX7" s="486"/>
      <c r="AY7" s="486">
        <f>COUNTIF(AI7:AX7,"*OP*")</f>
        <v>0</v>
      </c>
      <c r="AZ7" s="485" t="s">
        <v>59</v>
      </c>
      <c r="BA7" s="471">
        <f>(COUNTIF(AI7:AK7,"*OK*")*3) + (COUNTIF(AL7:AN7,"*OK*")*2) + COUNTIF(AO7:AQ7,"*OK*")+COUNTIF(AZ7:AZ7,"SI")*0.5</f>
        <v>0</v>
      </c>
      <c r="BB7" s="471" t="str">
        <f>IF(BA7&lt;0.6,"Demasiado Riesgo",IF(BA7&lt;=5,"Riesgo Medio",IF(BA7&lt;=11,"Riesgo Bajo","Cliente Blindado")))</f>
        <v>Demasiado Riesgo</v>
      </c>
      <c r="BC7" s="471"/>
      <c r="BD7" s="471"/>
      <c r="BE7" s="471">
        <v>0</v>
      </c>
      <c r="BF7" s="471"/>
      <c r="BG7" s="471"/>
      <c r="BH7" s="471"/>
      <c r="BI7" s="471"/>
      <c r="BJ7" s="471"/>
      <c r="BK7" s="471"/>
      <c r="BL7" s="471"/>
      <c r="BM7" s="471"/>
      <c r="BN7" s="471"/>
      <c r="BO7" s="471"/>
      <c r="BP7" s="471"/>
      <c r="BQ7" s="471"/>
      <c r="BR7" s="471"/>
      <c r="BS7" s="471"/>
      <c r="BT7" s="471"/>
      <c r="BU7" s="471"/>
      <c r="BV7" s="471"/>
      <c r="BW7" s="471"/>
      <c r="BX7" s="471"/>
      <c r="BY7" s="471"/>
      <c r="BZ7" s="471"/>
      <c r="CA7" s="471">
        <f>COUNTIF(AI7:AW7,"*OK*")</f>
        <v>0</v>
      </c>
      <c r="CB7" s="471"/>
      <c r="CC7" s="471">
        <f>COUNTIF(AI7:AW7,"*OP*")</f>
        <v>0</v>
      </c>
    </row>
    <row r="8" spans="1:81" ht="14.25" customHeight="1">
      <c r="A8" s="470"/>
      <c r="B8" s="471"/>
      <c r="C8" s="451">
        <f>T8</f>
        <v>28.09</v>
      </c>
      <c r="D8" s="471">
        <f>COUNTIF(AI8:AW8,"*OK*")</f>
        <v>0</v>
      </c>
      <c r="E8" s="471"/>
      <c r="F8" s="473" t="s">
        <v>75</v>
      </c>
      <c r="G8" s="473" t="s">
        <v>63</v>
      </c>
      <c r="H8" s="474"/>
      <c r="I8" s="474"/>
      <c r="J8" s="473"/>
      <c r="K8" s="556" t="s">
        <v>68</v>
      </c>
      <c r="L8" s="473" t="s">
        <v>69</v>
      </c>
      <c r="M8" s="473"/>
      <c r="N8" s="476" t="s">
        <v>65</v>
      </c>
      <c r="O8" s="477">
        <v>24.13</v>
      </c>
      <c r="P8" s="477">
        <v>21.92</v>
      </c>
      <c r="Q8" s="477">
        <v>20.89</v>
      </c>
      <c r="R8" s="478">
        <v>23.71</v>
      </c>
      <c r="S8" s="459">
        <v>28.403700000000001</v>
      </c>
      <c r="T8" s="487">
        <v>28.09</v>
      </c>
      <c r="U8" s="479"/>
      <c r="V8" s="480">
        <v>50</v>
      </c>
      <c r="W8" s="557"/>
      <c r="X8" s="558" t="s">
        <v>70</v>
      </c>
      <c r="Y8" s="542" t="s">
        <v>71</v>
      </c>
      <c r="Z8" s="543" t="s">
        <v>76</v>
      </c>
      <c r="AA8" s="559" t="s">
        <v>59</v>
      </c>
      <c r="AB8" s="474"/>
      <c r="AC8" s="471"/>
      <c r="AD8" s="471"/>
      <c r="AE8" s="471"/>
      <c r="AF8" s="471"/>
      <c r="AG8" s="471"/>
      <c r="AH8" s="484" t="s">
        <v>59</v>
      </c>
      <c r="AI8" s="486"/>
      <c r="AJ8" s="486"/>
      <c r="AK8" s="486"/>
      <c r="AL8" s="486"/>
      <c r="AM8" s="468"/>
      <c r="AN8" s="486"/>
      <c r="AO8" s="486"/>
      <c r="AP8" s="486"/>
      <c r="AQ8" s="486"/>
      <c r="AR8" s="486"/>
      <c r="AS8" s="486"/>
      <c r="AT8" s="486"/>
      <c r="AU8" s="486"/>
      <c r="AV8" s="486"/>
      <c r="AW8" s="486"/>
      <c r="AX8" s="486"/>
      <c r="AY8" s="468">
        <f>COUNTIF(AI8:AX8,"*OP*")</f>
        <v>0</v>
      </c>
      <c r="AZ8" s="484" t="s">
        <v>59</v>
      </c>
      <c r="BA8" s="471">
        <f>(COUNTIF(AI8:AK8,"*OK*")*3) + (COUNTIF(AL8:AN8,"*OK*")*2) + COUNTIF(AO8:AQ8,"*OK*")+COUNTIF(AZ8:AZ8,"SI")*0.5</f>
        <v>0</v>
      </c>
      <c r="BB8" s="471" t="str">
        <f>IF(BA8&lt;0.6,"Demasiado Riesgo",IF(BA8&lt;=5,"Riesgo Medio",IF(BA8&lt;=11,"Riesgo Bajo","Cliente Blindado")))</f>
        <v>Demasiado Riesgo</v>
      </c>
      <c r="BC8" s="471"/>
      <c r="BD8" s="471"/>
      <c r="BE8" s="471">
        <v>0</v>
      </c>
      <c r="BF8" s="471"/>
      <c r="BG8" s="471"/>
      <c r="BH8" s="471"/>
      <c r="BI8" s="471"/>
      <c r="BJ8" s="471"/>
      <c r="BK8" s="471"/>
      <c r="BL8" s="471"/>
      <c r="BM8" s="471"/>
      <c r="BN8" s="471"/>
      <c r="BO8" s="471"/>
      <c r="BP8" s="471"/>
      <c r="BQ8" s="471"/>
      <c r="BR8" s="471"/>
      <c r="BS8" s="471"/>
      <c r="BT8" s="471"/>
      <c r="BU8" s="471"/>
      <c r="BV8" s="471"/>
      <c r="BW8" s="471"/>
      <c r="BX8" s="471"/>
      <c r="BY8" s="471"/>
      <c r="BZ8" s="471"/>
      <c r="CA8" s="471">
        <f>COUNTIF(AI8:AW8,"*OK*")</f>
        <v>0</v>
      </c>
      <c r="CB8" s="471"/>
      <c r="CC8" s="471">
        <f>COUNTIF(AI8:AW8,"*OP*")</f>
        <v>0</v>
      </c>
    </row>
    <row r="9" spans="1:81" ht="14.25" customHeight="1">
      <c r="A9" s="470"/>
      <c r="B9" s="471"/>
      <c r="C9" s="451">
        <f>T9</f>
        <v>28.34</v>
      </c>
      <c r="D9" s="471">
        <f>COUNTIF(AI9:AW9,"*OK*")</f>
        <v>0</v>
      </c>
      <c r="E9" s="471"/>
      <c r="F9" s="473" t="s">
        <v>77</v>
      </c>
      <c r="G9" s="473" t="s">
        <v>78</v>
      </c>
      <c r="H9" s="474"/>
      <c r="I9" s="474"/>
      <c r="J9" s="473"/>
      <c r="K9" s="560" t="s">
        <v>79</v>
      </c>
      <c r="L9" s="473" t="s">
        <v>69</v>
      </c>
      <c r="M9" s="473"/>
      <c r="N9" s="476" t="s">
        <v>65</v>
      </c>
      <c r="O9" s="477">
        <v>28.77</v>
      </c>
      <c r="P9" s="477">
        <v>28.74</v>
      </c>
      <c r="Q9" s="477">
        <v>27.39</v>
      </c>
      <c r="R9" s="478">
        <v>28.27</v>
      </c>
      <c r="S9" s="459">
        <v>28.6539</v>
      </c>
      <c r="T9" s="487">
        <v>28.34</v>
      </c>
      <c r="U9" s="479"/>
      <c r="V9" s="480">
        <v>100</v>
      </c>
      <c r="W9" s="557"/>
      <c r="X9" s="558" t="s">
        <v>70</v>
      </c>
      <c r="Y9" s="542" t="s">
        <v>80</v>
      </c>
      <c r="Z9" s="543" t="s">
        <v>81</v>
      </c>
      <c r="AA9" s="559" t="s">
        <v>59</v>
      </c>
      <c r="AB9" s="474"/>
      <c r="AC9" s="471"/>
      <c r="AD9" s="471"/>
      <c r="AE9" s="471"/>
      <c r="AF9" s="471"/>
      <c r="AG9" s="471"/>
      <c r="AH9" s="485" t="s">
        <v>59</v>
      </c>
      <c r="AI9" s="467"/>
      <c r="AJ9" s="467"/>
      <c r="AK9" s="467"/>
      <c r="AL9" s="467"/>
      <c r="AM9" s="467"/>
      <c r="AN9" s="467"/>
      <c r="AO9" s="467"/>
      <c r="AP9" s="467"/>
      <c r="AQ9" s="467"/>
      <c r="AR9" s="467"/>
      <c r="AS9" s="467"/>
      <c r="AT9" s="467"/>
      <c r="AU9" s="467"/>
      <c r="AV9" s="467"/>
      <c r="AW9" s="467"/>
      <c r="AX9" s="467"/>
      <c r="AY9" s="486">
        <f>COUNTIF(AI9:AX9,"*OP*")</f>
        <v>0</v>
      </c>
      <c r="AZ9" s="485" t="s">
        <v>59</v>
      </c>
      <c r="BA9" s="471">
        <f>(COUNTIF(AI9:AK9,"*OK*")*3) + (COUNTIF(AL9:AN9,"*OK*")*2) + COUNTIF(AO9:AQ9,"*OK*")+COUNTIF(AZ9:AZ9,"SI")*0.5</f>
        <v>0</v>
      </c>
      <c r="BB9" s="471" t="str">
        <f>IF(BA9&lt;0.6,"Demasiado Riesgo",IF(BA9&lt;=5,"Riesgo Medio",IF(BA9&lt;=11,"Riesgo Bajo","Cliente Blindado")))</f>
        <v>Demasiado Riesgo</v>
      </c>
      <c r="BC9" s="471"/>
      <c r="BD9" s="471"/>
      <c r="BE9" s="471">
        <v>0</v>
      </c>
      <c r="BF9" s="471"/>
      <c r="BG9" s="471"/>
      <c r="BH9" s="471"/>
      <c r="BI9" s="471"/>
      <c r="BJ9" s="471"/>
      <c r="BK9" s="471"/>
      <c r="BL9" s="471"/>
      <c r="BM9" s="471"/>
      <c r="BN9" s="471"/>
      <c r="BO9" s="471"/>
      <c r="BP9" s="471"/>
      <c r="BQ9" s="471"/>
      <c r="BR9" s="471"/>
      <c r="BS9" s="471"/>
      <c r="BT9" s="471"/>
      <c r="BU9" s="471"/>
      <c r="BV9" s="471"/>
      <c r="BW9" s="471"/>
      <c r="BX9" s="471"/>
      <c r="BY9" s="471"/>
      <c r="BZ9" s="471"/>
      <c r="CA9" s="471">
        <f>COUNTIF(AI9:AW9,"*OK*")</f>
        <v>0</v>
      </c>
      <c r="CB9" s="471"/>
      <c r="CC9" s="471">
        <f>COUNTIF(AI9:AW9,"*OP*")</f>
        <v>0</v>
      </c>
    </row>
    <row r="10" spans="1:81" ht="14.25" customHeight="1">
      <c r="A10" s="488"/>
      <c r="B10" s="489"/>
      <c r="C10" s="451">
        <f>T10</f>
        <v>31.49</v>
      </c>
      <c r="D10" s="450">
        <f>COUNTIF(AI10:AW10,"*OK*")</f>
        <v>0</v>
      </c>
      <c r="E10" s="450"/>
      <c r="F10" s="453" t="s">
        <v>82</v>
      </c>
      <c r="G10" s="453" t="s">
        <v>78</v>
      </c>
      <c r="H10" s="454"/>
      <c r="I10" s="454"/>
      <c r="J10" s="453"/>
      <c r="K10" s="561" t="s">
        <v>79</v>
      </c>
      <c r="L10" s="453" t="s">
        <v>69</v>
      </c>
      <c r="M10" s="453"/>
      <c r="N10" s="456" t="s">
        <v>65</v>
      </c>
      <c r="O10" s="457">
        <v>33.03</v>
      </c>
      <c r="P10" s="457">
        <v>35.130000000000003</v>
      </c>
      <c r="Q10" s="457">
        <v>30.44</v>
      </c>
      <c r="R10" s="458">
        <v>31.41</v>
      </c>
      <c r="S10" s="459">
        <v>31.837599999999998</v>
      </c>
      <c r="T10" s="469">
        <v>31.49</v>
      </c>
      <c r="U10" s="461"/>
      <c r="V10" s="462">
        <v>100</v>
      </c>
      <c r="W10" s="463"/>
      <c r="X10" s="562" t="s">
        <v>70</v>
      </c>
      <c r="Y10" s="465" t="s">
        <v>71</v>
      </c>
      <c r="Z10" s="466" t="s">
        <v>83</v>
      </c>
      <c r="AA10" s="462" t="s">
        <v>59</v>
      </c>
      <c r="AB10" s="454" t="s">
        <v>84</v>
      </c>
      <c r="AC10" s="450"/>
      <c r="AD10" s="450"/>
      <c r="AE10" s="450"/>
      <c r="AF10" s="450"/>
      <c r="AG10" s="450"/>
      <c r="AH10" s="499" t="s">
        <v>59</v>
      </c>
      <c r="AI10" s="467"/>
      <c r="AJ10" s="467"/>
      <c r="AK10" s="467"/>
      <c r="AL10" s="467"/>
      <c r="AM10" s="467"/>
      <c r="AN10" s="467"/>
      <c r="AO10" s="467"/>
      <c r="AP10" s="467"/>
      <c r="AQ10" s="467"/>
      <c r="AR10" s="467"/>
      <c r="AS10" s="467"/>
      <c r="AT10" s="467"/>
      <c r="AU10" s="467"/>
      <c r="AV10" s="467"/>
      <c r="AW10" s="467"/>
      <c r="AX10" s="467"/>
      <c r="AY10" s="486">
        <f>COUNTIF(AI10:AX10,"*OP*")</f>
        <v>0</v>
      </c>
      <c r="AZ10" s="499" t="s">
        <v>59</v>
      </c>
      <c r="BA10" s="450">
        <f>(COUNTIF(AI10:AK10,"*OK*")*3) + (COUNTIF(AL10:AN10,"*OK*")*2) + COUNTIF(AO10:AQ10,"*OK*")+COUNTIF(AZ10:AZ10,"SI")*0.5</f>
        <v>0</v>
      </c>
      <c r="BB10" s="450" t="str">
        <f>IF(BA10&lt;0.6,"Demasiado Riesgo",IF(BA10&lt;=5,"Riesgo Medio",IF(BA10&lt;=11,"Riesgo Bajo","Cliente Blindado")))</f>
        <v>Demasiado Riesgo</v>
      </c>
      <c r="BC10" s="450"/>
      <c r="BD10" s="450"/>
      <c r="BE10" s="450">
        <v>0</v>
      </c>
      <c r="BF10" s="450"/>
      <c r="BG10" s="450"/>
      <c r="BH10" s="450"/>
      <c r="BI10" s="450"/>
      <c r="BJ10" s="450"/>
      <c r="BK10" s="450"/>
      <c r="BL10" s="450"/>
      <c r="BM10" s="450"/>
      <c r="BN10" s="450"/>
      <c r="BO10" s="450"/>
      <c r="BP10" s="450"/>
      <c r="BQ10" s="450"/>
      <c r="BR10" s="450"/>
      <c r="BS10" s="450"/>
      <c r="BT10" s="450"/>
      <c r="BU10" s="450"/>
      <c r="BV10" s="450"/>
      <c r="BW10" s="450"/>
      <c r="BX10" s="450"/>
      <c r="BY10" s="450"/>
      <c r="BZ10" s="450"/>
      <c r="CA10" s="450">
        <f>COUNTIF(AI10:AW10,"*OK*")</f>
        <v>0</v>
      </c>
      <c r="CB10" s="450"/>
      <c r="CC10" s="450">
        <f>COUNTIF(AI10:AW10,"*OP*")</f>
        <v>0</v>
      </c>
    </row>
    <row r="11" spans="1:81" ht="14.25" customHeight="1">
      <c r="A11" s="449">
        <v>24506</v>
      </c>
      <c r="B11" s="450" t="s">
        <v>85</v>
      </c>
      <c r="C11" s="451">
        <f>T11</f>
        <v>32.409999999999997</v>
      </c>
      <c r="D11" s="450">
        <f>COUNTIF(AI11:AW11,"*OK*")</f>
        <v>0</v>
      </c>
      <c r="E11" s="450"/>
      <c r="F11" s="453" t="s">
        <v>86</v>
      </c>
      <c r="G11" s="453" t="s">
        <v>63</v>
      </c>
      <c r="H11" s="454"/>
      <c r="I11" s="454"/>
      <c r="J11" s="453"/>
      <c r="K11" s="552" t="s">
        <v>68</v>
      </c>
      <c r="L11" s="453" t="s">
        <v>69</v>
      </c>
      <c r="M11" s="453"/>
      <c r="N11" s="456" t="s">
        <v>61</v>
      </c>
      <c r="O11" s="457">
        <v>83.36</v>
      </c>
      <c r="P11" s="457">
        <v>85.48</v>
      </c>
      <c r="Q11" s="457">
        <v>71.010000000000005</v>
      </c>
      <c r="R11" s="458">
        <v>73.3</v>
      </c>
      <c r="S11" s="459">
        <v>56.807499999999997</v>
      </c>
      <c r="T11" s="469">
        <v>32.409999999999997</v>
      </c>
      <c r="U11" s="461"/>
      <c r="V11" s="462" t="s">
        <v>87</v>
      </c>
      <c r="W11" s="463" t="s">
        <v>88</v>
      </c>
      <c r="X11" s="562" t="s">
        <v>70</v>
      </c>
      <c r="Y11" s="465" t="s">
        <v>89</v>
      </c>
      <c r="Z11" s="466" t="s">
        <v>90</v>
      </c>
      <c r="AA11" s="462" t="s">
        <v>91</v>
      </c>
      <c r="AB11" s="454" t="s">
        <v>92</v>
      </c>
      <c r="AC11" s="450"/>
      <c r="AD11" s="450"/>
      <c r="AE11" s="450"/>
      <c r="AF11" s="450"/>
      <c r="AG11" s="450"/>
      <c r="AH11" s="499" t="s">
        <v>59</v>
      </c>
      <c r="AI11" s="486"/>
      <c r="AJ11" s="486"/>
      <c r="AK11" s="486"/>
      <c r="AL11" s="486"/>
      <c r="AM11" s="486"/>
      <c r="AN11" s="486"/>
      <c r="AO11" s="486"/>
      <c r="AP11" s="486"/>
      <c r="AQ11" s="486"/>
      <c r="AR11" s="486"/>
      <c r="AS11" s="486"/>
      <c r="AT11" s="486"/>
      <c r="AU11" s="486"/>
      <c r="AV11" s="486"/>
      <c r="AW11" s="486"/>
      <c r="AX11" s="486"/>
      <c r="AY11" s="486">
        <f>COUNTIF(AI11:AX11,"*OP*")</f>
        <v>0</v>
      </c>
      <c r="AZ11" s="499" t="s">
        <v>59</v>
      </c>
      <c r="BA11" s="450">
        <f>(COUNTIF(AI11:AK11,"*OK*")*3) + (COUNTIF(AL11:AN11,"*OK*")*2) + COUNTIF(AO11:AQ11,"*OK*")+COUNTIF(AZ11:AZ11,"SI")*0.5</f>
        <v>0</v>
      </c>
      <c r="BB11" s="450" t="str">
        <f>IF(BA11&lt;0.6,"Demasiado Riesgo",IF(BA11&lt;=5,"Riesgo Medio",IF(BA11&lt;=11,"Riesgo Bajo","Cliente Blindado")))</f>
        <v>Demasiado Riesgo</v>
      </c>
      <c r="BC11" s="450"/>
      <c r="BD11" s="450"/>
      <c r="BE11" s="450">
        <v>0</v>
      </c>
      <c r="BF11" s="450"/>
      <c r="BG11" s="450"/>
      <c r="BH11" s="450"/>
      <c r="BI11" s="450"/>
      <c r="BJ11" s="450"/>
      <c r="BK11" s="450"/>
      <c r="BL11" s="450"/>
      <c r="BM11" s="450"/>
      <c r="BN11" s="450"/>
      <c r="BO11" s="450"/>
      <c r="BP11" s="450"/>
      <c r="BQ11" s="450"/>
      <c r="BR11" s="450"/>
      <c r="BS11" s="450"/>
      <c r="BT11" s="450"/>
      <c r="BU11" s="450"/>
      <c r="BV11" s="450"/>
      <c r="BW11" s="450"/>
      <c r="BX11" s="450"/>
      <c r="BY11" s="450"/>
      <c r="BZ11" s="450"/>
      <c r="CA11" s="450">
        <f>COUNTIF(AI11:AW11,"*OK*")</f>
        <v>0</v>
      </c>
      <c r="CB11" s="450"/>
      <c r="CC11" s="450">
        <f>COUNTIF(AI11:AW11,"*OP*")</f>
        <v>0</v>
      </c>
    </row>
    <row r="12" spans="1:81" ht="14.25" customHeight="1">
      <c r="A12" s="470"/>
      <c r="B12" s="471"/>
      <c r="C12" s="451">
        <f>T12</f>
        <v>39.99</v>
      </c>
      <c r="D12" s="471">
        <f>COUNTIF(AI12:AW12,"*OK*")</f>
        <v>0</v>
      </c>
      <c r="E12" s="471"/>
      <c r="F12" s="473" t="s">
        <v>93</v>
      </c>
      <c r="G12" s="473" t="s">
        <v>94</v>
      </c>
      <c r="H12" s="474"/>
      <c r="I12" s="474"/>
      <c r="J12" s="473"/>
      <c r="K12" s="556" t="s">
        <v>68</v>
      </c>
      <c r="L12" s="473" t="s">
        <v>69</v>
      </c>
      <c r="M12" s="473"/>
      <c r="N12" s="476" t="s">
        <v>65</v>
      </c>
      <c r="O12" s="477">
        <v>35.18</v>
      </c>
      <c r="P12" s="477">
        <v>43.26</v>
      </c>
      <c r="Q12" s="477">
        <v>36.08</v>
      </c>
      <c r="R12" s="478">
        <v>37.24</v>
      </c>
      <c r="S12" s="459">
        <v>40.433999999999997</v>
      </c>
      <c r="T12" s="487">
        <v>39.99</v>
      </c>
      <c r="U12" s="479"/>
      <c r="V12" s="480">
        <v>100</v>
      </c>
      <c r="W12" s="481"/>
      <c r="X12" s="482" t="s">
        <v>70</v>
      </c>
      <c r="Y12" s="483" t="s">
        <v>95</v>
      </c>
      <c r="Z12" s="484" t="s">
        <v>96</v>
      </c>
      <c r="AA12" s="480" t="s">
        <v>59</v>
      </c>
      <c r="AB12" s="474" t="s">
        <v>97</v>
      </c>
      <c r="AC12" s="471"/>
      <c r="AD12" s="471"/>
      <c r="AE12" s="471"/>
      <c r="AF12" s="471"/>
      <c r="AG12" s="471"/>
      <c r="AH12" s="494" t="s">
        <v>59</v>
      </c>
      <c r="AI12" s="467"/>
      <c r="AJ12" s="467"/>
      <c r="AK12" s="467"/>
      <c r="AL12" s="467"/>
      <c r="AM12" s="467"/>
      <c r="AN12" s="467"/>
      <c r="AO12" s="467"/>
      <c r="AP12" s="467"/>
      <c r="AQ12" s="467"/>
      <c r="AR12" s="467"/>
      <c r="AS12" s="467"/>
      <c r="AT12" s="467"/>
      <c r="AU12" s="467"/>
      <c r="AV12" s="467"/>
      <c r="AW12" s="467"/>
      <c r="AX12" s="467"/>
      <c r="AY12" s="486">
        <f>COUNTIF(AI12:AX12,"*OP*")</f>
        <v>0</v>
      </c>
      <c r="AZ12" s="485" t="s">
        <v>59</v>
      </c>
      <c r="BA12" s="471">
        <f>(COUNTIF(AI12:AK12,"*OK*")*3) + (COUNTIF(AL12:AN12,"*OK*")*2) + COUNTIF(AO12:AQ12,"*OK*")+COUNTIF(AZ12:AZ12,"SI")*0.5</f>
        <v>0</v>
      </c>
      <c r="BB12" s="471" t="str">
        <f>IF(BA12&lt;0.6,"Demasiado Riesgo",IF(BA12&lt;=5,"Riesgo Medio",IF(BA12&lt;=11,"Riesgo Bajo","Cliente Blindado")))</f>
        <v>Demasiado Riesgo</v>
      </c>
      <c r="BC12" s="471"/>
      <c r="BD12" s="471"/>
      <c r="BE12" s="471">
        <v>0</v>
      </c>
      <c r="BF12" s="471"/>
      <c r="BG12" s="471"/>
      <c r="BH12" s="471"/>
      <c r="BI12" s="471"/>
      <c r="BJ12" s="471"/>
      <c r="BK12" s="471"/>
      <c r="BL12" s="471"/>
      <c r="BM12" s="471"/>
      <c r="BN12" s="471"/>
      <c r="BO12" s="471"/>
      <c r="BP12" s="471"/>
      <c r="BQ12" s="471"/>
      <c r="BR12" s="471"/>
      <c r="BS12" s="471"/>
      <c r="BT12" s="471"/>
      <c r="BU12" s="471"/>
      <c r="BV12" s="471"/>
      <c r="BW12" s="471"/>
      <c r="BX12" s="471"/>
      <c r="BY12" s="471"/>
      <c r="BZ12" s="471"/>
      <c r="CA12" s="471">
        <f>COUNTIF(AI12:AW12,"*OK*")</f>
        <v>0</v>
      </c>
      <c r="CB12" s="471"/>
      <c r="CC12" s="471">
        <f>COUNTIF(AI12:AW12,"*OP*")</f>
        <v>0</v>
      </c>
    </row>
    <row r="13" spans="1:81" ht="14.25" customHeight="1">
      <c r="A13" s="470"/>
      <c r="B13" s="471"/>
      <c r="C13" s="451">
        <f>T13</f>
        <v>42.23</v>
      </c>
      <c r="D13" s="471">
        <f>COUNTIF(AI13:AW13,"*OK*")</f>
        <v>0</v>
      </c>
      <c r="E13" s="471"/>
      <c r="F13" s="473" t="s">
        <v>98</v>
      </c>
      <c r="G13" s="473" t="s">
        <v>99</v>
      </c>
      <c r="H13" s="474"/>
      <c r="I13" s="474"/>
      <c r="J13" s="473"/>
      <c r="K13" s="475" t="s">
        <v>68</v>
      </c>
      <c r="L13" s="473" t="s">
        <v>69</v>
      </c>
      <c r="M13" s="473"/>
      <c r="N13" s="476" t="s">
        <v>65</v>
      </c>
      <c r="O13" s="477">
        <v>133.37</v>
      </c>
      <c r="P13" s="477">
        <v>42.83</v>
      </c>
      <c r="Q13" s="477">
        <v>40.82</v>
      </c>
      <c r="R13" s="478">
        <v>0</v>
      </c>
      <c r="S13" s="459">
        <v>42.697400000000002</v>
      </c>
      <c r="T13" s="487">
        <v>42.23</v>
      </c>
      <c r="U13" s="479"/>
      <c r="V13" s="480">
        <v>50</v>
      </c>
      <c r="W13" s="481"/>
      <c r="X13" s="483" t="s">
        <v>100</v>
      </c>
      <c r="Y13" s="483" t="s">
        <v>80</v>
      </c>
      <c r="Z13" s="484" t="s">
        <v>101</v>
      </c>
      <c r="AA13" s="480" t="s">
        <v>59</v>
      </c>
      <c r="AB13" s="474"/>
      <c r="AC13" s="471"/>
      <c r="AD13" s="471"/>
      <c r="AE13" s="471"/>
      <c r="AF13" s="471"/>
      <c r="AG13" s="471"/>
      <c r="AH13" s="484" t="s">
        <v>59</v>
      </c>
      <c r="AI13" s="467"/>
      <c r="AJ13" s="467"/>
      <c r="AK13" s="467"/>
      <c r="AL13" s="467"/>
      <c r="AM13" s="467"/>
      <c r="AN13" s="467"/>
      <c r="AO13" s="467"/>
      <c r="AP13" s="467"/>
      <c r="AQ13" s="467"/>
      <c r="AR13" s="467"/>
      <c r="AS13" s="467"/>
      <c r="AT13" s="467"/>
      <c r="AU13" s="467"/>
      <c r="AV13" s="467"/>
      <c r="AW13" s="467"/>
      <c r="AX13" s="467"/>
      <c r="AY13" s="486">
        <f>COUNTIF(AI13:AX13,"*OP*")</f>
        <v>0</v>
      </c>
      <c r="AZ13" s="485" t="s">
        <v>59</v>
      </c>
      <c r="BA13" s="471">
        <f>(COUNTIF(AI13:AK13,"*OK*")*3) + (COUNTIF(AL13:AN13,"*OK*")*2) + COUNTIF(AO13:AQ13,"*OK*")+COUNTIF(AZ13:AZ13,"SI")*0.5</f>
        <v>0</v>
      </c>
      <c r="BB13" s="471" t="str">
        <f>IF(BA13&lt;0.6,"Demasiado Riesgo",IF(BA13&lt;=5,"Riesgo Medio",IF(BA13&lt;=11,"Riesgo Bajo","Cliente Blindado")))</f>
        <v>Demasiado Riesgo</v>
      </c>
      <c r="BC13" s="471"/>
      <c r="BD13" s="471"/>
      <c r="BE13" s="471">
        <v>0</v>
      </c>
      <c r="BF13" s="471"/>
      <c r="BG13" s="471"/>
      <c r="BH13" s="471"/>
      <c r="BI13" s="471"/>
      <c r="BJ13" s="471"/>
      <c r="BK13" s="471"/>
      <c r="BL13" s="471"/>
      <c r="BM13" s="471"/>
      <c r="BN13" s="471"/>
      <c r="BO13" s="471"/>
      <c r="BP13" s="471"/>
      <c r="BQ13" s="471"/>
      <c r="BR13" s="471"/>
      <c r="BS13" s="471"/>
      <c r="BT13" s="471"/>
      <c r="BU13" s="471"/>
      <c r="BV13" s="471"/>
      <c r="BW13" s="471"/>
      <c r="BX13" s="471"/>
      <c r="BY13" s="471"/>
      <c r="BZ13" s="471"/>
      <c r="CA13" s="471">
        <f>COUNTIF(AI13:AW13,"*OK*")</f>
        <v>0</v>
      </c>
      <c r="CB13" s="471"/>
      <c r="CC13" s="471">
        <f>COUNTIF(AI13:AW13,"*OP*")</f>
        <v>0</v>
      </c>
    </row>
    <row r="14" spans="1:81" ht="14.25" customHeight="1">
      <c r="A14" s="470"/>
      <c r="B14" s="471"/>
      <c r="C14" s="451">
        <f>T14</f>
        <v>43.22</v>
      </c>
      <c r="D14" s="471">
        <f>COUNTIF(AI14:AW14,"*OK*")</f>
        <v>0</v>
      </c>
      <c r="E14" s="471"/>
      <c r="F14" s="473" t="s">
        <v>102</v>
      </c>
      <c r="G14" s="473" t="s">
        <v>63</v>
      </c>
      <c r="H14" s="474"/>
      <c r="I14" s="474"/>
      <c r="J14" s="473"/>
      <c r="K14" s="556" t="s">
        <v>68</v>
      </c>
      <c r="L14" s="473" t="s">
        <v>69</v>
      </c>
      <c r="M14" s="473"/>
      <c r="N14" s="476" t="s">
        <v>103</v>
      </c>
      <c r="O14" s="477">
        <v>15.36</v>
      </c>
      <c r="P14" s="477">
        <v>17.53</v>
      </c>
      <c r="Q14" s="477">
        <v>12.53</v>
      </c>
      <c r="R14" s="478">
        <v>12.94</v>
      </c>
      <c r="S14" s="459">
        <v>63.362200000000001</v>
      </c>
      <c r="T14" s="487">
        <v>43.22</v>
      </c>
      <c r="U14" s="479"/>
      <c r="V14" s="480">
        <v>100</v>
      </c>
      <c r="W14" s="481"/>
      <c r="X14" s="482" t="s">
        <v>70</v>
      </c>
      <c r="Y14" s="483" t="s">
        <v>89</v>
      </c>
      <c r="Z14" s="484" t="s">
        <v>104</v>
      </c>
      <c r="AA14" s="480" t="s">
        <v>59</v>
      </c>
      <c r="AB14" s="474" t="s">
        <v>92</v>
      </c>
      <c r="AC14" s="471"/>
      <c r="AD14" s="471"/>
      <c r="AE14" s="471"/>
      <c r="AF14" s="471"/>
      <c r="AG14" s="471"/>
      <c r="AH14" s="485" t="s">
        <v>59</v>
      </c>
      <c r="AI14" s="486"/>
      <c r="AJ14" s="486"/>
      <c r="AK14" s="486"/>
      <c r="AL14" s="486"/>
      <c r="AM14" s="486"/>
      <c r="AN14" s="486"/>
      <c r="AO14" s="486"/>
      <c r="AP14" s="486"/>
      <c r="AQ14" s="486"/>
      <c r="AR14" s="486"/>
      <c r="AS14" s="486"/>
      <c r="AT14" s="486"/>
      <c r="AU14" s="486"/>
      <c r="AV14" s="486"/>
      <c r="AW14" s="486"/>
      <c r="AX14" s="486"/>
      <c r="AY14" s="486">
        <f>COUNTIF(AI14:AX14,"*OP*")</f>
        <v>0</v>
      </c>
      <c r="AZ14" s="485" t="s">
        <v>59</v>
      </c>
      <c r="BA14" s="471">
        <f>(COUNTIF(AI14:AK14,"*OK*")*3) + (COUNTIF(AL14:AN14,"*OK*")*2) + COUNTIF(AO14:AQ14,"*OK*")+COUNTIF(AZ14:AZ14,"SI")*0.5</f>
        <v>0</v>
      </c>
      <c r="BB14" s="471" t="str">
        <f>IF(BA14&lt;0.6,"Demasiado Riesgo",IF(BA14&lt;=5,"Riesgo Medio",IF(BA14&lt;=11,"Riesgo Bajo","Cliente Blindado")))</f>
        <v>Demasiado Riesgo</v>
      </c>
      <c r="BC14" s="471"/>
      <c r="BD14" s="471"/>
      <c r="BE14" s="471">
        <v>0</v>
      </c>
      <c r="BF14" s="471"/>
      <c r="BG14" s="471"/>
      <c r="BH14" s="471"/>
      <c r="BI14" s="471"/>
      <c r="BJ14" s="471"/>
      <c r="BK14" s="471"/>
      <c r="BL14" s="471"/>
      <c r="BM14" s="471"/>
      <c r="BN14" s="471"/>
      <c r="BO14" s="471"/>
      <c r="BP14" s="471"/>
      <c r="BQ14" s="471"/>
      <c r="BR14" s="471"/>
      <c r="BS14" s="471"/>
      <c r="BT14" s="471"/>
      <c r="BU14" s="471"/>
      <c r="BV14" s="471"/>
      <c r="BW14" s="471"/>
      <c r="BX14" s="471"/>
      <c r="BY14" s="471"/>
      <c r="BZ14" s="471"/>
      <c r="CA14" s="471">
        <f>COUNTIF(AI14:AW14,"*OK*")</f>
        <v>0</v>
      </c>
      <c r="CB14" s="471"/>
      <c r="CC14" s="471">
        <f>COUNTIF(AI14:AW14,"*OP*")</f>
        <v>0</v>
      </c>
    </row>
    <row r="15" spans="1:81" s="406" customFormat="1" ht="14.25" customHeight="1">
      <c r="A15" s="563">
        <v>25478</v>
      </c>
      <c r="B15" s="536" t="s">
        <v>105</v>
      </c>
      <c r="C15" s="451">
        <f>T15</f>
        <v>51.59</v>
      </c>
      <c r="D15" s="471">
        <f>COUNTIF(AI15:AW15,"*OK*")</f>
        <v>1</v>
      </c>
      <c r="E15" s="471"/>
      <c r="F15" s="472" t="s">
        <v>106</v>
      </c>
      <c r="G15" s="473"/>
      <c r="H15" s="474" t="s">
        <v>107</v>
      </c>
      <c r="I15" s="474"/>
      <c r="J15" s="473"/>
      <c r="K15" s="564" t="s">
        <v>68</v>
      </c>
      <c r="L15" s="473" t="s">
        <v>69</v>
      </c>
      <c r="M15" s="473"/>
      <c r="N15" s="476" t="s">
        <v>65</v>
      </c>
      <c r="O15" s="477">
        <v>40.369999999999997</v>
      </c>
      <c r="P15" s="477">
        <v>40.33</v>
      </c>
      <c r="Q15" s="477">
        <v>38.44</v>
      </c>
      <c r="R15" s="478">
        <v>39.67</v>
      </c>
      <c r="S15" s="459">
        <v>54.4343</v>
      </c>
      <c r="T15" s="487">
        <v>51.59</v>
      </c>
      <c r="U15" s="479"/>
      <c r="V15" s="480">
        <v>100</v>
      </c>
      <c r="W15" s="481"/>
      <c r="X15" s="482" t="s">
        <v>70</v>
      </c>
      <c r="Y15" s="483" t="s">
        <v>108</v>
      </c>
      <c r="Z15" s="484" t="s">
        <v>109</v>
      </c>
      <c r="AA15" s="480" t="s">
        <v>110</v>
      </c>
      <c r="AB15" s="474" t="s">
        <v>92</v>
      </c>
      <c r="AC15" s="471"/>
      <c r="AD15" s="471"/>
      <c r="AE15" s="471"/>
      <c r="AF15" s="471"/>
      <c r="AG15" s="471"/>
      <c r="AH15" s="494" t="s">
        <v>59</v>
      </c>
      <c r="AI15" s="467"/>
      <c r="AJ15" s="467"/>
      <c r="AK15" s="565" t="s">
        <v>111</v>
      </c>
      <c r="AL15" s="467"/>
      <c r="AM15" s="467"/>
      <c r="AN15" s="467"/>
      <c r="AO15" s="467"/>
      <c r="AP15" s="467"/>
      <c r="AQ15" s="467"/>
      <c r="AR15" s="467"/>
      <c r="AS15" s="467"/>
      <c r="AT15" s="467"/>
      <c r="AU15" s="467"/>
      <c r="AV15" s="467"/>
      <c r="AW15" s="467"/>
      <c r="AX15" s="467"/>
      <c r="AY15" s="486">
        <f>COUNTIF(AI15:AX15,"*OP*")</f>
        <v>0</v>
      </c>
      <c r="AZ15" s="485" t="s">
        <v>59</v>
      </c>
      <c r="BA15" s="471">
        <f>(COUNTIF(AI15:AK15,"*OK*")*3) + (COUNTIF(AL15:AN15,"*OK*")*2) + COUNTIF(AO15:AQ15,"*OK*")+COUNTIF(AZ15:AZ15,"SI")*0.5</f>
        <v>3</v>
      </c>
      <c r="BB15" s="471" t="str">
        <f>IF(BA15&lt;0.6,"Demasiado Riesgo",IF(BA15&lt;=5,"Riesgo Medio",IF(BA15&lt;=11,"Riesgo Bajo","Cliente Blindado")))</f>
        <v>Riesgo Medio</v>
      </c>
      <c r="BC15" s="471"/>
      <c r="BD15" s="471"/>
      <c r="BE15" s="471">
        <v>0</v>
      </c>
      <c r="BF15" s="471"/>
      <c r="BG15" s="471"/>
      <c r="BH15" s="471"/>
      <c r="BI15" s="471"/>
      <c r="BJ15" s="471"/>
      <c r="BK15" s="471"/>
      <c r="BL15" s="471"/>
      <c r="BM15" s="471"/>
      <c r="BN15" s="471"/>
      <c r="BO15" s="471"/>
      <c r="BP15" s="471"/>
      <c r="BQ15" s="471"/>
      <c r="BR15" s="471"/>
      <c r="BS15" s="471"/>
      <c r="BT15" s="471"/>
      <c r="BU15" s="471"/>
      <c r="BV15" s="471"/>
      <c r="BW15" s="471"/>
      <c r="BX15" s="471"/>
      <c r="BY15" s="471"/>
      <c r="BZ15" s="471"/>
      <c r="CA15" s="471">
        <f>COUNTIF(AI15:AW15,"*OK*")</f>
        <v>1</v>
      </c>
      <c r="CB15" s="471"/>
      <c r="CC15" s="471">
        <f>COUNTIF(AI15:AW15,"*OP*")</f>
        <v>0</v>
      </c>
    </row>
    <row r="16" spans="1:81" ht="14.25" customHeight="1">
      <c r="A16" s="488"/>
      <c r="B16" s="489"/>
      <c r="C16" s="451">
        <f>T16</f>
        <v>52.48</v>
      </c>
      <c r="D16" s="450">
        <f>COUNTIF(AI16:AW16,"*OK*")</f>
        <v>0</v>
      </c>
      <c r="E16" s="450"/>
      <c r="F16" s="453" t="s">
        <v>112</v>
      </c>
      <c r="G16" s="453" t="s">
        <v>78</v>
      </c>
      <c r="H16" s="454"/>
      <c r="I16" s="454"/>
      <c r="J16" s="453"/>
      <c r="K16" s="561" t="s">
        <v>79</v>
      </c>
      <c r="L16" s="453" t="s">
        <v>69</v>
      </c>
      <c r="M16" s="453"/>
      <c r="N16" s="456" t="s">
        <v>65</v>
      </c>
      <c r="O16" s="457">
        <v>70.33</v>
      </c>
      <c r="P16" s="457">
        <v>56.42</v>
      </c>
      <c r="Q16" s="457">
        <v>54.78</v>
      </c>
      <c r="R16" s="458">
        <v>56.55</v>
      </c>
      <c r="S16" s="459">
        <v>57.3078</v>
      </c>
      <c r="T16" s="469">
        <v>52.48</v>
      </c>
      <c r="U16" s="461"/>
      <c r="V16" s="462">
        <v>50</v>
      </c>
      <c r="W16" s="463"/>
      <c r="X16" s="465" t="s">
        <v>113</v>
      </c>
      <c r="Y16" s="465" t="s">
        <v>89</v>
      </c>
      <c r="Z16" s="466" t="s">
        <v>114</v>
      </c>
      <c r="AA16" s="462" t="s">
        <v>59</v>
      </c>
      <c r="AB16" s="454" t="s">
        <v>92</v>
      </c>
      <c r="AC16" s="450"/>
      <c r="AD16" s="450"/>
      <c r="AE16" s="450"/>
      <c r="AF16" s="450"/>
      <c r="AG16" s="450"/>
      <c r="AH16" s="466" t="s">
        <v>59</v>
      </c>
      <c r="AI16" s="467"/>
      <c r="AJ16" s="467"/>
      <c r="AK16" s="467"/>
      <c r="AL16" s="467"/>
      <c r="AM16" s="467"/>
      <c r="AN16" s="467"/>
      <c r="AO16" s="467"/>
      <c r="AP16" s="467"/>
      <c r="AQ16" s="467"/>
      <c r="AR16" s="467"/>
      <c r="AS16" s="467"/>
      <c r="AT16" s="467"/>
      <c r="AU16" s="467"/>
      <c r="AV16" s="467"/>
      <c r="AW16" s="467"/>
      <c r="AX16" s="467"/>
      <c r="AY16" s="486">
        <f>COUNTIF(AI16:AX16,"*OP*")</f>
        <v>0</v>
      </c>
      <c r="AZ16" s="499" t="s">
        <v>59</v>
      </c>
      <c r="BA16" s="450">
        <f>(COUNTIF(AI16:AK16,"*OK*")*3) + (COUNTIF(AL16:AN16,"*OK*")*2) + COUNTIF(AO16:AQ16,"*OK*")+COUNTIF(AZ16:AZ16,"SI")*0.5</f>
        <v>0</v>
      </c>
      <c r="BB16" s="450" t="str">
        <f>IF(BA16&lt;0.6,"Demasiado Riesgo",IF(BA16&lt;=5,"Riesgo Medio",IF(BA16&lt;=11,"Riesgo Bajo","Cliente Blindado")))</f>
        <v>Demasiado Riesgo</v>
      </c>
      <c r="BC16" s="450"/>
      <c r="BD16" s="450"/>
      <c r="BE16" s="450">
        <v>0</v>
      </c>
      <c r="BF16" s="450"/>
      <c r="BG16" s="450"/>
      <c r="BH16" s="450"/>
      <c r="BI16" s="450"/>
      <c r="BJ16" s="450"/>
      <c r="BK16" s="450"/>
      <c r="BL16" s="450"/>
      <c r="BM16" s="450"/>
      <c r="BN16" s="450"/>
      <c r="BO16" s="450"/>
      <c r="BP16" s="450"/>
      <c r="BQ16" s="450"/>
      <c r="BR16" s="450"/>
      <c r="BS16" s="450"/>
      <c r="BT16" s="450"/>
      <c r="BU16" s="450"/>
      <c r="BV16" s="450"/>
      <c r="BW16" s="450"/>
      <c r="BX16" s="450"/>
      <c r="BY16" s="450"/>
      <c r="BZ16" s="450"/>
      <c r="CA16" s="450">
        <f>COUNTIF(AI16:AW16,"*OK*")</f>
        <v>0</v>
      </c>
      <c r="CB16" s="450"/>
      <c r="CC16" s="450">
        <f>COUNTIF(AI16:AW16,"*OP*")</f>
        <v>0</v>
      </c>
    </row>
    <row r="17" spans="1:81" ht="14.25" customHeight="1">
      <c r="A17" s="563"/>
      <c r="B17" s="536"/>
      <c r="C17" s="451">
        <f>T17</f>
        <v>70.31</v>
      </c>
      <c r="D17" s="471">
        <f>COUNTIF(AI17:AW17,"*OK*")</f>
        <v>0</v>
      </c>
      <c r="E17" s="471"/>
      <c r="F17" s="472" t="s">
        <v>115</v>
      </c>
      <c r="G17" s="473" t="s">
        <v>116</v>
      </c>
      <c r="H17" s="474"/>
      <c r="I17" s="474"/>
      <c r="J17" s="473"/>
      <c r="K17" s="556" t="s">
        <v>79</v>
      </c>
      <c r="L17" s="473" t="s">
        <v>69</v>
      </c>
      <c r="M17" s="473"/>
      <c r="N17" s="476" t="s">
        <v>117</v>
      </c>
      <c r="O17" s="477">
        <v>101.82</v>
      </c>
      <c r="P17" s="477">
        <v>77.069999999999993</v>
      </c>
      <c r="Q17" s="477">
        <v>67.95</v>
      </c>
      <c r="R17" s="478">
        <v>72.14</v>
      </c>
      <c r="S17" s="459">
        <v>71.084999999999994</v>
      </c>
      <c r="T17" s="487">
        <v>70.31</v>
      </c>
      <c r="U17" s="479"/>
      <c r="V17" s="480">
        <v>100</v>
      </c>
      <c r="W17" s="481"/>
      <c r="X17" s="482" t="s">
        <v>70</v>
      </c>
      <c r="Y17" s="483" t="s">
        <v>108</v>
      </c>
      <c r="Z17" s="484" t="s">
        <v>118</v>
      </c>
      <c r="AA17" s="480" t="s">
        <v>119</v>
      </c>
      <c r="AB17" s="474" t="s">
        <v>92</v>
      </c>
      <c r="AC17" s="471"/>
      <c r="AD17" s="471"/>
      <c r="AE17" s="471"/>
      <c r="AF17" s="471"/>
      <c r="AG17" s="471"/>
      <c r="AH17" s="485" t="s">
        <v>59</v>
      </c>
      <c r="AI17" s="467"/>
      <c r="AJ17" s="467"/>
      <c r="AK17" s="467"/>
      <c r="AL17" s="467"/>
      <c r="AM17" s="467"/>
      <c r="AN17" s="467"/>
      <c r="AO17" s="467"/>
      <c r="AP17" s="467"/>
      <c r="AQ17" s="467"/>
      <c r="AR17" s="467"/>
      <c r="AS17" s="467"/>
      <c r="AT17" s="467"/>
      <c r="AU17" s="467"/>
      <c r="AV17" s="467"/>
      <c r="AW17" s="467"/>
      <c r="AX17" s="467"/>
      <c r="AY17" s="486">
        <f>COUNTIF(AI17:AX17,"*OP*")</f>
        <v>0</v>
      </c>
      <c r="AZ17" s="485" t="s">
        <v>59</v>
      </c>
      <c r="BA17" s="471">
        <f>(COUNTIF(AI17:AK17,"*OK*")*3) + (COUNTIF(AL17:AN17,"*OK*")*2) + COUNTIF(AO17:AQ17,"*OK*")+COUNTIF(AZ17:AZ17,"SI")*0.5</f>
        <v>0</v>
      </c>
      <c r="BB17" s="471" t="str">
        <f>IF(BA17&lt;0.6,"Demasiado Riesgo",IF(BA17&lt;=5,"Riesgo Medio",IF(BA17&lt;=11,"Riesgo Bajo","Cliente Blindado")))</f>
        <v>Demasiado Riesgo</v>
      </c>
      <c r="BC17" s="471"/>
      <c r="BD17" s="471"/>
      <c r="BE17" s="471">
        <v>0</v>
      </c>
      <c r="BF17" s="471"/>
      <c r="BG17" s="471"/>
      <c r="BH17" s="471"/>
      <c r="BI17" s="471"/>
      <c r="BJ17" s="471"/>
      <c r="BK17" s="471"/>
      <c r="BL17" s="471"/>
      <c r="BM17" s="471"/>
      <c r="BN17" s="471"/>
      <c r="BO17" s="471"/>
      <c r="BP17" s="471"/>
      <c r="BQ17" s="471"/>
      <c r="BR17" s="471"/>
      <c r="BS17" s="471"/>
      <c r="BT17" s="471"/>
      <c r="BU17" s="471"/>
      <c r="BV17" s="471"/>
      <c r="BW17" s="471"/>
      <c r="BX17" s="471"/>
      <c r="BY17" s="471"/>
      <c r="BZ17" s="471"/>
      <c r="CA17" s="471">
        <f>COUNTIF(AI17:AW17,"*OK*")</f>
        <v>0</v>
      </c>
      <c r="CB17" s="471"/>
      <c r="CC17" s="471">
        <f>COUNTIF(AI17:AW17,"*OP*")</f>
        <v>0</v>
      </c>
    </row>
    <row r="18" spans="1:81" ht="14.25" customHeight="1">
      <c r="A18" s="488"/>
      <c r="B18" s="489"/>
      <c r="C18" s="451">
        <f>T18</f>
        <v>74.52</v>
      </c>
      <c r="D18" s="450">
        <f>COUNTIF(AI18:AW18,"*OK*")</f>
        <v>0</v>
      </c>
      <c r="E18" s="450"/>
      <c r="F18" s="453" t="s">
        <v>120</v>
      </c>
      <c r="G18" s="453" t="s">
        <v>78</v>
      </c>
      <c r="H18" s="454"/>
      <c r="I18" s="454"/>
      <c r="J18" s="453"/>
      <c r="K18" s="561" t="s">
        <v>79</v>
      </c>
      <c r="L18" s="453" t="s">
        <v>69</v>
      </c>
      <c r="M18" s="453"/>
      <c r="N18" s="456" t="s">
        <v>65</v>
      </c>
      <c r="O18" s="457">
        <v>58.6</v>
      </c>
      <c r="P18" s="457">
        <v>56.42</v>
      </c>
      <c r="Q18" s="457">
        <v>65.94</v>
      </c>
      <c r="R18" s="458">
        <v>72.25</v>
      </c>
      <c r="S18" s="459">
        <v>73.226600000000005</v>
      </c>
      <c r="T18" s="460">
        <v>74.52</v>
      </c>
      <c r="U18" s="461"/>
      <c r="V18" s="462">
        <v>100</v>
      </c>
      <c r="W18" s="463"/>
      <c r="X18" s="562" t="s">
        <v>70</v>
      </c>
      <c r="Y18" s="465" t="s">
        <v>71</v>
      </c>
      <c r="Z18" s="466" t="s">
        <v>121</v>
      </c>
      <c r="AA18" s="462" t="s">
        <v>59</v>
      </c>
      <c r="AB18" s="454" t="s">
        <v>84</v>
      </c>
      <c r="AC18" s="450"/>
      <c r="AD18" s="450"/>
      <c r="AE18" s="450"/>
      <c r="AF18" s="450"/>
      <c r="AG18" s="450"/>
      <c r="AH18" s="466" t="s">
        <v>59</v>
      </c>
      <c r="AI18" s="467"/>
      <c r="AJ18" s="467"/>
      <c r="AK18" s="566"/>
      <c r="AL18" s="467"/>
      <c r="AM18" s="467"/>
      <c r="AN18" s="467"/>
      <c r="AO18" s="467"/>
      <c r="AP18" s="467"/>
      <c r="AQ18" s="467"/>
      <c r="AR18" s="467"/>
      <c r="AS18" s="467"/>
      <c r="AT18" s="467"/>
      <c r="AU18" s="467"/>
      <c r="AV18" s="467"/>
      <c r="AW18" s="467"/>
      <c r="AX18" s="467"/>
      <c r="AY18" s="468">
        <f>COUNTIF(AI18:AX18,"*OP*")</f>
        <v>0</v>
      </c>
      <c r="AZ18" s="466" t="s">
        <v>59</v>
      </c>
      <c r="BA18" s="450">
        <f>(COUNTIF(AI18:AK18,"*OK*")*3) + (COUNTIF(AL18:AN18,"*OK*")*2) + COUNTIF(AO18:AQ18,"*OK*")+COUNTIF(AZ18:AZ18,"SI")*0.5</f>
        <v>0</v>
      </c>
      <c r="BB18" s="450" t="str">
        <f>IF(BA18&lt;0.6,"Demasiado Riesgo",IF(BA18&lt;=5,"Riesgo Medio",IF(BA18&lt;=11,"Riesgo Bajo","Cliente Blindado")))</f>
        <v>Demasiado Riesgo</v>
      </c>
      <c r="BC18" s="450"/>
      <c r="BD18" s="450"/>
      <c r="BE18" s="450">
        <v>0</v>
      </c>
      <c r="BF18" s="450"/>
      <c r="BG18" s="450"/>
      <c r="BH18" s="450"/>
      <c r="BI18" s="450"/>
      <c r="BJ18" s="450"/>
      <c r="BK18" s="450"/>
      <c r="BL18" s="450"/>
      <c r="BM18" s="450"/>
      <c r="BN18" s="450"/>
      <c r="BO18" s="450"/>
      <c r="BP18" s="450"/>
      <c r="BQ18" s="450"/>
      <c r="BR18" s="450"/>
      <c r="BS18" s="450"/>
      <c r="BT18" s="450"/>
      <c r="BU18" s="450"/>
      <c r="BV18" s="450"/>
      <c r="BW18" s="450"/>
      <c r="BX18" s="450"/>
      <c r="BY18" s="450"/>
      <c r="BZ18" s="450"/>
      <c r="CA18" s="450">
        <f>COUNTIF(AI18:AW18,"*OK*")</f>
        <v>0</v>
      </c>
      <c r="CB18" s="450"/>
      <c r="CC18" s="450">
        <f>COUNTIF(AI18:AW18,"*OP*")</f>
        <v>0</v>
      </c>
    </row>
    <row r="19" spans="1:81" ht="14.25" customHeight="1">
      <c r="A19" s="488"/>
      <c r="B19" s="489"/>
      <c r="C19" s="451">
        <f>T19</f>
        <v>122.56</v>
      </c>
      <c r="D19" s="450">
        <f>COUNTIF(AI19:AW19,"*OK*")</f>
        <v>0</v>
      </c>
      <c r="E19" s="450"/>
      <c r="F19" s="453" t="s">
        <v>122</v>
      </c>
      <c r="G19" s="453" t="s">
        <v>123</v>
      </c>
      <c r="H19" s="454"/>
      <c r="I19" s="454"/>
      <c r="J19" s="453"/>
      <c r="K19" s="561" t="s">
        <v>79</v>
      </c>
      <c r="L19" s="453" t="s">
        <v>69</v>
      </c>
      <c r="M19" s="453"/>
      <c r="N19" s="456" t="s">
        <v>65</v>
      </c>
      <c r="O19" s="457">
        <v>116.59</v>
      </c>
      <c r="P19" s="457">
        <v>119.09</v>
      </c>
      <c r="Q19" s="457">
        <v>117.63</v>
      </c>
      <c r="R19" s="458">
        <v>125.69</v>
      </c>
      <c r="S19" s="459">
        <v>125.6521</v>
      </c>
      <c r="T19" s="469">
        <v>122.56</v>
      </c>
      <c r="U19" s="461"/>
      <c r="V19" s="462">
        <v>100</v>
      </c>
      <c r="W19" s="463"/>
      <c r="X19" s="465" t="s">
        <v>124</v>
      </c>
      <c r="Y19" s="465" t="s">
        <v>125</v>
      </c>
      <c r="Z19" s="466" t="s">
        <v>126</v>
      </c>
      <c r="AA19" s="462" t="s">
        <v>59</v>
      </c>
      <c r="AB19" s="454" t="s">
        <v>97</v>
      </c>
      <c r="AC19" s="450"/>
      <c r="AD19" s="450"/>
      <c r="AE19" s="450"/>
      <c r="AF19" s="450"/>
      <c r="AG19" s="450"/>
      <c r="AH19" s="466" t="s">
        <v>127</v>
      </c>
      <c r="AI19" s="467"/>
      <c r="AJ19" s="467"/>
      <c r="AK19" s="566"/>
      <c r="AL19" s="467"/>
      <c r="AM19" s="467"/>
      <c r="AN19" s="467"/>
      <c r="AO19" s="467"/>
      <c r="AP19" s="467"/>
      <c r="AQ19" s="467"/>
      <c r="AR19" s="467"/>
      <c r="AS19" s="467"/>
      <c r="AT19" s="467"/>
      <c r="AU19" s="467"/>
      <c r="AV19" s="467"/>
      <c r="AW19" s="467"/>
      <c r="AX19" s="467"/>
      <c r="AY19" s="468">
        <f>COUNTIF(AI19:AX19,"*OP*")</f>
        <v>0</v>
      </c>
      <c r="AZ19" s="466" t="s">
        <v>59</v>
      </c>
      <c r="BA19" s="450">
        <f>(COUNTIF(AI19:AK19,"*OK*")*3) + (COUNTIF(AL19:AN19,"*OK*")*2) + COUNTIF(AO19:AQ19,"*OK*")+COUNTIF(AZ19:AZ19,"SI")*0.5</f>
        <v>0</v>
      </c>
      <c r="BB19" s="450" t="str">
        <f>IF(BA19&lt;0.6,"Demasiado Riesgo",IF(BA19&lt;=5,"Riesgo Medio",IF(BA19&lt;=11,"Riesgo Bajo","Cliente Blindado")))</f>
        <v>Demasiado Riesgo</v>
      </c>
      <c r="BC19" s="450"/>
      <c r="BD19" s="450"/>
      <c r="BE19" s="450">
        <v>0</v>
      </c>
      <c r="BF19" s="450"/>
      <c r="BG19" s="450"/>
      <c r="BH19" s="450"/>
      <c r="BI19" s="450"/>
      <c r="BJ19" s="450"/>
      <c r="BK19" s="450"/>
      <c r="BL19" s="450"/>
      <c r="BM19" s="450"/>
      <c r="BN19" s="450"/>
      <c r="BO19" s="450"/>
      <c r="BP19" s="450"/>
      <c r="BQ19" s="450"/>
      <c r="BR19" s="450"/>
      <c r="BS19" s="450"/>
      <c r="BT19" s="450"/>
      <c r="BU19" s="450"/>
      <c r="BV19" s="450"/>
      <c r="BW19" s="450"/>
      <c r="BX19" s="450"/>
      <c r="BY19" s="450"/>
      <c r="BZ19" s="450"/>
      <c r="CA19" s="450">
        <f>COUNTIF(AI19:AW19,"*OK*")</f>
        <v>0</v>
      </c>
      <c r="CB19" s="450"/>
      <c r="CC19" s="450">
        <f>COUNTIF(AI19:AW19,"*OP*")</f>
        <v>0</v>
      </c>
    </row>
    <row r="20" spans="1:81" ht="14.25" customHeight="1">
      <c r="A20" s="470">
        <v>21657</v>
      </c>
      <c r="B20" s="471" t="s">
        <v>128</v>
      </c>
      <c r="C20" s="451">
        <f>T20</f>
        <v>123.46</v>
      </c>
      <c r="D20" s="471">
        <f>COUNTIF(AI20:AW20,"*OK*")</f>
        <v>0</v>
      </c>
      <c r="E20" s="471"/>
      <c r="F20" s="473" t="s">
        <v>129</v>
      </c>
      <c r="G20" s="473"/>
      <c r="H20" s="474"/>
      <c r="I20" s="474"/>
      <c r="J20" s="473"/>
      <c r="K20" s="556" t="s">
        <v>68</v>
      </c>
      <c r="L20" s="473" t="s">
        <v>69</v>
      </c>
      <c r="M20" s="473"/>
      <c r="N20" s="476" t="s">
        <v>65</v>
      </c>
      <c r="O20" s="477">
        <v>142.57</v>
      </c>
      <c r="P20" s="477">
        <v>136.18</v>
      </c>
      <c r="Q20" s="477">
        <v>132.76</v>
      </c>
      <c r="R20" s="478">
        <v>124.71</v>
      </c>
      <c r="S20" s="459">
        <v>124.8317</v>
      </c>
      <c r="T20" s="487">
        <v>123.46</v>
      </c>
      <c r="U20" s="479"/>
      <c r="V20" s="480">
        <v>100</v>
      </c>
      <c r="W20" s="481" t="s">
        <v>130</v>
      </c>
      <c r="X20" s="482" t="s">
        <v>70</v>
      </c>
      <c r="Y20" s="483" t="s">
        <v>125</v>
      </c>
      <c r="Z20" s="484" t="s">
        <v>131</v>
      </c>
      <c r="AA20" s="480" t="s">
        <v>132</v>
      </c>
      <c r="AB20" s="474"/>
      <c r="AC20" s="471"/>
      <c r="AD20" s="471"/>
      <c r="AE20" s="471"/>
      <c r="AF20" s="471"/>
      <c r="AG20" s="471"/>
      <c r="AH20" s="484" t="s">
        <v>59</v>
      </c>
      <c r="AI20" s="467"/>
      <c r="AJ20" s="467"/>
      <c r="AK20" s="467"/>
      <c r="AL20" s="467"/>
      <c r="AM20" s="467"/>
      <c r="AN20" s="467"/>
      <c r="AO20" s="467"/>
      <c r="AP20" s="467"/>
      <c r="AQ20" s="467"/>
      <c r="AR20" s="467"/>
      <c r="AS20" s="467"/>
      <c r="AT20" s="467"/>
      <c r="AU20" s="467"/>
      <c r="AV20" s="467"/>
      <c r="AW20" s="467"/>
      <c r="AX20" s="467"/>
      <c r="AY20" s="468">
        <f>COUNTIF(AI20:AX20,"*OP*")</f>
        <v>0</v>
      </c>
      <c r="AZ20" s="484" t="s">
        <v>59</v>
      </c>
      <c r="BA20" s="471">
        <f>(COUNTIF(AI20:AK20,"*OK*")*3) + (COUNTIF(AL20:AN20,"*OK*")*2) + COUNTIF(AO20:AQ20,"*OK*")+COUNTIF(AZ20:AZ20,"SI")*0.5</f>
        <v>0</v>
      </c>
      <c r="BB20" s="471" t="str">
        <f>IF(BA20&lt;0.6,"Demasiado Riesgo",IF(BA20&lt;=5,"Riesgo Medio",IF(BA20&lt;=11,"Riesgo Bajo","Cliente Blindado")))</f>
        <v>Demasiado Riesgo</v>
      </c>
      <c r="BC20" s="471"/>
      <c r="BD20" s="471"/>
      <c r="BE20" s="471">
        <v>0</v>
      </c>
      <c r="BF20" s="471"/>
      <c r="BG20" s="471"/>
      <c r="BH20" s="471"/>
      <c r="BI20" s="471"/>
      <c r="BJ20" s="471"/>
      <c r="BK20" s="471"/>
      <c r="BL20" s="471"/>
      <c r="BM20" s="471"/>
      <c r="BN20" s="471"/>
      <c r="BO20" s="471"/>
      <c r="BP20" s="471"/>
      <c r="BQ20" s="471"/>
      <c r="BR20" s="471"/>
      <c r="BS20" s="471"/>
      <c r="BT20" s="471"/>
      <c r="BU20" s="471"/>
      <c r="BV20" s="471"/>
      <c r="BW20" s="471"/>
      <c r="BX20" s="471"/>
      <c r="BY20" s="471"/>
      <c r="BZ20" s="471"/>
      <c r="CA20" s="471">
        <f>COUNTIF(AI20:AW20,"*OK*")</f>
        <v>0</v>
      </c>
      <c r="CB20" s="471"/>
      <c r="CC20" s="471">
        <f>COUNTIF(AI20:AW20,"*OP*")</f>
        <v>0</v>
      </c>
    </row>
    <row r="21" spans="1:81" ht="14.25" customHeight="1">
      <c r="A21" s="563">
        <v>24113</v>
      </c>
      <c r="B21" s="536" t="s">
        <v>133</v>
      </c>
      <c r="C21" s="451">
        <f>T21</f>
        <v>136.83000000000001</v>
      </c>
      <c r="D21" s="471">
        <f>COUNTIF(AI21:AW21,"*OK*")</f>
        <v>0</v>
      </c>
      <c r="E21" s="471"/>
      <c r="F21" s="473" t="s">
        <v>134</v>
      </c>
      <c r="G21" s="473" t="s">
        <v>134</v>
      </c>
      <c r="H21" s="474"/>
      <c r="I21" s="474"/>
      <c r="J21" s="473"/>
      <c r="K21" s="475" t="s">
        <v>68</v>
      </c>
      <c r="L21" s="473" t="s">
        <v>69</v>
      </c>
      <c r="M21" s="473"/>
      <c r="N21" s="476" t="s">
        <v>135</v>
      </c>
      <c r="O21" s="477">
        <v>232.71</v>
      </c>
      <c r="P21" s="477">
        <v>170.86</v>
      </c>
      <c r="Q21" s="477">
        <v>176.91</v>
      </c>
      <c r="R21" s="478">
        <v>178.17</v>
      </c>
      <c r="S21" s="459">
        <v>156.31120000000001</v>
      </c>
      <c r="T21" s="487">
        <v>136.83000000000001</v>
      </c>
      <c r="U21" s="479"/>
      <c r="V21" s="480">
        <v>200</v>
      </c>
      <c r="W21" s="481" t="s">
        <v>70</v>
      </c>
      <c r="X21" s="482" t="s">
        <v>70</v>
      </c>
      <c r="Y21" s="483" t="s">
        <v>108</v>
      </c>
      <c r="Z21" s="484" t="s">
        <v>136</v>
      </c>
      <c r="AA21" s="480" t="s">
        <v>108</v>
      </c>
      <c r="AB21" s="474" t="s">
        <v>137</v>
      </c>
      <c r="AC21" s="471"/>
      <c r="AD21" s="471"/>
      <c r="AE21" s="471"/>
      <c r="AF21" s="471"/>
      <c r="AG21" s="471"/>
      <c r="AH21" s="485" t="s">
        <v>127</v>
      </c>
      <c r="AI21" s="467"/>
      <c r="AJ21" s="467"/>
      <c r="AK21" s="467"/>
      <c r="AL21" s="467"/>
      <c r="AM21" s="467"/>
      <c r="AN21" s="467"/>
      <c r="AO21" s="467"/>
      <c r="AP21" s="467"/>
      <c r="AQ21" s="467"/>
      <c r="AR21" s="467"/>
      <c r="AS21" s="467"/>
      <c r="AT21" s="467"/>
      <c r="AU21" s="467"/>
      <c r="AV21" s="467"/>
      <c r="AW21" s="467"/>
      <c r="AX21" s="467"/>
      <c r="AY21" s="486">
        <f>COUNTIF(AI21:AX21,"*OP*")</f>
        <v>0</v>
      </c>
      <c r="AZ21" s="485" t="s">
        <v>59</v>
      </c>
      <c r="BA21" s="471">
        <f>(COUNTIF(AI21:AK21,"*OK*")*3) + (COUNTIF(AL21:AN21,"*OK*")*2) + COUNTIF(AO21:AQ21,"*OK*")+COUNTIF(AZ21:AZ21,"SI")*0.5</f>
        <v>0</v>
      </c>
      <c r="BB21" s="471" t="str">
        <f>IF(BA21&lt;0.6,"Demasiado Riesgo",IF(BA21&lt;=5,"Riesgo Medio",IF(BA21&lt;=11,"Riesgo Bajo","Cliente Blindado")))</f>
        <v>Demasiado Riesgo</v>
      </c>
      <c r="BC21" s="471"/>
      <c r="BD21" s="471"/>
      <c r="BE21" s="471">
        <v>0</v>
      </c>
      <c r="BF21" s="471"/>
      <c r="BG21" s="471"/>
      <c r="BH21" s="471"/>
      <c r="BI21" s="471"/>
      <c r="BJ21" s="471"/>
      <c r="BK21" s="471"/>
      <c r="BL21" s="471"/>
      <c r="BM21" s="471"/>
      <c r="BN21" s="471"/>
      <c r="BO21" s="471"/>
      <c r="BP21" s="471"/>
      <c r="BQ21" s="471"/>
      <c r="BR21" s="471"/>
      <c r="BS21" s="471"/>
      <c r="BT21" s="471"/>
      <c r="BU21" s="471"/>
      <c r="BV21" s="471"/>
      <c r="BW21" s="471"/>
      <c r="BX21" s="471"/>
      <c r="BY21" s="471"/>
      <c r="BZ21" s="471"/>
      <c r="CA21" s="471">
        <f>COUNTIF(AI21:AW21,"*OK*")</f>
        <v>0</v>
      </c>
      <c r="CB21" s="471"/>
      <c r="CC21" s="471">
        <f>COUNTIF(AI21:AW21,"*OP*")</f>
        <v>0</v>
      </c>
    </row>
    <row r="22" spans="1:81" ht="14.25" customHeight="1">
      <c r="A22" s="488"/>
      <c r="B22" s="489"/>
      <c r="C22" s="451">
        <f>T22</f>
        <v>140.09</v>
      </c>
      <c r="D22" s="450">
        <f>COUNTIF(AI22:AW22,"*OK*")</f>
        <v>0</v>
      </c>
      <c r="E22" s="450"/>
      <c r="F22" s="453" t="s">
        <v>138</v>
      </c>
      <c r="G22" s="453" t="s">
        <v>116</v>
      </c>
      <c r="H22" s="454"/>
      <c r="I22" s="454"/>
      <c r="J22" s="453"/>
      <c r="K22" s="552" t="s">
        <v>79</v>
      </c>
      <c r="L22" s="453" t="s">
        <v>69</v>
      </c>
      <c r="M22" s="453"/>
      <c r="N22" s="456" t="s">
        <v>117</v>
      </c>
      <c r="O22" s="457">
        <v>156.43</v>
      </c>
      <c r="P22" s="457">
        <v>150.09</v>
      </c>
      <c r="Q22" s="457">
        <v>150.87</v>
      </c>
      <c r="R22" s="458">
        <v>159.72</v>
      </c>
      <c r="S22" s="459">
        <v>159.84219999999999</v>
      </c>
      <c r="T22" s="487">
        <v>140.09</v>
      </c>
      <c r="U22" s="461"/>
      <c r="V22" s="462">
        <v>100</v>
      </c>
      <c r="W22" s="463"/>
      <c r="X22" s="562" t="s">
        <v>70</v>
      </c>
      <c r="Y22" s="465" t="s">
        <v>139</v>
      </c>
      <c r="Z22" s="466" t="s">
        <v>140</v>
      </c>
      <c r="AA22" s="462" t="s">
        <v>59</v>
      </c>
      <c r="AB22" s="454" t="s">
        <v>92</v>
      </c>
      <c r="AC22" s="450"/>
      <c r="AD22" s="450"/>
      <c r="AE22" s="450"/>
      <c r="AF22" s="450"/>
      <c r="AG22" s="450"/>
      <c r="AH22" s="496" t="s">
        <v>59</v>
      </c>
      <c r="AI22" s="467"/>
      <c r="AJ22" s="467"/>
      <c r="AK22" s="467"/>
      <c r="AL22" s="467"/>
      <c r="AM22" s="467"/>
      <c r="AN22" s="467"/>
      <c r="AO22" s="467"/>
      <c r="AP22" s="467"/>
      <c r="AQ22" s="467"/>
      <c r="AR22" s="467"/>
      <c r="AS22" s="467"/>
      <c r="AT22" s="467"/>
      <c r="AU22" s="467"/>
      <c r="AV22" s="467"/>
      <c r="AW22" s="467"/>
      <c r="AX22" s="467"/>
      <c r="AY22" s="486">
        <f>COUNTIF(AI22:AX22,"*OP*")</f>
        <v>0</v>
      </c>
      <c r="AZ22" s="499" t="s">
        <v>59</v>
      </c>
      <c r="BA22" s="450">
        <f>(COUNTIF(AI22:AK22,"*OK*")*3) + (COUNTIF(AL22:AN22,"*OK*")*2) + COUNTIF(AO22:AQ22,"*OK*")+COUNTIF(AZ22:AZ22,"SI")*0.5</f>
        <v>0</v>
      </c>
      <c r="BB22" s="450" t="str">
        <f>IF(BA22&lt;0.6,"Demasiado Riesgo",IF(BA22&lt;=5,"Riesgo Medio",IF(BA22&lt;=11,"Riesgo Bajo","Cliente Blindado")))</f>
        <v>Demasiado Riesgo</v>
      </c>
      <c r="BC22" s="450"/>
      <c r="BD22" s="450"/>
      <c r="BE22" s="450">
        <v>0</v>
      </c>
      <c r="BF22" s="450"/>
      <c r="BG22" s="450"/>
      <c r="BH22" s="450"/>
      <c r="BI22" s="450"/>
      <c r="BJ22" s="450"/>
      <c r="BK22" s="450"/>
      <c r="BL22" s="450"/>
      <c r="BM22" s="450"/>
      <c r="BN22" s="450"/>
      <c r="BO22" s="450"/>
      <c r="BP22" s="450"/>
      <c r="BQ22" s="450"/>
      <c r="BR22" s="450"/>
      <c r="BS22" s="450"/>
      <c r="BT22" s="450"/>
      <c r="BU22" s="450"/>
      <c r="BV22" s="450"/>
      <c r="BW22" s="450"/>
      <c r="BX22" s="450"/>
      <c r="BY22" s="450"/>
      <c r="BZ22" s="450"/>
      <c r="CA22" s="450">
        <f>COUNTIF(AI22:AW22,"*OK*")</f>
        <v>0</v>
      </c>
      <c r="CB22" s="450"/>
      <c r="CC22" s="450">
        <f>COUNTIF(AI22:AW22,"*OP*")</f>
        <v>0</v>
      </c>
    </row>
    <row r="23" spans="1:81" ht="14.25" customHeight="1">
      <c r="A23" s="563">
        <v>25875</v>
      </c>
      <c r="B23" s="536" t="s">
        <v>141</v>
      </c>
      <c r="C23" s="451">
        <f>T23</f>
        <v>153.43</v>
      </c>
      <c r="D23" s="471">
        <f>COUNTIF(AI23:AW23,"*OK*")</f>
        <v>0</v>
      </c>
      <c r="E23" s="471"/>
      <c r="F23" s="473" t="s">
        <v>142</v>
      </c>
      <c r="G23" s="473"/>
      <c r="H23" s="474"/>
      <c r="I23" s="474"/>
      <c r="J23" s="473"/>
      <c r="K23" s="475" t="s">
        <v>68</v>
      </c>
      <c r="L23" s="473" t="s">
        <v>69</v>
      </c>
      <c r="M23" s="473"/>
      <c r="N23" s="476" t="s">
        <v>65</v>
      </c>
      <c r="O23" s="477">
        <v>163.43</v>
      </c>
      <c r="P23" s="477">
        <v>162.19</v>
      </c>
      <c r="Q23" s="477">
        <v>154.56</v>
      </c>
      <c r="R23" s="478">
        <v>160.61000000000001</v>
      </c>
      <c r="S23" s="459">
        <v>158.40539999999999</v>
      </c>
      <c r="T23" s="487">
        <v>153.43</v>
      </c>
      <c r="U23" s="479"/>
      <c r="V23" s="480">
        <v>150</v>
      </c>
      <c r="W23" s="481" t="s">
        <v>143</v>
      </c>
      <c r="X23" s="482" t="s">
        <v>70</v>
      </c>
      <c r="Y23" s="483" t="s">
        <v>125</v>
      </c>
      <c r="Z23" s="484" t="s">
        <v>144</v>
      </c>
      <c r="AA23" s="480" t="s">
        <v>145</v>
      </c>
      <c r="AB23" s="474" t="s">
        <v>84</v>
      </c>
      <c r="AC23" s="471"/>
      <c r="AD23" s="471"/>
      <c r="AE23" s="471"/>
      <c r="AF23" s="471"/>
      <c r="AG23" s="471"/>
      <c r="AH23" s="494" t="s">
        <v>59</v>
      </c>
      <c r="AI23" s="467"/>
      <c r="AJ23" s="467"/>
      <c r="AK23" s="467"/>
      <c r="AL23" s="467"/>
      <c r="AM23" s="467"/>
      <c r="AN23" s="467"/>
      <c r="AO23" s="467"/>
      <c r="AP23" s="467"/>
      <c r="AQ23" s="467"/>
      <c r="AR23" s="467"/>
      <c r="AS23" s="467"/>
      <c r="AT23" s="467"/>
      <c r="AU23" s="467"/>
      <c r="AV23" s="467"/>
      <c r="AW23" s="467"/>
      <c r="AX23" s="467"/>
      <c r="AY23" s="486">
        <f>COUNTIF(AI23:AX23,"*OP*")</f>
        <v>0</v>
      </c>
      <c r="AZ23" s="485" t="s">
        <v>59</v>
      </c>
      <c r="BA23" s="471">
        <f>(COUNTIF(AI23:AK23,"*OK*")*3) + (COUNTIF(AL23:AN23,"*OK*")*2) + COUNTIF(AO23:AQ23,"*OK*")+COUNTIF(AZ23:AZ23,"SI")*0.5</f>
        <v>0</v>
      </c>
      <c r="BB23" s="471" t="str">
        <f>IF(BA23&lt;0.6,"Demasiado Riesgo",IF(BA23&lt;=5,"Riesgo Medio",IF(BA23&lt;=11,"Riesgo Bajo","Cliente Blindado")))</f>
        <v>Demasiado Riesgo</v>
      </c>
      <c r="BC23" s="471"/>
      <c r="BD23" s="450"/>
      <c r="BE23" s="450">
        <v>0</v>
      </c>
      <c r="BF23" s="450"/>
      <c r="BG23" s="450"/>
      <c r="BH23" s="450"/>
      <c r="BI23" s="450"/>
      <c r="BJ23" s="450"/>
      <c r="BK23" s="450"/>
      <c r="BL23" s="450"/>
      <c r="BM23" s="450"/>
      <c r="BN23" s="450"/>
      <c r="BO23" s="450"/>
      <c r="BP23" s="450"/>
      <c r="BQ23" s="450"/>
      <c r="BR23" s="450"/>
      <c r="BS23" s="450"/>
      <c r="BT23" s="450"/>
      <c r="BU23" s="450"/>
      <c r="BV23" s="450"/>
      <c r="BW23" s="450"/>
      <c r="BX23" s="450"/>
      <c r="BY23" s="450"/>
      <c r="BZ23" s="450"/>
      <c r="CA23" s="450">
        <f>COUNTIF(AI23:AW23,"*OK*")</f>
        <v>0</v>
      </c>
      <c r="CB23" s="450"/>
      <c r="CC23" s="450">
        <f>COUNTIF(AI23:AW23,"*OP*")</f>
        <v>0</v>
      </c>
    </row>
    <row r="24" spans="1:81" ht="14.25" customHeight="1">
      <c r="A24" s="470"/>
      <c r="B24" s="471"/>
      <c r="C24" s="451">
        <f>T24</f>
        <v>155.59</v>
      </c>
      <c r="D24" s="471">
        <f>COUNTIF(AI24:AW24,"*OK*")</f>
        <v>0</v>
      </c>
      <c r="E24" s="471"/>
      <c r="F24" s="473" t="s">
        <v>146</v>
      </c>
      <c r="G24" s="473" t="s">
        <v>63</v>
      </c>
      <c r="H24" s="474"/>
      <c r="I24" s="474"/>
      <c r="J24" s="473"/>
      <c r="K24" s="556" t="s">
        <v>68</v>
      </c>
      <c r="L24" s="473" t="s">
        <v>69</v>
      </c>
      <c r="M24" s="473"/>
      <c r="N24" s="476" t="s">
        <v>65</v>
      </c>
      <c r="O24" s="477">
        <v>74.59</v>
      </c>
      <c r="P24" s="477">
        <v>72.33</v>
      </c>
      <c r="Q24" s="477">
        <v>64.75</v>
      </c>
      <c r="R24" s="478">
        <v>60.37</v>
      </c>
      <c r="S24" s="459">
        <v>58.992400000000004</v>
      </c>
      <c r="T24" s="460">
        <v>155.59</v>
      </c>
      <c r="U24" s="479"/>
      <c r="V24" s="480">
        <v>100</v>
      </c>
      <c r="W24" s="481"/>
      <c r="X24" s="483" t="s">
        <v>147</v>
      </c>
      <c r="Y24" s="483" t="s">
        <v>89</v>
      </c>
      <c r="Z24" s="484" t="s">
        <v>148</v>
      </c>
      <c r="AA24" s="480" t="s">
        <v>59</v>
      </c>
      <c r="AB24" s="474"/>
      <c r="AC24" s="471"/>
      <c r="AD24" s="471"/>
      <c r="AE24" s="471"/>
      <c r="AF24" s="471"/>
      <c r="AG24" s="471"/>
      <c r="AH24" s="494" t="s">
        <v>59</v>
      </c>
      <c r="AI24" s="486"/>
      <c r="AJ24" s="486"/>
      <c r="AK24" s="486"/>
      <c r="AL24" s="486"/>
      <c r="AM24" s="486"/>
      <c r="AN24" s="486"/>
      <c r="AO24" s="486"/>
      <c r="AP24" s="486"/>
      <c r="AQ24" s="486"/>
      <c r="AR24" s="486"/>
      <c r="AS24" s="486"/>
      <c r="AT24" s="486"/>
      <c r="AU24" s="486"/>
      <c r="AV24" s="486"/>
      <c r="AW24" s="486"/>
      <c r="AX24" s="486"/>
      <c r="AY24" s="486">
        <f>COUNTIF(AI24:AX24,"*OP*")</f>
        <v>0</v>
      </c>
      <c r="AZ24" s="485" t="s">
        <v>59</v>
      </c>
      <c r="BA24" s="471">
        <f>(COUNTIF(AI24:AK24,"*OK*")*3) + (COUNTIF(AL24:AN24,"*OK*")*2) + COUNTIF(AO24:AQ24,"*OK*")+COUNTIF(AZ24:AZ24,"SI")*0.5</f>
        <v>0</v>
      </c>
      <c r="BB24" s="471" t="str">
        <f>IF(BA24&lt;0.6,"Demasiado Riesgo",IF(BA24&lt;=5,"Riesgo Medio",IF(BA24&lt;=11,"Riesgo Bajo","Cliente Blindado")))</f>
        <v>Demasiado Riesgo</v>
      </c>
      <c r="BC24" s="471"/>
      <c r="BD24" s="471"/>
      <c r="BE24" s="471">
        <v>0</v>
      </c>
      <c r="BF24" s="471"/>
      <c r="BG24" s="471"/>
      <c r="BH24" s="471"/>
      <c r="BI24" s="471"/>
      <c r="BJ24" s="471"/>
      <c r="BK24" s="471"/>
      <c r="BL24" s="471"/>
      <c r="BM24" s="471"/>
      <c r="BN24" s="471"/>
      <c r="BO24" s="471"/>
      <c r="BP24" s="471"/>
      <c r="BQ24" s="471"/>
      <c r="BR24" s="471"/>
      <c r="BS24" s="471"/>
      <c r="BT24" s="471"/>
      <c r="BU24" s="471"/>
      <c r="BV24" s="471"/>
      <c r="BW24" s="471"/>
      <c r="BX24" s="471"/>
      <c r="BY24" s="471"/>
      <c r="BZ24" s="471"/>
      <c r="CA24" s="471">
        <f>COUNTIF(AI24:AW24,"*OK*")</f>
        <v>0</v>
      </c>
      <c r="CB24" s="471"/>
      <c r="CC24" s="471">
        <f>COUNTIF(AI24:AW24,"*OP*")</f>
        <v>0</v>
      </c>
    </row>
    <row r="25" spans="1:81" ht="14.25" customHeight="1">
      <c r="A25" s="449"/>
      <c r="B25" s="450"/>
      <c r="C25" s="451">
        <f>T25</f>
        <v>159.96</v>
      </c>
      <c r="D25" s="450">
        <f>COUNTIF(AI25:AW25,"*OK*")</f>
        <v>0</v>
      </c>
      <c r="E25" s="450"/>
      <c r="F25" s="453" t="s">
        <v>149</v>
      </c>
      <c r="G25" s="453" t="s">
        <v>94</v>
      </c>
      <c r="H25" s="454"/>
      <c r="I25" s="454"/>
      <c r="J25" s="453"/>
      <c r="K25" s="552" t="s">
        <v>68</v>
      </c>
      <c r="L25" s="453" t="s">
        <v>69</v>
      </c>
      <c r="M25" s="453"/>
      <c r="N25" s="456" t="s">
        <v>65</v>
      </c>
      <c r="O25" s="457">
        <v>148.86000000000001</v>
      </c>
      <c r="P25" s="457">
        <v>154.13</v>
      </c>
      <c r="Q25" s="457">
        <v>154.61000000000001</v>
      </c>
      <c r="R25" s="458">
        <v>146.29</v>
      </c>
      <c r="S25" s="459">
        <v>156.34469999999999</v>
      </c>
      <c r="T25" s="460">
        <v>159.96</v>
      </c>
      <c r="U25" s="461"/>
      <c r="V25" s="462">
        <v>100</v>
      </c>
      <c r="W25" s="463"/>
      <c r="X25" s="562" t="s">
        <v>70</v>
      </c>
      <c r="Y25" s="465" t="s">
        <v>150</v>
      </c>
      <c r="Z25" s="466" t="s">
        <v>151</v>
      </c>
      <c r="AA25" s="462" t="s">
        <v>59</v>
      </c>
      <c r="AB25" s="454" t="s">
        <v>97</v>
      </c>
      <c r="AC25" s="450"/>
      <c r="AD25" s="450"/>
      <c r="AE25" s="450"/>
      <c r="AF25" s="450"/>
      <c r="AG25" s="450"/>
      <c r="AH25" s="466" t="s">
        <v>59</v>
      </c>
      <c r="AI25" s="467"/>
      <c r="AJ25" s="467"/>
      <c r="AK25" s="467"/>
      <c r="AL25" s="467"/>
      <c r="AM25" s="467"/>
      <c r="AN25" s="467"/>
      <c r="AO25" s="467"/>
      <c r="AP25" s="467"/>
      <c r="AQ25" s="467"/>
      <c r="AR25" s="467"/>
      <c r="AS25" s="467"/>
      <c r="AT25" s="467"/>
      <c r="AU25" s="467"/>
      <c r="AV25" s="467"/>
      <c r="AW25" s="467"/>
      <c r="AX25" s="467"/>
      <c r="AY25" s="486">
        <f>COUNTIF(AI25:AX25,"*OP*")</f>
        <v>0</v>
      </c>
      <c r="AZ25" s="499" t="s">
        <v>59</v>
      </c>
      <c r="BA25" s="450">
        <f>(COUNTIF(AI25:AK25,"*OK*")*3) + (COUNTIF(AL25:AN25,"*OK*")*2) + COUNTIF(AO25:AQ25,"*OK*")+COUNTIF(AZ25:AZ25,"SI")*0.5</f>
        <v>0</v>
      </c>
      <c r="BB25" s="450" t="str">
        <f>IF(BA25&lt;0.6,"Demasiado Riesgo",IF(BA25&lt;=5,"Riesgo Medio",IF(BA25&lt;=11,"Riesgo Bajo","Cliente Blindado")))</f>
        <v>Demasiado Riesgo</v>
      </c>
      <c r="BC25" s="450"/>
      <c r="BD25" s="450"/>
      <c r="BE25" s="450">
        <v>0</v>
      </c>
      <c r="BF25" s="450"/>
      <c r="BG25" s="450"/>
      <c r="BH25" s="450"/>
      <c r="BI25" s="450"/>
      <c r="BJ25" s="450"/>
      <c r="BK25" s="450"/>
      <c r="BL25" s="450"/>
      <c r="BM25" s="450"/>
      <c r="BN25" s="450"/>
      <c r="BO25" s="450"/>
      <c r="BP25" s="450"/>
      <c r="BQ25" s="450"/>
      <c r="BR25" s="450"/>
      <c r="BS25" s="450"/>
      <c r="BT25" s="450"/>
      <c r="BU25" s="450"/>
      <c r="BV25" s="450"/>
      <c r="BW25" s="450"/>
      <c r="BX25" s="450"/>
      <c r="BY25" s="450"/>
      <c r="BZ25" s="450"/>
      <c r="CA25" s="450">
        <f>COUNTIF(AI25:AW25,"*OK*")</f>
        <v>0</v>
      </c>
      <c r="CB25" s="450"/>
      <c r="CC25" s="450">
        <f>COUNTIF(AI25:AW25,"*OP*")</f>
        <v>0</v>
      </c>
    </row>
    <row r="26" spans="1:81" ht="14.25" customHeight="1">
      <c r="A26" s="488"/>
      <c r="B26" s="489"/>
      <c r="C26" s="451">
        <f>T26</f>
        <v>174.84</v>
      </c>
      <c r="D26" s="450">
        <f>COUNTIF(AI26:AW26,"*OK*")</f>
        <v>0</v>
      </c>
      <c r="E26" s="450"/>
      <c r="F26" s="453" t="s">
        <v>152</v>
      </c>
      <c r="G26" s="453" t="s">
        <v>123</v>
      </c>
      <c r="H26" s="454"/>
      <c r="I26" s="454"/>
      <c r="J26" s="453"/>
      <c r="K26" s="561" t="s">
        <v>79</v>
      </c>
      <c r="L26" s="453" t="s">
        <v>69</v>
      </c>
      <c r="M26" s="453"/>
      <c r="N26" s="456" t="s">
        <v>65</v>
      </c>
      <c r="O26" s="457">
        <v>176.62</v>
      </c>
      <c r="P26" s="457">
        <v>181.68</v>
      </c>
      <c r="Q26" s="457">
        <v>178.11</v>
      </c>
      <c r="R26" s="458">
        <v>183.84</v>
      </c>
      <c r="S26" s="459">
        <v>183.71199999999999</v>
      </c>
      <c r="T26" s="469">
        <v>174.84</v>
      </c>
      <c r="U26" s="461"/>
      <c r="V26" s="462">
        <v>150</v>
      </c>
      <c r="W26" s="463"/>
      <c r="X26" s="465" t="s">
        <v>124</v>
      </c>
      <c r="Y26" s="465" t="s">
        <v>125</v>
      </c>
      <c r="Z26" s="466" t="s">
        <v>153</v>
      </c>
      <c r="AA26" s="462" t="s">
        <v>59</v>
      </c>
      <c r="AB26" s="454" t="s">
        <v>92</v>
      </c>
      <c r="AC26" s="450"/>
      <c r="AD26" s="450"/>
      <c r="AE26" s="450"/>
      <c r="AF26" s="450"/>
      <c r="AG26" s="450"/>
      <c r="AH26" s="499" t="s">
        <v>59</v>
      </c>
      <c r="AI26" s="467"/>
      <c r="AJ26" s="467"/>
      <c r="AK26" s="467"/>
      <c r="AL26" s="467"/>
      <c r="AM26" s="467"/>
      <c r="AN26" s="467"/>
      <c r="AO26" s="467"/>
      <c r="AP26" s="566"/>
      <c r="AQ26" s="467"/>
      <c r="AR26" s="467"/>
      <c r="AS26" s="467"/>
      <c r="AT26" s="467"/>
      <c r="AU26" s="467"/>
      <c r="AV26" s="467"/>
      <c r="AW26" s="467"/>
      <c r="AX26" s="467"/>
      <c r="AY26" s="486">
        <f>COUNTIF(AI26:AX26,"*OP*")</f>
        <v>0</v>
      </c>
      <c r="AZ26" s="499" t="s">
        <v>59</v>
      </c>
      <c r="BA26" s="450">
        <f>(COUNTIF(AI26:AK26,"*OK*")*3) + (COUNTIF(AL26:AN26,"*OK*")*2) + COUNTIF(AO26:AQ26,"*OK*")+COUNTIF(AZ26:AZ26,"SI")*0.5</f>
        <v>0</v>
      </c>
      <c r="BB26" s="450" t="str">
        <f>IF(BA26&lt;0.6,"Demasiado Riesgo",IF(BA26&lt;=5,"Riesgo Medio",IF(BA26&lt;=11,"Riesgo Bajo","Cliente Blindado")))</f>
        <v>Demasiado Riesgo</v>
      </c>
      <c r="BC26" s="450"/>
      <c r="BD26" s="471"/>
      <c r="BE26" s="471">
        <v>0</v>
      </c>
      <c r="BF26" s="471"/>
      <c r="BG26" s="471"/>
      <c r="BH26" s="471"/>
      <c r="BI26" s="471"/>
      <c r="BJ26" s="471"/>
      <c r="BK26" s="471"/>
      <c r="BL26" s="471"/>
      <c r="BM26" s="471"/>
      <c r="BN26" s="471"/>
      <c r="BO26" s="471"/>
      <c r="BP26" s="471"/>
      <c r="BQ26" s="471"/>
      <c r="BR26" s="471"/>
      <c r="BS26" s="471"/>
      <c r="BT26" s="471"/>
      <c r="BU26" s="471"/>
      <c r="BV26" s="471"/>
      <c r="BW26" s="471"/>
      <c r="BX26" s="471"/>
      <c r="BY26" s="471"/>
      <c r="BZ26" s="471"/>
      <c r="CA26" s="471">
        <f>COUNTIF(AI26:AW26,"*OK*")</f>
        <v>0</v>
      </c>
      <c r="CB26" s="471"/>
      <c r="CC26" s="471">
        <f>COUNTIF(AI26:AW26,"*OP*")</f>
        <v>0</v>
      </c>
    </row>
    <row r="27" spans="1:81" ht="14.25" customHeight="1">
      <c r="A27" s="449">
        <v>29825</v>
      </c>
      <c r="B27" s="450" t="s">
        <v>154</v>
      </c>
      <c r="C27" s="451">
        <f>T27</f>
        <v>207.34</v>
      </c>
      <c r="D27" s="450">
        <f>COUNTIF(AI27:AW27,"*OK*")</f>
        <v>0</v>
      </c>
      <c r="E27" s="450"/>
      <c r="F27" s="453" t="s">
        <v>155</v>
      </c>
      <c r="G27" s="453"/>
      <c r="H27" s="454"/>
      <c r="I27" s="454"/>
      <c r="J27" s="453"/>
      <c r="K27" s="552" t="s">
        <v>68</v>
      </c>
      <c r="L27" s="453" t="s">
        <v>69</v>
      </c>
      <c r="M27" s="453"/>
      <c r="N27" s="456" t="s">
        <v>156</v>
      </c>
      <c r="O27" s="457">
        <v>231.53</v>
      </c>
      <c r="P27" s="457">
        <v>225.31</v>
      </c>
      <c r="Q27" s="457">
        <v>220.45</v>
      </c>
      <c r="R27" s="458">
        <v>192.08</v>
      </c>
      <c r="S27" s="459">
        <v>203.65</v>
      </c>
      <c r="T27" s="490">
        <v>207.34</v>
      </c>
      <c r="U27" s="461"/>
      <c r="V27" s="462">
        <v>100</v>
      </c>
      <c r="W27" s="463" t="s">
        <v>70</v>
      </c>
      <c r="X27" s="562" t="s">
        <v>70</v>
      </c>
      <c r="Y27" s="465" t="s">
        <v>71</v>
      </c>
      <c r="Z27" s="466" t="s">
        <v>157</v>
      </c>
      <c r="AA27" s="462" t="s">
        <v>71</v>
      </c>
      <c r="AB27" s="454" t="s">
        <v>92</v>
      </c>
      <c r="AC27" s="450"/>
      <c r="AD27" s="450"/>
      <c r="AE27" s="450"/>
      <c r="AF27" s="450"/>
      <c r="AG27" s="450"/>
      <c r="AH27" s="496" t="s">
        <v>59</v>
      </c>
      <c r="AI27" s="467"/>
      <c r="AJ27" s="467"/>
      <c r="AK27" s="467"/>
      <c r="AL27" s="467"/>
      <c r="AM27" s="467"/>
      <c r="AN27" s="467"/>
      <c r="AO27" s="467"/>
      <c r="AP27" s="467"/>
      <c r="AQ27" s="467"/>
      <c r="AR27" s="467"/>
      <c r="AS27" s="467"/>
      <c r="AT27" s="467"/>
      <c r="AU27" s="467"/>
      <c r="AV27" s="467"/>
      <c r="AW27" s="467"/>
      <c r="AX27" s="467"/>
      <c r="AY27" s="486">
        <f>COUNTIF(AI27:AX27,"*OP*")</f>
        <v>0</v>
      </c>
      <c r="AZ27" s="499" t="s">
        <v>59</v>
      </c>
      <c r="BA27" s="450">
        <f>(COUNTIF(AI27:AK27,"*OK*")*3) + (COUNTIF(AL27:AN27,"*OK*")*2) + COUNTIF(AO27:AQ27,"*OK*")+COUNTIF(AZ27:AZ27,"SI")*0.5</f>
        <v>0</v>
      </c>
      <c r="BB27" s="450" t="str">
        <f>IF(BA27&lt;0.6,"Demasiado Riesgo",IF(BA27&lt;=5,"Riesgo Medio",IF(BA27&lt;=11,"Riesgo Bajo","Cliente Blindado")))</f>
        <v>Demasiado Riesgo</v>
      </c>
      <c r="BC27" s="450"/>
      <c r="BD27" s="450"/>
      <c r="BE27" s="450">
        <v>0</v>
      </c>
      <c r="BF27" s="450"/>
      <c r="BG27" s="450"/>
      <c r="BH27" s="450"/>
      <c r="BI27" s="450"/>
      <c r="BJ27" s="450"/>
      <c r="BK27" s="450"/>
      <c r="BL27" s="450"/>
      <c r="BM27" s="450"/>
      <c r="BN27" s="450"/>
      <c r="BO27" s="450"/>
      <c r="BP27" s="450"/>
      <c r="BQ27" s="450"/>
      <c r="BR27" s="450"/>
      <c r="BS27" s="450"/>
      <c r="BT27" s="450"/>
      <c r="BU27" s="450"/>
      <c r="BV27" s="450"/>
      <c r="BW27" s="450"/>
      <c r="BX27" s="450"/>
      <c r="BY27" s="450"/>
      <c r="BZ27" s="450"/>
      <c r="CA27" s="450">
        <f>COUNTIF(AI27:AW27,"*OK*")</f>
        <v>0</v>
      </c>
      <c r="CB27" s="450"/>
      <c r="CC27" s="450">
        <f>COUNTIF(AI27:AW27,"*OP*")</f>
        <v>0</v>
      </c>
    </row>
    <row r="28" spans="1:81" ht="14.25" customHeight="1">
      <c r="A28" s="488">
        <v>20787</v>
      </c>
      <c r="B28" s="489" t="s">
        <v>158</v>
      </c>
      <c r="C28" s="451">
        <f>T28</f>
        <v>209.72</v>
      </c>
      <c r="D28" s="450">
        <f>COUNTIF(AI28:AW28,"*OK*")</f>
        <v>0</v>
      </c>
      <c r="E28" s="450"/>
      <c r="F28" s="453" t="s">
        <v>159</v>
      </c>
      <c r="G28" s="453"/>
      <c r="H28" s="454"/>
      <c r="I28" s="454"/>
      <c r="J28" s="453"/>
      <c r="K28" s="455" t="s">
        <v>68</v>
      </c>
      <c r="L28" s="453" t="s">
        <v>69</v>
      </c>
      <c r="M28" s="453"/>
      <c r="N28" s="456" t="s">
        <v>160</v>
      </c>
      <c r="O28" s="457">
        <v>227.33</v>
      </c>
      <c r="P28" s="457">
        <v>227.12</v>
      </c>
      <c r="Q28" s="457">
        <v>219.88</v>
      </c>
      <c r="R28" s="458">
        <v>219.87</v>
      </c>
      <c r="S28" s="459">
        <v>204.8545</v>
      </c>
      <c r="T28" s="490">
        <v>209.72</v>
      </c>
      <c r="U28" s="461"/>
      <c r="V28" s="462">
        <v>100</v>
      </c>
      <c r="W28" s="463" t="s">
        <v>70</v>
      </c>
      <c r="X28" s="567" t="s">
        <v>70</v>
      </c>
      <c r="Y28" s="465" t="s">
        <v>161</v>
      </c>
      <c r="Z28" s="466" t="s">
        <v>162</v>
      </c>
      <c r="AA28" s="462" t="s">
        <v>161</v>
      </c>
      <c r="AB28" s="454" t="s">
        <v>92</v>
      </c>
      <c r="AC28" s="450"/>
      <c r="AD28" s="450"/>
      <c r="AE28" s="450"/>
      <c r="AF28" s="450"/>
      <c r="AG28" s="450"/>
      <c r="AH28" s="496" t="s">
        <v>59</v>
      </c>
      <c r="AI28" s="467"/>
      <c r="AJ28" s="467"/>
      <c r="AK28" s="467"/>
      <c r="AL28" s="467"/>
      <c r="AM28" s="467"/>
      <c r="AN28" s="467"/>
      <c r="AO28" s="467"/>
      <c r="AP28" s="467"/>
      <c r="AQ28" s="467"/>
      <c r="AR28" s="467"/>
      <c r="AS28" s="467"/>
      <c r="AT28" s="467"/>
      <c r="AU28" s="467"/>
      <c r="AV28" s="467"/>
      <c r="AW28" s="467"/>
      <c r="AX28" s="467"/>
      <c r="AY28" s="486">
        <f>COUNTIF(AI28:AX28,"*OP*")</f>
        <v>0</v>
      </c>
      <c r="AZ28" s="499" t="s">
        <v>59</v>
      </c>
      <c r="BA28" s="450">
        <f>(COUNTIF(AI28:AK28,"*OK*")*3) + (COUNTIF(AL28:AN28,"*OK*")*2) + COUNTIF(AO28:AQ28,"*OK*")+COUNTIF(AZ28:AZ28,"SI")*0.5</f>
        <v>0</v>
      </c>
      <c r="BB28" s="450" t="str">
        <f>IF(BA28&lt;0.6,"Demasiado Riesgo",IF(BA28&lt;=5,"Riesgo Medio",IF(BA28&lt;=11,"Riesgo Bajo","Cliente Blindado")))</f>
        <v>Demasiado Riesgo</v>
      </c>
      <c r="BC28" s="450"/>
      <c r="BD28" s="450"/>
      <c r="BE28" s="450">
        <v>0</v>
      </c>
      <c r="BF28" s="450"/>
      <c r="BG28" s="450"/>
      <c r="BH28" s="450"/>
      <c r="BI28" s="450"/>
      <c r="BJ28" s="450"/>
      <c r="BK28" s="450"/>
      <c r="BL28" s="450"/>
      <c r="BM28" s="450"/>
      <c r="BN28" s="450"/>
      <c r="BO28" s="450"/>
      <c r="BP28" s="450"/>
      <c r="BQ28" s="450"/>
      <c r="BR28" s="450"/>
      <c r="BS28" s="450"/>
      <c r="BT28" s="450"/>
      <c r="BU28" s="450"/>
      <c r="BV28" s="450"/>
      <c r="BW28" s="450"/>
      <c r="BX28" s="450"/>
      <c r="BY28" s="450"/>
      <c r="BZ28" s="450"/>
      <c r="CA28" s="450">
        <f>COUNTIF(AI28:AW28,"*OK*")</f>
        <v>0</v>
      </c>
      <c r="CB28" s="450"/>
      <c r="CC28" s="450">
        <f>COUNTIF(AI28:AW28,"*OP*")</f>
        <v>0</v>
      </c>
    </row>
    <row r="29" spans="1:81" ht="14.25" customHeight="1">
      <c r="A29" s="449">
        <v>26683</v>
      </c>
      <c r="B29" s="450"/>
      <c r="C29" s="451">
        <f>T29</f>
        <v>232.26</v>
      </c>
      <c r="D29" s="450">
        <f>COUNTIF(AI29:AW29,"*OK*")</f>
        <v>0</v>
      </c>
      <c r="E29" s="450"/>
      <c r="F29" s="453" t="s">
        <v>99</v>
      </c>
      <c r="G29" s="453" t="s">
        <v>99</v>
      </c>
      <c r="H29" s="454"/>
      <c r="I29" s="454"/>
      <c r="J29" s="453"/>
      <c r="K29" s="455" t="s">
        <v>68</v>
      </c>
      <c r="L29" s="568" t="s">
        <v>69</v>
      </c>
      <c r="M29" s="568"/>
      <c r="N29" s="456" t="s">
        <v>65</v>
      </c>
      <c r="O29" s="457">
        <v>288.18</v>
      </c>
      <c r="P29" s="457">
        <v>254.6</v>
      </c>
      <c r="Q29" s="457">
        <v>308.39</v>
      </c>
      <c r="R29" s="458">
        <v>0</v>
      </c>
      <c r="S29" s="459">
        <v>289.3938</v>
      </c>
      <c r="T29" s="487">
        <v>232.26</v>
      </c>
      <c r="U29" s="461"/>
      <c r="V29" s="462">
        <v>200</v>
      </c>
      <c r="W29" s="463"/>
      <c r="X29" s="562" t="s">
        <v>70</v>
      </c>
      <c r="Y29" s="465" t="s">
        <v>80</v>
      </c>
      <c r="Z29" s="466" t="s">
        <v>163</v>
      </c>
      <c r="AA29" s="462" t="s">
        <v>59</v>
      </c>
      <c r="AB29" s="454" t="s">
        <v>137</v>
      </c>
      <c r="AC29" s="450"/>
      <c r="AD29" s="450"/>
      <c r="AE29" s="450"/>
      <c r="AF29" s="450"/>
      <c r="AG29" s="450"/>
      <c r="AH29" s="496" t="s">
        <v>59</v>
      </c>
      <c r="AI29" s="467"/>
      <c r="AJ29" s="467"/>
      <c r="AK29" s="467"/>
      <c r="AL29" s="467"/>
      <c r="AM29" s="467"/>
      <c r="AN29" s="467"/>
      <c r="AO29" s="467"/>
      <c r="AP29" s="467"/>
      <c r="AQ29" s="467"/>
      <c r="AR29" s="467"/>
      <c r="AS29" s="467"/>
      <c r="AT29" s="467"/>
      <c r="AU29" s="467"/>
      <c r="AV29" s="467"/>
      <c r="AW29" s="467"/>
      <c r="AX29" s="467"/>
      <c r="AY29" s="486">
        <f>COUNTIF(AI29:AX29,"*OP*")</f>
        <v>0</v>
      </c>
      <c r="AZ29" s="499" t="s">
        <v>59</v>
      </c>
      <c r="BA29" s="450">
        <f>(COUNTIF(AI29:AK29,"*OK*")*3) + (COUNTIF(AL29:AN29,"*OK*")*2) + COUNTIF(AO29:AQ29,"*OK*")+COUNTIF(AZ29:AZ29,"SI")*0.5</f>
        <v>0</v>
      </c>
      <c r="BB29" s="450" t="str">
        <f>IF(BA29&lt;0.6,"Demasiado Riesgo",IF(BA29&lt;=5,"Riesgo Medio",IF(BA29&lt;=11,"Riesgo Bajo","Cliente Blindado")))</f>
        <v>Demasiado Riesgo</v>
      </c>
      <c r="BC29" s="450"/>
      <c r="BD29" s="450"/>
      <c r="BE29" s="450">
        <v>0</v>
      </c>
      <c r="BF29" s="450"/>
      <c r="BG29" s="450"/>
      <c r="BH29" s="450"/>
      <c r="BI29" s="450"/>
      <c r="BJ29" s="450"/>
      <c r="BK29" s="450"/>
      <c r="BL29" s="450"/>
      <c r="BM29" s="450"/>
      <c r="BN29" s="450"/>
      <c r="BO29" s="450"/>
      <c r="BP29" s="450"/>
      <c r="BQ29" s="450"/>
      <c r="BR29" s="450"/>
      <c r="BS29" s="450"/>
      <c r="BT29" s="450"/>
      <c r="BU29" s="450"/>
      <c r="BV29" s="450"/>
      <c r="BW29" s="450"/>
      <c r="BX29" s="450"/>
      <c r="BY29" s="450"/>
      <c r="BZ29" s="450"/>
      <c r="CA29" s="450">
        <f>COUNTIF(AI29:AW29,"*OK*")</f>
        <v>0</v>
      </c>
      <c r="CB29" s="450"/>
      <c r="CC29" s="450">
        <f>COUNTIF(AI29:AW29,"*OP*")</f>
        <v>0</v>
      </c>
    </row>
    <row r="30" spans="1:81" ht="14.25" customHeight="1">
      <c r="A30" s="563">
        <v>22786</v>
      </c>
      <c r="B30" s="536" t="s">
        <v>164</v>
      </c>
      <c r="C30" s="451">
        <f>T30</f>
        <v>246.95</v>
      </c>
      <c r="D30" s="471">
        <v>1</v>
      </c>
      <c r="E30" s="471"/>
      <c r="F30" s="569" t="s">
        <v>165</v>
      </c>
      <c r="G30" s="473"/>
      <c r="H30" s="474"/>
      <c r="I30" s="474"/>
      <c r="J30" s="473"/>
      <c r="K30" s="475" t="s">
        <v>68</v>
      </c>
      <c r="L30" s="473" t="s">
        <v>69</v>
      </c>
      <c r="M30" s="473"/>
      <c r="N30" s="476" t="s">
        <v>65</v>
      </c>
      <c r="O30" s="477">
        <v>268.24</v>
      </c>
      <c r="P30" s="477">
        <v>247.96</v>
      </c>
      <c r="Q30" s="477">
        <v>241.08</v>
      </c>
      <c r="R30" s="478">
        <v>263.62</v>
      </c>
      <c r="S30" s="459">
        <v>269.66160000000002</v>
      </c>
      <c r="T30" s="469">
        <v>246.95</v>
      </c>
      <c r="U30" s="479"/>
      <c r="V30" s="480">
        <v>100</v>
      </c>
      <c r="W30" s="481" t="s">
        <v>70</v>
      </c>
      <c r="X30" s="482" t="s">
        <v>70</v>
      </c>
      <c r="Y30" s="483" t="s">
        <v>139</v>
      </c>
      <c r="Z30" s="484" t="s">
        <v>166</v>
      </c>
      <c r="AA30" s="480" t="s">
        <v>71</v>
      </c>
      <c r="AB30" s="474" t="s">
        <v>137</v>
      </c>
      <c r="AC30" s="471"/>
      <c r="AD30" s="471"/>
      <c r="AE30" s="471"/>
      <c r="AF30" s="471"/>
      <c r="AG30" s="471"/>
      <c r="AH30" s="494" t="s">
        <v>59</v>
      </c>
      <c r="AI30" s="467"/>
      <c r="AJ30" s="467"/>
      <c r="AK30" s="467"/>
      <c r="AL30" s="467"/>
      <c r="AM30" s="467"/>
      <c r="AN30" s="467"/>
      <c r="AO30" s="467"/>
      <c r="AP30" s="467"/>
      <c r="AQ30" s="467"/>
      <c r="AR30" s="467"/>
      <c r="AS30" s="467"/>
      <c r="AT30" s="467"/>
      <c r="AU30" s="467"/>
      <c r="AV30" s="467"/>
      <c r="AW30" s="467"/>
      <c r="AX30" s="467"/>
      <c r="AY30" s="468">
        <f>COUNTIF(AI30:AX30,"*OP*")</f>
        <v>0</v>
      </c>
      <c r="AZ30" s="484" t="s">
        <v>59</v>
      </c>
      <c r="BA30" s="471">
        <f>(COUNTIF(AI30:AK30,"*OK*")*3) + (COUNTIF(AL30:AN30,"*OK*")*2) + COUNTIF(AO30:AQ30,"*OK*")+COUNTIF(AZ30:AZ30,"SI")*0.5</f>
        <v>0</v>
      </c>
      <c r="BB30" s="471" t="str">
        <f>IF(BA30&lt;0.6,"Demasiado Riesgo",IF(BA30&lt;=5,"Riesgo Medio",IF(BA30&lt;=11,"Riesgo Bajo","Cliente Blindado")))</f>
        <v>Demasiado Riesgo</v>
      </c>
      <c r="BC30" s="471"/>
      <c r="BD30" s="471"/>
      <c r="BE30" s="471">
        <v>0</v>
      </c>
      <c r="BF30" s="471"/>
      <c r="BG30" s="471"/>
      <c r="BH30" s="471"/>
      <c r="BI30" s="471"/>
      <c r="BJ30" s="471"/>
      <c r="BK30" s="471"/>
      <c r="BL30" s="471"/>
      <c r="BM30" s="471"/>
      <c r="BN30" s="471"/>
      <c r="BO30" s="471"/>
      <c r="BP30" s="471"/>
      <c r="BQ30" s="471"/>
      <c r="BR30" s="471"/>
      <c r="BS30" s="471"/>
      <c r="BT30" s="471"/>
      <c r="BU30" s="471"/>
      <c r="BV30" s="471"/>
      <c r="BW30" s="471"/>
      <c r="BX30" s="471"/>
      <c r="BY30" s="471"/>
      <c r="BZ30" s="471"/>
      <c r="CA30" s="471">
        <f>COUNTIF(AI30:AW30,"*OK*")</f>
        <v>0</v>
      </c>
      <c r="CB30" s="471"/>
      <c r="CC30" s="471">
        <f>COUNTIF(AI30:AW30,"*OP*")</f>
        <v>0</v>
      </c>
    </row>
    <row r="31" spans="1:81" ht="14.25" customHeight="1">
      <c r="A31" s="488">
        <v>33502</v>
      </c>
      <c r="B31" s="489"/>
      <c r="C31" s="451">
        <f>T31</f>
        <v>247.98</v>
      </c>
      <c r="D31" s="450">
        <f>COUNTIF(AI31:AW31,"*OK*")</f>
        <v>0</v>
      </c>
      <c r="E31" s="450"/>
      <c r="F31" s="452" t="s">
        <v>167</v>
      </c>
      <c r="G31" s="453"/>
      <c r="H31" s="454"/>
      <c r="I31" s="454"/>
      <c r="J31" s="453" t="s">
        <v>168</v>
      </c>
      <c r="K31" s="455" t="s">
        <v>68</v>
      </c>
      <c r="L31" s="453" t="s">
        <v>69</v>
      </c>
      <c r="M31" s="453"/>
      <c r="N31" s="456" t="s">
        <v>169</v>
      </c>
      <c r="O31" s="457">
        <v>358.46</v>
      </c>
      <c r="P31" s="457">
        <v>353.79</v>
      </c>
      <c r="Q31" s="457">
        <v>341.57</v>
      </c>
      <c r="R31" s="458">
        <v>328.91</v>
      </c>
      <c r="S31" s="459">
        <v>251.8819</v>
      </c>
      <c r="T31" s="487">
        <v>247.98</v>
      </c>
      <c r="U31" s="461"/>
      <c r="V31" s="462">
        <v>300</v>
      </c>
      <c r="W31" s="463"/>
      <c r="X31" s="562" t="s">
        <v>70</v>
      </c>
      <c r="Y31" s="465" t="s">
        <v>80</v>
      </c>
      <c r="Z31" s="466" t="s">
        <v>170</v>
      </c>
      <c r="AA31" s="462" t="s">
        <v>59</v>
      </c>
      <c r="AB31" s="454" t="s">
        <v>92</v>
      </c>
      <c r="AC31" s="450"/>
      <c r="AD31" s="450"/>
      <c r="AE31" s="450"/>
      <c r="AF31" s="450"/>
      <c r="AG31" s="450"/>
      <c r="AH31" s="496" t="s">
        <v>59</v>
      </c>
      <c r="AI31" s="467"/>
      <c r="AJ31" s="467"/>
      <c r="AK31" s="467"/>
      <c r="AL31" s="467"/>
      <c r="AM31" s="467"/>
      <c r="AN31" s="467" t="s">
        <v>171</v>
      </c>
      <c r="AO31" s="467"/>
      <c r="AP31" s="467"/>
      <c r="AQ31" s="467"/>
      <c r="AR31" s="467"/>
      <c r="AS31" s="467"/>
      <c r="AT31" s="467"/>
      <c r="AU31" s="467"/>
      <c r="AV31" s="467"/>
      <c r="AW31" s="467"/>
      <c r="AX31" s="467"/>
      <c r="AY31" s="486">
        <f>COUNTIF(AI31:AX31,"*OP*")</f>
        <v>1</v>
      </c>
      <c r="AZ31" s="499" t="s">
        <v>59</v>
      </c>
      <c r="BA31" s="450">
        <f>(COUNTIF(AI31:AK31,"*OK*")*3) + (COUNTIF(AL31:AN31,"*OK*")*2) + COUNTIF(AO31:AQ31,"*OK*")+COUNTIF(AZ31:AZ31,"SI")*0.5</f>
        <v>0</v>
      </c>
      <c r="BB31" s="450" t="str">
        <f>IF(BA31&lt;0.6,"Demasiado Riesgo",IF(BA31&lt;=5,"Riesgo Medio",IF(BA31&lt;=11,"Riesgo Bajo","Cliente Blindado")))</f>
        <v>Demasiado Riesgo</v>
      </c>
      <c r="BC31" s="450"/>
      <c r="BD31" s="450"/>
      <c r="BE31" s="450">
        <v>0</v>
      </c>
      <c r="BF31" s="450"/>
      <c r="BG31" s="450"/>
      <c r="BH31" s="450"/>
      <c r="BI31" s="450"/>
      <c r="BJ31" s="450"/>
      <c r="BK31" s="450"/>
      <c r="BL31" s="450"/>
      <c r="BM31" s="450"/>
      <c r="BN31" s="450"/>
      <c r="BO31" s="450"/>
      <c r="BP31" s="450"/>
      <c r="BQ31" s="450"/>
      <c r="BR31" s="450"/>
      <c r="BS31" s="450"/>
      <c r="BT31" s="450"/>
      <c r="BU31" s="450"/>
      <c r="BV31" s="450"/>
      <c r="BW31" s="450"/>
      <c r="BX31" s="450"/>
      <c r="BY31" s="450"/>
      <c r="BZ31" s="450"/>
      <c r="CA31" s="450">
        <f>COUNTIF(AI31:AW31,"*OK*")</f>
        <v>0</v>
      </c>
      <c r="CB31" s="450"/>
      <c r="CC31" s="450">
        <f>COUNTIF(AI31:AW31,"*OP*")</f>
        <v>1</v>
      </c>
    </row>
    <row r="32" spans="1:81" ht="14.25" customHeight="1">
      <c r="A32" s="449">
        <v>18481</v>
      </c>
      <c r="B32" s="450" t="s">
        <v>172</v>
      </c>
      <c r="C32" s="451">
        <f>T32</f>
        <v>252.06</v>
      </c>
      <c r="D32" s="450">
        <f>COUNTIF(AI32:AW32,"*OK*")</f>
        <v>1</v>
      </c>
      <c r="E32" s="450"/>
      <c r="F32" s="453" t="s">
        <v>173</v>
      </c>
      <c r="G32" s="453"/>
      <c r="H32" s="454"/>
      <c r="I32" s="454"/>
      <c r="J32" s="453"/>
      <c r="K32" s="455" t="s">
        <v>68</v>
      </c>
      <c r="L32" s="453" t="s">
        <v>69</v>
      </c>
      <c r="M32" s="453"/>
      <c r="N32" s="456" t="s">
        <v>174</v>
      </c>
      <c r="O32" s="457">
        <v>255.88</v>
      </c>
      <c r="P32" s="457">
        <v>255.64</v>
      </c>
      <c r="Q32" s="457">
        <v>243.62</v>
      </c>
      <c r="R32" s="458">
        <v>251.47</v>
      </c>
      <c r="S32" s="459">
        <v>254.84960000000001</v>
      </c>
      <c r="T32" s="469">
        <v>252.06</v>
      </c>
      <c r="U32" s="461"/>
      <c r="V32" s="462">
        <v>150</v>
      </c>
      <c r="W32" s="463" t="s">
        <v>70</v>
      </c>
      <c r="X32" s="567" t="s">
        <v>70</v>
      </c>
      <c r="Y32" s="465" t="s">
        <v>150</v>
      </c>
      <c r="Z32" s="466" t="s">
        <v>175</v>
      </c>
      <c r="AA32" s="462" t="s">
        <v>145</v>
      </c>
      <c r="AB32" s="454" t="s">
        <v>92</v>
      </c>
      <c r="AC32" s="450"/>
      <c r="AD32" s="450"/>
      <c r="AE32" s="450"/>
      <c r="AF32" s="450"/>
      <c r="AG32" s="450"/>
      <c r="AH32" s="496" t="s">
        <v>127</v>
      </c>
      <c r="AI32" s="467"/>
      <c r="AJ32" s="467"/>
      <c r="AK32" s="565" t="s">
        <v>111</v>
      </c>
      <c r="AL32" s="467"/>
      <c r="AM32" s="467"/>
      <c r="AN32" s="467"/>
      <c r="AO32" s="467"/>
      <c r="AP32" s="467"/>
      <c r="AQ32" s="467"/>
      <c r="AR32" s="467"/>
      <c r="AS32" s="467"/>
      <c r="AT32" s="467"/>
      <c r="AU32" s="467"/>
      <c r="AV32" s="467"/>
      <c r="AW32" s="467"/>
      <c r="AX32" s="467"/>
      <c r="AY32" s="486">
        <f>COUNTIF(AI32:AX32,"*OP*")</f>
        <v>0</v>
      </c>
      <c r="AZ32" s="499" t="s">
        <v>176</v>
      </c>
      <c r="BA32" s="450">
        <f>(COUNTIF(AI32:AK32,"*OK*")*3) + (COUNTIF(AL32:AN32,"*OK*")*2) + COUNTIF(AO32:AQ32,"*OK*")+COUNTIF(AZ32:AZ32,"SI")*0.5</f>
        <v>3</v>
      </c>
      <c r="BB32" s="450" t="str">
        <f>IF(BA32&lt;0.6,"Demasiado Riesgo",IF(BA32&lt;=5,"Riesgo Medio",IF(BA32&lt;=11,"Riesgo Bajo","Cliente Blindado")))</f>
        <v>Riesgo Medio</v>
      </c>
      <c r="BC32" s="450"/>
      <c r="BD32" s="471"/>
      <c r="BE32" s="471">
        <v>0</v>
      </c>
      <c r="BF32" s="471"/>
      <c r="BG32" s="471"/>
      <c r="BH32" s="471"/>
      <c r="BI32" s="471"/>
      <c r="BJ32" s="471"/>
      <c r="BK32" s="471"/>
      <c r="BL32" s="471"/>
      <c r="BM32" s="471"/>
      <c r="BN32" s="471"/>
      <c r="BO32" s="471"/>
      <c r="BP32" s="471"/>
      <c r="BQ32" s="471"/>
      <c r="BR32" s="471"/>
      <c r="BS32" s="471"/>
      <c r="BT32" s="471"/>
      <c r="BU32" s="471"/>
      <c r="BV32" s="471"/>
      <c r="BW32" s="471"/>
      <c r="BX32" s="471"/>
      <c r="BY32" s="471"/>
      <c r="BZ32" s="471"/>
      <c r="CA32" s="471">
        <f>COUNTIF(AI32:AW32,"*OK*")</f>
        <v>1</v>
      </c>
      <c r="CB32" s="471"/>
      <c r="CC32" s="471">
        <f>COUNTIF(AI32:AW32,"*OP*")</f>
        <v>0</v>
      </c>
    </row>
    <row r="33" spans="1:81" ht="14.25" customHeight="1">
      <c r="A33" s="563"/>
      <c r="B33" s="536"/>
      <c r="C33" s="451">
        <f>T33</f>
        <v>260.31</v>
      </c>
      <c r="D33" s="471">
        <f>COUNTIF(AI33:AW33,"*OK*")</f>
        <v>0</v>
      </c>
      <c r="E33" s="471"/>
      <c r="F33" s="473" t="s">
        <v>177</v>
      </c>
      <c r="G33" s="473" t="s">
        <v>78</v>
      </c>
      <c r="H33" s="474"/>
      <c r="I33" s="474"/>
      <c r="J33" s="473"/>
      <c r="K33" s="560" t="s">
        <v>79</v>
      </c>
      <c r="L33" s="473" t="s">
        <v>69</v>
      </c>
      <c r="M33" s="473"/>
      <c r="N33" s="476" t="s">
        <v>65</v>
      </c>
      <c r="O33" s="477">
        <v>313.27</v>
      </c>
      <c r="P33" s="477">
        <v>309.79000000000002</v>
      </c>
      <c r="Q33" s="477">
        <v>288.12</v>
      </c>
      <c r="R33" s="478">
        <v>303.68</v>
      </c>
      <c r="S33" s="459">
        <v>279.11</v>
      </c>
      <c r="T33" s="469">
        <v>260.31</v>
      </c>
      <c r="U33" s="479"/>
      <c r="V33" s="480">
        <v>300</v>
      </c>
      <c r="W33" s="481"/>
      <c r="X33" s="482" t="s">
        <v>70</v>
      </c>
      <c r="Y33" s="483" t="s">
        <v>89</v>
      </c>
      <c r="Z33" s="484" t="s">
        <v>178</v>
      </c>
      <c r="AA33" s="480" t="s">
        <v>59</v>
      </c>
      <c r="AB33" s="474"/>
      <c r="AC33" s="471"/>
      <c r="AD33" s="471"/>
      <c r="AE33" s="471"/>
      <c r="AF33" s="471"/>
      <c r="AG33" s="471"/>
      <c r="AH33" s="494" t="s">
        <v>59</v>
      </c>
      <c r="AI33" s="467"/>
      <c r="AJ33" s="467"/>
      <c r="AK33" s="467"/>
      <c r="AL33" s="467"/>
      <c r="AM33" s="467"/>
      <c r="AN33" s="467"/>
      <c r="AO33" s="467"/>
      <c r="AP33" s="467"/>
      <c r="AQ33" s="467"/>
      <c r="AR33" s="467"/>
      <c r="AS33" s="467"/>
      <c r="AT33" s="467"/>
      <c r="AU33" s="467"/>
      <c r="AV33" s="467"/>
      <c r="AW33" s="467"/>
      <c r="AX33" s="467"/>
      <c r="AY33" s="486">
        <f>COUNTIF(AI33:AX33,"*OP*")</f>
        <v>0</v>
      </c>
      <c r="AZ33" s="485" t="s">
        <v>59</v>
      </c>
      <c r="BA33" s="471">
        <f>(COUNTIF(AI33:AK33,"*OK*")*3) + (COUNTIF(AL33:AN33,"*OK*")*2) + COUNTIF(AO33:AQ33,"*OK*")+COUNTIF(AZ33:AZ33,"SI")*0.5</f>
        <v>0</v>
      </c>
      <c r="BB33" s="471" t="str">
        <f>IF(BA33&lt;0.6,"Demasiado Riesgo",IF(BA33&lt;=5,"Riesgo Medio",IF(BA33&lt;=11,"Riesgo Bajo","Cliente Blindado")))</f>
        <v>Demasiado Riesgo</v>
      </c>
      <c r="BC33" s="471"/>
      <c r="BD33" s="471"/>
      <c r="BE33" s="471">
        <v>0</v>
      </c>
      <c r="BF33" s="471"/>
      <c r="BG33" s="471"/>
      <c r="BH33" s="471"/>
      <c r="BI33" s="471"/>
      <c r="BJ33" s="471"/>
      <c r="BK33" s="471"/>
      <c r="BL33" s="471"/>
      <c r="BM33" s="471"/>
      <c r="BN33" s="471"/>
      <c r="BO33" s="471"/>
      <c r="BP33" s="471"/>
      <c r="BQ33" s="471"/>
      <c r="BR33" s="471"/>
      <c r="BS33" s="471"/>
      <c r="BT33" s="471"/>
      <c r="BU33" s="471"/>
      <c r="BV33" s="471"/>
      <c r="BW33" s="471"/>
      <c r="BX33" s="471"/>
      <c r="BY33" s="471"/>
      <c r="BZ33" s="471"/>
      <c r="CA33" s="471">
        <f>COUNTIF(AI33:AW33,"*OK*")</f>
        <v>0</v>
      </c>
      <c r="CB33" s="471"/>
      <c r="CC33" s="471">
        <f>COUNTIF(AI33:AW33,"*OP*")</f>
        <v>0</v>
      </c>
    </row>
    <row r="34" spans="1:81" ht="14.25" customHeight="1">
      <c r="A34" s="488">
        <v>25082</v>
      </c>
      <c r="B34" s="489" t="s">
        <v>179</v>
      </c>
      <c r="C34" s="451">
        <f>T34</f>
        <v>260.88</v>
      </c>
      <c r="D34" s="450">
        <f>COUNTIF(AI34:AW34,"*OK*")</f>
        <v>0</v>
      </c>
      <c r="E34" s="450"/>
      <c r="F34" s="453" t="s">
        <v>180</v>
      </c>
      <c r="G34" s="453"/>
      <c r="H34" s="454"/>
      <c r="I34" s="454"/>
      <c r="J34" s="453"/>
      <c r="K34" s="455" t="s">
        <v>68</v>
      </c>
      <c r="L34" s="453" t="s">
        <v>69</v>
      </c>
      <c r="M34" s="453"/>
      <c r="N34" s="456" t="s">
        <v>65</v>
      </c>
      <c r="O34" s="457">
        <v>257.94</v>
      </c>
      <c r="P34" s="457">
        <v>252.19</v>
      </c>
      <c r="Q34" s="457">
        <v>245.58</v>
      </c>
      <c r="R34" s="458">
        <v>264.33</v>
      </c>
      <c r="S34" s="459">
        <v>263.76889999999997</v>
      </c>
      <c r="T34" s="487">
        <v>260.88</v>
      </c>
      <c r="U34" s="461"/>
      <c r="V34" s="462">
        <v>200</v>
      </c>
      <c r="W34" s="463" t="s">
        <v>181</v>
      </c>
      <c r="X34" s="465" t="s">
        <v>181</v>
      </c>
      <c r="Y34" s="465" t="s">
        <v>89</v>
      </c>
      <c r="Z34" s="466" t="s">
        <v>182</v>
      </c>
      <c r="AA34" s="462" t="s">
        <v>91</v>
      </c>
      <c r="AB34" s="454" t="s">
        <v>92</v>
      </c>
      <c r="AC34" s="450"/>
      <c r="AD34" s="450"/>
      <c r="AE34" s="450"/>
      <c r="AF34" s="450"/>
      <c r="AG34" s="450"/>
      <c r="AH34" s="496" t="s">
        <v>59</v>
      </c>
      <c r="AI34" s="467"/>
      <c r="AJ34" s="467"/>
      <c r="AK34" s="467"/>
      <c r="AL34" s="467"/>
      <c r="AM34" s="467"/>
      <c r="AN34" s="467"/>
      <c r="AO34" s="467"/>
      <c r="AP34" s="467"/>
      <c r="AQ34" s="467"/>
      <c r="AR34" s="467"/>
      <c r="AS34" s="467"/>
      <c r="AT34" s="467"/>
      <c r="AU34" s="467"/>
      <c r="AV34" s="467"/>
      <c r="AW34" s="467"/>
      <c r="AX34" s="467"/>
      <c r="AY34" s="486">
        <f>COUNTIF(AI34:AX34,"*OP*")</f>
        <v>0</v>
      </c>
      <c r="AZ34" s="499" t="s">
        <v>59</v>
      </c>
      <c r="BA34" s="450">
        <f>(COUNTIF(AI34:AK34,"*OK*")*3) + (COUNTIF(AL34:AN34,"*OK*")*2) + COUNTIF(AO34:AQ34,"*OK*")+COUNTIF(AZ34:AZ34,"SI")*0.5</f>
        <v>0</v>
      </c>
      <c r="BB34" s="450" t="str">
        <f>IF(BA34&lt;0.6,"Demasiado Riesgo",IF(BA34&lt;=5,"Riesgo Medio",IF(BA34&lt;=11,"Riesgo Bajo","Cliente Blindado")))</f>
        <v>Demasiado Riesgo</v>
      </c>
      <c r="BC34" s="450"/>
      <c r="BD34" s="450"/>
      <c r="BE34" s="450">
        <v>0</v>
      </c>
      <c r="BF34" s="450"/>
      <c r="BG34" s="450"/>
      <c r="BH34" s="450"/>
      <c r="BI34" s="450"/>
      <c r="BJ34" s="450"/>
      <c r="BK34" s="450"/>
      <c r="BL34" s="450"/>
      <c r="BM34" s="450"/>
      <c r="BN34" s="450"/>
      <c r="BO34" s="450"/>
      <c r="BP34" s="450"/>
      <c r="BQ34" s="450"/>
      <c r="BR34" s="450"/>
      <c r="BS34" s="450"/>
      <c r="BT34" s="450"/>
      <c r="BU34" s="450"/>
      <c r="BV34" s="450"/>
      <c r="BW34" s="450"/>
      <c r="BX34" s="450"/>
      <c r="BY34" s="450"/>
      <c r="BZ34" s="450"/>
      <c r="CA34" s="450">
        <f>COUNTIF(AI34:AW34,"*OK*")</f>
        <v>0</v>
      </c>
      <c r="CB34" s="450"/>
      <c r="CC34" s="450">
        <f>COUNTIF(AI34:AW34,"*OP*")</f>
        <v>0</v>
      </c>
    </row>
    <row r="35" spans="1:81" ht="14.25" customHeight="1">
      <c r="A35" s="563">
        <v>25008</v>
      </c>
      <c r="B35" s="536" t="s">
        <v>183</v>
      </c>
      <c r="C35" s="451">
        <f>T35</f>
        <v>269.63</v>
      </c>
      <c r="D35" s="471">
        <f>COUNTIF(AI35:AW35,"*OK*")</f>
        <v>0</v>
      </c>
      <c r="E35" s="471"/>
      <c r="F35" s="473" t="s">
        <v>184</v>
      </c>
      <c r="G35" s="473"/>
      <c r="H35" s="474"/>
      <c r="I35" s="474"/>
      <c r="J35" s="473"/>
      <c r="K35" s="475" t="s">
        <v>68</v>
      </c>
      <c r="L35" s="473" t="s">
        <v>69</v>
      </c>
      <c r="M35" s="473"/>
      <c r="N35" s="476" t="s">
        <v>65</v>
      </c>
      <c r="O35" s="477">
        <v>274.77</v>
      </c>
      <c r="P35" s="477">
        <v>230.35</v>
      </c>
      <c r="Q35" s="477">
        <v>217.51</v>
      </c>
      <c r="R35" s="478">
        <v>230.72</v>
      </c>
      <c r="S35" s="459">
        <v>250.60230000000001</v>
      </c>
      <c r="T35" s="460">
        <v>269.63</v>
      </c>
      <c r="U35" s="479"/>
      <c r="V35" s="480">
        <v>200</v>
      </c>
      <c r="W35" s="481" t="s">
        <v>185</v>
      </c>
      <c r="X35" s="483" t="s">
        <v>124</v>
      </c>
      <c r="Y35" s="483" t="s">
        <v>150</v>
      </c>
      <c r="Z35" s="484" t="s">
        <v>186</v>
      </c>
      <c r="AA35" s="480" t="s">
        <v>145</v>
      </c>
      <c r="AB35" s="474" t="s">
        <v>92</v>
      </c>
      <c r="AC35" s="471"/>
      <c r="AD35" s="471"/>
      <c r="AE35" s="471"/>
      <c r="AF35" s="471"/>
      <c r="AG35" s="471"/>
      <c r="AH35" s="484" t="s">
        <v>59</v>
      </c>
      <c r="AI35" s="467"/>
      <c r="AJ35" s="467"/>
      <c r="AK35" s="467"/>
      <c r="AL35" s="467"/>
      <c r="AM35" s="467"/>
      <c r="AN35" s="467"/>
      <c r="AO35" s="467"/>
      <c r="AP35" s="467"/>
      <c r="AQ35" s="467"/>
      <c r="AR35" s="467"/>
      <c r="AS35" s="467"/>
      <c r="AT35" s="467"/>
      <c r="AU35" s="467"/>
      <c r="AV35" s="467"/>
      <c r="AW35" s="467"/>
      <c r="AX35" s="467"/>
      <c r="AY35" s="486">
        <f>COUNTIF(AI35:AX35,"*OP*")</f>
        <v>0</v>
      </c>
      <c r="AZ35" s="485" t="s">
        <v>59</v>
      </c>
      <c r="BA35" s="471">
        <f>(COUNTIF(AI35:AK35,"*OK*")*3) + (COUNTIF(AL35:AN35,"*OK*")*2) + COUNTIF(AO35:AQ35,"*OK*")+COUNTIF(AZ35:AZ35,"SI")*0.5</f>
        <v>0</v>
      </c>
      <c r="BB35" s="471" t="str">
        <f>IF(BA35&lt;0.6,"Demasiado Riesgo",IF(BA35&lt;=5,"Riesgo Medio",IF(BA35&lt;=11,"Riesgo Bajo","Cliente Blindado")))</f>
        <v>Demasiado Riesgo</v>
      </c>
      <c r="BC35" s="471"/>
      <c r="BD35" s="471"/>
      <c r="BE35" s="471">
        <v>0</v>
      </c>
      <c r="BF35" s="471"/>
      <c r="BG35" s="471"/>
      <c r="BH35" s="471"/>
      <c r="BI35" s="471"/>
      <c r="BJ35" s="471"/>
      <c r="BK35" s="471"/>
      <c r="BL35" s="471"/>
      <c r="BM35" s="471"/>
      <c r="BN35" s="471"/>
      <c r="BO35" s="471"/>
      <c r="BP35" s="471"/>
      <c r="BQ35" s="471"/>
      <c r="BR35" s="471"/>
      <c r="BS35" s="471"/>
      <c r="BT35" s="471"/>
      <c r="BU35" s="471"/>
      <c r="BV35" s="471"/>
      <c r="BW35" s="471"/>
      <c r="BX35" s="471"/>
      <c r="BY35" s="471"/>
      <c r="BZ35" s="471"/>
      <c r="CA35" s="471">
        <f>COUNTIF(AI35:AW35,"*OK*")</f>
        <v>0</v>
      </c>
      <c r="CB35" s="471"/>
      <c r="CC35" s="471">
        <f>COUNTIF(AI35:AW35,"*OP*")</f>
        <v>0</v>
      </c>
    </row>
    <row r="36" spans="1:81" ht="14.25" customHeight="1">
      <c r="A36" s="563">
        <v>18980</v>
      </c>
      <c r="B36" s="536" t="s">
        <v>187</v>
      </c>
      <c r="C36" s="451">
        <f>T36</f>
        <v>274.69</v>
      </c>
      <c r="D36" s="471">
        <f>COUNTIF(AI36:AW36,"*OK*")</f>
        <v>0</v>
      </c>
      <c r="E36" s="471"/>
      <c r="F36" s="473" t="s">
        <v>188</v>
      </c>
      <c r="G36" s="473"/>
      <c r="H36" s="474"/>
      <c r="I36" s="474"/>
      <c r="J36" s="473"/>
      <c r="K36" s="475" t="s">
        <v>68</v>
      </c>
      <c r="L36" s="473" t="s">
        <v>69</v>
      </c>
      <c r="M36" s="473"/>
      <c r="N36" s="476" t="s">
        <v>174</v>
      </c>
      <c r="O36" s="477">
        <v>263.01</v>
      </c>
      <c r="P36" s="477">
        <v>262.77</v>
      </c>
      <c r="Q36" s="477">
        <v>262.48</v>
      </c>
      <c r="R36" s="478">
        <v>267.82</v>
      </c>
      <c r="S36" s="459">
        <v>277.73099999999999</v>
      </c>
      <c r="T36" s="487">
        <v>274.69</v>
      </c>
      <c r="U36" s="479"/>
      <c r="V36" s="480">
        <v>100</v>
      </c>
      <c r="W36" s="481" t="s">
        <v>70</v>
      </c>
      <c r="X36" s="482" t="s">
        <v>70</v>
      </c>
      <c r="Y36" s="483" t="s">
        <v>150</v>
      </c>
      <c r="Z36" s="484" t="s">
        <v>189</v>
      </c>
      <c r="AA36" s="480" t="s">
        <v>145</v>
      </c>
      <c r="AB36" s="474" t="s">
        <v>92</v>
      </c>
      <c r="AC36" s="471"/>
      <c r="AD36" s="471"/>
      <c r="AE36" s="471"/>
      <c r="AF36" s="471"/>
      <c r="AG36" s="471"/>
      <c r="AH36" s="484" t="s">
        <v>59</v>
      </c>
      <c r="AI36" s="467"/>
      <c r="AJ36" s="467"/>
      <c r="AK36" s="566"/>
      <c r="AL36" s="467"/>
      <c r="AM36" s="467"/>
      <c r="AN36" s="467"/>
      <c r="AO36" s="467"/>
      <c r="AP36" s="566"/>
      <c r="AQ36" s="467"/>
      <c r="AR36" s="467"/>
      <c r="AS36" s="467"/>
      <c r="AT36" s="467"/>
      <c r="AU36" s="467"/>
      <c r="AV36" s="467"/>
      <c r="AW36" s="467"/>
      <c r="AX36" s="467"/>
      <c r="AY36" s="486">
        <f>COUNTIF(AI36:AX36,"*OP*")</f>
        <v>0</v>
      </c>
      <c r="AZ36" s="485" t="s">
        <v>59</v>
      </c>
      <c r="BA36" s="471">
        <f>(COUNTIF(AI36:AK36,"*OK*")*3) + (COUNTIF(AL36:AN36,"*OK*")*2) + COUNTIF(AO36:AQ36,"*OK*")+COUNTIF(AZ36:AZ36,"SI")*0.5</f>
        <v>0</v>
      </c>
      <c r="BB36" s="471" t="str">
        <f>IF(BA36&lt;0.6,"Demasiado Riesgo",IF(BA36&lt;=5,"Riesgo Medio",IF(BA36&lt;=11,"Riesgo Bajo","Cliente Blindado")))</f>
        <v>Demasiado Riesgo</v>
      </c>
      <c r="BC36" s="471"/>
      <c r="BD36" s="450"/>
      <c r="BE36" s="450">
        <v>0</v>
      </c>
      <c r="BF36" s="450"/>
      <c r="BG36" s="450"/>
      <c r="BH36" s="450"/>
      <c r="BI36" s="450"/>
      <c r="BJ36" s="450"/>
      <c r="BK36" s="450"/>
      <c r="BL36" s="450"/>
      <c r="BM36" s="450"/>
      <c r="BN36" s="450"/>
      <c r="BO36" s="450"/>
      <c r="BP36" s="450"/>
      <c r="BQ36" s="450"/>
      <c r="BR36" s="450"/>
      <c r="BS36" s="450"/>
      <c r="BT36" s="450"/>
      <c r="BU36" s="450"/>
      <c r="BV36" s="450"/>
      <c r="BW36" s="450"/>
      <c r="BX36" s="450"/>
      <c r="BY36" s="450"/>
      <c r="BZ36" s="450"/>
      <c r="CA36" s="450">
        <f>COUNTIF(AI36:AW36,"*OK*")</f>
        <v>0</v>
      </c>
      <c r="CB36" s="450"/>
      <c r="CC36" s="450">
        <f>COUNTIF(AI36:AW36,"*OP*")</f>
        <v>0</v>
      </c>
    </row>
    <row r="37" spans="1:81" s="570" customFormat="1" ht="14.25" customHeight="1">
      <c r="A37" s="449">
        <v>34425</v>
      </c>
      <c r="B37" s="450"/>
      <c r="C37" s="451">
        <f>T37</f>
        <v>305.97000000000003</v>
      </c>
      <c r="D37" s="450">
        <f>COUNTIF(AI37:AW37,"*OK*")</f>
        <v>0</v>
      </c>
      <c r="E37" s="450"/>
      <c r="F37" s="453" t="s">
        <v>190</v>
      </c>
      <c r="G37" s="453"/>
      <c r="H37" s="454"/>
      <c r="I37" s="454"/>
      <c r="J37" s="453"/>
      <c r="K37" s="455" t="s">
        <v>68</v>
      </c>
      <c r="L37" s="568" t="s">
        <v>69</v>
      </c>
      <c r="M37" s="568"/>
      <c r="N37" s="456" t="s">
        <v>191</v>
      </c>
      <c r="O37" s="457">
        <v>313.22000000000003</v>
      </c>
      <c r="P37" s="457">
        <v>312.93</v>
      </c>
      <c r="Q37" s="457">
        <v>305.68</v>
      </c>
      <c r="R37" s="458">
        <v>295</v>
      </c>
      <c r="S37" s="459">
        <v>306.76440000000002</v>
      </c>
      <c r="T37" s="487">
        <v>305.97000000000003</v>
      </c>
      <c r="U37" s="461"/>
      <c r="V37" s="462">
        <v>100</v>
      </c>
      <c r="W37" s="463"/>
      <c r="X37" s="562" t="s">
        <v>70</v>
      </c>
      <c r="Y37" s="465" t="s">
        <v>80</v>
      </c>
      <c r="Z37" s="466" t="s">
        <v>192</v>
      </c>
      <c r="AA37" s="462" t="s">
        <v>132</v>
      </c>
      <c r="AB37" s="454"/>
      <c r="AC37" s="450"/>
      <c r="AD37" s="450"/>
      <c r="AE37" s="450"/>
      <c r="AF37" s="450"/>
      <c r="AG37" s="450"/>
      <c r="AH37" s="499" t="s">
        <v>59</v>
      </c>
      <c r="AI37" s="467"/>
      <c r="AJ37" s="467"/>
      <c r="AK37" s="467"/>
      <c r="AL37" s="467"/>
      <c r="AM37" s="467"/>
      <c r="AN37" s="467"/>
      <c r="AO37" s="467"/>
      <c r="AP37" s="467"/>
      <c r="AQ37" s="467"/>
      <c r="AR37" s="467"/>
      <c r="AS37" s="467"/>
      <c r="AT37" s="467"/>
      <c r="AU37" s="467"/>
      <c r="AV37" s="467"/>
      <c r="AW37" s="467"/>
      <c r="AX37" s="467"/>
      <c r="AY37" s="486">
        <f>COUNTIF(AI37:AX37,"*OP*")</f>
        <v>0</v>
      </c>
      <c r="AZ37" s="499" t="s">
        <v>59</v>
      </c>
      <c r="BA37" s="450">
        <f>(COUNTIF(AI37:AK37,"*OK*")*3) + (COUNTIF(AL37:AN37,"*OK*")*2) + COUNTIF(AO37:AQ37,"*OK*")+COUNTIF(AZ37:AZ37,"SI")*0.5</f>
        <v>0</v>
      </c>
      <c r="BB37" s="450" t="str">
        <f>IF(BA37&lt;0.6,"Demasiado Riesgo",IF(BA37&lt;=5,"Riesgo Medio",IF(BA37&lt;=11,"Riesgo Bajo","Cliente Blindado")))</f>
        <v>Demasiado Riesgo</v>
      </c>
      <c r="BC37" s="450"/>
      <c r="BD37" s="450"/>
      <c r="BE37" s="450">
        <v>0</v>
      </c>
      <c r="BF37" s="450"/>
      <c r="BG37" s="450"/>
      <c r="BH37" s="450"/>
      <c r="BI37" s="450"/>
      <c r="BJ37" s="450"/>
      <c r="BK37" s="450"/>
      <c r="BL37" s="450"/>
      <c r="BM37" s="450"/>
      <c r="BN37" s="450"/>
      <c r="BO37" s="450"/>
      <c r="BP37" s="450"/>
      <c r="BQ37" s="450"/>
      <c r="BR37" s="450"/>
      <c r="BS37" s="450"/>
      <c r="BT37" s="450"/>
      <c r="BU37" s="450"/>
      <c r="BV37" s="450"/>
      <c r="BW37" s="450"/>
      <c r="BX37" s="450"/>
      <c r="BY37" s="450"/>
      <c r="BZ37" s="450"/>
      <c r="CA37" s="450">
        <f>COUNTIF(AI37:AW37,"*OK*")</f>
        <v>0</v>
      </c>
      <c r="CB37" s="450"/>
      <c r="CC37" s="450">
        <f>COUNTIF(AI37:AW37,"*OP*")</f>
        <v>0</v>
      </c>
    </row>
    <row r="38" spans="1:81" s="570" customFormat="1" ht="14.25" customHeight="1">
      <c r="A38" s="470">
        <v>20172</v>
      </c>
      <c r="B38" s="471"/>
      <c r="C38" s="451">
        <f>T38</f>
        <v>306.62</v>
      </c>
      <c r="D38" s="471">
        <f>COUNTIF(AI38:AW38,"*OK*")</f>
        <v>0</v>
      </c>
      <c r="E38" s="471"/>
      <c r="F38" s="473" t="s">
        <v>193</v>
      </c>
      <c r="G38" s="473" t="s">
        <v>194</v>
      </c>
      <c r="H38" s="474"/>
      <c r="I38" s="474"/>
      <c r="J38" s="473"/>
      <c r="K38" s="556" t="s">
        <v>68</v>
      </c>
      <c r="L38" s="473" t="s">
        <v>69</v>
      </c>
      <c r="M38" s="473"/>
      <c r="N38" s="476" t="s">
        <v>65</v>
      </c>
      <c r="O38" s="477">
        <v>292.74</v>
      </c>
      <c r="P38" s="477">
        <v>310.39999999999998</v>
      </c>
      <c r="Q38" s="477">
        <v>295.8</v>
      </c>
      <c r="R38" s="478">
        <v>0</v>
      </c>
      <c r="S38" s="459">
        <v>338.9307</v>
      </c>
      <c r="T38" s="469">
        <v>306.62</v>
      </c>
      <c r="U38" s="479"/>
      <c r="V38" s="480">
        <v>100</v>
      </c>
      <c r="W38" s="481"/>
      <c r="X38" s="482" t="s">
        <v>70</v>
      </c>
      <c r="Y38" s="483" t="s">
        <v>71</v>
      </c>
      <c r="Z38" s="484" t="s">
        <v>195</v>
      </c>
      <c r="AA38" s="480" t="s">
        <v>59</v>
      </c>
      <c r="AB38" s="474" t="s">
        <v>137</v>
      </c>
      <c r="AC38" s="471"/>
      <c r="AD38" s="471"/>
      <c r="AE38" s="471"/>
      <c r="AF38" s="471"/>
      <c r="AG38" s="471"/>
      <c r="AH38" s="494" t="s">
        <v>59</v>
      </c>
      <c r="AI38" s="486"/>
      <c r="AJ38" s="486"/>
      <c r="AK38" s="486"/>
      <c r="AL38" s="486"/>
      <c r="AM38" s="486"/>
      <c r="AN38" s="486"/>
      <c r="AO38" s="486"/>
      <c r="AP38" s="486"/>
      <c r="AQ38" s="486"/>
      <c r="AR38" s="486"/>
      <c r="AS38" s="486"/>
      <c r="AT38" s="486"/>
      <c r="AU38" s="486"/>
      <c r="AV38" s="486"/>
      <c r="AW38" s="486"/>
      <c r="AX38" s="486"/>
      <c r="AY38" s="486">
        <f>COUNTIF(AI38:AX38,"*OP*")</f>
        <v>0</v>
      </c>
      <c r="AZ38" s="485" t="s">
        <v>59</v>
      </c>
      <c r="BA38" s="471">
        <f>(COUNTIF(AI38:AK38,"*OK*")*3) + (COUNTIF(AL38:AN38,"*OK*")*2) + COUNTIF(AO38:AQ38,"*OK*")+COUNTIF(AZ38:AZ38,"SI")*0.5</f>
        <v>0</v>
      </c>
      <c r="BB38" s="471" t="str">
        <f>IF(BA38&lt;0.6,"Demasiado Riesgo",IF(BA38&lt;=5,"Riesgo Medio",IF(BA38&lt;=11,"Riesgo Bajo","Cliente Blindado")))</f>
        <v>Demasiado Riesgo</v>
      </c>
      <c r="BC38" s="471"/>
      <c r="BD38" s="471"/>
      <c r="BE38" s="471">
        <v>0</v>
      </c>
      <c r="BF38" s="471"/>
      <c r="BG38" s="471"/>
      <c r="BH38" s="471"/>
      <c r="BI38" s="471"/>
      <c r="BJ38" s="471"/>
      <c r="BK38" s="471"/>
      <c r="BL38" s="471"/>
      <c r="BM38" s="471"/>
      <c r="BN38" s="471"/>
      <c r="BO38" s="471"/>
      <c r="BP38" s="471"/>
      <c r="BQ38" s="471"/>
      <c r="BR38" s="471"/>
      <c r="BS38" s="471"/>
      <c r="BT38" s="471"/>
      <c r="BU38" s="471"/>
      <c r="BV38" s="471"/>
      <c r="BW38" s="471"/>
      <c r="BX38" s="471"/>
      <c r="BY38" s="471"/>
      <c r="BZ38" s="471"/>
      <c r="CA38" s="471">
        <f>COUNTIF(AI38:AW38,"*OK*")</f>
        <v>0</v>
      </c>
      <c r="CB38" s="471"/>
      <c r="CC38" s="471">
        <f>COUNTIF(AI38:AW38,"*OP*")</f>
        <v>0</v>
      </c>
    </row>
    <row r="39" spans="1:81" ht="14.25" customHeight="1">
      <c r="A39" s="449">
        <v>22272</v>
      </c>
      <c r="B39" s="450" t="s">
        <v>196</v>
      </c>
      <c r="C39" s="451">
        <f>T39</f>
        <v>309.26</v>
      </c>
      <c r="D39" s="450">
        <f>COUNTIF(AI39:AW39,"*OK*")</f>
        <v>2</v>
      </c>
      <c r="E39" s="450"/>
      <c r="F39" s="571" t="s">
        <v>197</v>
      </c>
      <c r="G39" s="453" t="s">
        <v>94</v>
      </c>
      <c r="H39" s="454"/>
      <c r="I39" s="454"/>
      <c r="J39" s="453"/>
      <c r="K39" s="552" t="s">
        <v>68</v>
      </c>
      <c r="L39" s="453" t="s">
        <v>69</v>
      </c>
      <c r="M39" s="453"/>
      <c r="N39" s="456" t="s">
        <v>65</v>
      </c>
      <c r="O39" s="457">
        <v>319.36</v>
      </c>
      <c r="P39" s="457">
        <v>324.48</v>
      </c>
      <c r="Q39" s="457">
        <v>298.92</v>
      </c>
      <c r="R39" s="458">
        <v>311.2</v>
      </c>
      <c r="S39" s="459">
        <v>304.6026</v>
      </c>
      <c r="T39" s="460">
        <v>309.26</v>
      </c>
      <c r="U39" s="461"/>
      <c r="V39" s="462">
        <v>100</v>
      </c>
      <c r="W39" s="463"/>
      <c r="X39" s="464" t="s">
        <v>198</v>
      </c>
      <c r="Y39" s="465" t="s">
        <v>150</v>
      </c>
      <c r="Z39" s="466" t="s">
        <v>199</v>
      </c>
      <c r="AA39" s="462" t="s">
        <v>200</v>
      </c>
      <c r="AB39" s="454" t="s">
        <v>92</v>
      </c>
      <c r="AC39" s="450"/>
      <c r="AD39" s="450"/>
      <c r="AE39" s="450"/>
      <c r="AF39" s="450"/>
      <c r="AG39" s="450"/>
      <c r="AH39" s="466" t="s">
        <v>127</v>
      </c>
      <c r="AI39" s="467"/>
      <c r="AJ39" s="467"/>
      <c r="AK39" s="467" t="s">
        <v>111</v>
      </c>
      <c r="AL39" s="467"/>
      <c r="AM39" s="467" t="s">
        <v>111</v>
      </c>
      <c r="AN39" s="467"/>
      <c r="AO39" s="467"/>
      <c r="AP39" s="467"/>
      <c r="AQ39" s="467"/>
      <c r="AR39" s="467"/>
      <c r="AS39" s="467"/>
      <c r="AT39" s="467"/>
      <c r="AU39" s="467"/>
      <c r="AV39" s="467"/>
      <c r="AW39" s="467"/>
      <c r="AX39" s="467"/>
      <c r="AY39" s="486">
        <f>COUNTIF(AI39:AX39,"*OP*")</f>
        <v>0</v>
      </c>
      <c r="AZ39" s="499" t="s">
        <v>59</v>
      </c>
      <c r="BA39" s="450">
        <f>(COUNTIF(AI39:AK39,"*OK*")*3) + (COUNTIF(AL39:AN39,"*OK*")*2) + COUNTIF(AO39:AQ39,"*OK*")+COUNTIF(AZ39:AZ39,"SI")*0.5</f>
        <v>5</v>
      </c>
      <c r="BB39" s="450" t="str">
        <f>IF(BA39&lt;0.6,"Demasiado Riesgo",IF(BA39&lt;=5,"Riesgo Medio",IF(BA39&lt;=11,"Riesgo Bajo","Cliente Blindado")))</f>
        <v>Riesgo Medio</v>
      </c>
      <c r="BC39" s="450"/>
      <c r="BD39" s="471"/>
      <c r="BE39" s="471">
        <v>0</v>
      </c>
      <c r="BF39" s="471"/>
      <c r="BG39" s="471"/>
      <c r="BH39" s="471"/>
      <c r="BI39" s="471"/>
      <c r="BJ39" s="471"/>
      <c r="BK39" s="471"/>
      <c r="BL39" s="471"/>
      <c r="BM39" s="471"/>
      <c r="BN39" s="471"/>
      <c r="BO39" s="471"/>
      <c r="BP39" s="471"/>
      <c r="BQ39" s="471"/>
      <c r="BR39" s="471"/>
      <c r="BS39" s="471"/>
      <c r="BT39" s="471"/>
      <c r="BU39" s="471"/>
      <c r="BV39" s="471"/>
      <c r="BW39" s="471"/>
      <c r="BX39" s="471"/>
      <c r="BY39" s="471"/>
      <c r="BZ39" s="471"/>
      <c r="CA39" s="471">
        <f>COUNTIF(AI39:AW39,"*OK*")</f>
        <v>2</v>
      </c>
      <c r="CB39" s="471"/>
      <c r="CC39" s="471">
        <f>COUNTIF(AI39:AW39,"*OP*")</f>
        <v>0</v>
      </c>
    </row>
    <row r="40" spans="1:81" ht="14.25" customHeight="1">
      <c r="A40" s="488"/>
      <c r="B40" s="489"/>
      <c r="C40" s="451">
        <f>T40</f>
        <v>313.69</v>
      </c>
      <c r="D40" s="450">
        <f>COUNTIF(AI40:AW40,"*OK*")</f>
        <v>0</v>
      </c>
      <c r="E40" s="450"/>
      <c r="F40" s="453" t="s">
        <v>201</v>
      </c>
      <c r="G40" s="453" t="s">
        <v>123</v>
      </c>
      <c r="H40" s="454"/>
      <c r="I40" s="454"/>
      <c r="J40" s="453"/>
      <c r="K40" s="552" t="s">
        <v>79</v>
      </c>
      <c r="L40" s="453" t="s">
        <v>69</v>
      </c>
      <c r="M40" s="453"/>
      <c r="N40" s="456" t="s">
        <v>174</v>
      </c>
      <c r="O40" s="457">
        <v>288.86</v>
      </c>
      <c r="P40" s="457">
        <v>291.2</v>
      </c>
      <c r="Q40" s="457">
        <v>290.77</v>
      </c>
      <c r="R40" s="458">
        <v>302.69</v>
      </c>
      <c r="S40" s="459">
        <v>314.56349999999998</v>
      </c>
      <c r="T40" s="469">
        <v>313.69</v>
      </c>
      <c r="U40" s="461"/>
      <c r="V40" s="462">
        <v>300</v>
      </c>
      <c r="W40" s="463"/>
      <c r="X40" s="465" t="s">
        <v>124</v>
      </c>
      <c r="Y40" s="465" t="s">
        <v>125</v>
      </c>
      <c r="Z40" s="466" t="s">
        <v>202</v>
      </c>
      <c r="AA40" s="462" t="s">
        <v>59</v>
      </c>
      <c r="AB40" s="454" t="s">
        <v>97</v>
      </c>
      <c r="AC40" s="450"/>
      <c r="AD40" s="450"/>
      <c r="AE40" s="450"/>
      <c r="AF40" s="450"/>
      <c r="AG40" s="450"/>
      <c r="AH40" s="499" t="s">
        <v>59</v>
      </c>
      <c r="AI40" s="467"/>
      <c r="AJ40" s="467"/>
      <c r="AK40" s="467"/>
      <c r="AL40" s="467"/>
      <c r="AM40" s="467"/>
      <c r="AN40" s="467"/>
      <c r="AO40" s="467"/>
      <c r="AP40" s="467"/>
      <c r="AQ40" s="467"/>
      <c r="AR40" s="467"/>
      <c r="AS40" s="467"/>
      <c r="AT40" s="467"/>
      <c r="AU40" s="467"/>
      <c r="AV40" s="467"/>
      <c r="AW40" s="467"/>
      <c r="AX40" s="467"/>
      <c r="AY40" s="486">
        <f>COUNTIF(AI40:AX40,"*OP*")</f>
        <v>0</v>
      </c>
      <c r="AZ40" s="499" t="s">
        <v>59</v>
      </c>
      <c r="BA40" s="450">
        <f>(COUNTIF(AI40:AK40,"*OK*")*3) + (COUNTIF(AL40:AN40,"*OK*")*2) + COUNTIF(AO40:AQ40,"*OK*")+COUNTIF(AZ40:AZ40,"SI")*0.5</f>
        <v>0</v>
      </c>
      <c r="BB40" s="450" t="str">
        <f>IF(BA40&lt;0.6,"Demasiado Riesgo",IF(BA40&lt;=5,"Riesgo Medio",IF(BA40&lt;=11,"Riesgo Bajo","Cliente Blindado")))</f>
        <v>Demasiado Riesgo</v>
      </c>
      <c r="BC40" s="450"/>
      <c r="BD40" s="471"/>
      <c r="BE40" s="471">
        <v>0</v>
      </c>
      <c r="BF40" s="471"/>
      <c r="BG40" s="471"/>
      <c r="BH40" s="471"/>
      <c r="BI40" s="471"/>
      <c r="BJ40" s="471"/>
      <c r="BK40" s="471"/>
      <c r="BL40" s="471"/>
      <c r="BM40" s="471"/>
      <c r="BN40" s="471"/>
      <c r="BO40" s="471"/>
      <c r="BP40" s="471"/>
      <c r="BQ40" s="471"/>
      <c r="BR40" s="471"/>
      <c r="BS40" s="471"/>
      <c r="BT40" s="471"/>
      <c r="BU40" s="471"/>
      <c r="BV40" s="471"/>
      <c r="BW40" s="471"/>
      <c r="BX40" s="471"/>
      <c r="BY40" s="471"/>
      <c r="BZ40" s="471"/>
      <c r="CA40" s="471">
        <f>COUNTIF(AI40:AW40,"*OK*")</f>
        <v>0</v>
      </c>
      <c r="CB40" s="471"/>
      <c r="CC40" s="471">
        <f>COUNTIF(AI40:AW40,"*OP*")</f>
        <v>0</v>
      </c>
    </row>
    <row r="41" spans="1:81" ht="14.25" customHeight="1">
      <c r="A41" s="470">
        <v>25116</v>
      </c>
      <c r="B41" s="471" t="s">
        <v>203</v>
      </c>
      <c r="C41" s="451">
        <f>T41</f>
        <v>315.5</v>
      </c>
      <c r="D41" s="471">
        <f>COUNTIF(AI41:AW41,"*OK*")</f>
        <v>0</v>
      </c>
      <c r="E41" s="471"/>
      <c r="F41" s="473" t="s">
        <v>204</v>
      </c>
      <c r="G41" s="473"/>
      <c r="H41" s="474"/>
      <c r="I41" s="474"/>
      <c r="J41" s="473"/>
      <c r="K41" s="556" t="s">
        <v>68</v>
      </c>
      <c r="L41" s="473" t="s">
        <v>69</v>
      </c>
      <c r="M41" s="473"/>
      <c r="N41" s="476" t="s">
        <v>61</v>
      </c>
      <c r="O41" s="477">
        <v>377.32</v>
      </c>
      <c r="P41" s="477">
        <v>346.29</v>
      </c>
      <c r="Q41" s="477">
        <v>327.92</v>
      </c>
      <c r="R41" s="478">
        <v>347.1</v>
      </c>
      <c r="S41" s="459">
        <v>321.18060000000003</v>
      </c>
      <c r="T41" s="469">
        <v>315.5</v>
      </c>
      <c r="U41" s="479"/>
      <c r="V41" s="480">
        <v>150</v>
      </c>
      <c r="W41" s="481" t="s">
        <v>70</v>
      </c>
      <c r="X41" s="572" t="s">
        <v>70</v>
      </c>
      <c r="Y41" s="483" t="s">
        <v>89</v>
      </c>
      <c r="Z41" s="484" t="s">
        <v>205</v>
      </c>
      <c r="AA41" s="480" t="s">
        <v>91</v>
      </c>
      <c r="AB41" s="474" t="s">
        <v>92</v>
      </c>
      <c r="AC41" s="471"/>
      <c r="AD41" s="471"/>
      <c r="AE41" s="471"/>
      <c r="AF41" s="471"/>
      <c r="AG41" s="471"/>
      <c r="AH41" s="494" t="s">
        <v>127</v>
      </c>
      <c r="AI41" s="467"/>
      <c r="AJ41" s="467"/>
      <c r="AK41" s="467"/>
      <c r="AL41" s="467"/>
      <c r="AM41" s="467"/>
      <c r="AN41" s="467"/>
      <c r="AO41" s="467"/>
      <c r="AP41" s="467"/>
      <c r="AQ41" s="467"/>
      <c r="AR41" s="467"/>
      <c r="AS41" s="467"/>
      <c r="AT41" s="467"/>
      <c r="AU41" s="467"/>
      <c r="AV41" s="467"/>
      <c r="AW41" s="467"/>
      <c r="AX41" s="467"/>
      <c r="AY41" s="486">
        <f>COUNTIF(AI41:AX41,"*OP*")</f>
        <v>0</v>
      </c>
      <c r="AZ41" s="485" t="s">
        <v>176</v>
      </c>
      <c r="BA41" s="471">
        <f>(COUNTIF(AI41:AK41,"*OK*")*3) + (COUNTIF(AL41:AN41,"*OK*")*2) + COUNTIF(AO41:AQ41,"*OK*")+COUNTIF(AZ41:AZ41,"SI")*0.5</f>
        <v>0</v>
      </c>
      <c r="BB41" s="471" t="str">
        <f>IF(BA41&lt;0.6,"Demasiado Riesgo",IF(BA41&lt;=5,"Riesgo Medio",IF(BA41&lt;=11,"Riesgo Bajo","Cliente Blindado")))</f>
        <v>Demasiado Riesgo</v>
      </c>
      <c r="BC41" s="471"/>
      <c r="BD41" s="471"/>
      <c r="BE41" s="471">
        <v>0</v>
      </c>
      <c r="BF41" s="471"/>
      <c r="BG41" s="471"/>
      <c r="BH41" s="471"/>
      <c r="BI41" s="471"/>
      <c r="BJ41" s="471"/>
      <c r="BK41" s="471"/>
      <c r="BL41" s="471"/>
      <c r="BM41" s="471"/>
      <c r="BN41" s="471"/>
      <c r="BO41" s="471"/>
      <c r="BP41" s="471"/>
      <c r="BQ41" s="471"/>
      <c r="BR41" s="471"/>
      <c r="BS41" s="471"/>
      <c r="BT41" s="471"/>
      <c r="BU41" s="471"/>
      <c r="BV41" s="471"/>
      <c r="BW41" s="471"/>
      <c r="BX41" s="471"/>
      <c r="BY41" s="471"/>
      <c r="BZ41" s="471"/>
      <c r="CA41" s="471">
        <f>COUNTIF(AI41:AW41,"*OK*")</f>
        <v>0</v>
      </c>
      <c r="CB41" s="471"/>
      <c r="CC41" s="471">
        <f>COUNTIF(AI41:AW41,"*OP*")</f>
        <v>0</v>
      </c>
    </row>
    <row r="42" spans="1:81" ht="14.25" customHeight="1">
      <c r="A42" s="563">
        <v>27840</v>
      </c>
      <c r="B42" s="536"/>
      <c r="C42" s="451">
        <f>T42</f>
        <v>316.35000000000002</v>
      </c>
      <c r="D42" s="471">
        <f>COUNTIF(AI42:AW42,"*OK*")</f>
        <v>0</v>
      </c>
      <c r="E42" s="471"/>
      <c r="F42" s="473" t="s">
        <v>206</v>
      </c>
      <c r="G42" s="473" t="s">
        <v>207</v>
      </c>
      <c r="H42" s="474"/>
      <c r="I42" s="474"/>
      <c r="J42" s="473"/>
      <c r="K42" s="475" t="s">
        <v>68</v>
      </c>
      <c r="L42" s="473" t="s">
        <v>69</v>
      </c>
      <c r="M42" s="473"/>
      <c r="N42" s="476" t="s">
        <v>65</v>
      </c>
      <c r="O42" s="477">
        <v>285.07</v>
      </c>
      <c r="P42" s="477">
        <v>292.02</v>
      </c>
      <c r="Q42" s="477">
        <v>319.51</v>
      </c>
      <c r="R42" s="478">
        <v>328.35</v>
      </c>
      <c r="S42" s="459">
        <v>319.8605</v>
      </c>
      <c r="T42" s="487">
        <v>316.35000000000002</v>
      </c>
      <c r="U42" s="479"/>
      <c r="V42" s="480">
        <v>200</v>
      </c>
      <c r="W42" s="481"/>
      <c r="X42" s="572" t="s">
        <v>70</v>
      </c>
      <c r="Y42" s="483" t="s">
        <v>71</v>
      </c>
      <c r="Z42" s="484" t="s">
        <v>208</v>
      </c>
      <c r="AA42" s="480" t="s">
        <v>59</v>
      </c>
      <c r="AB42" s="474" t="s">
        <v>97</v>
      </c>
      <c r="AC42" s="471"/>
      <c r="AD42" s="471"/>
      <c r="AE42" s="471"/>
      <c r="AF42" s="471"/>
      <c r="AG42" s="471"/>
      <c r="AH42" s="484" t="s">
        <v>59</v>
      </c>
      <c r="AI42" s="467"/>
      <c r="AJ42" s="467"/>
      <c r="AK42" s="467"/>
      <c r="AL42" s="467"/>
      <c r="AM42" s="467"/>
      <c r="AN42" s="467"/>
      <c r="AO42" s="467"/>
      <c r="AP42" s="467"/>
      <c r="AQ42" s="467"/>
      <c r="AR42" s="467"/>
      <c r="AS42" s="467"/>
      <c r="AT42" s="467"/>
      <c r="AU42" s="467"/>
      <c r="AV42" s="467"/>
      <c r="AW42" s="467"/>
      <c r="AX42" s="467"/>
      <c r="AY42" s="486">
        <f>COUNTIF(AI42:AX42,"*OP*")</f>
        <v>0</v>
      </c>
      <c r="AZ42" s="485" t="s">
        <v>59</v>
      </c>
      <c r="BA42" s="471">
        <f>(COUNTIF(AI42:AK42,"*OK*")*3) + (COUNTIF(AL42:AN42,"*OK*")*2) + COUNTIF(AO42:AQ42,"*OK*")+COUNTIF(AZ42:AZ42,"SI")*0.5</f>
        <v>0</v>
      </c>
      <c r="BB42" s="471" t="str">
        <f>IF(BA42&lt;0.6,"Demasiado Riesgo",IF(BA42&lt;=5,"Riesgo Medio",IF(BA42&lt;=11,"Riesgo Bajo","Cliente Blindado")))</f>
        <v>Demasiado Riesgo</v>
      </c>
      <c r="BC42" s="471"/>
      <c r="BD42" s="450"/>
      <c r="BE42" s="450">
        <v>0</v>
      </c>
      <c r="BF42" s="450"/>
      <c r="BG42" s="450"/>
      <c r="BH42" s="450"/>
      <c r="BI42" s="450"/>
      <c r="BJ42" s="450"/>
      <c r="BK42" s="450"/>
      <c r="BL42" s="450"/>
      <c r="BM42" s="450"/>
      <c r="BN42" s="450"/>
      <c r="BO42" s="450"/>
      <c r="BP42" s="450"/>
      <c r="BQ42" s="450"/>
      <c r="BR42" s="450"/>
      <c r="BS42" s="450"/>
      <c r="BT42" s="450"/>
      <c r="BU42" s="450"/>
      <c r="BV42" s="450"/>
      <c r="BW42" s="450"/>
      <c r="BX42" s="450"/>
      <c r="BY42" s="450"/>
      <c r="BZ42" s="450"/>
      <c r="CA42" s="450">
        <f>COUNTIF(AI42:AW42,"*OK*")</f>
        <v>0</v>
      </c>
      <c r="CB42" s="450"/>
      <c r="CC42" s="450">
        <f>COUNTIF(AI42:AW42,"*OP*")</f>
        <v>0</v>
      </c>
    </row>
    <row r="43" spans="1:81" ht="14.25" customHeight="1">
      <c r="A43" s="470">
        <v>30960</v>
      </c>
      <c r="B43" s="471" t="s">
        <v>209</v>
      </c>
      <c r="C43" s="451">
        <f>T43</f>
        <v>322.58999999999997</v>
      </c>
      <c r="D43" s="471">
        <f>COUNTIF(AI43:AW43,"*OK*")</f>
        <v>0</v>
      </c>
      <c r="E43" s="471"/>
      <c r="F43" s="473" t="s">
        <v>210</v>
      </c>
      <c r="G43" s="473"/>
      <c r="H43" s="474"/>
      <c r="I43" s="474"/>
      <c r="J43" s="473"/>
      <c r="K43" s="556" t="s">
        <v>68</v>
      </c>
      <c r="L43" s="473" t="s">
        <v>69</v>
      </c>
      <c r="M43" s="473"/>
      <c r="N43" s="476" t="s">
        <v>65</v>
      </c>
      <c r="O43" s="477">
        <v>338.31</v>
      </c>
      <c r="P43" s="477">
        <v>335.29</v>
      </c>
      <c r="Q43" s="477">
        <v>322.11</v>
      </c>
      <c r="R43" s="478">
        <v>337.8</v>
      </c>
      <c r="S43" s="459">
        <v>331.55860000000001</v>
      </c>
      <c r="T43" s="487">
        <v>322.58999999999997</v>
      </c>
      <c r="U43" s="479"/>
      <c r="V43" s="480">
        <v>150</v>
      </c>
      <c r="W43" s="481" t="s">
        <v>70</v>
      </c>
      <c r="X43" s="482" t="s">
        <v>70</v>
      </c>
      <c r="Y43" s="483" t="s">
        <v>150</v>
      </c>
      <c r="Z43" s="484" t="s">
        <v>211</v>
      </c>
      <c r="AA43" s="480" t="s">
        <v>59</v>
      </c>
      <c r="AB43" s="474" t="s">
        <v>92</v>
      </c>
      <c r="AC43" s="471"/>
      <c r="AD43" s="471"/>
      <c r="AE43" s="471"/>
      <c r="AF43" s="471"/>
      <c r="AG43" s="471"/>
      <c r="AH43" s="484" t="s">
        <v>59</v>
      </c>
      <c r="AI43" s="467"/>
      <c r="AJ43" s="467"/>
      <c r="AK43" s="467"/>
      <c r="AL43" s="467"/>
      <c r="AM43" s="467"/>
      <c r="AN43" s="467"/>
      <c r="AO43" s="467"/>
      <c r="AP43" s="467"/>
      <c r="AQ43" s="467"/>
      <c r="AR43" s="467"/>
      <c r="AS43" s="467"/>
      <c r="AT43" s="467"/>
      <c r="AU43" s="467"/>
      <c r="AV43" s="467"/>
      <c r="AW43" s="467"/>
      <c r="AX43" s="467"/>
      <c r="AY43" s="468">
        <f>COUNTIF(AI43:AX43,"*OP*")</f>
        <v>0</v>
      </c>
      <c r="AZ43" s="484" t="s">
        <v>59</v>
      </c>
      <c r="BA43" s="471">
        <f>(COUNTIF(AI43:AK43,"*OK*")*3) + (COUNTIF(AL43:AN43,"*OK*")*2) + COUNTIF(AO43:AQ43,"*OK*")+COUNTIF(AZ43:AZ43,"SI")*0.5</f>
        <v>0</v>
      </c>
      <c r="BB43" s="471" t="str">
        <f>IF(BA43&lt;0.6,"Demasiado Riesgo",IF(BA43&lt;=5,"Riesgo Medio",IF(BA43&lt;=11,"Riesgo Bajo","Cliente Blindado")))</f>
        <v>Demasiado Riesgo</v>
      </c>
      <c r="BC43" s="471"/>
      <c r="BD43" s="450"/>
      <c r="BE43" s="450">
        <v>0</v>
      </c>
      <c r="BF43" s="450"/>
      <c r="BG43" s="450"/>
      <c r="BH43" s="450"/>
      <c r="BI43" s="450"/>
      <c r="BJ43" s="450"/>
      <c r="BK43" s="450"/>
      <c r="BL43" s="450"/>
      <c r="BM43" s="450"/>
      <c r="BN43" s="450"/>
      <c r="BO43" s="450"/>
      <c r="BP43" s="450"/>
      <c r="BQ43" s="450"/>
      <c r="BR43" s="450"/>
      <c r="BS43" s="450"/>
      <c r="BT43" s="450"/>
      <c r="BU43" s="450"/>
      <c r="BV43" s="450"/>
      <c r="BW43" s="450"/>
      <c r="BX43" s="450"/>
      <c r="BY43" s="450"/>
      <c r="BZ43" s="450"/>
      <c r="CA43" s="450">
        <f>COUNTIF(AI43:AW43,"*OK*")</f>
        <v>0</v>
      </c>
      <c r="CB43" s="450"/>
      <c r="CC43" s="450">
        <f>COUNTIF(AI43:AW43,"*OP*")</f>
        <v>0</v>
      </c>
    </row>
    <row r="44" spans="1:81" ht="14.25" customHeight="1">
      <c r="A44" s="488"/>
      <c r="B44" s="489"/>
      <c r="C44" s="451">
        <f>T44</f>
        <v>346.25</v>
      </c>
      <c r="D44" s="450">
        <f>COUNTIF(AI44:AW44,"*OK*")</f>
        <v>0</v>
      </c>
      <c r="E44" s="450"/>
      <c r="F44" s="453" t="s">
        <v>212</v>
      </c>
      <c r="G44" s="453" t="s">
        <v>123</v>
      </c>
      <c r="H44" s="454"/>
      <c r="I44" s="454"/>
      <c r="J44" s="453"/>
      <c r="K44" s="552" t="s">
        <v>79</v>
      </c>
      <c r="L44" s="453" t="s">
        <v>69</v>
      </c>
      <c r="M44" s="453"/>
      <c r="N44" s="456" t="s">
        <v>65</v>
      </c>
      <c r="O44" s="457">
        <v>329.75</v>
      </c>
      <c r="P44" s="457">
        <v>334.67</v>
      </c>
      <c r="Q44" s="457">
        <v>331.36</v>
      </c>
      <c r="R44" s="458">
        <v>345.44</v>
      </c>
      <c r="S44" s="459">
        <v>357.02530000000002</v>
      </c>
      <c r="T44" s="469">
        <v>346.25</v>
      </c>
      <c r="U44" s="461"/>
      <c r="V44" s="462">
        <v>200</v>
      </c>
      <c r="W44" s="463"/>
      <c r="X44" s="464" t="s">
        <v>124</v>
      </c>
      <c r="Y44" s="465" t="s">
        <v>125</v>
      </c>
      <c r="Z44" s="466" t="s">
        <v>213</v>
      </c>
      <c r="AA44" s="462" t="s">
        <v>59</v>
      </c>
      <c r="AB44" s="454" t="s">
        <v>92</v>
      </c>
      <c r="AC44" s="450"/>
      <c r="AD44" s="450"/>
      <c r="AE44" s="450"/>
      <c r="AF44" s="450"/>
      <c r="AG44" s="450"/>
      <c r="AH44" s="499" t="s">
        <v>127</v>
      </c>
      <c r="AI44" s="467"/>
      <c r="AJ44" s="467"/>
      <c r="AK44" s="467"/>
      <c r="AL44" s="467"/>
      <c r="AM44" s="467"/>
      <c r="AN44" s="467"/>
      <c r="AO44" s="467"/>
      <c r="AP44" s="467"/>
      <c r="AQ44" s="467"/>
      <c r="AR44" s="467"/>
      <c r="AS44" s="467"/>
      <c r="AT44" s="467"/>
      <c r="AU44" s="467"/>
      <c r="AV44" s="467"/>
      <c r="AW44" s="467"/>
      <c r="AX44" s="467"/>
      <c r="AY44" s="486">
        <f>COUNTIF(AI44:AX44,"*OP*")</f>
        <v>0</v>
      </c>
      <c r="AZ44" s="499" t="s">
        <v>59</v>
      </c>
      <c r="BA44" s="450">
        <f>(COUNTIF(AI44:AK44,"*OK*")*3) + (COUNTIF(AL44:AN44,"*OK*")*2) + COUNTIF(AO44:AQ44,"*OK*")+COUNTIF(AZ44:AZ44,"SI")*0.5</f>
        <v>0</v>
      </c>
      <c r="BB44" s="450" t="str">
        <f>IF(BA44&lt;0.6,"Demasiado Riesgo",IF(BA44&lt;=5,"Riesgo Medio",IF(BA44&lt;=11,"Riesgo Bajo","Cliente Blindado")))</f>
        <v>Demasiado Riesgo</v>
      </c>
      <c r="BC44" s="450"/>
      <c r="BD44" s="471"/>
      <c r="BE44" s="471">
        <v>0</v>
      </c>
      <c r="BF44" s="471"/>
      <c r="BG44" s="471"/>
      <c r="BH44" s="471"/>
      <c r="BI44" s="471"/>
      <c r="BJ44" s="471"/>
      <c r="BK44" s="471"/>
      <c r="BL44" s="471"/>
      <c r="BM44" s="471"/>
      <c r="BN44" s="471"/>
      <c r="BO44" s="471"/>
      <c r="BP44" s="471"/>
      <c r="BQ44" s="471"/>
      <c r="BR44" s="471"/>
      <c r="BS44" s="471"/>
      <c r="BT44" s="471"/>
      <c r="BU44" s="471"/>
      <c r="BV44" s="471"/>
      <c r="BW44" s="471"/>
      <c r="BX44" s="471"/>
      <c r="BY44" s="471"/>
      <c r="BZ44" s="471"/>
      <c r="CA44" s="471">
        <f>COUNTIF(AI44:AW44,"*OK*")</f>
        <v>0</v>
      </c>
      <c r="CB44" s="471"/>
      <c r="CC44" s="471">
        <f>COUNTIF(AI44:AW44,"*OP*")</f>
        <v>0</v>
      </c>
    </row>
    <row r="45" spans="1:81" ht="14.25" customHeight="1">
      <c r="A45" s="563">
        <v>22380</v>
      </c>
      <c r="B45" s="536" t="s">
        <v>214</v>
      </c>
      <c r="C45" s="451">
        <f>T45</f>
        <v>355.76</v>
      </c>
      <c r="D45" s="471">
        <f>COUNTIF(AI45:AW45,"*OK*")</f>
        <v>0</v>
      </c>
      <c r="E45" s="471"/>
      <c r="F45" s="473" t="s">
        <v>215</v>
      </c>
      <c r="G45" s="473"/>
      <c r="H45" s="474"/>
      <c r="I45" s="474"/>
      <c r="J45" s="473"/>
      <c r="K45" s="475" t="s">
        <v>68</v>
      </c>
      <c r="L45" s="473" t="s">
        <v>69</v>
      </c>
      <c r="M45" s="473"/>
      <c r="N45" s="476" t="s">
        <v>135</v>
      </c>
      <c r="O45" s="477">
        <v>314.89</v>
      </c>
      <c r="P45" s="477">
        <v>329.07</v>
      </c>
      <c r="Q45" s="477">
        <v>387.84</v>
      </c>
      <c r="R45" s="478">
        <v>302.35000000000002</v>
      </c>
      <c r="S45" s="459">
        <v>368.07100000000003</v>
      </c>
      <c r="T45" s="487">
        <v>355.76</v>
      </c>
      <c r="U45" s="479"/>
      <c r="V45" s="480">
        <v>200</v>
      </c>
      <c r="W45" s="481" t="s">
        <v>70</v>
      </c>
      <c r="X45" s="493" t="s">
        <v>70</v>
      </c>
      <c r="Y45" s="483" t="s">
        <v>108</v>
      </c>
      <c r="Z45" s="484" t="s">
        <v>216</v>
      </c>
      <c r="AA45" s="480" t="s">
        <v>108</v>
      </c>
      <c r="AB45" s="474" t="s">
        <v>92</v>
      </c>
      <c r="AC45" s="471"/>
      <c r="AD45" s="471"/>
      <c r="AE45" s="471"/>
      <c r="AF45" s="471"/>
      <c r="AG45" s="471"/>
      <c r="AH45" s="494" t="s">
        <v>59</v>
      </c>
      <c r="AI45" s="467"/>
      <c r="AJ45" s="467"/>
      <c r="AK45" s="467"/>
      <c r="AL45" s="467"/>
      <c r="AM45" s="467"/>
      <c r="AN45" s="467"/>
      <c r="AO45" s="467"/>
      <c r="AP45" s="467"/>
      <c r="AQ45" s="467"/>
      <c r="AR45" s="467"/>
      <c r="AS45" s="467"/>
      <c r="AT45" s="467"/>
      <c r="AU45" s="467"/>
      <c r="AV45" s="467"/>
      <c r="AW45" s="467"/>
      <c r="AX45" s="467"/>
      <c r="AY45" s="486">
        <f>COUNTIF(AI45:AX45,"*OP*")</f>
        <v>0</v>
      </c>
      <c r="AZ45" s="485" t="s">
        <v>59</v>
      </c>
      <c r="BA45" s="471">
        <f>(COUNTIF(AI45:AK45,"*OK*")*3) + (COUNTIF(AL45:AN45,"*OK*")*2) + COUNTIF(AO45:AQ45,"*OK*")+COUNTIF(AZ45:AZ45,"SI")*0.5</f>
        <v>0</v>
      </c>
      <c r="BB45" s="471" t="str">
        <f>IF(BA45&lt;0.6,"Demasiado Riesgo",IF(BA45&lt;=5,"Riesgo Medio",IF(BA45&lt;=11,"Riesgo Bajo","Cliente Blindado")))</f>
        <v>Demasiado Riesgo</v>
      </c>
      <c r="BC45" s="471"/>
      <c r="BD45" s="450"/>
      <c r="BE45" s="450">
        <v>0</v>
      </c>
      <c r="BF45" s="450"/>
      <c r="BG45" s="450"/>
      <c r="BH45" s="450"/>
      <c r="BI45" s="450"/>
      <c r="BJ45" s="450"/>
      <c r="BK45" s="450"/>
      <c r="BL45" s="450"/>
      <c r="BM45" s="450"/>
      <c r="BN45" s="450"/>
      <c r="BO45" s="450"/>
      <c r="BP45" s="450"/>
      <c r="BQ45" s="450"/>
      <c r="BR45" s="450"/>
      <c r="BS45" s="450"/>
      <c r="BT45" s="450"/>
      <c r="BU45" s="450"/>
      <c r="BV45" s="450"/>
      <c r="BW45" s="450"/>
      <c r="BX45" s="450"/>
      <c r="BY45" s="450"/>
      <c r="BZ45" s="450"/>
      <c r="CA45" s="450">
        <f>COUNTIF(AI45:AW45,"*OK*")</f>
        <v>0</v>
      </c>
      <c r="CB45" s="450"/>
      <c r="CC45" s="450">
        <f>COUNTIF(AI45:AW45,"*OP*")</f>
        <v>0</v>
      </c>
    </row>
    <row r="46" spans="1:81" ht="14.25" customHeight="1">
      <c r="A46" s="563">
        <v>20750</v>
      </c>
      <c r="B46" s="536" t="s">
        <v>217</v>
      </c>
      <c r="C46" s="451">
        <f>T46</f>
        <v>360.71</v>
      </c>
      <c r="D46" s="471">
        <f>COUNTIF(AI46:AW46,"*OK*")</f>
        <v>0</v>
      </c>
      <c r="E46" s="471"/>
      <c r="F46" s="473" t="s">
        <v>218</v>
      </c>
      <c r="G46" s="473"/>
      <c r="H46" s="474"/>
      <c r="I46" s="474"/>
      <c r="J46" s="473"/>
      <c r="K46" s="475" t="s">
        <v>68</v>
      </c>
      <c r="L46" s="473" t="s">
        <v>69</v>
      </c>
      <c r="M46" s="473"/>
      <c r="N46" s="476" t="s">
        <v>65</v>
      </c>
      <c r="O46" s="477">
        <v>374.73</v>
      </c>
      <c r="P46" s="477">
        <v>362.42</v>
      </c>
      <c r="Q46" s="477">
        <v>338.87</v>
      </c>
      <c r="R46" s="478">
        <v>354.82</v>
      </c>
      <c r="S46" s="459">
        <v>359.59609999999998</v>
      </c>
      <c r="T46" s="490">
        <v>360.71</v>
      </c>
      <c r="U46" s="479"/>
      <c r="V46" s="480">
        <v>300</v>
      </c>
      <c r="W46" s="481" t="s">
        <v>70</v>
      </c>
      <c r="X46" s="572" t="s">
        <v>70</v>
      </c>
      <c r="Y46" s="483" t="s">
        <v>80</v>
      </c>
      <c r="Z46" s="484" t="s">
        <v>219</v>
      </c>
      <c r="AA46" s="480" t="s">
        <v>220</v>
      </c>
      <c r="AB46" s="474" t="s">
        <v>137</v>
      </c>
      <c r="AC46" s="471"/>
      <c r="AD46" s="471"/>
      <c r="AE46" s="471"/>
      <c r="AF46" s="471"/>
      <c r="AG46" s="471"/>
      <c r="AH46" s="494" t="s">
        <v>59</v>
      </c>
      <c r="AI46" s="467"/>
      <c r="AJ46" s="467"/>
      <c r="AK46" s="467"/>
      <c r="AL46" s="467"/>
      <c r="AM46" s="467"/>
      <c r="AN46" s="467"/>
      <c r="AO46" s="467"/>
      <c r="AP46" s="467"/>
      <c r="AQ46" s="467"/>
      <c r="AR46" s="467"/>
      <c r="AS46" s="467"/>
      <c r="AT46" s="467"/>
      <c r="AU46" s="467"/>
      <c r="AV46" s="467"/>
      <c r="AW46" s="467"/>
      <c r="AX46" s="467"/>
      <c r="AY46" s="486">
        <f>COUNTIF(AI46:AX46,"*OP*")</f>
        <v>0</v>
      </c>
      <c r="AZ46" s="485" t="s">
        <v>59</v>
      </c>
      <c r="BA46" s="471">
        <f>(COUNTIF(AI46:AK46,"*OK*")*3) + (COUNTIF(AL46:AN46,"*OK*")*2) + COUNTIF(AO46:AQ46,"*OK*")+COUNTIF(AZ46:AZ46,"SI")*0.5</f>
        <v>0</v>
      </c>
      <c r="BB46" s="471" t="str">
        <f>IF(BA46&lt;0.6,"Demasiado Riesgo",IF(BA46&lt;=5,"Riesgo Medio",IF(BA46&lt;=11,"Riesgo Bajo","Cliente Blindado")))</f>
        <v>Demasiado Riesgo</v>
      </c>
      <c r="BC46" s="471"/>
      <c r="BD46" s="450"/>
      <c r="BE46" s="450">
        <v>0</v>
      </c>
      <c r="BF46" s="450"/>
      <c r="BG46" s="450"/>
      <c r="BH46" s="450"/>
      <c r="BI46" s="450"/>
      <c r="BJ46" s="450"/>
      <c r="BK46" s="450"/>
      <c r="BL46" s="450"/>
      <c r="BM46" s="450"/>
      <c r="BN46" s="450"/>
      <c r="BO46" s="450"/>
      <c r="BP46" s="450"/>
      <c r="BQ46" s="450"/>
      <c r="BR46" s="450"/>
      <c r="BS46" s="450"/>
      <c r="BT46" s="450"/>
      <c r="BU46" s="450"/>
      <c r="BV46" s="450"/>
      <c r="BW46" s="450"/>
      <c r="BX46" s="450"/>
      <c r="BY46" s="450"/>
      <c r="BZ46" s="450"/>
      <c r="CA46" s="450">
        <f>COUNTIF(AI46:AW46,"*OK*")</f>
        <v>0</v>
      </c>
      <c r="CB46" s="450"/>
      <c r="CC46" s="450">
        <f>COUNTIF(AI46:AW46,"*OP*")</f>
        <v>0</v>
      </c>
    </row>
    <row r="47" spans="1:81" ht="14.25" customHeight="1">
      <c r="A47" s="488">
        <v>22251</v>
      </c>
      <c r="B47" s="489" t="s">
        <v>221</v>
      </c>
      <c r="C47" s="451">
        <f>T47</f>
        <v>370.48</v>
      </c>
      <c r="D47" s="450">
        <f>COUNTIF(AI47:AW47,"*OK*")</f>
        <v>0</v>
      </c>
      <c r="E47" s="450"/>
      <c r="F47" s="453" t="s">
        <v>222</v>
      </c>
      <c r="G47" s="453"/>
      <c r="H47" s="454"/>
      <c r="I47" s="454"/>
      <c r="J47" s="453"/>
      <c r="K47" s="455" t="s">
        <v>68</v>
      </c>
      <c r="L47" s="453" t="s">
        <v>69</v>
      </c>
      <c r="M47" s="453"/>
      <c r="N47" s="456" t="s">
        <v>65</v>
      </c>
      <c r="O47" s="457">
        <v>432.51</v>
      </c>
      <c r="P47" s="457">
        <v>311.88</v>
      </c>
      <c r="Q47" s="457">
        <v>311.54000000000002</v>
      </c>
      <c r="R47" s="458">
        <v>717.05</v>
      </c>
      <c r="S47" s="459">
        <v>363.35</v>
      </c>
      <c r="T47" s="460">
        <v>370.48</v>
      </c>
      <c r="U47" s="461"/>
      <c r="V47" s="462">
        <v>150</v>
      </c>
      <c r="W47" s="463" t="s">
        <v>70</v>
      </c>
      <c r="X47" s="567" t="s">
        <v>70</v>
      </c>
      <c r="Y47" s="465" t="s">
        <v>125</v>
      </c>
      <c r="Z47" s="466" t="s">
        <v>223</v>
      </c>
      <c r="AA47" s="462" t="s">
        <v>145</v>
      </c>
      <c r="AB47" s="454" t="s">
        <v>84</v>
      </c>
      <c r="AC47" s="450"/>
      <c r="AD47" s="450"/>
      <c r="AE47" s="450"/>
      <c r="AF47" s="450"/>
      <c r="AG47" s="450"/>
      <c r="AH47" s="496" t="s">
        <v>59</v>
      </c>
      <c r="AI47" s="467"/>
      <c r="AJ47" s="467"/>
      <c r="AK47" s="467"/>
      <c r="AL47" s="467"/>
      <c r="AM47" s="467"/>
      <c r="AN47" s="467"/>
      <c r="AO47" s="467"/>
      <c r="AP47" s="467"/>
      <c r="AQ47" s="467"/>
      <c r="AR47" s="467"/>
      <c r="AS47" s="467"/>
      <c r="AT47" s="467"/>
      <c r="AU47" s="467"/>
      <c r="AV47" s="467"/>
      <c r="AW47" s="467"/>
      <c r="AX47" s="467"/>
      <c r="AY47" s="486">
        <f>COUNTIF(AI47:AX47,"*OP*")</f>
        <v>0</v>
      </c>
      <c r="AZ47" s="499" t="s">
        <v>59</v>
      </c>
      <c r="BA47" s="450">
        <f>(COUNTIF(AI47:AK47,"*OK*")*3) + (COUNTIF(AL47:AN47,"*OK*")*2) + COUNTIF(AO47:AQ47,"*OK*")+COUNTIF(AZ47:AZ47,"SI")*0.5</f>
        <v>0</v>
      </c>
      <c r="BB47" s="450" t="str">
        <f>IF(BA47&lt;0.6,"Demasiado Riesgo",IF(BA47&lt;=5,"Riesgo Medio",IF(BA47&lt;=11,"Riesgo Bajo","Cliente Blindado")))</f>
        <v>Demasiado Riesgo</v>
      </c>
      <c r="BC47" s="450"/>
      <c r="BD47" s="471"/>
      <c r="BE47" s="471">
        <v>0</v>
      </c>
      <c r="BF47" s="471"/>
      <c r="BG47" s="471"/>
      <c r="BH47" s="471"/>
      <c r="BI47" s="471"/>
      <c r="BJ47" s="471"/>
      <c r="BK47" s="471"/>
      <c r="BL47" s="471"/>
      <c r="BM47" s="471"/>
      <c r="BN47" s="471"/>
      <c r="BO47" s="471"/>
      <c r="BP47" s="471"/>
      <c r="BQ47" s="471"/>
      <c r="BR47" s="471"/>
      <c r="BS47" s="471"/>
      <c r="BT47" s="471"/>
      <c r="BU47" s="471"/>
      <c r="BV47" s="471"/>
      <c r="BW47" s="471"/>
      <c r="BX47" s="471"/>
      <c r="BY47" s="471"/>
      <c r="BZ47" s="471"/>
      <c r="CA47" s="471">
        <f>COUNTIF(AI47:AW47,"*OK*")</f>
        <v>0</v>
      </c>
      <c r="CB47" s="471"/>
      <c r="CC47" s="471">
        <f>COUNTIF(AI47:AW47,"*OP*")</f>
        <v>0</v>
      </c>
    </row>
    <row r="48" spans="1:81" ht="14.25" customHeight="1">
      <c r="A48" s="563"/>
      <c r="B48" s="536"/>
      <c r="C48" s="451">
        <f>T48</f>
        <v>376.25</v>
      </c>
      <c r="D48" s="471">
        <f>COUNTIF(AI48:AW48,"*OK*")</f>
        <v>0</v>
      </c>
      <c r="E48" s="471"/>
      <c r="F48" s="473" t="s">
        <v>224</v>
      </c>
      <c r="G48" s="473" t="s">
        <v>123</v>
      </c>
      <c r="H48" s="474"/>
      <c r="I48" s="474"/>
      <c r="J48" s="473"/>
      <c r="K48" s="556" t="s">
        <v>79</v>
      </c>
      <c r="L48" s="473" t="s">
        <v>69</v>
      </c>
      <c r="M48" s="473"/>
      <c r="N48" s="476" t="s">
        <v>65</v>
      </c>
      <c r="O48" s="477">
        <v>360.2</v>
      </c>
      <c r="P48" s="477">
        <v>357.27</v>
      </c>
      <c r="Q48" s="477">
        <v>343.78</v>
      </c>
      <c r="R48" s="478">
        <v>367.68</v>
      </c>
      <c r="S48" s="459">
        <v>372.6234</v>
      </c>
      <c r="T48" s="460">
        <v>376.25</v>
      </c>
      <c r="U48" s="479"/>
      <c r="V48" s="480">
        <v>400</v>
      </c>
      <c r="W48" s="481"/>
      <c r="X48" s="493" t="s">
        <v>124</v>
      </c>
      <c r="Y48" s="483" t="s">
        <v>125</v>
      </c>
      <c r="Z48" s="484" t="s">
        <v>225</v>
      </c>
      <c r="AA48" s="480" t="s">
        <v>59</v>
      </c>
      <c r="AB48" s="474" t="s">
        <v>92</v>
      </c>
      <c r="AC48" s="471"/>
      <c r="AD48" s="471"/>
      <c r="AE48" s="471"/>
      <c r="AF48" s="471"/>
      <c r="AG48" s="471"/>
      <c r="AH48" s="484" t="s">
        <v>127</v>
      </c>
      <c r="AI48" s="467"/>
      <c r="AJ48" s="467"/>
      <c r="AK48" s="467"/>
      <c r="AL48" s="467"/>
      <c r="AM48" s="467"/>
      <c r="AN48" s="467"/>
      <c r="AO48" s="566"/>
      <c r="AP48" s="467"/>
      <c r="AQ48" s="467"/>
      <c r="AR48" s="467"/>
      <c r="AS48" s="467"/>
      <c r="AT48" s="467"/>
      <c r="AU48" s="467"/>
      <c r="AV48" s="467"/>
      <c r="AW48" s="467"/>
      <c r="AX48" s="467"/>
      <c r="AY48" s="468">
        <f>COUNTIF(AI48:AX48,"*OP*")</f>
        <v>0</v>
      </c>
      <c r="AZ48" s="484" t="s">
        <v>59</v>
      </c>
      <c r="BA48" s="471">
        <f>(COUNTIF(AI48:AK48,"*OK*")*3) + (COUNTIF(AL48:AN48,"*OK*")*2) + COUNTIF(AO48:AQ48,"*OK*")+COUNTIF(AZ48:AZ48,"SI")*0.5</f>
        <v>0</v>
      </c>
      <c r="BB48" s="471" t="str">
        <f>IF(BA48&lt;0.6,"Demasiado Riesgo",IF(BA48&lt;=5,"Riesgo Medio",IF(BA48&lt;=11,"Riesgo Bajo","Cliente Blindado")))</f>
        <v>Demasiado Riesgo</v>
      </c>
      <c r="BC48" s="471"/>
      <c r="BD48" s="471"/>
      <c r="BE48" s="471">
        <v>0</v>
      </c>
      <c r="BF48" s="471"/>
      <c r="BG48" s="471"/>
      <c r="BH48" s="471"/>
      <c r="BI48" s="471"/>
      <c r="BJ48" s="471"/>
      <c r="BK48" s="471"/>
      <c r="BL48" s="471"/>
      <c r="BM48" s="471"/>
      <c r="BN48" s="471"/>
      <c r="BO48" s="471"/>
      <c r="BP48" s="471"/>
      <c r="BQ48" s="471"/>
      <c r="BR48" s="471"/>
      <c r="BS48" s="471"/>
      <c r="BT48" s="471"/>
      <c r="BU48" s="471"/>
      <c r="BV48" s="471"/>
      <c r="BW48" s="471"/>
      <c r="BX48" s="471"/>
      <c r="BY48" s="471"/>
      <c r="BZ48" s="471"/>
      <c r="CA48" s="471">
        <f>COUNTIF(AI48:AW48,"*OK*")</f>
        <v>0</v>
      </c>
      <c r="CB48" s="471"/>
      <c r="CC48" s="471">
        <f>COUNTIF(AI48:AW48,"*OP*")</f>
        <v>0</v>
      </c>
    </row>
    <row r="49" spans="1:81" ht="14.25" customHeight="1">
      <c r="A49" s="470">
        <v>23042</v>
      </c>
      <c r="B49" s="471" t="s">
        <v>226</v>
      </c>
      <c r="C49" s="451">
        <f>T49</f>
        <v>394.79</v>
      </c>
      <c r="D49" s="471">
        <f>COUNTIF(AI49:AW49,"*OK*")</f>
        <v>0</v>
      </c>
      <c r="E49" s="471"/>
      <c r="F49" s="473" t="s">
        <v>227</v>
      </c>
      <c r="G49" s="473"/>
      <c r="H49" s="474"/>
      <c r="I49" s="474"/>
      <c r="J49" s="473"/>
      <c r="K49" s="475" t="s">
        <v>68</v>
      </c>
      <c r="L49" s="473" t="s">
        <v>69</v>
      </c>
      <c r="M49" s="473"/>
      <c r="N49" s="476" t="s">
        <v>65</v>
      </c>
      <c r="O49" s="477">
        <v>400.78</v>
      </c>
      <c r="P49" s="477">
        <v>400.41</v>
      </c>
      <c r="Q49" s="477">
        <v>390.36</v>
      </c>
      <c r="R49" s="478">
        <v>402.93</v>
      </c>
      <c r="S49" s="459">
        <v>403.75970000000001</v>
      </c>
      <c r="T49" s="487">
        <v>394.79</v>
      </c>
      <c r="U49" s="479"/>
      <c r="V49" s="480">
        <v>150</v>
      </c>
      <c r="W49" s="481" t="s">
        <v>228</v>
      </c>
      <c r="X49" s="483" t="s">
        <v>229</v>
      </c>
      <c r="Y49" s="483" t="s">
        <v>150</v>
      </c>
      <c r="Z49" s="484" t="s">
        <v>230</v>
      </c>
      <c r="AA49" s="480" t="s">
        <v>145</v>
      </c>
      <c r="AB49" s="474" t="s">
        <v>84</v>
      </c>
      <c r="AC49" s="471"/>
      <c r="AD49" s="471"/>
      <c r="AE49" s="471"/>
      <c r="AF49" s="471"/>
      <c r="AG49" s="471"/>
      <c r="AH49" s="485" t="s">
        <v>59</v>
      </c>
      <c r="AI49" s="467"/>
      <c r="AJ49" s="467"/>
      <c r="AK49" s="467"/>
      <c r="AL49" s="467"/>
      <c r="AM49" s="467"/>
      <c r="AN49" s="467"/>
      <c r="AO49" s="467"/>
      <c r="AP49" s="467"/>
      <c r="AQ49" s="467"/>
      <c r="AR49" s="467"/>
      <c r="AS49" s="467"/>
      <c r="AT49" s="467"/>
      <c r="AU49" s="467"/>
      <c r="AV49" s="467"/>
      <c r="AW49" s="467"/>
      <c r="AX49" s="467"/>
      <c r="AY49" s="486">
        <f>COUNTIF(AI49:AX49,"*OP*")</f>
        <v>0</v>
      </c>
      <c r="AZ49" s="485" t="s">
        <v>59</v>
      </c>
      <c r="BA49" s="471">
        <f>(COUNTIF(AI49:AK49,"*OK*")*3) + (COUNTIF(AL49:AN49,"*OK*")*2) + COUNTIF(AO49:AQ49,"*OK*")+COUNTIF(AZ49:AZ49,"SI")*0.5</f>
        <v>0</v>
      </c>
      <c r="BB49" s="471" t="str">
        <f>IF(BA49&lt;0.6,"Demasiado Riesgo",IF(BA49&lt;=5,"Riesgo Medio",IF(BA49&lt;=11,"Riesgo Bajo","Cliente Blindado")))</f>
        <v>Demasiado Riesgo</v>
      </c>
      <c r="BC49" s="471"/>
      <c r="BD49" s="450"/>
      <c r="BE49" s="450">
        <v>0</v>
      </c>
      <c r="BF49" s="450"/>
      <c r="BG49" s="450"/>
      <c r="BH49" s="450"/>
      <c r="BI49" s="450"/>
      <c r="BJ49" s="450"/>
      <c r="BK49" s="450"/>
      <c r="BL49" s="450"/>
      <c r="BM49" s="450"/>
      <c r="BN49" s="450"/>
      <c r="BO49" s="450"/>
      <c r="BP49" s="450"/>
      <c r="BQ49" s="450"/>
      <c r="BR49" s="450"/>
      <c r="BS49" s="450"/>
      <c r="BT49" s="450"/>
      <c r="BU49" s="450"/>
      <c r="BV49" s="450"/>
      <c r="BW49" s="450"/>
      <c r="BX49" s="450"/>
      <c r="BY49" s="450"/>
      <c r="BZ49" s="450"/>
      <c r="CA49" s="450">
        <f>COUNTIF(AI49:AW49,"*OK*")</f>
        <v>0</v>
      </c>
      <c r="CB49" s="450"/>
      <c r="CC49" s="450">
        <f>COUNTIF(AI49:AW49,"*OP*")</f>
        <v>0</v>
      </c>
    </row>
    <row r="50" spans="1:81" ht="14.25" customHeight="1">
      <c r="A50" s="563">
        <v>23416</v>
      </c>
      <c r="B50" s="536" t="s">
        <v>231</v>
      </c>
      <c r="C50" s="451">
        <f>T50</f>
        <v>396.53</v>
      </c>
      <c r="D50" s="471">
        <f>COUNTIF(AI50:AW50,"*OK*")</f>
        <v>0</v>
      </c>
      <c r="E50" s="471"/>
      <c r="F50" s="473" t="s">
        <v>232</v>
      </c>
      <c r="G50" s="473"/>
      <c r="H50" s="474"/>
      <c r="I50" s="474"/>
      <c r="J50" s="473"/>
      <c r="K50" s="475" t="s">
        <v>68</v>
      </c>
      <c r="L50" s="473" t="s">
        <v>69</v>
      </c>
      <c r="M50" s="473"/>
      <c r="N50" s="476" t="s">
        <v>160</v>
      </c>
      <c r="O50" s="477">
        <v>405.84</v>
      </c>
      <c r="P50" s="477">
        <v>402.18</v>
      </c>
      <c r="Q50" s="477">
        <v>379.09</v>
      </c>
      <c r="R50" s="478">
        <v>391.29</v>
      </c>
      <c r="S50" s="459">
        <v>391.09750000000003</v>
      </c>
      <c r="T50" s="460">
        <v>396.53</v>
      </c>
      <c r="U50" s="479"/>
      <c r="V50" s="480">
        <v>300</v>
      </c>
      <c r="W50" s="481" t="s">
        <v>185</v>
      </c>
      <c r="X50" s="483" t="s">
        <v>124</v>
      </c>
      <c r="Y50" s="483" t="s">
        <v>233</v>
      </c>
      <c r="Z50" s="484" t="s">
        <v>234</v>
      </c>
      <c r="AA50" s="480" t="s">
        <v>233</v>
      </c>
      <c r="AB50" s="474" t="s">
        <v>92</v>
      </c>
      <c r="AC50" s="471"/>
      <c r="AD50" s="471"/>
      <c r="AE50" s="471"/>
      <c r="AF50" s="471"/>
      <c r="AG50" s="471"/>
      <c r="AH50" s="494" t="s">
        <v>127</v>
      </c>
      <c r="AI50" s="467"/>
      <c r="AJ50" s="467"/>
      <c r="AK50" s="467"/>
      <c r="AL50" s="467"/>
      <c r="AM50" s="467"/>
      <c r="AN50" s="467"/>
      <c r="AO50" s="467"/>
      <c r="AP50" s="467"/>
      <c r="AQ50" s="467"/>
      <c r="AR50" s="467"/>
      <c r="AS50" s="467"/>
      <c r="AT50" s="467"/>
      <c r="AU50" s="467"/>
      <c r="AV50" s="467"/>
      <c r="AW50" s="467"/>
      <c r="AX50" s="467"/>
      <c r="AY50" s="486">
        <f>COUNTIF(AI50:AX50,"*OP*")</f>
        <v>0</v>
      </c>
      <c r="AZ50" s="485" t="s">
        <v>59</v>
      </c>
      <c r="BA50" s="471">
        <f>(COUNTIF(AI50:AK50,"*OK*")*3) + (COUNTIF(AL50:AN50,"*OK*")*2) + COUNTIF(AO50:AQ50,"*OK*")+COUNTIF(AZ50:AZ50,"SI")*0.5</f>
        <v>0</v>
      </c>
      <c r="BB50" s="471" t="str">
        <f>IF(BA50&lt;0.6,"Demasiado Riesgo",IF(BA50&lt;=5,"Riesgo Medio",IF(BA50&lt;=11,"Riesgo Bajo","Cliente Blindado")))</f>
        <v>Demasiado Riesgo</v>
      </c>
      <c r="BC50" s="471"/>
      <c r="BD50" s="471"/>
      <c r="BE50" s="471">
        <v>0</v>
      </c>
      <c r="BF50" s="471"/>
      <c r="BG50" s="471"/>
      <c r="BH50" s="471"/>
      <c r="BI50" s="471"/>
      <c r="BJ50" s="471"/>
      <c r="BK50" s="471"/>
      <c r="BL50" s="471"/>
      <c r="BM50" s="471"/>
      <c r="BN50" s="471"/>
      <c r="BO50" s="471"/>
      <c r="BP50" s="471"/>
      <c r="BQ50" s="471"/>
      <c r="BR50" s="471"/>
      <c r="BS50" s="471"/>
      <c r="BT50" s="471"/>
      <c r="BU50" s="471"/>
      <c r="BV50" s="471"/>
      <c r="BW50" s="471"/>
      <c r="BX50" s="471"/>
      <c r="BY50" s="471"/>
      <c r="BZ50" s="471"/>
      <c r="CA50" s="471">
        <f>COUNTIF(AI50:AW50,"*OK*")</f>
        <v>0</v>
      </c>
      <c r="CB50" s="471"/>
      <c r="CC50" s="471">
        <f>COUNTIF(AI50:AW50,"*OP*")</f>
        <v>0</v>
      </c>
    </row>
    <row r="51" spans="1:81" s="570" customFormat="1" ht="14.25" customHeight="1">
      <c r="A51" s="488">
        <v>24316</v>
      </c>
      <c r="B51" s="489" t="s">
        <v>235</v>
      </c>
      <c r="C51" s="451">
        <f>T51</f>
        <v>402.05</v>
      </c>
      <c r="D51" s="450">
        <f>COUNTIF(AI51:AW51,"*OK*")</f>
        <v>0</v>
      </c>
      <c r="E51" s="450"/>
      <c r="F51" s="453" t="s">
        <v>236</v>
      </c>
      <c r="G51" s="453"/>
      <c r="H51" s="454"/>
      <c r="I51" s="454"/>
      <c r="J51" s="453"/>
      <c r="K51" s="455" t="s">
        <v>68</v>
      </c>
      <c r="L51" s="453" t="s">
        <v>69</v>
      </c>
      <c r="M51" s="453"/>
      <c r="N51" s="456" t="s">
        <v>237</v>
      </c>
      <c r="O51" s="457">
        <v>278.27999999999997</v>
      </c>
      <c r="P51" s="457">
        <v>308.14</v>
      </c>
      <c r="Q51" s="457">
        <v>351.06</v>
      </c>
      <c r="R51" s="458">
        <v>353.25</v>
      </c>
      <c r="S51" s="459">
        <v>376.47910000000002</v>
      </c>
      <c r="T51" s="490">
        <v>402.05</v>
      </c>
      <c r="U51" s="461"/>
      <c r="V51" s="462">
        <v>400</v>
      </c>
      <c r="W51" s="463" t="s">
        <v>70</v>
      </c>
      <c r="X51" s="567" t="s">
        <v>70</v>
      </c>
      <c r="Y51" s="465" t="s">
        <v>95</v>
      </c>
      <c r="Z51" s="466" t="s">
        <v>238</v>
      </c>
      <c r="AA51" s="462" t="s">
        <v>161</v>
      </c>
      <c r="AB51" s="454" t="s">
        <v>92</v>
      </c>
      <c r="AC51" s="450"/>
      <c r="AD51" s="450"/>
      <c r="AE51" s="450"/>
      <c r="AF51" s="450"/>
      <c r="AG51" s="450"/>
      <c r="AH51" s="496" t="s">
        <v>59</v>
      </c>
      <c r="AI51" s="467"/>
      <c r="AJ51" s="467"/>
      <c r="AK51" s="467"/>
      <c r="AL51" s="467"/>
      <c r="AM51" s="467"/>
      <c r="AN51" s="467"/>
      <c r="AO51" s="467"/>
      <c r="AP51" s="467"/>
      <c r="AQ51" s="467"/>
      <c r="AR51" s="467"/>
      <c r="AS51" s="467"/>
      <c r="AT51" s="467"/>
      <c r="AU51" s="467"/>
      <c r="AV51" s="467"/>
      <c r="AW51" s="467"/>
      <c r="AX51" s="467"/>
      <c r="AY51" s="486">
        <f>COUNTIF(AI51:AX51,"*OP*")</f>
        <v>0</v>
      </c>
      <c r="AZ51" s="499" t="s">
        <v>59</v>
      </c>
      <c r="BA51" s="450">
        <f>(COUNTIF(AI51:AK51,"*OK*")*3) + (COUNTIF(AL51:AN51,"*OK*")*2) + COUNTIF(AO51:AQ51,"*OK*")+COUNTIF(AZ51:AZ51,"SI")*0.5</f>
        <v>0</v>
      </c>
      <c r="BB51" s="450" t="str">
        <f>IF(BA51&lt;0.6,"Demasiado Riesgo",IF(BA51&lt;=5,"Riesgo Medio",IF(BA51&lt;=11,"Riesgo Bajo","Cliente Blindado")))</f>
        <v>Demasiado Riesgo</v>
      </c>
      <c r="BC51" s="450"/>
      <c r="BD51" s="450"/>
      <c r="BE51" s="450">
        <v>0</v>
      </c>
      <c r="BF51" s="450"/>
      <c r="BG51" s="450"/>
      <c r="BH51" s="450"/>
      <c r="BI51" s="450"/>
      <c r="BJ51" s="450"/>
      <c r="BK51" s="450"/>
      <c r="BL51" s="450"/>
      <c r="BM51" s="450"/>
      <c r="BN51" s="450"/>
      <c r="BO51" s="450"/>
      <c r="BP51" s="450"/>
      <c r="BQ51" s="450"/>
      <c r="BR51" s="450"/>
      <c r="BS51" s="450"/>
      <c r="BT51" s="450"/>
      <c r="BU51" s="450"/>
      <c r="BV51" s="450"/>
      <c r="BW51" s="450"/>
      <c r="BX51" s="450"/>
      <c r="BY51" s="450"/>
      <c r="BZ51" s="450"/>
      <c r="CA51" s="450">
        <f>COUNTIF(AI51:AW51,"*OK*")</f>
        <v>0</v>
      </c>
      <c r="CB51" s="450"/>
      <c r="CC51" s="450">
        <f>COUNTIF(AI51:AW51,"*OP*")</f>
        <v>0</v>
      </c>
    </row>
    <row r="52" spans="1:81" ht="14.25" customHeight="1">
      <c r="A52" s="488">
        <v>21116</v>
      </c>
      <c r="B52" s="489" t="s">
        <v>239</v>
      </c>
      <c r="C52" s="451">
        <f>T52</f>
        <v>408.42</v>
      </c>
      <c r="D52" s="450">
        <f>COUNTIF(AI52:AW52,"*OK*")</f>
        <v>0</v>
      </c>
      <c r="E52" s="450"/>
      <c r="F52" s="453" t="s">
        <v>240</v>
      </c>
      <c r="G52" s="453"/>
      <c r="H52" s="454"/>
      <c r="I52" s="454"/>
      <c r="J52" s="453"/>
      <c r="K52" s="455" t="s">
        <v>68</v>
      </c>
      <c r="L52" s="453" t="s">
        <v>69</v>
      </c>
      <c r="M52" s="453"/>
      <c r="N52" s="456" t="s">
        <v>65</v>
      </c>
      <c r="O52" s="457">
        <v>434.35</v>
      </c>
      <c r="P52" s="457">
        <v>443.82</v>
      </c>
      <c r="Q52" s="457">
        <v>407.29</v>
      </c>
      <c r="R52" s="458">
        <v>404.23</v>
      </c>
      <c r="S52" s="459">
        <v>439.1653</v>
      </c>
      <c r="T52" s="487">
        <v>408.42</v>
      </c>
      <c r="U52" s="461"/>
      <c r="V52" s="462">
        <v>150</v>
      </c>
      <c r="W52" s="463" t="s">
        <v>181</v>
      </c>
      <c r="X52" s="465" t="s">
        <v>181</v>
      </c>
      <c r="Y52" s="465" t="s">
        <v>241</v>
      </c>
      <c r="Z52" s="466" t="s">
        <v>242</v>
      </c>
      <c r="AA52" s="462" t="s">
        <v>241</v>
      </c>
      <c r="AB52" s="454" t="s">
        <v>92</v>
      </c>
      <c r="AC52" s="450"/>
      <c r="AD52" s="450"/>
      <c r="AE52" s="450"/>
      <c r="AF52" s="450"/>
      <c r="AG52" s="450"/>
      <c r="AH52" s="496" t="s">
        <v>59</v>
      </c>
      <c r="AI52" s="467"/>
      <c r="AJ52" s="467"/>
      <c r="AK52" s="467"/>
      <c r="AL52" s="467"/>
      <c r="AM52" s="467"/>
      <c r="AN52" s="467"/>
      <c r="AO52" s="467"/>
      <c r="AP52" s="467"/>
      <c r="AQ52" s="467"/>
      <c r="AR52" s="467"/>
      <c r="AS52" s="467"/>
      <c r="AT52" s="467"/>
      <c r="AU52" s="467"/>
      <c r="AV52" s="467"/>
      <c r="AW52" s="467"/>
      <c r="AX52" s="467"/>
      <c r="AY52" s="486">
        <f>COUNTIF(AI52:AX52,"*OP*")</f>
        <v>0</v>
      </c>
      <c r="AZ52" s="499" t="s">
        <v>59</v>
      </c>
      <c r="BA52" s="450">
        <f>(COUNTIF(AI52:AK52,"*OK*")*3) + (COUNTIF(AL52:AN52,"*OK*")*2) + COUNTIF(AO52:AQ52,"*OK*")+COUNTIF(AZ52:AZ52,"SI")*0.5</f>
        <v>0</v>
      </c>
      <c r="BB52" s="450" t="str">
        <f>IF(BA52&lt;0.6,"Demasiado Riesgo",IF(BA52&lt;=5,"Riesgo Medio",IF(BA52&lt;=11,"Riesgo Bajo","Cliente Blindado")))</f>
        <v>Demasiado Riesgo</v>
      </c>
      <c r="BC52" s="450"/>
      <c r="BD52" s="450"/>
      <c r="BE52" s="450">
        <v>0</v>
      </c>
      <c r="BF52" s="450"/>
      <c r="BG52" s="450"/>
      <c r="BH52" s="450"/>
      <c r="BI52" s="450"/>
      <c r="BJ52" s="450"/>
      <c r="BK52" s="450"/>
      <c r="BL52" s="450"/>
      <c r="BM52" s="450"/>
      <c r="BN52" s="450"/>
      <c r="BO52" s="450"/>
      <c r="BP52" s="450"/>
      <c r="BQ52" s="450"/>
      <c r="BR52" s="450"/>
      <c r="BS52" s="450"/>
      <c r="BT52" s="450"/>
      <c r="BU52" s="450"/>
      <c r="BV52" s="450"/>
      <c r="BW52" s="450"/>
      <c r="BX52" s="450"/>
      <c r="BY52" s="450"/>
      <c r="BZ52" s="450"/>
      <c r="CA52" s="450">
        <f>COUNTIF(AI52:AW52,"*OK*")</f>
        <v>0</v>
      </c>
      <c r="CB52" s="450"/>
      <c r="CC52" s="450">
        <f>COUNTIF(AI52:AW52,"*OP*")</f>
        <v>0</v>
      </c>
    </row>
    <row r="53" spans="1:81" ht="14.25" customHeight="1">
      <c r="A53" s="563">
        <v>6000</v>
      </c>
      <c r="B53" s="536" t="s">
        <v>243</v>
      </c>
      <c r="C53" s="451">
        <f>T53</f>
        <v>410.08</v>
      </c>
      <c r="D53" s="471">
        <f>COUNTIF(AI53:AW53,"*OK*")</f>
        <v>0</v>
      </c>
      <c r="E53" s="471"/>
      <c r="F53" s="473" t="s">
        <v>244</v>
      </c>
      <c r="G53" s="473"/>
      <c r="H53" s="474"/>
      <c r="I53" s="474"/>
      <c r="J53" s="473"/>
      <c r="K53" s="475" t="s">
        <v>68</v>
      </c>
      <c r="L53" s="473" t="s">
        <v>69</v>
      </c>
      <c r="M53" s="473"/>
      <c r="N53" s="476" t="s">
        <v>103</v>
      </c>
      <c r="O53" s="477">
        <v>433.46</v>
      </c>
      <c r="P53" s="477">
        <v>454.51</v>
      </c>
      <c r="Q53" s="477">
        <v>416.79</v>
      </c>
      <c r="R53" s="478">
        <v>442.86</v>
      </c>
      <c r="S53" s="459">
        <v>410.3503</v>
      </c>
      <c r="T53" s="487">
        <v>410.08</v>
      </c>
      <c r="U53" s="479"/>
      <c r="V53" s="480">
        <v>200</v>
      </c>
      <c r="W53" s="481" t="s">
        <v>88</v>
      </c>
      <c r="X53" s="493" t="s">
        <v>245</v>
      </c>
      <c r="Y53" s="483" t="s">
        <v>80</v>
      </c>
      <c r="Z53" s="484" t="s">
        <v>246</v>
      </c>
      <c r="AA53" s="480" t="s">
        <v>220</v>
      </c>
      <c r="AB53" s="474" t="s">
        <v>92</v>
      </c>
      <c r="AC53" s="471"/>
      <c r="AD53" s="471"/>
      <c r="AE53" s="471"/>
      <c r="AF53" s="471"/>
      <c r="AG53" s="471"/>
      <c r="AH53" s="494" t="s">
        <v>59</v>
      </c>
      <c r="AI53" s="467"/>
      <c r="AJ53" s="467"/>
      <c r="AK53" s="467"/>
      <c r="AL53" s="467"/>
      <c r="AM53" s="467"/>
      <c r="AN53" s="467"/>
      <c r="AO53" s="467"/>
      <c r="AP53" s="467"/>
      <c r="AQ53" s="467"/>
      <c r="AR53" s="467"/>
      <c r="AS53" s="467"/>
      <c r="AT53" s="467"/>
      <c r="AU53" s="467"/>
      <c r="AV53" s="467"/>
      <c r="AW53" s="467"/>
      <c r="AX53" s="467"/>
      <c r="AY53" s="486">
        <f>COUNTIF(AI53:AX53,"*OP*")</f>
        <v>0</v>
      </c>
      <c r="AZ53" s="485" t="s">
        <v>59</v>
      </c>
      <c r="BA53" s="471">
        <f>(COUNTIF(AI53:AK53,"*OK*")*3) + (COUNTIF(AL53:AN53,"*OK*")*2) + COUNTIF(AO53:AQ53,"*OK*")+COUNTIF(AZ53:AZ53,"SI")*0.5</f>
        <v>0</v>
      </c>
      <c r="BB53" s="471" t="str">
        <f>IF(BA53&lt;0.6,"Demasiado Riesgo",IF(BA53&lt;=5,"Riesgo Medio",IF(BA53&lt;=11,"Riesgo Bajo","Cliente Blindado")))</f>
        <v>Demasiado Riesgo</v>
      </c>
      <c r="BC53" s="471"/>
      <c r="BD53" s="450"/>
      <c r="BE53" s="450">
        <v>0</v>
      </c>
      <c r="BF53" s="450"/>
      <c r="BG53" s="450"/>
      <c r="BH53" s="450"/>
      <c r="BI53" s="450"/>
      <c r="BJ53" s="450"/>
      <c r="BK53" s="450"/>
      <c r="BL53" s="450"/>
      <c r="BM53" s="450"/>
      <c r="BN53" s="450"/>
      <c r="BO53" s="450"/>
      <c r="BP53" s="450"/>
      <c r="BQ53" s="450"/>
      <c r="BR53" s="450"/>
      <c r="BS53" s="450"/>
      <c r="BT53" s="450"/>
      <c r="BU53" s="450"/>
      <c r="BV53" s="450"/>
      <c r="BW53" s="450"/>
      <c r="BX53" s="450"/>
      <c r="BY53" s="450"/>
      <c r="BZ53" s="450"/>
      <c r="CA53" s="450">
        <f>COUNTIF(AI53:AW53,"*OK*")</f>
        <v>0</v>
      </c>
      <c r="CB53" s="450"/>
      <c r="CC53" s="450">
        <f>COUNTIF(AI53:AW53,"*OP*")</f>
        <v>0</v>
      </c>
    </row>
    <row r="54" spans="1:81" s="570" customFormat="1" ht="14.25" customHeight="1">
      <c r="A54" s="449">
        <v>23879</v>
      </c>
      <c r="B54" s="450"/>
      <c r="C54" s="451">
        <f>T54</f>
        <v>412.8811</v>
      </c>
      <c r="D54" s="450">
        <f>COUNTIF(AM54:AX54,"OK")</f>
        <v>0</v>
      </c>
      <c r="E54" s="450"/>
      <c r="F54" s="489" t="s">
        <v>247</v>
      </c>
      <c r="G54" s="489" t="s">
        <v>59</v>
      </c>
      <c r="H54" s="454"/>
      <c r="I54" s="454"/>
      <c r="J54" s="489" t="s">
        <v>59</v>
      </c>
      <c r="K54" s="489" t="s">
        <v>68</v>
      </c>
      <c r="L54" s="489" t="s">
        <v>69</v>
      </c>
      <c r="M54" s="489"/>
      <c r="N54" s="466" t="s">
        <v>156</v>
      </c>
      <c r="O54" s="545">
        <v>474.29</v>
      </c>
      <c r="P54" s="545">
        <v>465.59</v>
      </c>
      <c r="Q54" s="545">
        <v>425.32</v>
      </c>
      <c r="R54" s="546">
        <v>449.86</v>
      </c>
      <c r="S54" s="539">
        <v>422.9513</v>
      </c>
      <c r="T54" s="547">
        <v>412.8811</v>
      </c>
      <c r="U54" s="461"/>
      <c r="V54" s="462" t="s">
        <v>59</v>
      </c>
      <c r="W54" s="450"/>
      <c r="X54" s="464"/>
      <c r="Y54" s="465"/>
      <c r="Z54" s="466"/>
      <c r="AA54" s="496" t="s">
        <v>59</v>
      </c>
      <c r="AB54" s="454"/>
      <c r="AC54" s="450"/>
      <c r="AD54" s="450"/>
      <c r="AE54" s="450"/>
      <c r="AF54" s="450"/>
      <c r="AG54" s="450"/>
      <c r="AH54" s="466" t="s">
        <v>59</v>
      </c>
      <c r="AI54" s="467"/>
      <c r="AJ54" s="467"/>
      <c r="AK54" s="467"/>
      <c r="AL54" s="467"/>
      <c r="AM54" s="467"/>
      <c r="AN54" s="467"/>
      <c r="AO54" s="467"/>
      <c r="AP54" s="467"/>
      <c r="AQ54" s="467"/>
      <c r="AR54" s="467"/>
      <c r="AS54" s="467"/>
      <c r="AT54" s="467"/>
      <c r="AU54" s="467"/>
      <c r="AV54" s="467"/>
      <c r="AW54" s="467"/>
      <c r="AX54" s="467"/>
      <c r="AY54" s="573">
        <f>COUNTIF(AI54:AX54,"*OP*")</f>
        <v>0</v>
      </c>
      <c r="AZ54" s="551" t="s">
        <v>59</v>
      </c>
      <c r="BA54" s="450">
        <f>(COUNTIF(AI54:AK54,"*OK*")*3) + (COUNTIF(AL54:AN54,"*OK*")*2) + COUNTIF(AO54:AQ54,"*OK*")+COUNTIF(AZ54:AZ54,"SI")*0.5</f>
        <v>0</v>
      </c>
      <c r="BB54" s="450" t="str">
        <f>IF(BA54&lt;0.6,"Demasiado Riesgo",IF(BA54&lt;=5,"Riesgo Medio",IF(BA54&lt;=11,"Riesgo Bajo","Cliente Blindado")))</f>
        <v>Demasiado Riesgo</v>
      </c>
      <c r="BC54" s="450"/>
      <c r="BD54" s="450"/>
      <c r="BE54" s="450">
        <v>0</v>
      </c>
      <c r="BF54" s="450"/>
      <c r="BG54" s="450"/>
      <c r="BH54" s="450"/>
      <c r="BI54" s="450"/>
      <c r="BJ54" s="450"/>
      <c r="BK54" s="450"/>
      <c r="BL54" s="450"/>
      <c r="BM54" s="450"/>
      <c r="BN54" s="450"/>
      <c r="BO54" s="450"/>
      <c r="BP54" s="450"/>
      <c r="BQ54" s="450"/>
      <c r="BR54" s="450"/>
      <c r="BS54" s="450"/>
      <c r="BT54" s="450"/>
      <c r="BU54" s="450"/>
      <c r="BV54" s="450"/>
      <c r="BW54" s="450"/>
      <c r="BX54" s="450"/>
      <c r="BY54" s="450"/>
      <c r="BZ54" s="450"/>
      <c r="CA54" s="450">
        <f>COUNTIF(AI54:AW54,"*OK*")</f>
        <v>0</v>
      </c>
      <c r="CB54" s="450"/>
      <c r="CC54" s="450">
        <f>COUNTIF(AI54:AW54,"*OP*")</f>
        <v>0</v>
      </c>
    </row>
    <row r="55" spans="1:81" ht="14.25" customHeight="1">
      <c r="A55" s="449">
        <v>31431</v>
      </c>
      <c r="B55" s="450" t="s">
        <v>248</v>
      </c>
      <c r="C55" s="451">
        <f>T55</f>
        <v>416.82</v>
      </c>
      <c r="D55" s="450">
        <f>COUNTIF(AI55:AW55,"*OK*")</f>
        <v>1</v>
      </c>
      <c r="E55" s="450"/>
      <c r="F55" s="571" t="s">
        <v>249</v>
      </c>
      <c r="G55" s="453"/>
      <c r="H55" s="454"/>
      <c r="I55" s="454"/>
      <c r="J55" s="453"/>
      <c r="K55" s="552" t="s">
        <v>68</v>
      </c>
      <c r="L55" s="453" t="s">
        <v>69</v>
      </c>
      <c r="M55" s="453"/>
      <c r="N55" s="456" t="s">
        <v>103</v>
      </c>
      <c r="O55" s="457">
        <v>398.78</v>
      </c>
      <c r="P55" s="457">
        <v>404.21</v>
      </c>
      <c r="Q55" s="457">
        <v>374.16</v>
      </c>
      <c r="R55" s="458">
        <v>391.9</v>
      </c>
      <c r="S55" s="459">
        <v>411.33</v>
      </c>
      <c r="T55" s="460">
        <v>416.82</v>
      </c>
      <c r="U55" s="461"/>
      <c r="V55" s="462">
        <v>200</v>
      </c>
      <c r="W55" s="463" t="s">
        <v>250</v>
      </c>
      <c r="X55" s="465" t="s">
        <v>251</v>
      </c>
      <c r="Y55" s="465" t="s">
        <v>80</v>
      </c>
      <c r="Z55" s="466" t="s">
        <v>252</v>
      </c>
      <c r="AA55" s="462" t="s">
        <v>220</v>
      </c>
      <c r="AB55" s="454" t="s">
        <v>97</v>
      </c>
      <c r="AC55" s="450"/>
      <c r="AD55" s="450"/>
      <c r="AE55" s="450"/>
      <c r="AF55" s="450"/>
      <c r="AG55" s="450"/>
      <c r="AH55" s="496" t="s">
        <v>127</v>
      </c>
      <c r="AI55" s="467"/>
      <c r="AJ55" s="467"/>
      <c r="AK55" s="565" t="s">
        <v>253</v>
      </c>
      <c r="AL55" s="467"/>
      <c r="AM55" s="467"/>
      <c r="AN55" s="467"/>
      <c r="AO55" s="467"/>
      <c r="AP55" s="565" t="s">
        <v>111</v>
      </c>
      <c r="AQ55" s="467"/>
      <c r="AR55" s="467"/>
      <c r="AS55" s="467"/>
      <c r="AT55" s="467"/>
      <c r="AU55" s="467"/>
      <c r="AV55" s="467"/>
      <c r="AW55" s="467"/>
      <c r="AX55" s="467"/>
      <c r="AY55" s="486">
        <f>COUNTIF(AI55:AX55,"*OP*")</f>
        <v>0</v>
      </c>
      <c r="AZ55" s="499" t="s">
        <v>59</v>
      </c>
      <c r="BA55" s="450">
        <f>(COUNTIF(AI55:AK55,"*OK*")*3) + (COUNTIF(AL55:AN55,"*OK*")*2) + COUNTIF(AO55:AQ55,"*OK*")+COUNTIF(AZ55:AZ55,"SI")*0.5</f>
        <v>1</v>
      </c>
      <c r="BB55" s="450" t="str">
        <f>IF(BA55&lt;0.6,"Demasiado Riesgo",IF(BA55&lt;=5,"Riesgo Medio",IF(BA55&lt;=11,"Riesgo Bajo","Cliente Blindado")))</f>
        <v>Riesgo Medio</v>
      </c>
      <c r="BC55" s="450"/>
      <c r="BD55" s="471"/>
      <c r="BE55" s="471">
        <v>0</v>
      </c>
      <c r="BF55" s="471"/>
      <c r="BG55" s="471"/>
      <c r="BH55" s="471"/>
      <c r="BI55" s="471"/>
      <c r="BJ55" s="471"/>
      <c r="BK55" s="471"/>
      <c r="BL55" s="471"/>
      <c r="BM55" s="471"/>
      <c r="BN55" s="471"/>
      <c r="BO55" s="471"/>
      <c r="BP55" s="471"/>
      <c r="BQ55" s="471"/>
      <c r="BR55" s="471"/>
      <c r="BS55" s="471"/>
      <c r="BT55" s="471"/>
      <c r="BU55" s="471"/>
      <c r="BV55" s="471"/>
      <c r="BW55" s="471"/>
      <c r="BX55" s="471"/>
      <c r="BY55" s="471"/>
      <c r="BZ55" s="471"/>
      <c r="CA55" s="471">
        <f>COUNTIF(AI55:AW55,"*OK*")</f>
        <v>1</v>
      </c>
      <c r="CB55" s="471"/>
      <c r="CC55" s="471">
        <f>COUNTIF(AI55:AW55,"*OP*")</f>
        <v>0</v>
      </c>
    </row>
    <row r="56" spans="1:81" ht="14.25" customHeight="1">
      <c r="A56" s="449">
        <v>24483</v>
      </c>
      <c r="B56" s="450" t="s">
        <v>254</v>
      </c>
      <c r="C56" s="451">
        <f>T56</f>
        <v>417.34</v>
      </c>
      <c r="D56" s="450">
        <f>COUNTIF(AI56:AW56,"*OK*")</f>
        <v>0</v>
      </c>
      <c r="E56" s="450"/>
      <c r="F56" s="453" t="s">
        <v>255</v>
      </c>
      <c r="G56" s="453"/>
      <c r="H56" s="454"/>
      <c r="I56" s="454"/>
      <c r="J56" s="453"/>
      <c r="K56" s="453" t="s">
        <v>68</v>
      </c>
      <c r="L56" s="453" t="s">
        <v>69</v>
      </c>
      <c r="M56" s="453"/>
      <c r="N56" s="456" t="s">
        <v>103</v>
      </c>
      <c r="O56" s="457">
        <v>413.74</v>
      </c>
      <c r="P56" s="457">
        <v>413.47</v>
      </c>
      <c r="Q56" s="457">
        <v>405.87</v>
      </c>
      <c r="R56" s="458">
        <v>418.82</v>
      </c>
      <c r="S56" s="459">
        <v>421.97039999999998</v>
      </c>
      <c r="T56" s="487">
        <v>417.34</v>
      </c>
      <c r="U56" s="461"/>
      <c r="V56" s="462">
        <v>200</v>
      </c>
      <c r="W56" s="463" t="s">
        <v>88</v>
      </c>
      <c r="X56" s="464" t="s">
        <v>245</v>
      </c>
      <c r="Y56" s="465" t="s">
        <v>80</v>
      </c>
      <c r="Z56" s="466" t="s">
        <v>256</v>
      </c>
      <c r="AA56" s="462" t="s">
        <v>257</v>
      </c>
      <c r="AB56" s="454" t="s">
        <v>92</v>
      </c>
      <c r="AC56" s="450"/>
      <c r="AD56" s="450"/>
      <c r="AE56" s="450"/>
      <c r="AF56" s="450"/>
      <c r="AG56" s="450"/>
      <c r="AH56" s="496" t="s">
        <v>59</v>
      </c>
      <c r="AI56" s="467"/>
      <c r="AJ56" s="467"/>
      <c r="AK56" s="467"/>
      <c r="AL56" s="467"/>
      <c r="AM56" s="467"/>
      <c r="AN56" s="467"/>
      <c r="AO56" s="467"/>
      <c r="AP56" s="467"/>
      <c r="AQ56" s="467"/>
      <c r="AR56" s="467"/>
      <c r="AS56" s="467"/>
      <c r="AT56" s="467"/>
      <c r="AU56" s="467"/>
      <c r="AV56" s="467"/>
      <c r="AW56" s="467"/>
      <c r="AX56" s="467"/>
      <c r="AY56" s="486">
        <f>COUNTIF(AI56:AX56,"*OP*")</f>
        <v>0</v>
      </c>
      <c r="AZ56" s="499" t="s">
        <v>127</v>
      </c>
      <c r="BA56" s="450">
        <f>(COUNTIF(AI56:AK56,"*OK*")*3) + (COUNTIF(AL56:AN56,"*OK*")*2) + COUNTIF(AO56:AQ56,"*OK*")+COUNTIF(AZ56:AZ56,"SI")*0.5</f>
        <v>0.5</v>
      </c>
      <c r="BB56" s="450" t="str">
        <f>IF(BA56&lt;0.6,"Demasiado Riesgo",IF(BA56&lt;=5,"Riesgo Medio",IF(BA56&lt;=11,"Riesgo Bajo","Cliente Blindado")))</f>
        <v>Demasiado Riesgo</v>
      </c>
      <c r="BC56" s="450"/>
      <c r="BD56" s="450"/>
      <c r="BE56" s="450">
        <v>0</v>
      </c>
      <c r="BF56" s="450"/>
      <c r="BG56" s="450"/>
      <c r="BH56" s="450"/>
      <c r="BI56" s="450"/>
      <c r="BJ56" s="450"/>
      <c r="BK56" s="450"/>
      <c r="BL56" s="450"/>
      <c r="BM56" s="450"/>
      <c r="BN56" s="450"/>
      <c r="BO56" s="450"/>
      <c r="BP56" s="450"/>
      <c r="BQ56" s="450"/>
      <c r="BR56" s="450"/>
      <c r="BS56" s="450"/>
      <c r="BT56" s="450"/>
      <c r="BU56" s="450"/>
      <c r="BV56" s="450"/>
      <c r="BW56" s="450"/>
      <c r="BX56" s="450"/>
      <c r="BY56" s="450"/>
      <c r="BZ56" s="450"/>
      <c r="CA56" s="450">
        <f>COUNTIF(AI56:AW56,"*OK*")</f>
        <v>0</v>
      </c>
      <c r="CB56" s="450"/>
      <c r="CC56" s="450">
        <f>COUNTIF(AI56:AW56,"*OP*")</f>
        <v>0</v>
      </c>
    </row>
    <row r="57" spans="1:81" ht="14.25" customHeight="1">
      <c r="A57" s="563">
        <v>25594</v>
      </c>
      <c r="B57" s="536" t="s">
        <v>258</v>
      </c>
      <c r="C57" s="451">
        <f>T57</f>
        <v>418.03</v>
      </c>
      <c r="D57" s="471">
        <f>COUNTIF(AI57:AW57,"*OK*")</f>
        <v>1</v>
      </c>
      <c r="E57" s="471"/>
      <c r="F57" s="473" t="s">
        <v>259</v>
      </c>
      <c r="G57" s="473"/>
      <c r="H57" s="474"/>
      <c r="I57" s="474"/>
      <c r="J57" s="473"/>
      <c r="K57" s="552" t="s">
        <v>79</v>
      </c>
      <c r="L57" s="473" t="s">
        <v>69</v>
      </c>
      <c r="M57" s="473"/>
      <c r="N57" s="476" t="s">
        <v>65</v>
      </c>
      <c r="O57" s="477">
        <v>310.2</v>
      </c>
      <c r="P57" s="477">
        <v>422.52</v>
      </c>
      <c r="Q57" s="477">
        <v>297.33999999999997</v>
      </c>
      <c r="R57" s="478">
        <v>421.94</v>
      </c>
      <c r="S57" s="459">
        <v>444.72629999999998</v>
      </c>
      <c r="T57" s="469">
        <v>418.03</v>
      </c>
      <c r="U57" s="479"/>
      <c r="V57" s="480">
        <v>200</v>
      </c>
      <c r="W57" s="481" t="s">
        <v>250</v>
      </c>
      <c r="X57" s="493" t="s">
        <v>251</v>
      </c>
      <c r="Y57" s="483" t="s">
        <v>150</v>
      </c>
      <c r="Z57" s="484" t="s">
        <v>260</v>
      </c>
      <c r="AA57" s="480" t="s">
        <v>145</v>
      </c>
      <c r="AB57" s="474" t="s">
        <v>92</v>
      </c>
      <c r="AC57" s="471"/>
      <c r="AD57" s="471"/>
      <c r="AE57" s="471"/>
      <c r="AF57" s="471"/>
      <c r="AG57" s="471"/>
      <c r="AH57" s="494" t="s">
        <v>127</v>
      </c>
      <c r="AI57" s="467"/>
      <c r="AJ57" s="467"/>
      <c r="AK57" s="467"/>
      <c r="AL57" s="467"/>
      <c r="AM57" s="467"/>
      <c r="AN57" s="467"/>
      <c r="AO57" s="565" t="s">
        <v>111</v>
      </c>
      <c r="AP57" s="467"/>
      <c r="AQ57" s="467"/>
      <c r="AR57" s="467"/>
      <c r="AS57" s="467"/>
      <c r="AT57" s="467"/>
      <c r="AU57" s="467"/>
      <c r="AV57" s="467"/>
      <c r="AW57" s="467"/>
      <c r="AX57" s="467"/>
      <c r="AY57" s="486">
        <f>COUNTIF(AI57:AX57,"*OP*")</f>
        <v>0</v>
      </c>
      <c r="AZ57" s="485" t="s">
        <v>176</v>
      </c>
      <c r="BA57" s="471">
        <f>(COUNTIF(AI57:AK57,"*OK*")*3) + (COUNTIF(AL57:AN57,"*OK*")*2) + COUNTIF(AO57:AQ57,"*OK*")+COUNTIF(AZ57:AZ57,"SI")*0.5</f>
        <v>1</v>
      </c>
      <c r="BB57" s="471" t="str">
        <f>IF(BA57&lt;0.6,"Demasiado Riesgo",IF(BA57&lt;=5,"Riesgo Medio",IF(BA57&lt;=11,"Riesgo Bajo","Cliente Blindado")))</f>
        <v>Riesgo Medio</v>
      </c>
      <c r="BC57" s="471"/>
      <c r="BD57" s="471"/>
      <c r="BE57" s="471">
        <v>0</v>
      </c>
      <c r="BF57" s="471"/>
      <c r="BG57" s="471"/>
      <c r="BH57" s="471"/>
      <c r="BI57" s="471"/>
      <c r="BJ57" s="471"/>
      <c r="BK57" s="471"/>
      <c r="BL57" s="471"/>
      <c r="BM57" s="471"/>
      <c r="BN57" s="471"/>
      <c r="BO57" s="471"/>
      <c r="BP57" s="471"/>
      <c r="BQ57" s="471"/>
      <c r="BR57" s="471"/>
      <c r="BS57" s="471"/>
      <c r="BT57" s="471"/>
      <c r="BU57" s="471"/>
      <c r="BV57" s="471"/>
      <c r="BW57" s="471"/>
      <c r="BX57" s="471"/>
      <c r="BY57" s="471"/>
      <c r="BZ57" s="471"/>
      <c r="CA57" s="471">
        <f>COUNTIF(AI57:AW57,"*OK*")</f>
        <v>1</v>
      </c>
      <c r="CB57" s="471"/>
      <c r="CC57" s="471">
        <f>COUNTIF(AI57:AW57,"*OP*")</f>
        <v>0</v>
      </c>
    </row>
    <row r="58" spans="1:81" ht="14.25" customHeight="1">
      <c r="A58" s="574">
        <v>23100</v>
      </c>
      <c r="B58" s="575"/>
      <c r="C58" s="451">
        <f>T58</f>
        <v>421.38</v>
      </c>
      <c r="D58" s="450">
        <f>COUNTIF(AI58:AW58,"*OK*")</f>
        <v>0</v>
      </c>
      <c r="E58" s="450"/>
      <c r="F58" s="453" t="s">
        <v>261</v>
      </c>
      <c r="G58" s="453"/>
      <c r="H58" s="454"/>
      <c r="I58" s="454"/>
      <c r="J58" s="453"/>
      <c r="K58" s="455" t="s">
        <v>68</v>
      </c>
      <c r="L58" s="453" t="s">
        <v>69</v>
      </c>
      <c r="M58" s="453"/>
      <c r="N58" s="456" t="s">
        <v>65</v>
      </c>
      <c r="O58" s="457">
        <v>447.52</v>
      </c>
      <c r="P58" s="457">
        <v>440.53</v>
      </c>
      <c r="Q58" s="457">
        <v>398.93</v>
      </c>
      <c r="R58" s="458">
        <v>426.87</v>
      </c>
      <c r="S58" s="459">
        <v>432.61059999999998</v>
      </c>
      <c r="T58" s="469">
        <v>421.38</v>
      </c>
      <c r="U58" s="461"/>
      <c r="V58" s="462">
        <v>200</v>
      </c>
      <c r="W58" s="463"/>
      <c r="X58" s="567" t="s">
        <v>70</v>
      </c>
      <c r="Y58" s="465" t="s">
        <v>71</v>
      </c>
      <c r="Z58" s="466" t="s">
        <v>262</v>
      </c>
      <c r="AA58" s="462" t="s">
        <v>59</v>
      </c>
      <c r="AB58" s="454" t="s">
        <v>84</v>
      </c>
      <c r="AC58" s="450"/>
      <c r="AD58" s="450"/>
      <c r="AE58" s="450"/>
      <c r="AF58" s="450"/>
      <c r="AG58" s="450"/>
      <c r="AH58" s="496" t="s">
        <v>59</v>
      </c>
      <c r="AI58" s="467"/>
      <c r="AJ58" s="467"/>
      <c r="AK58" s="467"/>
      <c r="AL58" s="467"/>
      <c r="AM58" s="467"/>
      <c r="AN58" s="467"/>
      <c r="AO58" s="467"/>
      <c r="AP58" s="467"/>
      <c r="AQ58" s="467"/>
      <c r="AR58" s="467"/>
      <c r="AS58" s="467"/>
      <c r="AT58" s="467"/>
      <c r="AU58" s="467"/>
      <c r="AV58" s="467"/>
      <c r="AW58" s="467"/>
      <c r="AX58" s="467"/>
      <c r="AY58" s="486">
        <f>COUNTIF(AI58:AX58,"*OP*")</f>
        <v>0</v>
      </c>
      <c r="AZ58" s="499" t="s">
        <v>59</v>
      </c>
      <c r="BA58" s="450">
        <f>(COUNTIF(AI58:AK58,"*OK*")*3) + (COUNTIF(AL58:AN58,"*OK*")*2) + COUNTIF(AO58:AQ58,"*OK*")+COUNTIF(AZ58:AZ58,"SI")*0.5</f>
        <v>0</v>
      </c>
      <c r="BB58" s="450" t="str">
        <f>IF(BA58&lt;0.6,"Demasiado Riesgo",IF(BA58&lt;=5,"Riesgo Medio",IF(BA58&lt;=11,"Riesgo Bajo","Cliente Blindado")))</f>
        <v>Demasiado Riesgo</v>
      </c>
      <c r="BC58" s="450"/>
      <c r="BD58" s="471"/>
      <c r="BE58" s="471">
        <v>0</v>
      </c>
      <c r="BF58" s="471"/>
      <c r="BG58" s="471"/>
      <c r="BH58" s="471"/>
      <c r="BI58" s="471"/>
      <c r="BJ58" s="471"/>
      <c r="BK58" s="471"/>
      <c r="BL58" s="471"/>
      <c r="BM58" s="471"/>
      <c r="BN58" s="471"/>
      <c r="BO58" s="471"/>
      <c r="BP58" s="471"/>
      <c r="BQ58" s="471"/>
      <c r="BR58" s="471"/>
      <c r="BS58" s="471"/>
      <c r="BT58" s="471"/>
      <c r="BU58" s="471"/>
      <c r="BV58" s="471"/>
      <c r="BW58" s="471"/>
      <c r="BX58" s="471"/>
      <c r="BY58" s="471"/>
      <c r="BZ58" s="471"/>
      <c r="CA58" s="471">
        <f>COUNTIF(AI58:AW58,"*OK*")</f>
        <v>0</v>
      </c>
      <c r="CB58" s="471"/>
      <c r="CC58" s="471">
        <f>COUNTIF(AI58:AW58,"*OP*")</f>
        <v>0</v>
      </c>
    </row>
    <row r="59" spans="1:81" ht="14.25" customHeight="1">
      <c r="A59" s="563"/>
      <c r="B59" s="536"/>
      <c r="C59" s="451">
        <f>T59</f>
        <v>433.33</v>
      </c>
      <c r="D59" s="471">
        <f>COUNTIF(AI59:AW59,"*OK*")</f>
        <v>0</v>
      </c>
      <c r="E59" s="471"/>
      <c r="F59" s="473" t="s">
        <v>263</v>
      </c>
      <c r="G59" s="473"/>
      <c r="H59" s="474"/>
      <c r="I59" s="474"/>
      <c r="J59" s="473"/>
      <c r="K59" s="475" t="s">
        <v>68</v>
      </c>
      <c r="L59" s="473" t="s">
        <v>69</v>
      </c>
      <c r="M59" s="473"/>
      <c r="N59" s="476" t="s">
        <v>264</v>
      </c>
      <c r="O59" s="477">
        <v>369.16</v>
      </c>
      <c r="P59" s="477">
        <v>410.78</v>
      </c>
      <c r="Q59" s="477">
        <v>389.37</v>
      </c>
      <c r="R59" s="478">
        <v>408.42</v>
      </c>
      <c r="S59" s="459">
        <v>409.50799999999998</v>
      </c>
      <c r="T59" s="460">
        <v>433.33</v>
      </c>
      <c r="U59" s="479"/>
      <c r="V59" s="480">
        <v>500</v>
      </c>
      <c r="W59" s="481"/>
      <c r="X59" s="493" t="s">
        <v>245</v>
      </c>
      <c r="Y59" s="483" t="s">
        <v>95</v>
      </c>
      <c r="Z59" s="484" t="s">
        <v>265</v>
      </c>
      <c r="AA59" s="480" t="s">
        <v>59</v>
      </c>
      <c r="AB59" s="474" t="s">
        <v>84</v>
      </c>
      <c r="AC59" s="471"/>
      <c r="AD59" s="471"/>
      <c r="AE59" s="471"/>
      <c r="AF59" s="471"/>
      <c r="AG59" s="471"/>
      <c r="AH59" s="494" t="s">
        <v>59</v>
      </c>
      <c r="AI59" s="467"/>
      <c r="AJ59" s="467"/>
      <c r="AK59" s="467"/>
      <c r="AL59" s="467"/>
      <c r="AM59" s="467"/>
      <c r="AN59" s="467"/>
      <c r="AO59" s="467"/>
      <c r="AP59" s="467"/>
      <c r="AQ59" s="467"/>
      <c r="AR59" s="467"/>
      <c r="AS59" s="467"/>
      <c r="AT59" s="467"/>
      <c r="AU59" s="467"/>
      <c r="AV59" s="467"/>
      <c r="AW59" s="467"/>
      <c r="AX59" s="467"/>
      <c r="AY59" s="486">
        <f>COUNTIF(AI59:AX59,"*OP*")</f>
        <v>0</v>
      </c>
      <c r="AZ59" s="485" t="s">
        <v>59</v>
      </c>
      <c r="BA59" s="471">
        <f>(COUNTIF(AI59:AK59,"*OK*")*3) + (COUNTIF(AL59:AN59,"*OK*")*2) + COUNTIF(AO59:AQ59,"*OK*")+COUNTIF(AZ59:AZ59,"SI")*0.5</f>
        <v>0</v>
      </c>
      <c r="BB59" s="471" t="str">
        <f>IF(BA59&lt;0.6,"Demasiado Riesgo",IF(BA59&lt;=5,"Riesgo Medio",IF(BA59&lt;=11,"Riesgo Bajo","Cliente Blindado")))</f>
        <v>Demasiado Riesgo</v>
      </c>
      <c r="BC59" s="471"/>
      <c r="BD59" s="471"/>
      <c r="BE59" s="471">
        <v>0</v>
      </c>
      <c r="BF59" s="471"/>
      <c r="BG59" s="471"/>
      <c r="BH59" s="471"/>
      <c r="BI59" s="471"/>
      <c r="BJ59" s="471"/>
      <c r="BK59" s="471"/>
      <c r="BL59" s="471"/>
      <c r="BM59" s="471"/>
      <c r="BN59" s="471"/>
      <c r="BO59" s="471"/>
      <c r="BP59" s="471"/>
      <c r="BQ59" s="471"/>
      <c r="BR59" s="471"/>
      <c r="BS59" s="471"/>
      <c r="BT59" s="471"/>
      <c r="BU59" s="471"/>
      <c r="BV59" s="471"/>
      <c r="BW59" s="471"/>
      <c r="BX59" s="471"/>
      <c r="BY59" s="471"/>
      <c r="BZ59" s="471"/>
      <c r="CA59" s="471">
        <f>COUNTIF(AI59:AW59,"*OK*")</f>
        <v>0</v>
      </c>
      <c r="CB59" s="471"/>
      <c r="CC59" s="471">
        <f>COUNTIF(AI59:AW59,"*OP*")</f>
        <v>0</v>
      </c>
    </row>
    <row r="60" spans="1:81" ht="14.25" customHeight="1">
      <c r="A60" s="488">
        <v>6975</v>
      </c>
      <c r="B60" s="489" t="s">
        <v>266</v>
      </c>
      <c r="C60" s="451">
        <f>T60</f>
        <v>434.87</v>
      </c>
      <c r="D60" s="450">
        <f>COUNTIF(AI60:AW60,"*OK*")</f>
        <v>1</v>
      </c>
      <c r="E60" s="450"/>
      <c r="F60" s="453" t="s">
        <v>267</v>
      </c>
      <c r="G60" s="453"/>
      <c r="H60" s="454"/>
      <c r="I60" s="454"/>
      <c r="J60" s="453"/>
      <c r="K60" s="552" t="s">
        <v>79</v>
      </c>
      <c r="L60" s="453" t="s">
        <v>69</v>
      </c>
      <c r="M60" s="453"/>
      <c r="N60" s="456" t="s">
        <v>65</v>
      </c>
      <c r="O60" s="457">
        <v>540.14</v>
      </c>
      <c r="P60" s="457">
        <v>550.03</v>
      </c>
      <c r="Q60" s="457">
        <v>539</v>
      </c>
      <c r="R60" s="458">
        <v>495.1</v>
      </c>
      <c r="S60" s="459">
        <v>450.03550000000001</v>
      </c>
      <c r="T60" s="487">
        <v>434.87</v>
      </c>
      <c r="U60" s="461"/>
      <c r="V60" s="462">
        <v>250</v>
      </c>
      <c r="W60" s="463" t="s">
        <v>250</v>
      </c>
      <c r="X60" s="465" t="s">
        <v>251</v>
      </c>
      <c r="Y60" s="465" t="s">
        <v>268</v>
      </c>
      <c r="Z60" s="466" t="s">
        <v>269</v>
      </c>
      <c r="AA60" s="462" t="s">
        <v>119</v>
      </c>
      <c r="AB60" s="454" t="s">
        <v>92</v>
      </c>
      <c r="AC60" s="450"/>
      <c r="AD60" s="450"/>
      <c r="AE60" s="450"/>
      <c r="AF60" s="450"/>
      <c r="AG60" s="450"/>
      <c r="AH60" s="466" t="s">
        <v>127</v>
      </c>
      <c r="AI60" s="467"/>
      <c r="AJ60" s="467"/>
      <c r="AK60" s="565" t="s">
        <v>111</v>
      </c>
      <c r="AL60" s="467"/>
      <c r="AM60" s="467"/>
      <c r="AN60" s="467"/>
      <c r="AO60" s="467"/>
      <c r="AP60" s="467"/>
      <c r="AQ60" s="467"/>
      <c r="AR60" s="467"/>
      <c r="AS60" s="467"/>
      <c r="AT60" s="467"/>
      <c r="AU60" s="467"/>
      <c r="AV60" s="467"/>
      <c r="AW60" s="467"/>
      <c r="AX60" s="467"/>
      <c r="AY60" s="486">
        <f>COUNTIF(AI60:AX60,"*OP*")</f>
        <v>0</v>
      </c>
      <c r="AZ60" s="499" t="s">
        <v>176</v>
      </c>
      <c r="BA60" s="450">
        <f>(COUNTIF(AI60:AK60,"*OK*")*3) + (COUNTIF(AL60:AN60,"*OK*")*2) + COUNTIF(AO60:AQ60,"*OK*")+COUNTIF(AZ60:AZ60,"SI")*0.5</f>
        <v>3</v>
      </c>
      <c r="BB60" s="450" t="str">
        <f>IF(BA60&lt;0.6,"Demasiado Riesgo",IF(BA60&lt;=5,"Riesgo Medio",IF(BA60&lt;=11,"Riesgo Bajo","Cliente Blindado")))</f>
        <v>Riesgo Medio</v>
      </c>
      <c r="BC60" s="450"/>
      <c r="BD60" s="450"/>
      <c r="BE60" s="450">
        <v>0</v>
      </c>
      <c r="BF60" s="450"/>
      <c r="BG60" s="450"/>
      <c r="BH60" s="450"/>
      <c r="BI60" s="450"/>
      <c r="BJ60" s="450"/>
      <c r="BK60" s="450"/>
      <c r="BL60" s="450"/>
      <c r="BM60" s="450"/>
      <c r="BN60" s="450"/>
      <c r="BO60" s="450"/>
      <c r="BP60" s="450"/>
      <c r="BQ60" s="450"/>
      <c r="BR60" s="450"/>
      <c r="BS60" s="450"/>
      <c r="BT60" s="450"/>
      <c r="BU60" s="450"/>
      <c r="BV60" s="450"/>
      <c r="BW60" s="450"/>
      <c r="BX60" s="450"/>
      <c r="BY60" s="450"/>
      <c r="BZ60" s="450"/>
      <c r="CA60" s="450">
        <f>COUNTIF(AI60:AW60,"*OK*")</f>
        <v>1</v>
      </c>
      <c r="CB60" s="450"/>
      <c r="CC60" s="450">
        <f>COUNTIF(AI60:AW60,"*OP*")</f>
        <v>0</v>
      </c>
    </row>
    <row r="61" spans="1:81" ht="14.25" customHeight="1">
      <c r="A61" s="563">
        <v>27596</v>
      </c>
      <c r="B61" s="536" t="s">
        <v>270</v>
      </c>
      <c r="C61" s="451">
        <f>T61</f>
        <v>504.82</v>
      </c>
      <c r="D61" s="471">
        <f>COUNTIF(AI61:AW61,"*OK*")</f>
        <v>0</v>
      </c>
      <c r="E61" s="471"/>
      <c r="F61" s="473" t="s">
        <v>271</v>
      </c>
      <c r="G61" s="473"/>
      <c r="H61" s="474"/>
      <c r="I61" s="474"/>
      <c r="J61" s="473"/>
      <c r="K61" s="556" t="s">
        <v>79</v>
      </c>
      <c r="L61" s="473" t="s">
        <v>69</v>
      </c>
      <c r="M61" s="473"/>
      <c r="N61" s="476" t="s">
        <v>65</v>
      </c>
      <c r="O61" s="477">
        <v>516.09</v>
      </c>
      <c r="P61" s="477">
        <v>499.39</v>
      </c>
      <c r="Q61" s="477">
        <v>496.53</v>
      </c>
      <c r="R61" s="478">
        <v>510.74</v>
      </c>
      <c r="S61" s="459">
        <v>494.24599999999998</v>
      </c>
      <c r="T61" s="490">
        <v>504.82</v>
      </c>
      <c r="U61" s="479"/>
      <c r="V61" s="480">
        <v>500</v>
      </c>
      <c r="W61" s="481" t="s">
        <v>272</v>
      </c>
      <c r="X61" s="483" t="s">
        <v>272</v>
      </c>
      <c r="Y61" s="483" t="s">
        <v>150</v>
      </c>
      <c r="Z61" s="484" t="s">
        <v>273</v>
      </c>
      <c r="AA61" s="480" t="s">
        <v>145</v>
      </c>
      <c r="AB61" s="474" t="s">
        <v>97</v>
      </c>
      <c r="AC61" s="471"/>
      <c r="AD61" s="471"/>
      <c r="AE61" s="471"/>
      <c r="AF61" s="471"/>
      <c r="AG61" s="471"/>
      <c r="AH61" s="494" t="s">
        <v>127</v>
      </c>
      <c r="AI61" s="467"/>
      <c r="AJ61" s="467"/>
      <c r="AK61" s="467"/>
      <c r="AL61" s="467"/>
      <c r="AM61" s="467"/>
      <c r="AN61" s="467"/>
      <c r="AO61" s="467"/>
      <c r="AP61" s="467"/>
      <c r="AQ61" s="467"/>
      <c r="AR61" s="467"/>
      <c r="AS61" s="467"/>
      <c r="AT61" s="467"/>
      <c r="AU61" s="467"/>
      <c r="AV61" s="467"/>
      <c r="AW61" s="467"/>
      <c r="AX61" s="467"/>
      <c r="AY61" s="486">
        <f>COUNTIF(AI61:AX61,"*OP*")</f>
        <v>0</v>
      </c>
      <c r="AZ61" s="485" t="s">
        <v>59</v>
      </c>
      <c r="BA61" s="471">
        <f>(COUNTIF(AI61:AK61,"*OK*")*3) + (COUNTIF(AL61:AN61,"*OK*")*2) + COUNTIF(AO61:AQ61,"*OK*")+COUNTIF(AZ61:AZ61,"SI")*0.5</f>
        <v>0</v>
      </c>
      <c r="BB61" s="471" t="str">
        <f>IF(BA61&lt;0.6,"Demasiado Riesgo",IF(BA61&lt;=5,"Riesgo Medio",IF(BA61&lt;=11,"Riesgo Bajo","Cliente Blindado")))</f>
        <v>Demasiado Riesgo</v>
      </c>
      <c r="BC61" s="471"/>
      <c r="BD61" s="471"/>
      <c r="BE61" s="471">
        <v>0</v>
      </c>
      <c r="BF61" s="471"/>
      <c r="BG61" s="471"/>
      <c r="BH61" s="471"/>
      <c r="BI61" s="471"/>
      <c r="BJ61" s="471"/>
      <c r="BK61" s="471"/>
      <c r="BL61" s="471"/>
      <c r="BM61" s="471"/>
      <c r="BN61" s="471"/>
      <c r="BO61" s="471"/>
      <c r="BP61" s="471"/>
      <c r="BQ61" s="471"/>
      <c r="BR61" s="471"/>
      <c r="BS61" s="471"/>
      <c r="BT61" s="471"/>
      <c r="BU61" s="471"/>
      <c r="BV61" s="471"/>
      <c r="BW61" s="471"/>
      <c r="BX61" s="471"/>
      <c r="BY61" s="471"/>
      <c r="BZ61" s="471"/>
      <c r="CA61" s="471">
        <f>COUNTIF(AI61:AW61,"*OK*")</f>
        <v>0</v>
      </c>
      <c r="CB61" s="471"/>
      <c r="CC61" s="471">
        <f>COUNTIF(AI61:AW61,"*OP*")</f>
        <v>0</v>
      </c>
    </row>
    <row r="62" spans="1:81" ht="14.25" customHeight="1">
      <c r="A62" s="488">
        <v>21582</v>
      </c>
      <c r="B62" s="489" t="s">
        <v>274</v>
      </c>
      <c r="C62" s="451">
        <f>T62</f>
        <v>505.39</v>
      </c>
      <c r="D62" s="450">
        <f>COUNTIF(AI62:AW62,"*OK*")</f>
        <v>1</v>
      </c>
      <c r="E62" s="450"/>
      <c r="F62" s="453" t="s">
        <v>275</v>
      </c>
      <c r="G62" s="453"/>
      <c r="H62" s="454"/>
      <c r="I62" s="454"/>
      <c r="J62" s="453"/>
      <c r="K62" s="552" t="s">
        <v>79</v>
      </c>
      <c r="L62" s="453" t="s">
        <v>69</v>
      </c>
      <c r="M62" s="453"/>
      <c r="N62" s="456" t="s">
        <v>65</v>
      </c>
      <c r="O62" s="457">
        <v>412.5</v>
      </c>
      <c r="P62" s="457">
        <v>521.24</v>
      </c>
      <c r="Q62" s="457">
        <v>490.69</v>
      </c>
      <c r="R62" s="458">
        <v>505.34</v>
      </c>
      <c r="S62" s="459">
        <v>511.96730000000002</v>
      </c>
      <c r="T62" s="469">
        <v>505.39</v>
      </c>
      <c r="U62" s="461"/>
      <c r="V62" s="462">
        <v>200</v>
      </c>
      <c r="W62" s="463" t="s">
        <v>276</v>
      </c>
      <c r="X62" s="464" t="s">
        <v>276</v>
      </c>
      <c r="Y62" s="465" t="s">
        <v>80</v>
      </c>
      <c r="Z62" s="466" t="s">
        <v>277</v>
      </c>
      <c r="AA62" s="462" t="s">
        <v>220</v>
      </c>
      <c r="AB62" s="454" t="s">
        <v>92</v>
      </c>
      <c r="AC62" s="450"/>
      <c r="AD62" s="450"/>
      <c r="AE62" s="450"/>
      <c r="AF62" s="450"/>
      <c r="AG62" s="450"/>
      <c r="AH62" s="496" t="s">
        <v>59</v>
      </c>
      <c r="AI62" s="467"/>
      <c r="AJ62" s="467"/>
      <c r="AK62" s="467"/>
      <c r="AL62" s="467"/>
      <c r="AM62" s="467"/>
      <c r="AN62" s="467"/>
      <c r="AO62" s="467"/>
      <c r="AP62" s="565" t="s">
        <v>111</v>
      </c>
      <c r="AQ62" s="467"/>
      <c r="AR62" s="467"/>
      <c r="AS62" s="467"/>
      <c r="AT62" s="467"/>
      <c r="AU62" s="467"/>
      <c r="AV62" s="467"/>
      <c r="AW62" s="467"/>
      <c r="AX62" s="467"/>
      <c r="AY62" s="486">
        <f>COUNTIF(AI62:AX62,"*OP*")</f>
        <v>0</v>
      </c>
      <c r="AZ62" s="499" t="s">
        <v>59</v>
      </c>
      <c r="BA62" s="450">
        <f>(COUNTIF(AI62:AK62,"*OK*")*3) + (COUNTIF(AL62:AN62,"*OK*")*2) + COUNTIF(AO62:AQ62,"*OK*")+COUNTIF(AZ62:AZ62,"SI")*0.5</f>
        <v>1</v>
      </c>
      <c r="BB62" s="450" t="str">
        <f>IF(BA62&lt;0.6,"Demasiado Riesgo",IF(BA62&lt;=5,"Riesgo Medio",IF(BA62&lt;=11,"Riesgo Bajo","Cliente Blindado")))</f>
        <v>Riesgo Medio</v>
      </c>
      <c r="BC62" s="450"/>
      <c r="BD62" s="450"/>
      <c r="BE62" s="450">
        <v>0</v>
      </c>
      <c r="BF62" s="450"/>
      <c r="BG62" s="450"/>
      <c r="BH62" s="450"/>
      <c r="BI62" s="450"/>
      <c r="BJ62" s="450"/>
      <c r="BK62" s="450"/>
      <c r="BL62" s="450"/>
      <c r="BM62" s="450"/>
      <c r="BN62" s="450"/>
      <c r="BO62" s="450"/>
      <c r="BP62" s="450"/>
      <c r="BQ62" s="450"/>
      <c r="BR62" s="450"/>
      <c r="BS62" s="450"/>
      <c r="BT62" s="450"/>
      <c r="BU62" s="450"/>
      <c r="BV62" s="450"/>
      <c r="BW62" s="450"/>
      <c r="BX62" s="450"/>
      <c r="BY62" s="450"/>
      <c r="BZ62" s="450"/>
      <c r="CA62" s="450">
        <f>COUNTIF(AI62:AW62,"*OK*")</f>
        <v>1</v>
      </c>
      <c r="CB62" s="450"/>
      <c r="CC62" s="450">
        <f>COUNTIF(AI62:AW62,"*OP*")</f>
        <v>0</v>
      </c>
    </row>
    <row r="63" spans="1:81" ht="14.25" customHeight="1">
      <c r="A63" s="563">
        <v>25179</v>
      </c>
      <c r="B63" s="536" t="s">
        <v>278</v>
      </c>
      <c r="C63" s="451">
        <f>T63</f>
        <v>514.89</v>
      </c>
      <c r="D63" s="471">
        <f>COUNTIF(AI63:AW63,"*OK*")</f>
        <v>0</v>
      </c>
      <c r="E63" s="471"/>
      <c r="F63" s="576" t="s">
        <v>279</v>
      </c>
      <c r="G63" s="473"/>
      <c r="H63" s="474" t="s">
        <v>280</v>
      </c>
      <c r="I63" s="577" t="s">
        <v>281</v>
      </c>
      <c r="J63" s="473"/>
      <c r="K63" s="556" t="s">
        <v>79</v>
      </c>
      <c r="L63" s="473" t="s">
        <v>69</v>
      </c>
      <c r="M63" s="473"/>
      <c r="N63" s="476" t="s">
        <v>282</v>
      </c>
      <c r="O63" s="477">
        <v>714.48</v>
      </c>
      <c r="P63" s="477">
        <v>811.5</v>
      </c>
      <c r="Q63" s="477">
        <v>806.77</v>
      </c>
      <c r="R63" s="478">
        <v>659.04</v>
      </c>
      <c r="S63" s="459">
        <v>505.61529999999999</v>
      </c>
      <c r="T63" s="490">
        <v>514.89</v>
      </c>
      <c r="U63" s="479"/>
      <c r="V63" s="480">
        <v>200</v>
      </c>
      <c r="W63" s="481" t="s">
        <v>130</v>
      </c>
      <c r="X63" s="493" t="s">
        <v>283</v>
      </c>
      <c r="Y63" s="483" t="s">
        <v>284</v>
      </c>
      <c r="Z63" s="484" t="s">
        <v>285</v>
      </c>
      <c r="AA63" s="480" t="s">
        <v>284</v>
      </c>
      <c r="AB63" s="474" t="s">
        <v>92</v>
      </c>
      <c r="AC63" s="471"/>
      <c r="AD63" s="471"/>
      <c r="AE63" s="471"/>
      <c r="AF63" s="471"/>
      <c r="AG63" s="471"/>
      <c r="AH63" s="494" t="s">
        <v>127</v>
      </c>
      <c r="AI63" s="467"/>
      <c r="AJ63" s="467"/>
      <c r="AK63" s="467"/>
      <c r="AL63" s="467"/>
      <c r="AM63" s="467"/>
      <c r="AN63" s="467"/>
      <c r="AO63" s="467"/>
      <c r="AP63" s="467"/>
      <c r="AQ63" s="467"/>
      <c r="AR63" s="467"/>
      <c r="AS63" s="467"/>
      <c r="AT63" s="467"/>
      <c r="AU63" s="467"/>
      <c r="AV63" s="467"/>
      <c r="AW63" s="467"/>
      <c r="AX63" s="467"/>
      <c r="AY63" s="486">
        <f>COUNTIF(AI63:AX63,"*OP*")</f>
        <v>0</v>
      </c>
      <c r="AZ63" s="485" t="s">
        <v>59</v>
      </c>
      <c r="BA63" s="471">
        <f>(COUNTIF(AI63:AK63,"*OK*")*3) + (COUNTIF(AL63:AN63,"*OK*")*2) + COUNTIF(AO63:AQ63,"*OK*")+COUNTIF(AZ63:AZ63,"SI")*0.5</f>
        <v>0</v>
      </c>
      <c r="BB63" s="471" t="str">
        <f>IF(BA63&lt;0.6,"Demasiado Riesgo",IF(BA63&lt;=5,"Riesgo Medio",IF(BA63&lt;=11,"Riesgo Bajo","Cliente Blindado")))</f>
        <v>Demasiado Riesgo</v>
      </c>
      <c r="BC63" s="471"/>
      <c r="BD63" s="471"/>
      <c r="BE63" s="471">
        <v>0</v>
      </c>
      <c r="BF63" s="471"/>
      <c r="BG63" s="471"/>
      <c r="BH63" s="471"/>
      <c r="BI63" s="471"/>
      <c r="BJ63" s="471"/>
      <c r="BK63" s="471"/>
      <c r="BL63" s="471"/>
      <c r="BM63" s="471"/>
      <c r="BN63" s="471"/>
      <c r="BO63" s="471"/>
      <c r="BP63" s="471"/>
      <c r="BQ63" s="471"/>
      <c r="BR63" s="471"/>
      <c r="BS63" s="471"/>
      <c r="BT63" s="471"/>
      <c r="BU63" s="471"/>
      <c r="BV63" s="471"/>
      <c r="BW63" s="471"/>
      <c r="BX63" s="471"/>
      <c r="BY63" s="471"/>
      <c r="BZ63" s="471"/>
      <c r="CA63" s="471">
        <f>COUNTIF(AI63:AW63,"*OK*")</f>
        <v>0</v>
      </c>
      <c r="CB63" s="471"/>
      <c r="CC63" s="471">
        <f>COUNTIF(AI63:AW63,"*OP*")</f>
        <v>0</v>
      </c>
    </row>
    <row r="64" spans="1:81" ht="14.25" customHeight="1">
      <c r="A64" s="449">
        <v>27573</v>
      </c>
      <c r="B64" s="450" t="s">
        <v>286</v>
      </c>
      <c r="C64" s="451">
        <f>T64</f>
        <v>516.67999999999995</v>
      </c>
      <c r="D64" s="450">
        <f>COUNTIF(AI64:AW64,"*OK*")</f>
        <v>0</v>
      </c>
      <c r="E64" s="450"/>
      <c r="F64" s="453" t="s">
        <v>287</v>
      </c>
      <c r="G64" s="453"/>
      <c r="H64" s="454"/>
      <c r="I64" s="454"/>
      <c r="J64" s="453"/>
      <c r="K64" s="455" t="s">
        <v>79</v>
      </c>
      <c r="L64" s="453" t="s">
        <v>69</v>
      </c>
      <c r="M64" s="453"/>
      <c r="N64" s="456" t="s">
        <v>288</v>
      </c>
      <c r="O64" s="457">
        <v>553.38</v>
      </c>
      <c r="P64" s="457">
        <v>545.66</v>
      </c>
      <c r="Q64" s="457">
        <v>503.97</v>
      </c>
      <c r="R64" s="458">
        <v>522.55999999999995</v>
      </c>
      <c r="S64" s="459">
        <v>529.59209999999996</v>
      </c>
      <c r="T64" s="469">
        <v>516.67999999999995</v>
      </c>
      <c r="U64" s="461"/>
      <c r="V64" s="462">
        <v>500</v>
      </c>
      <c r="W64" s="463" t="s">
        <v>88</v>
      </c>
      <c r="X64" s="464" t="s">
        <v>70</v>
      </c>
      <c r="Y64" s="465" t="s">
        <v>289</v>
      </c>
      <c r="Z64" s="466" t="s">
        <v>290</v>
      </c>
      <c r="AA64" s="462" t="s">
        <v>289</v>
      </c>
      <c r="AB64" s="454" t="s">
        <v>97</v>
      </c>
      <c r="AC64" s="450"/>
      <c r="AD64" s="450"/>
      <c r="AE64" s="450"/>
      <c r="AF64" s="450"/>
      <c r="AG64" s="450"/>
      <c r="AH64" s="496" t="s">
        <v>59</v>
      </c>
      <c r="AI64" s="467"/>
      <c r="AJ64" s="467"/>
      <c r="AK64" s="467"/>
      <c r="AL64" s="467"/>
      <c r="AM64" s="467"/>
      <c r="AN64" s="467"/>
      <c r="AO64" s="467"/>
      <c r="AP64" s="467"/>
      <c r="AQ64" s="467"/>
      <c r="AR64" s="467"/>
      <c r="AS64" s="467"/>
      <c r="AT64" s="467"/>
      <c r="AU64" s="467"/>
      <c r="AV64" s="467"/>
      <c r="AW64" s="467"/>
      <c r="AX64" s="467"/>
      <c r="AY64" s="486">
        <f>COUNTIF(AI64:AX64,"*OP*")</f>
        <v>0</v>
      </c>
      <c r="AZ64" s="499" t="s">
        <v>59</v>
      </c>
      <c r="BA64" s="450">
        <f>(COUNTIF(AI64:AK64,"*OK*")*3) + (COUNTIF(AL64:AN64,"*OK*")*2) + COUNTIF(AO64:AQ64,"*OK*")+COUNTIF(AZ64:AZ64,"SI")*0.5</f>
        <v>0</v>
      </c>
      <c r="BB64" s="450" t="str">
        <f>IF(BA64&lt;0.6,"Demasiado Riesgo",IF(BA64&lt;=5,"Riesgo Medio",IF(BA64&lt;=11,"Riesgo Bajo","Cliente Blindado")))</f>
        <v>Demasiado Riesgo</v>
      </c>
      <c r="BC64" s="450"/>
      <c r="BD64" s="450"/>
      <c r="BE64" s="450">
        <v>0</v>
      </c>
      <c r="BF64" s="450"/>
      <c r="BG64" s="450"/>
      <c r="BH64" s="450"/>
      <c r="BI64" s="450"/>
      <c r="BJ64" s="450"/>
      <c r="BK64" s="450"/>
      <c r="BL64" s="450"/>
      <c r="BM64" s="450"/>
      <c r="BN64" s="450"/>
      <c r="BO64" s="450"/>
      <c r="BP64" s="450"/>
      <c r="BQ64" s="450"/>
      <c r="BR64" s="450"/>
      <c r="BS64" s="450"/>
      <c r="BT64" s="450"/>
      <c r="BU64" s="450"/>
      <c r="BV64" s="450"/>
      <c r="BW64" s="450"/>
      <c r="BX64" s="450"/>
      <c r="BY64" s="450"/>
      <c r="BZ64" s="450"/>
      <c r="CA64" s="450">
        <f>COUNTIF(AI64:AW64,"*OK*")</f>
        <v>0</v>
      </c>
      <c r="CB64" s="450"/>
      <c r="CC64" s="450">
        <f>COUNTIF(AI64:AW64,"*OP*")</f>
        <v>0</v>
      </c>
    </row>
    <row r="65" spans="1:81" ht="14.25" customHeight="1">
      <c r="A65" s="488">
        <v>32676</v>
      </c>
      <c r="B65" s="489" t="s">
        <v>291</v>
      </c>
      <c r="C65" s="451">
        <f>T65</f>
        <v>548.67999999999995</v>
      </c>
      <c r="D65" s="450">
        <f>COUNTIF(AI65:AW65,"*OK*")</f>
        <v>0</v>
      </c>
      <c r="E65" s="450"/>
      <c r="F65" s="453" t="s">
        <v>292</v>
      </c>
      <c r="G65" s="453" t="s">
        <v>116</v>
      </c>
      <c r="H65" s="454"/>
      <c r="I65" s="454"/>
      <c r="J65" s="453"/>
      <c r="K65" s="552" t="s">
        <v>79</v>
      </c>
      <c r="L65" s="453" t="s">
        <v>69</v>
      </c>
      <c r="M65" s="453"/>
      <c r="N65" s="456" t="s">
        <v>117</v>
      </c>
      <c r="O65" s="457">
        <v>565.12</v>
      </c>
      <c r="P65" s="457">
        <v>517.21</v>
      </c>
      <c r="Q65" s="457">
        <v>553.52</v>
      </c>
      <c r="R65" s="458">
        <v>553.38</v>
      </c>
      <c r="S65" s="459">
        <v>568.91459999999995</v>
      </c>
      <c r="T65" s="469">
        <v>548.67999999999995</v>
      </c>
      <c r="U65" s="461"/>
      <c r="V65" s="462">
        <v>300</v>
      </c>
      <c r="W65" s="463" t="s">
        <v>70</v>
      </c>
      <c r="X65" s="464" t="s">
        <v>70</v>
      </c>
      <c r="Y65" s="465" t="s">
        <v>268</v>
      </c>
      <c r="Z65" s="466" t="s">
        <v>293</v>
      </c>
      <c r="AA65" s="462" t="s">
        <v>119</v>
      </c>
      <c r="AB65" s="454" t="s">
        <v>92</v>
      </c>
      <c r="AC65" s="450"/>
      <c r="AD65" s="450"/>
      <c r="AE65" s="450"/>
      <c r="AF65" s="450"/>
      <c r="AG65" s="450"/>
      <c r="AH65" s="496" t="s">
        <v>59</v>
      </c>
      <c r="AI65" s="467"/>
      <c r="AJ65" s="467"/>
      <c r="AK65" s="467"/>
      <c r="AL65" s="467"/>
      <c r="AM65" s="467"/>
      <c r="AN65" s="467"/>
      <c r="AO65" s="467"/>
      <c r="AP65" s="467"/>
      <c r="AQ65" s="467"/>
      <c r="AR65" s="467"/>
      <c r="AS65" s="467"/>
      <c r="AT65" s="467"/>
      <c r="AU65" s="467"/>
      <c r="AV65" s="467"/>
      <c r="AW65" s="467"/>
      <c r="AX65" s="467"/>
      <c r="AY65" s="486">
        <f>COUNTIF(AI65:AX65,"*OP*")</f>
        <v>0</v>
      </c>
      <c r="AZ65" s="499" t="s">
        <v>59</v>
      </c>
      <c r="BA65" s="450">
        <f>(COUNTIF(AI65:AK65,"*OK*")*3) + (COUNTIF(AL65:AN65,"*OK*")*2) + COUNTIF(AO65:AQ65,"*OK*")+COUNTIF(AZ65:AZ65,"SI")*0.5</f>
        <v>0</v>
      </c>
      <c r="BB65" s="450" t="str">
        <f>IF(BA65&lt;0.6,"Demasiado Riesgo",IF(BA65&lt;=5,"Riesgo Medio",IF(BA65&lt;=11,"Riesgo Bajo","Cliente Blindado")))</f>
        <v>Demasiado Riesgo</v>
      </c>
      <c r="BC65" s="450"/>
      <c r="BD65" s="450"/>
      <c r="BE65" s="450">
        <v>0</v>
      </c>
      <c r="BF65" s="450"/>
      <c r="BG65" s="450"/>
      <c r="BH65" s="450"/>
      <c r="BI65" s="450"/>
      <c r="BJ65" s="450"/>
      <c r="BK65" s="450"/>
      <c r="BL65" s="450"/>
      <c r="BM65" s="450"/>
      <c r="BN65" s="450"/>
      <c r="BO65" s="450"/>
      <c r="BP65" s="450"/>
      <c r="BQ65" s="450"/>
      <c r="BR65" s="450"/>
      <c r="BS65" s="450"/>
      <c r="BT65" s="450"/>
      <c r="BU65" s="450"/>
      <c r="BV65" s="450"/>
      <c r="BW65" s="450"/>
      <c r="BX65" s="450"/>
      <c r="BY65" s="450"/>
      <c r="BZ65" s="450"/>
      <c r="CA65" s="450">
        <f>COUNTIF(AI65:AW65,"*OK*")</f>
        <v>0</v>
      </c>
      <c r="CB65" s="450"/>
      <c r="CC65" s="450">
        <f>COUNTIF(AI65:AW65,"*OP*")</f>
        <v>0</v>
      </c>
    </row>
    <row r="66" spans="1:81" ht="14.25" customHeight="1">
      <c r="A66" s="488">
        <v>2075</v>
      </c>
      <c r="B66" s="489" t="s">
        <v>294</v>
      </c>
      <c r="C66" s="451">
        <f>T66</f>
        <v>579.9</v>
      </c>
      <c r="D66" s="450">
        <f>COUNTIF(AI66:AW66,"*OK*")</f>
        <v>0</v>
      </c>
      <c r="E66" s="450"/>
      <c r="F66" s="453" t="s">
        <v>295</v>
      </c>
      <c r="G66" s="453"/>
      <c r="H66" s="454"/>
      <c r="I66" s="454"/>
      <c r="J66" s="453"/>
      <c r="K66" s="552" t="s">
        <v>79</v>
      </c>
      <c r="L66" s="453" t="s">
        <v>69</v>
      </c>
      <c r="M66" s="453"/>
      <c r="N66" s="456" t="s">
        <v>156</v>
      </c>
      <c r="O66" s="457">
        <v>544.42999999999995</v>
      </c>
      <c r="P66" s="457">
        <v>521.82000000000005</v>
      </c>
      <c r="Q66" s="457">
        <v>514.15</v>
      </c>
      <c r="R66" s="458">
        <v>548.1</v>
      </c>
      <c r="S66" s="459">
        <v>551.06389999999999</v>
      </c>
      <c r="T66" s="460">
        <v>579.9</v>
      </c>
      <c r="U66" s="461"/>
      <c r="V66" s="462">
        <v>100</v>
      </c>
      <c r="W66" s="463" t="s">
        <v>70</v>
      </c>
      <c r="X66" s="464" t="s">
        <v>70</v>
      </c>
      <c r="Y66" s="465" t="s">
        <v>139</v>
      </c>
      <c r="Z66" s="466" t="s">
        <v>296</v>
      </c>
      <c r="AA66" s="462" t="s">
        <v>71</v>
      </c>
      <c r="AB66" s="454" t="s">
        <v>92</v>
      </c>
      <c r="AC66" s="450"/>
      <c r="AD66" s="450"/>
      <c r="AE66" s="450"/>
      <c r="AF66" s="450"/>
      <c r="AG66" s="450"/>
      <c r="AH66" s="466" t="s">
        <v>59</v>
      </c>
      <c r="AI66" s="467"/>
      <c r="AJ66" s="467"/>
      <c r="AK66" s="467"/>
      <c r="AL66" s="467"/>
      <c r="AM66" s="467"/>
      <c r="AN66" s="467"/>
      <c r="AO66" s="467"/>
      <c r="AP66" s="467"/>
      <c r="AQ66" s="467"/>
      <c r="AR66" s="467"/>
      <c r="AS66" s="467"/>
      <c r="AT66" s="467"/>
      <c r="AU66" s="467"/>
      <c r="AV66" s="467"/>
      <c r="AW66" s="467"/>
      <c r="AX66" s="467"/>
      <c r="AY66" s="486">
        <f>COUNTIF(AI66:AX66,"*OP*")</f>
        <v>0</v>
      </c>
      <c r="AZ66" s="499" t="s">
        <v>59</v>
      </c>
      <c r="BA66" s="450">
        <f>(COUNTIF(AI66:AK66,"*OK*")*3) + (COUNTIF(AL66:AN66,"*OK*")*2) + COUNTIF(AO66:AQ66,"*OK*")+COUNTIF(AZ66:AZ66,"SI")*0.5</f>
        <v>0</v>
      </c>
      <c r="BB66" s="450" t="str">
        <f>IF(BA66&lt;0.6,"Demasiado Riesgo",IF(BA66&lt;=5,"Riesgo Medio",IF(BA66&lt;=11,"Riesgo Bajo","Cliente Blindado")))</f>
        <v>Demasiado Riesgo</v>
      </c>
      <c r="BC66" s="450"/>
      <c r="BD66" s="450"/>
      <c r="BE66" s="450">
        <v>0</v>
      </c>
      <c r="BF66" s="450"/>
      <c r="BG66" s="450"/>
      <c r="BH66" s="450"/>
      <c r="BI66" s="450"/>
      <c r="BJ66" s="450"/>
      <c r="BK66" s="450"/>
      <c r="BL66" s="450"/>
      <c r="BM66" s="450"/>
      <c r="BN66" s="450"/>
      <c r="BO66" s="450"/>
      <c r="BP66" s="450"/>
      <c r="BQ66" s="450"/>
      <c r="BR66" s="450"/>
      <c r="BS66" s="450"/>
      <c r="BT66" s="450"/>
      <c r="BU66" s="450"/>
      <c r="BV66" s="450"/>
      <c r="BW66" s="450"/>
      <c r="BX66" s="450"/>
      <c r="BY66" s="450"/>
      <c r="BZ66" s="450"/>
      <c r="CA66" s="450">
        <f>COUNTIF(AI66:AW66,"*OK*")</f>
        <v>0</v>
      </c>
      <c r="CB66" s="450"/>
      <c r="CC66" s="450">
        <f>COUNTIF(AI66:AW66,"*OP*")</f>
        <v>0</v>
      </c>
    </row>
    <row r="67" spans="1:81" s="570" customFormat="1" ht="14.25" customHeight="1">
      <c r="A67" s="563">
        <v>25238</v>
      </c>
      <c r="B67" s="536" t="s">
        <v>297</v>
      </c>
      <c r="C67" s="451">
        <f>T67</f>
        <v>597.74</v>
      </c>
      <c r="D67" s="471">
        <f>COUNTIF(AI67:AW67,"*OK*")</f>
        <v>0</v>
      </c>
      <c r="E67" s="471"/>
      <c r="F67" s="473" t="s">
        <v>298</v>
      </c>
      <c r="G67" s="473"/>
      <c r="H67" s="474"/>
      <c r="I67" s="474"/>
      <c r="J67" s="473"/>
      <c r="K67" s="556" t="s">
        <v>79</v>
      </c>
      <c r="L67" s="473" t="s">
        <v>69</v>
      </c>
      <c r="M67" s="473"/>
      <c r="N67" s="476" t="s">
        <v>174</v>
      </c>
      <c r="O67" s="477">
        <v>558.54</v>
      </c>
      <c r="P67" s="477">
        <v>568.36</v>
      </c>
      <c r="Q67" s="477">
        <v>538.36</v>
      </c>
      <c r="R67" s="478">
        <v>548.91</v>
      </c>
      <c r="S67" s="459">
        <v>570.02949999999998</v>
      </c>
      <c r="T67" s="490">
        <v>597.74</v>
      </c>
      <c r="U67" s="479"/>
      <c r="V67" s="480">
        <v>500</v>
      </c>
      <c r="W67" s="481" t="s">
        <v>130</v>
      </c>
      <c r="X67" s="493" t="s">
        <v>283</v>
      </c>
      <c r="Y67" s="483" t="s">
        <v>299</v>
      </c>
      <c r="Z67" s="484" t="s">
        <v>300</v>
      </c>
      <c r="AA67" s="480" t="s">
        <v>145</v>
      </c>
      <c r="AB67" s="474" t="s">
        <v>84</v>
      </c>
      <c r="AC67" s="471"/>
      <c r="AD67" s="471"/>
      <c r="AE67" s="471"/>
      <c r="AF67" s="471"/>
      <c r="AG67" s="471"/>
      <c r="AH67" s="484" t="s">
        <v>127</v>
      </c>
      <c r="AI67" s="467"/>
      <c r="AJ67" s="467"/>
      <c r="AK67" s="467"/>
      <c r="AL67" s="467"/>
      <c r="AM67" s="467"/>
      <c r="AN67" s="467"/>
      <c r="AO67" s="467"/>
      <c r="AP67" s="467"/>
      <c r="AQ67" s="467"/>
      <c r="AR67" s="467"/>
      <c r="AS67" s="467"/>
      <c r="AT67" s="467"/>
      <c r="AU67" s="467"/>
      <c r="AV67" s="467"/>
      <c r="AW67" s="467"/>
      <c r="AX67" s="467"/>
      <c r="AY67" s="486">
        <f>COUNTIF(AI67:AX67,"*OP*")</f>
        <v>0</v>
      </c>
      <c r="AZ67" s="485" t="s">
        <v>176</v>
      </c>
      <c r="BA67" s="471">
        <f>(COUNTIF(AI67:AK67,"*OK*")*3) + (COUNTIF(AL67:AN67,"*OK*")*2) + COUNTIF(AO67:AQ67,"*OK*")+COUNTIF(AZ67:AZ67,"SI")*0.5</f>
        <v>0</v>
      </c>
      <c r="BB67" s="471" t="str">
        <f>IF(BA67&lt;0.6,"Demasiado Riesgo",IF(BA67&lt;=5,"Riesgo Medio",IF(BA67&lt;=11,"Riesgo Bajo","Cliente Blindado")))</f>
        <v>Demasiado Riesgo</v>
      </c>
      <c r="BC67" s="471"/>
      <c r="BD67" s="471"/>
      <c r="BE67" s="471">
        <v>0</v>
      </c>
      <c r="BF67" s="471"/>
      <c r="BG67" s="471"/>
      <c r="BH67" s="471"/>
      <c r="BI67" s="471"/>
      <c r="BJ67" s="471"/>
      <c r="BK67" s="471"/>
      <c r="BL67" s="471"/>
      <c r="BM67" s="471"/>
      <c r="BN67" s="471"/>
      <c r="BO67" s="471"/>
      <c r="BP67" s="471"/>
      <c r="BQ67" s="471"/>
      <c r="BR67" s="471"/>
      <c r="BS67" s="471"/>
      <c r="BT67" s="471"/>
      <c r="BU67" s="471"/>
      <c r="BV67" s="471"/>
      <c r="BW67" s="471"/>
      <c r="BX67" s="471"/>
      <c r="BY67" s="471"/>
      <c r="BZ67" s="471"/>
      <c r="CA67" s="471">
        <f>COUNTIF(AI67:AW67,"*OK*")</f>
        <v>0</v>
      </c>
      <c r="CB67" s="471"/>
      <c r="CC67" s="471">
        <f>COUNTIF(AI67:AW67,"*OP*")</f>
        <v>0</v>
      </c>
    </row>
    <row r="68" spans="1:81" ht="14.25" customHeight="1">
      <c r="A68" s="488">
        <v>23418</v>
      </c>
      <c r="B68" s="489" t="s">
        <v>301</v>
      </c>
      <c r="C68" s="451">
        <f>T68</f>
        <v>598.16999999999996</v>
      </c>
      <c r="D68" s="471">
        <f>COUNTIF(AI68:AW68,"*OK*")</f>
        <v>0</v>
      </c>
      <c r="E68" s="450"/>
      <c r="F68" s="578" t="s">
        <v>302</v>
      </c>
      <c r="G68" s="453"/>
      <c r="H68" s="454" t="s">
        <v>303</v>
      </c>
      <c r="I68" s="454"/>
      <c r="J68" s="453"/>
      <c r="K68" s="552" t="s">
        <v>79</v>
      </c>
      <c r="L68" s="453" t="s">
        <v>69</v>
      </c>
      <c r="M68" s="453"/>
      <c r="N68" s="456" t="s">
        <v>156</v>
      </c>
      <c r="O68" s="457"/>
      <c r="P68" s="457"/>
      <c r="Q68" s="457">
        <v>538.86</v>
      </c>
      <c r="R68" s="458">
        <v>580.30999999999995</v>
      </c>
      <c r="S68" s="459">
        <v>601.46849999999995</v>
      </c>
      <c r="T68" s="469">
        <v>598.16999999999996</v>
      </c>
      <c r="U68" s="461"/>
      <c r="V68" s="462">
        <v>1000</v>
      </c>
      <c r="W68" s="463" t="s">
        <v>70</v>
      </c>
      <c r="X68" s="465" t="s">
        <v>70</v>
      </c>
      <c r="Y68" s="465" t="s">
        <v>71</v>
      </c>
      <c r="Z68" s="466" t="s">
        <v>304</v>
      </c>
      <c r="AA68" s="462" t="s">
        <v>71</v>
      </c>
      <c r="AB68" s="454" t="s">
        <v>137</v>
      </c>
      <c r="AC68" s="450"/>
      <c r="AD68" s="450"/>
      <c r="AE68" s="450"/>
      <c r="AF68" s="450"/>
      <c r="AG68" s="450"/>
      <c r="AH68" s="499" t="s">
        <v>127</v>
      </c>
      <c r="AI68" s="467"/>
      <c r="AJ68" s="467"/>
      <c r="AK68" s="565" t="s">
        <v>305</v>
      </c>
      <c r="AL68" s="467"/>
      <c r="AM68" s="467"/>
      <c r="AN68" s="467"/>
      <c r="AO68" s="467"/>
      <c r="AP68" s="467"/>
      <c r="AQ68" s="467"/>
      <c r="AR68" s="467"/>
      <c r="AS68" s="467"/>
      <c r="AT68" s="467"/>
      <c r="AU68" s="467"/>
      <c r="AV68" s="467"/>
      <c r="AW68" s="467"/>
      <c r="AX68" s="467"/>
      <c r="AY68" s="486">
        <f>COUNTIF(AI68:AX68,"*OP*")</f>
        <v>0</v>
      </c>
      <c r="AZ68" s="499" t="s">
        <v>176</v>
      </c>
      <c r="BA68" s="450">
        <f>(COUNTIF(AI68:AK68,"*OK*")*3) + (COUNTIF(AL68:AN68,"*OK*")*2) + COUNTIF(AO68:AQ68,"*OK*")+COUNTIF(AZ68:AZ68,"SI")*0.5</f>
        <v>0</v>
      </c>
      <c r="BB68" s="450" t="str">
        <f>IF(BA68&lt;0.6,"Demasiado Riesgo",IF(BA68&lt;=5,"Riesgo Medio",IF(BA68&lt;=11,"Riesgo Bajo","Cliente Blindado")))</f>
        <v>Demasiado Riesgo</v>
      </c>
      <c r="BC68" s="450"/>
      <c r="BD68" s="450"/>
      <c r="BE68" s="450">
        <v>0</v>
      </c>
      <c r="BF68" s="450"/>
      <c r="BG68" s="450"/>
      <c r="BH68" s="450"/>
      <c r="BI68" s="450"/>
      <c r="BJ68" s="450"/>
      <c r="BK68" s="450"/>
      <c r="BL68" s="450"/>
      <c r="BM68" s="450"/>
      <c r="BN68" s="450"/>
      <c r="BO68" s="450"/>
      <c r="BP68" s="450"/>
      <c r="BQ68" s="450"/>
      <c r="BR68" s="450"/>
      <c r="BS68" s="450"/>
      <c r="BT68" s="450"/>
      <c r="BU68" s="450"/>
      <c r="BV68" s="450"/>
      <c r="BW68" s="450"/>
      <c r="BX68" s="450"/>
      <c r="BY68" s="450"/>
      <c r="BZ68" s="450"/>
      <c r="CA68" s="450">
        <f>COUNTIF(AI68:AW68,"*OK*")</f>
        <v>0</v>
      </c>
      <c r="CB68" s="450"/>
      <c r="CC68" s="450">
        <f>COUNTIF(AI68:AW68,"*OP*")</f>
        <v>0</v>
      </c>
    </row>
    <row r="69" spans="1:81" s="570" customFormat="1" ht="14.25" customHeight="1">
      <c r="A69" s="563">
        <v>26820</v>
      </c>
      <c r="B69" s="536" t="s">
        <v>306</v>
      </c>
      <c r="C69" s="451">
        <f>T69</f>
        <v>616.07000000000005</v>
      </c>
      <c r="D69" s="471">
        <v>1</v>
      </c>
      <c r="E69" s="471"/>
      <c r="F69" s="579" t="s">
        <v>307</v>
      </c>
      <c r="G69" s="473"/>
      <c r="H69" s="474" t="s">
        <v>308</v>
      </c>
      <c r="I69" s="474"/>
      <c r="J69" s="473"/>
      <c r="K69" s="556" t="s">
        <v>79</v>
      </c>
      <c r="L69" s="473" t="s">
        <v>69</v>
      </c>
      <c r="M69" s="473"/>
      <c r="N69" s="476" t="s">
        <v>65</v>
      </c>
      <c r="O69" s="477">
        <v>782.19</v>
      </c>
      <c r="P69" s="477">
        <v>781.48</v>
      </c>
      <c r="Q69" s="477">
        <v>774.75</v>
      </c>
      <c r="R69" s="478">
        <v>887.72</v>
      </c>
      <c r="S69" s="459">
        <v>808.79240000000004</v>
      </c>
      <c r="T69" s="487">
        <v>616.07000000000005</v>
      </c>
      <c r="U69" s="479"/>
      <c r="V69" s="480">
        <v>500</v>
      </c>
      <c r="W69" s="481" t="s">
        <v>309</v>
      </c>
      <c r="X69" s="483" t="s">
        <v>251</v>
      </c>
      <c r="Y69" s="483" t="s">
        <v>310</v>
      </c>
      <c r="Z69" s="484" t="s">
        <v>311</v>
      </c>
      <c r="AA69" s="480" t="s">
        <v>310</v>
      </c>
      <c r="AB69" s="474" t="s">
        <v>92</v>
      </c>
      <c r="AC69" s="471"/>
      <c r="AD69" s="471"/>
      <c r="AE69" s="471"/>
      <c r="AF69" s="471"/>
      <c r="AG69" s="471"/>
      <c r="AH69" s="494" t="s">
        <v>127</v>
      </c>
      <c r="AI69" s="467"/>
      <c r="AJ69" s="467"/>
      <c r="AK69" s="467"/>
      <c r="AL69" s="467"/>
      <c r="AM69" s="467"/>
      <c r="AN69" s="467"/>
      <c r="AO69" s="467"/>
      <c r="AP69" s="467"/>
      <c r="AQ69" s="467"/>
      <c r="AR69" s="467"/>
      <c r="AS69" s="467"/>
      <c r="AT69" s="467"/>
      <c r="AU69" s="467"/>
      <c r="AV69" s="467"/>
      <c r="AW69" s="467"/>
      <c r="AX69" s="467"/>
      <c r="AY69" s="486">
        <f>COUNTIF(AI69:AX69,"*OP*")</f>
        <v>0</v>
      </c>
      <c r="AZ69" s="485" t="s">
        <v>59</v>
      </c>
      <c r="BA69" s="471">
        <f>(COUNTIF(AI69:AK69,"*OK*")*3) + (COUNTIF(AL69:AN69,"*OK*")*2) + COUNTIF(AO69:AQ69,"*OK*")+COUNTIF(AZ69:AZ69,"SI")*0.5</f>
        <v>0</v>
      </c>
      <c r="BB69" s="471" t="str">
        <f>IF(BA69&lt;0.6,"Demasiado Riesgo",IF(BA69&lt;=5,"Riesgo Medio",IF(BA69&lt;=11,"Riesgo Bajo","Cliente Blindado")))</f>
        <v>Demasiado Riesgo</v>
      </c>
      <c r="BC69" s="471"/>
      <c r="BD69" s="471"/>
      <c r="BE69" s="471">
        <v>0</v>
      </c>
      <c r="BF69" s="471"/>
      <c r="BG69" s="471"/>
      <c r="BH69" s="471"/>
      <c r="BI69" s="471"/>
      <c r="BJ69" s="471"/>
      <c r="BK69" s="471"/>
      <c r="BL69" s="471"/>
      <c r="BM69" s="471"/>
      <c r="BN69" s="471"/>
      <c r="BO69" s="471"/>
      <c r="BP69" s="471"/>
      <c r="BQ69" s="471"/>
      <c r="BR69" s="471"/>
      <c r="BS69" s="471"/>
      <c r="BT69" s="471"/>
      <c r="BU69" s="471"/>
      <c r="BV69" s="471"/>
      <c r="BW69" s="471"/>
      <c r="BX69" s="471"/>
      <c r="BY69" s="471"/>
      <c r="BZ69" s="471"/>
      <c r="CA69" s="471">
        <f>COUNTIF(AI69:AW69,"*OK*")</f>
        <v>0</v>
      </c>
      <c r="CB69" s="471"/>
      <c r="CC69" s="471">
        <f>COUNTIF(AI69:AW69,"*OP*")</f>
        <v>0</v>
      </c>
    </row>
    <row r="70" spans="1:81" ht="14.25" customHeight="1">
      <c r="A70" s="563">
        <v>17919</v>
      </c>
      <c r="B70" s="536" t="s">
        <v>312</v>
      </c>
      <c r="C70" s="451">
        <f>T70</f>
        <v>620.91999999999996</v>
      </c>
      <c r="D70" s="471">
        <f>COUNTIF(AI70:AW70,"*OK*")</f>
        <v>0</v>
      </c>
      <c r="E70" s="471"/>
      <c r="F70" s="576" t="s">
        <v>313</v>
      </c>
      <c r="G70" s="473"/>
      <c r="H70" s="580" t="s">
        <v>314</v>
      </c>
      <c r="I70" s="577"/>
      <c r="J70" s="473"/>
      <c r="K70" s="556" t="s">
        <v>79</v>
      </c>
      <c r="L70" s="473" t="s">
        <v>69</v>
      </c>
      <c r="M70" s="473"/>
      <c r="N70" s="476" t="s">
        <v>61</v>
      </c>
      <c r="O70" s="477">
        <v>838.1</v>
      </c>
      <c r="P70" s="477">
        <v>724.75</v>
      </c>
      <c r="Q70" s="477">
        <v>720.85</v>
      </c>
      <c r="R70" s="478">
        <v>809.81</v>
      </c>
      <c r="S70" s="459">
        <v>638.32529999999997</v>
      </c>
      <c r="T70" s="487">
        <v>620.91999999999996</v>
      </c>
      <c r="U70" s="479"/>
      <c r="V70" s="480">
        <v>150</v>
      </c>
      <c r="W70" s="481" t="s">
        <v>185</v>
      </c>
      <c r="X70" s="493" t="s">
        <v>124</v>
      </c>
      <c r="Y70" s="483" t="s">
        <v>89</v>
      </c>
      <c r="Z70" s="484" t="s">
        <v>315</v>
      </c>
      <c r="AA70" s="480" t="s">
        <v>91</v>
      </c>
      <c r="AB70" s="474" t="s">
        <v>92</v>
      </c>
      <c r="AC70" s="471"/>
      <c r="AD70" s="471"/>
      <c r="AE70" s="471"/>
      <c r="AF70" s="471"/>
      <c r="AG70" s="471"/>
      <c r="AH70" s="494" t="s">
        <v>59</v>
      </c>
      <c r="AI70" s="467" t="s">
        <v>171</v>
      </c>
      <c r="AJ70" s="467"/>
      <c r="AK70" s="467" t="s">
        <v>316</v>
      </c>
      <c r="AL70" s="467" t="s">
        <v>171</v>
      </c>
      <c r="AM70" s="467"/>
      <c r="AN70" s="467"/>
      <c r="AO70" s="467"/>
      <c r="AP70" s="467"/>
      <c r="AQ70" s="467"/>
      <c r="AR70" s="467"/>
      <c r="AS70" s="467"/>
      <c r="AT70" s="467"/>
      <c r="AU70" s="467"/>
      <c r="AV70" s="467"/>
      <c r="AW70" s="467"/>
      <c r="AX70" s="467"/>
      <c r="AY70" s="486">
        <f>COUNTIF(AI70:AX70,"*OP*")</f>
        <v>2</v>
      </c>
      <c r="AZ70" s="581"/>
      <c r="BA70" s="471">
        <f>(COUNTIF(AI70:AK70,"*OK*")*3) + (COUNTIF(AL70:AN70,"*OK*")*2) + COUNTIF(AO70:AQ70,"*OK*")+COUNTIF(AZ70:AZ70,"SI")*0.5</f>
        <v>0</v>
      </c>
      <c r="BB70" s="471" t="str">
        <f>IF(BA70&lt;0.6,"Demasiado Riesgo",IF(BA70&lt;=5,"Riesgo Medio",IF(BA70&lt;=11,"Riesgo Bajo","Cliente Blindado")))</f>
        <v>Demasiado Riesgo</v>
      </c>
      <c r="BC70" s="471"/>
      <c r="BD70" s="471"/>
      <c r="BE70" s="471">
        <v>0</v>
      </c>
      <c r="BF70" s="471"/>
      <c r="BG70" s="471"/>
      <c r="BH70" s="471"/>
      <c r="BI70" s="471"/>
      <c r="BJ70" s="471"/>
      <c r="BK70" s="471"/>
      <c r="BL70" s="471"/>
      <c r="BM70" s="471"/>
      <c r="BN70" s="471"/>
      <c r="BO70" s="471"/>
      <c r="BP70" s="471"/>
      <c r="BQ70" s="471"/>
      <c r="BR70" s="471"/>
      <c r="BS70" s="471"/>
      <c r="BT70" s="471"/>
      <c r="BU70" s="471"/>
      <c r="BV70" s="471"/>
      <c r="BW70" s="471"/>
      <c r="BX70" s="471"/>
      <c r="BY70" s="471"/>
      <c r="BZ70" s="471"/>
      <c r="CA70" s="471">
        <f>COUNTIF(AI70:AW70,"*OK*")</f>
        <v>0</v>
      </c>
      <c r="CB70" s="471"/>
      <c r="CC70" s="471">
        <f>COUNTIF(AI70:AW70,"*OP*")</f>
        <v>2</v>
      </c>
    </row>
    <row r="71" spans="1:81" ht="14.25" customHeight="1">
      <c r="A71" s="488">
        <v>30029</v>
      </c>
      <c r="B71" s="471" t="s">
        <v>317</v>
      </c>
      <c r="C71" s="451">
        <f>T71</f>
        <v>640.16999999999996</v>
      </c>
      <c r="D71" s="471">
        <f>COUNTIF(AI71:AW71,"*OK*")</f>
        <v>2</v>
      </c>
      <c r="E71" s="471"/>
      <c r="F71" s="582" t="s">
        <v>318</v>
      </c>
      <c r="G71" s="473"/>
      <c r="H71" s="474"/>
      <c r="I71" s="474"/>
      <c r="J71" s="473"/>
      <c r="K71" s="475" t="s">
        <v>79</v>
      </c>
      <c r="L71" s="473" t="s">
        <v>69</v>
      </c>
      <c r="M71" s="473"/>
      <c r="N71" s="476" t="s">
        <v>65</v>
      </c>
      <c r="O71" s="477">
        <v>332.25</v>
      </c>
      <c r="P71" s="477">
        <v>788.02</v>
      </c>
      <c r="Q71" s="477">
        <v>644.27</v>
      </c>
      <c r="R71" s="478">
        <v>576.42999999999995</v>
      </c>
      <c r="S71" s="459">
        <v>632.7088</v>
      </c>
      <c r="T71" s="490">
        <v>640.16999999999996</v>
      </c>
      <c r="U71" s="479">
        <v>300</v>
      </c>
      <c r="V71" s="480">
        <v>500</v>
      </c>
      <c r="W71" s="481"/>
      <c r="X71" s="493" t="s">
        <v>70</v>
      </c>
      <c r="Y71" s="483" t="s">
        <v>71</v>
      </c>
      <c r="Z71" s="484" t="s">
        <v>319</v>
      </c>
      <c r="AA71" s="480" t="s">
        <v>71</v>
      </c>
      <c r="AB71" s="474" t="s">
        <v>92</v>
      </c>
      <c r="AC71" s="471"/>
      <c r="AD71" s="471"/>
      <c r="AE71" s="471"/>
      <c r="AF71" s="471"/>
      <c r="AG71" s="471"/>
      <c r="AH71" s="494" t="s">
        <v>59</v>
      </c>
      <c r="AI71" s="467"/>
      <c r="AJ71" s="467" t="s">
        <v>111</v>
      </c>
      <c r="AK71" s="467" t="s">
        <v>111</v>
      </c>
      <c r="AL71" s="467" t="s">
        <v>171</v>
      </c>
      <c r="AM71" s="467"/>
      <c r="AN71" s="467"/>
      <c r="AO71" s="467"/>
      <c r="AP71" s="467"/>
      <c r="AQ71" s="467"/>
      <c r="AR71" s="467"/>
      <c r="AS71" s="467"/>
      <c r="AT71" s="467"/>
      <c r="AU71" s="467"/>
      <c r="AV71" s="467"/>
      <c r="AW71" s="467"/>
      <c r="AX71" s="467"/>
      <c r="AY71" s="486">
        <f>COUNTIF(AI71:AX71,"*OP*")</f>
        <v>1</v>
      </c>
      <c r="AZ71" s="485" t="s">
        <v>59</v>
      </c>
      <c r="BA71" s="471">
        <f>(COUNTIF(AI71:AK71,"*OK*")*3) + (COUNTIF(AL71:AN71,"*OK*")*2) + COUNTIF(AO71:AQ71,"*OK*")+COUNTIF(AZ71:AZ71,"SI")*0.5</f>
        <v>6</v>
      </c>
      <c r="BB71" s="471" t="str">
        <f>IF(BA71&lt;0.6,"Demasiado Riesgo",IF(BA71&lt;=5,"Riesgo Medio",IF(BA71&lt;=11,"Riesgo Bajo","Cliente Blindado")))</f>
        <v>Riesgo Bajo</v>
      </c>
      <c r="BC71" s="471"/>
      <c r="BD71" s="471"/>
      <c r="BE71" s="471">
        <v>0</v>
      </c>
      <c r="BF71" s="471"/>
      <c r="BG71" s="471"/>
      <c r="BH71" s="471"/>
      <c r="BI71" s="471"/>
      <c r="BJ71" s="471"/>
      <c r="BK71" s="471"/>
      <c r="BL71" s="471"/>
      <c r="BM71" s="471"/>
      <c r="BN71" s="471"/>
      <c r="BO71" s="471"/>
      <c r="BP71" s="471"/>
      <c r="BQ71" s="471"/>
      <c r="BR71" s="471"/>
      <c r="BS71" s="471"/>
      <c r="BT71" s="471"/>
      <c r="BU71" s="471"/>
      <c r="BV71" s="471"/>
      <c r="BW71" s="471"/>
      <c r="BX71" s="471"/>
      <c r="BY71" s="471"/>
      <c r="BZ71" s="471"/>
      <c r="CA71" s="471">
        <f>COUNTIF(AI71:AW71,"*OK*")</f>
        <v>2</v>
      </c>
      <c r="CB71" s="471"/>
      <c r="CC71" s="471">
        <f>COUNTIF(AI71:AW71,"*OP*")</f>
        <v>1</v>
      </c>
    </row>
    <row r="72" spans="1:81" ht="14.25" customHeight="1">
      <c r="A72" s="563">
        <v>26665</v>
      </c>
      <c r="B72" s="536" t="s">
        <v>320</v>
      </c>
      <c r="C72" s="451">
        <f>T72</f>
        <v>662.64</v>
      </c>
      <c r="D72" s="471">
        <f>COUNTIF(AI72:AW72,"*OK*")</f>
        <v>0</v>
      </c>
      <c r="E72" s="471"/>
      <c r="F72" s="578" t="s">
        <v>321</v>
      </c>
      <c r="G72" s="473"/>
      <c r="H72" s="474"/>
      <c r="I72" s="474"/>
      <c r="J72" s="473"/>
      <c r="K72" s="556" t="s">
        <v>79</v>
      </c>
      <c r="L72" s="473" t="s">
        <v>69</v>
      </c>
      <c r="M72" s="473"/>
      <c r="N72" s="476" t="s">
        <v>237</v>
      </c>
      <c r="O72" s="477">
        <v>714.35</v>
      </c>
      <c r="P72" s="477">
        <v>640.35</v>
      </c>
      <c r="Q72" s="477">
        <v>615.91</v>
      </c>
      <c r="R72" s="478">
        <v>614.28</v>
      </c>
      <c r="S72" s="459">
        <v>683.81659999999999</v>
      </c>
      <c r="T72" s="487">
        <v>662.64</v>
      </c>
      <c r="U72" s="479"/>
      <c r="V72" s="480">
        <v>300</v>
      </c>
      <c r="W72" s="481" t="s">
        <v>250</v>
      </c>
      <c r="X72" s="493" t="s">
        <v>251</v>
      </c>
      <c r="Y72" s="483" t="s">
        <v>161</v>
      </c>
      <c r="Z72" s="484" t="s">
        <v>322</v>
      </c>
      <c r="AA72" s="480" t="s">
        <v>161</v>
      </c>
      <c r="AB72" s="474" t="s">
        <v>92</v>
      </c>
      <c r="AC72" s="471"/>
      <c r="AD72" s="471"/>
      <c r="AE72" s="471"/>
      <c r="AF72" s="471"/>
      <c r="AG72" s="471"/>
      <c r="AH72" s="494" t="s">
        <v>127</v>
      </c>
      <c r="AI72" s="467"/>
      <c r="AJ72" s="467"/>
      <c r="AK72" s="467"/>
      <c r="AL72" s="467"/>
      <c r="AM72" s="467"/>
      <c r="AN72" s="467"/>
      <c r="AO72" s="467"/>
      <c r="AP72" s="467"/>
      <c r="AQ72" s="467"/>
      <c r="AR72" s="467"/>
      <c r="AS72" s="467"/>
      <c r="AT72" s="467"/>
      <c r="AU72" s="467"/>
      <c r="AV72" s="467"/>
      <c r="AW72" s="467"/>
      <c r="AX72" s="467"/>
      <c r="AY72" s="486">
        <f>COUNTIF(AI72:AX72,"*OP*")</f>
        <v>0</v>
      </c>
      <c r="AZ72" s="485" t="s">
        <v>59</v>
      </c>
      <c r="BA72" s="471">
        <f>(COUNTIF(AI72:AK72,"*OK*")*3) + (COUNTIF(AL72:AN72,"*OK*")*2) + COUNTIF(AO72:AQ72,"*OK*")+COUNTIF(AZ72:AZ72,"SI")*0.5</f>
        <v>0</v>
      </c>
      <c r="BB72" s="471" t="str">
        <f>IF(BA72&lt;0.6,"Demasiado Riesgo",IF(BA72&lt;=5,"Riesgo Medio",IF(BA72&lt;=11,"Riesgo Bajo","Cliente Blindado")))</f>
        <v>Demasiado Riesgo</v>
      </c>
      <c r="BC72" s="471"/>
      <c r="BD72" s="471"/>
      <c r="BE72" s="471">
        <v>0</v>
      </c>
      <c r="BF72" s="471"/>
      <c r="BG72" s="471"/>
      <c r="BH72" s="471"/>
      <c r="BI72" s="471"/>
      <c r="BJ72" s="471"/>
      <c r="BK72" s="471"/>
      <c r="BL72" s="471"/>
      <c r="BM72" s="471"/>
      <c r="BN72" s="471"/>
      <c r="BO72" s="471"/>
      <c r="BP72" s="471"/>
      <c r="BQ72" s="471"/>
      <c r="BR72" s="471"/>
      <c r="BS72" s="471"/>
      <c r="BT72" s="471"/>
      <c r="BU72" s="471"/>
      <c r="BV72" s="471"/>
      <c r="BW72" s="471"/>
      <c r="BX72" s="471"/>
      <c r="BY72" s="471"/>
      <c r="BZ72" s="471"/>
      <c r="CA72" s="471">
        <f>COUNTIF(AI72:AW72,"*OK*")</f>
        <v>0</v>
      </c>
      <c r="CB72" s="471"/>
      <c r="CC72" s="471">
        <f>COUNTIF(AI72:AW72,"*OP*")</f>
        <v>0</v>
      </c>
    </row>
    <row r="73" spans="1:81" ht="14.25" customHeight="1">
      <c r="A73" s="488">
        <v>1207</v>
      </c>
      <c r="B73" s="489" t="s">
        <v>323</v>
      </c>
      <c r="C73" s="451">
        <f>T73</f>
        <v>692.85</v>
      </c>
      <c r="D73" s="450">
        <f>COUNTIF(AI73:AW73,"*OK*")</f>
        <v>0</v>
      </c>
      <c r="E73" s="450"/>
      <c r="F73" s="576" t="s">
        <v>324</v>
      </c>
      <c r="G73" s="453"/>
      <c r="H73" s="454" t="s">
        <v>325</v>
      </c>
      <c r="I73" s="577" t="s">
        <v>326</v>
      </c>
      <c r="J73" s="453"/>
      <c r="K73" s="552" t="s">
        <v>79</v>
      </c>
      <c r="L73" s="453" t="s">
        <v>69</v>
      </c>
      <c r="M73" s="453"/>
      <c r="N73" s="456" t="s">
        <v>65</v>
      </c>
      <c r="O73" s="457">
        <v>611.62</v>
      </c>
      <c r="P73" s="457">
        <v>661.98</v>
      </c>
      <c r="Q73" s="457">
        <v>650.27</v>
      </c>
      <c r="R73" s="458">
        <v>691.23</v>
      </c>
      <c r="S73" s="459">
        <v>695.45920000000001</v>
      </c>
      <c r="T73" s="469">
        <v>692.85</v>
      </c>
      <c r="U73" s="461"/>
      <c r="V73" s="462">
        <v>200</v>
      </c>
      <c r="W73" s="463" t="s">
        <v>70</v>
      </c>
      <c r="X73" s="465" t="s">
        <v>70</v>
      </c>
      <c r="Y73" s="465" t="s">
        <v>150</v>
      </c>
      <c r="Z73" s="466" t="s">
        <v>327</v>
      </c>
      <c r="AA73" s="462" t="s">
        <v>145</v>
      </c>
      <c r="AB73" s="454" t="s">
        <v>92</v>
      </c>
      <c r="AC73" s="450"/>
      <c r="AD73" s="450"/>
      <c r="AE73" s="450"/>
      <c r="AF73" s="450"/>
      <c r="AG73" s="450"/>
      <c r="AH73" s="496" t="s">
        <v>59</v>
      </c>
      <c r="AI73" s="467"/>
      <c r="AJ73" s="467"/>
      <c r="AK73" s="467"/>
      <c r="AL73" s="467"/>
      <c r="AM73" s="467"/>
      <c r="AN73" s="467"/>
      <c r="AO73" s="467"/>
      <c r="AP73" s="467"/>
      <c r="AQ73" s="467"/>
      <c r="AR73" s="467"/>
      <c r="AS73" s="467"/>
      <c r="AT73" s="467"/>
      <c r="AU73" s="467"/>
      <c r="AV73" s="467"/>
      <c r="AW73" s="467"/>
      <c r="AX73" s="467"/>
      <c r="AY73" s="486">
        <f>COUNTIF(AI73:AX73,"*OP*")</f>
        <v>0</v>
      </c>
      <c r="AZ73" s="499" t="s">
        <v>59</v>
      </c>
      <c r="BA73" s="450">
        <f>(COUNTIF(AI73:AK73,"*OK*")*3) + (COUNTIF(AL73:AN73,"*OK*")*2) + COUNTIF(AO73:AQ73,"*OK*")+COUNTIF(AZ73:AZ73,"SI")*0.5</f>
        <v>0</v>
      </c>
      <c r="BB73" s="450" t="str">
        <f>IF(BA73&lt;0.6,"Demasiado Riesgo",IF(BA73&lt;=5,"Riesgo Medio",IF(BA73&lt;=11,"Riesgo Bajo","Cliente Blindado")))</f>
        <v>Demasiado Riesgo</v>
      </c>
      <c r="BC73" s="450"/>
      <c r="BD73" s="450"/>
      <c r="BE73" s="450">
        <v>0</v>
      </c>
      <c r="BF73" s="450"/>
      <c r="BG73" s="450"/>
      <c r="BH73" s="450"/>
      <c r="BI73" s="450"/>
      <c r="BJ73" s="450"/>
      <c r="BK73" s="450"/>
      <c r="BL73" s="450"/>
      <c r="BM73" s="450"/>
      <c r="BN73" s="450"/>
      <c r="BO73" s="450"/>
      <c r="BP73" s="450"/>
      <c r="BQ73" s="450"/>
      <c r="BR73" s="450"/>
      <c r="BS73" s="450"/>
      <c r="BT73" s="450"/>
      <c r="BU73" s="450"/>
      <c r="BV73" s="450"/>
      <c r="BW73" s="450"/>
      <c r="BX73" s="450"/>
      <c r="BY73" s="450"/>
      <c r="BZ73" s="450"/>
      <c r="CA73" s="450">
        <f>COUNTIF(AI73:AW73,"*OK*")</f>
        <v>0</v>
      </c>
      <c r="CB73" s="450"/>
      <c r="CC73" s="450">
        <f>COUNTIF(AI73:AW73,"*OP*")</f>
        <v>0</v>
      </c>
    </row>
    <row r="74" spans="1:81" s="406" customFormat="1" ht="14.25" customHeight="1">
      <c r="A74" s="470">
        <v>36858</v>
      </c>
      <c r="B74" s="471"/>
      <c r="C74" s="451">
        <f>T74</f>
        <v>738.79</v>
      </c>
      <c r="D74" s="471">
        <f>COUNTIF(AI74:AW74,"*OK*")</f>
        <v>0</v>
      </c>
      <c r="E74" s="471"/>
      <c r="F74" s="583" t="s">
        <v>328</v>
      </c>
      <c r="G74" s="473"/>
      <c r="H74" s="474" t="s">
        <v>329</v>
      </c>
      <c r="I74" s="474"/>
      <c r="J74" s="473"/>
      <c r="K74" s="475" t="s">
        <v>79</v>
      </c>
      <c r="L74" s="564" t="s">
        <v>69</v>
      </c>
      <c r="M74" s="564"/>
      <c r="N74" s="476" t="s">
        <v>282</v>
      </c>
      <c r="O74" s="477"/>
      <c r="P74" s="477"/>
      <c r="Q74" s="477">
        <v>1573.95</v>
      </c>
      <c r="R74" s="478">
        <v>755.87</v>
      </c>
      <c r="S74" s="459">
        <v>757.37879999999996</v>
      </c>
      <c r="T74" s="487">
        <v>738.79</v>
      </c>
      <c r="U74" s="479"/>
      <c r="V74" s="480">
        <v>400</v>
      </c>
      <c r="W74" s="481"/>
      <c r="X74" s="483" t="s">
        <v>229</v>
      </c>
      <c r="Y74" s="483">
        <v>6</v>
      </c>
      <c r="Z74" s="484" t="s">
        <v>330</v>
      </c>
      <c r="AA74" s="480" t="s">
        <v>284</v>
      </c>
      <c r="AB74" s="474"/>
      <c r="AC74" s="471"/>
      <c r="AD74" s="471"/>
      <c r="AE74" s="471"/>
      <c r="AF74" s="471"/>
      <c r="AG74" s="471"/>
      <c r="AH74" s="494" t="s">
        <v>59</v>
      </c>
      <c r="AI74" s="467"/>
      <c r="AJ74" s="467"/>
      <c r="AK74" s="467"/>
      <c r="AL74" s="467"/>
      <c r="AM74" s="467"/>
      <c r="AN74" s="467"/>
      <c r="AO74" s="467"/>
      <c r="AP74" s="467"/>
      <c r="AQ74" s="467"/>
      <c r="AR74" s="467"/>
      <c r="AS74" s="467"/>
      <c r="AT74" s="467"/>
      <c r="AU74" s="467"/>
      <c r="AV74" s="467"/>
      <c r="AW74" s="467"/>
      <c r="AX74" s="467"/>
      <c r="AY74" s="486">
        <f>COUNTIF(AI74:AX74,"*OP*")</f>
        <v>0</v>
      </c>
      <c r="AZ74" s="485" t="s">
        <v>59</v>
      </c>
      <c r="BA74" s="471">
        <f>(COUNTIF(AI74:AK74,"*OK*")*3) + (COUNTIF(AL74:AN74,"*OK*")*2) + COUNTIF(AO74:AQ74,"*OK*")+COUNTIF(AZ74:AZ74,"SI")*0.5</f>
        <v>0</v>
      </c>
      <c r="BB74" s="471" t="str">
        <f>IF(BA74&lt;0.6,"Demasiado Riesgo",IF(BA74&lt;=5,"Riesgo Medio",IF(BA74&lt;=11,"Riesgo Bajo","Cliente Blindado")))</f>
        <v>Demasiado Riesgo</v>
      </c>
      <c r="BC74" s="471"/>
      <c r="BD74" s="471"/>
      <c r="BE74" s="471">
        <v>0</v>
      </c>
      <c r="BF74" s="471"/>
      <c r="BG74" s="471"/>
      <c r="BH74" s="471"/>
      <c r="BI74" s="471"/>
      <c r="BJ74" s="471"/>
      <c r="BK74" s="471"/>
      <c r="BL74" s="471"/>
      <c r="BM74" s="471"/>
      <c r="BN74" s="471"/>
      <c r="BO74" s="471"/>
      <c r="BP74" s="471"/>
      <c r="BQ74" s="471"/>
      <c r="BR74" s="471"/>
      <c r="BS74" s="471"/>
      <c r="BT74" s="471"/>
      <c r="BU74" s="471"/>
      <c r="BV74" s="471"/>
      <c r="BW74" s="471"/>
      <c r="BX74" s="471"/>
      <c r="BY74" s="471"/>
      <c r="BZ74" s="471"/>
      <c r="CA74" s="471">
        <f>COUNTIF(AI74:AW74,"*OK*")</f>
        <v>0</v>
      </c>
      <c r="CB74" s="471"/>
      <c r="CC74" s="471">
        <f>COUNTIF(AI74:AW74,"*OP*")</f>
        <v>0</v>
      </c>
    </row>
    <row r="75" spans="1:81" ht="14.25" customHeight="1">
      <c r="A75" s="449">
        <v>35601</v>
      </c>
      <c r="B75" s="450" t="s">
        <v>331</v>
      </c>
      <c r="C75" s="451">
        <f>T75</f>
        <v>782.79</v>
      </c>
      <c r="D75" s="450">
        <f>COUNTIF(AI75:AW75,"*OK*")</f>
        <v>0</v>
      </c>
      <c r="E75" s="450"/>
      <c r="F75" s="576" t="s">
        <v>332</v>
      </c>
      <c r="G75" s="453"/>
      <c r="H75" s="454" t="s">
        <v>333</v>
      </c>
      <c r="I75" s="577" t="s">
        <v>281</v>
      </c>
      <c r="J75" s="453"/>
      <c r="K75" s="453" t="s">
        <v>79</v>
      </c>
      <c r="L75" s="453" t="s">
        <v>69</v>
      </c>
      <c r="M75" s="453"/>
      <c r="N75" s="456" t="s">
        <v>334</v>
      </c>
      <c r="O75" s="457">
        <v>742.45</v>
      </c>
      <c r="P75" s="457">
        <v>785.23</v>
      </c>
      <c r="Q75" s="457">
        <v>740.03</v>
      </c>
      <c r="R75" s="458">
        <v>772.41</v>
      </c>
      <c r="S75" s="459">
        <v>788.5752</v>
      </c>
      <c r="T75" s="469">
        <v>782.79</v>
      </c>
      <c r="U75" s="461"/>
      <c r="V75" s="462">
        <v>300</v>
      </c>
      <c r="W75" s="463"/>
      <c r="X75" s="465" t="s">
        <v>70</v>
      </c>
      <c r="Y75" s="465" t="s">
        <v>241</v>
      </c>
      <c r="Z75" s="466" t="s">
        <v>335</v>
      </c>
      <c r="AA75" s="462" t="s">
        <v>336</v>
      </c>
      <c r="AB75" s="454" t="s">
        <v>97</v>
      </c>
      <c r="AC75" s="450"/>
      <c r="AD75" s="450"/>
      <c r="AE75" s="450"/>
      <c r="AF75" s="450"/>
      <c r="AG75" s="450"/>
      <c r="AH75" s="496" t="s">
        <v>59</v>
      </c>
      <c r="AI75" s="467"/>
      <c r="AJ75" s="467"/>
      <c r="AK75" s="467"/>
      <c r="AL75" s="467"/>
      <c r="AM75" s="467"/>
      <c r="AN75" s="467"/>
      <c r="AO75" s="467"/>
      <c r="AP75" s="467"/>
      <c r="AQ75" s="467"/>
      <c r="AR75" s="467"/>
      <c r="AS75" s="467"/>
      <c r="AT75" s="467"/>
      <c r="AU75" s="467"/>
      <c r="AV75" s="467"/>
      <c r="AW75" s="467"/>
      <c r="AX75" s="467"/>
      <c r="AY75" s="486">
        <f>COUNTIF(AI75:AX75,"*OP*")</f>
        <v>0</v>
      </c>
      <c r="AZ75" s="499" t="s">
        <v>59</v>
      </c>
      <c r="BA75" s="450">
        <f>(COUNTIF(AI75:AK75,"*OK*")*3) + (COUNTIF(AL75:AN75,"*OK*")*2) + COUNTIF(AO75:AQ75,"*OK*")+COUNTIF(AZ75:AZ75,"SI")*0.5</f>
        <v>0</v>
      </c>
      <c r="BB75" s="450" t="str">
        <f>IF(BA75&lt;0.6,"Demasiado Riesgo",IF(BA75&lt;=5,"Riesgo Medio",IF(BA75&lt;=11,"Riesgo Bajo","Cliente Blindado")))</f>
        <v>Demasiado Riesgo</v>
      </c>
      <c r="BC75" s="450"/>
      <c r="BD75" s="450"/>
      <c r="BE75" s="450">
        <v>0</v>
      </c>
      <c r="BF75" s="450"/>
      <c r="BG75" s="450"/>
      <c r="BH75" s="450"/>
      <c r="BI75" s="450"/>
      <c r="BJ75" s="450"/>
      <c r="BK75" s="450"/>
      <c r="BL75" s="450"/>
      <c r="BM75" s="450"/>
      <c r="BN75" s="450"/>
      <c r="BO75" s="450"/>
      <c r="BP75" s="450"/>
      <c r="BQ75" s="450"/>
      <c r="BR75" s="450"/>
      <c r="BS75" s="450"/>
      <c r="BT75" s="450"/>
      <c r="BU75" s="450"/>
      <c r="BV75" s="450"/>
      <c r="BW75" s="450"/>
      <c r="BX75" s="450"/>
      <c r="BY75" s="450"/>
      <c r="BZ75" s="450"/>
      <c r="CA75" s="450">
        <f>COUNTIF(AI75:AW75,"*OK*")</f>
        <v>0</v>
      </c>
      <c r="CB75" s="450"/>
      <c r="CC75" s="450">
        <f>COUNTIF(AI75:AW75,"*OP*")</f>
        <v>0</v>
      </c>
    </row>
    <row r="76" spans="1:81" s="570" customFormat="1" ht="14.25" customHeight="1">
      <c r="A76" s="488">
        <v>22786</v>
      </c>
      <c r="B76" s="489" t="s">
        <v>164</v>
      </c>
      <c r="C76" s="451">
        <f>T76</f>
        <v>833.57</v>
      </c>
      <c r="D76" s="450">
        <f>COUNTIF(AI76:AW76,"*OK*")</f>
        <v>0</v>
      </c>
      <c r="E76" s="450"/>
      <c r="F76" s="579" t="s">
        <v>337</v>
      </c>
      <c r="G76" s="453"/>
      <c r="H76" s="454" t="s">
        <v>338</v>
      </c>
      <c r="I76" s="454"/>
      <c r="J76" s="453"/>
      <c r="K76" s="552" t="s">
        <v>79</v>
      </c>
      <c r="L76" s="453" t="s">
        <v>69</v>
      </c>
      <c r="M76" s="453"/>
      <c r="N76" s="456" t="s">
        <v>65</v>
      </c>
      <c r="O76" s="457">
        <v>864.85</v>
      </c>
      <c r="P76" s="457">
        <v>936.04</v>
      </c>
      <c r="Q76" s="457">
        <v>885.35</v>
      </c>
      <c r="R76" s="458">
        <v>923.35</v>
      </c>
      <c r="S76" s="459">
        <v>943.37159999999994</v>
      </c>
      <c r="T76" s="469">
        <v>833.57</v>
      </c>
      <c r="U76" s="461"/>
      <c r="V76" s="462">
        <v>300</v>
      </c>
      <c r="W76" s="463" t="s">
        <v>70</v>
      </c>
      <c r="X76" s="465" t="s">
        <v>70</v>
      </c>
      <c r="Y76" s="465" t="s">
        <v>299</v>
      </c>
      <c r="Z76" s="466" t="s">
        <v>339</v>
      </c>
      <c r="AA76" s="462" t="s">
        <v>340</v>
      </c>
      <c r="AB76" s="454" t="s">
        <v>92</v>
      </c>
      <c r="AC76" s="450"/>
      <c r="AD76" s="450"/>
      <c r="AE76" s="450"/>
      <c r="AF76" s="450"/>
      <c r="AG76" s="450"/>
      <c r="AH76" s="496" t="s">
        <v>341</v>
      </c>
      <c r="AI76" s="467"/>
      <c r="AJ76" s="467" t="s">
        <v>342</v>
      </c>
      <c r="AK76" s="467" t="s">
        <v>171</v>
      </c>
      <c r="AL76" s="467"/>
      <c r="AM76" s="467" t="s">
        <v>343</v>
      </c>
      <c r="AN76" s="467"/>
      <c r="AO76" s="467"/>
      <c r="AP76" s="467"/>
      <c r="AQ76" s="467"/>
      <c r="AR76" s="467"/>
      <c r="AS76" s="467"/>
      <c r="AT76" s="467"/>
      <c r="AU76" s="467"/>
      <c r="AV76" s="467"/>
      <c r="AW76" s="467"/>
      <c r="AX76" s="467"/>
      <c r="AY76" s="486">
        <f>COUNTIF(AI76:AX76,"*OP*")</f>
        <v>2</v>
      </c>
      <c r="AZ76" s="499" t="s">
        <v>59</v>
      </c>
      <c r="BA76" s="450">
        <f>(COUNTIF(AI76:AK76,"*OK*")*3) + (COUNTIF(AL76:AN76,"*OK*")*2) + COUNTIF(AO76:AQ76,"*OK*")+COUNTIF(AZ76:AZ76,"SI")*0.5</f>
        <v>0</v>
      </c>
      <c r="BB76" s="450" t="str">
        <f>IF(BA76&lt;0.6,"Demasiado Riesgo",IF(BA76&lt;=5,"Riesgo Medio",IF(BA76&lt;=11,"Riesgo Bajo","Cliente Blindado")))</f>
        <v>Demasiado Riesgo</v>
      </c>
      <c r="BC76" s="450"/>
      <c r="BD76" s="450"/>
      <c r="BE76" s="450">
        <v>0</v>
      </c>
      <c r="BF76" s="450"/>
      <c r="BG76" s="450"/>
      <c r="BH76" s="450"/>
      <c r="BI76" s="450"/>
      <c r="BJ76" s="450"/>
      <c r="BK76" s="450"/>
      <c r="BL76" s="450"/>
      <c r="BM76" s="450"/>
      <c r="BN76" s="450"/>
      <c r="BO76" s="450"/>
      <c r="BP76" s="450"/>
      <c r="BQ76" s="450"/>
      <c r="BR76" s="450"/>
      <c r="BS76" s="450"/>
      <c r="BT76" s="450"/>
      <c r="BU76" s="450"/>
      <c r="BV76" s="450"/>
      <c r="BW76" s="450"/>
      <c r="BX76" s="450"/>
      <c r="BY76" s="450"/>
      <c r="BZ76" s="450"/>
      <c r="CA76" s="450">
        <f>COUNTIF(AI76:AW76,"*OK*")</f>
        <v>0</v>
      </c>
      <c r="CB76" s="450"/>
      <c r="CC76" s="450">
        <f>COUNTIF(AI76:AW76,"*OP*")</f>
        <v>2</v>
      </c>
    </row>
    <row r="77" spans="1:81" ht="14.25" customHeight="1">
      <c r="A77" s="488">
        <v>26084</v>
      </c>
      <c r="B77" s="489" t="s">
        <v>344</v>
      </c>
      <c r="C77" s="451">
        <f>T77</f>
        <v>834.69</v>
      </c>
      <c r="D77" s="450">
        <f>COUNTIF(AI77:AW77,"*OK*")</f>
        <v>1</v>
      </c>
      <c r="E77" s="450"/>
      <c r="F77" s="579" t="s">
        <v>345</v>
      </c>
      <c r="G77" s="453"/>
      <c r="H77" s="454" t="s">
        <v>346</v>
      </c>
      <c r="I77" s="454"/>
      <c r="J77" s="453"/>
      <c r="K77" s="552" t="s">
        <v>79</v>
      </c>
      <c r="L77" s="453" t="s">
        <v>69</v>
      </c>
      <c r="M77" s="453"/>
      <c r="N77" s="456" t="s">
        <v>156</v>
      </c>
      <c r="O77" s="457">
        <v>1089.82</v>
      </c>
      <c r="P77" s="457">
        <v>1088.82</v>
      </c>
      <c r="Q77" s="457">
        <v>1031.23</v>
      </c>
      <c r="R77" s="458">
        <v>1061.1199999999999</v>
      </c>
      <c r="S77" s="459">
        <v>831.45640000000003</v>
      </c>
      <c r="T77" s="460">
        <v>834.69</v>
      </c>
      <c r="U77" s="461"/>
      <c r="V77" s="462">
        <v>300</v>
      </c>
      <c r="W77" s="463" t="s">
        <v>70</v>
      </c>
      <c r="X77" s="464" t="s">
        <v>70</v>
      </c>
      <c r="Y77" s="465" t="s">
        <v>139</v>
      </c>
      <c r="Z77" s="466" t="s">
        <v>347</v>
      </c>
      <c r="AA77" s="462" t="s">
        <v>71</v>
      </c>
      <c r="AB77" s="454" t="s">
        <v>92</v>
      </c>
      <c r="AC77" s="450"/>
      <c r="AD77" s="450"/>
      <c r="AE77" s="450"/>
      <c r="AF77" s="450"/>
      <c r="AG77" s="450"/>
      <c r="AH77" s="496" t="s">
        <v>127</v>
      </c>
      <c r="AI77" s="467"/>
      <c r="AJ77" s="467" t="s">
        <v>348</v>
      </c>
      <c r="AK77" s="467"/>
      <c r="AL77" s="467"/>
      <c r="AM77" s="565" t="s">
        <v>111</v>
      </c>
      <c r="AN77" s="467"/>
      <c r="AO77" s="467"/>
      <c r="AP77" s="467"/>
      <c r="AQ77" s="467"/>
      <c r="AR77" s="467"/>
      <c r="AS77" s="467"/>
      <c r="AT77" s="467"/>
      <c r="AU77" s="467"/>
      <c r="AV77" s="467"/>
      <c r="AW77" s="467"/>
      <c r="AX77" s="467"/>
      <c r="AY77" s="486">
        <f>COUNTIF(AI77:AX77,"*OP*")</f>
        <v>1</v>
      </c>
      <c r="AZ77" s="499" t="s">
        <v>176</v>
      </c>
      <c r="BA77" s="450">
        <f>(COUNTIF(AI77:AK77,"*OK*")*3) + (COUNTIF(AL77:AN77,"*OK*")*2) + COUNTIF(AO77:AQ77,"*OK*")+COUNTIF(AZ77:AZ77,"SI")*0.5</f>
        <v>2</v>
      </c>
      <c r="BB77" s="450" t="str">
        <f>IF(BA77&lt;0.6,"Demasiado Riesgo",IF(BA77&lt;=5,"Riesgo Medio",IF(BA77&lt;=11,"Riesgo Bajo","Cliente Blindado")))</f>
        <v>Riesgo Medio</v>
      </c>
      <c r="BC77" s="450"/>
      <c r="BD77" s="450"/>
      <c r="BE77" s="450">
        <v>0</v>
      </c>
      <c r="BF77" s="450"/>
      <c r="BG77" s="450"/>
      <c r="BH77" s="450"/>
      <c r="BI77" s="450"/>
      <c r="BJ77" s="450"/>
      <c r="BK77" s="450"/>
      <c r="BL77" s="450"/>
      <c r="BM77" s="450"/>
      <c r="BN77" s="450"/>
      <c r="BO77" s="450"/>
      <c r="BP77" s="450"/>
      <c r="BQ77" s="450"/>
      <c r="BR77" s="450"/>
      <c r="BS77" s="450"/>
      <c r="BT77" s="450"/>
      <c r="BU77" s="450"/>
      <c r="BV77" s="450"/>
      <c r="BW77" s="450"/>
      <c r="BX77" s="450"/>
      <c r="BY77" s="450"/>
      <c r="BZ77" s="450"/>
      <c r="CA77" s="450">
        <f>COUNTIF(AI77:AW77,"*OK*")</f>
        <v>1</v>
      </c>
      <c r="CB77" s="450"/>
      <c r="CC77" s="450">
        <f>COUNTIF(AI77:AW77,"*OP*")</f>
        <v>1</v>
      </c>
    </row>
    <row r="78" spans="1:81" ht="14.25" customHeight="1">
      <c r="A78" s="470">
        <v>36114</v>
      </c>
      <c r="B78" s="471"/>
      <c r="C78" s="451">
        <f>T78</f>
        <v>885.52</v>
      </c>
      <c r="D78" s="471">
        <f>COUNTIF(AI78:AW78,"*OK*")</f>
        <v>0</v>
      </c>
      <c r="E78" s="471"/>
      <c r="F78" s="472" t="s">
        <v>349</v>
      </c>
      <c r="G78" s="473"/>
      <c r="H78" s="474"/>
      <c r="I78" s="474"/>
      <c r="J78" s="473"/>
      <c r="K78" s="475" t="s">
        <v>79</v>
      </c>
      <c r="L78" s="473" t="s">
        <v>69</v>
      </c>
      <c r="M78" s="473"/>
      <c r="N78" s="476" t="s">
        <v>65</v>
      </c>
      <c r="O78" s="477"/>
      <c r="P78" s="477"/>
      <c r="Q78" s="477">
        <v>770.08</v>
      </c>
      <c r="R78" s="478">
        <v>806.84</v>
      </c>
      <c r="S78" s="459">
        <v>807.98630000000003</v>
      </c>
      <c r="T78" s="460">
        <v>885.52</v>
      </c>
      <c r="U78" s="479"/>
      <c r="V78" s="480">
        <v>100</v>
      </c>
      <c r="W78" s="481"/>
      <c r="X78" s="493" t="s">
        <v>70</v>
      </c>
      <c r="Y78" s="483" t="s">
        <v>268</v>
      </c>
      <c r="Z78" s="484" t="s">
        <v>350</v>
      </c>
      <c r="AA78" s="480" t="s">
        <v>59</v>
      </c>
      <c r="AB78" s="474"/>
      <c r="AC78" s="471"/>
      <c r="AD78" s="471"/>
      <c r="AE78" s="471"/>
      <c r="AF78" s="471"/>
      <c r="AG78" s="471"/>
      <c r="AH78" s="494" t="s">
        <v>59</v>
      </c>
      <c r="AI78" s="467"/>
      <c r="AJ78" s="467"/>
      <c r="AK78" s="467"/>
      <c r="AL78" s="467"/>
      <c r="AM78" s="467"/>
      <c r="AN78" s="467"/>
      <c r="AO78" s="467"/>
      <c r="AP78" s="467"/>
      <c r="AQ78" s="467"/>
      <c r="AR78" s="467"/>
      <c r="AS78" s="467"/>
      <c r="AT78" s="467"/>
      <c r="AU78" s="467"/>
      <c r="AV78" s="467"/>
      <c r="AW78" s="467"/>
      <c r="AX78" s="467"/>
      <c r="AY78" s="486">
        <f>COUNTIF(AI78:AX78,"*OP*")</f>
        <v>0</v>
      </c>
      <c r="AZ78" s="485" t="s">
        <v>59</v>
      </c>
      <c r="BA78" s="471">
        <f>(COUNTIF(AI78:AK78,"*OK*")*3) + (COUNTIF(AL78:AN78,"*OK*")*2) + COUNTIF(AO78:AQ78,"*OK*")+COUNTIF(AZ78:AZ78,"SI")*0.5</f>
        <v>0</v>
      </c>
      <c r="BB78" s="471" t="str">
        <f>IF(BA78&lt;0.6,"Demasiado Riesgo",IF(BA78&lt;=5,"Riesgo Medio",IF(BA78&lt;=11,"Riesgo Bajo","Cliente Blindado")))</f>
        <v>Demasiado Riesgo</v>
      </c>
      <c r="BC78" s="471"/>
      <c r="BD78" s="471"/>
      <c r="BE78" s="471">
        <v>0</v>
      </c>
      <c r="BF78" s="471"/>
      <c r="BG78" s="471"/>
      <c r="BH78" s="471"/>
      <c r="BI78" s="471"/>
      <c r="BJ78" s="471"/>
      <c r="BK78" s="471"/>
      <c r="BL78" s="471"/>
      <c r="BM78" s="471"/>
      <c r="BN78" s="471"/>
      <c r="BO78" s="471"/>
      <c r="BP78" s="471"/>
      <c r="BQ78" s="471"/>
      <c r="BR78" s="471"/>
      <c r="BS78" s="471"/>
      <c r="BT78" s="471"/>
      <c r="BU78" s="471"/>
      <c r="BV78" s="471"/>
      <c r="BW78" s="471"/>
      <c r="BX78" s="471"/>
      <c r="BY78" s="471"/>
      <c r="BZ78" s="471"/>
      <c r="CA78" s="471">
        <f>COUNTIF(AI78:AW78,"*OK*")</f>
        <v>0</v>
      </c>
      <c r="CB78" s="471"/>
      <c r="CC78" s="471">
        <f>COUNTIF(AI78:AW78,"*OP*")</f>
        <v>0</v>
      </c>
    </row>
    <row r="79" spans="1:81" ht="14.25" customHeight="1">
      <c r="A79" s="488">
        <v>6341</v>
      </c>
      <c r="B79" s="489" t="s">
        <v>351</v>
      </c>
      <c r="C79" s="451">
        <f>T79</f>
        <v>946.99</v>
      </c>
      <c r="D79" s="450">
        <f>COUNTIF(AI79:AW79,"*OK*")</f>
        <v>0</v>
      </c>
      <c r="E79" s="450"/>
      <c r="F79" s="576" t="s">
        <v>352</v>
      </c>
      <c r="G79" s="453"/>
      <c r="H79" s="454" t="s">
        <v>353</v>
      </c>
      <c r="I79" s="577" t="s">
        <v>281</v>
      </c>
      <c r="J79" s="453"/>
      <c r="K79" s="552" t="s">
        <v>79</v>
      </c>
      <c r="L79" s="453" t="s">
        <v>69</v>
      </c>
      <c r="M79" s="453"/>
      <c r="N79" s="456" t="s">
        <v>103</v>
      </c>
      <c r="O79" s="457">
        <v>854.05</v>
      </c>
      <c r="P79" s="457">
        <v>904.72</v>
      </c>
      <c r="Q79" s="457">
        <v>874.45</v>
      </c>
      <c r="R79" s="458">
        <v>868.85</v>
      </c>
      <c r="S79" s="459">
        <v>884.81780000000003</v>
      </c>
      <c r="T79" s="460">
        <v>946.99</v>
      </c>
      <c r="U79" s="461"/>
      <c r="V79" s="462">
        <v>200</v>
      </c>
      <c r="W79" s="463" t="s">
        <v>88</v>
      </c>
      <c r="X79" s="464" t="s">
        <v>245</v>
      </c>
      <c r="Y79" s="465" t="s">
        <v>284</v>
      </c>
      <c r="Z79" s="466" t="s">
        <v>354</v>
      </c>
      <c r="AA79" s="462" t="s">
        <v>355</v>
      </c>
      <c r="AB79" s="454" t="s">
        <v>92</v>
      </c>
      <c r="AC79" s="450"/>
      <c r="AD79" s="450"/>
      <c r="AE79" s="450"/>
      <c r="AF79" s="450"/>
      <c r="AG79" s="450"/>
      <c r="AH79" s="496" t="s">
        <v>127</v>
      </c>
      <c r="AI79" s="467" t="s">
        <v>171</v>
      </c>
      <c r="AJ79" s="467"/>
      <c r="AK79" s="467" t="s">
        <v>171</v>
      </c>
      <c r="AL79" s="467"/>
      <c r="AM79" s="467"/>
      <c r="AN79" s="467"/>
      <c r="AO79" s="467"/>
      <c r="AP79" s="467"/>
      <c r="AQ79" s="467"/>
      <c r="AR79" s="467"/>
      <c r="AS79" s="467"/>
      <c r="AT79" s="467"/>
      <c r="AU79" s="467"/>
      <c r="AV79" s="467"/>
      <c r="AW79" s="467"/>
      <c r="AX79" s="467"/>
      <c r="AY79" s="486">
        <f>COUNTIF(AI79:AX79,"*OP*")</f>
        <v>2</v>
      </c>
      <c r="AZ79" s="499" t="s">
        <v>176</v>
      </c>
      <c r="BA79" s="450">
        <f>(COUNTIF(AI79:AK79,"*OK*")*3) + (COUNTIF(AL79:AN79,"*OK*")*2) + COUNTIF(AO79:AQ79,"*OK*")+COUNTIF(AZ79:AZ79,"SI")*0.5</f>
        <v>0</v>
      </c>
      <c r="BB79" s="450" t="str">
        <f>IF(BA79&lt;0.6,"Demasiado Riesgo",IF(BA79&lt;=5,"Riesgo Medio",IF(BA79&lt;=11,"Riesgo Bajo","Cliente Blindado")))</f>
        <v>Demasiado Riesgo</v>
      </c>
      <c r="BC79" s="450"/>
      <c r="BD79" s="450"/>
      <c r="BE79" s="450">
        <v>0</v>
      </c>
      <c r="BF79" s="450"/>
      <c r="BG79" s="450"/>
      <c r="BH79" s="450"/>
      <c r="BI79" s="450"/>
      <c r="BJ79" s="450"/>
      <c r="BK79" s="450"/>
      <c r="BL79" s="450"/>
      <c r="BM79" s="450"/>
      <c r="BN79" s="450"/>
      <c r="BO79" s="450"/>
      <c r="BP79" s="450"/>
      <c r="BQ79" s="450"/>
      <c r="BR79" s="450"/>
      <c r="BS79" s="450"/>
      <c r="BT79" s="450"/>
      <c r="BU79" s="450"/>
      <c r="BV79" s="450"/>
      <c r="BW79" s="450"/>
      <c r="BX79" s="450"/>
      <c r="BY79" s="450"/>
      <c r="BZ79" s="450"/>
      <c r="CA79" s="450">
        <f>COUNTIF(AI79:AW79,"*OK*")</f>
        <v>0</v>
      </c>
      <c r="CB79" s="450"/>
      <c r="CC79" s="450">
        <f>COUNTIF(AI79:AW79,"*OP*")</f>
        <v>2</v>
      </c>
    </row>
    <row r="80" spans="1:81" ht="14.25" customHeight="1">
      <c r="A80" s="563">
        <v>24766</v>
      </c>
      <c r="B80" s="536" t="s">
        <v>356</v>
      </c>
      <c r="C80" s="451">
        <f>T80</f>
        <v>1029.6199999999999</v>
      </c>
      <c r="D80" s="471">
        <f>COUNTIF(AI80:AW80,"*OK*")</f>
        <v>1</v>
      </c>
      <c r="E80" s="471"/>
      <c r="F80" s="576" t="s">
        <v>357</v>
      </c>
      <c r="G80" s="473" t="s">
        <v>358</v>
      </c>
      <c r="H80" s="580" t="s">
        <v>359</v>
      </c>
      <c r="I80" s="577" t="s">
        <v>326</v>
      </c>
      <c r="J80" s="473"/>
      <c r="K80" s="556" t="s">
        <v>79</v>
      </c>
      <c r="L80" s="473" t="s">
        <v>69</v>
      </c>
      <c r="M80" s="473"/>
      <c r="N80" s="476" t="s">
        <v>65</v>
      </c>
      <c r="O80" s="477">
        <v>1362.93</v>
      </c>
      <c r="P80" s="477">
        <v>1354.17</v>
      </c>
      <c r="Q80" s="477">
        <v>1254.71</v>
      </c>
      <c r="R80" s="478">
        <v>1008.74</v>
      </c>
      <c r="S80" s="459">
        <v>1022.3089</v>
      </c>
      <c r="T80" s="490">
        <v>1029.6199999999999</v>
      </c>
      <c r="U80" s="479"/>
      <c r="V80" s="480">
        <v>600</v>
      </c>
      <c r="W80" s="481" t="s">
        <v>70</v>
      </c>
      <c r="X80" s="493" t="s">
        <v>70</v>
      </c>
      <c r="Y80" s="483" t="s">
        <v>360</v>
      </c>
      <c r="Z80" s="484" t="s">
        <v>361</v>
      </c>
      <c r="AA80" s="480" t="s">
        <v>362</v>
      </c>
      <c r="AB80" s="474" t="s">
        <v>137</v>
      </c>
      <c r="AC80" s="471"/>
      <c r="AD80" s="471"/>
      <c r="AE80" s="471"/>
      <c r="AF80" s="471"/>
      <c r="AG80" s="471"/>
      <c r="AH80" s="494" t="s">
        <v>127</v>
      </c>
      <c r="AI80" s="467"/>
      <c r="AJ80" s="467" t="s">
        <v>363</v>
      </c>
      <c r="AK80" s="467" t="s">
        <v>364</v>
      </c>
      <c r="AL80" s="467"/>
      <c r="AM80" s="467" t="s">
        <v>365</v>
      </c>
      <c r="AN80" s="467"/>
      <c r="AO80" s="565" t="s">
        <v>111</v>
      </c>
      <c r="AP80" s="467"/>
      <c r="AQ80" s="467" t="s">
        <v>366</v>
      </c>
      <c r="AR80" s="467"/>
      <c r="AS80" s="467"/>
      <c r="AT80" s="467"/>
      <c r="AU80" s="467"/>
      <c r="AV80" s="467"/>
      <c r="AW80" s="467"/>
      <c r="AX80" s="467"/>
      <c r="AY80" s="486">
        <f>COUNTIF(AI80:AX80,"*OP*")</f>
        <v>2</v>
      </c>
      <c r="AZ80" s="485" t="s">
        <v>59</v>
      </c>
      <c r="BA80" s="471">
        <f>(COUNTIF(AI80:AK80,"*OK*")*3) + (COUNTIF(AL80:AN80,"*OK*")*2) + COUNTIF(AO80:AQ80,"*OK*")+COUNTIF(AZ80:AZ80,"SI")*0.5</f>
        <v>1</v>
      </c>
      <c r="BB80" s="471" t="str">
        <f>IF(BA80&lt;0.6,"Demasiado Riesgo",IF(BA80&lt;=5,"Riesgo Medio",IF(BA80&lt;=11,"Riesgo Bajo","Cliente Blindado")))</f>
        <v>Riesgo Medio</v>
      </c>
      <c r="BC80" s="471"/>
      <c r="BD80" s="471"/>
      <c r="BE80" s="471">
        <v>0</v>
      </c>
      <c r="BF80" s="471"/>
      <c r="BG80" s="471"/>
      <c r="BH80" s="471"/>
      <c r="BI80" s="471"/>
      <c r="BJ80" s="471"/>
      <c r="BK80" s="471"/>
      <c r="BL80" s="471"/>
      <c r="BM80" s="471"/>
      <c r="BN80" s="471"/>
      <c r="BO80" s="471"/>
      <c r="BP80" s="471"/>
      <c r="BQ80" s="471"/>
      <c r="BR80" s="471"/>
      <c r="BS80" s="471"/>
      <c r="BT80" s="471"/>
      <c r="BU80" s="471"/>
      <c r="BV80" s="471"/>
      <c r="BW80" s="471"/>
      <c r="BX80" s="471"/>
      <c r="BY80" s="471"/>
      <c r="BZ80" s="471"/>
      <c r="CA80" s="471">
        <f>COUNTIF(AI80:AW80,"*OK*")</f>
        <v>1</v>
      </c>
      <c r="CB80" s="471"/>
      <c r="CC80" s="471">
        <f>COUNTIF(AI80:AW80,"*OP*")</f>
        <v>2</v>
      </c>
    </row>
    <row r="81" spans="1:81" ht="14.25" customHeight="1">
      <c r="A81" s="470">
        <v>32312</v>
      </c>
      <c r="B81" s="471" t="s">
        <v>367</v>
      </c>
      <c r="C81" s="451">
        <f>T81</f>
        <v>1247.8900000000001</v>
      </c>
      <c r="D81" s="471">
        <f>COUNTIF(AI81:AW81,"*OK*")</f>
        <v>0</v>
      </c>
      <c r="E81" s="471"/>
      <c r="F81" s="579" t="s">
        <v>368</v>
      </c>
      <c r="G81" s="473" t="s">
        <v>369</v>
      </c>
      <c r="H81" s="474" t="s">
        <v>370</v>
      </c>
      <c r="I81" s="474"/>
      <c r="J81" s="473"/>
      <c r="K81" s="473" t="s">
        <v>79</v>
      </c>
      <c r="L81" s="473" t="s">
        <v>69</v>
      </c>
      <c r="M81" s="473"/>
      <c r="N81" s="476" t="s">
        <v>65</v>
      </c>
      <c r="O81" s="477">
        <v>1044.07</v>
      </c>
      <c r="P81" s="477">
        <v>1388.5</v>
      </c>
      <c r="Q81" s="477">
        <v>1179.6300000000001</v>
      </c>
      <c r="R81" s="478">
        <v>1219.8900000000001</v>
      </c>
      <c r="S81" s="459">
        <v>1217.8143</v>
      </c>
      <c r="T81" s="490">
        <v>1247.8900000000001</v>
      </c>
      <c r="U81" s="479"/>
      <c r="V81" s="480">
        <v>300</v>
      </c>
      <c r="W81" s="481" t="s">
        <v>70</v>
      </c>
      <c r="X81" s="493" t="s">
        <v>70</v>
      </c>
      <c r="Y81" s="483" t="s">
        <v>268</v>
      </c>
      <c r="Z81" s="484" t="s">
        <v>371</v>
      </c>
      <c r="AA81" s="480" t="s">
        <v>200</v>
      </c>
      <c r="AB81" s="474" t="s">
        <v>97</v>
      </c>
      <c r="AC81" s="471"/>
      <c r="AD81" s="471"/>
      <c r="AE81" s="471"/>
      <c r="AF81" s="471"/>
      <c r="AG81" s="471"/>
      <c r="AH81" s="494" t="s">
        <v>59</v>
      </c>
      <c r="AI81" s="467"/>
      <c r="AJ81" s="467"/>
      <c r="AK81" s="467"/>
      <c r="AL81" s="467"/>
      <c r="AM81" s="467"/>
      <c r="AN81" s="467"/>
      <c r="AO81" s="467"/>
      <c r="AP81" s="467"/>
      <c r="AQ81" s="467"/>
      <c r="AR81" s="467"/>
      <c r="AS81" s="467"/>
      <c r="AT81" s="467"/>
      <c r="AU81" s="467"/>
      <c r="AV81" s="467"/>
      <c r="AW81" s="467"/>
      <c r="AX81" s="467"/>
      <c r="AY81" s="486">
        <f>COUNTIF(AI81:AX81,"*OP*")</f>
        <v>0</v>
      </c>
      <c r="AZ81" s="485" t="s">
        <v>59</v>
      </c>
      <c r="BA81" s="471">
        <f>(COUNTIF(AI81:AK81,"*OK*")*3) + (COUNTIF(AL81:AN81,"*OK*")*2) + COUNTIF(AO81:AQ81,"*OK*")+COUNTIF(AZ81:AZ81,"SI")*0.5</f>
        <v>0</v>
      </c>
      <c r="BB81" s="471" t="str">
        <f>IF(BA81&lt;0.6,"Demasiado Riesgo",IF(BA81&lt;=5,"Riesgo Medio",IF(BA81&lt;=11,"Riesgo Bajo","Cliente Blindado")))</f>
        <v>Demasiado Riesgo</v>
      </c>
      <c r="BC81" s="471"/>
      <c r="BD81" s="471"/>
      <c r="BE81" s="471">
        <v>0</v>
      </c>
      <c r="BF81" s="471"/>
      <c r="BG81" s="471"/>
      <c r="BH81" s="471"/>
      <c r="BI81" s="471"/>
      <c r="BJ81" s="471"/>
      <c r="BK81" s="471"/>
      <c r="BL81" s="471"/>
      <c r="BM81" s="471"/>
      <c r="BN81" s="471"/>
      <c r="BO81" s="471"/>
      <c r="BP81" s="471"/>
      <c r="BQ81" s="471"/>
      <c r="BR81" s="471"/>
      <c r="BS81" s="471"/>
      <c r="BT81" s="471"/>
      <c r="BU81" s="471"/>
      <c r="BV81" s="471"/>
      <c r="BW81" s="471"/>
      <c r="BX81" s="471"/>
      <c r="BY81" s="471"/>
      <c r="BZ81" s="471"/>
      <c r="CA81" s="471">
        <f>COUNTIF(AI81:AW81,"*OK*")</f>
        <v>0</v>
      </c>
      <c r="CB81" s="471"/>
      <c r="CC81" s="471">
        <f>COUNTIF(AI81:AW81,"*OP*")</f>
        <v>0</v>
      </c>
    </row>
    <row r="82" spans="1:81" ht="14.25" customHeight="1">
      <c r="A82" s="584">
        <v>22501</v>
      </c>
      <c r="B82" s="585" t="s">
        <v>372</v>
      </c>
      <c r="C82" s="451">
        <f>T82</f>
        <v>1248.74</v>
      </c>
      <c r="D82" s="450">
        <f>COUNTIF(AI82:AW82,"*OK*")</f>
        <v>2</v>
      </c>
      <c r="E82" s="450"/>
      <c r="F82" s="571" t="s">
        <v>373</v>
      </c>
      <c r="G82" s="453"/>
      <c r="H82" s="454" t="s">
        <v>374</v>
      </c>
      <c r="I82" s="454"/>
      <c r="J82" s="453"/>
      <c r="K82" s="552" t="s">
        <v>79</v>
      </c>
      <c r="L82" s="453" t="s">
        <v>69</v>
      </c>
      <c r="M82" s="453"/>
      <c r="N82" s="456" t="s">
        <v>103</v>
      </c>
      <c r="O82" s="457">
        <v>1167.9000000000001</v>
      </c>
      <c r="P82" s="457">
        <v>1166.83</v>
      </c>
      <c r="Q82" s="457">
        <v>1156.68</v>
      </c>
      <c r="R82" s="458">
        <v>1205.44</v>
      </c>
      <c r="S82" s="459">
        <v>1250.8895</v>
      </c>
      <c r="T82" s="469">
        <v>1248.74</v>
      </c>
      <c r="U82" s="461"/>
      <c r="V82" s="462">
        <v>300</v>
      </c>
      <c r="W82" s="463" t="s">
        <v>185</v>
      </c>
      <c r="X82" s="464" t="s">
        <v>124</v>
      </c>
      <c r="Y82" s="465" t="s">
        <v>80</v>
      </c>
      <c r="Z82" s="466" t="s">
        <v>375</v>
      </c>
      <c r="AA82" s="462" t="s">
        <v>220</v>
      </c>
      <c r="AB82" s="454" t="s">
        <v>92</v>
      </c>
      <c r="AC82" s="450"/>
      <c r="AD82" s="450"/>
      <c r="AE82" s="450"/>
      <c r="AF82" s="450"/>
      <c r="AG82" s="450"/>
      <c r="AH82" s="496" t="s">
        <v>127</v>
      </c>
      <c r="AI82" s="467"/>
      <c r="AJ82" s="467"/>
      <c r="AK82" s="565" t="s">
        <v>111</v>
      </c>
      <c r="AL82" s="467"/>
      <c r="AM82" s="565" t="s">
        <v>111</v>
      </c>
      <c r="AN82" s="467"/>
      <c r="AO82" s="467"/>
      <c r="AP82" s="467"/>
      <c r="AQ82" s="467"/>
      <c r="AR82" s="467"/>
      <c r="AS82" s="467"/>
      <c r="AT82" s="467"/>
      <c r="AU82" s="467"/>
      <c r="AV82" s="467"/>
      <c r="AW82" s="467"/>
      <c r="AX82" s="467"/>
      <c r="AY82" s="486">
        <f>COUNTIF(AI82:AX82,"*OP*")</f>
        <v>0</v>
      </c>
      <c r="AZ82" s="499" t="s">
        <v>176</v>
      </c>
      <c r="BA82" s="450">
        <f>(COUNTIF(AI82:AK82,"*OK*")*3) + (COUNTIF(AL82:AN82,"*OK*")*2) + COUNTIF(AO82:AQ82,"*OK*")+COUNTIF(AZ82:AZ82,"SI")*0.5</f>
        <v>5</v>
      </c>
      <c r="BB82" s="450" t="str">
        <f>IF(BA82&lt;0.6,"Demasiado Riesgo",IF(BA82&lt;=5,"Riesgo Medio",IF(BA82&lt;=11,"Riesgo Bajo","Cliente Blindado")))</f>
        <v>Riesgo Medio</v>
      </c>
      <c r="BC82" s="450"/>
      <c r="BD82" s="450"/>
      <c r="BE82" s="450">
        <v>0</v>
      </c>
      <c r="BF82" s="450"/>
      <c r="BG82" s="450"/>
      <c r="BH82" s="450"/>
      <c r="BI82" s="450"/>
      <c r="BJ82" s="450"/>
      <c r="BK82" s="450"/>
      <c r="BL82" s="450"/>
      <c r="BM82" s="450"/>
      <c r="BN82" s="450"/>
      <c r="BO82" s="450"/>
      <c r="BP82" s="450"/>
      <c r="BQ82" s="450"/>
      <c r="BR82" s="450"/>
      <c r="BS82" s="450"/>
      <c r="BT82" s="450"/>
      <c r="BU82" s="450"/>
      <c r="BV82" s="450"/>
      <c r="BW82" s="450"/>
      <c r="BX82" s="450"/>
      <c r="BY82" s="450"/>
      <c r="BZ82" s="450"/>
      <c r="CA82" s="450">
        <f>COUNTIF(AI82:AW82,"*OK*")</f>
        <v>2</v>
      </c>
      <c r="CB82" s="450"/>
      <c r="CC82" s="450">
        <f>COUNTIF(AI82:AW82,"*OP*")</f>
        <v>0</v>
      </c>
    </row>
    <row r="83" spans="1:81" ht="14.25" customHeight="1">
      <c r="A83" s="563">
        <v>28668</v>
      </c>
      <c r="B83" s="586" t="s">
        <v>376</v>
      </c>
      <c r="C83" s="451">
        <f>T83</f>
        <v>1265.6199999999999</v>
      </c>
      <c r="D83" s="471">
        <f>COUNTIF(AI83:AW83,"*OK*")</f>
        <v>0</v>
      </c>
      <c r="E83" s="471"/>
      <c r="F83" s="576" t="s">
        <v>377</v>
      </c>
      <c r="G83" s="473"/>
      <c r="H83" s="474" t="s">
        <v>378</v>
      </c>
      <c r="I83" s="577" t="s">
        <v>326</v>
      </c>
      <c r="J83" s="473"/>
      <c r="K83" s="556" t="s">
        <v>79</v>
      </c>
      <c r="L83" s="473" t="s">
        <v>69</v>
      </c>
      <c r="M83" s="473"/>
      <c r="N83" s="476" t="s">
        <v>174</v>
      </c>
      <c r="O83" s="477">
        <v>1183.75</v>
      </c>
      <c r="P83" s="477">
        <v>1209.71</v>
      </c>
      <c r="Q83" s="477">
        <v>1145.97</v>
      </c>
      <c r="R83" s="478">
        <v>1181.08</v>
      </c>
      <c r="S83" s="459">
        <v>1213.1493</v>
      </c>
      <c r="T83" s="490">
        <v>1265.6199999999999</v>
      </c>
      <c r="U83" s="479"/>
      <c r="V83" s="480">
        <v>200</v>
      </c>
      <c r="W83" s="481" t="s">
        <v>379</v>
      </c>
      <c r="X83" s="483" t="s">
        <v>380</v>
      </c>
      <c r="Y83" s="483" t="s">
        <v>150</v>
      </c>
      <c r="Z83" s="484" t="s">
        <v>381</v>
      </c>
      <c r="AA83" s="480" t="s">
        <v>145</v>
      </c>
      <c r="AB83" s="474" t="s">
        <v>97</v>
      </c>
      <c r="AC83" s="471"/>
      <c r="AD83" s="471"/>
      <c r="AE83" s="471"/>
      <c r="AF83" s="471"/>
      <c r="AG83" s="471"/>
      <c r="AH83" s="494" t="s">
        <v>127</v>
      </c>
      <c r="AI83" s="467"/>
      <c r="AJ83" s="467"/>
      <c r="AK83" s="467" t="s">
        <v>382</v>
      </c>
      <c r="AL83" s="467" t="s">
        <v>171</v>
      </c>
      <c r="AM83" s="467"/>
      <c r="AN83" s="467"/>
      <c r="AO83" s="467"/>
      <c r="AP83" s="467"/>
      <c r="AQ83" s="467"/>
      <c r="AR83" s="467"/>
      <c r="AS83" s="467"/>
      <c r="AT83" s="467"/>
      <c r="AU83" s="467"/>
      <c r="AV83" s="467"/>
      <c r="AW83" s="467"/>
      <c r="AX83" s="467"/>
      <c r="AY83" s="486">
        <f>COUNTIF(AI83:AX83,"*OP*")</f>
        <v>1</v>
      </c>
      <c r="AZ83" s="485" t="s">
        <v>59</v>
      </c>
      <c r="BA83" s="471">
        <f>(COUNTIF(AI83:AK83,"*OK*")*3) + (COUNTIF(AL83:AN83,"*OK*")*2) + COUNTIF(AO83:AQ83,"*OK*")+COUNTIF(AZ83:AZ83,"SI")*0.5</f>
        <v>0</v>
      </c>
      <c r="BB83" s="471" t="str">
        <f>IF(BA83&lt;0.6,"Demasiado Riesgo",IF(BA83&lt;=5,"Riesgo Medio",IF(BA83&lt;=11,"Riesgo Bajo","Cliente Blindado")))</f>
        <v>Demasiado Riesgo</v>
      </c>
      <c r="BC83" s="471"/>
      <c r="BD83" s="471"/>
      <c r="BE83" s="471">
        <v>0</v>
      </c>
      <c r="BF83" s="471"/>
      <c r="BG83" s="471"/>
      <c r="BH83" s="471"/>
      <c r="BI83" s="471"/>
      <c r="BJ83" s="471"/>
      <c r="BK83" s="471"/>
      <c r="BL83" s="471"/>
      <c r="BM83" s="471"/>
      <c r="BN83" s="471"/>
      <c r="BO83" s="471"/>
      <c r="BP83" s="471"/>
      <c r="BQ83" s="471"/>
      <c r="BR83" s="471"/>
      <c r="BS83" s="471"/>
      <c r="BT83" s="471"/>
      <c r="BU83" s="471"/>
      <c r="BV83" s="471"/>
      <c r="BW83" s="471"/>
      <c r="BX83" s="471"/>
      <c r="BY83" s="471"/>
      <c r="BZ83" s="471"/>
      <c r="CA83" s="471">
        <f>COUNTIF(AI83:AW83,"*OK*")</f>
        <v>0</v>
      </c>
      <c r="CB83" s="471"/>
      <c r="CC83" s="471">
        <f>COUNTIF(AI83:AW83,"*OP*")</f>
        <v>1</v>
      </c>
    </row>
    <row r="84" spans="1:81" ht="14.25" customHeight="1">
      <c r="A84" s="449">
        <v>33731</v>
      </c>
      <c r="B84" s="450" t="s">
        <v>383</v>
      </c>
      <c r="C84" s="451">
        <f>T84</f>
        <v>1419.3</v>
      </c>
      <c r="D84" s="450">
        <f>COUNTIF(AI84:AW84,"*OK*")</f>
        <v>0</v>
      </c>
      <c r="E84" s="450"/>
      <c r="F84" s="576" t="s">
        <v>384</v>
      </c>
      <c r="G84" s="453"/>
      <c r="H84" s="453" t="s">
        <v>385</v>
      </c>
      <c r="I84" s="577" t="s">
        <v>326</v>
      </c>
      <c r="J84" s="453"/>
      <c r="K84" s="453" t="s">
        <v>79</v>
      </c>
      <c r="L84" s="453" t="s">
        <v>69</v>
      </c>
      <c r="M84" s="453"/>
      <c r="N84" s="456" t="s">
        <v>61</v>
      </c>
      <c r="O84" s="457">
        <v>1218.08</v>
      </c>
      <c r="P84" s="457">
        <v>1170.6099999999999</v>
      </c>
      <c r="Q84" s="457">
        <v>1135.45</v>
      </c>
      <c r="R84" s="458">
        <v>1315.65</v>
      </c>
      <c r="S84" s="459">
        <v>1446.5878</v>
      </c>
      <c r="T84" s="469">
        <v>1419.3</v>
      </c>
      <c r="U84" s="461"/>
      <c r="V84" s="462">
        <v>250</v>
      </c>
      <c r="W84" s="463"/>
      <c r="X84" s="464" t="s">
        <v>283</v>
      </c>
      <c r="Y84" s="465" t="s">
        <v>80</v>
      </c>
      <c r="Z84" s="466" t="s">
        <v>386</v>
      </c>
      <c r="AA84" s="462" t="s">
        <v>257</v>
      </c>
      <c r="AB84" s="454" t="s">
        <v>97</v>
      </c>
      <c r="AC84" s="450"/>
      <c r="AD84" s="450"/>
      <c r="AE84" s="450"/>
      <c r="AF84" s="450"/>
      <c r="AG84" s="450"/>
      <c r="AH84" s="496" t="s">
        <v>59</v>
      </c>
      <c r="AI84" s="467"/>
      <c r="AJ84" s="467"/>
      <c r="AK84" s="467" t="s">
        <v>171</v>
      </c>
      <c r="AL84" s="467" t="s">
        <v>387</v>
      </c>
      <c r="AM84" s="467"/>
      <c r="AN84" s="467"/>
      <c r="AO84" s="467"/>
      <c r="AP84" s="467"/>
      <c r="AQ84" s="467"/>
      <c r="AR84" s="467"/>
      <c r="AS84" s="467"/>
      <c r="AT84" s="467"/>
      <c r="AU84" s="467"/>
      <c r="AV84" s="467"/>
      <c r="AW84" s="467"/>
      <c r="AX84" s="467"/>
      <c r="AY84" s="486">
        <f>COUNTIF(AI84:AX84,"*OP*")</f>
        <v>1</v>
      </c>
      <c r="AZ84" s="499" t="s">
        <v>59</v>
      </c>
      <c r="BA84" s="450">
        <f>(COUNTIF(AI84:AK84,"*OK*")*3) + (COUNTIF(AL84:AN84,"*OK*")*2) + COUNTIF(AO84:AQ84,"*OK*")+COUNTIF(AZ84:AZ84,"SI")*0.5</f>
        <v>0</v>
      </c>
      <c r="BB84" s="450" t="str">
        <f>IF(BA84&lt;0.6,"Demasiado Riesgo",IF(BA84&lt;=5,"Riesgo Medio",IF(BA84&lt;=11,"Riesgo Bajo","Cliente Blindado")))</f>
        <v>Demasiado Riesgo</v>
      </c>
      <c r="BC84" s="450"/>
      <c r="BD84" s="450"/>
      <c r="BE84" s="450">
        <v>0</v>
      </c>
      <c r="BF84" s="450"/>
      <c r="BG84" s="450"/>
      <c r="BH84" s="450"/>
      <c r="BI84" s="450"/>
      <c r="BJ84" s="450"/>
      <c r="BK84" s="450"/>
      <c r="BL84" s="450"/>
      <c r="BM84" s="450"/>
      <c r="BN84" s="450"/>
      <c r="BO84" s="450"/>
      <c r="BP84" s="450"/>
      <c r="BQ84" s="450"/>
      <c r="BR84" s="450"/>
      <c r="BS84" s="450"/>
      <c r="BT84" s="450"/>
      <c r="BU84" s="450"/>
      <c r="BV84" s="450"/>
      <c r="BW84" s="450"/>
      <c r="BX84" s="450"/>
      <c r="BY84" s="450"/>
      <c r="BZ84" s="450"/>
      <c r="CA84" s="450">
        <f>COUNTIF(AI84:AW84,"*OK*")</f>
        <v>0</v>
      </c>
      <c r="CB84" s="450"/>
      <c r="CC84" s="450">
        <f>COUNTIF(AI84:AW84,"*OP*")</f>
        <v>1</v>
      </c>
    </row>
    <row r="85" spans="1:81" ht="14.25" customHeight="1">
      <c r="A85" s="488">
        <v>26102</v>
      </c>
      <c r="B85" s="489" t="s">
        <v>388</v>
      </c>
      <c r="C85" s="451">
        <f>T85</f>
        <v>1467.56</v>
      </c>
      <c r="D85" s="450">
        <f>COUNTIF(AI85:AW85,"*OK*")</f>
        <v>1</v>
      </c>
      <c r="E85" s="450"/>
      <c r="F85" s="579" t="s">
        <v>389</v>
      </c>
      <c r="G85" s="453" t="s">
        <v>390</v>
      </c>
      <c r="H85" s="453" t="s">
        <v>391</v>
      </c>
      <c r="I85" s="453"/>
      <c r="J85" s="453"/>
      <c r="K85" s="552" t="s">
        <v>79</v>
      </c>
      <c r="L85" s="453" t="s">
        <v>69</v>
      </c>
      <c r="M85" s="453"/>
      <c r="N85" s="456" t="s">
        <v>174</v>
      </c>
      <c r="O85" s="457">
        <v>1244.95</v>
      </c>
      <c r="P85" s="457">
        <v>1189.6099999999999</v>
      </c>
      <c r="Q85" s="457">
        <v>1274.8900000000001</v>
      </c>
      <c r="R85" s="458">
        <v>1289.6199999999999</v>
      </c>
      <c r="S85" s="459">
        <v>1283.7945999999999</v>
      </c>
      <c r="T85" s="460">
        <v>1467.56</v>
      </c>
      <c r="U85" s="461"/>
      <c r="V85" s="462">
        <v>150</v>
      </c>
      <c r="W85" s="463" t="s">
        <v>130</v>
      </c>
      <c r="X85" s="464" t="s">
        <v>283</v>
      </c>
      <c r="Y85" s="465" t="s">
        <v>284</v>
      </c>
      <c r="Z85" s="466" t="s">
        <v>392</v>
      </c>
      <c r="AA85" s="462" t="s">
        <v>220</v>
      </c>
      <c r="AB85" s="454" t="s">
        <v>92</v>
      </c>
      <c r="AC85" s="450"/>
      <c r="AD85" s="450"/>
      <c r="AE85" s="450"/>
      <c r="AF85" s="450"/>
      <c r="AG85" s="450"/>
      <c r="AH85" s="466" t="s">
        <v>127</v>
      </c>
      <c r="AI85" s="467"/>
      <c r="AJ85" s="467"/>
      <c r="AK85" s="467"/>
      <c r="AL85" s="467"/>
      <c r="AM85" s="467"/>
      <c r="AN85" s="467"/>
      <c r="AO85" s="565" t="s">
        <v>111</v>
      </c>
      <c r="AP85" s="467"/>
      <c r="AQ85" s="467"/>
      <c r="AR85" s="467"/>
      <c r="AS85" s="467"/>
      <c r="AT85" s="467"/>
      <c r="AU85" s="467"/>
      <c r="AV85" s="467"/>
      <c r="AW85" s="467"/>
      <c r="AX85" s="467"/>
      <c r="AY85" s="486">
        <f>COUNTIF(AI85:AX85,"*OP*")</f>
        <v>0</v>
      </c>
      <c r="AZ85" s="499" t="s">
        <v>127</v>
      </c>
      <c r="BA85" s="450">
        <f>(COUNTIF(AI85:AK85,"*OK*")*3) + (COUNTIF(AL85:AN85,"*OK*")*2) + COUNTIF(AO85:AQ85,"*OK*")+COUNTIF(AZ85:AZ85,"SI")*0.5</f>
        <v>1.5</v>
      </c>
      <c r="BB85" s="450" t="str">
        <f>IF(BA85&lt;0.6,"Demasiado Riesgo",IF(BA85&lt;=5,"Riesgo Medio",IF(BA85&lt;=11,"Riesgo Bajo","Cliente Blindado")))</f>
        <v>Riesgo Medio</v>
      </c>
      <c r="BC85" s="450"/>
      <c r="BD85" s="450"/>
      <c r="BE85" s="450">
        <v>0</v>
      </c>
      <c r="BF85" s="450"/>
      <c r="BG85" s="450"/>
      <c r="BH85" s="450"/>
      <c r="BI85" s="450"/>
      <c r="BJ85" s="450"/>
      <c r="BK85" s="450"/>
      <c r="BL85" s="450"/>
      <c r="BM85" s="450"/>
      <c r="BN85" s="450"/>
      <c r="BO85" s="450"/>
      <c r="BP85" s="450"/>
      <c r="BQ85" s="450"/>
      <c r="BR85" s="450"/>
      <c r="BS85" s="450"/>
      <c r="BT85" s="450"/>
      <c r="BU85" s="450"/>
      <c r="BV85" s="450"/>
      <c r="BW85" s="450"/>
      <c r="BX85" s="450"/>
      <c r="BY85" s="450"/>
      <c r="BZ85" s="450"/>
      <c r="CA85" s="450">
        <f>COUNTIF(AI85:AW85,"*OK*")</f>
        <v>1</v>
      </c>
      <c r="CB85" s="450"/>
      <c r="CC85" s="450">
        <f>COUNTIF(AI85:AW85,"*OP*")</f>
        <v>0</v>
      </c>
    </row>
    <row r="86" spans="1:81" s="406" customFormat="1" ht="14.25" customHeight="1">
      <c r="A86" s="470">
        <v>33503</v>
      </c>
      <c r="B86" s="471" t="s">
        <v>393</v>
      </c>
      <c r="C86" s="451">
        <f>T86</f>
        <v>1552.84</v>
      </c>
      <c r="D86" s="471">
        <f>COUNTIF(AI86:AW86,"*OK*")</f>
        <v>1</v>
      </c>
      <c r="E86" s="471"/>
      <c r="F86" s="587" t="s">
        <v>394</v>
      </c>
      <c r="G86" s="473"/>
      <c r="H86" s="577" t="s">
        <v>395</v>
      </c>
      <c r="I86" s="577" t="s">
        <v>326</v>
      </c>
      <c r="J86" s="473"/>
      <c r="K86" s="556" t="s">
        <v>79</v>
      </c>
      <c r="L86" s="473" t="s">
        <v>69</v>
      </c>
      <c r="M86" s="473"/>
      <c r="N86" s="476" t="s">
        <v>237</v>
      </c>
      <c r="O86" s="477">
        <v>962.87</v>
      </c>
      <c r="P86" s="477">
        <v>961.98</v>
      </c>
      <c r="Q86" s="477">
        <v>1265.51</v>
      </c>
      <c r="R86" s="478">
        <v>1306.25</v>
      </c>
      <c r="S86" s="459">
        <v>1323.8242</v>
      </c>
      <c r="T86" s="490">
        <v>1552.84</v>
      </c>
      <c r="U86" s="479"/>
      <c r="V86" s="480">
        <v>200</v>
      </c>
      <c r="W86" s="481" t="s">
        <v>70</v>
      </c>
      <c r="X86" s="493" t="s">
        <v>70</v>
      </c>
      <c r="Y86" s="483" t="s">
        <v>161</v>
      </c>
      <c r="Z86" s="484" t="s">
        <v>396</v>
      </c>
      <c r="AA86" s="480" t="s">
        <v>161</v>
      </c>
      <c r="AB86" s="474" t="s">
        <v>92</v>
      </c>
      <c r="AC86" s="471"/>
      <c r="AD86" s="471"/>
      <c r="AE86" s="471"/>
      <c r="AF86" s="471"/>
      <c r="AG86" s="471"/>
      <c r="AH86" s="485" t="s">
        <v>127</v>
      </c>
      <c r="AI86" s="467"/>
      <c r="AJ86" s="467" t="s">
        <v>397</v>
      </c>
      <c r="AK86" s="467" t="s">
        <v>171</v>
      </c>
      <c r="AL86" s="467" t="s">
        <v>398</v>
      </c>
      <c r="AM86" s="565" t="s">
        <v>111</v>
      </c>
      <c r="AN86" s="467"/>
      <c r="AO86" s="467"/>
      <c r="AP86" s="467"/>
      <c r="AQ86" s="467"/>
      <c r="AR86" s="467"/>
      <c r="AS86" s="467"/>
      <c r="AT86" s="467"/>
      <c r="AU86" s="467"/>
      <c r="AV86" s="467"/>
      <c r="AW86" s="467"/>
      <c r="AX86" s="467"/>
      <c r="AY86" s="486">
        <f>COUNTIF(AI86:AX86,"*OP*")</f>
        <v>2</v>
      </c>
      <c r="AZ86" s="485" t="s">
        <v>176</v>
      </c>
      <c r="BA86" s="471">
        <f>(COUNTIF(AI86:AK86,"*OK*")*3) + (COUNTIF(AL86:AN86,"*OK*")*2) + COUNTIF(AO86:AQ86,"*OK*")+COUNTIF(AZ86:AZ86,"SI")*0.5</f>
        <v>2</v>
      </c>
      <c r="BB86" s="471" t="str">
        <f>IF(BA86&lt;0.6,"Demasiado Riesgo",IF(BA86&lt;=5,"Riesgo Medio",IF(BA86&lt;=11,"Riesgo Bajo","Cliente Blindado")))</f>
        <v>Riesgo Medio</v>
      </c>
      <c r="BC86" s="471"/>
      <c r="BD86" s="471"/>
      <c r="BE86" s="471">
        <v>0</v>
      </c>
      <c r="BF86" s="471"/>
      <c r="BG86" s="471"/>
      <c r="BH86" s="471"/>
      <c r="BI86" s="471"/>
      <c r="BJ86" s="471"/>
      <c r="BK86" s="471"/>
      <c r="BL86" s="471"/>
      <c r="BM86" s="471"/>
      <c r="BN86" s="471"/>
      <c r="BO86" s="471"/>
      <c r="BP86" s="471"/>
      <c r="BQ86" s="471"/>
      <c r="BR86" s="471"/>
      <c r="BS86" s="471"/>
      <c r="BT86" s="471"/>
      <c r="BU86" s="471"/>
      <c r="BV86" s="471"/>
      <c r="BW86" s="471"/>
      <c r="BX86" s="471"/>
      <c r="BY86" s="471"/>
      <c r="BZ86" s="471"/>
      <c r="CA86" s="471">
        <f>COUNTIF(AI86:AW86,"*OK*")</f>
        <v>1</v>
      </c>
      <c r="CB86" s="471"/>
      <c r="CC86" s="471">
        <f>COUNTIF(AI86:AW86,"*OP*")</f>
        <v>2</v>
      </c>
    </row>
    <row r="87" spans="1:81" ht="14.25" customHeight="1">
      <c r="A87" s="588">
        <v>31781</v>
      </c>
      <c r="B87" s="536" t="s">
        <v>399</v>
      </c>
      <c r="C87" s="451">
        <f>T87</f>
        <v>1806.37</v>
      </c>
      <c r="D87" s="471">
        <f>COUNTIF(AI87:AW87,"*OK*")</f>
        <v>0</v>
      </c>
      <c r="E87" s="471"/>
      <c r="F87" s="576" t="s">
        <v>400</v>
      </c>
      <c r="G87" s="473"/>
      <c r="H87" s="577" t="s">
        <v>401</v>
      </c>
      <c r="I87" s="577" t="s">
        <v>281</v>
      </c>
      <c r="J87" s="473"/>
      <c r="K87" s="556" t="s">
        <v>79</v>
      </c>
      <c r="L87" s="473" t="s">
        <v>69</v>
      </c>
      <c r="M87" s="473"/>
      <c r="N87" s="476" t="s">
        <v>237</v>
      </c>
      <c r="O87" s="477">
        <v>2193.2600000000002</v>
      </c>
      <c r="P87" s="477">
        <v>2095.65</v>
      </c>
      <c r="Q87" s="477">
        <v>1721.32</v>
      </c>
      <c r="R87" s="478">
        <v>1776.73</v>
      </c>
      <c r="S87" s="459">
        <v>1831.5446999999999</v>
      </c>
      <c r="T87" s="487">
        <v>1806.37</v>
      </c>
      <c r="U87" s="479"/>
      <c r="V87" s="480">
        <v>300</v>
      </c>
      <c r="W87" s="481" t="s">
        <v>276</v>
      </c>
      <c r="X87" s="493" t="s">
        <v>276</v>
      </c>
      <c r="Y87" s="483" t="s">
        <v>161</v>
      </c>
      <c r="Z87" s="484" t="s">
        <v>402</v>
      </c>
      <c r="AA87" s="480" t="s">
        <v>161</v>
      </c>
      <c r="AB87" s="474" t="s">
        <v>97</v>
      </c>
      <c r="AC87" s="471"/>
      <c r="AD87" s="471"/>
      <c r="AE87" s="471"/>
      <c r="AF87" s="471"/>
      <c r="AG87" s="471"/>
      <c r="AH87" s="494" t="s">
        <v>127</v>
      </c>
      <c r="AI87" s="467"/>
      <c r="AJ87" s="467"/>
      <c r="AK87" s="467" t="s">
        <v>403</v>
      </c>
      <c r="AL87" s="467" t="s">
        <v>171</v>
      </c>
      <c r="AM87" s="467" t="s">
        <v>171</v>
      </c>
      <c r="AN87" s="467"/>
      <c r="AO87" s="467"/>
      <c r="AP87" s="467"/>
      <c r="AQ87" s="467"/>
      <c r="AR87" s="467"/>
      <c r="AS87" s="467"/>
      <c r="AT87" s="467"/>
      <c r="AU87" s="467"/>
      <c r="AV87" s="467"/>
      <c r="AW87" s="467"/>
      <c r="AX87" s="467"/>
      <c r="AY87" s="486">
        <f>COUNTIF(AI87:AX87,"*OP*")</f>
        <v>3</v>
      </c>
      <c r="AZ87" s="485" t="s">
        <v>59</v>
      </c>
      <c r="BA87" s="471">
        <f>(COUNTIF(AI87:AK87,"*OK*")*3) + (COUNTIF(AL87:AN87,"*OK*")*2) + COUNTIF(AO87:AQ87,"*OK*")+COUNTIF(AZ87:AZ87,"SI")*0.5</f>
        <v>0</v>
      </c>
      <c r="BB87" s="471" t="str">
        <f>IF(BA87&lt;0.6,"Demasiado Riesgo",IF(BA87&lt;=5,"Riesgo Medio",IF(BA87&lt;=11,"Riesgo Bajo","Cliente Blindado")))</f>
        <v>Demasiado Riesgo</v>
      </c>
      <c r="BC87" s="471"/>
      <c r="BD87" s="471"/>
      <c r="BE87" s="471">
        <v>0</v>
      </c>
      <c r="BF87" s="471"/>
      <c r="BG87" s="471"/>
      <c r="BH87" s="471"/>
      <c r="BI87" s="471"/>
      <c r="BJ87" s="471"/>
      <c r="BK87" s="471"/>
      <c r="BL87" s="471"/>
      <c r="BM87" s="471"/>
      <c r="BN87" s="471"/>
      <c r="BO87" s="471"/>
      <c r="BP87" s="471"/>
      <c r="BQ87" s="471"/>
      <c r="BR87" s="471"/>
      <c r="BS87" s="471"/>
      <c r="BT87" s="471"/>
      <c r="BU87" s="471"/>
      <c r="BV87" s="471"/>
      <c r="BW87" s="471"/>
      <c r="BX87" s="471"/>
      <c r="BY87" s="471"/>
      <c r="BZ87" s="471"/>
      <c r="CA87" s="471">
        <f>COUNTIF(AI87:AW87,"*OK*")</f>
        <v>0</v>
      </c>
      <c r="CB87" s="471"/>
      <c r="CC87" s="471">
        <f>COUNTIF(AI87:AW87,"*OP*")</f>
        <v>3</v>
      </c>
    </row>
    <row r="88" spans="1:81" s="570" customFormat="1" ht="14.25" customHeight="1">
      <c r="A88" s="488">
        <v>31120</v>
      </c>
      <c r="B88" s="489" t="s">
        <v>404</v>
      </c>
      <c r="C88" s="451">
        <f>T88</f>
        <v>2021.82</v>
      </c>
      <c r="D88" s="450">
        <f>COUNTIF(AI88:AW88,"*OK*")</f>
        <v>2</v>
      </c>
      <c r="E88" s="450"/>
      <c r="F88" s="571" t="s">
        <v>405</v>
      </c>
      <c r="G88" s="453" t="s">
        <v>406</v>
      </c>
      <c r="H88" s="454" t="s">
        <v>407</v>
      </c>
      <c r="I88" s="454"/>
      <c r="J88" s="453"/>
      <c r="K88" s="552" t="s">
        <v>79</v>
      </c>
      <c r="L88" s="453" t="s">
        <v>69</v>
      </c>
      <c r="M88" s="453"/>
      <c r="N88" s="456" t="s">
        <v>65</v>
      </c>
      <c r="O88" s="457">
        <v>1653.11</v>
      </c>
      <c r="P88" s="457">
        <v>2016.69</v>
      </c>
      <c r="Q88" s="457">
        <v>1954.18</v>
      </c>
      <c r="R88" s="458">
        <v>2017.09</v>
      </c>
      <c r="S88" s="459">
        <v>2044.2294999999999</v>
      </c>
      <c r="T88" s="469">
        <v>2021.82</v>
      </c>
      <c r="U88" s="461"/>
      <c r="V88" s="462">
        <v>800</v>
      </c>
      <c r="W88" s="463" t="s">
        <v>70</v>
      </c>
      <c r="X88" s="465" t="s">
        <v>70</v>
      </c>
      <c r="Y88" s="465" t="s">
        <v>360</v>
      </c>
      <c r="Z88" s="466" t="s">
        <v>408</v>
      </c>
      <c r="AA88" s="462" t="s">
        <v>409</v>
      </c>
      <c r="AB88" s="454" t="s">
        <v>97</v>
      </c>
      <c r="AC88" s="450"/>
      <c r="AD88" s="450"/>
      <c r="AE88" s="450"/>
      <c r="AF88" s="450"/>
      <c r="AG88" s="450"/>
      <c r="AH88" s="466" t="s">
        <v>127</v>
      </c>
      <c r="AI88" s="467"/>
      <c r="AJ88" s="467"/>
      <c r="AK88" s="467"/>
      <c r="AL88" s="467"/>
      <c r="AM88" s="467"/>
      <c r="AN88" s="565" t="s">
        <v>111</v>
      </c>
      <c r="AO88" s="565" t="s">
        <v>111</v>
      </c>
      <c r="AP88" s="467"/>
      <c r="AQ88" s="467"/>
      <c r="AR88" s="467"/>
      <c r="AS88" s="467"/>
      <c r="AT88" s="467"/>
      <c r="AU88" s="467"/>
      <c r="AV88" s="467"/>
      <c r="AW88" s="467"/>
      <c r="AX88" s="467"/>
      <c r="AY88" s="468">
        <f>COUNTIF(AI88:AX88,"*OP*")</f>
        <v>0</v>
      </c>
      <c r="AZ88" s="466" t="s">
        <v>176</v>
      </c>
      <c r="BA88" s="450">
        <f>(COUNTIF(AI88:AK88,"*OK*")*3) + (COUNTIF(AL88:AN88,"*OK*")*2) + COUNTIF(AO88:AQ88,"*OK*")+COUNTIF(AZ88:AZ88,"SI")*0.5</f>
        <v>3</v>
      </c>
      <c r="BB88" s="450" t="str">
        <f>IF(BA88&lt;0.6,"Demasiado Riesgo",IF(BA88&lt;=5,"Riesgo Medio",IF(BA88&lt;=11,"Riesgo Bajo","Cliente Blindado")))</f>
        <v>Riesgo Medio</v>
      </c>
      <c r="BC88" s="450"/>
      <c r="BD88" s="450"/>
      <c r="BE88" s="450">
        <v>0</v>
      </c>
      <c r="BF88" s="450"/>
      <c r="BG88" s="450"/>
      <c r="BH88" s="450"/>
      <c r="BI88" s="450"/>
      <c r="BJ88" s="450"/>
      <c r="BK88" s="450"/>
      <c r="BL88" s="450"/>
      <c r="BM88" s="450"/>
      <c r="BN88" s="450"/>
      <c r="BO88" s="450"/>
      <c r="BP88" s="450"/>
      <c r="BQ88" s="450"/>
      <c r="BR88" s="450"/>
      <c r="BS88" s="450"/>
      <c r="BT88" s="450"/>
      <c r="BU88" s="450"/>
      <c r="BV88" s="450"/>
      <c r="BW88" s="450"/>
      <c r="BX88" s="450"/>
      <c r="BY88" s="450"/>
      <c r="BZ88" s="450"/>
      <c r="CA88" s="450">
        <f>COUNTIF(AI88:AW88,"*OK*")</f>
        <v>2</v>
      </c>
      <c r="CB88" s="450"/>
      <c r="CC88" s="450">
        <f>COUNTIF(AI88:AW88,"*OP*")</f>
        <v>0</v>
      </c>
    </row>
    <row r="89" spans="1:81" ht="14.25" customHeight="1">
      <c r="A89" s="470">
        <v>32725</v>
      </c>
      <c r="B89" s="471" t="s">
        <v>410</v>
      </c>
      <c r="C89" s="451">
        <f>T89</f>
        <v>3838.96</v>
      </c>
      <c r="D89" s="471">
        <f>COUNTIF(AI89:AW89,"*OK*")</f>
        <v>1</v>
      </c>
      <c r="E89" s="471"/>
      <c r="F89" s="472" t="s">
        <v>411</v>
      </c>
      <c r="G89" s="473" t="s">
        <v>412</v>
      </c>
      <c r="H89" s="474" t="s">
        <v>413</v>
      </c>
      <c r="I89" s="474"/>
      <c r="J89" s="473"/>
      <c r="K89" s="475" t="s">
        <v>79</v>
      </c>
      <c r="L89" s="473" t="s">
        <v>69</v>
      </c>
      <c r="M89" s="473"/>
      <c r="N89" s="476" t="s">
        <v>65</v>
      </c>
      <c r="O89" s="477">
        <v>1621.79</v>
      </c>
      <c r="P89" s="477">
        <v>1899.63</v>
      </c>
      <c r="Q89" s="477">
        <v>2064.25</v>
      </c>
      <c r="R89" s="478">
        <v>2613.52</v>
      </c>
      <c r="S89" s="459">
        <v>2817.7265000000002</v>
      </c>
      <c r="T89" s="490">
        <v>3838.96</v>
      </c>
      <c r="U89" s="479"/>
      <c r="V89" s="480">
        <v>500</v>
      </c>
      <c r="W89" s="481" t="s">
        <v>70</v>
      </c>
      <c r="X89" s="483" t="s">
        <v>70</v>
      </c>
      <c r="Y89" s="483" t="s">
        <v>161</v>
      </c>
      <c r="Z89" s="484" t="s">
        <v>414</v>
      </c>
      <c r="AA89" s="480" t="s">
        <v>161</v>
      </c>
      <c r="AB89" s="474" t="s">
        <v>97</v>
      </c>
      <c r="AC89" s="471"/>
      <c r="AD89" s="471"/>
      <c r="AE89" s="471"/>
      <c r="AF89" s="471"/>
      <c r="AG89" s="471"/>
      <c r="AH89" s="485" t="s">
        <v>127</v>
      </c>
      <c r="AI89" s="467"/>
      <c r="AJ89" s="467"/>
      <c r="AK89" s="467"/>
      <c r="AL89" s="467"/>
      <c r="AM89" s="467" t="s">
        <v>415</v>
      </c>
      <c r="AN89" s="467"/>
      <c r="AO89" s="467"/>
      <c r="AP89" s="467"/>
      <c r="AQ89" s="467"/>
      <c r="AR89" s="467"/>
      <c r="AS89" s="467"/>
      <c r="AT89" s="467"/>
      <c r="AU89" s="467"/>
      <c r="AV89" s="467"/>
      <c r="AW89" s="467"/>
      <c r="AX89" s="467"/>
      <c r="AY89" s="486">
        <f>COUNTIF(AI89:AX89,"*OP*")</f>
        <v>0</v>
      </c>
      <c r="AZ89" s="485" t="s">
        <v>59</v>
      </c>
      <c r="BA89" s="471">
        <f>(COUNTIF(AI89:AK89,"*OK*")*3) + (COUNTIF(AL89:AN89,"*OK*")*2) + COUNTIF(AO89:AQ89,"*OK*")+COUNTIF(AZ89:AZ89,"SI")*0.5</f>
        <v>2</v>
      </c>
      <c r="BB89" s="471" t="str">
        <f>IF(BA89&lt;0.6,"Demasiado Riesgo",IF(BA89&lt;=5,"Riesgo Medio",IF(BA89&lt;=11,"Riesgo Bajo","Cliente Blindado")))</f>
        <v>Riesgo Medio</v>
      </c>
      <c r="BC89" s="471"/>
      <c r="BD89" s="471"/>
      <c r="BE89" s="471">
        <v>0</v>
      </c>
      <c r="BF89" s="471"/>
      <c r="BG89" s="471"/>
      <c r="BH89" s="471"/>
      <c r="BI89" s="471"/>
      <c r="BJ89" s="471"/>
      <c r="BK89" s="471"/>
      <c r="BL89" s="471"/>
      <c r="BM89" s="471"/>
      <c r="BN89" s="471"/>
      <c r="BO89" s="471"/>
      <c r="BP89" s="471"/>
      <c r="BQ89" s="471"/>
      <c r="BR89" s="471"/>
      <c r="BS89" s="471"/>
      <c r="BT89" s="471"/>
      <c r="BU89" s="471"/>
      <c r="BV89" s="471"/>
      <c r="BW89" s="471"/>
      <c r="BX89" s="471"/>
      <c r="BY89" s="471"/>
      <c r="BZ89" s="471"/>
      <c r="CA89" s="471">
        <f>COUNTIF(AI89:AW89,"*OK*")</f>
        <v>1</v>
      </c>
      <c r="CB89" s="471"/>
      <c r="CC89" s="471">
        <f>COUNTIF(AI89:AW89,"*OP*")</f>
        <v>0</v>
      </c>
    </row>
    <row r="90" spans="1:81" s="406" customFormat="1" ht="14.25" customHeight="1">
      <c r="A90" s="449">
        <v>29157</v>
      </c>
      <c r="B90" s="450" t="s">
        <v>416</v>
      </c>
      <c r="C90" s="451">
        <f>T90</f>
        <v>5804.78</v>
      </c>
      <c r="D90" s="450">
        <v>1</v>
      </c>
      <c r="E90" s="450"/>
      <c r="F90" s="452" t="s">
        <v>417</v>
      </c>
      <c r="G90" s="453" t="s">
        <v>418</v>
      </c>
      <c r="H90" s="454"/>
      <c r="I90" s="454"/>
      <c r="J90" s="453"/>
      <c r="K90" s="455" t="s">
        <v>79</v>
      </c>
      <c r="L90" s="453" t="s">
        <v>69</v>
      </c>
      <c r="M90" s="453"/>
      <c r="N90" s="456" t="s">
        <v>65</v>
      </c>
      <c r="O90" s="457">
        <v>2440.36</v>
      </c>
      <c r="P90" s="457">
        <v>3186.1</v>
      </c>
      <c r="Q90" s="457">
        <v>4304.34</v>
      </c>
      <c r="R90" s="458">
        <v>4411.6400000000003</v>
      </c>
      <c r="S90" s="459">
        <v>4070.0877999999998</v>
      </c>
      <c r="T90" s="460">
        <v>5804.78</v>
      </c>
      <c r="U90" s="461"/>
      <c r="V90" s="462">
        <v>5000</v>
      </c>
      <c r="W90" s="463" t="s">
        <v>70</v>
      </c>
      <c r="X90" s="465" t="s">
        <v>70</v>
      </c>
      <c r="Y90" s="465" t="s">
        <v>268</v>
      </c>
      <c r="Z90" s="466" t="s">
        <v>419</v>
      </c>
      <c r="AA90" s="462" t="s">
        <v>119</v>
      </c>
      <c r="AB90" s="454" t="s">
        <v>97</v>
      </c>
      <c r="AC90" s="450"/>
      <c r="AD90" s="450"/>
      <c r="AE90" s="450"/>
      <c r="AF90" s="450"/>
      <c r="AG90" s="450"/>
      <c r="AH90" s="466" t="s">
        <v>127</v>
      </c>
      <c r="AI90" s="467"/>
      <c r="AJ90" s="467"/>
      <c r="AK90" s="589" t="s">
        <v>420</v>
      </c>
      <c r="AL90" s="467" t="s">
        <v>415</v>
      </c>
      <c r="AM90" s="467"/>
      <c r="AN90" s="467"/>
      <c r="AO90" s="467"/>
      <c r="AP90" s="467"/>
      <c r="AQ90" s="467"/>
      <c r="AR90" s="467"/>
      <c r="AS90" s="467"/>
      <c r="AT90" s="467"/>
      <c r="AU90" s="467"/>
      <c r="AV90" s="467"/>
      <c r="AW90" s="467"/>
      <c r="AX90" s="590" t="s">
        <v>421</v>
      </c>
      <c r="AY90" s="591">
        <f>COUNTIF(AI90:AX90,"*OP*")</f>
        <v>2</v>
      </c>
      <c r="AZ90" s="466" t="s">
        <v>176</v>
      </c>
      <c r="BA90" s="450">
        <f>(COUNTIF(AI90:AK90,"*OK*")*3) + (COUNTIF(AL90:AN90,"*OK*")*2) + COUNTIF(AO90:AQ90,"*OK*")+COUNTIF(AZ90:AZ90,"SI")*0.5</f>
        <v>2</v>
      </c>
      <c r="BB90" s="450" t="str">
        <f>IF(BA90&lt;0.6,"Demasiado Riesgo",IF(BA90&lt;=5,"Riesgo Medio",IF(BA90&lt;=11,"Riesgo Bajo","Cliente Blindado")))</f>
        <v>Riesgo Medio</v>
      </c>
      <c r="BC90" s="450"/>
      <c r="BD90" s="450"/>
      <c r="BE90" s="450">
        <v>0</v>
      </c>
      <c r="BF90" s="450"/>
      <c r="BG90" s="450"/>
      <c r="BH90" s="450"/>
      <c r="BI90" s="450"/>
      <c r="BJ90" s="450"/>
      <c r="BK90" s="450"/>
      <c r="BL90" s="450"/>
      <c r="BM90" s="450"/>
      <c r="BN90" s="450"/>
      <c r="BO90" s="450"/>
      <c r="BP90" s="450"/>
      <c r="BQ90" s="450"/>
      <c r="BR90" s="450"/>
      <c r="BS90" s="450"/>
      <c r="BT90" s="450"/>
      <c r="BU90" s="450"/>
      <c r="BV90" s="450"/>
      <c r="BW90" s="450"/>
      <c r="BX90" s="450"/>
      <c r="BY90" s="450"/>
      <c r="BZ90" s="450"/>
      <c r="CA90" s="450">
        <f>COUNTIF(AI90:AW90,"*OK*")</f>
        <v>1</v>
      </c>
      <c r="CB90" s="450"/>
      <c r="CC90" s="450">
        <f>COUNTIF(AI90:AW90,"*OP*")</f>
        <v>1</v>
      </c>
    </row>
    <row r="91" spans="1:81" s="406" customFormat="1" ht="14.25" customHeight="1">
      <c r="A91" s="488">
        <v>21190</v>
      </c>
      <c r="B91" s="489" t="s">
        <v>422</v>
      </c>
      <c r="C91" s="451" t="str">
        <f>T91</f>
        <v> </v>
      </c>
      <c r="D91" s="450">
        <f>COUNTIF(AI91:AW91,"*OK*")</f>
        <v>0</v>
      </c>
      <c r="E91" s="450"/>
      <c r="F91" s="578" t="s">
        <v>423</v>
      </c>
      <c r="G91" s="453"/>
      <c r="H91" s="454"/>
      <c r="I91" s="454"/>
      <c r="J91" s="453"/>
      <c r="K91" s="552" t="s">
        <v>79</v>
      </c>
      <c r="L91" s="453" t="s">
        <v>69</v>
      </c>
      <c r="M91" s="453"/>
      <c r="N91" s="456" t="s">
        <v>117</v>
      </c>
      <c r="O91" s="457">
        <v>659.8</v>
      </c>
      <c r="P91" s="457">
        <v>659.2</v>
      </c>
      <c r="Q91" s="457">
        <v>628.21</v>
      </c>
      <c r="R91" s="458">
        <v>648.42999999999995</v>
      </c>
      <c r="S91" s="459">
        <v>657.15179999999998</v>
      </c>
      <c r="T91" s="469" t="s">
        <v>59</v>
      </c>
      <c r="U91" s="461"/>
      <c r="V91" s="462">
        <v>200</v>
      </c>
      <c r="W91" s="463" t="s">
        <v>70</v>
      </c>
      <c r="X91" s="465" t="s">
        <v>70</v>
      </c>
      <c r="Y91" s="465" t="s">
        <v>80</v>
      </c>
      <c r="Z91" s="466" t="s">
        <v>424</v>
      </c>
      <c r="AA91" s="462" t="s">
        <v>220</v>
      </c>
      <c r="AB91" s="454" t="s">
        <v>92</v>
      </c>
      <c r="AC91" s="450"/>
      <c r="AD91" s="450"/>
      <c r="AE91" s="450"/>
      <c r="AF91" s="450"/>
      <c r="AG91" s="450"/>
      <c r="AH91" s="499" t="s">
        <v>59</v>
      </c>
      <c r="AI91" s="467"/>
      <c r="AJ91" s="467"/>
      <c r="AK91" s="467"/>
      <c r="AL91" s="467"/>
      <c r="AM91" s="467"/>
      <c r="AN91" s="467"/>
      <c r="AO91" s="467"/>
      <c r="AP91" s="467"/>
      <c r="AQ91" s="467"/>
      <c r="AR91" s="467"/>
      <c r="AS91" s="467"/>
      <c r="AT91" s="467"/>
      <c r="AU91" s="467"/>
      <c r="AV91" s="467"/>
      <c r="AW91" s="467"/>
      <c r="AX91" s="467"/>
      <c r="AY91" s="468">
        <f>COUNTIF(AI91:AX91,"*OP*")</f>
        <v>0</v>
      </c>
      <c r="AZ91" s="466" t="s">
        <v>59</v>
      </c>
      <c r="BA91" s="450">
        <f>(COUNTIF(AI91:AK91,"*OK*")*3) + (COUNTIF(AL91:AN91,"*OK*")*2) + COUNTIF(AO91:AQ91,"*OK*")+COUNTIF(AZ91:AZ91,"SI")*0.5</f>
        <v>0</v>
      </c>
      <c r="BB91" s="450" t="str">
        <f>IF(BA91&lt;0.6,"Demasiado Riesgo",IF(BA91&lt;=5,"Riesgo Medio",IF(BA91&lt;=11,"Riesgo Bajo","Cliente Blindado")))</f>
        <v>Demasiado Riesgo</v>
      </c>
      <c r="BC91" s="450"/>
      <c r="BD91" s="450"/>
      <c r="BE91" s="450">
        <v>0</v>
      </c>
      <c r="BF91" s="450"/>
      <c r="BG91" s="450"/>
      <c r="BH91" s="450"/>
      <c r="BI91" s="450"/>
      <c r="BJ91" s="450"/>
      <c r="BK91" s="450"/>
      <c r="BL91" s="450"/>
      <c r="BM91" s="450"/>
      <c r="BN91" s="450"/>
      <c r="BO91" s="450"/>
      <c r="BP91" s="450"/>
      <c r="BQ91" s="450"/>
      <c r="BR91" s="450"/>
      <c r="BS91" s="450"/>
      <c r="BT91" s="450"/>
      <c r="BU91" s="450"/>
      <c r="BV91" s="450"/>
      <c r="BW91" s="450"/>
      <c r="BX91" s="450"/>
      <c r="BY91" s="450"/>
      <c r="BZ91" s="450"/>
      <c r="CA91" s="450">
        <f>COUNTIF(AI91:AW91,"*OK*")</f>
        <v>0</v>
      </c>
      <c r="CB91" s="450"/>
      <c r="CC91" s="450">
        <f>COUNTIF(AI91:AW91,"*OP*")</f>
        <v>0</v>
      </c>
    </row>
    <row r="92" spans="1:81" ht="14.25" customHeight="1">
      <c r="A92" s="563">
        <v>23536</v>
      </c>
      <c r="B92" s="536" t="s">
        <v>425</v>
      </c>
      <c r="C92" s="451" t="str">
        <f>T92</f>
        <v> </v>
      </c>
      <c r="D92" s="471">
        <f>COUNTIF(AI92:AW92,"*OK*")</f>
        <v>0</v>
      </c>
      <c r="E92" s="471"/>
      <c r="F92" s="473" t="s">
        <v>426</v>
      </c>
      <c r="G92" s="473"/>
      <c r="H92" s="474"/>
      <c r="I92" s="474"/>
      <c r="J92" s="473"/>
      <c r="K92" s="556" t="s">
        <v>79</v>
      </c>
      <c r="L92" s="473" t="s">
        <v>69</v>
      </c>
      <c r="M92" s="473"/>
      <c r="N92" s="476" t="s">
        <v>65</v>
      </c>
      <c r="O92" s="477">
        <v>537.37</v>
      </c>
      <c r="P92" s="477">
        <v>514.5</v>
      </c>
      <c r="Q92" s="477">
        <v>511.94</v>
      </c>
      <c r="R92" s="478">
        <v>524.11</v>
      </c>
      <c r="S92" s="459">
        <v>536.78340000000003</v>
      </c>
      <c r="T92" s="487" t="s">
        <v>59</v>
      </c>
      <c r="U92" s="479"/>
      <c r="V92" s="480">
        <v>300</v>
      </c>
      <c r="W92" s="481"/>
      <c r="X92" s="483" t="s">
        <v>245</v>
      </c>
      <c r="Y92" s="483" t="s">
        <v>80</v>
      </c>
      <c r="Z92" s="484" t="s">
        <v>427</v>
      </c>
      <c r="AA92" s="480" t="s">
        <v>59</v>
      </c>
      <c r="AB92" s="474" t="s">
        <v>84</v>
      </c>
      <c r="AC92" s="471"/>
      <c r="AD92" s="471"/>
      <c r="AE92" s="471"/>
      <c r="AF92" s="471"/>
      <c r="AG92" s="471"/>
      <c r="AH92" s="494" t="s">
        <v>59</v>
      </c>
      <c r="AI92" s="467"/>
      <c r="AJ92" s="467"/>
      <c r="AK92" s="467"/>
      <c r="AL92" s="467"/>
      <c r="AM92" s="467"/>
      <c r="AN92" s="467"/>
      <c r="AO92" s="467"/>
      <c r="AP92" s="467"/>
      <c r="AQ92" s="467"/>
      <c r="AR92" s="467"/>
      <c r="AS92" s="467"/>
      <c r="AT92" s="467"/>
      <c r="AU92" s="467"/>
      <c r="AV92" s="467"/>
      <c r="AW92" s="467"/>
      <c r="AX92" s="467"/>
      <c r="AY92" s="468">
        <f>COUNTIF(AI92:AX92,"*OP*")</f>
        <v>0</v>
      </c>
      <c r="AZ92" s="484" t="s">
        <v>59</v>
      </c>
      <c r="BA92" s="471">
        <f>(COUNTIF(AI92:AK92,"*OK*")*3) + (COUNTIF(AL92:AN92,"*OK*")*2) + COUNTIF(AO92:AQ92,"*OK*")+COUNTIF(AZ92:AZ92,"SI")*0.5</f>
        <v>0</v>
      </c>
      <c r="BB92" s="471" t="str">
        <f>IF(BA92&lt;0.6,"Demasiado Riesgo",IF(BA92&lt;=5,"Riesgo Medio",IF(BA92&lt;=11,"Riesgo Bajo","Cliente Blindado")))</f>
        <v>Demasiado Riesgo</v>
      </c>
      <c r="BC92" s="471"/>
      <c r="BD92" s="471"/>
      <c r="BE92" s="471">
        <v>0</v>
      </c>
      <c r="BF92" s="471"/>
      <c r="BG92" s="471"/>
      <c r="BH92" s="471"/>
      <c r="BI92" s="471"/>
      <c r="BJ92" s="471"/>
      <c r="BK92" s="471"/>
      <c r="BL92" s="471"/>
      <c r="BM92" s="471"/>
      <c r="BN92" s="471"/>
      <c r="BO92" s="471"/>
      <c r="BP92" s="471"/>
      <c r="BQ92" s="471"/>
      <c r="BR92" s="471"/>
      <c r="BS92" s="471"/>
      <c r="BT92" s="471"/>
      <c r="BU92" s="471"/>
      <c r="BV92" s="471"/>
      <c r="BW92" s="471"/>
      <c r="BX92" s="471"/>
      <c r="BY92" s="471"/>
      <c r="BZ92" s="471"/>
      <c r="CA92" s="471">
        <f>COUNTIF(AI92:AW92,"*OK*")</f>
        <v>0</v>
      </c>
      <c r="CB92" s="471"/>
      <c r="CC92" s="471">
        <f>COUNTIF(AI92:AW92,"*OP*")</f>
        <v>0</v>
      </c>
    </row>
    <row r="93" spans="1:81" ht="14.25" customHeight="1">
      <c r="A93" s="449">
        <v>30258</v>
      </c>
      <c r="B93" s="450" t="s">
        <v>428</v>
      </c>
      <c r="C93" s="451" t="str">
        <f>T93</f>
        <v> </v>
      </c>
      <c r="D93" s="450">
        <f>COUNTIF(AI93:AW93,"*OK*")</f>
        <v>0</v>
      </c>
      <c r="E93" s="450"/>
      <c r="F93" s="453" t="s">
        <v>429</v>
      </c>
      <c r="G93" s="453"/>
      <c r="H93" s="454"/>
      <c r="I93" s="454"/>
      <c r="J93" s="453"/>
      <c r="K93" s="552" t="s">
        <v>68</v>
      </c>
      <c r="L93" s="453" t="s">
        <v>69</v>
      </c>
      <c r="M93" s="453"/>
      <c r="N93" s="456" t="s">
        <v>65</v>
      </c>
      <c r="O93" s="457">
        <v>396.91</v>
      </c>
      <c r="P93" s="457">
        <v>327.45</v>
      </c>
      <c r="Q93" s="457">
        <v>343.55</v>
      </c>
      <c r="R93" s="458">
        <v>369.39</v>
      </c>
      <c r="S93" s="459">
        <v>353.39260000000002</v>
      </c>
      <c r="T93" s="487" t="s">
        <v>59</v>
      </c>
      <c r="U93" s="461"/>
      <c r="V93" s="462">
        <v>200</v>
      </c>
      <c r="W93" s="463" t="s">
        <v>70</v>
      </c>
      <c r="X93" s="562" t="s">
        <v>70</v>
      </c>
      <c r="Y93" s="465" t="s">
        <v>150</v>
      </c>
      <c r="Z93" s="466" t="s">
        <v>430</v>
      </c>
      <c r="AA93" s="462" t="s">
        <v>132</v>
      </c>
      <c r="AB93" s="454" t="s">
        <v>92</v>
      </c>
      <c r="AC93" s="450"/>
      <c r="AD93" s="450"/>
      <c r="AE93" s="450"/>
      <c r="AF93" s="450"/>
      <c r="AG93" s="450"/>
      <c r="AH93" s="466" t="s">
        <v>59</v>
      </c>
      <c r="AI93" s="467"/>
      <c r="AJ93" s="467"/>
      <c r="AK93" s="467"/>
      <c r="AL93" s="467"/>
      <c r="AM93" s="467"/>
      <c r="AN93" s="467"/>
      <c r="AO93" s="467"/>
      <c r="AP93" s="467"/>
      <c r="AQ93" s="467"/>
      <c r="AR93" s="467"/>
      <c r="AS93" s="467"/>
      <c r="AT93" s="467"/>
      <c r="AU93" s="467"/>
      <c r="AV93" s="467"/>
      <c r="AW93" s="467"/>
      <c r="AX93" s="467"/>
      <c r="AY93" s="468">
        <f>COUNTIF(AI93:AX93,"*OP*")</f>
        <v>0</v>
      </c>
      <c r="AZ93" s="466" t="s">
        <v>59</v>
      </c>
      <c r="BA93" s="450">
        <f>(COUNTIF(AI93:AK93,"*OK*")*3) + (COUNTIF(AL93:AN93,"*OK*")*2) + COUNTIF(AO93:AQ93,"*OK*")+COUNTIF(AZ93:AZ93,"SI")*0.5</f>
        <v>0</v>
      </c>
      <c r="BB93" s="450" t="str">
        <f>IF(BA93&lt;0.6,"Demasiado Riesgo",IF(BA93&lt;=5,"Riesgo Medio",IF(BA93&lt;=11,"Riesgo Bajo","Cliente Blindado")))</f>
        <v>Demasiado Riesgo</v>
      </c>
      <c r="BC93" s="450"/>
      <c r="BD93" s="450"/>
      <c r="BE93" s="450">
        <v>0</v>
      </c>
      <c r="BF93" s="450"/>
      <c r="BG93" s="450"/>
      <c r="BH93" s="450"/>
      <c r="BI93" s="450"/>
      <c r="BJ93" s="450"/>
      <c r="BK93" s="450"/>
      <c r="BL93" s="450"/>
      <c r="BM93" s="450"/>
      <c r="BN93" s="450"/>
      <c r="BO93" s="450"/>
      <c r="BP93" s="450"/>
      <c r="BQ93" s="450"/>
      <c r="BR93" s="450"/>
      <c r="BS93" s="450"/>
      <c r="BT93" s="450"/>
      <c r="BU93" s="450"/>
      <c r="BV93" s="450"/>
      <c r="BW93" s="450"/>
      <c r="BX93" s="450"/>
      <c r="BY93" s="450"/>
      <c r="BZ93" s="450"/>
      <c r="CA93" s="450">
        <f>COUNTIF(AI93:AW93,"*OK*")</f>
        <v>0</v>
      </c>
      <c r="CB93" s="450"/>
      <c r="CC93" s="450">
        <f>COUNTIF(AI93:AW93,"*OP*")</f>
        <v>0</v>
      </c>
    </row>
    <row r="94" spans="1:81" ht="14.25" customHeight="1">
      <c r="A94" s="470">
        <v>6508</v>
      </c>
      <c r="B94" s="471"/>
      <c r="C94" s="451" t="str">
        <f>T94</f>
        <v> </v>
      </c>
      <c r="D94" s="471">
        <f>COUNTIF(AI94:AW94,"*OK*")</f>
        <v>0</v>
      </c>
      <c r="E94" s="471"/>
      <c r="F94" s="472" t="s">
        <v>431</v>
      </c>
      <c r="G94" s="473"/>
      <c r="H94" s="474"/>
      <c r="I94" s="474"/>
      <c r="J94" s="473"/>
      <c r="K94" s="475" t="s">
        <v>68</v>
      </c>
      <c r="L94" s="473" t="s">
        <v>69</v>
      </c>
      <c r="M94" s="473"/>
      <c r="N94" s="476" t="s">
        <v>103</v>
      </c>
      <c r="O94" s="477">
        <v>139.43</v>
      </c>
      <c r="P94" s="477">
        <v>134.02000000000001</v>
      </c>
      <c r="Q94" s="477">
        <v>119.67</v>
      </c>
      <c r="R94" s="478">
        <v>158</v>
      </c>
      <c r="S94" s="459"/>
      <c r="T94" s="469" t="s">
        <v>59</v>
      </c>
      <c r="U94" s="479"/>
      <c r="V94" s="480">
        <v>100</v>
      </c>
      <c r="W94" s="481"/>
      <c r="X94" s="482" t="s">
        <v>70</v>
      </c>
      <c r="Y94" s="483" t="s">
        <v>80</v>
      </c>
      <c r="Z94" s="484" t="s">
        <v>432</v>
      </c>
      <c r="AA94" s="480" t="s">
        <v>59</v>
      </c>
      <c r="AB94" s="474"/>
      <c r="AC94" s="471"/>
      <c r="AD94" s="471"/>
      <c r="AE94" s="471"/>
      <c r="AF94" s="471"/>
      <c r="AG94" s="471"/>
      <c r="AH94" s="484" t="s">
        <v>59</v>
      </c>
      <c r="AI94" s="592"/>
      <c r="AJ94" s="592"/>
      <c r="AK94" s="592"/>
      <c r="AL94" s="592"/>
      <c r="AM94" s="592"/>
      <c r="AN94" s="592"/>
      <c r="AO94" s="592"/>
      <c r="AP94" s="592"/>
      <c r="AQ94" s="592"/>
      <c r="AR94" s="592"/>
      <c r="AS94" s="592"/>
      <c r="AT94" s="592"/>
      <c r="AU94" s="592"/>
      <c r="AV94" s="592"/>
      <c r="AW94" s="592"/>
      <c r="AX94" s="592"/>
      <c r="AY94" s="468">
        <f>COUNTIF(AI94:AX94,"*OP*")</f>
        <v>0</v>
      </c>
      <c r="AZ94" s="484" t="s">
        <v>59</v>
      </c>
      <c r="BA94" s="471">
        <f>(COUNTIF(AI94:AK94,"*OK*")*3) + (COUNTIF(AL94:AN94,"*OK*")*2) + COUNTIF(AO94:AQ94,"*OK*")+COUNTIF(AZ94:AZ94,"SI")*0.5</f>
        <v>0</v>
      </c>
      <c r="BB94" s="471" t="str">
        <f>IF(BA94&lt;0.6,"Demasiado Riesgo",IF(BA94&lt;=5,"Riesgo Medio",IF(BA94&lt;=11,"Riesgo Bajo","Cliente Blindado")))</f>
        <v>Demasiado Riesgo</v>
      </c>
      <c r="BC94" s="471"/>
      <c r="BD94" s="471"/>
      <c r="BE94" s="471">
        <v>0</v>
      </c>
      <c r="BF94" s="471"/>
      <c r="BG94" s="471"/>
      <c r="BH94" s="471"/>
      <c r="BI94" s="471"/>
      <c r="BJ94" s="471"/>
      <c r="BK94" s="471"/>
      <c r="BL94" s="471"/>
      <c r="BM94" s="471"/>
      <c r="BN94" s="471"/>
      <c r="BO94" s="471"/>
      <c r="BP94" s="471"/>
      <c r="BQ94" s="471"/>
      <c r="BR94" s="471"/>
      <c r="BS94" s="471"/>
      <c r="BT94" s="471"/>
      <c r="BU94" s="471"/>
      <c r="BV94" s="471"/>
      <c r="BW94" s="471"/>
      <c r="BX94" s="471"/>
      <c r="BY94" s="471"/>
      <c r="BZ94" s="471"/>
      <c r="CA94" s="471">
        <f>COUNTIF(AI94:AW94,"*OK*")</f>
        <v>0</v>
      </c>
      <c r="CB94" s="471"/>
      <c r="CC94" s="471">
        <f>COUNTIF(AI94:AW94,"*OP*")</f>
        <v>0</v>
      </c>
    </row>
    <row r="95" spans="1:81" s="406" customFormat="1" ht="14.25" customHeight="1">
      <c r="A95" s="563"/>
      <c r="B95" s="536"/>
      <c r="C95" s="451" t="str">
        <f>T95</f>
        <v> </v>
      </c>
      <c r="D95" s="471">
        <f>COUNTIF(AI95:AW95,"*OK*")</f>
        <v>0</v>
      </c>
      <c r="E95" s="471"/>
      <c r="F95" s="473" t="s">
        <v>433</v>
      </c>
      <c r="G95" s="473"/>
      <c r="H95" s="474"/>
      <c r="I95" s="474"/>
      <c r="J95" s="473"/>
      <c r="K95" s="475" t="s">
        <v>68</v>
      </c>
      <c r="L95" s="473" t="s">
        <v>69</v>
      </c>
      <c r="M95" s="473"/>
      <c r="N95" s="476" t="s">
        <v>65</v>
      </c>
      <c r="O95" s="477">
        <v>474.29</v>
      </c>
      <c r="P95" s="477">
        <v>465.59</v>
      </c>
      <c r="Q95" s="477">
        <v>425.32</v>
      </c>
      <c r="R95" s="478">
        <v>0</v>
      </c>
      <c r="S95" s="459"/>
      <c r="T95" s="487" t="s">
        <v>59</v>
      </c>
      <c r="U95" s="479"/>
      <c r="V95" s="480">
        <v>300</v>
      </c>
      <c r="W95" s="481"/>
      <c r="X95" s="482" t="s">
        <v>70</v>
      </c>
      <c r="Y95" s="483" t="s">
        <v>95</v>
      </c>
      <c r="Z95" s="484" t="s">
        <v>434</v>
      </c>
      <c r="AA95" s="480" t="s">
        <v>59</v>
      </c>
      <c r="AB95" s="474" t="s">
        <v>84</v>
      </c>
      <c r="AC95" s="471"/>
      <c r="AD95" s="471"/>
      <c r="AE95" s="471"/>
      <c r="AF95" s="471"/>
      <c r="AG95" s="471"/>
      <c r="AH95" s="485" t="s">
        <v>59</v>
      </c>
      <c r="AI95" s="467"/>
      <c r="AJ95" s="467"/>
      <c r="AK95" s="467"/>
      <c r="AL95" s="467"/>
      <c r="AM95" s="467"/>
      <c r="AN95" s="467"/>
      <c r="AO95" s="467"/>
      <c r="AP95" s="467"/>
      <c r="AQ95" s="467"/>
      <c r="AR95" s="467"/>
      <c r="AS95" s="467"/>
      <c r="AT95" s="467"/>
      <c r="AU95" s="467"/>
      <c r="AV95" s="467"/>
      <c r="AW95" s="467"/>
      <c r="AX95" s="467"/>
      <c r="AY95" s="486">
        <f>COUNTIF(AI95:AX95,"*OP*")</f>
        <v>0</v>
      </c>
      <c r="AZ95" s="485" t="s">
        <v>59</v>
      </c>
      <c r="BA95" s="471">
        <f>(COUNTIF(AI95:AK95,"*OK*")*3) + (COUNTIF(AL95:AN95,"*OK*")*2) + COUNTIF(AO95:AQ95,"*OK*")+COUNTIF(AZ95:AZ95,"SI")*0.5</f>
        <v>0</v>
      </c>
      <c r="BB95" s="471" t="str">
        <f>IF(BA95&lt;0.6,"Demasiado Riesgo",IF(BA95&lt;=5,"Riesgo Medio",IF(BA95&lt;=11,"Riesgo Bajo","Cliente Blindado")))</f>
        <v>Demasiado Riesgo</v>
      </c>
      <c r="BC95" s="471"/>
      <c r="BD95" s="471"/>
      <c r="BE95" s="471">
        <v>0</v>
      </c>
      <c r="BF95" s="471"/>
      <c r="BG95" s="471"/>
      <c r="BH95" s="471"/>
      <c r="BI95" s="471"/>
      <c r="BJ95" s="471"/>
      <c r="BK95" s="471"/>
      <c r="BL95" s="471"/>
      <c r="BM95" s="471"/>
      <c r="BN95" s="471"/>
      <c r="BO95" s="471"/>
      <c r="BP95" s="471"/>
      <c r="BQ95" s="471"/>
      <c r="BR95" s="471"/>
      <c r="BS95" s="471"/>
      <c r="BT95" s="471"/>
      <c r="BU95" s="471"/>
      <c r="BV95" s="471"/>
      <c r="BW95" s="471"/>
      <c r="BX95" s="471"/>
      <c r="BY95" s="471"/>
      <c r="BZ95" s="471"/>
      <c r="CA95" s="471">
        <f>COUNTIF(AI95:AW95,"*OK*")</f>
        <v>0</v>
      </c>
      <c r="CB95" s="471"/>
      <c r="CC95" s="471">
        <f>COUNTIF(AI95:AW95,"*OP*")</f>
        <v>0</v>
      </c>
    </row>
    <row r="96" spans="1:81" s="406" customFormat="1" ht="14.25" customHeight="1">
      <c r="A96" s="449"/>
      <c r="B96" s="450"/>
      <c r="C96" s="451" t="str">
        <f>T96</f>
        <v> </v>
      </c>
      <c r="D96" s="450">
        <f>COUNTIF(AI96:AW96,"*OK*")</f>
        <v>0</v>
      </c>
      <c r="E96" s="450"/>
      <c r="F96" s="453" t="s">
        <v>435</v>
      </c>
      <c r="G96" s="453" t="s">
        <v>63</v>
      </c>
      <c r="H96" s="454"/>
      <c r="I96" s="454"/>
      <c r="J96" s="453"/>
      <c r="K96" s="552" t="s">
        <v>68</v>
      </c>
      <c r="L96" s="453" t="s">
        <v>69</v>
      </c>
      <c r="M96" s="453"/>
      <c r="N96" s="456" t="s">
        <v>65</v>
      </c>
      <c r="O96" s="457">
        <v>21.94</v>
      </c>
      <c r="P96" s="457">
        <v>24.11</v>
      </c>
      <c r="Q96" s="457">
        <v>25.06</v>
      </c>
      <c r="R96" s="458">
        <v>25.87</v>
      </c>
      <c r="S96" s="459">
        <v>28.403700000000001</v>
      </c>
      <c r="T96" s="469" t="s">
        <v>59</v>
      </c>
      <c r="U96" s="461"/>
      <c r="V96" s="462">
        <v>50</v>
      </c>
      <c r="W96" s="463"/>
      <c r="X96" s="562" t="s">
        <v>70</v>
      </c>
      <c r="Y96" s="465" t="s">
        <v>71</v>
      </c>
      <c r="Z96" s="466" t="s">
        <v>76</v>
      </c>
      <c r="AA96" s="462" t="s">
        <v>59</v>
      </c>
      <c r="AB96" s="454"/>
      <c r="AC96" s="450"/>
      <c r="AD96" s="450"/>
      <c r="AE96" s="450"/>
      <c r="AF96" s="450"/>
      <c r="AG96" s="450"/>
      <c r="AH96" s="496" t="s">
        <v>59</v>
      </c>
      <c r="AI96" s="486"/>
      <c r="AJ96" s="486"/>
      <c r="AK96" s="486"/>
      <c r="AL96" s="486"/>
      <c r="AM96" s="486"/>
      <c r="AN96" s="486"/>
      <c r="AO96" s="486"/>
      <c r="AP96" s="486"/>
      <c r="AQ96" s="486"/>
      <c r="AR96" s="486"/>
      <c r="AS96" s="486"/>
      <c r="AT96" s="486"/>
      <c r="AU96" s="486"/>
      <c r="AV96" s="486"/>
      <c r="AW96" s="486"/>
      <c r="AX96" s="486"/>
      <c r="AY96" s="468">
        <f>COUNTIF(AI96:AX96,"*OP*")</f>
        <v>0</v>
      </c>
      <c r="AZ96" s="466" t="s">
        <v>59</v>
      </c>
      <c r="BA96" s="450">
        <f>(COUNTIF(AI96:AK96,"*OK*")*3) + (COUNTIF(AL96:AN96,"*OK*")*2) + COUNTIF(AO96:AQ96,"*OK*")+COUNTIF(AZ96:AZ96,"SI")*0.5</f>
        <v>0</v>
      </c>
      <c r="BB96" s="450" t="str">
        <f>IF(BA96&lt;0.6,"Demasiado Riesgo",IF(BA96&lt;=5,"Riesgo Medio",IF(BA96&lt;=11,"Riesgo Bajo","Cliente Blindado")))</f>
        <v>Demasiado Riesgo</v>
      </c>
      <c r="BC96" s="450"/>
      <c r="BD96" s="450"/>
      <c r="BE96" s="450">
        <v>0</v>
      </c>
      <c r="BF96" s="450"/>
      <c r="BG96" s="450"/>
      <c r="BH96" s="450"/>
      <c r="BI96" s="450"/>
      <c r="BJ96" s="450"/>
      <c r="BK96" s="450"/>
      <c r="BL96" s="450"/>
      <c r="BM96" s="450"/>
      <c r="BN96" s="450"/>
      <c r="BO96" s="450"/>
      <c r="BP96" s="450"/>
      <c r="BQ96" s="450"/>
      <c r="BR96" s="450"/>
      <c r="BS96" s="450"/>
      <c r="BT96" s="450"/>
      <c r="BU96" s="450"/>
      <c r="BV96" s="450"/>
      <c r="BW96" s="450"/>
      <c r="BX96" s="450"/>
      <c r="BY96" s="450"/>
      <c r="BZ96" s="450"/>
      <c r="CA96" s="450">
        <f>COUNTIF(AI96:AW96,"*OK*")</f>
        <v>0</v>
      </c>
      <c r="CB96" s="450"/>
      <c r="CC96" s="450">
        <f>COUNTIF(AI96:AW96,"*OP*")</f>
        <v>0</v>
      </c>
    </row>
    <row r="97" spans="1:81" s="406" customFormat="1" ht="14.25" customHeight="1">
      <c r="A97" s="488"/>
      <c r="B97" s="489"/>
      <c r="C97" s="451" t="str">
        <f>T97</f>
        <v> </v>
      </c>
      <c r="D97" s="450">
        <f>COUNTIF(AI97:AW97,"*OK*")</f>
        <v>0</v>
      </c>
      <c r="E97" s="450"/>
      <c r="F97" s="453" t="s">
        <v>436</v>
      </c>
      <c r="G97" s="453" t="s">
        <v>63</v>
      </c>
      <c r="H97" s="454"/>
      <c r="I97" s="454"/>
      <c r="J97" s="453"/>
      <c r="K97" s="455" t="s">
        <v>68</v>
      </c>
      <c r="L97" s="453" t="s">
        <v>69</v>
      </c>
      <c r="M97" s="453"/>
      <c r="N97" s="456" t="s">
        <v>65</v>
      </c>
      <c r="O97" s="457">
        <v>14.55</v>
      </c>
      <c r="P97" s="457">
        <v>15.86</v>
      </c>
      <c r="Q97" s="457">
        <v>15.12</v>
      </c>
      <c r="R97" s="458">
        <v>13</v>
      </c>
      <c r="S97" s="459">
        <v>0</v>
      </c>
      <c r="T97" s="469" t="s">
        <v>59</v>
      </c>
      <c r="U97" s="461"/>
      <c r="V97" s="462">
        <v>50</v>
      </c>
      <c r="W97" s="463"/>
      <c r="X97" s="465" t="s">
        <v>437</v>
      </c>
      <c r="Y97" s="465" t="s">
        <v>125</v>
      </c>
      <c r="Z97" s="466" t="s">
        <v>438</v>
      </c>
      <c r="AA97" s="462" t="s">
        <v>59</v>
      </c>
      <c r="AB97" s="454"/>
      <c r="AC97" s="450"/>
      <c r="AD97" s="450"/>
      <c r="AE97" s="450"/>
      <c r="AF97" s="450"/>
      <c r="AG97" s="450"/>
      <c r="AH97" s="466" t="s">
        <v>59</v>
      </c>
      <c r="AI97" s="486"/>
      <c r="AJ97" s="486"/>
      <c r="AK97" s="468"/>
      <c r="AL97" s="486"/>
      <c r="AM97" s="486"/>
      <c r="AN97" s="486"/>
      <c r="AO97" s="486"/>
      <c r="AP97" s="486"/>
      <c r="AQ97" s="486"/>
      <c r="AR97" s="486"/>
      <c r="AS97" s="486"/>
      <c r="AT97" s="486"/>
      <c r="AU97" s="486"/>
      <c r="AV97" s="486"/>
      <c r="AW97" s="486"/>
      <c r="AX97" s="486"/>
      <c r="AY97" s="468">
        <f>COUNTIF(AI97:AX97,"*OP*")</f>
        <v>0</v>
      </c>
      <c r="AZ97" s="466" t="s">
        <v>59</v>
      </c>
      <c r="BA97" s="450">
        <f>(COUNTIF(AI97:AK97,"*OK*")*3) + (COUNTIF(AL97:AN97,"*OK*")*2) + COUNTIF(AO97:AQ97,"*OK*")+COUNTIF(AZ97:AZ97,"SI")*0.5</f>
        <v>0</v>
      </c>
      <c r="BB97" s="450" t="str">
        <f>IF(BA97&lt;0.6,"Demasiado Riesgo",IF(BA97&lt;=5,"Riesgo Medio",IF(BA97&lt;=11,"Riesgo Bajo","Cliente Blindado")))</f>
        <v>Demasiado Riesgo</v>
      </c>
      <c r="BC97" s="450"/>
      <c r="BD97" s="450"/>
      <c r="BE97" s="450">
        <v>0</v>
      </c>
      <c r="BF97" s="450"/>
      <c r="BG97" s="450"/>
      <c r="BH97" s="450"/>
      <c r="BI97" s="450"/>
      <c r="BJ97" s="450"/>
      <c r="BK97" s="450"/>
      <c r="BL97" s="450"/>
      <c r="BM97" s="450"/>
      <c r="BN97" s="450"/>
      <c r="BO97" s="450"/>
      <c r="BP97" s="450"/>
      <c r="BQ97" s="450"/>
      <c r="BR97" s="450"/>
      <c r="BS97" s="450"/>
      <c r="BT97" s="450"/>
      <c r="BU97" s="450"/>
      <c r="BV97" s="450"/>
      <c r="BW97" s="450"/>
      <c r="BX97" s="450"/>
      <c r="BY97" s="450"/>
      <c r="BZ97" s="450"/>
      <c r="CA97" s="450">
        <f>COUNTIF(AI97:AW97,"*OK*")</f>
        <v>0</v>
      </c>
      <c r="CB97" s="450"/>
      <c r="CC97" s="450">
        <f>COUNTIF(AI97:AW97,"*OP*")</f>
        <v>0</v>
      </c>
    </row>
    <row r="98" spans="1:81" s="406" customFormat="1" ht="14.25" customHeight="1">
      <c r="A98" s="449"/>
      <c r="B98" s="450"/>
      <c r="C98" s="451" t="str">
        <f>T98</f>
        <v> </v>
      </c>
      <c r="D98" s="450">
        <f>COUNTIF(AI98:AW98,"*OK*")</f>
        <v>0</v>
      </c>
      <c r="E98" s="450"/>
      <c r="F98" s="453" t="s">
        <v>439</v>
      </c>
      <c r="G98" s="453" t="s">
        <v>63</v>
      </c>
      <c r="H98" s="454"/>
      <c r="I98" s="454"/>
      <c r="J98" s="453"/>
      <c r="K98" s="552" t="s">
        <v>68</v>
      </c>
      <c r="L98" s="453" t="s">
        <v>69</v>
      </c>
      <c r="M98" s="453"/>
      <c r="N98" s="456" t="s">
        <v>65</v>
      </c>
      <c r="O98" s="457">
        <v>4.3899999999999997</v>
      </c>
      <c r="P98" s="457">
        <v>6.58</v>
      </c>
      <c r="Q98" s="457">
        <v>6.27</v>
      </c>
      <c r="R98" s="458">
        <v>10.78</v>
      </c>
      <c r="S98" s="459">
        <v>8.7395999999999994</v>
      </c>
      <c r="T98" s="469" t="s">
        <v>59</v>
      </c>
      <c r="U98" s="461"/>
      <c r="V98" s="462">
        <v>50</v>
      </c>
      <c r="W98" s="463"/>
      <c r="X98" s="562" t="s">
        <v>70</v>
      </c>
      <c r="Y98" s="465" t="s">
        <v>71</v>
      </c>
      <c r="Z98" s="466" t="s">
        <v>76</v>
      </c>
      <c r="AA98" s="462" t="s">
        <v>59</v>
      </c>
      <c r="AB98" s="454"/>
      <c r="AC98" s="450"/>
      <c r="AD98" s="450"/>
      <c r="AE98" s="450"/>
      <c r="AF98" s="450"/>
      <c r="AG98" s="450"/>
      <c r="AH98" s="499" t="s">
        <v>59</v>
      </c>
      <c r="AI98" s="486"/>
      <c r="AJ98" s="486"/>
      <c r="AK98" s="486"/>
      <c r="AL98" s="486"/>
      <c r="AM98" s="486"/>
      <c r="AN98" s="486"/>
      <c r="AO98" s="486"/>
      <c r="AP98" s="486"/>
      <c r="AQ98" s="486"/>
      <c r="AR98" s="486"/>
      <c r="AS98" s="486"/>
      <c r="AT98" s="486"/>
      <c r="AU98" s="486"/>
      <c r="AV98" s="486"/>
      <c r="AW98" s="486"/>
      <c r="AX98" s="486"/>
      <c r="AY98" s="486">
        <f>COUNTIF(AI98:AX98,"*OP*")</f>
        <v>0</v>
      </c>
      <c r="AZ98" s="499" t="s">
        <v>59</v>
      </c>
      <c r="BA98" s="450">
        <f>(COUNTIF(AI98:AK98,"*OK*")*3) + (COUNTIF(AL98:AN98,"*OK*")*2) + COUNTIF(AO98:AQ98,"*OK*")+COUNTIF(AZ98:AZ98,"SI")*0.5</f>
        <v>0</v>
      </c>
      <c r="BB98" s="450" t="str">
        <f>IF(BA98&lt;0.6,"Demasiado Riesgo",IF(BA98&lt;=5,"Riesgo Medio",IF(BA98&lt;=11,"Riesgo Bajo","Cliente Blindado")))</f>
        <v>Demasiado Riesgo</v>
      </c>
      <c r="BC98" s="450"/>
      <c r="BD98" s="450"/>
      <c r="BE98" s="450">
        <v>0</v>
      </c>
      <c r="BF98" s="450"/>
      <c r="BG98" s="450"/>
      <c r="BH98" s="450"/>
      <c r="BI98" s="450"/>
      <c r="BJ98" s="450"/>
      <c r="BK98" s="450"/>
      <c r="BL98" s="450"/>
      <c r="BM98" s="450"/>
      <c r="BN98" s="450"/>
      <c r="BO98" s="450"/>
      <c r="BP98" s="450"/>
      <c r="BQ98" s="450"/>
      <c r="BR98" s="450"/>
      <c r="BS98" s="450"/>
      <c r="BT98" s="450"/>
      <c r="BU98" s="450"/>
      <c r="BV98" s="450"/>
      <c r="BW98" s="450"/>
      <c r="BX98" s="450"/>
      <c r="BY98" s="450"/>
      <c r="BZ98" s="450"/>
      <c r="CA98" s="450">
        <f>COUNTIF(AI98:AW98,"*OK*")</f>
        <v>0</v>
      </c>
      <c r="CB98" s="450"/>
      <c r="CC98" s="450">
        <f>COUNTIF(AI98:AW98,"*OP*")</f>
        <v>0</v>
      </c>
    </row>
    <row r="99" spans="1:81" s="406" customFormat="1" ht="14.25" customHeight="1">
      <c r="A99" s="449">
        <v>35510</v>
      </c>
      <c r="B99" s="450"/>
      <c r="C99" s="451">
        <f>T99</f>
        <v>848.49</v>
      </c>
      <c r="D99" s="450">
        <f>COUNTIF(AI99:AW99,"*OK*")</f>
        <v>0</v>
      </c>
      <c r="E99" s="450"/>
      <c r="F99" s="452" t="s">
        <v>440</v>
      </c>
      <c r="G99" s="453"/>
      <c r="H99" s="454" t="s">
        <v>441</v>
      </c>
      <c r="I99" s="454"/>
      <c r="J99" s="453"/>
      <c r="K99" s="455" t="s">
        <v>79</v>
      </c>
      <c r="L99" s="453" t="s">
        <v>442</v>
      </c>
      <c r="M99" s="453" t="s">
        <v>127</v>
      </c>
      <c r="N99" s="456" t="s">
        <v>156</v>
      </c>
      <c r="O99" s="457">
        <v>783.05</v>
      </c>
      <c r="P99" s="457">
        <v>782.34</v>
      </c>
      <c r="Q99" s="457">
        <v>745.56</v>
      </c>
      <c r="R99" s="458">
        <v>859.34</v>
      </c>
      <c r="S99" s="459">
        <v>816.30529999999999</v>
      </c>
      <c r="T99" s="460">
        <v>848.49</v>
      </c>
      <c r="U99" s="461"/>
      <c r="V99" s="462">
        <v>200</v>
      </c>
      <c r="W99" s="463"/>
      <c r="X99" s="464" t="s">
        <v>70</v>
      </c>
      <c r="Y99" s="465" t="s">
        <v>299</v>
      </c>
      <c r="Z99" s="466" t="s">
        <v>443</v>
      </c>
      <c r="AA99" s="462" t="s">
        <v>59</v>
      </c>
      <c r="AB99" s="454"/>
      <c r="AC99" s="450"/>
      <c r="AD99" s="450"/>
      <c r="AE99" s="450"/>
      <c r="AF99" s="450"/>
      <c r="AG99" s="450"/>
      <c r="AH99" s="466" t="s">
        <v>59</v>
      </c>
      <c r="AI99" s="467"/>
      <c r="AJ99" s="467"/>
      <c r="AK99" s="467"/>
      <c r="AL99" s="467"/>
      <c r="AM99" s="467"/>
      <c r="AN99" s="467"/>
      <c r="AO99" s="467"/>
      <c r="AP99" s="467"/>
      <c r="AQ99" s="467"/>
      <c r="AR99" s="467"/>
      <c r="AS99" s="467"/>
      <c r="AT99" s="467"/>
      <c r="AU99" s="467"/>
      <c r="AV99" s="467"/>
      <c r="AW99" s="467"/>
      <c r="AX99" s="467"/>
      <c r="AY99" s="468">
        <f>COUNTIF(AI99:AX99,"*OP*")</f>
        <v>0</v>
      </c>
      <c r="AZ99" s="466" t="s">
        <v>59</v>
      </c>
      <c r="BA99" s="450">
        <f>(COUNTIF(AI99:AK99,"*OK*")*3) + (COUNTIF(AL99:AN99,"*OK*")*2) + COUNTIF(AO99:AQ99,"*OK*")+COUNTIF(AZ99:AZ99,"SI")*0.5</f>
        <v>0</v>
      </c>
      <c r="BB99" s="450" t="str">
        <f>IF(BA99&lt;0.6,"Demasiado Riesgo",IF(BA99&lt;=5,"Riesgo Medio",IF(BA99&lt;=11,"Riesgo Bajo","Cliente Blindado")))</f>
        <v>Demasiado Riesgo</v>
      </c>
      <c r="BC99" s="450"/>
      <c r="BD99" s="450"/>
      <c r="BE99" s="450">
        <v>0</v>
      </c>
      <c r="BF99" s="450"/>
      <c r="BG99" s="450"/>
      <c r="BH99" s="450"/>
      <c r="BI99" s="450"/>
      <c r="BJ99" s="450"/>
      <c r="BK99" s="450"/>
      <c r="BL99" s="450"/>
      <c r="BM99" s="450"/>
      <c r="BN99" s="450"/>
      <c r="BO99" s="450"/>
      <c r="BP99" s="450"/>
      <c r="BQ99" s="450"/>
      <c r="BR99" s="450"/>
      <c r="BS99" s="450"/>
      <c r="BT99" s="450"/>
      <c r="BU99" s="450"/>
      <c r="BV99" s="450"/>
      <c r="BW99" s="450"/>
      <c r="BX99" s="450"/>
      <c r="BY99" s="450"/>
      <c r="BZ99" s="450"/>
      <c r="CA99" s="450">
        <f>COUNTIF(AI99:AW99,"*OK*")</f>
        <v>0</v>
      </c>
      <c r="CB99" s="450"/>
      <c r="CC99" s="450">
        <f>COUNTIF(AI99:AW99,"*OP*")</f>
        <v>0</v>
      </c>
    </row>
    <row r="100" spans="1:81" ht="15" customHeight="1">
      <c r="A100" s="449">
        <v>37050</v>
      </c>
      <c r="B100" s="450"/>
      <c r="C100" s="451">
        <f>T100</f>
        <v>110.56</v>
      </c>
      <c r="D100" s="450">
        <f>COUNTIF(AI100:AW100,"*OK*")</f>
        <v>0</v>
      </c>
      <c r="E100" s="450"/>
      <c r="F100" s="452" t="s">
        <v>444</v>
      </c>
      <c r="G100" s="453"/>
      <c r="H100" s="454"/>
      <c r="I100" s="454"/>
      <c r="J100" s="453"/>
      <c r="K100" s="455" t="s">
        <v>68</v>
      </c>
      <c r="L100" s="453" t="s">
        <v>445</v>
      </c>
      <c r="M100" s="453" t="s">
        <v>127</v>
      </c>
      <c r="N100" s="466" t="s">
        <v>264</v>
      </c>
      <c r="O100" s="457"/>
      <c r="P100" s="457"/>
      <c r="Q100" s="457">
        <v>323.07</v>
      </c>
      <c r="R100" s="458">
        <v>20.52</v>
      </c>
      <c r="S100" s="459">
        <v>119.5861</v>
      </c>
      <c r="T100" s="469">
        <v>110.56</v>
      </c>
      <c r="U100" s="461"/>
      <c r="V100" s="462">
        <v>500</v>
      </c>
      <c r="W100" s="463"/>
      <c r="X100" s="464" t="s">
        <v>70</v>
      </c>
      <c r="Y100" s="465" t="s">
        <v>95</v>
      </c>
      <c r="Z100" s="466" t="s">
        <v>446</v>
      </c>
      <c r="AA100" s="462" t="s">
        <v>447</v>
      </c>
      <c r="AB100" s="454"/>
      <c r="AC100" s="450"/>
      <c r="AD100" s="450"/>
      <c r="AE100" s="450"/>
      <c r="AF100" s="450"/>
      <c r="AG100" s="450"/>
      <c r="AH100" s="466" t="s">
        <v>59</v>
      </c>
      <c r="AI100" s="467"/>
      <c r="AJ100" s="467"/>
      <c r="AK100" s="467"/>
      <c r="AL100" s="467"/>
      <c r="AM100" s="467"/>
      <c r="AN100" s="467"/>
      <c r="AO100" s="467"/>
      <c r="AP100" s="467"/>
      <c r="AQ100" s="467"/>
      <c r="AR100" s="467"/>
      <c r="AS100" s="467"/>
      <c r="AT100" s="467"/>
      <c r="AU100" s="467"/>
      <c r="AV100" s="467"/>
      <c r="AW100" s="467"/>
      <c r="AX100" s="467"/>
      <c r="AY100" s="468">
        <f>COUNTIF(AI100:AX100,"*OP*")</f>
        <v>0</v>
      </c>
      <c r="AZ100" s="466" t="s">
        <v>59</v>
      </c>
      <c r="BA100" s="450">
        <f>(COUNTIF(AI100:AK100,"*OK*")*3) + (COUNTIF(AL100:AN100,"*OK*")*2) + COUNTIF(AO100:AQ100,"*OK*")+COUNTIF(AZ100:AZ100,"SI")*0.5</f>
        <v>0</v>
      </c>
      <c r="BB100" s="450" t="str">
        <f>IF(BA100&lt;0.6,"Demasiado Riesgo",IF(BA100&lt;=5,"Riesgo Medio",IF(BA100&lt;=11,"Riesgo Bajo","Cliente Blindado")))</f>
        <v>Demasiado Riesgo</v>
      </c>
      <c r="BC100" s="450"/>
      <c r="BD100" s="450"/>
      <c r="BE100" s="450">
        <v>0</v>
      </c>
      <c r="BF100" s="450"/>
      <c r="BG100" s="450"/>
      <c r="BH100" s="450"/>
      <c r="BI100" s="450"/>
      <c r="BJ100" s="450"/>
      <c r="BK100" s="450"/>
      <c r="BL100" s="450"/>
      <c r="BM100" s="450"/>
      <c r="BN100" s="450"/>
      <c r="BO100" s="450"/>
      <c r="BP100" s="450"/>
      <c r="BQ100" s="450"/>
      <c r="BR100" s="450"/>
      <c r="BS100" s="450"/>
      <c r="BT100" s="450"/>
      <c r="BU100" s="450"/>
      <c r="BV100" s="450"/>
      <c r="BW100" s="450"/>
      <c r="BX100" s="450"/>
      <c r="BY100" s="450"/>
      <c r="BZ100" s="450"/>
      <c r="CA100" s="450">
        <f>COUNTIF(AI100:AW100,"*OK*")</f>
        <v>0</v>
      </c>
      <c r="CB100" s="450"/>
      <c r="CC100" s="450">
        <f>COUNTIF(AI100:AW100,"*OP*")</f>
        <v>0</v>
      </c>
    </row>
    <row r="101" spans="1:81" s="406" customFormat="1" ht="15" customHeight="1">
      <c r="A101" s="470">
        <v>36821</v>
      </c>
      <c r="B101" s="471"/>
      <c r="C101" s="451">
        <f>T101</f>
        <v>251.81</v>
      </c>
      <c r="D101" s="471">
        <f>COUNTIF(AI101:AW101,"*OK*")</f>
        <v>0</v>
      </c>
      <c r="E101" s="471"/>
      <c r="F101" s="472" t="s">
        <v>448</v>
      </c>
      <c r="G101" s="473"/>
      <c r="H101" s="474"/>
      <c r="I101" s="474"/>
      <c r="J101" s="473"/>
      <c r="K101" s="475" t="s">
        <v>68</v>
      </c>
      <c r="L101" s="473" t="s">
        <v>445</v>
      </c>
      <c r="M101" s="473" t="s">
        <v>127</v>
      </c>
      <c r="N101" s="476" t="s">
        <v>156</v>
      </c>
      <c r="O101" s="477"/>
      <c r="P101" s="477"/>
      <c r="Q101" s="477">
        <v>246.03</v>
      </c>
      <c r="R101" s="478">
        <v>259.43</v>
      </c>
      <c r="S101" s="459">
        <v>262.9162</v>
      </c>
      <c r="T101" s="469">
        <v>251.81</v>
      </c>
      <c r="U101" s="479"/>
      <c r="V101" s="480">
        <v>100</v>
      </c>
      <c r="W101" s="481"/>
      <c r="X101" s="482" t="s">
        <v>70</v>
      </c>
      <c r="Y101" s="483" t="s">
        <v>71</v>
      </c>
      <c r="Z101" s="484" t="s">
        <v>449</v>
      </c>
      <c r="AA101" s="480" t="s">
        <v>59</v>
      </c>
      <c r="AB101" s="474"/>
      <c r="AC101" s="471"/>
      <c r="AD101" s="471"/>
      <c r="AE101" s="471"/>
      <c r="AF101" s="471"/>
      <c r="AG101" s="471"/>
      <c r="AH101" s="485" t="s">
        <v>59</v>
      </c>
      <c r="AI101" s="467"/>
      <c r="AJ101" s="467"/>
      <c r="AK101" s="467"/>
      <c r="AL101" s="467"/>
      <c r="AM101" s="467"/>
      <c r="AN101" s="467"/>
      <c r="AO101" s="467"/>
      <c r="AP101" s="467"/>
      <c r="AQ101" s="467"/>
      <c r="AR101" s="467"/>
      <c r="AS101" s="467"/>
      <c r="AT101" s="467"/>
      <c r="AU101" s="467"/>
      <c r="AV101" s="467"/>
      <c r="AW101" s="467"/>
      <c r="AX101" s="467"/>
      <c r="AY101" s="486">
        <f>COUNTIF(AI101:AX101,"*OP*")</f>
        <v>0</v>
      </c>
      <c r="AZ101" s="485" t="s">
        <v>59</v>
      </c>
      <c r="BA101" s="471">
        <f>(COUNTIF(AI101:AK101,"*OK*")*3) + (COUNTIF(AL101:AN101,"*OK*")*2) + COUNTIF(AO101:AQ101,"*OK*")+COUNTIF(AZ101:AZ101,"SI")*0.5</f>
        <v>0</v>
      </c>
      <c r="BB101" s="471" t="str">
        <f>IF(BA101&lt;0.6,"Demasiado Riesgo",IF(BA101&lt;=5,"Riesgo Medio",IF(BA101&lt;=11,"Riesgo Bajo","Cliente Blindado")))</f>
        <v>Demasiado Riesgo</v>
      </c>
      <c r="BC101" s="471"/>
      <c r="BD101" s="471"/>
      <c r="BE101" s="471">
        <v>0</v>
      </c>
      <c r="BF101" s="471"/>
      <c r="BG101" s="471"/>
      <c r="BH101" s="471"/>
      <c r="BI101" s="471"/>
      <c r="BJ101" s="471"/>
      <c r="BK101" s="471"/>
      <c r="BL101" s="471"/>
      <c r="BM101" s="471"/>
      <c r="BN101" s="471"/>
      <c r="BO101" s="471"/>
      <c r="BP101" s="471"/>
      <c r="BQ101" s="471"/>
      <c r="BR101" s="471"/>
      <c r="BS101" s="471"/>
      <c r="BT101" s="471"/>
      <c r="BU101" s="471"/>
      <c r="BV101" s="471"/>
      <c r="BW101" s="471"/>
      <c r="BX101" s="471"/>
      <c r="BY101" s="471"/>
      <c r="BZ101" s="471"/>
      <c r="CA101" s="471">
        <f>COUNTIF(AI101:AW101,"*OK*")</f>
        <v>0</v>
      </c>
      <c r="CB101" s="471"/>
      <c r="CC101" s="471">
        <f>COUNTIF(AI101:AW101,"*OP*")</f>
        <v>0</v>
      </c>
    </row>
    <row r="102" spans="1:81" ht="15" customHeight="1">
      <c r="A102" s="470">
        <v>37535</v>
      </c>
      <c r="B102" s="471"/>
      <c r="C102" s="451">
        <f>T102</f>
        <v>292.77319999999997</v>
      </c>
      <c r="D102" s="471">
        <f>COUNTIF(AM102:AX102,"OK")</f>
        <v>0</v>
      </c>
      <c r="E102" s="471"/>
      <c r="F102" s="536" t="s">
        <v>450</v>
      </c>
      <c r="G102" s="536" t="s">
        <v>59</v>
      </c>
      <c r="H102" s="474" t="s">
        <v>451</v>
      </c>
      <c r="I102" s="474"/>
      <c r="J102" s="536" t="s">
        <v>59</v>
      </c>
      <c r="K102" s="536" t="s">
        <v>59</v>
      </c>
      <c r="L102" s="536" t="s">
        <v>445</v>
      </c>
      <c r="M102" s="536"/>
      <c r="N102" s="484" t="s">
        <v>65</v>
      </c>
      <c r="O102" s="537" t="s">
        <v>59</v>
      </c>
      <c r="P102" s="537" t="s">
        <v>59</v>
      </c>
      <c r="Q102" s="537" t="s">
        <v>59</v>
      </c>
      <c r="R102" s="538">
        <v>312.95</v>
      </c>
      <c r="S102" s="539">
        <v>222.01419999999999</v>
      </c>
      <c r="T102" s="593">
        <v>292.77319999999997</v>
      </c>
      <c r="U102" s="479"/>
      <c r="V102" s="480" t="s">
        <v>59</v>
      </c>
      <c r="W102" s="471"/>
      <c r="X102" s="493"/>
      <c r="Y102" s="483"/>
      <c r="Z102" s="484"/>
      <c r="AA102" s="494" t="s">
        <v>59</v>
      </c>
      <c r="AB102" s="474"/>
      <c r="AC102" s="471"/>
      <c r="AD102" s="471"/>
      <c r="AE102" s="471"/>
      <c r="AF102" s="471"/>
      <c r="AG102" s="471"/>
      <c r="AH102" s="484" t="s">
        <v>59</v>
      </c>
      <c r="AI102" s="467"/>
      <c r="AJ102" s="467"/>
      <c r="AK102" s="467"/>
      <c r="AL102" s="467"/>
      <c r="AM102" s="467"/>
      <c r="AN102" s="467"/>
      <c r="AO102" s="467"/>
      <c r="AP102" s="467"/>
      <c r="AQ102" s="467"/>
      <c r="AR102" s="467"/>
      <c r="AS102" s="467"/>
      <c r="AT102" s="467"/>
      <c r="AU102" s="467"/>
      <c r="AV102" s="467"/>
      <c r="AW102" s="467"/>
      <c r="AX102" s="467"/>
      <c r="AY102" s="468">
        <f>COUNTIF(AI102:AX102,"*OP*")</f>
        <v>0</v>
      </c>
      <c r="AZ102" s="484" t="s">
        <v>59</v>
      </c>
      <c r="BA102" s="471">
        <f>(COUNTIF(AI102:AK102,"*OK*")*3) + (COUNTIF(AL102:AN102,"*OK*")*2) + COUNTIF(AO102:AQ102,"*OK*")+COUNTIF(AZ102:AZ102,"SI")*0.5</f>
        <v>0</v>
      </c>
      <c r="BB102" s="471" t="str">
        <f>IF(BA102&lt;0.6,"Demasiado Riesgo",IF(BA102&lt;=5,"Riesgo Medio",IF(BA102&lt;=11,"Riesgo Bajo","Cliente Blindado")))</f>
        <v>Demasiado Riesgo</v>
      </c>
      <c r="BC102" s="471"/>
      <c r="BD102" s="471"/>
      <c r="BE102" s="471">
        <v>0</v>
      </c>
      <c r="BF102" s="471"/>
      <c r="BG102" s="471"/>
      <c r="BH102" s="471"/>
      <c r="BI102" s="471"/>
      <c r="BJ102" s="471"/>
      <c r="BK102" s="471"/>
      <c r="BL102" s="471"/>
      <c r="BM102" s="471"/>
      <c r="BN102" s="471"/>
      <c r="BO102" s="471"/>
      <c r="BP102" s="471"/>
      <c r="BQ102" s="471"/>
      <c r="BR102" s="471"/>
      <c r="BS102" s="471"/>
      <c r="BT102" s="471"/>
      <c r="BU102" s="471"/>
      <c r="BV102" s="471"/>
      <c r="BW102" s="471"/>
      <c r="BX102" s="471"/>
      <c r="BY102" s="471"/>
      <c r="BZ102" s="471"/>
      <c r="CA102" s="471">
        <f>COUNTIF(AI102:AW102,"*OK*")</f>
        <v>0</v>
      </c>
      <c r="CB102" s="471"/>
      <c r="CC102" s="471">
        <f>COUNTIF(AI102:AW102,"*OP*")</f>
        <v>0</v>
      </c>
    </row>
    <row r="103" spans="1:81" ht="15" customHeight="1">
      <c r="A103" s="449">
        <v>35877</v>
      </c>
      <c r="B103" s="450"/>
      <c r="C103" s="451">
        <f>T103</f>
        <v>769.64</v>
      </c>
      <c r="D103" s="450">
        <f>COUNTIF(AI103:AW103,"*OK*")</f>
        <v>0</v>
      </c>
      <c r="E103" s="450"/>
      <c r="F103" s="452" t="s">
        <v>452</v>
      </c>
      <c r="G103" s="453"/>
      <c r="H103" s="454"/>
      <c r="I103" s="454"/>
      <c r="J103" s="453"/>
      <c r="K103" s="455" t="s">
        <v>79</v>
      </c>
      <c r="L103" s="453" t="s">
        <v>69</v>
      </c>
      <c r="M103" s="473" t="s">
        <v>127</v>
      </c>
      <c r="N103" s="476" t="s">
        <v>61</v>
      </c>
      <c r="O103" s="457"/>
      <c r="P103" s="457"/>
      <c r="Q103" s="457">
        <v>900.74</v>
      </c>
      <c r="R103" s="458">
        <v>785.23</v>
      </c>
      <c r="S103" s="459">
        <v>778.17639999999994</v>
      </c>
      <c r="T103" s="487">
        <v>769.64</v>
      </c>
      <c r="U103" s="461"/>
      <c r="V103" s="462">
        <v>500</v>
      </c>
      <c r="W103" s="463"/>
      <c r="X103" s="465" t="s">
        <v>70</v>
      </c>
      <c r="Y103" s="465" t="s">
        <v>89</v>
      </c>
      <c r="Z103" s="466" t="s">
        <v>453</v>
      </c>
      <c r="AA103" s="462" t="s">
        <v>59</v>
      </c>
      <c r="AB103" s="454"/>
      <c r="AC103" s="450"/>
      <c r="AD103" s="450"/>
      <c r="AE103" s="450"/>
      <c r="AF103" s="450"/>
      <c r="AG103" s="450"/>
      <c r="AH103" s="466" t="s">
        <v>59</v>
      </c>
      <c r="AI103" s="467"/>
      <c r="AJ103" s="467"/>
      <c r="AK103" s="467"/>
      <c r="AL103" s="467"/>
      <c r="AM103" s="467"/>
      <c r="AN103" s="467"/>
      <c r="AO103" s="467"/>
      <c r="AP103" s="467"/>
      <c r="AQ103" s="467"/>
      <c r="AR103" s="467"/>
      <c r="AS103" s="467"/>
      <c r="AT103" s="467"/>
      <c r="AU103" s="467"/>
      <c r="AV103" s="467"/>
      <c r="AW103" s="467"/>
      <c r="AX103" s="467"/>
      <c r="AY103" s="468">
        <f>COUNTIF(AI103:AX103,"*OP*")</f>
        <v>0</v>
      </c>
      <c r="AZ103" s="466" t="s">
        <v>59</v>
      </c>
      <c r="BA103" s="450">
        <f>(COUNTIF(AI103:AK103,"*OK*")*3) + (COUNTIF(AL103:AN103,"*OK*")*2) + COUNTIF(AO103:AQ103,"*OK*")+COUNTIF(AZ103:AZ103,"SI")*0.5</f>
        <v>0</v>
      </c>
      <c r="BB103" s="450" t="str">
        <f>IF(BA103&lt;0.6,"Demasiado Riesgo",IF(BA103&lt;=5,"Riesgo Medio",IF(BA103&lt;=11,"Riesgo Bajo","Cliente Blindado")))</f>
        <v>Demasiado Riesgo</v>
      </c>
      <c r="BC103" s="450"/>
      <c r="BD103" s="450"/>
      <c r="BE103" s="450">
        <v>0</v>
      </c>
      <c r="BF103" s="450"/>
      <c r="BG103" s="450"/>
      <c r="BH103" s="450"/>
      <c r="BI103" s="450"/>
      <c r="BJ103" s="450"/>
      <c r="BK103" s="450"/>
      <c r="BL103" s="450"/>
      <c r="BM103" s="450"/>
      <c r="BN103" s="450"/>
      <c r="BO103" s="450"/>
      <c r="BP103" s="450"/>
      <c r="BQ103" s="450"/>
      <c r="BR103" s="450"/>
      <c r="BS103" s="450"/>
      <c r="BT103" s="450"/>
      <c r="BU103" s="450"/>
      <c r="BV103" s="450"/>
      <c r="BW103" s="450"/>
      <c r="BX103" s="450"/>
      <c r="BY103" s="450"/>
      <c r="BZ103" s="450"/>
      <c r="CA103" s="450">
        <f>COUNTIF(AI103:AW103,"*OK*")</f>
        <v>0</v>
      </c>
      <c r="CB103" s="450"/>
      <c r="CC103" s="450">
        <f>COUNTIF(AI103:AW103,"*OP*")</f>
        <v>0</v>
      </c>
    </row>
    <row r="104" spans="1:81" ht="15" customHeight="1">
      <c r="A104" s="488">
        <v>31422</v>
      </c>
      <c r="B104" s="489"/>
      <c r="C104" s="451">
        <f>T104</f>
        <v>918.83</v>
      </c>
      <c r="D104" s="450">
        <f>COUNTIF(AI104:AW104,"*OK*")</f>
        <v>0</v>
      </c>
      <c r="E104" s="450"/>
      <c r="F104" s="452" t="s">
        <v>454</v>
      </c>
      <c r="G104" s="453"/>
      <c r="H104" s="454"/>
      <c r="I104" s="454"/>
      <c r="J104" s="453"/>
      <c r="K104" s="453" t="s">
        <v>79</v>
      </c>
      <c r="L104" s="453" t="s">
        <v>69</v>
      </c>
      <c r="M104" s="473" t="s">
        <v>127</v>
      </c>
      <c r="N104" s="476" t="s">
        <v>61</v>
      </c>
      <c r="O104" s="457">
        <v>856.03</v>
      </c>
      <c r="P104" s="457">
        <v>868.46</v>
      </c>
      <c r="Q104" s="457">
        <v>869.2</v>
      </c>
      <c r="R104" s="458">
        <v>878.98</v>
      </c>
      <c r="S104" s="459">
        <v>903.98220000000003</v>
      </c>
      <c r="T104" s="490">
        <v>918.83</v>
      </c>
      <c r="U104" s="461"/>
      <c r="V104" s="462">
        <v>600</v>
      </c>
      <c r="W104" s="463"/>
      <c r="X104" s="464" t="s">
        <v>455</v>
      </c>
      <c r="Y104" s="465" t="s">
        <v>150</v>
      </c>
      <c r="Z104" s="466" t="s">
        <v>456</v>
      </c>
      <c r="AA104" s="462" t="s">
        <v>59</v>
      </c>
      <c r="AB104" s="454"/>
      <c r="AC104" s="450"/>
      <c r="AD104" s="450"/>
      <c r="AE104" s="450"/>
      <c r="AF104" s="450"/>
      <c r="AG104" s="450"/>
      <c r="AH104" s="466" t="s">
        <v>59</v>
      </c>
      <c r="AI104" s="467"/>
      <c r="AJ104" s="467"/>
      <c r="AK104" s="467"/>
      <c r="AL104" s="467"/>
      <c r="AM104" s="467"/>
      <c r="AN104" s="467"/>
      <c r="AO104" s="467"/>
      <c r="AP104" s="467"/>
      <c r="AQ104" s="467"/>
      <c r="AR104" s="467"/>
      <c r="AS104" s="467"/>
      <c r="AT104" s="467"/>
      <c r="AU104" s="467"/>
      <c r="AV104" s="467"/>
      <c r="AW104" s="467"/>
      <c r="AX104" s="467"/>
      <c r="AY104" s="468">
        <f>COUNTIF(AI104:AX104,"*OP*")</f>
        <v>0</v>
      </c>
      <c r="AZ104" s="466" t="s">
        <v>59</v>
      </c>
      <c r="BA104" s="450">
        <f>(COUNTIF(AI104:AK104,"*OK*")*3) + (COUNTIF(AL104:AN104,"*OK*")*2) + COUNTIF(AO104:AQ104,"*OK*")+COUNTIF(AZ104:AZ104,"SI")*0.5</f>
        <v>0</v>
      </c>
      <c r="BB104" s="450" t="str">
        <f>IF(BA104&lt;0.6,"Demasiado Riesgo",IF(BA104&lt;=5,"Riesgo Medio",IF(BA104&lt;=11,"Riesgo Bajo","Cliente Blindado")))</f>
        <v>Demasiado Riesgo</v>
      </c>
      <c r="BC104" s="450"/>
      <c r="BD104" s="450"/>
      <c r="BE104" s="450">
        <v>0</v>
      </c>
      <c r="BF104" s="450"/>
      <c r="BG104" s="450"/>
      <c r="BH104" s="450"/>
      <c r="BI104" s="450"/>
      <c r="BJ104" s="450"/>
      <c r="BK104" s="450"/>
      <c r="BL104" s="450"/>
      <c r="BM104" s="450"/>
      <c r="BN104" s="450"/>
      <c r="BO104" s="450"/>
      <c r="BP104" s="450"/>
      <c r="BQ104" s="450"/>
      <c r="BR104" s="450"/>
      <c r="BS104" s="450"/>
      <c r="BT104" s="450"/>
      <c r="BU104" s="450"/>
      <c r="BV104" s="450"/>
      <c r="BW104" s="450"/>
      <c r="BX104" s="450"/>
      <c r="BY104" s="450"/>
      <c r="BZ104" s="450"/>
      <c r="CA104" s="450">
        <f>COUNTIF(AI104:AW104,"*OK*")</f>
        <v>0</v>
      </c>
      <c r="CB104" s="450"/>
      <c r="CC104" s="450">
        <f>COUNTIF(AI104:AW104,"*OP*")</f>
        <v>0</v>
      </c>
    </row>
    <row r="105" spans="1:81" ht="15" customHeight="1">
      <c r="A105" s="470"/>
      <c r="B105" s="471"/>
      <c r="C105" s="451">
        <f>T105</f>
        <v>1276.3399999999999</v>
      </c>
      <c r="D105" s="471">
        <f>COUNTIF(AI105:AW105,"*OK*")</f>
        <v>0</v>
      </c>
      <c r="E105" s="471"/>
      <c r="F105" s="472" t="s">
        <v>457</v>
      </c>
      <c r="G105" s="473"/>
      <c r="H105" s="474"/>
      <c r="I105" s="474"/>
      <c r="J105" s="473"/>
      <c r="K105" s="475" t="s">
        <v>79</v>
      </c>
      <c r="L105" s="473" t="s">
        <v>442</v>
      </c>
      <c r="M105" s="473" t="s">
        <v>127</v>
      </c>
      <c r="N105" s="476" t="s">
        <v>156</v>
      </c>
      <c r="O105" s="477"/>
      <c r="P105" s="477"/>
      <c r="Q105" s="477">
        <v>1585.55</v>
      </c>
      <c r="R105" s="478">
        <v>622.30999999999995</v>
      </c>
      <c r="S105" s="459">
        <v>928.61220000000003</v>
      </c>
      <c r="T105" s="460">
        <v>1276.3399999999999</v>
      </c>
      <c r="U105" s="479"/>
      <c r="V105" s="480">
        <v>150</v>
      </c>
      <c r="W105" s="481"/>
      <c r="X105" s="483" t="s">
        <v>70</v>
      </c>
      <c r="Y105" s="483" t="s">
        <v>71</v>
      </c>
      <c r="Z105" s="484" t="s">
        <v>458</v>
      </c>
      <c r="AA105" s="480" t="s">
        <v>71</v>
      </c>
      <c r="AB105" s="474"/>
      <c r="AC105" s="471"/>
      <c r="AD105" s="471"/>
      <c r="AE105" s="471"/>
      <c r="AF105" s="471"/>
      <c r="AG105" s="471"/>
      <c r="AH105" s="484" t="s">
        <v>59</v>
      </c>
      <c r="AI105" s="467"/>
      <c r="AJ105" s="467"/>
      <c r="AK105" s="467"/>
      <c r="AL105" s="467"/>
      <c r="AM105" s="467"/>
      <c r="AN105" s="467"/>
      <c r="AO105" s="467"/>
      <c r="AP105" s="467"/>
      <c r="AQ105" s="467"/>
      <c r="AR105" s="467"/>
      <c r="AS105" s="467"/>
      <c r="AT105" s="467"/>
      <c r="AU105" s="467"/>
      <c r="AV105" s="467"/>
      <c r="AW105" s="467"/>
      <c r="AX105" s="467"/>
      <c r="AY105" s="468">
        <f>COUNTIF(AI105:AX105,"*OP*")</f>
        <v>0</v>
      </c>
      <c r="AZ105" s="484" t="s">
        <v>59</v>
      </c>
      <c r="BA105" s="471">
        <f>(COUNTIF(AI105:AK105,"*OK*")*3) + (COUNTIF(AL105:AN105,"*OK*")*2) + COUNTIF(AO105:AQ105,"*OK*")+COUNTIF(AZ105:AZ105,"SI")*0.5</f>
        <v>0</v>
      </c>
      <c r="BB105" s="471" t="str">
        <f>IF(BA105&lt;0.6,"Demasiado Riesgo",IF(BA105&lt;=5,"Riesgo Medio",IF(BA105&lt;=11,"Riesgo Bajo","Cliente Blindado")))</f>
        <v>Demasiado Riesgo</v>
      </c>
      <c r="BC105" s="471"/>
      <c r="BD105" s="471"/>
      <c r="BE105" s="471">
        <v>0</v>
      </c>
      <c r="BF105" s="471"/>
      <c r="BG105" s="471"/>
      <c r="BH105" s="471"/>
      <c r="BI105" s="471"/>
      <c r="BJ105" s="471"/>
      <c r="BK105" s="471"/>
      <c r="BL105" s="471"/>
      <c r="BM105" s="471"/>
      <c r="BN105" s="471"/>
      <c r="BO105" s="471"/>
      <c r="BP105" s="471"/>
      <c r="BQ105" s="471"/>
      <c r="BR105" s="471"/>
      <c r="BS105" s="471"/>
      <c r="BT105" s="471"/>
      <c r="BU105" s="471"/>
      <c r="BV105" s="471"/>
      <c r="BW105" s="471"/>
      <c r="BX105" s="471"/>
      <c r="BY105" s="471"/>
      <c r="BZ105" s="471"/>
      <c r="CA105" s="471">
        <f>COUNTIF(AI105:AW105,"*OK*")</f>
        <v>0</v>
      </c>
      <c r="CB105" s="471"/>
      <c r="CC105" s="471">
        <f>COUNTIF(AI105:AW105,"*OP*")</f>
        <v>0</v>
      </c>
    </row>
    <row r="106" spans="1:81" ht="15" customHeight="1">
      <c r="A106" s="470">
        <v>37414</v>
      </c>
      <c r="B106" s="471"/>
      <c r="C106" s="451">
        <f>T106</f>
        <v>1716.36</v>
      </c>
      <c r="D106" s="471">
        <f>COUNTIF(AM106:AX106,"OK")</f>
        <v>0</v>
      </c>
      <c r="E106" s="471"/>
      <c r="F106" s="472" t="s">
        <v>459</v>
      </c>
      <c r="G106" s="471"/>
      <c r="H106" s="474"/>
      <c r="I106" s="474"/>
      <c r="J106" s="471"/>
      <c r="K106" s="491" t="s">
        <v>79</v>
      </c>
      <c r="L106" s="471" t="s">
        <v>69</v>
      </c>
      <c r="M106" s="473" t="s">
        <v>127</v>
      </c>
      <c r="N106" s="456" t="s">
        <v>117</v>
      </c>
      <c r="O106" s="457"/>
      <c r="P106" s="457"/>
      <c r="Q106" s="457">
        <v>1718</v>
      </c>
      <c r="R106" s="458">
        <v>1755.95</v>
      </c>
      <c r="S106" s="459">
        <v>1702.9757999999999</v>
      </c>
      <c r="T106" s="492">
        <v>1716.36</v>
      </c>
      <c r="U106" s="479">
        <v>600</v>
      </c>
      <c r="V106" s="480" t="s">
        <v>59</v>
      </c>
      <c r="W106" s="471"/>
      <c r="X106" s="493"/>
      <c r="Y106" s="483"/>
      <c r="Z106" s="484"/>
      <c r="AA106" s="494" t="s">
        <v>268</v>
      </c>
      <c r="AB106" s="474"/>
      <c r="AC106" s="471"/>
      <c r="AD106" s="471"/>
      <c r="AE106" s="471"/>
      <c r="AF106" s="471"/>
      <c r="AG106" s="471"/>
      <c r="AH106" s="485"/>
      <c r="AI106" s="467"/>
      <c r="AJ106" s="467"/>
      <c r="AK106" s="467"/>
      <c r="AL106" s="467"/>
      <c r="AM106" s="467"/>
      <c r="AN106" s="467"/>
      <c r="AO106" s="467"/>
      <c r="AP106" s="467"/>
      <c r="AQ106" s="467"/>
      <c r="AR106" s="467"/>
      <c r="AS106" s="467"/>
      <c r="AT106" s="467"/>
      <c r="AU106" s="467"/>
      <c r="AV106" s="467"/>
      <c r="AW106" s="467"/>
      <c r="AX106" s="467"/>
      <c r="AY106" s="468">
        <f>COUNTIF(AI106:AX106,"*OP*")</f>
        <v>0</v>
      </c>
      <c r="AZ106" s="484" t="s">
        <v>59</v>
      </c>
      <c r="BA106" s="471">
        <f>(COUNTIF(AI106:AK106,"*OK*")*3) + (COUNTIF(AL106:AN106,"*OK*")*2) + COUNTIF(AO106:AQ106,"*OK*")+COUNTIF(AZ106:AZ106,"SI")*0.5</f>
        <v>0</v>
      </c>
      <c r="BB106" s="471" t="str">
        <f>IF(BA106&lt;0.6,"Demasiado Riesgo",IF(BA106&lt;=5,"Riesgo Medio",IF(BA106&lt;=11,"Riesgo Bajo","Cliente Blindado")))</f>
        <v>Demasiado Riesgo</v>
      </c>
      <c r="BC106" s="471"/>
      <c r="BD106" s="471"/>
      <c r="BE106" s="471"/>
      <c r="BF106" s="471"/>
      <c r="BG106" s="471"/>
      <c r="BH106" s="471"/>
      <c r="BI106" s="471"/>
      <c r="BJ106" s="471"/>
      <c r="BK106" s="471"/>
      <c r="BL106" s="471"/>
      <c r="BM106" s="471"/>
      <c r="BN106" s="471"/>
      <c r="BO106" s="471"/>
      <c r="BP106" s="471"/>
      <c r="BQ106" s="471"/>
      <c r="BR106" s="471"/>
      <c r="BS106" s="471"/>
      <c r="BT106" s="471"/>
      <c r="BU106" s="471"/>
      <c r="BV106" s="471"/>
      <c r="BW106" s="471"/>
      <c r="BX106" s="471"/>
      <c r="BY106" s="471"/>
      <c r="BZ106" s="471"/>
      <c r="CA106" s="471">
        <f>COUNTIF(AI106:AW106,"*OK*")</f>
        <v>0</v>
      </c>
      <c r="CB106" s="471"/>
      <c r="CC106" s="471">
        <f>COUNTIF(AI106:AW106,"*OP*")</f>
        <v>0</v>
      </c>
    </row>
    <row r="107" spans="1:81" ht="15" customHeight="1">
      <c r="A107" s="449">
        <v>37409</v>
      </c>
      <c r="B107" s="450"/>
      <c r="C107" s="451">
        <f>T107</f>
        <v>55.709200000000003</v>
      </c>
      <c r="D107" s="450">
        <f>COUNTIF(AM107:AX107,"OK")</f>
        <v>0</v>
      </c>
      <c r="E107" s="450"/>
      <c r="F107" s="495" t="s">
        <v>460</v>
      </c>
      <c r="G107" s="489" t="s">
        <v>59</v>
      </c>
      <c r="H107" s="454"/>
      <c r="I107" s="454"/>
      <c r="J107" s="489" t="s">
        <v>59</v>
      </c>
      <c r="K107" s="489" t="s">
        <v>68</v>
      </c>
      <c r="L107" s="453" t="s">
        <v>461</v>
      </c>
      <c r="M107" s="473" t="s">
        <v>127</v>
      </c>
      <c r="N107" s="466" t="s">
        <v>237</v>
      </c>
      <c r="O107" s="489" t="s">
        <v>59</v>
      </c>
      <c r="P107" s="489" t="s">
        <v>59</v>
      </c>
      <c r="Q107" s="489" t="s">
        <v>59</v>
      </c>
      <c r="R107" s="496">
        <v>55.58</v>
      </c>
      <c r="S107" s="497">
        <v>56.326799999999999</v>
      </c>
      <c r="T107" s="498">
        <v>55.709200000000003</v>
      </c>
      <c r="U107" s="461"/>
      <c r="V107" s="462" t="s">
        <v>59</v>
      </c>
      <c r="W107" s="450"/>
      <c r="X107" s="464"/>
      <c r="Y107" s="465"/>
      <c r="Z107" s="466"/>
      <c r="AA107" s="496" t="s">
        <v>59</v>
      </c>
      <c r="AB107" s="454"/>
      <c r="AC107" s="450"/>
      <c r="AD107" s="450"/>
      <c r="AE107" s="450"/>
      <c r="AF107" s="450"/>
      <c r="AG107" s="450"/>
      <c r="AH107" s="496" t="s">
        <v>59</v>
      </c>
      <c r="AI107" s="467"/>
      <c r="AJ107" s="467"/>
      <c r="AK107" s="467"/>
      <c r="AL107" s="467"/>
      <c r="AM107" s="467"/>
      <c r="AN107" s="467"/>
      <c r="AO107" s="467"/>
      <c r="AP107" s="467"/>
      <c r="AQ107" s="467"/>
      <c r="AR107" s="467"/>
      <c r="AS107" s="467"/>
      <c r="AT107" s="467"/>
      <c r="AU107" s="467"/>
      <c r="AV107" s="467"/>
      <c r="AW107" s="467"/>
      <c r="AX107" s="467"/>
      <c r="AY107" s="486">
        <f>COUNTIF(AI107:AX107,"*OP*")</f>
        <v>0</v>
      </c>
      <c r="AZ107" s="499" t="s">
        <v>59</v>
      </c>
      <c r="BA107" s="450">
        <f>(COUNTIF(AI107:AK107,"*OK*")*3) + (COUNTIF(AL107:AN107,"*OK*")*2) + COUNTIF(AO107:AQ107,"*OK*")+COUNTIF(AZ107:AZ107,"SI")*0.5</f>
        <v>0</v>
      </c>
      <c r="BB107" s="450" t="str">
        <f>IF(BA107&lt;0.6,"Demasiado Riesgo",IF(BA107&lt;=5,"Riesgo Medio",IF(BA107&lt;=11,"Riesgo Bajo","Cliente Blindado")))</f>
        <v>Demasiado Riesgo</v>
      </c>
      <c r="BC107" s="450"/>
      <c r="BD107" s="450"/>
      <c r="BE107" s="450">
        <v>0</v>
      </c>
      <c r="BF107" s="450"/>
      <c r="BG107" s="450"/>
      <c r="BH107" s="450"/>
      <c r="BI107" s="450"/>
      <c r="BJ107" s="450"/>
      <c r="BK107" s="450"/>
      <c r="BL107" s="450"/>
      <c r="BM107" s="450"/>
      <c r="BN107" s="450"/>
      <c r="BO107" s="450"/>
      <c r="BP107" s="450"/>
      <c r="BQ107" s="450"/>
      <c r="BR107" s="450"/>
      <c r="BS107" s="450"/>
      <c r="BT107" s="450"/>
      <c r="BU107" s="450"/>
      <c r="BV107" s="450"/>
      <c r="BW107" s="450"/>
      <c r="BX107" s="450"/>
      <c r="BY107" s="450"/>
      <c r="BZ107" s="450"/>
      <c r="CA107" s="450">
        <f>COUNTIF(AI107:AW107,"*OK*")</f>
        <v>0</v>
      </c>
      <c r="CB107" s="450"/>
      <c r="CC107" s="450">
        <f>COUNTIF(AI107:AW107,"*OP*")</f>
        <v>0</v>
      </c>
    </row>
    <row r="108" spans="1:81" ht="15" customHeight="1">
      <c r="A108" s="449"/>
      <c r="B108" s="450"/>
      <c r="C108" s="451">
        <f>T108</f>
        <v>22.22</v>
      </c>
      <c r="D108" s="450">
        <f>COUNTIF(AI108:AW108,"*OK*")</f>
        <v>0</v>
      </c>
      <c r="E108" s="450"/>
      <c r="F108" s="453" t="s">
        <v>462</v>
      </c>
      <c r="G108" s="594" t="s">
        <v>463</v>
      </c>
      <c r="H108" s="454"/>
      <c r="I108" s="454"/>
      <c r="J108" s="594"/>
      <c r="K108" s="552" t="s">
        <v>68</v>
      </c>
      <c r="L108" s="453" t="s">
        <v>445</v>
      </c>
      <c r="M108" s="453"/>
      <c r="N108" s="456" t="s">
        <v>65</v>
      </c>
      <c r="O108" s="457">
        <v>20.68</v>
      </c>
      <c r="P108" s="457">
        <v>16.899999999999999</v>
      </c>
      <c r="Q108" s="457">
        <v>19.690000000000001</v>
      </c>
      <c r="R108" s="458">
        <v>20.32</v>
      </c>
      <c r="S108" s="459">
        <v>22.468299999999999</v>
      </c>
      <c r="T108" s="487">
        <v>22.22</v>
      </c>
      <c r="U108" s="461"/>
      <c r="V108" s="462">
        <v>50</v>
      </c>
      <c r="W108" s="463"/>
      <c r="X108" s="567" t="s">
        <v>70</v>
      </c>
      <c r="Y108" s="465" t="s">
        <v>71</v>
      </c>
      <c r="Z108" s="466" t="s">
        <v>72</v>
      </c>
      <c r="AA108" s="462" t="s">
        <v>59</v>
      </c>
      <c r="AB108" s="454" t="s">
        <v>97</v>
      </c>
      <c r="AC108" s="450"/>
      <c r="AD108" s="450"/>
      <c r="AE108" s="450"/>
      <c r="AF108" s="450"/>
      <c r="AG108" s="450"/>
      <c r="AH108" s="496" t="s">
        <v>127</v>
      </c>
      <c r="AI108" s="467"/>
      <c r="AJ108" s="467"/>
      <c r="AK108" s="467" t="s">
        <v>171</v>
      </c>
      <c r="AL108" s="467" t="s">
        <v>171</v>
      </c>
      <c r="AM108" s="467"/>
      <c r="AN108" s="467"/>
      <c r="AO108" s="467"/>
      <c r="AP108" s="467"/>
      <c r="AQ108" s="467"/>
      <c r="AR108" s="467"/>
      <c r="AS108" s="467"/>
      <c r="AT108" s="467"/>
      <c r="AU108" s="467"/>
      <c r="AV108" s="467"/>
      <c r="AW108" s="467"/>
      <c r="AX108" s="467"/>
      <c r="AY108" s="468">
        <f>COUNTIF(AI108:AX108,"*OP*")</f>
        <v>2</v>
      </c>
      <c r="AZ108" s="466" t="s">
        <v>176</v>
      </c>
      <c r="BA108" s="450">
        <f>(COUNTIF(AI108:AK108,"*OK*")*3) + (COUNTIF(AL108:AN108,"*OK*")*2) + COUNTIF(AO108:AQ108,"*OK*")+COUNTIF(AZ108:AZ108,"SI")*0.5</f>
        <v>0</v>
      </c>
      <c r="BB108" s="450" t="str">
        <f>IF(BA108&lt;0.6,"Demasiado Riesgo",IF(BA108&lt;=5,"Riesgo Medio",IF(BA108&lt;=11,"Riesgo Bajo","Cliente Blindado")))</f>
        <v>Demasiado Riesgo</v>
      </c>
      <c r="BC108" s="450"/>
      <c r="BD108" s="450"/>
      <c r="BE108" s="450">
        <v>0</v>
      </c>
      <c r="BF108" s="450"/>
      <c r="BG108" s="450"/>
      <c r="BH108" s="450"/>
      <c r="BI108" s="450"/>
      <c r="BJ108" s="450"/>
      <c r="BK108" s="450"/>
      <c r="BL108" s="450"/>
      <c r="BM108" s="450"/>
      <c r="BN108" s="450"/>
      <c r="BO108" s="450"/>
      <c r="BP108" s="450"/>
      <c r="BQ108" s="450"/>
      <c r="BR108" s="450"/>
      <c r="BS108" s="450"/>
      <c r="BT108" s="450"/>
      <c r="BU108" s="450"/>
      <c r="BV108" s="450"/>
      <c r="BW108" s="450"/>
      <c r="BX108" s="450"/>
      <c r="BY108" s="450"/>
      <c r="BZ108" s="450"/>
      <c r="CA108" s="450">
        <f>COUNTIF(AI108:AW108,"*OK*")</f>
        <v>0</v>
      </c>
      <c r="CB108" s="450"/>
      <c r="CC108" s="450">
        <f>COUNTIF(AI108:AW108,"*OP*")</f>
        <v>2</v>
      </c>
    </row>
    <row r="109" spans="1:81" ht="15" customHeight="1">
      <c r="A109" s="563"/>
      <c r="B109" s="536"/>
      <c r="C109" s="451">
        <f>T109</f>
        <v>27.23</v>
      </c>
      <c r="D109" s="471">
        <f>COUNTIF(AI109:AW109,"*OK*")</f>
        <v>0</v>
      </c>
      <c r="E109" s="471"/>
      <c r="F109" s="473" t="s">
        <v>464</v>
      </c>
      <c r="G109" s="473" t="s">
        <v>465</v>
      </c>
      <c r="H109" s="474"/>
      <c r="I109" s="474"/>
      <c r="J109" s="473"/>
      <c r="K109" s="475" t="s">
        <v>68</v>
      </c>
      <c r="L109" s="473" t="s">
        <v>445</v>
      </c>
      <c r="M109" s="473"/>
      <c r="N109" s="476" t="s">
        <v>65</v>
      </c>
      <c r="O109" s="477">
        <v>21.72</v>
      </c>
      <c r="P109" s="477">
        <v>21.7</v>
      </c>
      <c r="Q109" s="477">
        <v>20.68</v>
      </c>
      <c r="R109" s="478">
        <v>23.29</v>
      </c>
      <c r="S109" s="459">
        <v>23.598299999999998</v>
      </c>
      <c r="T109" s="460">
        <v>27.23</v>
      </c>
      <c r="U109" s="479"/>
      <c r="V109" s="480">
        <v>150</v>
      </c>
      <c r="W109" s="481"/>
      <c r="X109" s="482" t="s">
        <v>70</v>
      </c>
      <c r="Y109" s="483" t="s">
        <v>161</v>
      </c>
      <c r="Z109" s="484" t="s">
        <v>466</v>
      </c>
      <c r="AA109" s="480" t="s">
        <v>59</v>
      </c>
      <c r="AB109" s="474" t="s">
        <v>92</v>
      </c>
      <c r="AC109" s="471"/>
      <c r="AD109" s="471"/>
      <c r="AE109" s="471"/>
      <c r="AF109" s="471"/>
      <c r="AG109" s="471"/>
      <c r="AH109" s="484" t="s">
        <v>59</v>
      </c>
      <c r="AI109" s="467"/>
      <c r="AJ109" s="467"/>
      <c r="AK109" s="467"/>
      <c r="AL109" s="467"/>
      <c r="AM109" s="467"/>
      <c r="AN109" s="467"/>
      <c r="AO109" s="467"/>
      <c r="AP109" s="467"/>
      <c r="AQ109" s="467"/>
      <c r="AR109" s="467"/>
      <c r="AS109" s="467"/>
      <c r="AT109" s="467"/>
      <c r="AU109" s="467"/>
      <c r="AV109" s="467"/>
      <c r="AW109" s="467"/>
      <c r="AX109" s="467"/>
      <c r="AY109" s="468">
        <f>COUNTIF(AI109:AX109,"*OP*")</f>
        <v>0</v>
      </c>
      <c r="AZ109" s="484" t="s">
        <v>59</v>
      </c>
      <c r="BA109" s="471">
        <f>(COUNTIF(AI109:AK109,"*OK*")*3) + (COUNTIF(AL109:AN109,"*OK*")*2) + COUNTIF(AO109:AQ109,"*OK*")+COUNTIF(AZ109:AZ109,"SI")*0.5</f>
        <v>0</v>
      </c>
      <c r="BB109" s="471" t="str">
        <f>IF(BA109&lt;0.6,"Demasiado Riesgo",IF(BA109&lt;=5,"Riesgo Medio",IF(BA109&lt;=11,"Riesgo Bajo","Cliente Blindado")))</f>
        <v>Demasiado Riesgo</v>
      </c>
      <c r="BC109" s="471"/>
      <c r="BD109" s="471"/>
      <c r="BE109" s="471">
        <v>0</v>
      </c>
      <c r="BF109" s="471"/>
      <c r="BG109" s="471"/>
      <c r="BH109" s="471"/>
      <c r="BI109" s="471"/>
      <c r="BJ109" s="471"/>
      <c r="BK109" s="471"/>
      <c r="BL109" s="471"/>
      <c r="BM109" s="471"/>
      <c r="BN109" s="471"/>
      <c r="BO109" s="471"/>
      <c r="BP109" s="471"/>
      <c r="BQ109" s="471"/>
      <c r="BR109" s="471"/>
      <c r="BS109" s="471"/>
      <c r="BT109" s="471"/>
      <c r="BU109" s="471"/>
      <c r="BV109" s="471"/>
      <c r="BW109" s="471"/>
      <c r="BX109" s="471"/>
      <c r="BY109" s="471"/>
      <c r="BZ109" s="471"/>
      <c r="CA109" s="471">
        <f>COUNTIF(AI109:AW109,"*OK*")</f>
        <v>0</v>
      </c>
      <c r="CB109" s="471"/>
      <c r="CC109" s="471">
        <f>COUNTIF(AI109:AW109,"*OP*")</f>
        <v>0</v>
      </c>
    </row>
    <row r="110" spans="1:81" ht="15" customHeight="1">
      <c r="A110" s="449"/>
      <c r="B110" s="450"/>
      <c r="C110" s="451">
        <f>T110</f>
        <v>27.78</v>
      </c>
      <c r="D110" s="450">
        <f>COUNTIF(AI110:AW110,"*OK*")</f>
        <v>0</v>
      </c>
      <c r="E110" s="450"/>
      <c r="F110" s="453" t="s">
        <v>467</v>
      </c>
      <c r="G110" s="453"/>
      <c r="H110" s="454"/>
      <c r="I110" s="454"/>
      <c r="J110" s="453"/>
      <c r="K110" s="552" t="s">
        <v>68</v>
      </c>
      <c r="L110" s="453" t="s">
        <v>445</v>
      </c>
      <c r="M110" s="453"/>
      <c r="N110" s="456" t="s">
        <v>65</v>
      </c>
      <c r="O110" s="457">
        <v>31.96</v>
      </c>
      <c r="P110" s="457">
        <v>30.05</v>
      </c>
      <c r="Q110" s="457">
        <v>28.64</v>
      </c>
      <c r="R110" s="458">
        <v>29.56</v>
      </c>
      <c r="S110" s="459">
        <v>28.0854</v>
      </c>
      <c r="T110" s="487">
        <v>27.78</v>
      </c>
      <c r="U110" s="461"/>
      <c r="V110" s="462">
        <v>50</v>
      </c>
      <c r="W110" s="463"/>
      <c r="X110" s="562" t="s">
        <v>70</v>
      </c>
      <c r="Y110" s="465" t="s">
        <v>71</v>
      </c>
      <c r="Z110" s="466" t="s">
        <v>74</v>
      </c>
      <c r="AA110" s="462" t="s">
        <v>59</v>
      </c>
      <c r="AB110" s="454"/>
      <c r="AC110" s="450"/>
      <c r="AD110" s="450"/>
      <c r="AE110" s="450"/>
      <c r="AF110" s="450"/>
      <c r="AG110" s="450"/>
      <c r="AH110" s="466" t="s">
        <v>59</v>
      </c>
      <c r="AI110" s="595"/>
      <c r="AJ110" s="595"/>
      <c r="AK110" s="595"/>
      <c r="AL110" s="595"/>
      <c r="AM110" s="595"/>
      <c r="AN110" s="595"/>
      <c r="AO110" s="595"/>
      <c r="AP110" s="595"/>
      <c r="AQ110" s="595"/>
      <c r="AR110" s="595"/>
      <c r="AS110" s="595"/>
      <c r="AT110" s="595"/>
      <c r="AU110" s="595"/>
      <c r="AV110" s="595"/>
      <c r="AW110" s="595"/>
      <c r="AX110" s="595"/>
      <c r="AY110" s="468">
        <f>COUNTIF(AI110:AX110,"*OP*")</f>
        <v>0</v>
      </c>
      <c r="AZ110" s="466" t="s">
        <v>59</v>
      </c>
      <c r="BA110" s="450">
        <f>(COUNTIF(AI110:AK110,"*OK*")*3) + (COUNTIF(AL110:AN110,"*OK*")*2) + COUNTIF(AO110:AQ110,"*OK*")+COUNTIF(AZ110:AZ110,"SI")*0.5</f>
        <v>0</v>
      </c>
      <c r="BB110" s="450" t="str">
        <f>IF(BA110&lt;0.6,"Demasiado Riesgo",IF(BA110&lt;=5,"Riesgo Medio",IF(BA110&lt;=11,"Riesgo Bajo","Cliente Blindado")))</f>
        <v>Demasiado Riesgo</v>
      </c>
      <c r="BC110" s="450"/>
      <c r="BD110" s="450"/>
      <c r="BE110" s="450">
        <v>0</v>
      </c>
      <c r="BF110" s="450"/>
      <c r="BG110" s="450"/>
      <c r="BH110" s="450"/>
      <c r="BI110" s="450"/>
      <c r="BJ110" s="450"/>
      <c r="BK110" s="450"/>
      <c r="BL110" s="450"/>
      <c r="BM110" s="450"/>
      <c r="BN110" s="450"/>
      <c r="BO110" s="450"/>
      <c r="BP110" s="450"/>
      <c r="BQ110" s="450"/>
      <c r="BR110" s="450"/>
      <c r="BS110" s="450"/>
      <c r="BT110" s="450"/>
      <c r="BU110" s="450"/>
      <c r="BV110" s="450"/>
      <c r="BW110" s="450"/>
      <c r="BX110" s="450"/>
      <c r="BY110" s="450"/>
      <c r="BZ110" s="450"/>
      <c r="CA110" s="450">
        <f>COUNTIF(AI110:AW110,"*OK*")</f>
        <v>0</v>
      </c>
      <c r="CB110" s="450"/>
      <c r="CC110" s="450">
        <f>COUNTIF(AI110:AW110,"*OP*")</f>
        <v>0</v>
      </c>
    </row>
    <row r="111" spans="1:81" ht="15" customHeight="1">
      <c r="A111" s="470"/>
      <c r="B111" s="471"/>
      <c r="C111" s="451">
        <f>T111</f>
        <v>28.63</v>
      </c>
      <c r="D111" s="471">
        <f>COUNTIF(AI111:AW111,"*OK*")</f>
        <v>0</v>
      </c>
      <c r="E111" s="471"/>
      <c r="F111" s="473" t="s">
        <v>468</v>
      </c>
      <c r="G111" s="473" t="s">
        <v>469</v>
      </c>
      <c r="H111" s="474"/>
      <c r="I111" s="474"/>
      <c r="J111" s="473"/>
      <c r="K111" s="556" t="s">
        <v>68</v>
      </c>
      <c r="L111" s="473" t="s">
        <v>445</v>
      </c>
      <c r="M111" s="473"/>
      <c r="N111" s="476" t="s">
        <v>65</v>
      </c>
      <c r="O111" s="477">
        <v>29.06</v>
      </c>
      <c r="P111" s="477">
        <v>29.03</v>
      </c>
      <c r="Q111" s="477">
        <v>27.67</v>
      </c>
      <c r="R111" s="478">
        <v>31.81</v>
      </c>
      <c r="S111" s="459">
        <v>28.943300000000001</v>
      </c>
      <c r="T111" s="469">
        <v>28.63</v>
      </c>
      <c r="U111" s="479"/>
      <c r="V111" s="480">
        <v>200</v>
      </c>
      <c r="W111" s="481"/>
      <c r="X111" s="572" t="s">
        <v>70</v>
      </c>
      <c r="Y111" s="483" t="s">
        <v>161</v>
      </c>
      <c r="Z111" s="484" t="s">
        <v>470</v>
      </c>
      <c r="AA111" s="480" t="s">
        <v>59</v>
      </c>
      <c r="AB111" s="474" t="s">
        <v>92</v>
      </c>
      <c r="AC111" s="471"/>
      <c r="AD111" s="471"/>
      <c r="AE111" s="471"/>
      <c r="AF111" s="471"/>
      <c r="AG111" s="471"/>
      <c r="AH111" s="484" t="s">
        <v>59</v>
      </c>
      <c r="AI111" s="467"/>
      <c r="AJ111" s="467"/>
      <c r="AK111" s="467"/>
      <c r="AL111" s="467"/>
      <c r="AM111" s="467"/>
      <c r="AN111" s="467"/>
      <c r="AO111" s="467"/>
      <c r="AP111" s="467"/>
      <c r="AQ111" s="467"/>
      <c r="AR111" s="467"/>
      <c r="AS111" s="467"/>
      <c r="AT111" s="467"/>
      <c r="AU111" s="467"/>
      <c r="AV111" s="467"/>
      <c r="AW111" s="467"/>
      <c r="AX111" s="467"/>
      <c r="AY111" s="468">
        <f>COUNTIF(AI111:AX111,"*OP*")</f>
        <v>0</v>
      </c>
      <c r="AZ111" s="484" t="s">
        <v>59</v>
      </c>
      <c r="BA111" s="471">
        <f>(COUNTIF(AI111:AK111,"*OK*")*3) + (COUNTIF(AL111:AN111,"*OK*")*2) + COUNTIF(AO111:AQ111,"*OK*")+COUNTIF(AZ111:AZ111,"SI")*0.5</f>
        <v>0</v>
      </c>
      <c r="BB111" s="471" t="str">
        <f>IF(BA111&lt;0.6,"Demasiado Riesgo",IF(BA111&lt;=5,"Riesgo Medio",IF(BA111&lt;=11,"Riesgo Bajo","Cliente Blindado")))</f>
        <v>Demasiado Riesgo</v>
      </c>
      <c r="BC111" s="471"/>
      <c r="BD111" s="471"/>
      <c r="BE111" s="471">
        <v>0</v>
      </c>
      <c r="BF111" s="471"/>
      <c r="BG111" s="471"/>
      <c r="BH111" s="471"/>
      <c r="BI111" s="471"/>
      <c r="BJ111" s="471"/>
      <c r="BK111" s="471"/>
      <c r="BL111" s="471"/>
      <c r="BM111" s="471"/>
      <c r="BN111" s="471"/>
      <c r="BO111" s="471"/>
      <c r="BP111" s="471"/>
      <c r="BQ111" s="471"/>
      <c r="BR111" s="471"/>
      <c r="BS111" s="471"/>
      <c r="BT111" s="471"/>
      <c r="BU111" s="471"/>
      <c r="BV111" s="471"/>
      <c r="BW111" s="471"/>
      <c r="BX111" s="471"/>
      <c r="BY111" s="471"/>
      <c r="BZ111" s="471"/>
      <c r="CA111" s="471">
        <f>COUNTIF(AI111:AW111,"*OK*")</f>
        <v>0</v>
      </c>
      <c r="CB111" s="471"/>
      <c r="CC111" s="471">
        <f>COUNTIF(AI111:AW111,"*OP*")</f>
        <v>0</v>
      </c>
    </row>
    <row r="112" spans="1:81" ht="15" customHeight="1">
      <c r="A112" s="449"/>
      <c r="B112" s="450"/>
      <c r="C112" s="451">
        <f>T112</f>
        <v>28.63</v>
      </c>
      <c r="D112" s="450">
        <f>COUNTIF(AI112:AW112,"*OK*")</f>
        <v>0</v>
      </c>
      <c r="E112" s="450"/>
      <c r="F112" s="453" t="s">
        <v>471</v>
      </c>
      <c r="G112" s="453" t="s">
        <v>469</v>
      </c>
      <c r="H112" s="454"/>
      <c r="I112" s="454"/>
      <c r="J112" s="453"/>
      <c r="K112" s="552" t="s">
        <v>68</v>
      </c>
      <c r="L112" s="453" t="s">
        <v>445</v>
      </c>
      <c r="M112" s="453"/>
      <c r="N112" s="456" t="s">
        <v>65</v>
      </c>
      <c r="O112" s="457">
        <v>29.06</v>
      </c>
      <c r="P112" s="457">
        <v>29.03</v>
      </c>
      <c r="Q112" s="457">
        <v>27.67</v>
      </c>
      <c r="R112" s="458">
        <v>31.81</v>
      </c>
      <c r="S112" s="459">
        <v>32.2363</v>
      </c>
      <c r="T112" s="487">
        <v>28.63</v>
      </c>
      <c r="U112" s="461"/>
      <c r="V112" s="462">
        <v>200</v>
      </c>
      <c r="W112" s="463"/>
      <c r="X112" s="567" t="s">
        <v>70</v>
      </c>
      <c r="Y112" s="465" t="s">
        <v>161</v>
      </c>
      <c r="Z112" s="466" t="s">
        <v>470</v>
      </c>
      <c r="AA112" s="462" t="s">
        <v>59</v>
      </c>
      <c r="AB112" s="454" t="s">
        <v>92</v>
      </c>
      <c r="AC112" s="450"/>
      <c r="AD112" s="450"/>
      <c r="AE112" s="450"/>
      <c r="AF112" s="450"/>
      <c r="AG112" s="450"/>
      <c r="AH112" s="499" t="s">
        <v>59</v>
      </c>
      <c r="AI112" s="467"/>
      <c r="AJ112" s="467"/>
      <c r="AK112" s="467"/>
      <c r="AL112" s="467"/>
      <c r="AM112" s="467"/>
      <c r="AN112" s="467"/>
      <c r="AO112" s="467"/>
      <c r="AP112" s="467"/>
      <c r="AQ112" s="467"/>
      <c r="AR112" s="467"/>
      <c r="AS112" s="467"/>
      <c r="AT112" s="467"/>
      <c r="AU112" s="467"/>
      <c r="AV112" s="467"/>
      <c r="AW112" s="467"/>
      <c r="AX112" s="467"/>
      <c r="AY112" s="486">
        <f>COUNTIF(AI112:AX112,"*OP*")</f>
        <v>0</v>
      </c>
      <c r="AZ112" s="499" t="s">
        <v>59</v>
      </c>
      <c r="BA112" s="450">
        <f>(COUNTIF(AI112:AK112,"*OK*")*3) + (COUNTIF(AL112:AN112,"*OK*")*2) + COUNTIF(AO112:AQ112,"*OK*")+COUNTIF(AZ112:AZ112,"SI")*0.5</f>
        <v>0</v>
      </c>
      <c r="BB112" s="450" t="str">
        <f>IF(BA112&lt;0.6,"Demasiado Riesgo",IF(BA112&lt;=5,"Riesgo Medio",IF(BA112&lt;=11,"Riesgo Bajo","Cliente Blindado")))</f>
        <v>Demasiado Riesgo</v>
      </c>
      <c r="BC112" s="450"/>
      <c r="BD112" s="450"/>
      <c r="BE112" s="450">
        <v>0</v>
      </c>
      <c r="BF112" s="450"/>
      <c r="BG112" s="450"/>
      <c r="BH112" s="450"/>
      <c r="BI112" s="450"/>
      <c r="BJ112" s="450"/>
      <c r="BK112" s="450"/>
      <c r="BL112" s="450"/>
      <c r="BM112" s="450"/>
      <c r="BN112" s="450"/>
      <c r="BO112" s="450"/>
      <c r="BP112" s="450"/>
      <c r="BQ112" s="450"/>
      <c r="BR112" s="450"/>
      <c r="BS112" s="450"/>
      <c r="BT112" s="450"/>
      <c r="BU112" s="450"/>
      <c r="BV112" s="450"/>
      <c r="BW112" s="450"/>
      <c r="BX112" s="450"/>
      <c r="BY112" s="450"/>
      <c r="BZ112" s="450"/>
      <c r="CA112" s="450">
        <f>COUNTIF(AI112:AW112,"*OK*")</f>
        <v>0</v>
      </c>
      <c r="CB112" s="450"/>
      <c r="CC112" s="450">
        <f>COUNTIF(AI112:AW112,"*OP*")</f>
        <v>0</v>
      </c>
    </row>
    <row r="113" spans="1:81" ht="15" customHeight="1">
      <c r="A113" s="449"/>
      <c r="B113" s="450"/>
      <c r="C113" s="451">
        <f>T113</f>
        <v>33.33</v>
      </c>
      <c r="D113" s="450">
        <f>COUNTIF(AI113:AW113,"*OK*")</f>
        <v>0</v>
      </c>
      <c r="E113" s="450"/>
      <c r="F113" s="453" t="s">
        <v>472</v>
      </c>
      <c r="G113" s="594" t="s">
        <v>463</v>
      </c>
      <c r="H113" s="454"/>
      <c r="I113" s="454"/>
      <c r="J113" s="594"/>
      <c r="K113" s="552" t="s">
        <v>68</v>
      </c>
      <c r="L113" s="453" t="s">
        <v>445</v>
      </c>
      <c r="M113" s="453"/>
      <c r="N113" s="456" t="s">
        <v>65</v>
      </c>
      <c r="O113" s="457">
        <v>33.840000000000003</v>
      </c>
      <c r="P113" s="457">
        <v>39.44</v>
      </c>
      <c r="Q113" s="457">
        <v>35.799999999999997</v>
      </c>
      <c r="R113" s="458">
        <v>36.950000000000003</v>
      </c>
      <c r="S113" s="459">
        <v>35.5749</v>
      </c>
      <c r="T113" s="487">
        <v>33.33</v>
      </c>
      <c r="U113" s="461"/>
      <c r="V113" s="462">
        <v>50</v>
      </c>
      <c r="W113" s="463"/>
      <c r="X113" s="567" t="s">
        <v>70</v>
      </c>
      <c r="Y113" s="465" t="s">
        <v>71</v>
      </c>
      <c r="Z113" s="466" t="s">
        <v>76</v>
      </c>
      <c r="AA113" s="462" t="s">
        <v>59</v>
      </c>
      <c r="AB113" s="454" t="s">
        <v>97</v>
      </c>
      <c r="AC113" s="450"/>
      <c r="AD113" s="450"/>
      <c r="AE113" s="450"/>
      <c r="AF113" s="450"/>
      <c r="AG113" s="450"/>
      <c r="AH113" s="496" t="s">
        <v>127</v>
      </c>
      <c r="AI113" s="467"/>
      <c r="AJ113" s="467"/>
      <c r="AK113" s="467" t="s">
        <v>171</v>
      </c>
      <c r="AL113" s="467" t="s">
        <v>171</v>
      </c>
      <c r="AM113" s="467"/>
      <c r="AN113" s="467"/>
      <c r="AO113" s="467"/>
      <c r="AP113" s="467"/>
      <c r="AQ113" s="467"/>
      <c r="AR113" s="467"/>
      <c r="AS113" s="467"/>
      <c r="AT113" s="467"/>
      <c r="AU113" s="467"/>
      <c r="AV113" s="467"/>
      <c r="AW113" s="467"/>
      <c r="AX113" s="467"/>
      <c r="AY113" s="468">
        <f>COUNTIF(AI113:AX113,"*OP*")</f>
        <v>2</v>
      </c>
      <c r="AZ113" s="466" t="s">
        <v>176</v>
      </c>
      <c r="BA113" s="450">
        <f>(COUNTIF(AI113:AK113,"*OK*")*3) + (COUNTIF(AL113:AN113,"*OK*")*2) + COUNTIF(AO113:AQ113,"*OK*")+COUNTIF(AZ113:AZ113,"SI")*0.5</f>
        <v>0</v>
      </c>
      <c r="BB113" s="450" t="str">
        <f>IF(BA113&lt;0.6,"Demasiado Riesgo",IF(BA113&lt;=5,"Riesgo Medio",IF(BA113&lt;=11,"Riesgo Bajo","Cliente Blindado")))</f>
        <v>Demasiado Riesgo</v>
      </c>
      <c r="BC113" s="450"/>
      <c r="BD113" s="450"/>
      <c r="BE113" s="450">
        <v>0</v>
      </c>
      <c r="BF113" s="450"/>
      <c r="BG113" s="450"/>
      <c r="BH113" s="450"/>
      <c r="BI113" s="450"/>
      <c r="BJ113" s="450"/>
      <c r="BK113" s="450"/>
      <c r="BL113" s="450"/>
      <c r="BM113" s="450"/>
      <c r="BN113" s="450"/>
      <c r="BO113" s="450"/>
      <c r="BP113" s="450"/>
      <c r="BQ113" s="450"/>
      <c r="BR113" s="450"/>
      <c r="BS113" s="450"/>
      <c r="BT113" s="450"/>
      <c r="BU113" s="450"/>
      <c r="BV113" s="450"/>
      <c r="BW113" s="450"/>
      <c r="BX113" s="450"/>
      <c r="BY113" s="450"/>
      <c r="BZ113" s="450"/>
      <c r="CA113" s="450">
        <f>COUNTIF(AI113:AW113,"*OK*")</f>
        <v>0</v>
      </c>
      <c r="CB113" s="450"/>
      <c r="CC113" s="450">
        <f>COUNTIF(AI113:AW113,"*OP*")</f>
        <v>2</v>
      </c>
    </row>
    <row r="114" spans="1:81" ht="15" customHeight="1">
      <c r="A114" s="470"/>
      <c r="B114" s="471"/>
      <c r="C114" s="451">
        <f>T114</f>
        <v>35.14</v>
      </c>
      <c r="D114" s="471">
        <f>COUNTIF(AI114:AW114,"*OK*")</f>
        <v>0</v>
      </c>
      <c r="E114" s="471"/>
      <c r="F114" s="473" t="s">
        <v>473</v>
      </c>
      <c r="G114" s="473" t="s">
        <v>469</v>
      </c>
      <c r="H114" s="474"/>
      <c r="I114" s="474"/>
      <c r="J114" s="473"/>
      <c r="K114" s="556" t="s">
        <v>68</v>
      </c>
      <c r="L114" s="473" t="s">
        <v>445</v>
      </c>
      <c r="M114" s="473"/>
      <c r="N114" s="476" t="s">
        <v>65</v>
      </c>
      <c r="O114" s="477">
        <v>32.369999999999997</v>
      </c>
      <c r="P114" s="477">
        <v>29.03</v>
      </c>
      <c r="Q114" s="477">
        <v>27.67</v>
      </c>
      <c r="R114" s="478">
        <v>31.81</v>
      </c>
      <c r="S114" s="459">
        <v>32.2363</v>
      </c>
      <c r="T114" s="460">
        <v>35.14</v>
      </c>
      <c r="U114" s="479"/>
      <c r="V114" s="480">
        <v>50</v>
      </c>
      <c r="W114" s="481"/>
      <c r="X114" s="572" t="s">
        <v>70</v>
      </c>
      <c r="Y114" s="483" t="s">
        <v>150</v>
      </c>
      <c r="Z114" s="484" t="s">
        <v>474</v>
      </c>
      <c r="AA114" s="480" t="s">
        <v>59</v>
      </c>
      <c r="AB114" s="474" t="s">
        <v>92</v>
      </c>
      <c r="AC114" s="471"/>
      <c r="AD114" s="471"/>
      <c r="AE114" s="471"/>
      <c r="AF114" s="471"/>
      <c r="AG114" s="471"/>
      <c r="AH114" s="484" t="s">
        <v>59</v>
      </c>
      <c r="AI114" s="467"/>
      <c r="AJ114" s="467"/>
      <c r="AK114" s="467"/>
      <c r="AL114" s="467"/>
      <c r="AM114" s="467"/>
      <c r="AN114" s="467"/>
      <c r="AO114" s="467"/>
      <c r="AP114" s="566"/>
      <c r="AQ114" s="467"/>
      <c r="AR114" s="467"/>
      <c r="AS114" s="467"/>
      <c r="AT114" s="467"/>
      <c r="AU114" s="467"/>
      <c r="AV114" s="467"/>
      <c r="AW114" s="467"/>
      <c r="AX114" s="467"/>
      <c r="AY114" s="468">
        <f>COUNTIF(AI114:AX114,"*OP*")</f>
        <v>0</v>
      </c>
      <c r="AZ114" s="484" t="s">
        <v>59</v>
      </c>
      <c r="BA114" s="471">
        <f>(COUNTIF(AI114:AK114,"*OK*")*3) + (COUNTIF(AL114:AN114,"*OK*")*2) + COUNTIF(AO114:AQ114,"*OK*")+COUNTIF(AZ114:AZ114,"SI")*0.5</f>
        <v>0</v>
      </c>
      <c r="BB114" s="471" t="str">
        <f>IF(BA114&lt;0.6,"Demasiado Riesgo",IF(BA114&lt;=5,"Riesgo Medio",IF(BA114&lt;=11,"Riesgo Bajo","Cliente Blindado")))</f>
        <v>Demasiado Riesgo</v>
      </c>
      <c r="BC114" s="471"/>
      <c r="BD114" s="471"/>
      <c r="BE114" s="471">
        <v>0</v>
      </c>
      <c r="BF114" s="471"/>
      <c r="BG114" s="471"/>
      <c r="BH114" s="471"/>
      <c r="BI114" s="471"/>
      <c r="BJ114" s="471"/>
      <c r="BK114" s="471"/>
      <c r="BL114" s="471"/>
      <c r="BM114" s="471"/>
      <c r="BN114" s="471"/>
      <c r="BO114" s="471"/>
      <c r="BP114" s="471"/>
      <c r="BQ114" s="471"/>
      <c r="BR114" s="471"/>
      <c r="BS114" s="471"/>
      <c r="BT114" s="471"/>
      <c r="BU114" s="471"/>
      <c r="BV114" s="471"/>
      <c r="BW114" s="471"/>
      <c r="BX114" s="471"/>
      <c r="BY114" s="471"/>
      <c r="BZ114" s="471"/>
      <c r="CA114" s="471">
        <f>COUNTIF(AI114:AW114,"*OK*")</f>
        <v>0</v>
      </c>
      <c r="CB114" s="471"/>
      <c r="CC114" s="471">
        <f>COUNTIF(AI114:AW114,"*OP*")</f>
        <v>0</v>
      </c>
    </row>
    <row r="115" spans="1:81" ht="15" customHeight="1">
      <c r="A115" s="470"/>
      <c r="B115" s="471"/>
      <c r="C115" s="451">
        <f>T115</f>
        <v>53.7</v>
      </c>
      <c r="D115" s="471">
        <f>COUNTIF(AI115:AW115,"*OK*")</f>
        <v>0</v>
      </c>
      <c r="E115" s="471"/>
      <c r="F115" s="473" t="s">
        <v>475</v>
      </c>
      <c r="G115" s="596" t="s">
        <v>463</v>
      </c>
      <c r="H115" s="474"/>
      <c r="I115" s="474"/>
      <c r="J115" s="596"/>
      <c r="K115" s="556" t="s">
        <v>68</v>
      </c>
      <c r="L115" s="473" t="s">
        <v>445</v>
      </c>
      <c r="M115" s="473"/>
      <c r="N115" s="476" t="s">
        <v>65</v>
      </c>
      <c r="O115" s="477">
        <v>60.16</v>
      </c>
      <c r="P115" s="477">
        <v>56.35</v>
      </c>
      <c r="Q115" s="477">
        <v>50.12</v>
      </c>
      <c r="R115" s="478">
        <v>49.88</v>
      </c>
      <c r="S115" s="459">
        <v>50.553699999999999</v>
      </c>
      <c r="T115" s="460">
        <v>53.7</v>
      </c>
      <c r="U115" s="479"/>
      <c r="V115" s="480">
        <v>50</v>
      </c>
      <c r="W115" s="481"/>
      <c r="X115" s="572" t="s">
        <v>70</v>
      </c>
      <c r="Y115" s="483" t="s">
        <v>71</v>
      </c>
      <c r="Z115" s="484" t="s">
        <v>476</v>
      </c>
      <c r="AA115" s="480" t="s">
        <v>59</v>
      </c>
      <c r="AB115" s="474" t="s">
        <v>97</v>
      </c>
      <c r="AC115" s="471"/>
      <c r="AD115" s="471"/>
      <c r="AE115" s="471"/>
      <c r="AF115" s="471"/>
      <c r="AG115" s="471"/>
      <c r="AH115" s="484" t="s">
        <v>127</v>
      </c>
      <c r="AI115" s="467"/>
      <c r="AJ115" s="467"/>
      <c r="AK115" s="467" t="s">
        <v>171</v>
      </c>
      <c r="AL115" s="467" t="s">
        <v>171</v>
      </c>
      <c r="AM115" s="467"/>
      <c r="AN115" s="467"/>
      <c r="AO115" s="467"/>
      <c r="AP115" s="467"/>
      <c r="AQ115" s="467"/>
      <c r="AR115" s="467"/>
      <c r="AS115" s="467"/>
      <c r="AT115" s="467"/>
      <c r="AU115" s="467"/>
      <c r="AV115" s="467"/>
      <c r="AW115" s="467"/>
      <c r="AX115" s="467"/>
      <c r="AY115" s="468">
        <f>COUNTIF(AI115:AX115,"*OP*")</f>
        <v>2</v>
      </c>
      <c r="AZ115" s="484" t="s">
        <v>176</v>
      </c>
      <c r="BA115" s="471">
        <f>(COUNTIF(AI115:AK115,"*OK*")*3) + (COUNTIF(AL115:AN115,"*OK*")*2) + COUNTIF(AO115:AQ115,"*OK*")+COUNTIF(AZ115:AZ115,"SI")*0.5</f>
        <v>0</v>
      </c>
      <c r="BB115" s="471" t="str">
        <f>IF(BA115&lt;0.6,"Demasiado Riesgo",IF(BA115&lt;=5,"Riesgo Medio",IF(BA115&lt;=11,"Riesgo Bajo","Cliente Blindado")))</f>
        <v>Demasiado Riesgo</v>
      </c>
      <c r="BC115" s="471"/>
      <c r="BD115" s="471"/>
      <c r="BE115" s="471">
        <v>0</v>
      </c>
      <c r="BF115" s="471"/>
      <c r="BG115" s="471"/>
      <c r="BH115" s="471"/>
      <c r="BI115" s="471"/>
      <c r="BJ115" s="471"/>
      <c r="BK115" s="471"/>
      <c r="BL115" s="471"/>
      <c r="BM115" s="471"/>
      <c r="BN115" s="471"/>
      <c r="BO115" s="471"/>
      <c r="BP115" s="471"/>
      <c r="BQ115" s="471"/>
      <c r="BR115" s="471"/>
      <c r="BS115" s="471"/>
      <c r="BT115" s="471"/>
      <c r="BU115" s="471"/>
      <c r="BV115" s="471"/>
      <c r="BW115" s="471"/>
      <c r="BX115" s="471"/>
      <c r="BY115" s="471"/>
      <c r="BZ115" s="471"/>
      <c r="CA115" s="471">
        <f>COUNTIF(AI115:AW115,"*OK*")</f>
        <v>0</v>
      </c>
      <c r="CB115" s="471"/>
      <c r="CC115" s="471">
        <f>COUNTIF(AI115:AW115,"*OP*")</f>
        <v>2</v>
      </c>
    </row>
    <row r="116" spans="1:81" ht="15" customHeight="1">
      <c r="A116" s="449"/>
      <c r="B116" s="450"/>
      <c r="C116" s="451">
        <f>T116</f>
        <v>54.68</v>
      </c>
      <c r="D116" s="450">
        <f>COUNTIF(AI116:AW116,"*OK*")</f>
        <v>0</v>
      </c>
      <c r="E116" s="450"/>
      <c r="F116" s="453" t="s">
        <v>477</v>
      </c>
      <c r="G116" s="453" t="s">
        <v>469</v>
      </c>
      <c r="H116" s="454"/>
      <c r="I116" s="454"/>
      <c r="J116" s="453"/>
      <c r="K116" s="552" t="s">
        <v>68</v>
      </c>
      <c r="L116" s="453" t="s">
        <v>445</v>
      </c>
      <c r="M116" s="453"/>
      <c r="N116" s="456" t="s">
        <v>65</v>
      </c>
      <c r="O116" s="457">
        <v>48.9</v>
      </c>
      <c r="P116" s="457">
        <v>45.55</v>
      </c>
      <c r="Q116" s="457">
        <v>46.56</v>
      </c>
      <c r="R116" s="458">
        <v>51.3</v>
      </c>
      <c r="S116" s="459">
        <v>45.408099999999997</v>
      </c>
      <c r="T116" s="490">
        <v>54.68</v>
      </c>
      <c r="U116" s="461"/>
      <c r="V116" s="462">
        <v>50</v>
      </c>
      <c r="W116" s="463"/>
      <c r="X116" s="464" t="s">
        <v>272</v>
      </c>
      <c r="Y116" s="465" t="s">
        <v>71</v>
      </c>
      <c r="Z116" s="466" t="s">
        <v>478</v>
      </c>
      <c r="AA116" s="462" t="s">
        <v>59</v>
      </c>
      <c r="AB116" s="454" t="s">
        <v>92</v>
      </c>
      <c r="AC116" s="450"/>
      <c r="AD116" s="450"/>
      <c r="AE116" s="450"/>
      <c r="AF116" s="450"/>
      <c r="AG116" s="450"/>
      <c r="AH116" s="466" t="s">
        <v>59</v>
      </c>
      <c r="AI116" s="467"/>
      <c r="AJ116" s="467"/>
      <c r="AK116" s="467"/>
      <c r="AL116" s="467"/>
      <c r="AM116" s="467"/>
      <c r="AN116" s="467"/>
      <c r="AO116" s="467"/>
      <c r="AP116" s="467"/>
      <c r="AQ116" s="467"/>
      <c r="AR116" s="467"/>
      <c r="AS116" s="467"/>
      <c r="AT116" s="467"/>
      <c r="AU116" s="467"/>
      <c r="AV116" s="467"/>
      <c r="AW116" s="467"/>
      <c r="AX116" s="467"/>
      <c r="AY116" s="468">
        <f>COUNTIF(AI116:AX116,"*OP*")</f>
        <v>0</v>
      </c>
      <c r="AZ116" s="466" t="s">
        <v>59</v>
      </c>
      <c r="BA116" s="450">
        <f>(COUNTIF(AI116:AK116,"*OK*")*3) + (COUNTIF(AL116:AN116,"*OK*")*2) + COUNTIF(AO116:AQ116,"*OK*")+COUNTIF(AZ116:AZ116,"SI")*0.5</f>
        <v>0</v>
      </c>
      <c r="BB116" s="450" t="str">
        <f>IF(BA116&lt;0.6,"Demasiado Riesgo",IF(BA116&lt;=5,"Riesgo Medio",IF(BA116&lt;=11,"Riesgo Bajo","Cliente Blindado")))</f>
        <v>Demasiado Riesgo</v>
      </c>
      <c r="BC116" s="450"/>
      <c r="BD116" s="450"/>
      <c r="BE116" s="450">
        <v>0</v>
      </c>
      <c r="BF116" s="450"/>
      <c r="BG116" s="450"/>
      <c r="BH116" s="450"/>
      <c r="BI116" s="450"/>
      <c r="BJ116" s="450"/>
      <c r="BK116" s="450"/>
      <c r="BL116" s="450"/>
      <c r="BM116" s="450"/>
      <c r="BN116" s="450"/>
      <c r="BO116" s="450"/>
      <c r="BP116" s="450"/>
      <c r="BQ116" s="450"/>
      <c r="BR116" s="450"/>
      <c r="BS116" s="450"/>
      <c r="BT116" s="450"/>
      <c r="BU116" s="450"/>
      <c r="BV116" s="450"/>
      <c r="BW116" s="450"/>
      <c r="BX116" s="450"/>
      <c r="BY116" s="450"/>
      <c r="BZ116" s="450"/>
      <c r="CA116" s="450">
        <f>COUNTIF(AI116:AW116,"*OK*")</f>
        <v>0</v>
      </c>
      <c r="CB116" s="450"/>
      <c r="CC116" s="450">
        <f>COUNTIF(AI116:AW116,"*OP*")</f>
        <v>0</v>
      </c>
    </row>
    <row r="117" spans="1:81" ht="15" customHeight="1">
      <c r="A117" s="563">
        <v>25247</v>
      </c>
      <c r="B117" s="536" t="s">
        <v>479</v>
      </c>
      <c r="C117" s="451">
        <f>T117</f>
        <v>56.8</v>
      </c>
      <c r="D117" s="471">
        <f>COUNTIF(AI117:AW117,"*OK*")</f>
        <v>0</v>
      </c>
      <c r="E117" s="471"/>
      <c r="F117" s="473" t="s">
        <v>480</v>
      </c>
      <c r="G117" s="473"/>
      <c r="H117" s="474"/>
      <c r="I117" s="474"/>
      <c r="J117" s="473"/>
      <c r="K117" s="475" t="s">
        <v>68</v>
      </c>
      <c r="L117" s="473" t="s">
        <v>445</v>
      </c>
      <c r="M117" s="473"/>
      <c r="N117" s="476" t="s">
        <v>61</v>
      </c>
      <c r="O117" s="477">
        <v>57.66</v>
      </c>
      <c r="P117" s="477">
        <v>57.61</v>
      </c>
      <c r="Q117" s="477">
        <v>54.9</v>
      </c>
      <c r="R117" s="478">
        <v>56.67</v>
      </c>
      <c r="S117" s="459">
        <v>57.427900000000001</v>
      </c>
      <c r="T117" s="469">
        <v>56.8</v>
      </c>
      <c r="U117" s="479"/>
      <c r="V117" s="480">
        <v>100</v>
      </c>
      <c r="W117" s="481"/>
      <c r="X117" s="572" t="s">
        <v>70</v>
      </c>
      <c r="Y117" s="483" t="s">
        <v>89</v>
      </c>
      <c r="Z117" s="484" t="s">
        <v>481</v>
      </c>
      <c r="AA117" s="480" t="s">
        <v>91</v>
      </c>
      <c r="AB117" s="474" t="s">
        <v>84</v>
      </c>
      <c r="AC117" s="471"/>
      <c r="AD117" s="471"/>
      <c r="AE117" s="471"/>
      <c r="AF117" s="471"/>
      <c r="AG117" s="471"/>
      <c r="AH117" s="485" t="s">
        <v>59</v>
      </c>
      <c r="AI117" s="467"/>
      <c r="AJ117" s="467"/>
      <c r="AK117" s="467"/>
      <c r="AL117" s="467"/>
      <c r="AM117" s="467"/>
      <c r="AN117" s="467"/>
      <c r="AO117" s="467"/>
      <c r="AP117" s="467"/>
      <c r="AQ117" s="467"/>
      <c r="AR117" s="467"/>
      <c r="AS117" s="467"/>
      <c r="AT117" s="467"/>
      <c r="AU117" s="467"/>
      <c r="AV117" s="467"/>
      <c r="AW117" s="467"/>
      <c r="AX117" s="467"/>
      <c r="AY117" s="486">
        <f>COUNTIF(AI117:AX117,"*OP*")</f>
        <v>0</v>
      </c>
      <c r="AZ117" s="485" t="s">
        <v>176</v>
      </c>
      <c r="BA117" s="471">
        <f>(COUNTIF(AI117:AK117,"*OK*")*3) + (COUNTIF(AL117:AN117,"*OK*")*2) + COUNTIF(AO117:AQ117,"*OK*")+COUNTIF(AZ117:AZ117,"SI")*0.5</f>
        <v>0</v>
      </c>
      <c r="BB117" s="471" t="str">
        <f>IF(BA117&lt;0.6,"Demasiado Riesgo",IF(BA117&lt;=5,"Riesgo Medio",IF(BA117&lt;=11,"Riesgo Bajo","Cliente Blindado")))</f>
        <v>Demasiado Riesgo</v>
      </c>
      <c r="BC117" s="471"/>
      <c r="BD117" s="471"/>
      <c r="BE117" s="471">
        <v>0</v>
      </c>
      <c r="BF117" s="471"/>
      <c r="BG117" s="471"/>
      <c r="BH117" s="471"/>
      <c r="BI117" s="471"/>
      <c r="BJ117" s="471"/>
      <c r="BK117" s="471"/>
      <c r="BL117" s="471"/>
      <c r="BM117" s="471"/>
      <c r="BN117" s="471"/>
      <c r="BO117" s="471"/>
      <c r="BP117" s="471"/>
      <c r="BQ117" s="471"/>
      <c r="BR117" s="471"/>
      <c r="BS117" s="471"/>
      <c r="BT117" s="471"/>
      <c r="BU117" s="471"/>
      <c r="BV117" s="471"/>
      <c r="BW117" s="471"/>
      <c r="BX117" s="471"/>
      <c r="BY117" s="471"/>
      <c r="BZ117" s="471"/>
      <c r="CA117" s="471">
        <f>COUNTIF(AI117:AW117,"*OK*")</f>
        <v>0</v>
      </c>
      <c r="CB117" s="471"/>
      <c r="CC117" s="471">
        <f>COUNTIF(AI117:AW117,"*OP*")</f>
        <v>0</v>
      </c>
    </row>
    <row r="118" spans="1:81" ht="15" customHeight="1">
      <c r="A118" s="449">
        <v>24294</v>
      </c>
      <c r="B118" s="450" t="s">
        <v>482</v>
      </c>
      <c r="C118" s="451">
        <f>T118</f>
        <v>65.14</v>
      </c>
      <c r="D118" s="450">
        <f>COUNTIF(AI118:AW118,"*OK*")</f>
        <v>1</v>
      </c>
      <c r="E118" s="450"/>
      <c r="F118" s="452" t="s">
        <v>483</v>
      </c>
      <c r="G118" s="453"/>
      <c r="H118" s="454"/>
      <c r="I118" s="454"/>
      <c r="J118" s="453"/>
      <c r="K118" s="552" t="s">
        <v>68</v>
      </c>
      <c r="L118" s="453" t="s">
        <v>445</v>
      </c>
      <c r="M118" s="453"/>
      <c r="N118" s="456" t="s">
        <v>103</v>
      </c>
      <c r="O118" s="457">
        <v>66.12</v>
      </c>
      <c r="P118" s="457">
        <v>66.06</v>
      </c>
      <c r="Q118" s="457">
        <v>62.96</v>
      </c>
      <c r="R118" s="458">
        <v>64.98</v>
      </c>
      <c r="S118" s="459">
        <v>65.858999999999995</v>
      </c>
      <c r="T118" s="487">
        <v>65.14</v>
      </c>
      <c r="U118" s="461"/>
      <c r="V118" s="462">
        <v>500</v>
      </c>
      <c r="W118" s="463"/>
      <c r="X118" s="464" t="s">
        <v>484</v>
      </c>
      <c r="Y118" s="465" t="s">
        <v>80</v>
      </c>
      <c r="Z118" s="466" t="s">
        <v>485</v>
      </c>
      <c r="AA118" s="462" t="s">
        <v>59</v>
      </c>
      <c r="AB118" s="454" t="s">
        <v>92</v>
      </c>
      <c r="AC118" s="450"/>
      <c r="AD118" s="450"/>
      <c r="AE118" s="450"/>
      <c r="AF118" s="450"/>
      <c r="AG118" s="450"/>
      <c r="AH118" s="499" t="s">
        <v>176</v>
      </c>
      <c r="AI118" s="467"/>
      <c r="AJ118" s="467"/>
      <c r="AK118" s="467"/>
      <c r="AL118" s="467"/>
      <c r="AM118" s="467"/>
      <c r="AN118" s="467"/>
      <c r="AO118" s="565" t="s">
        <v>111</v>
      </c>
      <c r="AP118" s="467"/>
      <c r="AQ118" s="467"/>
      <c r="AR118" s="467"/>
      <c r="AS118" s="467"/>
      <c r="AT118" s="467"/>
      <c r="AU118" s="467"/>
      <c r="AV118" s="467"/>
      <c r="AW118" s="467"/>
      <c r="AX118" s="467"/>
      <c r="AY118" s="486">
        <f>COUNTIF(AI118:AX118,"*OP*")</f>
        <v>0</v>
      </c>
      <c r="AZ118" s="499" t="s">
        <v>176</v>
      </c>
      <c r="BA118" s="450">
        <f>(COUNTIF(AI118:AK118,"*OK*")*3) + (COUNTIF(AL118:AN118,"*OK*")*2) + COUNTIF(AO118:AQ118,"*OK*")+COUNTIF(AZ118:AZ118,"SI")*0.5</f>
        <v>1</v>
      </c>
      <c r="BB118" s="450" t="str">
        <f>IF(BA118&lt;0.6,"Demasiado Riesgo",IF(BA118&lt;=5,"Riesgo Medio",IF(BA118&lt;=11,"Riesgo Bajo","Cliente Blindado")))</f>
        <v>Riesgo Medio</v>
      </c>
      <c r="BC118" s="450"/>
      <c r="BD118" s="450"/>
      <c r="BE118" s="450">
        <v>0</v>
      </c>
      <c r="BF118" s="450"/>
      <c r="BG118" s="450"/>
      <c r="BH118" s="450"/>
      <c r="BI118" s="450"/>
      <c r="BJ118" s="450"/>
      <c r="BK118" s="450"/>
      <c r="BL118" s="450"/>
      <c r="BM118" s="450"/>
      <c r="BN118" s="450"/>
      <c r="BO118" s="450"/>
      <c r="BP118" s="450"/>
      <c r="BQ118" s="450"/>
      <c r="BR118" s="450"/>
      <c r="BS118" s="450"/>
      <c r="BT118" s="450"/>
      <c r="BU118" s="450"/>
      <c r="BV118" s="450"/>
      <c r="BW118" s="450"/>
      <c r="BX118" s="450"/>
      <c r="BY118" s="450"/>
      <c r="BZ118" s="450"/>
      <c r="CA118" s="450">
        <f>COUNTIF(AI118:AW118,"*OK*")</f>
        <v>1</v>
      </c>
      <c r="CB118" s="450"/>
      <c r="CC118" s="450">
        <f>COUNTIF(AI118:AW118,"*OP*")</f>
        <v>0</v>
      </c>
    </row>
    <row r="119" spans="1:81" ht="15" customHeight="1">
      <c r="A119" s="449">
        <v>25441</v>
      </c>
      <c r="B119" s="450" t="s">
        <v>486</v>
      </c>
      <c r="C119" s="451">
        <f>T119</f>
        <v>72</v>
      </c>
      <c r="D119" s="450">
        <f>COUNTIF(AI119:AW119,"*OK*")</f>
        <v>0</v>
      </c>
      <c r="E119" s="450"/>
      <c r="F119" s="453" t="s">
        <v>487</v>
      </c>
      <c r="G119" s="453"/>
      <c r="H119" s="454"/>
      <c r="I119" s="454"/>
      <c r="J119" s="453"/>
      <c r="K119" s="552" t="s">
        <v>68</v>
      </c>
      <c r="L119" s="453" t="s">
        <v>445</v>
      </c>
      <c r="M119" s="453"/>
      <c r="N119" s="456" t="s">
        <v>488</v>
      </c>
      <c r="O119" s="457">
        <v>102</v>
      </c>
      <c r="P119" s="457">
        <v>102</v>
      </c>
      <c r="Q119" s="457">
        <v>102</v>
      </c>
      <c r="R119" s="458">
        <v>96</v>
      </c>
      <c r="S119" s="459">
        <v>75</v>
      </c>
      <c r="T119" s="487">
        <v>72</v>
      </c>
      <c r="U119" s="461"/>
      <c r="V119" s="462">
        <v>200</v>
      </c>
      <c r="W119" s="463"/>
      <c r="X119" s="567" t="s">
        <v>70</v>
      </c>
      <c r="Y119" s="465" t="s">
        <v>360</v>
      </c>
      <c r="Z119" s="466" t="s">
        <v>489</v>
      </c>
      <c r="AA119" s="462" t="s">
        <v>59</v>
      </c>
      <c r="AB119" s="454" t="s">
        <v>97</v>
      </c>
      <c r="AC119" s="450"/>
      <c r="AD119" s="450"/>
      <c r="AE119" s="450"/>
      <c r="AF119" s="450"/>
      <c r="AG119" s="450"/>
      <c r="AH119" s="496" t="s">
        <v>127</v>
      </c>
      <c r="AI119" s="467"/>
      <c r="AJ119" s="467"/>
      <c r="AK119" s="467" t="s">
        <v>176</v>
      </c>
      <c r="AL119" s="467"/>
      <c r="AM119" s="467"/>
      <c r="AN119" s="467"/>
      <c r="AO119" s="467"/>
      <c r="AP119" s="467"/>
      <c r="AQ119" s="467"/>
      <c r="AR119" s="467"/>
      <c r="AS119" s="467"/>
      <c r="AT119" s="467"/>
      <c r="AU119" s="467"/>
      <c r="AV119" s="467"/>
      <c r="AW119" s="467"/>
      <c r="AX119" s="467" t="s">
        <v>171</v>
      </c>
      <c r="AY119" s="486">
        <f>COUNTIF(AI119:AX119,"*OP*")</f>
        <v>1</v>
      </c>
      <c r="AZ119" s="499" t="s">
        <v>176</v>
      </c>
      <c r="BA119" s="450">
        <f>(COUNTIF(AI119:AK119,"*OK*")*3) + (COUNTIF(AL119:AN119,"*OK*")*2) + COUNTIF(AO119:AQ119,"*OK*")+COUNTIF(AZ119:AZ119,"SI")*0.5</f>
        <v>0</v>
      </c>
      <c r="BB119" s="450" t="str">
        <f>IF(BA119&lt;0.6,"Demasiado Riesgo",IF(BA119&lt;=5,"Riesgo Medio",IF(BA119&lt;=11,"Riesgo Bajo","Cliente Blindado")))</f>
        <v>Demasiado Riesgo</v>
      </c>
      <c r="BC119" s="450"/>
      <c r="BD119" s="450"/>
      <c r="BE119" s="450">
        <v>0</v>
      </c>
      <c r="BF119" s="450"/>
      <c r="BG119" s="450"/>
      <c r="BH119" s="450"/>
      <c r="BI119" s="450"/>
      <c r="BJ119" s="450"/>
      <c r="BK119" s="450"/>
      <c r="BL119" s="450"/>
      <c r="BM119" s="450"/>
      <c r="BN119" s="450"/>
      <c r="BO119" s="450"/>
      <c r="BP119" s="450"/>
      <c r="BQ119" s="450"/>
      <c r="BR119" s="450"/>
      <c r="BS119" s="450"/>
      <c r="BT119" s="450"/>
      <c r="BU119" s="450"/>
      <c r="BV119" s="450"/>
      <c r="BW119" s="450"/>
      <c r="BX119" s="450"/>
      <c r="BY119" s="450"/>
      <c r="BZ119" s="450"/>
      <c r="CA119" s="450">
        <f>COUNTIF(AI119:AW119,"*OK*")</f>
        <v>0</v>
      </c>
      <c r="CB119" s="450"/>
      <c r="CC119" s="450">
        <f>COUNTIF(AI119:AW119,"*OP*")</f>
        <v>0</v>
      </c>
    </row>
    <row r="120" spans="1:81" ht="15" customHeight="1">
      <c r="A120" s="488">
        <v>22030</v>
      </c>
      <c r="B120" s="489"/>
      <c r="C120" s="451">
        <f>T120</f>
        <v>79.739999999999995</v>
      </c>
      <c r="D120" s="450">
        <f>COUNTIF(AI120:AW120,"*OK*")</f>
        <v>0</v>
      </c>
      <c r="E120" s="450"/>
      <c r="F120" s="453" t="s">
        <v>490</v>
      </c>
      <c r="G120" s="453" t="s">
        <v>465</v>
      </c>
      <c r="H120" s="454"/>
      <c r="I120" s="454"/>
      <c r="J120" s="453"/>
      <c r="K120" s="455" t="s">
        <v>68</v>
      </c>
      <c r="L120" s="453" t="s">
        <v>445</v>
      </c>
      <c r="M120" s="453"/>
      <c r="N120" s="456" t="s">
        <v>65</v>
      </c>
      <c r="O120" s="457">
        <v>86.88</v>
      </c>
      <c r="P120" s="457">
        <v>82.85</v>
      </c>
      <c r="Q120" s="457">
        <v>84.6</v>
      </c>
      <c r="R120" s="458">
        <v>83.44</v>
      </c>
      <c r="S120" s="459">
        <v>78.661100000000005</v>
      </c>
      <c r="T120" s="490">
        <v>79.739999999999995</v>
      </c>
      <c r="U120" s="461"/>
      <c r="V120" s="462">
        <v>150</v>
      </c>
      <c r="W120" s="463"/>
      <c r="X120" s="464" t="s">
        <v>100</v>
      </c>
      <c r="Y120" s="465" t="s">
        <v>161</v>
      </c>
      <c r="Z120" s="466" t="s">
        <v>491</v>
      </c>
      <c r="AA120" s="462" t="s">
        <v>59</v>
      </c>
      <c r="AB120" s="454" t="s">
        <v>92</v>
      </c>
      <c r="AC120" s="450"/>
      <c r="AD120" s="450"/>
      <c r="AE120" s="450"/>
      <c r="AF120" s="450"/>
      <c r="AG120" s="450"/>
      <c r="AH120" s="496" t="s">
        <v>127</v>
      </c>
      <c r="AI120" s="467"/>
      <c r="AJ120" s="467"/>
      <c r="AK120" s="467"/>
      <c r="AL120" s="467"/>
      <c r="AM120" s="467"/>
      <c r="AN120" s="467"/>
      <c r="AO120" s="467"/>
      <c r="AP120" s="467"/>
      <c r="AQ120" s="467"/>
      <c r="AR120" s="467"/>
      <c r="AS120" s="467"/>
      <c r="AT120" s="467"/>
      <c r="AU120" s="467"/>
      <c r="AV120" s="467"/>
      <c r="AW120" s="467"/>
      <c r="AX120" s="467"/>
      <c r="AY120" s="486">
        <f>COUNTIF(AI120:AX120,"*OP*")</f>
        <v>0</v>
      </c>
      <c r="AZ120" s="499" t="s">
        <v>176</v>
      </c>
      <c r="BA120" s="450">
        <f>(COUNTIF(AI120:AK120,"*OK*")*3) + (COUNTIF(AL120:AN120,"*OK*")*2) + COUNTIF(AO120:AQ120,"*OK*")+COUNTIF(AZ120:AZ120,"SI")*0.5</f>
        <v>0</v>
      </c>
      <c r="BB120" s="450" t="str">
        <f>IF(BA120&lt;0.6,"Demasiado Riesgo",IF(BA120&lt;=5,"Riesgo Medio",IF(BA120&lt;=11,"Riesgo Bajo","Cliente Blindado")))</f>
        <v>Demasiado Riesgo</v>
      </c>
      <c r="BC120" s="450"/>
      <c r="BD120" s="450"/>
      <c r="BE120" s="450">
        <v>0</v>
      </c>
      <c r="BF120" s="450"/>
      <c r="BG120" s="450"/>
      <c r="BH120" s="450"/>
      <c r="BI120" s="450"/>
      <c r="BJ120" s="450"/>
      <c r="BK120" s="450"/>
      <c r="BL120" s="450"/>
      <c r="BM120" s="450"/>
      <c r="BN120" s="450"/>
      <c r="BO120" s="450"/>
      <c r="BP120" s="450"/>
      <c r="BQ120" s="450"/>
      <c r="BR120" s="450"/>
      <c r="BS120" s="450"/>
      <c r="BT120" s="450"/>
      <c r="BU120" s="450"/>
      <c r="BV120" s="450"/>
      <c r="BW120" s="450"/>
      <c r="BX120" s="450"/>
      <c r="BY120" s="450"/>
      <c r="BZ120" s="450"/>
      <c r="CA120" s="450">
        <f>COUNTIF(AI120:AW120,"*OK*")</f>
        <v>0</v>
      </c>
      <c r="CB120" s="450"/>
      <c r="CC120" s="450">
        <f>COUNTIF(AI120:AW120,"*OP*")</f>
        <v>0</v>
      </c>
    </row>
    <row r="121" spans="1:81" ht="15" customHeight="1">
      <c r="A121" s="470">
        <v>23195</v>
      </c>
      <c r="B121" s="471" t="s">
        <v>492</v>
      </c>
      <c r="C121" s="451">
        <f>T121</f>
        <v>83.96</v>
      </c>
      <c r="D121" s="471">
        <f>COUNTIF(AI121:AW121,"*OK*")</f>
        <v>0</v>
      </c>
      <c r="E121" s="471"/>
      <c r="F121" s="473" t="s">
        <v>493</v>
      </c>
      <c r="G121" s="473"/>
      <c r="H121" s="474"/>
      <c r="I121" s="474"/>
      <c r="J121" s="473"/>
      <c r="K121" s="556" t="s">
        <v>68</v>
      </c>
      <c r="L121" s="473" t="s">
        <v>445</v>
      </c>
      <c r="M121" s="473"/>
      <c r="N121" s="476" t="s">
        <v>65</v>
      </c>
      <c r="O121" s="477">
        <v>82.73</v>
      </c>
      <c r="P121" s="477">
        <v>86.41</v>
      </c>
      <c r="Q121" s="477">
        <v>82.35</v>
      </c>
      <c r="R121" s="478">
        <v>80.069999999999993</v>
      </c>
      <c r="S121" s="459">
        <v>83.644999999999996</v>
      </c>
      <c r="T121" s="460">
        <v>83.96</v>
      </c>
      <c r="U121" s="479"/>
      <c r="V121" s="480">
        <v>100</v>
      </c>
      <c r="W121" s="481"/>
      <c r="X121" s="572" t="s">
        <v>70</v>
      </c>
      <c r="Y121" s="483" t="s">
        <v>89</v>
      </c>
      <c r="Z121" s="484" t="s">
        <v>494</v>
      </c>
      <c r="AA121" s="480" t="s">
        <v>59</v>
      </c>
      <c r="AB121" s="474" t="s">
        <v>84</v>
      </c>
      <c r="AC121" s="471"/>
      <c r="AD121" s="471"/>
      <c r="AE121" s="471"/>
      <c r="AF121" s="471"/>
      <c r="AG121" s="471"/>
      <c r="AH121" s="494" t="s">
        <v>127</v>
      </c>
      <c r="AI121" s="467"/>
      <c r="AJ121" s="467"/>
      <c r="AK121" s="467"/>
      <c r="AL121" s="467"/>
      <c r="AM121" s="467"/>
      <c r="AN121" s="467"/>
      <c r="AO121" s="467"/>
      <c r="AP121" s="467"/>
      <c r="AQ121" s="467"/>
      <c r="AR121" s="467"/>
      <c r="AS121" s="467"/>
      <c r="AT121" s="467"/>
      <c r="AU121" s="467"/>
      <c r="AV121" s="467"/>
      <c r="AW121" s="467"/>
      <c r="AX121" s="467"/>
      <c r="AY121" s="468">
        <f>COUNTIF(AI121:AX121,"*OP*")</f>
        <v>0</v>
      </c>
      <c r="AZ121" s="484" t="s">
        <v>176</v>
      </c>
      <c r="BA121" s="471">
        <f>(COUNTIF(AI121:AK121,"*OK*")*3) + (COUNTIF(AL121:AN121,"*OK*")*2) + COUNTIF(AO121:AQ121,"*OK*")+COUNTIF(AZ121:AZ121,"SI")*0.5</f>
        <v>0</v>
      </c>
      <c r="BB121" s="471" t="str">
        <f>IF(BA121&lt;0.6,"Demasiado Riesgo",IF(BA121&lt;=5,"Riesgo Medio",IF(BA121&lt;=11,"Riesgo Bajo","Cliente Blindado")))</f>
        <v>Demasiado Riesgo</v>
      </c>
      <c r="BC121" s="471"/>
      <c r="BD121" s="471"/>
      <c r="BE121" s="471">
        <v>0</v>
      </c>
      <c r="BF121" s="471"/>
      <c r="BG121" s="471"/>
      <c r="BH121" s="471"/>
      <c r="BI121" s="471"/>
      <c r="BJ121" s="471"/>
      <c r="BK121" s="471"/>
      <c r="BL121" s="471"/>
      <c r="BM121" s="471"/>
      <c r="BN121" s="471"/>
      <c r="BO121" s="471"/>
      <c r="BP121" s="471"/>
      <c r="BQ121" s="471"/>
      <c r="BR121" s="471"/>
      <c r="BS121" s="471"/>
      <c r="BT121" s="471"/>
      <c r="BU121" s="471"/>
      <c r="BV121" s="471"/>
      <c r="BW121" s="471"/>
      <c r="BX121" s="471"/>
      <c r="BY121" s="471"/>
      <c r="BZ121" s="471"/>
      <c r="CA121" s="471">
        <f>COUNTIF(AI121:AW121,"*OK*")</f>
        <v>0</v>
      </c>
      <c r="CB121" s="471"/>
      <c r="CC121" s="471">
        <f>COUNTIF(AI121:AW121,"*OP*")</f>
        <v>0</v>
      </c>
    </row>
    <row r="122" spans="1:81" ht="15" customHeight="1">
      <c r="A122" s="597"/>
      <c r="B122" s="598"/>
      <c r="C122" s="451">
        <f>T122</f>
        <v>87.52</v>
      </c>
      <c r="D122" s="471">
        <f>COUNTIF(AI122:AW122,"*OK*")</f>
        <v>0</v>
      </c>
      <c r="E122" s="471"/>
      <c r="F122" s="473" t="s">
        <v>495</v>
      </c>
      <c r="G122" s="473" t="s">
        <v>465</v>
      </c>
      <c r="H122" s="474"/>
      <c r="I122" s="474"/>
      <c r="J122" s="473"/>
      <c r="K122" s="475" t="s">
        <v>68</v>
      </c>
      <c r="L122" s="473" t="s">
        <v>445</v>
      </c>
      <c r="M122" s="473"/>
      <c r="N122" s="476" t="s">
        <v>65</v>
      </c>
      <c r="O122" s="477">
        <v>96.75</v>
      </c>
      <c r="P122" s="477">
        <v>98.63</v>
      </c>
      <c r="Q122" s="477">
        <v>97.76</v>
      </c>
      <c r="R122" s="478">
        <v>97.02</v>
      </c>
      <c r="S122" s="459">
        <v>90.460300000000004</v>
      </c>
      <c r="T122" s="469">
        <v>87.52</v>
      </c>
      <c r="U122" s="479"/>
      <c r="V122" s="480">
        <v>150</v>
      </c>
      <c r="W122" s="481"/>
      <c r="X122" s="572" t="s">
        <v>70</v>
      </c>
      <c r="Y122" s="483" t="s">
        <v>161</v>
      </c>
      <c r="Z122" s="484" t="s">
        <v>496</v>
      </c>
      <c r="AA122" s="480" t="s">
        <v>59</v>
      </c>
      <c r="AB122" s="474" t="s">
        <v>92</v>
      </c>
      <c r="AC122" s="471"/>
      <c r="AD122" s="471"/>
      <c r="AE122" s="471"/>
      <c r="AF122" s="471"/>
      <c r="AG122" s="471"/>
      <c r="AH122" s="484" t="s">
        <v>59</v>
      </c>
      <c r="AI122" s="467"/>
      <c r="AJ122" s="467"/>
      <c r="AK122" s="467"/>
      <c r="AL122" s="467"/>
      <c r="AM122" s="467"/>
      <c r="AN122" s="467"/>
      <c r="AO122" s="467"/>
      <c r="AP122" s="467"/>
      <c r="AQ122" s="467"/>
      <c r="AR122" s="467"/>
      <c r="AS122" s="467"/>
      <c r="AT122" s="467"/>
      <c r="AU122" s="467"/>
      <c r="AV122" s="467"/>
      <c r="AW122" s="467"/>
      <c r="AX122" s="467"/>
      <c r="AY122" s="468">
        <f>COUNTIF(AI122:AX122,"*OP*")</f>
        <v>0</v>
      </c>
      <c r="AZ122" s="484" t="s">
        <v>59</v>
      </c>
      <c r="BA122" s="471">
        <f>(COUNTIF(AI122:AK122,"*OK*")*3) + (COUNTIF(AL122:AN122,"*OK*")*2) + COUNTIF(AO122:AQ122,"*OK*")+COUNTIF(AZ122:AZ122,"SI")*0.5</f>
        <v>0</v>
      </c>
      <c r="BB122" s="471" t="str">
        <f>IF(BA122&lt;0.6,"Demasiado Riesgo",IF(BA122&lt;=5,"Riesgo Medio",IF(BA122&lt;=11,"Riesgo Bajo","Cliente Blindado")))</f>
        <v>Demasiado Riesgo</v>
      </c>
      <c r="BC122" s="471"/>
      <c r="BD122" s="471"/>
      <c r="BE122" s="471">
        <v>0</v>
      </c>
      <c r="BF122" s="471"/>
      <c r="BG122" s="471"/>
      <c r="BH122" s="471"/>
      <c r="BI122" s="471"/>
      <c r="BJ122" s="471"/>
      <c r="BK122" s="471"/>
      <c r="BL122" s="471"/>
      <c r="BM122" s="471"/>
      <c r="BN122" s="471"/>
      <c r="BO122" s="471"/>
      <c r="BP122" s="471"/>
      <c r="BQ122" s="471"/>
      <c r="BR122" s="471"/>
      <c r="BS122" s="471"/>
      <c r="BT122" s="471"/>
      <c r="BU122" s="471"/>
      <c r="BV122" s="471"/>
      <c r="BW122" s="471"/>
      <c r="BX122" s="471"/>
      <c r="BY122" s="471"/>
      <c r="BZ122" s="471"/>
      <c r="CA122" s="471">
        <f>COUNTIF(AI122:AW122,"*OK*")</f>
        <v>0</v>
      </c>
      <c r="CB122" s="471"/>
      <c r="CC122" s="471">
        <f>COUNTIF(AI122:AW122,"*OP*")</f>
        <v>0</v>
      </c>
    </row>
    <row r="123" spans="1:81" ht="15" customHeight="1">
      <c r="A123" s="449">
        <v>2418</v>
      </c>
      <c r="B123" s="450" t="s">
        <v>497</v>
      </c>
      <c r="C123" s="451">
        <f>T123</f>
        <v>89.1</v>
      </c>
      <c r="D123" s="450">
        <f>COUNTIF(AI123:AW123,"*OK*")</f>
        <v>0</v>
      </c>
      <c r="E123" s="450"/>
      <c r="F123" s="453" t="s">
        <v>498</v>
      </c>
      <c r="G123" s="453"/>
      <c r="H123" s="454" t="s">
        <v>499</v>
      </c>
      <c r="I123" s="454"/>
      <c r="J123" s="453"/>
      <c r="K123" s="552" t="s">
        <v>68</v>
      </c>
      <c r="L123" s="453" t="s">
        <v>445</v>
      </c>
      <c r="M123" s="453"/>
      <c r="N123" s="456" t="s">
        <v>500</v>
      </c>
      <c r="O123" s="457">
        <v>97.35</v>
      </c>
      <c r="P123" s="457">
        <v>99</v>
      </c>
      <c r="Q123" s="457">
        <v>105.6</v>
      </c>
      <c r="R123" s="458">
        <v>97.35</v>
      </c>
      <c r="S123" s="459">
        <v>100.65</v>
      </c>
      <c r="T123" s="487">
        <v>89.1</v>
      </c>
      <c r="U123" s="461"/>
      <c r="V123" s="462">
        <v>500</v>
      </c>
      <c r="W123" s="463"/>
      <c r="X123" s="567" t="s">
        <v>70</v>
      </c>
      <c r="Y123" s="465" t="s">
        <v>241</v>
      </c>
      <c r="Z123" s="466" t="s">
        <v>501</v>
      </c>
      <c r="AA123" s="462" t="s">
        <v>59</v>
      </c>
      <c r="AB123" s="454" t="s">
        <v>92</v>
      </c>
      <c r="AC123" s="450"/>
      <c r="AD123" s="450"/>
      <c r="AE123" s="450"/>
      <c r="AF123" s="450"/>
      <c r="AG123" s="450"/>
      <c r="AH123" s="499" t="s">
        <v>127</v>
      </c>
      <c r="AI123" s="467"/>
      <c r="AJ123" s="467"/>
      <c r="AK123" s="467"/>
      <c r="AL123" s="467"/>
      <c r="AM123" s="467"/>
      <c r="AN123" s="467"/>
      <c r="AO123" s="467"/>
      <c r="AP123" s="467"/>
      <c r="AQ123" s="467"/>
      <c r="AR123" s="467"/>
      <c r="AS123" s="467"/>
      <c r="AT123" s="467"/>
      <c r="AU123" s="467"/>
      <c r="AV123" s="467"/>
      <c r="AW123" s="467"/>
      <c r="AX123" s="467"/>
      <c r="AY123" s="486">
        <f>COUNTIF(AI123:AX123,"*OP*")</f>
        <v>0</v>
      </c>
      <c r="AZ123" s="499" t="s">
        <v>176</v>
      </c>
      <c r="BA123" s="450">
        <f>(COUNTIF(AI123:AK123,"*OK*")*3) + (COUNTIF(AL123:AN123,"*OK*")*2) + COUNTIF(AO123:AQ123,"*OK*")+COUNTIF(AZ123:AZ123,"SI")*0.5</f>
        <v>0</v>
      </c>
      <c r="BB123" s="450" t="str">
        <f>IF(BA123&lt;0.6,"Demasiado Riesgo",IF(BA123&lt;=5,"Riesgo Medio",IF(BA123&lt;=11,"Riesgo Bajo","Cliente Blindado")))</f>
        <v>Demasiado Riesgo</v>
      </c>
      <c r="BC123" s="450"/>
      <c r="BD123" s="450"/>
      <c r="BE123" s="450">
        <v>0</v>
      </c>
      <c r="BF123" s="450"/>
      <c r="BG123" s="450"/>
      <c r="BH123" s="450"/>
      <c r="BI123" s="450"/>
      <c r="BJ123" s="450"/>
      <c r="BK123" s="450"/>
      <c r="BL123" s="450"/>
      <c r="BM123" s="450"/>
      <c r="BN123" s="450"/>
      <c r="BO123" s="450"/>
      <c r="BP123" s="450"/>
      <c r="BQ123" s="450"/>
      <c r="BR123" s="450"/>
      <c r="BS123" s="450"/>
      <c r="BT123" s="450"/>
      <c r="BU123" s="450"/>
      <c r="BV123" s="450"/>
      <c r="BW123" s="450"/>
      <c r="BX123" s="450"/>
      <c r="BY123" s="450"/>
      <c r="BZ123" s="450"/>
      <c r="CA123" s="450">
        <f>COUNTIF(AI123:AW123,"*OK*")</f>
        <v>0</v>
      </c>
      <c r="CB123" s="450"/>
      <c r="CC123" s="450">
        <f>COUNTIF(AI123:AW123,"*OP*")</f>
        <v>0</v>
      </c>
    </row>
    <row r="124" spans="1:81" ht="15" customHeight="1">
      <c r="A124" s="470"/>
      <c r="B124" s="471"/>
      <c r="C124" s="451">
        <f>T124</f>
        <v>89.82</v>
      </c>
      <c r="D124" s="471">
        <f>COUNTIF(AI124:AW124,"*OK*")</f>
        <v>0</v>
      </c>
      <c r="E124" s="471"/>
      <c r="F124" s="473" t="s">
        <v>502</v>
      </c>
      <c r="G124" s="473" t="s">
        <v>469</v>
      </c>
      <c r="H124" s="474"/>
      <c r="I124" s="474"/>
      <c r="J124" s="473"/>
      <c r="K124" s="556" t="s">
        <v>68</v>
      </c>
      <c r="L124" s="473" t="s">
        <v>445</v>
      </c>
      <c r="M124" s="473"/>
      <c r="N124" s="476" t="s">
        <v>65</v>
      </c>
      <c r="O124" s="477">
        <v>94.49</v>
      </c>
      <c r="P124" s="477">
        <v>87.8</v>
      </c>
      <c r="Q124" s="477">
        <v>83.67</v>
      </c>
      <c r="R124" s="478">
        <v>86.36</v>
      </c>
      <c r="S124" s="459">
        <v>87.523200000000003</v>
      </c>
      <c r="T124" s="460">
        <v>89.82</v>
      </c>
      <c r="U124" s="479"/>
      <c r="V124" s="480">
        <v>100</v>
      </c>
      <c r="W124" s="481"/>
      <c r="X124" s="483" t="s">
        <v>251</v>
      </c>
      <c r="Y124" s="483" t="s">
        <v>71</v>
      </c>
      <c r="Z124" s="484" t="s">
        <v>503</v>
      </c>
      <c r="AA124" s="480" t="s">
        <v>59</v>
      </c>
      <c r="AB124" s="474" t="s">
        <v>92</v>
      </c>
      <c r="AC124" s="471"/>
      <c r="AD124" s="471"/>
      <c r="AE124" s="471"/>
      <c r="AF124" s="471"/>
      <c r="AG124" s="471"/>
      <c r="AH124" s="484" t="s">
        <v>127</v>
      </c>
      <c r="AI124" s="467"/>
      <c r="AJ124" s="467"/>
      <c r="AK124" s="467"/>
      <c r="AL124" s="467"/>
      <c r="AM124" s="467"/>
      <c r="AN124" s="467"/>
      <c r="AO124" s="467"/>
      <c r="AP124" s="467"/>
      <c r="AQ124" s="467"/>
      <c r="AR124" s="467"/>
      <c r="AS124" s="467"/>
      <c r="AT124" s="467"/>
      <c r="AU124" s="467"/>
      <c r="AV124" s="467"/>
      <c r="AW124" s="467"/>
      <c r="AX124" s="467"/>
      <c r="AY124" s="468">
        <f>COUNTIF(AI124:AX124,"*OP*")</f>
        <v>0</v>
      </c>
      <c r="AZ124" s="484" t="s">
        <v>127</v>
      </c>
      <c r="BA124" s="471">
        <f>(COUNTIF(AI124:AK124,"*OK*")*3) + (COUNTIF(AL124:AN124,"*OK*")*2) + COUNTIF(AO124:AQ124,"*OK*")+COUNTIF(AZ124:AZ124,"SI")*0.5</f>
        <v>0.5</v>
      </c>
      <c r="BB124" s="471" t="str">
        <f>IF(BA124&lt;0.6,"Demasiado Riesgo",IF(BA124&lt;=5,"Riesgo Medio",IF(BA124&lt;=11,"Riesgo Bajo","Cliente Blindado")))</f>
        <v>Demasiado Riesgo</v>
      </c>
      <c r="BC124" s="471"/>
      <c r="BD124" s="471"/>
      <c r="BE124" s="471">
        <v>0</v>
      </c>
      <c r="BF124" s="471"/>
      <c r="BG124" s="471"/>
      <c r="BH124" s="471"/>
      <c r="BI124" s="471"/>
      <c r="BJ124" s="471"/>
      <c r="BK124" s="471"/>
      <c r="BL124" s="471"/>
      <c r="BM124" s="471"/>
      <c r="BN124" s="471"/>
      <c r="BO124" s="471"/>
      <c r="BP124" s="471"/>
      <c r="BQ124" s="471"/>
      <c r="BR124" s="471"/>
      <c r="BS124" s="471"/>
      <c r="BT124" s="471"/>
      <c r="BU124" s="471"/>
      <c r="BV124" s="471"/>
      <c r="BW124" s="471"/>
      <c r="BX124" s="471"/>
      <c r="BY124" s="471"/>
      <c r="BZ124" s="471"/>
      <c r="CA124" s="471">
        <f>COUNTIF(AI124:AW124,"*OK*")</f>
        <v>0</v>
      </c>
      <c r="CB124" s="471"/>
      <c r="CC124" s="471">
        <f>COUNTIF(AI124:AW124,"*OP*")</f>
        <v>0</v>
      </c>
    </row>
    <row r="125" spans="1:81" ht="15" customHeight="1">
      <c r="A125" s="449"/>
      <c r="B125" s="450"/>
      <c r="C125" s="451">
        <f>T125</f>
        <v>102.7</v>
      </c>
      <c r="D125" s="450">
        <f>COUNTIF(AI125:AW125,"*OK*")</f>
        <v>0</v>
      </c>
      <c r="E125" s="450"/>
      <c r="F125" s="576" t="s">
        <v>504</v>
      </c>
      <c r="G125" s="453"/>
      <c r="H125" s="454" t="s">
        <v>505</v>
      </c>
      <c r="I125" s="454"/>
      <c r="J125" s="453"/>
      <c r="K125" s="552" t="s">
        <v>68</v>
      </c>
      <c r="L125" s="453" t="s">
        <v>445</v>
      </c>
      <c r="M125" s="453"/>
      <c r="N125" s="456" t="s">
        <v>65</v>
      </c>
      <c r="O125" s="457">
        <v>258.70999999999998</v>
      </c>
      <c r="P125" s="457">
        <v>270.05</v>
      </c>
      <c r="Q125" s="457">
        <v>242.64</v>
      </c>
      <c r="R125" s="458">
        <v>79.69</v>
      </c>
      <c r="S125" s="459">
        <v>103.8372</v>
      </c>
      <c r="T125" s="487">
        <v>102.7</v>
      </c>
      <c r="U125" s="461"/>
      <c r="V125" s="462">
        <v>100</v>
      </c>
      <c r="W125" s="463"/>
      <c r="X125" s="567" t="s">
        <v>70</v>
      </c>
      <c r="Y125" s="465" t="s">
        <v>71</v>
      </c>
      <c r="Z125" s="466" t="s">
        <v>506</v>
      </c>
      <c r="AA125" s="462" t="s">
        <v>59</v>
      </c>
      <c r="AB125" s="454" t="s">
        <v>97</v>
      </c>
      <c r="AC125" s="450"/>
      <c r="AD125" s="450"/>
      <c r="AE125" s="450"/>
      <c r="AF125" s="450"/>
      <c r="AG125" s="450"/>
      <c r="AH125" s="466" t="s">
        <v>59</v>
      </c>
      <c r="AI125" s="467"/>
      <c r="AJ125" s="467"/>
      <c r="AK125" s="467"/>
      <c r="AL125" s="467"/>
      <c r="AM125" s="467"/>
      <c r="AN125" s="467"/>
      <c r="AO125" s="467"/>
      <c r="AP125" s="467"/>
      <c r="AQ125" s="467"/>
      <c r="AR125" s="467"/>
      <c r="AS125" s="467"/>
      <c r="AT125" s="467"/>
      <c r="AU125" s="467"/>
      <c r="AV125" s="467"/>
      <c r="AW125" s="467"/>
      <c r="AX125" s="467" t="s">
        <v>171</v>
      </c>
      <c r="AY125" s="468">
        <f>COUNTIF(AI125:AX125,"*OP*")</f>
        <v>1</v>
      </c>
      <c r="AZ125" s="466" t="s">
        <v>59</v>
      </c>
      <c r="BA125" s="450">
        <f>(COUNTIF(AI125:AK125,"*OK*")*3) + (COUNTIF(AL125:AN125,"*OK*")*2) + COUNTIF(AO125:AQ125,"*OK*")+COUNTIF(AZ125:AZ125,"SI")*0.5</f>
        <v>0</v>
      </c>
      <c r="BB125" s="450" t="str">
        <f>IF(BA125&lt;0.6,"Demasiado Riesgo",IF(BA125&lt;=5,"Riesgo Medio",IF(BA125&lt;=11,"Riesgo Bajo","Cliente Blindado")))</f>
        <v>Demasiado Riesgo</v>
      </c>
      <c r="BC125" s="450"/>
      <c r="BD125" s="450"/>
      <c r="BE125" s="450">
        <v>0</v>
      </c>
      <c r="BF125" s="450"/>
      <c r="BG125" s="450"/>
      <c r="BH125" s="450"/>
      <c r="BI125" s="450"/>
      <c r="BJ125" s="450"/>
      <c r="BK125" s="450"/>
      <c r="BL125" s="450"/>
      <c r="BM125" s="450"/>
      <c r="BN125" s="450"/>
      <c r="BO125" s="450"/>
      <c r="BP125" s="450"/>
      <c r="BQ125" s="450"/>
      <c r="BR125" s="450"/>
      <c r="BS125" s="450"/>
      <c r="BT125" s="450"/>
      <c r="BU125" s="450"/>
      <c r="BV125" s="450"/>
      <c r="BW125" s="450"/>
      <c r="BX125" s="450"/>
      <c r="BY125" s="450"/>
      <c r="BZ125" s="450"/>
      <c r="CA125" s="450">
        <f>COUNTIF(AI125:AW125,"*OK*")</f>
        <v>0</v>
      </c>
      <c r="CB125" s="450"/>
      <c r="CC125" s="450">
        <f>COUNTIF(AI125:AW125,"*OP*")</f>
        <v>0</v>
      </c>
    </row>
    <row r="126" spans="1:81" ht="15" customHeight="1">
      <c r="A126" s="449">
        <v>28896</v>
      </c>
      <c r="B126" s="450" t="s">
        <v>507</v>
      </c>
      <c r="C126" s="451">
        <f>T126</f>
        <v>109.31</v>
      </c>
      <c r="D126" s="450">
        <f>COUNTIF(AI126:AW126,"*OK*")</f>
        <v>0</v>
      </c>
      <c r="E126" s="450"/>
      <c r="F126" s="453" t="s">
        <v>508</v>
      </c>
      <c r="G126" s="453"/>
      <c r="H126" s="454"/>
      <c r="I126" s="454"/>
      <c r="J126" s="453"/>
      <c r="K126" s="552" t="s">
        <v>68</v>
      </c>
      <c r="L126" s="453" t="s">
        <v>445</v>
      </c>
      <c r="M126" s="453"/>
      <c r="N126" s="456" t="s">
        <v>191</v>
      </c>
      <c r="O126" s="457">
        <v>129.91</v>
      </c>
      <c r="P126" s="457">
        <v>124.38</v>
      </c>
      <c r="Q126" s="457">
        <v>118.54</v>
      </c>
      <c r="R126" s="458">
        <v>109.05</v>
      </c>
      <c r="S126" s="459">
        <v>110.51949999999999</v>
      </c>
      <c r="T126" s="487">
        <v>109.31</v>
      </c>
      <c r="U126" s="461"/>
      <c r="V126" s="462">
        <v>150</v>
      </c>
      <c r="W126" s="463"/>
      <c r="X126" s="464" t="s">
        <v>283</v>
      </c>
      <c r="Y126" s="465" t="s">
        <v>125</v>
      </c>
      <c r="Z126" s="466" t="s">
        <v>509</v>
      </c>
      <c r="AA126" s="462" t="s">
        <v>59</v>
      </c>
      <c r="AB126" s="454" t="s">
        <v>97</v>
      </c>
      <c r="AC126" s="450"/>
      <c r="AD126" s="450"/>
      <c r="AE126" s="450"/>
      <c r="AF126" s="450"/>
      <c r="AG126" s="450"/>
      <c r="AH126" s="499" t="s">
        <v>59</v>
      </c>
      <c r="AI126" s="467"/>
      <c r="AJ126" s="467"/>
      <c r="AK126" s="467" t="s">
        <v>171</v>
      </c>
      <c r="AL126" s="467"/>
      <c r="AM126" s="467"/>
      <c r="AN126" s="467"/>
      <c r="AO126" s="467"/>
      <c r="AP126" s="467"/>
      <c r="AQ126" s="467"/>
      <c r="AR126" s="467"/>
      <c r="AS126" s="467"/>
      <c r="AT126" s="467"/>
      <c r="AU126" s="467"/>
      <c r="AV126" s="467"/>
      <c r="AW126" s="467"/>
      <c r="AX126" s="467"/>
      <c r="AY126" s="468">
        <f>COUNTIF(AI126:AX126,"*OP*")</f>
        <v>1</v>
      </c>
      <c r="AZ126" s="466" t="s">
        <v>176</v>
      </c>
      <c r="BA126" s="450">
        <f>(COUNTIF(AI126:AK126,"*OK*")*3) + (COUNTIF(AL126:AN126,"*OK*")*2) + COUNTIF(AO126:AQ126,"*OK*")+COUNTIF(AZ126:AZ126,"SI")*0.5</f>
        <v>0</v>
      </c>
      <c r="BB126" s="450" t="str">
        <f>IF(BA126&lt;0.6,"Demasiado Riesgo",IF(BA126&lt;=5,"Riesgo Medio",IF(BA126&lt;=11,"Riesgo Bajo","Cliente Blindado")))</f>
        <v>Demasiado Riesgo</v>
      </c>
      <c r="BC126" s="450"/>
      <c r="BD126" s="450"/>
      <c r="BE126" s="450">
        <v>0</v>
      </c>
      <c r="BF126" s="450"/>
      <c r="BG126" s="450"/>
      <c r="BH126" s="450"/>
      <c r="BI126" s="450"/>
      <c r="BJ126" s="450"/>
      <c r="BK126" s="450"/>
      <c r="BL126" s="450"/>
      <c r="BM126" s="450"/>
      <c r="BN126" s="450"/>
      <c r="BO126" s="450"/>
      <c r="BP126" s="450"/>
      <c r="BQ126" s="450"/>
      <c r="BR126" s="450"/>
      <c r="BS126" s="450"/>
      <c r="BT126" s="450"/>
      <c r="BU126" s="450"/>
      <c r="BV126" s="450"/>
      <c r="BW126" s="450"/>
      <c r="BX126" s="450"/>
      <c r="BY126" s="450"/>
      <c r="BZ126" s="450"/>
      <c r="CA126" s="450">
        <f>COUNTIF(AI126:AW126,"*OK*")</f>
        <v>0</v>
      </c>
      <c r="CB126" s="450"/>
      <c r="CC126" s="450">
        <f>COUNTIF(AI126:AW126,"*OP*")</f>
        <v>1</v>
      </c>
    </row>
    <row r="127" spans="1:81" ht="15" customHeight="1">
      <c r="A127" s="470">
        <v>25626</v>
      </c>
      <c r="B127" s="471" t="s">
        <v>510</v>
      </c>
      <c r="C127" s="451">
        <f>T127</f>
        <v>116.69</v>
      </c>
      <c r="D127" s="471">
        <f>COUNTIF(AI127:AW127,"*OK*")</f>
        <v>0</v>
      </c>
      <c r="E127" s="471"/>
      <c r="F127" s="473" t="s">
        <v>511</v>
      </c>
      <c r="G127" s="473"/>
      <c r="H127" s="474"/>
      <c r="I127" s="474"/>
      <c r="J127" s="473"/>
      <c r="K127" s="556" t="s">
        <v>68</v>
      </c>
      <c r="L127" s="473" t="s">
        <v>445</v>
      </c>
      <c r="M127" s="473"/>
      <c r="N127" s="476" t="s">
        <v>237</v>
      </c>
      <c r="O127" s="477">
        <v>107.49</v>
      </c>
      <c r="P127" s="477">
        <v>103.01</v>
      </c>
      <c r="Q127" s="477">
        <v>104.43</v>
      </c>
      <c r="R127" s="478">
        <v>109.95</v>
      </c>
      <c r="S127" s="459">
        <v>126.7243</v>
      </c>
      <c r="T127" s="469">
        <v>116.69</v>
      </c>
      <c r="U127" s="479"/>
      <c r="V127" s="480">
        <v>200</v>
      </c>
      <c r="W127" s="481"/>
      <c r="X127" s="572" t="s">
        <v>70</v>
      </c>
      <c r="Y127" s="483" t="s">
        <v>161</v>
      </c>
      <c r="Z127" s="484" t="s">
        <v>512</v>
      </c>
      <c r="AA127" s="480" t="s">
        <v>161</v>
      </c>
      <c r="AB127" s="474" t="s">
        <v>92</v>
      </c>
      <c r="AC127" s="471"/>
      <c r="AD127" s="471"/>
      <c r="AE127" s="471"/>
      <c r="AF127" s="471"/>
      <c r="AG127" s="471"/>
      <c r="AH127" s="494" t="s">
        <v>59</v>
      </c>
      <c r="AI127" s="467"/>
      <c r="AJ127" s="467"/>
      <c r="AK127" s="467"/>
      <c r="AL127" s="467"/>
      <c r="AM127" s="467"/>
      <c r="AN127" s="467"/>
      <c r="AO127" s="467"/>
      <c r="AP127" s="467"/>
      <c r="AQ127" s="467"/>
      <c r="AR127" s="467"/>
      <c r="AS127" s="467"/>
      <c r="AT127" s="467"/>
      <c r="AU127" s="467"/>
      <c r="AV127" s="467"/>
      <c r="AW127" s="467"/>
      <c r="AX127" s="467"/>
      <c r="AY127" s="468">
        <f>COUNTIF(AI127:AX127,"*OP*")</f>
        <v>0</v>
      </c>
      <c r="AZ127" s="484" t="s">
        <v>176</v>
      </c>
      <c r="BA127" s="471">
        <f>(COUNTIF(AI127:AK127,"*OK*")*3) + (COUNTIF(AL127:AN127,"*OK*")*2) + COUNTIF(AO127:AQ127,"*OK*")+COUNTIF(AZ127:AZ127,"SI")*0.5</f>
        <v>0</v>
      </c>
      <c r="BB127" s="471" t="str">
        <f>IF(BA127&lt;0.6,"Demasiado Riesgo",IF(BA127&lt;=5,"Riesgo Medio",IF(BA127&lt;=11,"Riesgo Bajo","Cliente Blindado")))</f>
        <v>Demasiado Riesgo</v>
      </c>
      <c r="BC127" s="471"/>
      <c r="BD127" s="471"/>
      <c r="BE127" s="471">
        <v>0</v>
      </c>
      <c r="BF127" s="471"/>
      <c r="BG127" s="471"/>
      <c r="BH127" s="471"/>
      <c r="BI127" s="471"/>
      <c r="BJ127" s="471"/>
      <c r="BK127" s="471"/>
      <c r="BL127" s="471"/>
      <c r="BM127" s="471"/>
      <c r="BN127" s="471"/>
      <c r="BO127" s="471"/>
      <c r="BP127" s="471"/>
      <c r="BQ127" s="471"/>
      <c r="BR127" s="471"/>
      <c r="BS127" s="471"/>
      <c r="BT127" s="471"/>
      <c r="BU127" s="471"/>
      <c r="BV127" s="471"/>
      <c r="BW127" s="471"/>
      <c r="BX127" s="471"/>
      <c r="BY127" s="471"/>
      <c r="BZ127" s="471"/>
      <c r="CA127" s="471">
        <f>COUNTIF(AI127:AW127,"*OK*")</f>
        <v>0</v>
      </c>
      <c r="CB127" s="471"/>
      <c r="CC127" s="471">
        <f>COUNTIF(AI127:AW127,"*OP*")</f>
        <v>0</v>
      </c>
    </row>
    <row r="128" spans="1:81" ht="15" customHeight="1">
      <c r="A128" s="449">
        <v>22944</v>
      </c>
      <c r="B128" s="450" t="s">
        <v>513</v>
      </c>
      <c r="C128" s="451">
        <f>T128</f>
        <v>123.42</v>
      </c>
      <c r="D128" s="450">
        <f>COUNTIF(AI128:AW128,"*OK*")</f>
        <v>0</v>
      </c>
      <c r="E128" s="450"/>
      <c r="F128" s="599" t="s">
        <v>514</v>
      </c>
      <c r="G128" s="453"/>
      <c r="H128" s="454" t="s">
        <v>515</v>
      </c>
      <c r="I128" s="454"/>
      <c r="J128" s="453"/>
      <c r="K128" s="552" t="s">
        <v>68</v>
      </c>
      <c r="L128" s="453" t="s">
        <v>445</v>
      </c>
      <c r="M128" s="453"/>
      <c r="N128" s="456" t="s">
        <v>65</v>
      </c>
      <c r="O128" s="457">
        <v>235.16</v>
      </c>
      <c r="P128" s="457">
        <v>210.46</v>
      </c>
      <c r="Q128" s="457">
        <v>200.57</v>
      </c>
      <c r="R128" s="458">
        <v>192.86</v>
      </c>
      <c r="S128" s="459">
        <v>209.80719999999999</v>
      </c>
      <c r="T128" s="487">
        <v>123.42</v>
      </c>
      <c r="U128" s="461"/>
      <c r="V128" s="462">
        <v>100</v>
      </c>
      <c r="W128" s="463"/>
      <c r="X128" s="562" t="s">
        <v>70</v>
      </c>
      <c r="Y128" s="465" t="s">
        <v>150</v>
      </c>
      <c r="Z128" s="466" t="s">
        <v>516</v>
      </c>
      <c r="AA128" s="462" t="s">
        <v>59</v>
      </c>
      <c r="AB128" s="454" t="s">
        <v>517</v>
      </c>
      <c r="AC128" s="450"/>
      <c r="AD128" s="450"/>
      <c r="AE128" s="450"/>
      <c r="AF128" s="450"/>
      <c r="AG128" s="450"/>
      <c r="AH128" s="496" t="s">
        <v>127</v>
      </c>
      <c r="AI128" s="467"/>
      <c r="AJ128" s="467"/>
      <c r="AK128" s="467"/>
      <c r="AL128" s="467" t="s">
        <v>176</v>
      </c>
      <c r="AM128" s="467"/>
      <c r="AN128" s="467"/>
      <c r="AO128" s="467"/>
      <c r="AP128" s="467"/>
      <c r="AQ128" s="467"/>
      <c r="AR128" s="467"/>
      <c r="AS128" s="467"/>
      <c r="AT128" s="467"/>
      <c r="AU128" s="467"/>
      <c r="AV128" s="467"/>
      <c r="AW128" s="467"/>
      <c r="AX128" s="467"/>
      <c r="AY128" s="486">
        <f>COUNTIF(AI128:AX128,"*OP*")</f>
        <v>0</v>
      </c>
      <c r="AZ128" s="499" t="s">
        <v>176</v>
      </c>
      <c r="BA128" s="450">
        <f>(COUNTIF(AI128:AK128,"*OK*")*3) + (COUNTIF(AL128:AN128,"*OK*")*2) + COUNTIF(AO128:AQ128,"*OK*")+COUNTIF(AZ128:AZ128,"SI")*0.5</f>
        <v>0</v>
      </c>
      <c r="BB128" s="450" t="str">
        <f>IF(BA128&lt;0.6,"Demasiado Riesgo",IF(BA128&lt;=5,"Riesgo Medio",IF(BA128&lt;=11,"Riesgo Bajo","Cliente Blindado")))</f>
        <v>Demasiado Riesgo</v>
      </c>
      <c r="BC128" s="450"/>
      <c r="BD128" s="450"/>
      <c r="BE128" s="450">
        <v>0</v>
      </c>
      <c r="BF128" s="450"/>
      <c r="BG128" s="450"/>
      <c r="BH128" s="450"/>
      <c r="BI128" s="450"/>
      <c r="BJ128" s="450"/>
      <c r="BK128" s="450"/>
      <c r="BL128" s="450"/>
      <c r="BM128" s="450"/>
      <c r="BN128" s="450"/>
      <c r="BO128" s="450"/>
      <c r="BP128" s="450"/>
      <c r="BQ128" s="450"/>
      <c r="BR128" s="450"/>
      <c r="BS128" s="450"/>
      <c r="BT128" s="450"/>
      <c r="BU128" s="450"/>
      <c r="BV128" s="450"/>
      <c r="BW128" s="450"/>
      <c r="BX128" s="450"/>
      <c r="BY128" s="450"/>
      <c r="BZ128" s="450"/>
      <c r="CA128" s="450">
        <f>COUNTIF(AI128:AW128,"*OK*")</f>
        <v>0</v>
      </c>
      <c r="CB128" s="450"/>
      <c r="CC128" s="450">
        <f>COUNTIF(AI128:AW128,"*OP*")</f>
        <v>0</v>
      </c>
    </row>
    <row r="129" spans="1:81" ht="15" customHeight="1">
      <c r="A129" s="449">
        <v>26371</v>
      </c>
      <c r="B129" s="450" t="s">
        <v>518</v>
      </c>
      <c r="C129" s="451">
        <f>T129</f>
        <v>140.46</v>
      </c>
      <c r="D129" s="450">
        <f>COUNTIF(AI129:AW129,"*OK*")</f>
        <v>0</v>
      </c>
      <c r="E129" s="450"/>
      <c r="F129" s="453" t="s">
        <v>519</v>
      </c>
      <c r="G129" s="453"/>
      <c r="H129" s="454"/>
      <c r="I129" s="454"/>
      <c r="J129" s="453"/>
      <c r="K129" s="552" t="s">
        <v>68</v>
      </c>
      <c r="L129" s="453" t="s">
        <v>445</v>
      </c>
      <c r="M129" s="453"/>
      <c r="N129" s="456" t="s">
        <v>282</v>
      </c>
      <c r="O129" s="457">
        <v>146.97999999999999</v>
      </c>
      <c r="P129" s="457">
        <v>153.41999999999999</v>
      </c>
      <c r="Q129" s="457">
        <v>142.03</v>
      </c>
      <c r="R129" s="458">
        <v>146.6</v>
      </c>
      <c r="S129" s="459">
        <v>142.01859999999999</v>
      </c>
      <c r="T129" s="487">
        <v>140.46</v>
      </c>
      <c r="U129" s="461"/>
      <c r="V129" s="462">
        <v>100</v>
      </c>
      <c r="W129" s="463"/>
      <c r="X129" s="567" t="s">
        <v>70</v>
      </c>
      <c r="Y129" s="465" t="s">
        <v>150</v>
      </c>
      <c r="Z129" s="466" t="s">
        <v>520</v>
      </c>
      <c r="AA129" s="462" t="s">
        <v>284</v>
      </c>
      <c r="AB129" s="454" t="s">
        <v>521</v>
      </c>
      <c r="AC129" s="450"/>
      <c r="AD129" s="450"/>
      <c r="AE129" s="450"/>
      <c r="AF129" s="450"/>
      <c r="AG129" s="450"/>
      <c r="AH129" s="496" t="s">
        <v>127</v>
      </c>
      <c r="AI129" s="467"/>
      <c r="AJ129" s="467"/>
      <c r="AK129" s="467"/>
      <c r="AL129" s="467"/>
      <c r="AM129" s="467"/>
      <c r="AN129" s="467"/>
      <c r="AO129" s="467"/>
      <c r="AP129" s="467"/>
      <c r="AQ129" s="467"/>
      <c r="AR129" s="467"/>
      <c r="AS129" s="467"/>
      <c r="AT129" s="467"/>
      <c r="AU129" s="467"/>
      <c r="AV129" s="467"/>
      <c r="AW129" s="467"/>
      <c r="AX129" s="467"/>
      <c r="AY129" s="486">
        <f>COUNTIF(AI129:AX129,"*OP*")</f>
        <v>0</v>
      </c>
      <c r="AZ129" s="499" t="s">
        <v>176</v>
      </c>
      <c r="BA129" s="450">
        <f>(COUNTIF(AI129:AK129,"*OK*")*3) + (COUNTIF(AL129:AN129,"*OK*")*2) + COUNTIF(AO129:AQ129,"*OK*")+COUNTIF(AZ129:AZ129,"SI")*0.5</f>
        <v>0</v>
      </c>
      <c r="BB129" s="450" t="str">
        <f>IF(BA129&lt;0.6,"Demasiado Riesgo",IF(BA129&lt;=5,"Riesgo Medio",IF(BA129&lt;=11,"Riesgo Bajo","Cliente Blindado")))</f>
        <v>Demasiado Riesgo</v>
      </c>
      <c r="BC129" s="450"/>
      <c r="BD129" s="450"/>
      <c r="BE129" s="450">
        <v>0</v>
      </c>
      <c r="BF129" s="450"/>
      <c r="BG129" s="450"/>
      <c r="BH129" s="450"/>
      <c r="BI129" s="450"/>
      <c r="BJ129" s="450"/>
      <c r="BK129" s="450"/>
      <c r="BL129" s="450"/>
      <c r="BM129" s="450"/>
      <c r="BN129" s="450"/>
      <c r="BO129" s="450"/>
      <c r="BP129" s="450"/>
      <c r="BQ129" s="450"/>
      <c r="BR129" s="450"/>
      <c r="BS129" s="450"/>
      <c r="BT129" s="450"/>
      <c r="BU129" s="450"/>
      <c r="BV129" s="450"/>
      <c r="BW129" s="450"/>
      <c r="BX129" s="450"/>
      <c r="BY129" s="450"/>
      <c r="BZ129" s="450"/>
      <c r="CA129" s="450">
        <f>COUNTIF(AI129:AW129,"*OK*")</f>
        <v>0</v>
      </c>
      <c r="CB129" s="450"/>
      <c r="CC129" s="450">
        <f>COUNTIF(AI129:AW129,"*OP*")</f>
        <v>0</v>
      </c>
    </row>
    <row r="130" spans="1:81" ht="15" customHeight="1">
      <c r="A130" s="470">
        <v>23030</v>
      </c>
      <c r="B130" s="471"/>
      <c r="C130" s="451">
        <f>T130</f>
        <v>143.38999999999999</v>
      </c>
      <c r="D130" s="471">
        <f>COUNTIF(AI130:AW130,"*OK*")</f>
        <v>0</v>
      </c>
      <c r="E130" s="471"/>
      <c r="F130" s="473" t="s">
        <v>522</v>
      </c>
      <c r="G130" s="473" t="s">
        <v>523</v>
      </c>
      <c r="H130" s="474"/>
      <c r="I130" s="474"/>
      <c r="J130" s="473"/>
      <c r="K130" s="556" t="s">
        <v>68</v>
      </c>
      <c r="L130" s="473" t="s">
        <v>445</v>
      </c>
      <c r="M130" s="473"/>
      <c r="N130" s="476" t="s">
        <v>65</v>
      </c>
      <c r="O130" s="477">
        <v>102.26</v>
      </c>
      <c r="P130" s="477">
        <v>97.35</v>
      </c>
      <c r="Q130" s="477">
        <v>101.94</v>
      </c>
      <c r="R130" s="478">
        <v>106.4</v>
      </c>
      <c r="S130" s="459">
        <v>128.20439999999999</v>
      </c>
      <c r="T130" s="460">
        <v>143.38999999999999</v>
      </c>
      <c r="U130" s="479"/>
      <c r="V130" s="480">
        <v>100</v>
      </c>
      <c r="W130" s="481"/>
      <c r="X130" s="493" t="s">
        <v>245</v>
      </c>
      <c r="Y130" s="483" t="s">
        <v>80</v>
      </c>
      <c r="Z130" s="484" t="s">
        <v>524</v>
      </c>
      <c r="AA130" s="480" t="s">
        <v>59</v>
      </c>
      <c r="AB130" s="474" t="s">
        <v>97</v>
      </c>
      <c r="AC130" s="471"/>
      <c r="AD130" s="471"/>
      <c r="AE130" s="471"/>
      <c r="AF130" s="471"/>
      <c r="AG130" s="471"/>
      <c r="AH130" s="484" t="s">
        <v>127</v>
      </c>
      <c r="AI130" s="467"/>
      <c r="AJ130" s="467"/>
      <c r="AK130" s="467" t="s">
        <v>525</v>
      </c>
      <c r="AL130" s="467"/>
      <c r="AM130" s="467"/>
      <c r="AN130" s="467"/>
      <c r="AO130" s="467"/>
      <c r="AP130" s="467"/>
      <c r="AQ130" s="467"/>
      <c r="AR130" s="467"/>
      <c r="AS130" s="467"/>
      <c r="AT130" s="467"/>
      <c r="AU130" s="467"/>
      <c r="AV130" s="467"/>
      <c r="AW130" s="467"/>
      <c r="AX130" s="467"/>
      <c r="AY130" s="468">
        <f>COUNTIF(AI130:AX130,"*OP*")</f>
        <v>1</v>
      </c>
      <c r="AZ130" s="484" t="s">
        <v>176</v>
      </c>
      <c r="BA130" s="471">
        <f>(COUNTIF(AI130:AK130,"*OK*")*3) + (COUNTIF(AL130:AN130,"*OK*")*2) + COUNTIF(AO130:AQ130,"*OK*")+COUNTIF(AZ130:AZ130,"SI")*0.5</f>
        <v>0</v>
      </c>
      <c r="BB130" s="471" t="str">
        <f>IF(BA130&lt;0.6,"Demasiado Riesgo",IF(BA130&lt;=5,"Riesgo Medio",IF(BA130&lt;=11,"Riesgo Bajo","Cliente Blindado")))</f>
        <v>Demasiado Riesgo</v>
      </c>
      <c r="BC130" s="471"/>
      <c r="BD130" s="471"/>
      <c r="BE130" s="471">
        <v>0</v>
      </c>
      <c r="BF130" s="471"/>
      <c r="BG130" s="471"/>
      <c r="BH130" s="471"/>
      <c r="BI130" s="471"/>
      <c r="BJ130" s="471"/>
      <c r="BK130" s="471"/>
      <c r="BL130" s="471"/>
      <c r="BM130" s="471"/>
      <c r="BN130" s="471"/>
      <c r="BO130" s="471"/>
      <c r="BP130" s="471"/>
      <c r="BQ130" s="471"/>
      <c r="BR130" s="471"/>
      <c r="BS130" s="471"/>
      <c r="BT130" s="471"/>
      <c r="BU130" s="471"/>
      <c r="BV130" s="471"/>
      <c r="BW130" s="471"/>
      <c r="BX130" s="471"/>
      <c r="BY130" s="471"/>
      <c r="BZ130" s="471"/>
      <c r="CA130" s="471">
        <f>COUNTIF(AI130:AW130,"*OK*")</f>
        <v>0</v>
      </c>
      <c r="CB130" s="471"/>
      <c r="CC130" s="471">
        <f>COUNTIF(AI130:AW130,"*OP*")</f>
        <v>1</v>
      </c>
    </row>
    <row r="131" spans="1:81" ht="15" customHeight="1">
      <c r="A131" s="470">
        <v>19276</v>
      </c>
      <c r="B131" s="471" t="s">
        <v>526</v>
      </c>
      <c r="C131" s="451">
        <f>T131</f>
        <v>153.43</v>
      </c>
      <c r="D131" s="471">
        <f>COUNTIF(AI131:AW131,"*OK*")</f>
        <v>0</v>
      </c>
      <c r="E131" s="471"/>
      <c r="F131" s="473" t="s">
        <v>527</v>
      </c>
      <c r="G131" s="473"/>
      <c r="H131" s="474"/>
      <c r="I131" s="474"/>
      <c r="J131" s="473"/>
      <c r="K131" s="556" t="s">
        <v>68</v>
      </c>
      <c r="L131" s="473" t="s">
        <v>445</v>
      </c>
      <c r="M131" s="473"/>
      <c r="N131" s="476" t="s">
        <v>65</v>
      </c>
      <c r="O131" s="477">
        <v>214.98</v>
      </c>
      <c r="P131" s="477">
        <v>230.13</v>
      </c>
      <c r="Q131" s="477">
        <v>223.49</v>
      </c>
      <c r="R131" s="478">
        <v>250.08</v>
      </c>
      <c r="S131" s="459">
        <v>144.20349999999999</v>
      </c>
      <c r="T131" s="460">
        <v>153.43</v>
      </c>
      <c r="U131" s="479"/>
      <c r="V131" s="480">
        <v>150</v>
      </c>
      <c r="W131" s="481"/>
      <c r="X131" s="482" t="s">
        <v>70</v>
      </c>
      <c r="Y131" s="483" t="s">
        <v>125</v>
      </c>
      <c r="Z131" s="484" t="s">
        <v>528</v>
      </c>
      <c r="AA131" s="480" t="s">
        <v>59</v>
      </c>
      <c r="AB131" s="474" t="s">
        <v>92</v>
      </c>
      <c r="AC131" s="471"/>
      <c r="AD131" s="471"/>
      <c r="AE131" s="471"/>
      <c r="AF131" s="471"/>
      <c r="AG131" s="471"/>
      <c r="AH131" s="485" t="s">
        <v>59</v>
      </c>
      <c r="AI131" s="467"/>
      <c r="AJ131" s="467"/>
      <c r="AK131" s="467"/>
      <c r="AL131" s="467"/>
      <c r="AM131" s="467"/>
      <c r="AN131" s="467"/>
      <c r="AO131" s="467"/>
      <c r="AP131" s="467"/>
      <c r="AQ131" s="467"/>
      <c r="AR131" s="467"/>
      <c r="AS131" s="467"/>
      <c r="AT131" s="467"/>
      <c r="AU131" s="467"/>
      <c r="AV131" s="467"/>
      <c r="AW131" s="467"/>
      <c r="AX131" s="467"/>
      <c r="AY131" s="486">
        <f>COUNTIF(AI131:AX131,"*OP*")</f>
        <v>0</v>
      </c>
      <c r="AZ131" s="485" t="s">
        <v>59</v>
      </c>
      <c r="BA131" s="471">
        <f>(COUNTIF(AI131:AK131,"*OK*")*3) + (COUNTIF(AL131:AN131,"*OK*")*2) + COUNTIF(AO131:AQ131,"*OK*")+COUNTIF(AZ131:AZ131,"SI")*0.5</f>
        <v>0</v>
      </c>
      <c r="BB131" s="471" t="str">
        <f>IF(BA131&lt;0.6,"Demasiado Riesgo",IF(BA131&lt;=5,"Riesgo Medio",IF(BA131&lt;=11,"Riesgo Bajo","Cliente Blindado")))</f>
        <v>Demasiado Riesgo</v>
      </c>
      <c r="BC131" s="471"/>
      <c r="BD131" s="471"/>
      <c r="BE131" s="471">
        <v>0</v>
      </c>
      <c r="BF131" s="471"/>
      <c r="BG131" s="471"/>
      <c r="BH131" s="471"/>
      <c r="BI131" s="471"/>
      <c r="BJ131" s="471"/>
      <c r="BK131" s="471"/>
      <c r="BL131" s="471"/>
      <c r="BM131" s="471"/>
      <c r="BN131" s="471"/>
      <c r="BO131" s="471"/>
      <c r="BP131" s="471"/>
      <c r="BQ131" s="471"/>
      <c r="BR131" s="471"/>
      <c r="BS131" s="471"/>
      <c r="BT131" s="471"/>
      <c r="BU131" s="471"/>
      <c r="BV131" s="471"/>
      <c r="BW131" s="471"/>
      <c r="BX131" s="471"/>
      <c r="BY131" s="471"/>
      <c r="BZ131" s="471"/>
      <c r="CA131" s="471">
        <f>COUNTIF(AI131:AW131,"*OK*")</f>
        <v>0</v>
      </c>
      <c r="CB131" s="471"/>
      <c r="CC131" s="471">
        <f>COUNTIF(AI131:AW131,"*OP*")</f>
        <v>0</v>
      </c>
    </row>
    <row r="132" spans="1:81" ht="15" customHeight="1">
      <c r="A132" s="470">
        <v>27817</v>
      </c>
      <c r="B132" s="471" t="s">
        <v>529</v>
      </c>
      <c r="C132" s="451">
        <f>T132</f>
        <v>155.63999999999999</v>
      </c>
      <c r="D132" s="471">
        <f>COUNTIF(AI132:AW132,"*OK*")</f>
        <v>0</v>
      </c>
      <c r="E132" s="471"/>
      <c r="F132" s="473" t="s">
        <v>530</v>
      </c>
      <c r="G132" s="473"/>
      <c r="H132" s="474"/>
      <c r="I132" s="474"/>
      <c r="J132" s="473"/>
      <c r="K132" s="556" t="s">
        <v>68</v>
      </c>
      <c r="L132" s="473" t="s">
        <v>445</v>
      </c>
      <c r="M132" s="473"/>
      <c r="N132" s="476" t="s">
        <v>531</v>
      </c>
      <c r="O132" s="477">
        <v>144.78</v>
      </c>
      <c r="P132" s="477">
        <v>144.65</v>
      </c>
      <c r="Q132" s="477">
        <v>140.99</v>
      </c>
      <c r="R132" s="478">
        <v>148.78</v>
      </c>
      <c r="S132" s="459">
        <v>154.07550000000001</v>
      </c>
      <c r="T132" s="460">
        <v>155.63999999999999</v>
      </c>
      <c r="U132" s="479"/>
      <c r="V132" s="480">
        <v>100</v>
      </c>
      <c r="W132" s="481"/>
      <c r="X132" s="482" t="s">
        <v>70</v>
      </c>
      <c r="Y132" s="483" t="s">
        <v>161</v>
      </c>
      <c r="Z132" s="484" t="s">
        <v>532</v>
      </c>
      <c r="AA132" s="480" t="s">
        <v>59</v>
      </c>
      <c r="AB132" s="474" t="s">
        <v>92</v>
      </c>
      <c r="AC132" s="471"/>
      <c r="AD132" s="471"/>
      <c r="AE132" s="471"/>
      <c r="AF132" s="471"/>
      <c r="AG132" s="471"/>
      <c r="AH132" s="484" t="s">
        <v>127</v>
      </c>
      <c r="AI132" s="467"/>
      <c r="AJ132" s="467"/>
      <c r="AK132" s="467"/>
      <c r="AL132" s="467"/>
      <c r="AM132" s="467"/>
      <c r="AN132" s="467"/>
      <c r="AO132" s="467"/>
      <c r="AP132" s="467"/>
      <c r="AQ132" s="467"/>
      <c r="AR132" s="467"/>
      <c r="AS132" s="467"/>
      <c r="AT132" s="467"/>
      <c r="AU132" s="467"/>
      <c r="AV132" s="467"/>
      <c r="AW132" s="467"/>
      <c r="AX132" s="467"/>
      <c r="AY132" s="468">
        <f>COUNTIF(AI132:AX132,"*OP*")</f>
        <v>0</v>
      </c>
      <c r="AZ132" s="484" t="s">
        <v>127</v>
      </c>
      <c r="BA132" s="471">
        <f>(COUNTIF(AI132:AK132,"*OK*")*3) + (COUNTIF(AL132:AN132,"*OK*")*2) + COUNTIF(AO132:AQ132,"*OK*")+COUNTIF(AZ132:AZ132,"SI")*0.5</f>
        <v>0.5</v>
      </c>
      <c r="BB132" s="471" t="str">
        <f>IF(BA132&lt;0.6,"Demasiado Riesgo",IF(BA132&lt;=5,"Riesgo Medio",IF(BA132&lt;=11,"Riesgo Bajo","Cliente Blindado")))</f>
        <v>Demasiado Riesgo</v>
      </c>
      <c r="BC132" s="471"/>
      <c r="BD132" s="471"/>
      <c r="BE132" s="471">
        <v>0</v>
      </c>
      <c r="BF132" s="471"/>
      <c r="BG132" s="471"/>
      <c r="BH132" s="471"/>
      <c r="BI132" s="471"/>
      <c r="BJ132" s="471"/>
      <c r="BK132" s="471"/>
      <c r="BL132" s="471"/>
      <c r="BM132" s="471"/>
      <c r="BN132" s="471"/>
      <c r="BO132" s="471"/>
      <c r="BP132" s="471"/>
      <c r="BQ132" s="471"/>
      <c r="BR132" s="471"/>
      <c r="BS132" s="471"/>
      <c r="BT132" s="471"/>
      <c r="BU132" s="471"/>
      <c r="BV132" s="471"/>
      <c r="BW132" s="471"/>
      <c r="BX132" s="471"/>
      <c r="BY132" s="471"/>
      <c r="BZ132" s="471"/>
      <c r="CA132" s="471">
        <f>COUNTIF(AI132:AW132,"*OK*")</f>
        <v>0</v>
      </c>
      <c r="CB132" s="471"/>
      <c r="CC132" s="471">
        <f>COUNTIF(AI132:AW132,"*OP*")</f>
        <v>0</v>
      </c>
    </row>
    <row r="133" spans="1:81" ht="15" customHeight="1">
      <c r="A133" s="470">
        <v>4911</v>
      </c>
      <c r="B133" s="471" t="s">
        <v>533</v>
      </c>
      <c r="C133" s="451">
        <f>T133</f>
        <v>159.77000000000001</v>
      </c>
      <c r="D133" s="471">
        <f>COUNTIF(AI133:AW133,"*OK*")</f>
        <v>0</v>
      </c>
      <c r="E133" s="471"/>
      <c r="F133" s="473" t="s">
        <v>534</v>
      </c>
      <c r="G133" s="473"/>
      <c r="H133" s="474"/>
      <c r="I133" s="474"/>
      <c r="J133" s="473"/>
      <c r="K133" s="556" t="s">
        <v>68</v>
      </c>
      <c r="L133" s="473" t="s">
        <v>445</v>
      </c>
      <c r="M133" s="473"/>
      <c r="N133" s="476" t="s">
        <v>65</v>
      </c>
      <c r="O133" s="477">
        <v>166.36</v>
      </c>
      <c r="P133" s="477">
        <v>162.05000000000001</v>
      </c>
      <c r="Q133" s="477">
        <v>154.43</v>
      </c>
      <c r="R133" s="478">
        <v>161.44</v>
      </c>
      <c r="S133" s="459">
        <v>163.6164</v>
      </c>
      <c r="T133" s="469">
        <v>159.77000000000001</v>
      </c>
      <c r="U133" s="479"/>
      <c r="V133" s="480">
        <v>200</v>
      </c>
      <c r="W133" s="481"/>
      <c r="X133" s="493" t="s">
        <v>251</v>
      </c>
      <c r="Y133" s="483" t="s">
        <v>80</v>
      </c>
      <c r="Z133" s="484" t="s">
        <v>535</v>
      </c>
      <c r="AA133" s="480" t="s">
        <v>59</v>
      </c>
      <c r="AB133" s="474" t="s">
        <v>84</v>
      </c>
      <c r="AC133" s="471"/>
      <c r="AD133" s="471"/>
      <c r="AE133" s="471"/>
      <c r="AF133" s="471"/>
      <c r="AG133" s="471"/>
      <c r="AH133" s="484" t="s">
        <v>127</v>
      </c>
      <c r="AI133" s="467"/>
      <c r="AJ133" s="467"/>
      <c r="AK133" s="467"/>
      <c r="AL133" s="467"/>
      <c r="AM133" s="467"/>
      <c r="AN133" s="467"/>
      <c r="AO133" s="467"/>
      <c r="AP133" s="467"/>
      <c r="AQ133" s="467"/>
      <c r="AR133" s="467"/>
      <c r="AS133" s="467"/>
      <c r="AT133" s="467"/>
      <c r="AU133" s="467"/>
      <c r="AV133" s="467"/>
      <c r="AW133" s="467"/>
      <c r="AX133" s="467"/>
      <c r="AY133" s="468">
        <f>COUNTIF(AI133:AX133,"*OP*")</f>
        <v>0</v>
      </c>
      <c r="AZ133" s="484" t="s">
        <v>176</v>
      </c>
      <c r="BA133" s="471">
        <f>(COUNTIF(AI133:AK133,"*OK*")*3) + (COUNTIF(AL133:AN133,"*OK*")*2) + COUNTIF(AO133:AQ133,"*OK*")+COUNTIF(AZ133:AZ133,"SI")*0.5</f>
        <v>0</v>
      </c>
      <c r="BB133" s="471" t="str">
        <f>IF(BA133&lt;0.6,"Demasiado Riesgo",IF(BA133&lt;=5,"Riesgo Medio",IF(BA133&lt;=11,"Riesgo Bajo","Cliente Blindado")))</f>
        <v>Demasiado Riesgo</v>
      </c>
      <c r="BC133" s="471"/>
      <c r="BD133" s="471"/>
      <c r="BE133" s="471">
        <v>0</v>
      </c>
      <c r="BF133" s="471"/>
      <c r="BG133" s="471"/>
      <c r="BH133" s="471"/>
      <c r="BI133" s="471"/>
      <c r="BJ133" s="471"/>
      <c r="BK133" s="471"/>
      <c r="BL133" s="471"/>
      <c r="BM133" s="471"/>
      <c r="BN133" s="471"/>
      <c r="BO133" s="471"/>
      <c r="BP133" s="471"/>
      <c r="BQ133" s="471"/>
      <c r="BR133" s="471"/>
      <c r="BS133" s="471"/>
      <c r="BT133" s="471"/>
      <c r="BU133" s="471"/>
      <c r="BV133" s="471"/>
      <c r="BW133" s="471"/>
      <c r="BX133" s="471"/>
      <c r="BY133" s="471"/>
      <c r="BZ133" s="471"/>
      <c r="CA133" s="471">
        <f>COUNTIF(AI133:AW133,"*OK*")</f>
        <v>0</v>
      </c>
      <c r="CB133" s="471"/>
      <c r="CC133" s="471">
        <f>COUNTIF(AI133:AW133,"*OP*")</f>
        <v>0</v>
      </c>
    </row>
    <row r="134" spans="1:81" ht="15" customHeight="1">
      <c r="A134" s="488"/>
      <c r="B134" s="489"/>
      <c r="C134" s="451">
        <f>T134</f>
        <v>160.78</v>
      </c>
      <c r="D134" s="450">
        <f>COUNTIF(AI134:AW134,"*OK*")</f>
        <v>0</v>
      </c>
      <c r="E134" s="450"/>
      <c r="F134" s="453" t="s">
        <v>536</v>
      </c>
      <c r="G134" s="453"/>
      <c r="H134" s="454"/>
      <c r="I134" s="454"/>
      <c r="J134" s="453"/>
      <c r="K134" s="455" t="s">
        <v>68</v>
      </c>
      <c r="L134" s="453" t="s">
        <v>445</v>
      </c>
      <c r="M134" s="453"/>
      <c r="N134" s="456" t="s">
        <v>65</v>
      </c>
      <c r="O134" s="457">
        <v>108.81</v>
      </c>
      <c r="P134" s="457">
        <v>119.58</v>
      </c>
      <c r="Q134" s="457">
        <v>120.87</v>
      </c>
      <c r="R134" s="458">
        <v>124.76</v>
      </c>
      <c r="S134" s="459">
        <v>162.5591</v>
      </c>
      <c r="T134" s="487">
        <v>160.78</v>
      </c>
      <c r="U134" s="461"/>
      <c r="V134" s="462">
        <v>50</v>
      </c>
      <c r="W134" s="463"/>
      <c r="X134" s="567" t="s">
        <v>70</v>
      </c>
      <c r="Y134" s="465" t="s">
        <v>71</v>
      </c>
      <c r="Z134" s="466" t="s">
        <v>537</v>
      </c>
      <c r="AA134" s="462" t="s">
        <v>59</v>
      </c>
      <c r="AB134" s="454" t="s">
        <v>92</v>
      </c>
      <c r="AC134" s="450"/>
      <c r="AD134" s="450"/>
      <c r="AE134" s="450"/>
      <c r="AF134" s="450"/>
      <c r="AG134" s="450"/>
      <c r="AH134" s="466" t="s">
        <v>59</v>
      </c>
      <c r="AI134" s="467"/>
      <c r="AJ134" s="467"/>
      <c r="AK134" s="467"/>
      <c r="AL134" s="467"/>
      <c r="AM134" s="467"/>
      <c r="AN134" s="467"/>
      <c r="AO134" s="467"/>
      <c r="AP134" s="467"/>
      <c r="AQ134" s="467"/>
      <c r="AR134" s="467"/>
      <c r="AS134" s="467"/>
      <c r="AT134" s="467"/>
      <c r="AU134" s="467"/>
      <c r="AV134" s="467"/>
      <c r="AW134" s="467"/>
      <c r="AX134" s="467"/>
      <c r="AY134" s="468">
        <f>COUNTIF(AI134:AX134,"*OP*")</f>
        <v>0</v>
      </c>
      <c r="AZ134" s="466" t="s">
        <v>59</v>
      </c>
      <c r="BA134" s="450">
        <f>(COUNTIF(AI134:AK134,"*OK*")*3) + (COUNTIF(AL134:AN134,"*OK*")*2) + COUNTIF(AO134:AQ134,"*OK*")+COUNTIF(AZ134:AZ134,"SI")*0.5</f>
        <v>0</v>
      </c>
      <c r="BB134" s="450" t="str">
        <f>IF(BA134&lt;0.6,"Demasiado Riesgo",IF(BA134&lt;=5,"Riesgo Medio",IF(BA134&lt;=11,"Riesgo Bajo","Cliente Blindado")))</f>
        <v>Demasiado Riesgo</v>
      </c>
      <c r="BC134" s="450"/>
      <c r="BD134" s="450"/>
      <c r="BE134" s="450">
        <v>0</v>
      </c>
      <c r="BF134" s="450"/>
      <c r="BG134" s="450"/>
      <c r="BH134" s="450"/>
      <c r="BI134" s="450"/>
      <c r="BJ134" s="450"/>
      <c r="BK134" s="450"/>
      <c r="BL134" s="450"/>
      <c r="BM134" s="450"/>
      <c r="BN134" s="450"/>
      <c r="BO134" s="450"/>
      <c r="BP134" s="450"/>
      <c r="BQ134" s="450"/>
      <c r="BR134" s="450"/>
      <c r="BS134" s="450"/>
      <c r="BT134" s="450"/>
      <c r="BU134" s="450"/>
      <c r="BV134" s="450"/>
      <c r="BW134" s="450"/>
      <c r="BX134" s="450"/>
      <c r="BY134" s="450"/>
      <c r="BZ134" s="450"/>
      <c r="CA134" s="450">
        <f>COUNTIF(AI134:AW134,"*OK*")</f>
        <v>0</v>
      </c>
      <c r="CB134" s="450"/>
      <c r="CC134" s="450">
        <f>COUNTIF(AI134:AW134,"*OP*")</f>
        <v>0</v>
      </c>
    </row>
    <row r="135" spans="1:81" ht="15" customHeight="1">
      <c r="A135" s="470">
        <v>33738</v>
      </c>
      <c r="B135" s="471"/>
      <c r="C135" s="451">
        <f>T135</f>
        <v>166.27</v>
      </c>
      <c r="D135" s="471">
        <f>COUNTIF(AI135:AW135,"*OK*")</f>
        <v>1</v>
      </c>
      <c r="E135" s="471"/>
      <c r="F135" s="472" t="s">
        <v>538</v>
      </c>
      <c r="G135" s="473"/>
      <c r="H135" s="474"/>
      <c r="I135" s="474"/>
      <c r="J135" s="473"/>
      <c r="K135" s="473" t="s">
        <v>68</v>
      </c>
      <c r="L135" s="600" t="s">
        <v>445</v>
      </c>
      <c r="M135" s="600"/>
      <c r="N135" s="484" t="s">
        <v>65</v>
      </c>
      <c r="O135" s="477">
        <v>131.96</v>
      </c>
      <c r="P135" s="477">
        <v>97.94</v>
      </c>
      <c r="Q135" s="477">
        <v>96.92</v>
      </c>
      <c r="R135" s="478">
        <v>103.75</v>
      </c>
      <c r="S135" s="459">
        <v>123.919</v>
      </c>
      <c r="T135" s="490">
        <v>166.27</v>
      </c>
      <c r="U135" s="479"/>
      <c r="V135" s="480">
        <v>100</v>
      </c>
      <c r="W135" s="481"/>
      <c r="X135" s="572" t="s">
        <v>70</v>
      </c>
      <c r="Y135" s="483" t="s">
        <v>80</v>
      </c>
      <c r="Z135" s="484" t="s">
        <v>539</v>
      </c>
      <c r="AA135" s="480" t="s">
        <v>59</v>
      </c>
      <c r="AB135" s="474"/>
      <c r="AC135" s="471"/>
      <c r="AD135" s="471"/>
      <c r="AE135" s="471"/>
      <c r="AF135" s="471"/>
      <c r="AG135" s="471"/>
      <c r="AH135" s="485" t="s">
        <v>59</v>
      </c>
      <c r="AI135" s="467"/>
      <c r="AJ135" s="467"/>
      <c r="AK135" s="467"/>
      <c r="AL135" s="467"/>
      <c r="AM135" s="467"/>
      <c r="AN135" s="467"/>
      <c r="AO135" s="467" t="s">
        <v>415</v>
      </c>
      <c r="AP135" s="467"/>
      <c r="AQ135" s="467"/>
      <c r="AR135" s="467"/>
      <c r="AS135" s="467"/>
      <c r="AT135" s="467"/>
      <c r="AU135" s="467"/>
      <c r="AV135" s="467"/>
      <c r="AW135" s="467"/>
      <c r="AX135" s="467"/>
      <c r="AY135" s="468">
        <f>COUNTIF(AI135:AX135,"*OP*")</f>
        <v>0</v>
      </c>
      <c r="AZ135" s="484" t="s">
        <v>59</v>
      </c>
      <c r="BA135" s="471">
        <f>(COUNTIF(AI135:AK135,"*OK*")*3) + (COUNTIF(AL135:AN135,"*OK*")*2) + COUNTIF(AO135:AQ135,"*OK*")+COUNTIF(AZ135:AZ135,"SI")*0.5</f>
        <v>1</v>
      </c>
      <c r="BB135" s="471" t="str">
        <f>IF(BA135&lt;0.6,"Demasiado Riesgo",IF(BA135&lt;=5,"Riesgo Medio",IF(BA135&lt;=11,"Riesgo Bajo","Cliente Blindado")))</f>
        <v>Riesgo Medio</v>
      </c>
      <c r="BC135" s="471"/>
      <c r="BD135" s="471"/>
      <c r="BE135" s="471">
        <v>0</v>
      </c>
      <c r="BF135" s="471"/>
      <c r="BG135" s="471"/>
      <c r="BH135" s="471"/>
      <c r="BI135" s="471"/>
      <c r="BJ135" s="471"/>
      <c r="BK135" s="471"/>
      <c r="BL135" s="471"/>
      <c r="BM135" s="471"/>
      <c r="BN135" s="471"/>
      <c r="BO135" s="471"/>
      <c r="BP135" s="471"/>
      <c r="BQ135" s="471"/>
      <c r="BR135" s="471"/>
      <c r="BS135" s="471"/>
      <c r="BT135" s="471"/>
      <c r="BU135" s="471"/>
      <c r="BV135" s="471"/>
      <c r="BW135" s="471"/>
      <c r="BX135" s="471"/>
      <c r="BY135" s="471"/>
      <c r="BZ135" s="471"/>
      <c r="CA135" s="471">
        <f>COUNTIF(AI135:AW135,"*OK*")</f>
        <v>1</v>
      </c>
      <c r="CB135" s="471"/>
      <c r="CC135" s="471">
        <f>COUNTIF(AI135:AW135,"*OP*")</f>
        <v>0</v>
      </c>
    </row>
    <row r="136" spans="1:81" ht="15" customHeight="1">
      <c r="A136" s="563">
        <v>21542</v>
      </c>
      <c r="B136" s="536" t="s">
        <v>540</v>
      </c>
      <c r="C136" s="451">
        <f>T136</f>
        <v>168.55</v>
      </c>
      <c r="D136" s="471">
        <f>COUNTIF(AI136:AW136,"*OK*")</f>
        <v>0</v>
      </c>
      <c r="E136" s="471"/>
      <c r="F136" s="473" t="s">
        <v>541</v>
      </c>
      <c r="G136" s="473"/>
      <c r="H136" s="474"/>
      <c r="I136" s="474"/>
      <c r="J136" s="473"/>
      <c r="K136" s="475" t="s">
        <v>68</v>
      </c>
      <c r="L136" s="473" t="s">
        <v>445</v>
      </c>
      <c r="M136" s="473"/>
      <c r="N136" s="476" t="s">
        <v>237</v>
      </c>
      <c r="O136" s="477">
        <v>180.98</v>
      </c>
      <c r="P136" s="477">
        <v>177.53</v>
      </c>
      <c r="Q136" s="477">
        <v>172.31</v>
      </c>
      <c r="R136" s="478">
        <v>181.1</v>
      </c>
      <c r="S136" s="459">
        <v>183.5318</v>
      </c>
      <c r="T136" s="469">
        <v>168.55</v>
      </c>
      <c r="U136" s="479"/>
      <c r="V136" s="480">
        <v>200</v>
      </c>
      <c r="W136" s="481"/>
      <c r="X136" s="493" t="s">
        <v>245</v>
      </c>
      <c r="Y136" s="483" t="s">
        <v>161</v>
      </c>
      <c r="Z136" s="484" t="s">
        <v>542</v>
      </c>
      <c r="AA136" s="480" t="s">
        <v>161</v>
      </c>
      <c r="AB136" s="474" t="s">
        <v>97</v>
      </c>
      <c r="AC136" s="471"/>
      <c r="AD136" s="471"/>
      <c r="AE136" s="471"/>
      <c r="AF136" s="471"/>
      <c r="AG136" s="471"/>
      <c r="AH136" s="494" t="s">
        <v>127</v>
      </c>
      <c r="AI136" s="467"/>
      <c r="AJ136" s="467"/>
      <c r="AK136" s="467"/>
      <c r="AL136" s="467"/>
      <c r="AM136" s="467"/>
      <c r="AN136" s="467"/>
      <c r="AO136" s="467"/>
      <c r="AP136" s="467"/>
      <c r="AQ136" s="467"/>
      <c r="AR136" s="467"/>
      <c r="AS136" s="467"/>
      <c r="AT136" s="467"/>
      <c r="AU136" s="467"/>
      <c r="AV136" s="467"/>
      <c r="AW136" s="467"/>
      <c r="AX136" s="467"/>
      <c r="AY136" s="486">
        <f>COUNTIF(AI136:AX136,"*OP*")</f>
        <v>0</v>
      </c>
      <c r="AZ136" s="485" t="s">
        <v>171</v>
      </c>
      <c r="BA136" s="471">
        <f>(COUNTIF(AI136:AK136,"*OK*")*3) + (COUNTIF(AL136:AN136,"*OK*")*2) + COUNTIF(AO136:AQ136,"*OK*")+COUNTIF(AZ136:AZ136,"SI")*0.5</f>
        <v>0</v>
      </c>
      <c r="BB136" s="471" t="str">
        <f>IF(BA136&lt;0.6,"Demasiado Riesgo",IF(BA136&lt;=5,"Riesgo Medio",IF(BA136&lt;=11,"Riesgo Bajo","Cliente Blindado")))</f>
        <v>Demasiado Riesgo</v>
      </c>
      <c r="BC136" s="471"/>
      <c r="BD136" s="471"/>
      <c r="BE136" s="471">
        <v>0</v>
      </c>
      <c r="BF136" s="471"/>
      <c r="BG136" s="471"/>
      <c r="BH136" s="471"/>
      <c r="BI136" s="471"/>
      <c r="BJ136" s="471"/>
      <c r="BK136" s="471"/>
      <c r="BL136" s="471"/>
      <c r="BM136" s="471"/>
      <c r="BN136" s="471"/>
      <c r="BO136" s="471"/>
      <c r="BP136" s="471"/>
      <c r="BQ136" s="471"/>
      <c r="BR136" s="471"/>
      <c r="BS136" s="471"/>
      <c r="BT136" s="471"/>
      <c r="BU136" s="471"/>
      <c r="BV136" s="471"/>
      <c r="BW136" s="471"/>
      <c r="BX136" s="471"/>
      <c r="BY136" s="471"/>
      <c r="BZ136" s="471"/>
      <c r="CA136" s="471">
        <f>COUNTIF(AI136:AW136,"*OK*")</f>
        <v>0</v>
      </c>
      <c r="CB136" s="471"/>
      <c r="CC136" s="471">
        <f>COUNTIF(AI136:AW136,"*OP*")</f>
        <v>0</v>
      </c>
    </row>
    <row r="137" spans="1:81" ht="15" customHeight="1">
      <c r="A137" s="449">
        <v>23718</v>
      </c>
      <c r="B137" s="450" t="s">
        <v>543</v>
      </c>
      <c r="C137" s="451">
        <f>T137</f>
        <v>170.13</v>
      </c>
      <c r="D137" s="450">
        <f>COUNTIF(AI137:AW137,"*OK*")</f>
        <v>0</v>
      </c>
      <c r="E137" s="450"/>
      <c r="F137" s="453" t="s">
        <v>544</v>
      </c>
      <c r="G137" s="453"/>
      <c r="H137" s="454"/>
      <c r="I137" s="454"/>
      <c r="J137" s="453"/>
      <c r="K137" s="552" t="s">
        <v>68</v>
      </c>
      <c r="L137" s="453" t="s">
        <v>445</v>
      </c>
      <c r="M137" s="453"/>
      <c r="N137" s="456" t="s">
        <v>65</v>
      </c>
      <c r="O137" s="457">
        <v>164.56</v>
      </c>
      <c r="P137" s="457">
        <v>167.67</v>
      </c>
      <c r="Q137" s="457">
        <v>164.44</v>
      </c>
      <c r="R137" s="458">
        <v>169.73</v>
      </c>
      <c r="S137" s="459">
        <v>170.3929</v>
      </c>
      <c r="T137" s="487">
        <v>170.13</v>
      </c>
      <c r="U137" s="461"/>
      <c r="V137" s="462">
        <v>100</v>
      </c>
      <c r="W137" s="463"/>
      <c r="X137" s="567" t="s">
        <v>70</v>
      </c>
      <c r="Y137" s="465" t="s">
        <v>139</v>
      </c>
      <c r="Z137" s="466" t="s">
        <v>545</v>
      </c>
      <c r="AA137" s="462" t="s">
        <v>59</v>
      </c>
      <c r="AB137" s="454" t="s">
        <v>92</v>
      </c>
      <c r="AC137" s="450"/>
      <c r="AD137" s="450"/>
      <c r="AE137" s="450"/>
      <c r="AF137" s="450"/>
      <c r="AG137" s="450"/>
      <c r="AH137" s="496" t="s">
        <v>127</v>
      </c>
      <c r="AI137" s="467"/>
      <c r="AJ137" s="467"/>
      <c r="AK137" s="467"/>
      <c r="AL137" s="467"/>
      <c r="AM137" s="467"/>
      <c r="AN137" s="467"/>
      <c r="AO137" s="467"/>
      <c r="AP137" s="467"/>
      <c r="AQ137" s="467"/>
      <c r="AR137" s="467"/>
      <c r="AS137" s="467"/>
      <c r="AT137" s="467"/>
      <c r="AU137" s="467"/>
      <c r="AV137" s="467"/>
      <c r="AW137" s="467"/>
      <c r="AX137" s="467"/>
      <c r="AY137" s="468">
        <f>COUNTIF(AI137:AX137,"*OP*")</f>
        <v>0</v>
      </c>
      <c r="AZ137" s="466" t="s">
        <v>176</v>
      </c>
      <c r="BA137" s="450">
        <f>(COUNTIF(AI137:AK137,"*OK*")*3) + (COUNTIF(AL137:AN137,"*OK*")*2) + COUNTIF(AO137:AQ137,"*OK*")+COUNTIF(AZ137:AZ137,"SI")*0.5</f>
        <v>0</v>
      </c>
      <c r="BB137" s="450" t="str">
        <f>IF(BA137&lt;0.6,"Demasiado Riesgo",IF(BA137&lt;=5,"Riesgo Medio",IF(BA137&lt;=11,"Riesgo Bajo","Cliente Blindado")))</f>
        <v>Demasiado Riesgo</v>
      </c>
      <c r="BC137" s="450"/>
      <c r="BD137" s="450"/>
      <c r="BE137" s="450">
        <v>0</v>
      </c>
      <c r="BF137" s="450"/>
      <c r="BG137" s="450"/>
      <c r="BH137" s="450"/>
      <c r="BI137" s="450"/>
      <c r="BJ137" s="450"/>
      <c r="BK137" s="450"/>
      <c r="BL137" s="450"/>
      <c r="BM137" s="450"/>
      <c r="BN137" s="450"/>
      <c r="BO137" s="450"/>
      <c r="BP137" s="450"/>
      <c r="BQ137" s="450"/>
      <c r="BR137" s="450"/>
      <c r="BS137" s="450"/>
      <c r="BT137" s="450"/>
      <c r="BU137" s="450"/>
      <c r="BV137" s="450"/>
      <c r="BW137" s="450"/>
      <c r="BX137" s="450"/>
      <c r="BY137" s="450"/>
      <c r="BZ137" s="450"/>
      <c r="CA137" s="450">
        <f>COUNTIF(AI137:AW137,"*OK*")</f>
        <v>0</v>
      </c>
      <c r="CB137" s="450"/>
      <c r="CC137" s="450">
        <f>COUNTIF(AI137:AW137,"*OP*")</f>
        <v>0</v>
      </c>
    </row>
    <row r="138" spans="1:81" ht="15" customHeight="1">
      <c r="A138" s="563">
        <v>22523</v>
      </c>
      <c r="B138" s="536"/>
      <c r="C138" s="451">
        <f>T138</f>
        <v>170.71</v>
      </c>
      <c r="D138" s="471">
        <f>COUNTIF(AI138:AW138,"*OK*")</f>
        <v>0</v>
      </c>
      <c r="E138" s="471"/>
      <c r="F138" s="473" t="s">
        <v>546</v>
      </c>
      <c r="G138" s="473"/>
      <c r="H138" s="474"/>
      <c r="I138" s="474"/>
      <c r="J138" s="473"/>
      <c r="K138" s="475" t="s">
        <v>68</v>
      </c>
      <c r="L138" s="473" t="s">
        <v>445</v>
      </c>
      <c r="M138" s="473"/>
      <c r="N138" s="476" t="s">
        <v>237</v>
      </c>
      <c r="O138" s="477">
        <v>175.5</v>
      </c>
      <c r="P138" s="477">
        <v>176.43</v>
      </c>
      <c r="Q138" s="477">
        <v>166.05</v>
      </c>
      <c r="R138" s="478">
        <v>170.32</v>
      </c>
      <c r="S138" s="459">
        <v>173.69970000000001</v>
      </c>
      <c r="T138" s="469">
        <v>170.71</v>
      </c>
      <c r="U138" s="479"/>
      <c r="V138" s="480">
        <v>150</v>
      </c>
      <c r="W138" s="481"/>
      <c r="X138" s="572" t="s">
        <v>70</v>
      </c>
      <c r="Y138" s="483" t="s">
        <v>299</v>
      </c>
      <c r="Z138" s="484" t="s">
        <v>547</v>
      </c>
      <c r="AA138" s="480" t="s">
        <v>59</v>
      </c>
      <c r="AB138" s="474" t="s">
        <v>97</v>
      </c>
      <c r="AC138" s="471"/>
      <c r="AD138" s="471"/>
      <c r="AE138" s="471"/>
      <c r="AF138" s="471"/>
      <c r="AG138" s="471"/>
      <c r="AH138" s="484" t="s">
        <v>59</v>
      </c>
      <c r="AI138" s="467"/>
      <c r="AJ138" s="467"/>
      <c r="AK138" s="467"/>
      <c r="AL138" s="467" t="s">
        <v>171</v>
      </c>
      <c r="AM138" s="467"/>
      <c r="AN138" s="467"/>
      <c r="AO138" s="467"/>
      <c r="AP138" s="467"/>
      <c r="AQ138" s="467"/>
      <c r="AR138" s="467"/>
      <c r="AS138" s="467"/>
      <c r="AT138" s="467"/>
      <c r="AU138" s="467"/>
      <c r="AV138" s="467"/>
      <c r="AW138" s="467"/>
      <c r="AX138" s="467"/>
      <c r="AY138" s="468">
        <f>COUNTIF(AI138:AX138,"*OP*")</f>
        <v>1</v>
      </c>
      <c r="AZ138" s="484" t="s">
        <v>59</v>
      </c>
      <c r="BA138" s="471">
        <f>(COUNTIF(AI138:AK138,"*OK*")*3) + (COUNTIF(AL138:AN138,"*OK*")*2) + COUNTIF(AO138:AQ138,"*OK*")+COUNTIF(AZ138:AZ138,"SI")*0.5</f>
        <v>0</v>
      </c>
      <c r="BB138" s="471" t="str">
        <f>IF(BA138&lt;0.6,"Demasiado Riesgo",IF(BA138&lt;=5,"Riesgo Medio",IF(BA138&lt;=11,"Riesgo Bajo","Cliente Blindado")))</f>
        <v>Demasiado Riesgo</v>
      </c>
      <c r="BC138" s="471"/>
      <c r="BD138" s="471"/>
      <c r="BE138" s="471">
        <v>0</v>
      </c>
      <c r="BF138" s="471"/>
      <c r="BG138" s="471"/>
      <c r="BH138" s="471"/>
      <c r="BI138" s="471"/>
      <c r="BJ138" s="471"/>
      <c r="BK138" s="471"/>
      <c r="BL138" s="471"/>
      <c r="BM138" s="471"/>
      <c r="BN138" s="471"/>
      <c r="BO138" s="471"/>
      <c r="BP138" s="471"/>
      <c r="BQ138" s="471"/>
      <c r="BR138" s="471"/>
      <c r="BS138" s="471"/>
      <c r="BT138" s="471"/>
      <c r="BU138" s="471"/>
      <c r="BV138" s="471"/>
      <c r="BW138" s="471"/>
      <c r="BX138" s="471"/>
      <c r="BY138" s="471"/>
      <c r="BZ138" s="471"/>
      <c r="CA138" s="471">
        <f>COUNTIF(AI138:AW138,"*OK*")</f>
        <v>0</v>
      </c>
      <c r="CB138" s="471"/>
      <c r="CC138" s="471">
        <f>COUNTIF(AI138:AW138,"*OP*")</f>
        <v>1</v>
      </c>
    </row>
    <row r="139" spans="1:81" ht="15" customHeight="1">
      <c r="A139" s="470">
        <v>36134</v>
      </c>
      <c r="B139" s="471"/>
      <c r="C139" s="451">
        <f>T139</f>
        <v>171.41</v>
      </c>
      <c r="D139" s="471">
        <f>COUNTIF(AI139:AW139,"*OK*")</f>
        <v>0</v>
      </c>
      <c r="E139" s="471"/>
      <c r="F139" s="473" t="s">
        <v>548</v>
      </c>
      <c r="G139" s="473"/>
      <c r="H139" s="474"/>
      <c r="I139" s="474"/>
      <c r="J139" s="473"/>
      <c r="K139" s="475" t="s">
        <v>68</v>
      </c>
      <c r="L139" s="473" t="s">
        <v>445</v>
      </c>
      <c r="M139" s="473"/>
      <c r="N139" s="484" t="s">
        <v>65</v>
      </c>
      <c r="O139" s="477"/>
      <c r="P139" s="477">
        <v>130.38999999999999</v>
      </c>
      <c r="Q139" s="477">
        <v>143.59</v>
      </c>
      <c r="R139" s="478">
        <v>151.06</v>
      </c>
      <c r="S139" s="459">
        <v>164.64750000000001</v>
      </c>
      <c r="T139" s="490">
        <v>171.41</v>
      </c>
      <c r="U139" s="479"/>
      <c r="V139" s="480">
        <v>100</v>
      </c>
      <c r="W139" s="481"/>
      <c r="X139" s="482" t="s">
        <v>70</v>
      </c>
      <c r="Y139" s="483" t="s">
        <v>150</v>
      </c>
      <c r="Z139" s="484" t="s">
        <v>549</v>
      </c>
      <c r="AA139" s="480" t="s">
        <v>59</v>
      </c>
      <c r="AB139" s="474"/>
      <c r="AC139" s="471"/>
      <c r="AD139" s="471"/>
      <c r="AE139" s="471"/>
      <c r="AF139" s="471"/>
      <c r="AG139" s="471"/>
      <c r="AH139" s="485" t="s">
        <v>59</v>
      </c>
      <c r="AI139" s="467"/>
      <c r="AJ139" s="467"/>
      <c r="AK139" s="467"/>
      <c r="AL139" s="467"/>
      <c r="AM139" s="467"/>
      <c r="AN139" s="467"/>
      <c r="AO139" s="467"/>
      <c r="AP139" s="467"/>
      <c r="AQ139" s="467"/>
      <c r="AR139" s="467"/>
      <c r="AS139" s="467"/>
      <c r="AT139" s="467"/>
      <c r="AU139" s="467"/>
      <c r="AV139" s="467"/>
      <c r="AW139" s="467"/>
      <c r="AX139" s="467"/>
      <c r="AY139" s="468">
        <f>COUNTIF(AI139:AX139,"*OP*")</f>
        <v>0</v>
      </c>
      <c r="AZ139" s="484" t="s">
        <v>59</v>
      </c>
      <c r="BA139" s="471">
        <f>(COUNTIF(AI139:AK139,"*OK*")*3) + (COUNTIF(AL139:AN139,"*OK*")*2) + COUNTIF(AO139:AQ139,"*OK*")+COUNTIF(AZ139:AZ139,"SI")*0.5</f>
        <v>0</v>
      </c>
      <c r="BB139" s="471" t="str">
        <f>IF(BA139&lt;0.6,"Demasiado Riesgo",IF(BA139&lt;=5,"Riesgo Medio",IF(BA139&lt;=11,"Riesgo Bajo","Cliente Blindado")))</f>
        <v>Demasiado Riesgo</v>
      </c>
      <c r="BC139" s="471"/>
      <c r="BD139" s="471"/>
      <c r="BE139" s="471">
        <v>0</v>
      </c>
      <c r="BF139" s="471"/>
      <c r="BG139" s="471"/>
      <c r="BH139" s="471"/>
      <c r="BI139" s="471"/>
      <c r="BJ139" s="471"/>
      <c r="BK139" s="471"/>
      <c r="BL139" s="471"/>
      <c r="BM139" s="471"/>
      <c r="BN139" s="471"/>
      <c r="BO139" s="471"/>
      <c r="BP139" s="471"/>
      <c r="BQ139" s="471"/>
      <c r="BR139" s="471"/>
      <c r="BS139" s="471"/>
      <c r="BT139" s="471"/>
      <c r="BU139" s="471"/>
      <c r="BV139" s="471"/>
      <c r="BW139" s="471"/>
      <c r="BX139" s="471"/>
      <c r="BY139" s="471"/>
      <c r="BZ139" s="471"/>
      <c r="CA139" s="471">
        <f>COUNTIF(AI139:AW139,"*OK*")</f>
        <v>0</v>
      </c>
      <c r="CB139" s="471"/>
      <c r="CC139" s="471">
        <f>COUNTIF(AI139:AW139,"*OP*")</f>
        <v>0</v>
      </c>
    </row>
    <row r="140" spans="1:81" ht="15" customHeight="1">
      <c r="A140" s="470">
        <v>24251</v>
      </c>
      <c r="B140" s="471" t="s">
        <v>550</v>
      </c>
      <c r="C140" s="451">
        <f>T140</f>
        <v>175.02</v>
      </c>
      <c r="D140" s="471">
        <f>COUNTIF(AI140:AW140,"*OK*")</f>
        <v>0</v>
      </c>
      <c r="E140" s="471"/>
      <c r="F140" s="473" t="s">
        <v>551</v>
      </c>
      <c r="G140" s="473"/>
      <c r="H140" s="474"/>
      <c r="I140" s="474"/>
      <c r="J140" s="473"/>
      <c r="K140" s="556" t="s">
        <v>68</v>
      </c>
      <c r="L140" s="473" t="s">
        <v>445</v>
      </c>
      <c r="M140" s="473"/>
      <c r="N140" s="476" t="s">
        <v>65</v>
      </c>
      <c r="O140" s="477">
        <v>191.77</v>
      </c>
      <c r="P140" s="477">
        <v>191.59</v>
      </c>
      <c r="Q140" s="477">
        <v>182.59</v>
      </c>
      <c r="R140" s="478">
        <v>169.06</v>
      </c>
      <c r="S140" s="459">
        <v>176.9563</v>
      </c>
      <c r="T140" s="469">
        <v>175.02</v>
      </c>
      <c r="U140" s="479"/>
      <c r="V140" s="480">
        <v>100</v>
      </c>
      <c r="W140" s="481"/>
      <c r="X140" s="493" t="s">
        <v>283</v>
      </c>
      <c r="Y140" s="483" t="s">
        <v>150</v>
      </c>
      <c r="Z140" s="484" t="s">
        <v>552</v>
      </c>
      <c r="AA140" s="480" t="s">
        <v>59</v>
      </c>
      <c r="AB140" s="474" t="s">
        <v>84</v>
      </c>
      <c r="AC140" s="471"/>
      <c r="AD140" s="471"/>
      <c r="AE140" s="471"/>
      <c r="AF140" s="471"/>
      <c r="AG140" s="471"/>
      <c r="AH140" s="484" t="s">
        <v>59</v>
      </c>
      <c r="AI140" s="467"/>
      <c r="AJ140" s="467"/>
      <c r="AK140" s="467"/>
      <c r="AL140" s="467"/>
      <c r="AM140" s="467"/>
      <c r="AN140" s="467"/>
      <c r="AO140" s="467"/>
      <c r="AP140" s="467"/>
      <c r="AQ140" s="467"/>
      <c r="AR140" s="467"/>
      <c r="AS140" s="467"/>
      <c r="AT140" s="467"/>
      <c r="AU140" s="467"/>
      <c r="AV140" s="467"/>
      <c r="AW140" s="467"/>
      <c r="AX140" s="467"/>
      <c r="AY140" s="468">
        <f>COUNTIF(AI140:AX140,"*OP*")</f>
        <v>0</v>
      </c>
      <c r="AZ140" s="484" t="s">
        <v>176</v>
      </c>
      <c r="BA140" s="471">
        <f>(COUNTIF(AI140:AK140,"*OK*")*3) + (COUNTIF(AL140:AN140,"*OK*")*2) + COUNTIF(AO140:AQ140,"*OK*")+COUNTIF(AZ140:AZ140,"SI")*0.5</f>
        <v>0</v>
      </c>
      <c r="BB140" s="471" t="str">
        <f>IF(BA140&lt;0.6,"Demasiado Riesgo",IF(BA140&lt;=5,"Riesgo Medio",IF(BA140&lt;=11,"Riesgo Bajo","Cliente Blindado")))</f>
        <v>Demasiado Riesgo</v>
      </c>
      <c r="BC140" s="471"/>
      <c r="BD140" s="471"/>
      <c r="BE140" s="471">
        <v>0</v>
      </c>
      <c r="BF140" s="471"/>
      <c r="BG140" s="471"/>
      <c r="BH140" s="471"/>
      <c r="BI140" s="471"/>
      <c r="BJ140" s="471"/>
      <c r="BK140" s="471"/>
      <c r="BL140" s="471"/>
      <c r="BM140" s="471"/>
      <c r="BN140" s="471"/>
      <c r="BO140" s="471"/>
      <c r="BP140" s="471"/>
      <c r="BQ140" s="471"/>
      <c r="BR140" s="471"/>
      <c r="BS140" s="471"/>
      <c r="BT140" s="471"/>
      <c r="BU140" s="471"/>
      <c r="BV140" s="471"/>
      <c r="BW140" s="471"/>
      <c r="BX140" s="471"/>
      <c r="BY140" s="471"/>
      <c r="BZ140" s="471"/>
      <c r="CA140" s="471">
        <f>COUNTIF(AI140:AW140,"*OK*")</f>
        <v>0</v>
      </c>
      <c r="CB140" s="471"/>
      <c r="CC140" s="471">
        <f>COUNTIF(AI140:AW140,"*OP*")</f>
        <v>0</v>
      </c>
    </row>
    <row r="141" spans="1:81" ht="15" customHeight="1">
      <c r="A141" s="449">
        <v>23187</v>
      </c>
      <c r="B141" s="450" t="s">
        <v>553</v>
      </c>
      <c r="C141" s="451">
        <f>T141</f>
        <v>175.96</v>
      </c>
      <c r="D141" s="450">
        <f>COUNTIF(AI141:AW141,"*OK*")</f>
        <v>0</v>
      </c>
      <c r="E141" s="450"/>
      <c r="F141" s="453" t="s">
        <v>554</v>
      </c>
      <c r="G141" s="453"/>
      <c r="H141" s="454"/>
      <c r="I141" s="454"/>
      <c r="J141" s="453"/>
      <c r="K141" s="552" t="s">
        <v>68</v>
      </c>
      <c r="L141" s="453" t="s">
        <v>445</v>
      </c>
      <c r="M141" s="453"/>
      <c r="N141" s="456" t="s">
        <v>65</v>
      </c>
      <c r="O141" s="457">
        <v>146.15</v>
      </c>
      <c r="P141" s="457">
        <v>175.76</v>
      </c>
      <c r="Q141" s="457">
        <v>170.07</v>
      </c>
      <c r="R141" s="458">
        <v>151.61000000000001</v>
      </c>
      <c r="S141" s="459">
        <v>188.6919</v>
      </c>
      <c r="T141" s="487">
        <v>175.96</v>
      </c>
      <c r="U141" s="461"/>
      <c r="V141" s="462">
        <v>100</v>
      </c>
      <c r="W141" s="463"/>
      <c r="X141" s="567" t="s">
        <v>70</v>
      </c>
      <c r="Y141" s="465" t="s">
        <v>150</v>
      </c>
      <c r="Z141" s="466" t="s">
        <v>555</v>
      </c>
      <c r="AA141" s="462" t="s">
        <v>59</v>
      </c>
      <c r="AB141" s="454" t="s">
        <v>92</v>
      </c>
      <c r="AC141" s="450"/>
      <c r="AD141" s="450"/>
      <c r="AE141" s="450"/>
      <c r="AF141" s="450"/>
      <c r="AG141" s="450"/>
      <c r="AH141" s="466" t="s">
        <v>59</v>
      </c>
      <c r="AI141" s="467"/>
      <c r="AJ141" s="467"/>
      <c r="AK141" s="467"/>
      <c r="AL141" s="467"/>
      <c r="AM141" s="467"/>
      <c r="AN141" s="467"/>
      <c r="AO141" s="467"/>
      <c r="AP141" s="467"/>
      <c r="AQ141" s="467"/>
      <c r="AR141" s="467"/>
      <c r="AS141" s="467"/>
      <c r="AT141" s="467"/>
      <c r="AU141" s="467"/>
      <c r="AV141" s="467"/>
      <c r="AW141" s="467"/>
      <c r="AX141" s="467"/>
      <c r="AY141" s="468">
        <f>COUNTIF(AI141:AX141,"*OP*")</f>
        <v>0</v>
      </c>
      <c r="AZ141" s="466" t="s">
        <v>176</v>
      </c>
      <c r="BA141" s="450">
        <f>(COUNTIF(AI141:AK141,"*OK*")*3) + (COUNTIF(AL141:AN141,"*OK*")*2) + COUNTIF(AO141:AQ141,"*OK*")+COUNTIF(AZ141:AZ141,"SI")*0.5</f>
        <v>0</v>
      </c>
      <c r="BB141" s="450" t="str">
        <f>IF(BA141&lt;0.6,"Demasiado Riesgo",IF(BA141&lt;=5,"Riesgo Medio",IF(BA141&lt;=11,"Riesgo Bajo","Cliente Blindado")))</f>
        <v>Demasiado Riesgo</v>
      </c>
      <c r="BC141" s="450"/>
      <c r="BD141" s="450"/>
      <c r="BE141" s="450">
        <v>0</v>
      </c>
      <c r="BF141" s="450"/>
      <c r="BG141" s="450"/>
      <c r="BH141" s="450"/>
      <c r="BI141" s="450"/>
      <c r="BJ141" s="450"/>
      <c r="BK141" s="450"/>
      <c r="BL141" s="450"/>
      <c r="BM141" s="450"/>
      <c r="BN141" s="450"/>
      <c r="BO141" s="450"/>
      <c r="BP141" s="450"/>
      <c r="BQ141" s="450"/>
      <c r="BR141" s="450"/>
      <c r="BS141" s="450"/>
      <c r="BT141" s="450"/>
      <c r="BU141" s="450"/>
      <c r="BV141" s="450"/>
      <c r="BW141" s="450"/>
      <c r="BX141" s="450"/>
      <c r="BY141" s="450"/>
      <c r="BZ141" s="450"/>
      <c r="CA141" s="450">
        <f>COUNTIF(AI141:AW141,"*OK*")</f>
        <v>0</v>
      </c>
      <c r="CB141" s="450"/>
      <c r="CC141" s="450">
        <f>COUNTIF(AI141:AW141,"*OP*")</f>
        <v>0</v>
      </c>
    </row>
    <row r="142" spans="1:81" ht="15" customHeight="1">
      <c r="A142" s="470">
        <v>31720</v>
      </c>
      <c r="B142" s="471" t="s">
        <v>556</v>
      </c>
      <c r="C142" s="451">
        <f>T142</f>
        <v>180.13</v>
      </c>
      <c r="D142" s="471">
        <f>COUNTIF(AI142:AW142,"*OK*")</f>
        <v>0</v>
      </c>
      <c r="E142" s="471"/>
      <c r="F142" s="473" t="s">
        <v>557</v>
      </c>
      <c r="G142" s="473"/>
      <c r="H142" s="474"/>
      <c r="I142" s="474"/>
      <c r="J142" s="473"/>
      <c r="K142" s="556" t="s">
        <v>68</v>
      </c>
      <c r="L142" s="473" t="s">
        <v>445</v>
      </c>
      <c r="M142" s="473"/>
      <c r="N142" s="476" t="s">
        <v>65</v>
      </c>
      <c r="O142" s="477">
        <v>185.26</v>
      </c>
      <c r="P142" s="477">
        <v>185.09</v>
      </c>
      <c r="Q142" s="477">
        <v>171.81</v>
      </c>
      <c r="R142" s="478">
        <v>184.43</v>
      </c>
      <c r="S142" s="459">
        <v>191.70750000000001</v>
      </c>
      <c r="T142" s="469">
        <v>180.13</v>
      </c>
      <c r="U142" s="479"/>
      <c r="V142" s="480">
        <v>100</v>
      </c>
      <c r="W142" s="481"/>
      <c r="X142" s="572" t="s">
        <v>70</v>
      </c>
      <c r="Y142" s="483" t="s">
        <v>71</v>
      </c>
      <c r="Z142" s="484" t="s">
        <v>558</v>
      </c>
      <c r="AA142" s="480" t="s">
        <v>59</v>
      </c>
      <c r="AB142" s="474" t="s">
        <v>97</v>
      </c>
      <c r="AC142" s="471"/>
      <c r="AD142" s="471"/>
      <c r="AE142" s="471"/>
      <c r="AF142" s="471"/>
      <c r="AG142" s="471"/>
      <c r="AH142" s="485" t="s">
        <v>59</v>
      </c>
      <c r="AI142" s="467"/>
      <c r="AJ142" s="467" t="s">
        <v>171</v>
      </c>
      <c r="AK142" s="467"/>
      <c r="AL142" s="467"/>
      <c r="AM142" s="467"/>
      <c r="AN142" s="467"/>
      <c r="AO142" s="467"/>
      <c r="AP142" s="467"/>
      <c r="AQ142" s="467"/>
      <c r="AR142" s="467"/>
      <c r="AS142" s="467"/>
      <c r="AT142" s="467"/>
      <c r="AU142" s="467"/>
      <c r="AV142" s="467"/>
      <c r="AW142" s="467"/>
      <c r="AX142" s="467"/>
      <c r="AY142" s="486">
        <f>COUNTIF(AI142:AX142,"*OP*")</f>
        <v>1</v>
      </c>
      <c r="AZ142" s="485" t="s">
        <v>176</v>
      </c>
      <c r="BA142" s="471">
        <f>(COUNTIF(AI142:AK142,"*OK*")*3) + (COUNTIF(AL142:AN142,"*OK*")*2) + COUNTIF(AO142:AQ142,"*OK*")+COUNTIF(AZ142:AZ142,"SI")*0.5</f>
        <v>0</v>
      </c>
      <c r="BB142" s="471" t="str">
        <f>IF(BA142&lt;0.6,"Demasiado Riesgo",IF(BA142&lt;=5,"Riesgo Medio",IF(BA142&lt;=11,"Riesgo Bajo","Cliente Blindado")))</f>
        <v>Demasiado Riesgo</v>
      </c>
      <c r="BC142" s="471"/>
      <c r="BD142" s="471"/>
      <c r="BE142" s="471">
        <v>0</v>
      </c>
      <c r="BF142" s="471"/>
      <c r="BG142" s="471"/>
      <c r="BH142" s="471"/>
      <c r="BI142" s="471"/>
      <c r="BJ142" s="471"/>
      <c r="BK142" s="471"/>
      <c r="BL142" s="471"/>
      <c r="BM142" s="471"/>
      <c r="BN142" s="471"/>
      <c r="BO142" s="471"/>
      <c r="BP142" s="471"/>
      <c r="BQ142" s="471"/>
      <c r="BR142" s="471"/>
      <c r="BS142" s="471"/>
      <c r="BT142" s="471"/>
      <c r="BU142" s="471"/>
      <c r="BV142" s="471"/>
      <c r="BW142" s="471"/>
      <c r="BX142" s="471"/>
      <c r="BY142" s="471"/>
      <c r="BZ142" s="471"/>
      <c r="CA142" s="471">
        <f>COUNTIF(AI142:AW142,"*OK*")</f>
        <v>0</v>
      </c>
      <c r="CB142" s="471"/>
      <c r="CC142" s="471">
        <f>COUNTIF(AI142:AW142,"*OP*")</f>
        <v>1</v>
      </c>
    </row>
    <row r="143" spans="1:81" ht="15" customHeight="1">
      <c r="A143" s="449">
        <v>26558</v>
      </c>
      <c r="B143" s="450" t="s">
        <v>559</v>
      </c>
      <c r="C143" s="451">
        <f>T143</f>
        <v>182.21</v>
      </c>
      <c r="D143" s="450">
        <f>COUNTIF(AI143:AW143,"*OK*")</f>
        <v>0</v>
      </c>
      <c r="E143" s="450"/>
      <c r="F143" s="569" t="s">
        <v>560</v>
      </c>
      <c r="G143" s="453"/>
      <c r="H143" s="454"/>
      <c r="I143" s="454"/>
      <c r="J143" s="453"/>
      <c r="K143" s="552" t="s">
        <v>68</v>
      </c>
      <c r="L143" s="453" t="s">
        <v>445</v>
      </c>
      <c r="M143" s="453"/>
      <c r="N143" s="456" t="s">
        <v>103</v>
      </c>
      <c r="O143" s="457">
        <v>201.27</v>
      </c>
      <c r="P143" s="457">
        <v>184.78</v>
      </c>
      <c r="Q143" s="457">
        <v>176.09</v>
      </c>
      <c r="R143" s="458">
        <v>181.76</v>
      </c>
      <c r="S143" s="459">
        <v>184.232</v>
      </c>
      <c r="T143" s="487">
        <v>182.21</v>
      </c>
      <c r="U143" s="461"/>
      <c r="V143" s="462">
        <v>400</v>
      </c>
      <c r="W143" s="463"/>
      <c r="X143" s="464" t="s">
        <v>251</v>
      </c>
      <c r="Y143" s="465" t="s">
        <v>80</v>
      </c>
      <c r="Z143" s="466" t="s">
        <v>561</v>
      </c>
      <c r="AA143" s="462" t="s">
        <v>59</v>
      </c>
      <c r="AB143" s="454" t="s">
        <v>137</v>
      </c>
      <c r="AC143" s="450"/>
      <c r="AD143" s="450"/>
      <c r="AE143" s="450"/>
      <c r="AF143" s="450"/>
      <c r="AG143" s="450" t="s">
        <v>562</v>
      </c>
      <c r="AH143" s="466" t="s">
        <v>127</v>
      </c>
      <c r="AI143" s="467"/>
      <c r="AJ143" s="467"/>
      <c r="AK143" s="467"/>
      <c r="AL143" s="467"/>
      <c r="AM143" s="467"/>
      <c r="AN143" s="467"/>
      <c r="AO143" s="467"/>
      <c r="AP143" s="467"/>
      <c r="AQ143" s="467"/>
      <c r="AR143" s="467"/>
      <c r="AS143" s="467"/>
      <c r="AT143" s="467"/>
      <c r="AU143" s="467"/>
      <c r="AV143" s="467"/>
      <c r="AW143" s="467"/>
      <c r="AX143" s="467"/>
      <c r="AY143" s="468">
        <f>COUNTIF(AI143:AX143,"*OP*")</f>
        <v>0</v>
      </c>
      <c r="AZ143" s="466" t="s">
        <v>176</v>
      </c>
      <c r="BA143" s="450">
        <f>(COUNTIF(AI143:AK143,"*OK*")*3) + (COUNTIF(AL143:AN143,"*OK*")*2) + COUNTIF(AO143:AQ143,"*OK*")+COUNTIF(AZ143:AZ143,"SI")*0.5</f>
        <v>0</v>
      </c>
      <c r="BB143" s="450" t="str">
        <f>IF(BA143&lt;0.6,"Demasiado Riesgo",IF(BA143&lt;=5,"Riesgo Medio",IF(BA143&lt;=11,"Riesgo Bajo","Cliente Blindado")))</f>
        <v>Demasiado Riesgo</v>
      </c>
      <c r="BC143" s="450"/>
      <c r="BD143" s="450"/>
      <c r="BE143" s="450">
        <v>0</v>
      </c>
      <c r="BF143" s="450"/>
      <c r="BG143" s="450"/>
      <c r="BH143" s="450"/>
      <c r="BI143" s="450"/>
      <c r="BJ143" s="450"/>
      <c r="BK143" s="450"/>
      <c r="BL143" s="450"/>
      <c r="BM143" s="450"/>
      <c r="BN143" s="450"/>
      <c r="BO143" s="450"/>
      <c r="BP143" s="450"/>
      <c r="BQ143" s="450"/>
      <c r="BR143" s="450"/>
      <c r="BS143" s="450"/>
      <c r="BT143" s="450"/>
      <c r="BU143" s="450"/>
      <c r="BV143" s="450"/>
      <c r="BW143" s="450"/>
      <c r="BX143" s="450"/>
      <c r="BY143" s="450"/>
      <c r="BZ143" s="450"/>
      <c r="CA143" s="450">
        <f>COUNTIF(AI143:AW143,"*OK*")</f>
        <v>0</v>
      </c>
      <c r="CB143" s="450"/>
      <c r="CC143" s="450">
        <f>COUNTIF(AI143:AW143,"*OP*")</f>
        <v>0</v>
      </c>
    </row>
    <row r="144" spans="1:81" ht="15" customHeight="1">
      <c r="A144" s="449"/>
      <c r="B144" s="450"/>
      <c r="C144" s="451">
        <f>T144</f>
        <v>182.84</v>
      </c>
      <c r="D144" s="450">
        <f>COUNTIF(AI144:AW144,"*OK*")</f>
        <v>0</v>
      </c>
      <c r="E144" s="450"/>
      <c r="F144" s="453" t="s">
        <v>563</v>
      </c>
      <c r="G144" s="453"/>
      <c r="H144" s="454"/>
      <c r="I144" s="454"/>
      <c r="J144" s="453"/>
      <c r="K144" s="552" t="s">
        <v>68</v>
      </c>
      <c r="L144" s="453" t="s">
        <v>445</v>
      </c>
      <c r="M144" s="453"/>
      <c r="N144" s="456" t="s">
        <v>61</v>
      </c>
      <c r="O144" s="457">
        <v>191.41</v>
      </c>
      <c r="P144" s="457">
        <v>170.96</v>
      </c>
      <c r="Q144" s="457">
        <v>162.91999999999999</v>
      </c>
      <c r="R144" s="458">
        <v>168.16</v>
      </c>
      <c r="S144" s="459">
        <v>181.97890000000001</v>
      </c>
      <c r="T144" s="490">
        <v>182.84</v>
      </c>
      <c r="U144" s="461"/>
      <c r="V144" s="462">
        <v>400</v>
      </c>
      <c r="W144" s="463"/>
      <c r="X144" s="567" t="s">
        <v>70</v>
      </c>
      <c r="Y144" s="465" t="s">
        <v>89</v>
      </c>
      <c r="Z144" s="466" t="s">
        <v>564</v>
      </c>
      <c r="AA144" s="462" t="s">
        <v>59</v>
      </c>
      <c r="AB144" s="454"/>
      <c r="AC144" s="450"/>
      <c r="AD144" s="450"/>
      <c r="AE144" s="450"/>
      <c r="AF144" s="450"/>
      <c r="AG144" s="450"/>
      <c r="AH144" s="466" t="s">
        <v>59</v>
      </c>
      <c r="AI144" s="467"/>
      <c r="AJ144" s="467"/>
      <c r="AK144" s="467"/>
      <c r="AL144" s="467"/>
      <c r="AM144" s="467"/>
      <c r="AN144" s="467"/>
      <c r="AO144" s="467"/>
      <c r="AP144" s="467"/>
      <c r="AQ144" s="467"/>
      <c r="AR144" s="467"/>
      <c r="AS144" s="467"/>
      <c r="AT144" s="467"/>
      <c r="AU144" s="467"/>
      <c r="AV144" s="467"/>
      <c r="AW144" s="467"/>
      <c r="AX144" s="467"/>
      <c r="AY144" s="468">
        <f>COUNTIF(AI144:AX144,"*OP*")</f>
        <v>0</v>
      </c>
      <c r="AZ144" s="466" t="s">
        <v>59</v>
      </c>
      <c r="BA144" s="450">
        <f>(COUNTIF(AI144:AK144,"*OK*")*3) + (COUNTIF(AL144:AN144,"*OK*")*2) + COUNTIF(AO144:AQ144,"*OK*")+COUNTIF(AZ144:AZ144,"SI")*0.5</f>
        <v>0</v>
      </c>
      <c r="BB144" s="450" t="str">
        <f>IF(BA144&lt;0.6,"Demasiado Riesgo",IF(BA144&lt;=5,"Riesgo Medio",IF(BA144&lt;=11,"Riesgo Bajo","Cliente Blindado")))</f>
        <v>Demasiado Riesgo</v>
      </c>
      <c r="BC144" s="450"/>
      <c r="BD144" s="450"/>
      <c r="BE144" s="450">
        <v>0</v>
      </c>
      <c r="BF144" s="450"/>
      <c r="BG144" s="450"/>
      <c r="BH144" s="450"/>
      <c r="BI144" s="450"/>
      <c r="BJ144" s="450"/>
      <c r="BK144" s="450"/>
      <c r="BL144" s="450"/>
      <c r="BM144" s="450"/>
      <c r="BN144" s="450"/>
      <c r="BO144" s="450"/>
      <c r="BP144" s="450"/>
      <c r="BQ144" s="450"/>
      <c r="BR144" s="450"/>
      <c r="BS144" s="450"/>
      <c r="BT144" s="450"/>
      <c r="BU144" s="450"/>
      <c r="BV144" s="450"/>
      <c r="BW144" s="450"/>
      <c r="BX144" s="450"/>
      <c r="BY144" s="450"/>
      <c r="BZ144" s="450"/>
      <c r="CA144" s="450">
        <f>COUNTIF(AI144:AW144,"*OK*")</f>
        <v>0</v>
      </c>
      <c r="CB144" s="450"/>
      <c r="CC144" s="450">
        <f>COUNTIF(AI144:AW144,"*OP*")</f>
        <v>0</v>
      </c>
    </row>
    <row r="145" spans="1:81" ht="15" customHeight="1">
      <c r="A145" s="470">
        <v>26920</v>
      </c>
      <c r="B145" s="471" t="s">
        <v>565</v>
      </c>
      <c r="C145" s="451">
        <f>T145</f>
        <v>187.7</v>
      </c>
      <c r="D145" s="471">
        <f>COUNTIF(AI145:AW145,"*OK*")</f>
        <v>0</v>
      </c>
      <c r="E145" s="471"/>
      <c r="F145" s="473" t="s">
        <v>566</v>
      </c>
      <c r="G145" s="473"/>
      <c r="H145" s="474"/>
      <c r="I145" s="474"/>
      <c r="J145" s="473"/>
      <c r="K145" s="556" t="s">
        <v>68</v>
      </c>
      <c r="L145" s="473" t="s">
        <v>445</v>
      </c>
      <c r="M145" s="473"/>
      <c r="N145" s="476" t="s">
        <v>500</v>
      </c>
      <c r="O145" s="477"/>
      <c r="P145" s="477">
        <v>179.94</v>
      </c>
      <c r="Q145" s="477">
        <v>131.71</v>
      </c>
      <c r="R145" s="478">
        <v>182.13</v>
      </c>
      <c r="S145" s="459">
        <v>184.57859999999999</v>
      </c>
      <c r="T145" s="460">
        <v>187.7</v>
      </c>
      <c r="U145" s="479"/>
      <c r="V145" s="480">
        <v>150</v>
      </c>
      <c r="W145" s="481"/>
      <c r="X145" s="482" t="s">
        <v>70</v>
      </c>
      <c r="Y145" s="483" t="s">
        <v>241</v>
      </c>
      <c r="Z145" s="484" t="s">
        <v>567</v>
      </c>
      <c r="AA145" s="480" t="s">
        <v>241</v>
      </c>
      <c r="AB145" s="474" t="s">
        <v>568</v>
      </c>
      <c r="AC145" s="471"/>
      <c r="AD145" s="471"/>
      <c r="AE145" s="471"/>
      <c r="AF145" s="471"/>
      <c r="AG145" s="471"/>
      <c r="AH145" s="484" t="s">
        <v>59</v>
      </c>
      <c r="AI145" s="467"/>
      <c r="AJ145" s="467"/>
      <c r="AK145" s="467" t="s">
        <v>171</v>
      </c>
      <c r="AL145" s="467"/>
      <c r="AM145" s="467"/>
      <c r="AN145" s="467"/>
      <c r="AO145" s="467"/>
      <c r="AP145" s="467"/>
      <c r="AQ145" s="467"/>
      <c r="AR145" s="467"/>
      <c r="AS145" s="467"/>
      <c r="AT145" s="467"/>
      <c r="AU145" s="467"/>
      <c r="AV145" s="467"/>
      <c r="AW145" s="467"/>
      <c r="AX145" s="467"/>
      <c r="AY145" s="468">
        <f>COUNTIF(AI145:AX145,"*OP*")</f>
        <v>1</v>
      </c>
      <c r="AZ145" s="484" t="s">
        <v>176</v>
      </c>
      <c r="BA145" s="471">
        <f>(COUNTIF(AI145:AK145,"*OK*")*3) + (COUNTIF(AL145:AN145,"*OK*")*2) + COUNTIF(AO145:AQ145,"*OK*")+COUNTIF(AZ145:AZ145,"SI")*0.5</f>
        <v>0</v>
      </c>
      <c r="BB145" s="471" t="str">
        <f>IF(BA145&lt;0.6,"Demasiado Riesgo",IF(BA145&lt;=5,"Riesgo Medio",IF(BA145&lt;=11,"Riesgo Bajo","Cliente Blindado")))</f>
        <v>Demasiado Riesgo</v>
      </c>
      <c r="BC145" s="471"/>
      <c r="BD145" s="471"/>
      <c r="BE145" s="471">
        <v>0</v>
      </c>
      <c r="BF145" s="471"/>
      <c r="BG145" s="471"/>
      <c r="BH145" s="471"/>
      <c r="BI145" s="471"/>
      <c r="BJ145" s="471"/>
      <c r="BK145" s="471"/>
      <c r="BL145" s="471"/>
      <c r="BM145" s="471"/>
      <c r="BN145" s="471"/>
      <c r="BO145" s="471"/>
      <c r="BP145" s="471"/>
      <c r="BQ145" s="471"/>
      <c r="BR145" s="471"/>
      <c r="BS145" s="471"/>
      <c r="BT145" s="471"/>
      <c r="BU145" s="471"/>
      <c r="BV145" s="471"/>
      <c r="BW145" s="471"/>
      <c r="BX145" s="471"/>
      <c r="BY145" s="471"/>
      <c r="BZ145" s="471"/>
      <c r="CA145" s="471">
        <f>COUNTIF(AI145:AW145,"*OK*")</f>
        <v>0</v>
      </c>
      <c r="CB145" s="471"/>
      <c r="CC145" s="471">
        <f>COUNTIF(AI145:AW145,"*OP*")</f>
        <v>1</v>
      </c>
    </row>
    <row r="146" spans="1:81" ht="15" customHeight="1">
      <c r="A146" s="563">
        <v>18593</v>
      </c>
      <c r="B146" s="536"/>
      <c r="C146" s="451">
        <f>T146</f>
        <v>192.8</v>
      </c>
      <c r="D146" s="471">
        <f>COUNTIF(AI146:AW146,"*OK*")</f>
        <v>0</v>
      </c>
      <c r="E146" s="471"/>
      <c r="F146" s="473" t="s">
        <v>569</v>
      </c>
      <c r="G146" s="473"/>
      <c r="H146" s="474"/>
      <c r="I146" s="474"/>
      <c r="J146" s="473" t="s">
        <v>570</v>
      </c>
      <c r="K146" s="475" t="s">
        <v>68</v>
      </c>
      <c r="L146" s="473" t="s">
        <v>445</v>
      </c>
      <c r="M146" s="473"/>
      <c r="N146" s="476" t="s">
        <v>156</v>
      </c>
      <c r="O146" s="477">
        <v>203.3</v>
      </c>
      <c r="P146" s="477">
        <v>204.38</v>
      </c>
      <c r="Q146" s="477">
        <v>177.94</v>
      </c>
      <c r="R146" s="478">
        <v>188.63</v>
      </c>
      <c r="S146" s="459">
        <v>194.93979999999999</v>
      </c>
      <c r="T146" s="469">
        <v>192.8</v>
      </c>
      <c r="U146" s="479"/>
      <c r="V146" s="480">
        <v>150</v>
      </c>
      <c r="W146" s="481"/>
      <c r="X146" s="572" t="s">
        <v>70</v>
      </c>
      <c r="Y146" s="483" t="s">
        <v>139</v>
      </c>
      <c r="Z146" s="484" t="s">
        <v>571</v>
      </c>
      <c r="AA146" s="480" t="s">
        <v>59</v>
      </c>
      <c r="AB146" s="474" t="s">
        <v>92</v>
      </c>
      <c r="AC146" s="471"/>
      <c r="AD146" s="471"/>
      <c r="AE146" s="471"/>
      <c r="AF146" s="471"/>
      <c r="AG146" s="471"/>
      <c r="AH146" s="485" t="s">
        <v>59</v>
      </c>
      <c r="AI146" s="467"/>
      <c r="AJ146" s="467"/>
      <c r="AK146" s="467"/>
      <c r="AL146" s="467"/>
      <c r="AM146" s="467"/>
      <c r="AN146" s="467"/>
      <c r="AO146" s="467"/>
      <c r="AP146" s="467"/>
      <c r="AQ146" s="467"/>
      <c r="AR146" s="467"/>
      <c r="AS146" s="467"/>
      <c r="AT146" s="467"/>
      <c r="AU146" s="467"/>
      <c r="AV146" s="467"/>
      <c r="AW146" s="467"/>
      <c r="AX146" s="467"/>
      <c r="AY146" s="486">
        <f>COUNTIF(AI146:AX146,"*OP*")</f>
        <v>0</v>
      </c>
      <c r="AZ146" s="485" t="s">
        <v>59</v>
      </c>
      <c r="BA146" s="471">
        <f>(COUNTIF(AI146:AK146,"*OK*")*3) + (COUNTIF(AL146:AN146,"*OK*")*2) + COUNTIF(AO146:AQ146,"*OK*")+COUNTIF(AZ146:AZ146,"SI")*0.5</f>
        <v>0</v>
      </c>
      <c r="BB146" s="471" t="str">
        <f>IF(BA146&lt;0.6,"Demasiado Riesgo",IF(BA146&lt;=5,"Riesgo Medio",IF(BA146&lt;=11,"Riesgo Bajo","Cliente Blindado")))</f>
        <v>Demasiado Riesgo</v>
      </c>
      <c r="BC146" s="471"/>
      <c r="BD146" s="471"/>
      <c r="BE146" s="471">
        <v>0</v>
      </c>
      <c r="BF146" s="471"/>
      <c r="BG146" s="471"/>
      <c r="BH146" s="471"/>
      <c r="BI146" s="471"/>
      <c r="BJ146" s="471"/>
      <c r="BK146" s="471"/>
      <c r="BL146" s="471"/>
      <c r="BM146" s="471"/>
      <c r="BN146" s="471"/>
      <c r="BO146" s="471"/>
      <c r="BP146" s="471"/>
      <c r="BQ146" s="471"/>
      <c r="BR146" s="471"/>
      <c r="BS146" s="471"/>
      <c r="BT146" s="471"/>
      <c r="BU146" s="471"/>
      <c r="BV146" s="471"/>
      <c r="BW146" s="471"/>
      <c r="BX146" s="471"/>
      <c r="BY146" s="471"/>
      <c r="BZ146" s="471"/>
      <c r="CA146" s="471">
        <f>COUNTIF(AI146:AW146,"*OK*")</f>
        <v>0</v>
      </c>
      <c r="CB146" s="471"/>
      <c r="CC146" s="471">
        <f>COUNTIF(AI146:AW146,"*OP*")</f>
        <v>0</v>
      </c>
    </row>
    <row r="147" spans="1:81" ht="15" customHeight="1">
      <c r="A147" s="470">
        <v>28545</v>
      </c>
      <c r="B147" s="471" t="s">
        <v>572</v>
      </c>
      <c r="C147" s="451">
        <f>T147</f>
        <v>197.12</v>
      </c>
      <c r="D147" s="471">
        <f>COUNTIF(AI147:AW147,"*OK*")</f>
        <v>0</v>
      </c>
      <c r="E147" s="471"/>
      <c r="F147" s="587" t="s">
        <v>573</v>
      </c>
      <c r="G147" s="473"/>
      <c r="H147" s="474" t="s">
        <v>574</v>
      </c>
      <c r="I147" s="474"/>
      <c r="J147" s="473"/>
      <c r="K147" s="556" t="s">
        <v>68</v>
      </c>
      <c r="L147" s="473" t="s">
        <v>445</v>
      </c>
      <c r="M147" s="473"/>
      <c r="N147" s="476" t="s">
        <v>237</v>
      </c>
      <c r="O147" s="477">
        <v>233.47</v>
      </c>
      <c r="P147" s="477">
        <v>233.25</v>
      </c>
      <c r="Q147" s="477">
        <v>222.29</v>
      </c>
      <c r="R147" s="478">
        <v>132.41999999999999</v>
      </c>
      <c r="S147" s="459">
        <v>136.57079999999999</v>
      </c>
      <c r="T147" s="469">
        <v>197.12</v>
      </c>
      <c r="U147" s="479"/>
      <c r="V147" s="480">
        <v>200</v>
      </c>
      <c r="W147" s="481"/>
      <c r="X147" s="572" t="s">
        <v>70</v>
      </c>
      <c r="Y147" s="483" t="s">
        <v>161</v>
      </c>
      <c r="Z147" s="484" t="s">
        <v>575</v>
      </c>
      <c r="AA147" s="480" t="s">
        <v>161</v>
      </c>
      <c r="AB147" s="474" t="s">
        <v>97</v>
      </c>
      <c r="AC147" s="471"/>
      <c r="AD147" s="471"/>
      <c r="AE147" s="471"/>
      <c r="AF147" s="471"/>
      <c r="AG147" s="471"/>
      <c r="AH147" s="484" t="s">
        <v>127</v>
      </c>
      <c r="AI147" s="467"/>
      <c r="AJ147" s="467"/>
      <c r="AK147" s="467" t="s">
        <v>171</v>
      </c>
      <c r="AL147" s="467"/>
      <c r="AM147" s="467"/>
      <c r="AN147" s="467"/>
      <c r="AO147" s="566"/>
      <c r="AP147" s="467"/>
      <c r="AQ147" s="467"/>
      <c r="AR147" s="467"/>
      <c r="AS147" s="467"/>
      <c r="AT147" s="467"/>
      <c r="AU147" s="467"/>
      <c r="AV147" s="467"/>
      <c r="AW147" s="467"/>
      <c r="AX147" s="467"/>
      <c r="AY147" s="468">
        <f>COUNTIF(AI147:AX147,"*OP*")</f>
        <v>1</v>
      </c>
      <c r="AZ147" s="484" t="s">
        <v>176</v>
      </c>
      <c r="BA147" s="471">
        <f>(COUNTIF(AI147:AK147,"*OK*")*3) + (COUNTIF(AL147:AN147,"*OK*")*2) + COUNTIF(AO147:AQ147,"*OK*")+COUNTIF(AZ147:AZ147,"SI")*0.5</f>
        <v>0</v>
      </c>
      <c r="BB147" s="471" t="str">
        <f>IF(BA147&lt;0.6,"Demasiado Riesgo",IF(BA147&lt;=5,"Riesgo Medio",IF(BA147&lt;=11,"Riesgo Bajo","Cliente Blindado")))</f>
        <v>Demasiado Riesgo</v>
      </c>
      <c r="BC147" s="471"/>
      <c r="BD147" s="471"/>
      <c r="BE147" s="471">
        <v>0</v>
      </c>
      <c r="BF147" s="471"/>
      <c r="BG147" s="471"/>
      <c r="BH147" s="471"/>
      <c r="BI147" s="471"/>
      <c r="BJ147" s="471"/>
      <c r="BK147" s="471"/>
      <c r="BL147" s="471"/>
      <c r="BM147" s="471"/>
      <c r="BN147" s="471"/>
      <c r="BO147" s="471"/>
      <c r="BP147" s="471"/>
      <c r="BQ147" s="471"/>
      <c r="BR147" s="471"/>
      <c r="BS147" s="471"/>
      <c r="BT147" s="471"/>
      <c r="BU147" s="471"/>
      <c r="BV147" s="471"/>
      <c r="BW147" s="471"/>
      <c r="BX147" s="471"/>
      <c r="BY147" s="471"/>
      <c r="BZ147" s="471"/>
      <c r="CA147" s="471">
        <f>COUNTIF(AI147:AW147,"*OK*")</f>
        <v>0</v>
      </c>
      <c r="CB147" s="471"/>
      <c r="CC147" s="471">
        <f>COUNTIF(AI147:AW147,"*OP*")</f>
        <v>1</v>
      </c>
    </row>
    <row r="148" spans="1:81" ht="15" customHeight="1">
      <c r="A148" s="449">
        <v>19640</v>
      </c>
      <c r="B148" s="450" t="s">
        <v>576</v>
      </c>
      <c r="C148" s="451">
        <f>T148</f>
        <v>198.6</v>
      </c>
      <c r="D148" s="450">
        <f>COUNTIF(AI148:AW148,"*OK*")</f>
        <v>1</v>
      </c>
      <c r="E148" s="450"/>
      <c r="F148" s="453" t="s">
        <v>577</v>
      </c>
      <c r="G148" s="453"/>
      <c r="H148" s="454"/>
      <c r="I148" s="454"/>
      <c r="J148" s="453"/>
      <c r="K148" s="552" t="s">
        <v>68</v>
      </c>
      <c r="L148" s="453" t="s">
        <v>445</v>
      </c>
      <c r="M148" s="453"/>
      <c r="N148" s="456" t="s">
        <v>65</v>
      </c>
      <c r="O148" s="457">
        <v>221.35</v>
      </c>
      <c r="P148" s="457">
        <v>211.29</v>
      </c>
      <c r="Q148" s="457">
        <v>191.96</v>
      </c>
      <c r="R148" s="458">
        <v>188.43</v>
      </c>
      <c r="S148" s="459">
        <v>194.24709999999999</v>
      </c>
      <c r="T148" s="490">
        <v>198.6</v>
      </c>
      <c r="U148" s="461"/>
      <c r="V148" s="462">
        <v>200</v>
      </c>
      <c r="W148" s="463"/>
      <c r="X148" s="464" t="s">
        <v>229</v>
      </c>
      <c r="Y148" s="465" t="s">
        <v>80</v>
      </c>
      <c r="Z148" s="466" t="s">
        <v>578</v>
      </c>
      <c r="AA148" s="462" t="s">
        <v>59</v>
      </c>
      <c r="AB148" s="454" t="s">
        <v>568</v>
      </c>
      <c r="AC148" s="450"/>
      <c r="AD148" s="450"/>
      <c r="AE148" s="450"/>
      <c r="AF148" s="450"/>
      <c r="AG148" s="450"/>
      <c r="AH148" s="499" t="s">
        <v>127</v>
      </c>
      <c r="AI148" s="467"/>
      <c r="AJ148" s="467"/>
      <c r="AK148" s="467"/>
      <c r="AL148" s="467"/>
      <c r="AM148" s="467"/>
      <c r="AN148" s="467"/>
      <c r="AO148" s="467"/>
      <c r="AP148" s="565" t="s">
        <v>111</v>
      </c>
      <c r="AQ148" s="467"/>
      <c r="AR148" s="467"/>
      <c r="AS148" s="467"/>
      <c r="AT148" s="467"/>
      <c r="AU148" s="467"/>
      <c r="AV148" s="467"/>
      <c r="AW148" s="467"/>
      <c r="AX148" s="467"/>
      <c r="AY148" s="468">
        <f>COUNTIF(AI148:AX148,"*OP*")</f>
        <v>0</v>
      </c>
      <c r="AZ148" s="466" t="s">
        <v>176</v>
      </c>
      <c r="BA148" s="450">
        <f>(COUNTIF(AI148:AK148,"*OK*")*3) + (COUNTIF(AL148:AN148,"*OK*")*2) + COUNTIF(AO148:AQ148,"*OK*")+COUNTIF(AZ148:AZ148,"SI")*0.5</f>
        <v>1</v>
      </c>
      <c r="BB148" s="450" t="str">
        <f>IF(BA148&lt;0.6,"Demasiado Riesgo",IF(BA148&lt;=5,"Riesgo Medio",IF(BA148&lt;=11,"Riesgo Bajo","Cliente Blindado")))</f>
        <v>Riesgo Medio</v>
      </c>
      <c r="BC148" s="450"/>
      <c r="BD148" s="450"/>
      <c r="BE148" s="450">
        <v>0</v>
      </c>
      <c r="BF148" s="450"/>
      <c r="BG148" s="450"/>
      <c r="BH148" s="450"/>
      <c r="BI148" s="450"/>
      <c r="BJ148" s="450"/>
      <c r="BK148" s="450"/>
      <c r="BL148" s="450"/>
      <c r="BM148" s="450"/>
      <c r="BN148" s="450"/>
      <c r="BO148" s="450"/>
      <c r="BP148" s="450"/>
      <c r="BQ148" s="450"/>
      <c r="BR148" s="450"/>
      <c r="BS148" s="450"/>
      <c r="BT148" s="450"/>
      <c r="BU148" s="450"/>
      <c r="BV148" s="450"/>
      <c r="BW148" s="450"/>
      <c r="BX148" s="450"/>
      <c r="BY148" s="450"/>
      <c r="BZ148" s="450"/>
      <c r="CA148" s="450">
        <f>COUNTIF(AI148:AW148,"*OK*")</f>
        <v>1</v>
      </c>
      <c r="CB148" s="450"/>
      <c r="CC148" s="450">
        <f>COUNTIF(AI148:AW148,"*OP*")</f>
        <v>0</v>
      </c>
    </row>
    <row r="149" spans="1:81" ht="15" customHeight="1">
      <c r="A149" s="449">
        <v>24521</v>
      </c>
      <c r="B149" s="450" t="s">
        <v>579</v>
      </c>
      <c r="C149" s="451">
        <f>T149</f>
        <v>203.73</v>
      </c>
      <c r="D149" s="450">
        <f>COUNTIF(AI149:AW149,"*OK*")</f>
        <v>0</v>
      </c>
      <c r="E149" s="450"/>
      <c r="F149" s="601" t="s">
        <v>580</v>
      </c>
      <c r="G149" s="601"/>
      <c r="H149" s="454"/>
      <c r="I149" s="602"/>
      <c r="J149" s="601"/>
      <c r="K149" s="552" t="s">
        <v>68</v>
      </c>
      <c r="L149" s="453" t="s">
        <v>445</v>
      </c>
      <c r="M149" s="453"/>
      <c r="N149" s="456" t="s">
        <v>65</v>
      </c>
      <c r="O149" s="457">
        <v>183.01</v>
      </c>
      <c r="P149" s="457">
        <v>187.85</v>
      </c>
      <c r="Q149" s="457">
        <v>182.6</v>
      </c>
      <c r="R149" s="458">
        <v>197.1</v>
      </c>
      <c r="S149" s="459">
        <v>196.00399999999999</v>
      </c>
      <c r="T149" s="490">
        <v>203.73</v>
      </c>
      <c r="U149" s="461"/>
      <c r="V149" s="462">
        <v>200</v>
      </c>
      <c r="W149" s="463"/>
      <c r="X149" s="562" t="s">
        <v>70</v>
      </c>
      <c r="Y149" s="465" t="s">
        <v>161</v>
      </c>
      <c r="Z149" s="466" t="s">
        <v>581</v>
      </c>
      <c r="AA149" s="462" t="s">
        <v>59</v>
      </c>
      <c r="AB149" s="454" t="s">
        <v>97</v>
      </c>
      <c r="AC149" s="450"/>
      <c r="AD149" s="450"/>
      <c r="AE149" s="450"/>
      <c r="AF149" s="450"/>
      <c r="AG149" s="450"/>
      <c r="AH149" s="466" t="s">
        <v>59</v>
      </c>
      <c r="AI149" s="467"/>
      <c r="AJ149" s="467"/>
      <c r="AK149" s="467" t="s">
        <v>171</v>
      </c>
      <c r="AL149" s="467"/>
      <c r="AM149" s="467"/>
      <c r="AN149" s="467"/>
      <c r="AO149" s="467"/>
      <c r="AP149" s="467"/>
      <c r="AQ149" s="467"/>
      <c r="AR149" s="467"/>
      <c r="AS149" s="467"/>
      <c r="AT149" s="467"/>
      <c r="AU149" s="467"/>
      <c r="AV149" s="467"/>
      <c r="AW149" s="467"/>
      <c r="AX149" s="467"/>
      <c r="AY149" s="468">
        <f>COUNTIF(AI149:AX149,"*OP*")</f>
        <v>1</v>
      </c>
      <c r="AZ149" s="466" t="s">
        <v>59</v>
      </c>
      <c r="BA149" s="450">
        <f>(COUNTIF(AI149:AK149,"*OK*")*3) + (COUNTIF(AL149:AN149,"*OK*")*2) + COUNTIF(AO149:AQ149,"*OK*")+COUNTIF(AZ149:AZ149,"SI")*0.5</f>
        <v>0</v>
      </c>
      <c r="BB149" s="450" t="str">
        <f>IF(BA149&lt;0.6,"Demasiado Riesgo",IF(BA149&lt;=5,"Riesgo Medio",IF(BA149&lt;=11,"Riesgo Bajo","Cliente Blindado")))</f>
        <v>Demasiado Riesgo</v>
      </c>
      <c r="BC149" s="450"/>
      <c r="BD149" s="450"/>
      <c r="BE149" s="450">
        <v>0</v>
      </c>
      <c r="BF149" s="450"/>
      <c r="BG149" s="450"/>
      <c r="BH149" s="450"/>
      <c r="BI149" s="450"/>
      <c r="BJ149" s="450"/>
      <c r="BK149" s="450"/>
      <c r="BL149" s="450"/>
      <c r="BM149" s="450"/>
      <c r="BN149" s="450"/>
      <c r="BO149" s="450"/>
      <c r="BP149" s="450"/>
      <c r="BQ149" s="450"/>
      <c r="BR149" s="450"/>
      <c r="BS149" s="450"/>
      <c r="BT149" s="450"/>
      <c r="BU149" s="450"/>
      <c r="BV149" s="450"/>
      <c r="BW149" s="450"/>
      <c r="BX149" s="450"/>
      <c r="BY149" s="450"/>
      <c r="BZ149" s="450"/>
      <c r="CA149" s="450">
        <f>COUNTIF(AI149:AW149,"*OK*")</f>
        <v>0</v>
      </c>
      <c r="CB149" s="450"/>
      <c r="CC149" s="450">
        <f>COUNTIF(AI149:AW149,"*OP*")</f>
        <v>1</v>
      </c>
    </row>
    <row r="150" spans="1:81" ht="15" customHeight="1">
      <c r="A150" s="470">
        <v>34899</v>
      </c>
      <c r="B150" s="471"/>
      <c r="C150" s="451">
        <f>T150</f>
        <v>204.27</v>
      </c>
      <c r="D150" s="471">
        <f>COUNTIF(AI150:AW150,"*OK*")</f>
        <v>0</v>
      </c>
      <c r="E150" s="471"/>
      <c r="F150" s="473" t="s">
        <v>582</v>
      </c>
      <c r="G150" s="473"/>
      <c r="H150" s="474"/>
      <c r="I150" s="474"/>
      <c r="J150" s="473"/>
      <c r="K150" s="556" t="s">
        <v>68</v>
      </c>
      <c r="L150" s="473" t="s">
        <v>445</v>
      </c>
      <c r="M150" s="473"/>
      <c r="N150" s="476" t="s">
        <v>65</v>
      </c>
      <c r="O150" s="477">
        <v>197.79</v>
      </c>
      <c r="P150" s="477">
        <v>200.8</v>
      </c>
      <c r="Q150" s="477">
        <v>194.4</v>
      </c>
      <c r="R150" s="478">
        <v>203.79</v>
      </c>
      <c r="S150" s="459">
        <v>209.709</v>
      </c>
      <c r="T150" s="469">
        <v>204.27</v>
      </c>
      <c r="U150" s="479"/>
      <c r="V150" s="480">
        <v>200</v>
      </c>
      <c r="W150" s="481"/>
      <c r="X150" s="572" t="s">
        <v>70</v>
      </c>
      <c r="Y150" s="483" t="s">
        <v>233</v>
      </c>
      <c r="Z150" s="484" t="s">
        <v>583</v>
      </c>
      <c r="AA150" s="480" t="s">
        <v>59</v>
      </c>
      <c r="AB150" s="474" t="s">
        <v>568</v>
      </c>
      <c r="AC150" s="471"/>
      <c r="AD150" s="471"/>
      <c r="AE150" s="471"/>
      <c r="AF150" s="471"/>
      <c r="AG150" s="471"/>
      <c r="AH150" s="485" t="s">
        <v>59</v>
      </c>
      <c r="AI150" s="467"/>
      <c r="AJ150" s="467"/>
      <c r="AK150" s="467"/>
      <c r="AL150" s="467"/>
      <c r="AM150" s="467"/>
      <c r="AN150" s="467"/>
      <c r="AO150" s="467"/>
      <c r="AP150" s="467"/>
      <c r="AQ150" s="467"/>
      <c r="AR150" s="467"/>
      <c r="AS150" s="467"/>
      <c r="AT150" s="467"/>
      <c r="AU150" s="467"/>
      <c r="AV150" s="467"/>
      <c r="AW150" s="467"/>
      <c r="AX150" s="467"/>
      <c r="AY150" s="486">
        <f>COUNTIF(AI150:AX150,"*OP*")</f>
        <v>0</v>
      </c>
      <c r="AZ150" s="485" t="s">
        <v>59</v>
      </c>
      <c r="BA150" s="471">
        <f>(COUNTIF(AI150:AK150,"*OK*")*3) + (COUNTIF(AL150:AN150,"*OK*")*2) + COUNTIF(AO150:AQ150,"*OK*")+COUNTIF(AZ150:AZ150,"SI")*0.5</f>
        <v>0</v>
      </c>
      <c r="BB150" s="471" t="str">
        <f>IF(BA150&lt;0.6,"Demasiado Riesgo",IF(BA150&lt;=5,"Riesgo Medio",IF(BA150&lt;=11,"Riesgo Bajo","Cliente Blindado")))</f>
        <v>Demasiado Riesgo</v>
      </c>
      <c r="BC150" s="471"/>
      <c r="BD150" s="471"/>
      <c r="BE150" s="471">
        <v>0</v>
      </c>
      <c r="BF150" s="471"/>
      <c r="BG150" s="471"/>
      <c r="BH150" s="471"/>
      <c r="BI150" s="471"/>
      <c r="BJ150" s="471"/>
      <c r="BK150" s="471"/>
      <c r="BL150" s="471"/>
      <c r="BM150" s="471"/>
      <c r="BN150" s="471"/>
      <c r="BO150" s="471"/>
      <c r="BP150" s="471"/>
      <c r="BQ150" s="471"/>
      <c r="BR150" s="471"/>
      <c r="BS150" s="471"/>
      <c r="BT150" s="471"/>
      <c r="BU150" s="471"/>
      <c r="BV150" s="471"/>
      <c r="BW150" s="471"/>
      <c r="BX150" s="471"/>
      <c r="BY150" s="471"/>
      <c r="BZ150" s="471"/>
      <c r="CA150" s="471">
        <f>COUNTIF(AI150:AW150,"*OK*")</f>
        <v>0</v>
      </c>
      <c r="CB150" s="471"/>
      <c r="CC150" s="471">
        <f>COUNTIF(AI150:AW150,"*OP*")</f>
        <v>0</v>
      </c>
    </row>
    <row r="151" spans="1:81" ht="15" customHeight="1">
      <c r="A151" s="449">
        <v>26038</v>
      </c>
      <c r="B151" s="450" t="s">
        <v>584</v>
      </c>
      <c r="C151" s="451">
        <f>T151</f>
        <v>208.35</v>
      </c>
      <c r="D151" s="450">
        <f>COUNTIF(AI151:AW151,"*OK*")</f>
        <v>0</v>
      </c>
      <c r="E151" s="450"/>
      <c r="F151" s="453" t="s">
        <v>585</v>
      </c>
      <c r="G151" s="601"/>
      <c r="H151" s="454"/>
      <c r="I151" s="602"/>
      <c r="J151" s="601"/>
      <c r="K151" s="552" t="s">
        <v>68</v>
      </c>
      <c r="L151" s="453" t="s">
        <v>445</v>
      </c>
      <c r="M151" s="453"/>
      <c r="N151" s="456" t="s">
        <v>65</v>
      </c>
      <c r="O151" s="457">
        <v>205.87</v>
      </c>
      <c r="P151" s="457">
        <v>208.5</v>
      </c>
      <c r="Q151" s="457">
        <v>209.44</v>
      </c>
      <c r="R151" s="458">
        <v>207.87</v>
      </c>
      <c r="S151" s="459">
        <v>205.0446</v>
      </c>
      <c r="T151" s="490">
        <v>208.35</v>
      </c>
      <c r="U151" s="461"/>
      <c r="V151" s="462">
        <v>100</v>
      </c>
      <c r="W151" s="463"/>
      <c r="X151" s="562" t="s">
        <v>70</v>
      </c>
      <c r="Y151" s="465" t="s">
        <v>125</v>
      </c>
      <c r="Z151" s="466" t="s">
        <v>586</v>
      </c>
      <c r="AA151" s="462" t="s">
        <v>59</v>
      </c>
      <c r="AB151" s="454" t="s">
        <v>97</v>
      </c>
      <c r="AC151" s="450"/>
      <c r="AD151" s="450"/>
      <c r="AE151" s="450"/>
      <c r="AF151" s="450"/>
      <c r="AG151" s="450"/>
      <c r="AH151" s="466" t="s">
        <v>59</v>
      </c>
      <c r="AI151" s="467"/>
      <c r="AJ151" s="467"/>
      <c r="AK151" s="467"/>
      <c r="AL151" s="467"/>
      <c r="AM151" s="467"/>
      <c r="AN151" s="467"/>
      <c r="AO151" s="467"/>
      <c r="AP151" s="467"/>
      <c r="AQ151" s="467"/>
      <c r="AR151" s="467"/>
      <c r="AS151" s="467"/>
      <c r="AT151" s="467"/>
      <c r="AU151" s="467"/>
      <c r="AV151" s="467"/>
      <c r="AW151" s="467"/>
      <c r="AX151" s="467"/>
      <c r="AY151" s="468">
        <f>COUNTIF(AI151:AX151,"*OP*")</f>
        <v>0</v>
      </c>
      <c r="AZ151" s="466" t="s">
        <v>176</v>
      </c>
      <c r="BA151" s="450">
        <f>(COUNTIF(AI151:AK151,"*OK*")*3) + (COUNTIF(AL151:AN151,"*OK*")*2) + COUNTIF(AO151:AQ151,"*OK*")+COUNTIF(AZ151:AZ151,"SI")*0.5</f>
        <v>0</v>
      </c>
      <c r="BB151" s="450" t="str">
        <f>IF(BA151&lt;0.6,"Demasiado Riesgo",IF(BA151&lt;=5,"Riesgo Medio",IF(BA151&lt;=11,"Riesgo Bajo","Cliente Blindado")))</f>
        <v>Demasiado Riesgo</v>
      </c>
      <c r="BC151" s="450"/>
      <c r="BD151" s="450"/>
      <c r="BE151" s="450">
        <v>0</v>
      </c>
      <c r="BF151" s="450"/>
      <c r="BG151" s="450"/>
      <c r="BH151" s="450"/>
      <c r="BI151" s="450"/>
      <c r="BJ151" s="450"/>
      <c r="BK151" s="450"/>
      <c r="BL151" s="450"/>
      <c r="BM151" s="450"/>
      <c r="BN151" s="450"/>
      <c r="BO151" s="450"/>
      <c r="BP151" s="450"/>
      <c r="BQ151" s="450"/>
      <c r="BR151" s="450"/>
      <c r="BS151" s="450"/>
      <c r="BT151" s="450"/>
      <c r="BU151" s="450"/>
      <c r="BV151" s="450"/>
      <c r="BW151" s="450"/>
      <c r="BX151" s="450"/>
      <c r="BY151" s="450"/>
      <c r="BZ151" s="450"/>
      <c r="CA151" s="450">
        <f>COUNTIF(AI151:AW151,"*OK*")</f>
        <v>0</v>
      </c>
      <c r="CB151" s="450"/>
      <c r="CC151" s="450">
        <f>COUNTIF(AI151:AW151,"*OP*")</f>
        <v>0</v>
      </c>
    </row>
    <row r="152" spans="1:81" ht="15" customHeight="1">
      <c r="A152" s="470">
        <v>24389</v>
      </c>
      <c r="B152" s="471" t="s">
        <v>587</v>
      </c>
      <c r="C152" s="451">
        <f>T152</f>
        <v>209.44</v>
      </c>
      <c r="D152" s="471">
        <f>COUNTIF(AI152:AW152,"*OK*")</f>
        <v>0</v>
      </c>
      <c r="E152" s="471"/>
      <c r="F152" s="473" t="s">
        <v>588</v>
      </c>
      <c r="G152" s="473"/>
      <c r="H152" s="474"/>
      <c r="I152" s="474"/>
      <c r="J152" s="473"/>
      <c r="K152" s="556" t="s">
        <v>68</v>
      </c>
      <c r="L152" s="473" t="s">
        <v>445</v>
      </c>
      <c r="M152" s="473"/>
      <c r="N152" s="476" t="s">
        <v>117</v>
      </c>
      <c r="O152" s="477">
        <v>210.61</v>
      </c>
      <c r="P152" s="477">
        <v>210.41</v>
      </c>
      <c r="Q152" s="477">
        <v>190.97</v>
      </c>
      <c r="R152" s="478">
        <v>193.18</v>
      </c>
      <c r="S152" s="459">
        <v>191.78149999999999</v>
      </c>
      <c r="T152" s="460">
        <v>209.44</v>
      </c>
      <c r="U152" s="479"/>
      <c r="V152" s="480">
        <v>100</v>
      </c>
      <c r="W152" s="481"/>
      <c r="X152" s="482" t="s">
        <v>70</v>
      </c>
      <c r="Y152" s="483" t="s">
        <v>71</v>
      </c>
      <c r="Z152" s="484" t="s">
        <v>589</v>
      </c>
      <c r="AA152" s="480" t="s">
        <v>119</v>
      </c>
      <c r="AB152" s="474" t="s">
        <v>92</v>
      </c>
      <c r="AC152" s="471"/>
      <c r="AD152" s="471"/>
      <c r="AE152" s="471"/>
      <c r="AF152" s="471"/>
      <c r="AG152" s="471"/>
      <c r="AH152" s="485" t="s">
        <v>127</v>
      </c>
      <c r="AI152" s="467"/>
      <c r="AJ152" s="467"/>
      <c r="AK152" s="467"/>
      <c r="AL152" s="467"/>
      <c r="AM152" s="467"/>
      <c r="AN152" s="467"/>
      <c r="AO152" s="467"/>
      <c r="AP152" s="467"/>
      <c r="AQ152" s="467"/>
      <c r="AR152" s="467"/>
      <c r="AS152" s="467"/>
      <c r="AT152" s="467"/>
      <c r="AU152" s="467"/>
      <c r="AV152" s="467"/>
      <c r="AW152" s="467"/>
      <c r="AX152" s="467"/>
      <c r="AY152" s="486">
        <f>COUNTIF(AI152:AX152,"*OP*")</f>
        <v>0</v>
      </c>
      <c r="AZ152" s="485" t="s">
        <v>176</v>
      </c>
      <c r="BA152" s="471">
        <f>(COUNTIF(AI152:AK152,"*OK*")*3) + (COUNTIF(AL152:AN152,"*OK*")*2) + COUNTIF(AO152:AQ152,"*OK*")+COUNTIF(AZ152:AZ152,"SI")*0.5</f>
        <v>0</v>
      </c>
      <c r="BB152" s="471" t="str">
        <f>IF(BA152&lt;0.6,"Demasiado Riesgo",IF(BA152&lt;=5,"Riesgo Medio",IF(BA152&lt;=11,"Riesgo Bajo","Cliente Blindado")))</f>
        <v>Demasiado Riesgo</v>
      </c>
      <c r="BC152" s="471"/>
      <c r="BD152" s="471"/>
      <c r="BE152" s="471">
        <v>0</v>
      </c>
      <c r="BF152" s="471"/>
      <c r="BG152" s="471"/>
      <c r="BH152" s="471"/>
      <c r="BI152" s="471"/>
      <c r="BJ152" s="471"/>
      <c r="BK152" s="471"/>
      <c r="BL152" s="471"/>
      <c r="BM152" s="471"/>
      <c r="BN152" s="471"/>
      <c r="BO152" s="471"/>
      <c r="BP152" s="471"/>
      <c r="BQ152" s="471"/>
      <c r="BR152" s="471"/>
      <c r="BS152" s="471"/>
      <c r="BT152" s="471"/>
      <c r="BU152" s="471"/>
      <c r="BV152" s="471"/>
      <c r="BW152" s="471"/>
      <c r="BX152" s="471"/>
      <c r="BY152" s="471"/>
      <c r="BZ152" s="471"/>
      <c r="CA152" s="471">
        <f>COUNTIF(AI152:AW152,"*OK*")</f>
        <v>0</v>
      </c>
      <c r="CB152" s="471"/>
      <c r="CC152" s="471">
        <f>COUNTIF(AI152:AW152,"*OP*")</f>
        <v>0</v>
      </c>
    </row>
    <row r="153" spans="1:81" ht="15" customHeight="1">
      <c r="A153" s="449">
        <v>23124</v>
      </c>
      <c r="B153" s="450" t="s">
        <v>590</v>
      </c>
      <c r="C153" s="451">
        <f>T153</f>
        <v>210.69</v>
      </c>
      <c r="D153" s="450">
        <f>COUNTIF(AI153:AW153,"*OK*")</f>
        <v>0</v>
      </c>
      <c r="E153" s="450"/>
      <c r="F153" s="453" t="s">
        <v>591</v>
      </c>
      <c r="G153" s="453"/>
      <c r="H153" s="454"/>
      <c r="I153" s="454"/>
      <c r="J153" s="453"/>
      <c r="K153" s="552" t="s">
        <v>68</v>
      </c>
      <c r="L153" s="453" t="s">
        <v>445</v>
      </c>
      <c r="M153" s="453"/>
      <c r="N153" s="456" t="s">
        <v>103</v>
      </c>
      <c r="O153" s="457">
        <v>221.56</v>
      </c>
      <c r="P153" s="457">
        <v>315.61</v>
      </c>
      <c r="Q153" s="457">
        <v>277.79000000000002</v>
      </c>
      <c r="R153" s="458">
        <v>251.16</v>
      </c>
      <c r="S153" s="459">
        <v>215.21289999999999</v>
      </c>
      <c r="T153" s="487">
        <v>210.69</v>
      </c>
      <c r="U153" s="461"/>
      <c r="V153" s="462">
        <v>200</v>
      </c>
      <c r="W153" s="463"/>
      <c r="X153" s="464" t="s">
        <v>251</v>
      </c>
      <c r="Y153" s="465" t="s">
        <v>80</v>
      </c>
      <c r="Z153" s="466" t="s">
        <v>592</v>
      </c>
      <c r="AA153" s="462" t="s">
        <v>59</v>
      </c>
      <c r="AB153" s="454" t="s">
        <v>92</v>
      </c>
      <c r="AC153" s="450"/>
      <c r="AD153" s="450"/>
      <c r="AE153" s="450"/>
      <c r="AF153" s="450"/>
      <c r="AG153" s="450"/>
      <c r="AH153" s="496" t="s">
        <v>127</v>
      </c>
      <c r="AI153" s="467"/>
      <c r="AJ153" s="467"/>
      <c r="AK153" s="467"/>
      <c r="AL153" s="467"/>
      <c r="AM153" s="467"/>
      <c r="AN153" s="467"/>
      <c r="AO153" s="467"/>
      <c r="AP153" s="467"/>
      <c r="AQ153" s="467"/>
      <c r="AR153" s="467"/>
      <c r="AS153" s="467"/>
      <c r="AT153" s="467"/>
      <c r="AU153" s="467"/>
      <c r="AV153" s="467"/>
      <c r="AW153" s="467"/>
      <c r="AX153" s="467"/>
      <c r="AY153" s="486">
        <f>COUNTIF(AI153:AX153,"*OP*")</f>
        <v>0</v>
      </c>
      <c r="AZ153" s="499" t="s">
        <v>176</v>
      </c>
      <c r="BA153" s="450">
        <f>(COUNTIF(AI153:AK153,"*OK*")*3) + (COUNTIF(AL153:AN153,"*OK*")*2) + COUNTIF(AO153:AQ153,"*OK*")+COUNTIF(AZ153:AZ153,"SI")*0.5</f>
        <v>0</v>
      </c>
      <c r="BB153" s="450" t="str">
        <f>IF(BA153&lt;0.6,"Demasiado Riesgo",IF(BA153&lt;=5,"Riesgo Medio",IF(BA153&lt;=11,"Riesgo Bajo","Cliente Blindado")))</f>
        <v>Demasiado Riesgo</v>
      </c>
      <c r="BC153" s="450"/>
      <c r="BD153" s="450"/>
      <c r="BE153" s="450">
        <v>0</v>
      </c>
      <c r="BF153" s="450"/>
      <c r="BG153" s="450"/>
      <c r="BH153" s="450"/>
      <c r="BI153" s="450"/>
      <c r="BJ153" s="450"/>
      <c r="BK153" s="450"/>
      <c r="BL153" s="450"/>
      <c r="BM153" s="450"/>
      <c r="BN153" s="450"/>
      <c r="BO153" s="450"/>
      <c r="BP153" s="450"/>
      <c r="BQ153" s="450"/>
      <c r="BR153" s="450"/>
      <c r="BS153" s="450"/>
      <c r="BT153" s="450"/>
      <c r="BU153" s="450"/>
      <c r="BV153" s="450"/>
      <c r="BW153" s="450"/>
      <c r="BX153" s="450"/>
      <c r="BY153" s="450"/>
      <c r="BZ153" s="450"/>
      <c r="CA153" s="450">
        <f>COUNTIF(AI153:AW153,"*OK*")</f>
        <v>0</v>
      </c>
      <c r="CB153" s="450"/>
      <c r="CC153" s="450">
        <f>COUNTIF(AI153:AW153,"*OP*")</f>
        <v>0</v>
      </c>
    </row>
    <row r="154" spans="1:81" ht="15" customHeight="1">
      <c r="A154" s="449">
        <v>27824</v>
      </c>
      <c r="B154" s="450" t="s">
        <v>593</v>
      </c>
      <c r="C154" s="451">
        <f>T154</f>
        <v>213.28</v>
      </c>
      <c r="D154" s="450">
        <f>COUNTIF(AI154:AW154,"*OK*")</f>
        <v>0</v>
      </c>
      <c r="E154" s="450"/>
      <c r="F154" s="453" t="s">
        <v>594</v>
      </c>
      <c r="G154" s="453" t="s">
        <v>595</v>
      </c>
      <c r="H154" s="454"/>
      <c r="I154" s="454"/>
      <c r="J154" s="453"/>
      <c r="K154" s="552" t="s">
        <v>68</v>
      </c>
      <c r="L154" s="453" t="s">
        <v>445</v>
      </c>
      <c r="M154" s="453"/>
      <c r="N154" s="456" t="s">
        <v>65</v>
      </c>
      <c r="O154" s="457">
        <v>235.46</v>
      </c>
      <c r="P154" s="457">
        <v>227.13</v>
      </c>
      <c r="Q154" s="457">
        <v>185.53</v>
      </c>
      <c r="R154" s="458">
        <v>268.66000000000003</v>
      </c>
      <c r="S154" s="459">
        <v>269.5598</v>
      </c>
      <c r="T154" s="487">
        <v>213.28</v>
      </c>
      <c r="U154" s="461"/>
      <c r="V154" s="462">
        <v>200</v>
      </c>
      <c r="W154" s="463"/>
      <c r="X154" s="567" t="s">
        <v>70</v>
      </c>
      <c r="Y154" s="465" t="s">
        <v>161</v>
      </c>
      <c r="Z154" s="466" t="s">
        <v>596</v>
      </c>
      <c r="AA154" s="462" t="s">
        <v>59</v>
      </c>
      <c r="AB154" s="454" t="s">
        <v>517</v>
      </c>
      <c r="AC154" s="450"/>
      <c r="AD154" s="450"/>
      <c r="AE154" s="450"/>
      <c r="AF154" s="450"/>
      <c r="AG154" s="450"/>
      <c r="AH154" s="496" t="s">
        <v>127</v>
      </c>
      <c r="AI154" s="467"/>
      <c r="AJ154" s="467"/>
      <c r="AK154" s="467" t="s">
        <v>171</v>
      </c>
      <c r="AL154" s="467"/>
      <c r="AM154" s="467"/>
      <c r="AN154" s="467"/>
      <c r="AO154" s="467"/>
      <c r="AP154" s="467"/>
      <c r="AQ154" s="467"/>
      <c r="AR154" s="467"/>
      <c r="AS154" s="467"/>
      <c r="AT154" s="467"/>
      <c r="AU154" s="467"/>
      <c r="AV154" s="467"/>
      <c r="AW154" s="467"/>
      <c r="AX154" s="467"/>
      <c r="AY154" s="486">
        <f>COUNTIF(AI154:AX154,"*OP*")</f>
        <v>1</v>
      </c>
      <c r="AZ154" s="499" t="s">
        <v>176</v>
      </c>
      <c r="BA154" s="450">
        <f>(COUNTIF(AI154:AK154,"*OK*")*3) + (COUNTIF(AL154:AN154,"*OK*")*2) + COUNTIF(AO154:AQ154,"*OK*")+COUNTIF(AZ154:AZ154,"SI")*0.5</f>
        <v>0</v>
      </c>
      <c r="BB154" s="450" t="str">
        <f>IF(BA154&lt;0.6,"Demasiado Riesgo",IF(BA154&lt;=5,"Riesgo Medio",IF(BA154&lt;=11,"Riesgo Bajo","Cliente Blindado")))</f>
        <v>Demasiado Riesgo</v>
      </c>
      <c r="BC154" s="450"/>
      <c r="BD154" s="450"/>
      <c r="BE154" s="450">
        <v>0</v>
      </c>
      <c r="BF154" s="450"/>
      <c r="BG154" s="450"/>
      <c r="BH154" s="450"/>
      <c r="BI154" s="450"/>
      <c r="BJ154" s="450"/>
      <c r="BK154" s="450"/>
      <c r="BL154" s="450"/>
      <c r="BM154" s="450"/>
      <c r="BN154" s="450"/>
      <c r="BO154" s="450"/>
      <c r="BP154" s="450"/>
      <c r="BQ154" s="450"/>
      <c r="BR154" s="450"/>
      <c r="BS154" s="450"/>
      <c r="BT154" s="450"/>
      <c r="BU154" s="450"/>
      <c r="BV154" s="450"/>
      <c r="BW154" s="450"/>
      <c r="BX154" s="450"/>
      <c r="BY154" s="450"/>
      <c r="BZ154" s="450"/>
      <c r="CA154" s="450">
        <f>COUNTIF(AI154:AW154,"*OK*")</f>
        <v>0</v>
      </c>
      <c r="CB154" s="450"/>
      <c r="CC154" s="450">
        <f>COUNTIF(AI154:AW154,"*OP*")</f>
        <v>1</v>
      </c>
    </row>
    <row r="155" spans="1:81" ht="15" customHeight="1">
      <c r="A155" s="563">
        <v>7305</v>
      </c>
      <c r="B155" s="536" t="s">
        <v>597</v>
      </c>
      <c r="C155" s="451">
        <f>T155</f>
        <v>217.12</v>
      </c>
      <c r="D155" s="471">
        <f>COUNTIF(AI155:AW155,"*OK*")</f>
        <v>0</v>
      </c>
      <c r="E155" s="471"/>
      <c r="F155" s="473" t="s">
        <v>598</v>
      </c>
      <c r="G155" s="473"/>
      <c r="H155" s="474"/>
      <c r="I155" s="474"/>
      <c r="J155" s="473"/>
      <c r="K155" s="475" t="s">
        <v>68</v>
      </c>
      <c r="L155" s="473" t="s">
        <v>445</v>
      </c>
      <c r="M155" s="473"/>
      <c r="N155" s="476" t="s">
        <v>174</v>
      </c>
      <c r="O155" s="477"/>
      <c r="P155" s="477"/>
      <c r="Q155" s="477">
        <v>213.17</v>
      </c>
      <c r="R155" s="478">
        <v>215.48</v>
      </c>
      <c r="S155" s="459">
        <v>217.2192</v>
      </c>
      <c r="T155" s="469">
        <v>217.12</v>
      </c>
      <c r="U155" s="479"/>
      <c r="V155" s="480">
        <v>200</v>
      </c>
      <c r="W155" s="481"/>
      <c r="X155" s="572" t="s">
        <v>70</v>
      </c>
      <c r="Y155" s="483" t="s">
        <v>150</v>
      </c>
      <c r="Z155" s="484" t="s">
        <v>599</v>
      </c>
      <c r="AA155" s="480" t="s">
        <v>59</v>
      </c>
      <c r="AB155" s="474" t="s">
        <v>92</v>
      </c>
      <c r="AC155" s="471"/>
      <c r="AD155" s="471"/>
      <c r="AE155" s="471"/>
      <c r="AF155" s="471"/>
      <c r="AG155" s="471"/>
      <c r="AH155" s="494" t="s">
        <v>127</v>
      </c>
      <c r="AI155" s="467"/>
      <c r="AJ155" s="467"/>
      <c r="AK155" s="467" t="s">
        <v>600</v>
      </c>
      <c r="AL155" s="467"/>
      <c r="AM155" s="467"/>
      <c r="AN155" s="467"/>
      <c r="AO155" s="467"/>
      <c r="AP155" s="467"/>
      <c r="AQ155" s="467"/>
      <c r="AR155" s="467"/>
      <c r="AS155" s="467"/>
      <c r="AT155" s="467"/>
      <c r="AU155" s="467"/>
      <c r="AV155" s="467"/>
      <c r="AW155" s="467"/>
      <c r="AX155" s="467"/>
      <c r="AY155" s="486">
        <f>COUNTIF(AI155:AX155,"*OP*")</f>
        <v>0</v>
      </c>
      <c r="AZ155" s="485" t="s">
        <v>176</v>
      </c>
      <c r="BA155" s="471">
        <f>(COUNTIF(AI155:AK155,"*OK*")*3) + (COUNTIF(AL155:AN155,"*OK*")*2) + COUNTIF(AO155:AQ155,"*OK*")+COUNTIF(AZ155:AZ155,"SI")*0.5</f>
        <v>0</v>
      </c>
      <c r="BB155" s="471" t="str">
        <f>IF(BA155&lt;0.6,"Demasiado Riesgo",IF(BA155&lt;=5,"Riesgo Medio",IF(BA155&lt;=11,"Riesgo Bajo","Cliente Blindado")))</f>
        <v>Demasiado Riesgo</v>
      </c>
      <c r="BC155" s="471"/>
      <c r="BD155" s="471"/>
      <c r="BE155" s="471">
        <v>0</v>
      </c>
      <c r="BF155" s="471"/>
      <c r="BG155" s="471"/>
      <c r="BH155" s="471"/>
      <c r="BI155" s="471"/>
      <c r="BJ155" s="471"/>
      <c r="BK155" s="471"/>
      <c r="BL155" s="471"/>
      <c r="BM155" s="471"/>
      <c r="BN155" s="471"/>
      <c r="BO155" s="471"/>
      <c r="BP155" s="471"/>
      <c r="BQ155" s="471"/>
      <c r="BR155" s="471"/>
      <c r="BS155" s="471"/>
      <c r="BT155" s="471"/>
      <c r="BU155" s="471"/>
      <c r="BV155" s="471"/>
      <c r="BW155" s="471"/>
      <c r="BX155" s="471"/>
      <c r="BY155" s="471"/>
      <c r="BZ155" s="471"/>
      <c r="CA155" s="471">
        <f>COUNTIF(AI155:AW155,"*OK*")</f>
        <v>0</v>
      </c>
      <c r="CB155" s="471"/>
      <c r="CC155" s="471">
        <f>COUNTIF(AI155:AW155,"*OP*")</f>
        <v>0</v>
      </c>
    </row>
    <row r="156" spans="1:81" ht="15" customHeight="1">
      <c r="A156" s="449">
        <v>34424</v>
      </c>
      <c r="B156" s="450"/>
      <c r="C156" s="451">
        <f>T156</f>
        <v>217.12</v>
      </c>
      <c r="D156" s="450">
        <f>COUNTIF(AI156:AW156,"*OK*")</f>
        <v>0</v>
      </c>
      <c r="E156" s="450"/>
      <c r="F156" s="453" t="s">
        <v>601</v>
      </c>
      <c r="G156" s="453"/>
      <c r="H156" s="454"/>
      <c r="I156" s="454"/>
      <c r="J156" s="453"/>
      <c r="K156" s="455" t="s">
        <v>68</v>
      </c>
      <c r="L156" s="453" t="s">
        <v>445</v>
      </c>
      <c r="M156" s="453"/>
      <c r="N156" s="456" t="s">
        <v>191</v>
      </c>
      <c r="O156" s="457">
        <v>182.71</v>
      </c>
      <c r="P156" s="457">
        <v>173.85</v>
      </c>
      <c r="Q156" s="457">
        <v>168.44</v>
      </c>
      <c r="R156" s="458">
        <v>176.71</v>
      </c>
      <c r="S156" s="459">
        <v>202.19880000000001</v>
      </c>
      <c r="T156" s="490">
        <v>217.12</v>
      </c>
      <c r="U156" s="461"/>
      <c r="V156" s="462">
        <v>100</v>
      </c>
      <c r="W156" s="463"/>
      <c r="X156" s="567" t="s">
        <v>70</v>
      </c>
      <c r="Y156" s="465" t="s">
        <v>71</v>
      </c>
      <c r="Z156" s="466" t="s">
        <v>602</v>
      </c>
      <c r="AA156" s="462" t="s">
        <v>59</v>
      </c>
      <c r="AB156" s="454" t="s">
        <v>84</v>
      </c>
      <c r="AC156" s="450"/>
      <c r="AD156" s="450"/>
      <c r="AE156" s="450"/>
      <c r="AF156" s="450"/>
      <c r="AG156" s="450"/>
      <c r="AH156" s="496" t="s">
        <v>59</v>
      </c>
      <c r="AI156" s="467"/>
      <c r="AJ156" s="467"/>
      <c r="AK156" s="467"/>
      <c r="AL156" s="467"/>
      <c r="AM156" s="467"/>
      <c r="AN156" s="467"/>
      <c r="AO156" s="467"/>
      <c r="AP156" s="467"/>
      <c r="AQ156" s="467"/>
      <c r="AR156" s="467"/>
      <c r="AS156" s="467"/>
      <c r="AT156" s="467"/>
      <c r="AU156" s="467"/>
      <c r="AV156" s="467"/>
      <c r="AW156" s="467"/>
      <c r="AX156" s="467"/>
      <c r="AY156" s="486">
        <f>COUNTIF(AI156:AX156,"*OP*")</f>
        <v>0</v>
      </c>
      <c r="AZ156" s="499" t="s">
        <v>59</v>
      </c>
      <c r="BA156" s="450">
        <f>(COUNTIF(AI156:AK156,"*OK*")*3) + (COUNTIF(AL156:AN156,"*OK*")*2) + COUNTIF(AO156:AQ156,"*OK*")+COUNTIF(AZ156:AZ156,"SI")*0.5</f>
        <v>0</v>
      </c>
      <c r="BB156" s="450" t="str">
        <f>IF(BA156&lt;0.6,"Demasiado Riesgo",IF(BA156&lt;=5,"Riesgo Medio",IF(BA156&lt;=11,"Riesgo Bajo","Cliente Blindado")))</f>
        <v>Demasiado Riesgo</v>
      </c>
      <c r="BC156" s="450"/>
      <c r="BD156" s="450"/>
      <c r="BE156" s="450">
        <v>0</v>
      </c>
      <c r="BF156" s="450"/>
      <c r="BG156" s="450"/>
      <c r="BH156" s="450"/>
      <c r="BI156" s="450"/>
      <c r="BJ156" s="450"/>
      <c r="BK156" s="450"/>
      <c r="BL156" s="450"/>
      <c r="BM156" s="450"/>
      <c r="BN156" s="450"/>
      <c r="BO156" s="450"/>
      <c r="BP156" s="450"/>
      <c r="BQ156" s="450"/>
      <c r="BR156" s="450"/>
      <c r="BS156" s="450"/>
      <c r="BT156" s="450"/>
      <c r="BU156" s="450"/>
      <c r="BV156" s="450"/>
      <c r="BW156" s="450"/>
      <c r="BX156" s="450"/>
      <c r="BY156" s="450"/>
      <c r="BZ156" s="450"/>
      <c r="CA156" s="450">
        <f>COUNTIF(AI156:AW156,"*OK*")</f>
        <v>0</v>
      </c>
      <c r="CB156" s="450"/>
      <c r="CC156" s="450">
        <f>COUNTIF(AI156:AW156,"*OP*")</f>
        <v>0</v>
      </c>
    </row>
    <row r="157" spans="1:81" ht="15" customHeight="1">
      <c r="A157" s="470">
        <v>17466</v>
      </c>
      <c r="B157" s="471" t="s">
        <v>603</v>
      </c>
      <c r="C157" s="451">
        <f>T157</f>
        <v>218.54</v>
      </c>
      <c r="D157" s="471">
        <f>COUNTIF(AI157:AW157,"*OK*")</f>
        <v>0</v>
      </c>
      <c r="E157" s="471"/>
      <c r="F157" s="473" t="s">
        <v>604</v>
      </c>
      <c r="G157" s="603"/>
      <c r="H157" s="474"/>
      <c r="I157" s="604"/>
      <c r="J157" s="603"/>
      <c r="K157" s="556" t="s">
        <v>68</v>
      </c>
      <c r="L157" s="473" t="s">
        <v>445</v>
      </c>
      <c r="M157" s="473"/>
      <c r="N157" s="476" t="s">
        <v>65</v>
      </c>
      <c r="O157" s="477">
        <v>232.41</v>
      </c>
      <c r="P157" s="477">
        <v>214.61</v>
      </c>
      <c r="Q157" s="477">
        <v>207.87</v>
      </c>
      <c r="R157" s="478">
        <v>214.56</v>
      </c>
      <c r="S157" s="459">
        <v>217.45150000000001</v>
      </c>
      <c r="T157" s="460">
        <v>218.54</v>
      </c>
      <c r="U157" s="479"/>
      <c r="V157" s="480">
        <v>100</v>
      </c>
      <c r="W157" s="481"/>
      <c r="X157" s="482" t="s">
        <v>70</v>
      </c>
      <c r="Y157" s="483" t="s">
        <v>289</v>
      </c>
      <c r="Z157" s="484" t="s">
        <v>605</v>
      </c>
      <c r="AA157" s="480" t="s">
        <v>59</v>
      </c>
      <c r="AB157" s="474" t="s">
        <v>97</v>
      </c>
      <c r="AC157" s="471"/>
      <c r="AD157" s="471"/>
      <c r="AE157" s="471"/>
      <c r="AF157" s="471"/>
      <c r="AG157" s="471"/>
      <c r="AH157" s="484" t="s">
        <v>59</v>
      </c>
      <c r="AI157" s="467"/>
      <c r="AJ157" s="467"/>
      <c r="AK157" s="467"/>
      <c r="AL157" s="467" t="s">
        <v>606</v>
      </c>
      <c r="AM157" s="467"/>
      <c r="AN157" s="467"/>
      <c r="AO157" s="467"/>
      <c r="AP157" s="467"/>
      <c r="AQ157" s="467"/>
      <c r="AR157" s="467"/>
      <c r="AS157" s="467"/>
      <c r="AT157" s="467"/>
      <c r="AU157" s="467"/>
      <c r="AV157" s="467"/>
      <c r="AW157" s="467"/>
      <c r="AX157" s="467"/>
      <c r="AY157" s="468">
        <f>COUNTIF(AI157:AX157,"*OP*")</f>
        <v>1</v>
      </c>
      <c r="AZ157" s="484" t="s">
        <v>176</v>
      </c>
      <c r="BA157" s="471">
        <f>(COUNTIF(AI157:AK157,"*OK*")*3) + (COUNTIF(AL157:AN157,"*OK*")*2) + COUNTIF(AO157:AQ157,"*OK*")+COUNTIF(AZ157:AZ157,"SI")*0.5</f>
        <v>0</v>
      </c>
      <c r="BB157" s="471" t="str">
        <f>IF(BA157&lt;0.6,"Demasiado Riesgo",IF(BA157&lt;=5,"Riesgo Medio",IF(BA157&lt;=11,"Riesgo Bajo","Cliente Blindado")))</f>
        <v>Demasiado Riesgo</v>
      </c>
      <c r="BC157" s="471"/>
      <c r="BD157" s="471"/>
      <c r="BE157" s="471">
        <v>0</v>
      </c>
      <c r="BF157" s="471"/>
      <c r="BG157" s="471"/>
      <c r="BH157" s="471"/>
      <c r="BI157" s="471"/>
      <c r="BJ157" s="471"/>
      <c r="BK157" s="471"/>
      <c r="BL157" s="471"/>
      <c r="BM157" s="471"/>
      <c r="BN157" s="471"/>
      <c r="BO157" s="471"/>
      <c r="BP157" s="471"/>
      <c r="BQ157" s="471"/>
      <c r="BR157" s="471"/>
      <c r="BS157" s="471"/>
      <c r="BT157" s="471"/>
      <c r="BU157" s="471"/>
      <c r="BV157" s="471"/>
      <c r="BW157" s="471"/>
      <c r="BX157" s="471"/>
      <c r="BY157" s="471"/>
      <c r="BZ157" s="471"/>
      <c r="CA157" s="471">
        <f>COUNTIF(AI157:AW157,"*OK*")</f>
        <v>0</v>
      </c>
      <c r="CB157" s="471"/>
      <c r="CC157" s="471">
        <f>COUNTIF(AI157:AW157,"*OP*")</f>
        <v>1</v>
      </c>
    </row>
    <row r="158" spans="1:81" ht="15" customHeight="1">
      <c r="A158" s="449">
        <v>35561</v>
      </c>
      <c r="B158" s="450"/>
      <c r="C158" s="451">
        <f>T158</f>
        <v>219.98</v>
      </c>
      <c r="D158" s="450">
        <f>COUNTIF(AI158:AW158,"*OK*")</f>
        <v>0</v>
      </c>
      <c r="E158" s="450"/>
      <c r="F158" s="452" t="s">
        <v>607</v>
      </c>
      <c r="G158" s="453"/>
      <c r="H158" s="454"/>
      <c r="I158" s="454"/>
      <c r="J158" s="453"/>
      <c r="K158" s="455" t="s">
        <v>68</v>
      </c>
      <c r="L158" s="453" t="s">
        <v>445</v>
      </c>
      <c r="M158" s="453"/>
      <c r="N158" s="456" t="s">
        <v>65</v>
      </c>
      <c r="O158" s="457">
        <v>179.81</v>
      </c>
      <c r="P158" s="457">
        <v>81.13</v>
      </c>
      <c r="Q158" s="457">
        <v>149.11000000000001</v>
      </c>
      <c r="R158" s="458">
        <v>171.01</v>
      </c>
      <c r="S158" s="459">
        <v>193.53309999999999</v>
      </c>
      <c r="T158" s="490">
        <v>219.98</v>
      </c>
      <c r="U158" s="461">
        <v>43</v>
      </c>
      <c r="V158" s="462">
        <v>100</v>
      </c>
      <c r="W158" s="463"/>
      <c r="X158" s="567" t="s">
        <v>70</v>
      </c>
      <c r="Y158" s="465" t="s">
        <v>161</v>
      </c>
      <c r="Z158" s="466" t="s">
        <v>608</v>
      </c>
      <c r="AA158" s="462" t="s">
        <v>59</v>
      </c>
      <c r="AB158" s="454"/>
      <c r="AC158" s="450"/>
      <c r="AD158" s="450"/>
      <c r="AE158" s="450"/>
      <c r="AF158" s="450"/>
      <c r="AG158" s="450"/>
      <c r="AH158" s="499" t="s">
        <v>59</v>
      </c>
      <c r="AI158" s="467"/>
      <c r="AJ158" s="467"/>
      <c r="AK158" s="467" t="s">
        <v>609</v>
      </c>
      <c r="AL158" s="467"/>
      <c r="AM158" s="467"/>
      <c r="AN158" s="467"/>
      <c r="AO158" s="467"/>
      <c r="AP158" s="467"/>
      <c r="AQ158" s="467"/>
      <c r="AR158" s="467"/>
      <c r="AS158" s="467"/>
      <c r="AT158" s="467"/>
      <c r="AU158" s="467"/>
      <c r="AV158" s="467"/>
      <c r="AW158" s="467"/>
      <c r="AX158" s="467"/>
      <c r="AY158" s="468">
        <f>COUNTIF(AI158:AX158,"*OP*")</f>
        <v>1</v>
      </c>
      <c r="AZ158" s="466" t="s">
        <v>59</v>
      </c>
      <c r="BA158" s="450">
        <f>(COUNTIF(AI158:AK158,"*OK*")*3) + (COUNTIF(AL158:AN158,"*OK*")*2) + COUNTIF(AO158:AQ158,"*OK*")+COUNTIF(AZ158:AZ158,"SI")*0.5</f>
        <v>0</v>
      </c>
      <c r="BB158" s="450" t="str">
        <f>IF(BA158&lt;0.6,"Demasiado Riesgo",IF(BA158&lt;=5,"Riesgo Medio",IF(BA158&lt;=11,"Riesgo Bajo","Cliente Blindado")))</f>
        <v>Demasiado Riesgo</v>
      </c>
      <c r="BC158" s="450"/>
      <c r="BD158" s="450"/>
      <c r="BE158" s="450">
        <v>0</v>
      </c>
      <c r="BF158" s="450"/>
      <c r="BG158" s="450"/>
      <c r="BH158" s="450"/>
      <c r="BI158" s="450"/>
      <c r="BJ158" s="450"/>
      <c r="BK158" s="450"/>
      <c r="BL158" s="450"/>
      <c r="BM158" s="450"/>
      <c r="BN158" s="450"/>
      <c r="BO158" s="450"/>
      <c r="BP158" s="450"/>
      <c r="BQ158" s="450"/>
      <c r="BR158" s="450"/>
      <c r="BS158" s="450"/>
      <c r="BT158" s="450"/>
      <c r="BU158" s="450"/>
      <c r="BV158" s="450"/>
      <c r="BW158" s="450"/>
      <c r="BX158" s="450"/>
      <c r="BY158" s="450"/>
      <c r="BZ158" s="450"/>
      <c r="CA158" s="450">
        <f>COUNTIF(AI158:AW158,"*OK*")</f>
        <v>0</v>
      </c>
      <c r="CB158" s="450"/>
      <c r="CC158" s="450">
        <f>COUNTIF(AI158:AW158,"*OP*")</f>
        <v>1</v>
      </c>
    </row>
    <row r="159" spans="1:81" s="570" customFormat="1" ht="15" customHeight="1">
      <c r="A159" s="449">
        <v>25961</v>
      </c>
      <c r="B159" s="450" t="s">
        <v>610</v>
      </c>
      <c r="C159" s="451">
        <f>T159</f>
        <v>227.25</v>
      </c>
      <c r="D159" s="450">
        <f>COUNTIF(AI159:AW159,"*OK*")</f>
        <v>1</v>
      </c>
      <c r="E159" s="450"/>
      <c r="F159" s="453" t="s">
        <v>611</v>
      </c>
      <c r="G159" s="453"/>
      <c r="H159" s="454"/>
      <c r="I159" s="454"/>
      <c r="J159" s="453"/>
      <c r="K159" s="552" t="s">
        <v>68</v>
      </c>
      <c r="L159" s="453" t="s">
        <v>445</v>
      </c>
      <c r="M159" s="453"/>
      <c r="N159" s="456" t="s">
        <v>237</v>
      </c>
      <c r="O159" s="457">
        <v>218.1</v>
      </c>
      <c r="P159" s="457">
        <v>245.51</v>
      </c>
      <c r="Q159" s="457">
        <v>231.58</v>
      </c>
      <c r="R159" s="458">
        <v>226.72</v>
      </c>
      <c r="S159" s="459">
        <v>229.7706</v>
      </c>
      <c r="T159" s="487">
        <v>227.25</v>
      </c>
      <c r="U159" s="461"/>
      <c r="V159" s="462">
        <v>500</v>
      </c>
      <c r="W159" s="463"/>
      <c r="X159" s="464" t="s">
        <v>251</v>
      </c>
      <c r="Y159" s="465" t="s">
        <v>161</v>
      </c>
      <c r="Z159" s="466" t="s">
        <v>612</v>
      </c>
      <c r="AA159" s="462" t="s">
        <v>161</v>
      </c>
      <c r="AB159" s="454" t="s">
        <v>92</v>
      </c>
      <c r="AC159" s="450"/>
      <c r="AD159" s="450"/>
      <c r="AE159" s="450"/>
      <c r="AF159" s="450"/>
      <c r="AG159" s="450"/>
      <c r="AH159" s="496" t="s">
        <v>127</v>
      </c>
      <c r="AI159" s="467"/>
      <c r="AJ159" s="467" t="s">
        <v>171</v>
      </c>
      <c r="AK159" s="565" t="s">
        <v>613</v>
      </c>
      <c r="AL159" s="467"/>
      <c r="AM159" s="467"/>
      <c r="AN159" s="467"/>
      <c r="AO159" s="467"/>
      <c r="AP159" s="467"/>
      <c r="AQ159" s="467"/>
      <c r="AR159" s="467"/>
      <c r="AS159" s="467"/>
      <c r="AT159" s="467"/>
      <c r="AU159" s="467"/>
      <c r="AV159" s="467"/>
      <c r="AW159" s="467"/>
      <c r="AX159" s="467"/>
      <c r="AY159" s="468">
        <f>COUNTIF(AI159:AX159,"*OP*")</f>
        <v>1</v>
      </c>
      <c r="AZ159" s="466" t="s">
        <v>176</v>
      </c>
      <c r="BA159" s="450">
        <f>(COUNTIF(AI159:AK159,"*OK*")*3) + (COUNTIF(AL159:AN159,"*OK*")*2) + COUNTIF(AO159:AQ159,"*OK*")+COUNTIF(AZ159:AZ159,"SI")*0.5</f>
        <v>3</v>
      </c>
      <c r="BB159" s="450" t="str">
        <f>IF(BA159&lt;0.6,"Demasiado Riesgo",IF(BA159&lt;=5,"Riesgo Medio",IF(BA159&lt;=11,"Riesgo Bajo","Cliente Blindado")))</f>
        <v>Riesgo Medio</v>
      </c>
      <c r="BC159" s="450"/>
      <c r="BD159" s="450"/>
      <c r="BE159" s="450">
        <v>0</v>
      </c>
      <c r="BF159" s="450"/>
      <c r="BG159" s="450"/>
      <c r="BH159" s="450"/>
      <c r="BI159" s="450"/>
      <c r="BJ159" s="450"/>
      <c r="BK159" s="450"/>
      <c r="BL159" s="450"/>
      <c r="BM159" s="450"/>
      <c r="BN159" s="450"/>
      <c r="BO159" s="450"/>
      <c r="BP159" s="450"/>
      <c r="BQ159" s="450"/>
      <c r="BR159" s="450"/>
      <c r="BS159" s="450"/>
      <c r="BT159" s="450"/>
      <c r="BU159" s="450"/>
      <c r="BV159" s="450"/>
      <c r="BW159" s="450"/>
      <c r="BX159" s="450"/>
      <c r="BY159" s="450"/>
      <c r="BZ159" s="450"/>
      <c r="CA159" s="450">
        <f>COUNTIF(AI159:AW159,"*OK*")</f>
        <v>1</v>
      </c>
      <c r="CB159" s="450"/>
      <c r="CC159" s="450">
        <f>COUNTIF(AI159:AW159,"*OP*")</f>
        <v>1</v>
      </c>
    </row>
    <row r="160" spans="1:81" s="570" customFormat="1" ht="15" customHeight="1">
      <c r="A160" s="449">
        <v>24773</v>
      </c>
      <c r="B160" s="450" t="s">
        <v>614</v>
      </c>
      <c r="C160" s="451">
        <f>T160</f>
        <v>230.86</v>
      </c>
      <c r="D160" s="450">
        <f>COUNTIF(AI160:AW160,"*OK*")</f>
        <v>0</v>
      </c>
      <c r="E160" s="450"/>
      <c r="F160" s="452" t="s">
        <v>615</v>
      </c>
      <c r="G160" s="453"/>
      <c r="H160" s="454"/>
      <c r="I160" s="454"/>
      <c r="J160" s="453"/>
      <c r="K160" s="552" t="s">
        <v>68</v>
      </c>
      <c r="L160" s="453" t="s">
        <v>445</v>
      </c>
      <c r="M160" s="453"/>
      <c r="N160" s="456" t="s">
        <v>65</v>
      </c>
      <c r="O160" s="457">
        <v>236.86</v>
      </c>
      <c r="P160" s="457">
        <v>214.1</v>
      </c>
      <c r="Q160" s="457">
        <v>211.2</v>
      </c>
      <c r="R160" s="458">
        <v>230.32</v>
      </c>
      <c r="S160" s="459">
        <v>228.4211</v>
      </c>
      <c r="T160" s="490">
        <v>230.86</v>
      </c>
      <c r="U160" s="461"/>
      <c r="V160" s="462">
        <v>200</v>
      </c>
      <c r="W160" s="463"/>
      <c r="X160" s="562" t="s">
        <v>70</v>
      </c>
      <c r="Y160" s="465" t="s">
        <v>125</v>
      </c>
      <c r="Z160" s="466" t="s">
        <v>616</v>
      </c>
      <c r="AA160" s="462" t="s">
        <v>59</v>
      </c>
      <c r="AB160" s="454" t="s">
        <v>568</v>
      </c>
      <c r="AC160" s="450"/>
      <c r="AD160" s="450"/>
      <c r="AE160" s="450"/>
      <c r="AF160" s="450"/>
      <c r="AG160" s="450"/>
      <c r="AH160" s="466" t="s">
        <v>127</v>
      </c>
      <c r="AI160" s="467"/>
      <c r="AJ160" s="467"/>
      <c r="AK160" s="467" t="s">
        <v>617</v>
      </c>
      <c r="AL160" s="467"/>
      <c r="AM160" s="467"/>
      <c r="AN160" s="467"/>
      <c r="AO160" s="467"/>
      <c r="AP160" s="467"/>
      <c r="AQ160" s="467"/>
      <c r="AR160" s="467"/>
      <c r="AS160" s="467"/>
      <c r="AT160" s="467"/>
      <c r="AU160" s="467"/>
      <c r="AV160" s="467"/>
      <c r="AW160" s="467"/>
      <c r="AX160" s="467"/>
      <c r="AY160" s="468">
        <f>COUNTIF(AI160:AX160,"*OP*")</f>
        <v>1</v>
      </c>
      <c r="AZ160" s="466" t="s">
        <v>618</v>
      </c>
      <c r="BA160" s="450">
        <f>(COUNTIF(AI160:AK160,"*OK*")*3) + (COUNTIF(AL160:AN160,"*OK*")*2) + COUNTIF(AO160:AQ160,"*OK*")+COUNTIF(AZ160:AZ160,"SI")*0.5</f>
        <v>0</v>
      </c>
      <c r="BB160" s="450" t="str">
        <f>IF(BA160&lt;0.6,"Demasiado Riesgo",IF(BA160&lt;=5,"Riesgo Medio",IF(BA160&lt;=11,"Riesgo Bajo","Cliente Blindado")))</f>
        <v>Demasiado Riesgo</v>
      </c>
      <c r="BC160" s="450"/>
      <c r="BD160" s="450"/>
      <c r="BE160" s="450">
        <v>0</v>
      </c>
      <c r="BF160" s="450"/>
      <c r="BG160" s="450"/>
      <c r="BH160" s="450"/>
      <c r="BI160" s="450"/>
      <c r="BJ160" s="450"/>
      <c r="BK160" s="450"/>
      <c r="BL160" s="450"/>
      <c r="BM160" s="450"/>
      <c r="BN160" s="450"/>
      <c r="BO160" s="450"/>
      <c r="BP160" s="450"/>
      <c r="BQ160" s="450"/>
      <c r="BR160" s="450"/>
      <c r="BS160" s="450"/>
      <c r="BT160" s="450"/>
      <c r="BU160" s="450"/>
      <c r="BV160" s="450"/>
      <c r="BW160" s="450"/>
      <c r="BX160" s="450"/>
      <c r="BY160" s="450"/>
      <c r="BZ160" s="450"/>
      <c r="CA160" s="450">
        <f>COUNTIF(AI160:AW160,"*OK*")</f>
        <v>0</v>
      </c>
      <c r="CB160" s="450"/>
      <c r="CC160" s="450">
        <f>COUNTIF(AI160:AW160,"*OP*")</f>
        <v>1</v>
      </c>
    </row>
    <row r="161" spans="1:81" ht="15" customHeight="1">
      <c r="A161" s="470"/>
      <c r="B161" s="471"/>
      <c r="C161" s="451">
        <f>T161</f>
        <v>231.95</v>
      </c>
      <c r="D161" s="471">
        <f>COUNTIF(AI161:AW161,"*OK*")</f>
        <v>0</v>
      </c>
      <c r="E161" s="471"/>
      <c r="F161" s="473" t="s">
        <v>619</v>
      </c>
      <c r="G161" s="473" t="s">
        <v>595</v>
      </c>
      <c r="H161" s="474"/>
      <c r="I161" s="474"/>
      <c r="J161" s="473"/>
      <c r="K161" s="556" t="s">
        <v>68</v>
      </c>
      <c r="L161" s="473" t="s">
        <v>445</v>
      </c>
      <c r="M161" s="473"/>
      <c r="N161" s="476" t="s">
        <v>65</v>
      </c>
      <c r="O161" s="477">
        <v>192.16</v>
      </c>
      <c r="P161" s="477">
        <v>200.1</v>
      </c>
      <c r="Q161" s="477">
        <v>208.73</v>
      </c>
      <c r="R161" s="478">
        <v>228.76</v>
      </c>
      <c r="S161" s="459">
        <v>239.9083</v>
      </c>
      <c r="T161" s="469">
        <v>231.95</v>
      </c>
      <c r="U161" s="479"/>
      <c r="V161" s="480">
        <v>200</v>
      </c>
      <c r="W161" s="481"/>
      <c r="X161" s="572" t="s">
        <v>70</v>
      </c>
      <c r="Y161" s="483" t="s">
        <v>161</v>
      </c>
      <c r="Z161" s="484" t="s">
        <v>620</v>
      </c>
      <c r="AA161" s="480" t="s">
        <v>59</v>
      </c>
      <c r="AB161" s="474" t="s">
        <v>92</v>
      </c>
      <c r="AC161" s="471"/>
      <c r="AD161" s="471"/>
      <c r="AE161" s="471"/>
      <c r="AF161" s="471"/>
      <c r="AG161" s="471"/>
      <c r="AH161" s="485" t="s">
        <v>59</v>
      </c>
      <c r="AI161" s="467"/>
      <c r="AJ161" s="467"/>
      <c r="AK161" s="467" t="s">
        <v>171</v>
      </c>
      <c r="AL161" s="467"/>
      <c r="AM161" s="467"/>
      <c r="AN161" s="467"/>
      <c r="AO161" s="467"/>
      <c r="AP161" s="467"/>
      <c r="AQ161" s="467"/>
      <c r="AR161" s="467"/>
      <c r="AS161" s="467"/>
      <c r="AT161" s="467"/>
      <c r="AU161" s="467"/>
      <c r="AV161" s="467"/>
      <c r="AW161" s="467"/>
      <c r="AX161" s="467"/>
      <c r="AY161" s="486">
        <f>COUNTIF(AI161:AX161,"*OP*")</f>
        <v>1</v>
      </c>
      <c r="AZ161" s="485" t="s">
        <v>59</v>
      </c>
      <c r="BA161" s="471">
        <f>(COUNTIF(AI161:AK161,"*OK*")*3) + (COUNTIF(AL161:AN161,"*OK*")*2) + COUNTIF(AO161:AQ161,"*OK*")+COUNTIF(AZ161:AZ161,"SI")*0.5</f>
        <v>0</v>
      </c>
      <c r="BB161" s="471" t="str">
        <f>IF(BA161&lt;0.6,"Demasiado Riesgo",IF(BA161&lt;=5,"Riesgo Medio",IF(BA161&lt;=11,"Riesgo Bajo","Cliente Blindado")))</f>
        <v>Demasiado Riesgo</v>
      </c>
      <c r="BC161" s="471"/>
      <c r="BD161" s="471"/>
      <c r="BE161" s="471">
        <v>0</v>
      </c>
      <c r="BF161" s="471"/>
      <c r="BG161" s="471"/>
      <c r="BH161" s="471"/>
      <c r="BI161" s="471"/>
      <c r="BJ161" s="471"/>
      <c r="BK161" s="471"/>
      <c r="BL161" s="471"/>
      <c r="BM161" s="471"/>
      <c r="BN161" s="471"/>
      <c r="BO161" s="471"/>
      <c r="BP161" s="471"/>
      <c r="BQ161" s="471"/>
      <c r="BR161" s="471"/>
      <c r="BS161" s="471"/>
      <c r="BT161" s="471"/>
      <c r="BU161" s="471"/>
      <c r="BV161" s="471"/>
      <c r="BW161" s="471"/>
      <c r="BX161" s="471"/>
      <c r="BY161" s="471"/>
      <c r="BZ161" s="471"/>
      <c r="CA161" s="471">
        <f>COUNTIF(AI161:AW161,"*OK*")</f>
        <v>0</v>
      </c>
      <c r="CB161" s="471"/>
      <c r="CC161" s="471">
        <f>COUNTIF(AI161:AW161,"*OP*")</f>
        <v>1</v>
      </c>
    </row>
    <row r="162" spans="1:81" ht="15" customHeight="1">
      <c r="A162" s="449">
        <v>27381</v>
      </c>
      <c r="B162" s="450" t="s">
        <v>621</v>
      </c>
      <c r="C162" s="451">
        <f>T162</f>
        <v>241.71</v>
      </c>
      <c r="D162" s="450">
        <f>COUNTIF(AI162:AW162,"*OK*")</f>
        <v>0</v>
      </c>
      <c r="E162" s="450"/>
      <c r="F162" s="453" t="s">
        <v>622</v>
      </c>
      <c r="G162" s="453"/>
      <c r="H162" s="454"/>
      <c r="I162" s="454"/>
      <c r="J162" s="453"/>
      <c r="K162" s="552" t="s">
        <v>68</v>
      </c>
      <c r="L162" s="453" t="s">
        <v>445</v>
      </c>
      <c r="M162" s="453"/>
      <c r="N162" s="456" t="s">
        <v>103</v>
      </c>
      <c r="O162" s="457">
        <v>241.76</v>
      </c>
      <c r="P162" s="457">
        <v>237.94</v>
      </c>
      <c r="Q162" s="457">
        <v>233.62</v>
      </c>
      <c r="R162" s="458">
        <v>248.24</v>
      </c>
      <c r="S162" s="459">
        <v>244.3878</v>
      </c>
      <c r="T162" s="487">
        <v>241.71</v>
      </c>
      <c r="U162" s="461"/>
      <c r="V162" s="462">
        <v>300</v>
      </c>
      <c r="W162" s="463"/>
      <c r="X162" s="464" t="s">
        <v>283</v>
      </c>
      <c r="Y162" s="465" t="s">
        <v>80</v>
      </c>
      <c r="Z162" s="466" t="s">
        <v>623</v>
      </c>
      <c r="AA162" s="462" t="s">
        <v>220</v>
      </c>
      <c r="AB162" s="454" t="s">
        <v>97</v>
      </c>
      <c r="AC162" s="450"/>
      <c r="AD162" s="450"/>
      <c r="AE162" s="450"/>
      <c r="AF162" s="450"/>
      <c r="AG162" s="450"/>
      <c r="AH162" s="496" t="s">
        <v>127</v>
      </c>
      <c r="AI162" s="467"/>
      <c r="AJ162" s="467"/>
      <c r="AK162" s="467"/>
      <c r="AL162" s="467"/>
      <c r="AM162" s="467"/>
      <c r="AN162" s="467"/>
      <c r="AO162" s="467"/>
      <c r="AP162" s="467"/>
      <c r="AQ162" s="467"/>
      <c r="AR162" s="467"/>
      <c r="AS162" s="467"/>
      <c r="AT162" s="467"/>
      <c r="AU162" s="467"/>
      <c r="AV162" s="467"/>
      <c r="AW162" s="467"/>
      <c r="AX162" s="467"/>
      <c r="AY162" s="486">
        <f>COUNTIF(AI162:AX162,"*OP*")</f>
        <v>0</v>
      </c>
      <c r="AZ162" s="499" t="s">
        <v>176</v>
      </c>
      <c r="BA162" s="450">
        <f>(COUNTIF(AI162:AK162,"*OK*")*3) + (COUNTIF(AL162:AN162,"*OK*")*2) + COUNTIF(AO162:AQ162,"*OK*")+COUNTIF(AZ162:AZ162,"SI")*0.5</f>
        <v>0</v>
      </c>
      <c r="BB162" s="450" t="str">
        <f>IF(BA162&lt;0.6,"Demasiado Riesgo",IF(BA162&lt;=5,"Riesgo Medio",IF(BA162&lt;=11,"Riesgo Bajo","Cliente Blindado")))</f>
        <v>Demasiado Riesgo</v>
      </c>
      <c r="BC162" s="450"/>
      <c r="BD162" s="450"/>
      <c r="BE162" s="450">
        <v>0</v>
      </c>
      <c r="BF162" s="450"/>
      <c r="BG162" s="450"/>
      <c r="BH162" s="450"/>
      <c r="BI162" s="450"/>
      <c r="BJ162" s="450"/>
      <c r="BK162" s="450"/>
      <c r="BL162" s="450"/>
      <c r="BM162" s="450"/>
      <c r="BN162" s="450"/>
      <c r="BO162" s="450"/>
      <c r="BP162" s="450"/>
      <c r="BQ162" s="450"/>
      <c r="BR162" s="450"/>
      <c r="BS162" s="450"/>
      <c r="BT162" s="450"/>
      <c r="BU162" s="450"/>
      <c r="BV162" s="450"/>
      <c r="BW162" s="450"/>
      <c r="BX162" s="450"/>
      <c r="BY162" s="450"/>
      <c r="BZ162" s="450"/>
      <c r="CA162" s="450">
        <f>COUNTIF(AI162:AW162,"*OK*")</f>
        <v>0</v>
      </c>
      <c r="CB162" s="450"/>
      <c r="CC162" s="450">
        <f>COUNTIF(AI162:AW162,"*OP*")</f>
        <v>0</v>
      </c>
    </row>
    <row r="163" spans="1:81" ht="15" customHeight="1">
      <c r="A163" s="563"/>
      <c r="B163" s="536"/>
      <c r="C163" s="451">
        <f>T163</f>
        <v>256.70999999999998</v>
      </c>
      <c r="D163" s="471">
        <f>COUNTIF(AI163:AW163,"*OK*")</f>
        <v>0</v>
      </c>
      <c r="E163" s="471"/>
      <c r="F163" s="473" t="s">
        <v>624</v>
      </c>
      <c r="G163" s="473"/>
      <c r="H163" s="474"/>
      <c r="I163" s="474"/>
      <c r="J163" s="473"/>
      <c r="K163" s="475" t="s">
        <v>68</v>
      </c>
      <c r="L163" s="473" t="s">
        <v>445</v>
      </c>
      <c r="M163" s="473"/>
      <c r="N163" s="476" t="s">
        <v>65</v>
      </c>
      <c r="O163" s="477">
        <v>260.60000000000002</v>
      </c>
      <c r="P163" s="477">
        <v>260.36</v>
      </c>
      <c r="Q163" s="477">
        <v>248.12</v>
      </c>
      <c r="R163" s="478">
        <v>256.11</v>
      </c>
      <c r="S163" s="459">
        <v>259.5539</v>
      </c>
      <c r="T163" s="469">
        <v>256.70999999999998</v>
      </c>
      <c r="U163" s="479"/>
      <c r="V163" s="480">
        <v>100</v>
      </c>
      <c r="W163" s="481"/>
      <c r="X163" s="572" t="s">
        <v>70</v>
      </c>
      <c r="Y163" s="483" t="s">
        <v>150</v>
      </c>
      <c r="Z163" s="484" t="s">
        <v>625</v>
      </c>
      <c r="AA163" s="480" t="s">
        <v>59</v>
      </c>
      <c r="AB163" s="474" t="s">
        <v>84</v>
      </c>
      <c r="AC163" s="471"/>
      <c r="AD163" s="471"/>
      <c r="AE163" s="471"/>
      <c r="AF163" s="471"/>
      <c r="AG163" s="471"/>
      <c r="AH163" s="494" t="s">
        <v>59</v>
      </c>
      <c r="AI163" s="467"/>
      <c r="AJ163" s="467"/>
      <c r="AK163" s="467"/>
      <c r="AL163" s="467"/>
      <c r="AM163" s="467"/>
      <c r="AN163" s="467"/>
      <c r="AO163" s="467"/>
      <c r="AP163" s="467"/>
      <c r="AQ163" s="467"/>
      <c r="AR163" s="467"/>
      <c r="AS163" s="467"/>
      <c r="AT163" s="467"/>
      <c r="AU163" s="467"/>
      <c r="AV163" s="467"/>
      <c r="AW163" s="467"/>
      <c r="AX163" s="467"/>
      <c r="AY163" s="486">
        <f>COUNTIF(AI163:AX163,"*OP*")</f>
        <v>0</v>
      </c>
      <c r="AZ163" s="485" t="s">
        <v>59</v>
      </c>
      <c r="BA163" s="471">
        <f>(COUNTIF(AI163:AK163,"*OK*")*3) + (COUNTIF(AL163:AN163,"*OK*")*2) + COUNTIF(AO163:AQ163,"*OK*")+COUNTIF(AZ163:AZ163,"SI")*0.5</f>
        <v>0</v>
      </c>
      <c r="BB163" s="471" t="str">
        <f>IF(BA163&lt;0.6,"Demasiado Riesgo",IF(BA163&lt;=5,"Riesgo Medio",IF(BA163&lt;=11,"Riesgo Bajo","Cliente Blindado")))</f>
        <v>Demasiado Riesgo</v>
      </c>
      <c r="BC163" s="471"/>
      <c r="BD163" s="471"/>
      <c r="BE163" s="471">
        <v>0</v>
      </c>
      <c r="BF163" s="471"/>
      <c r="BG163" s="471"/>
      <c r="BH163" s="471"/>
      <c r="BI163" s="471"/>
      <c r="BJ163" s="471"/>
      <c r="BK163" s="471"/>
      <c r="BL163" s="471"/>
      <c r="BM163" s="471"/>
      <c r="BN163" s="471"/>
      <c r="BO163" s="471"/>
      <c r="BP163" s="471"/>
      <c r="BQ163" s="471"/>
      <c r="BR163" s="471"/>
      <c r="BS163" s="471"/>
      <c r="BT163" s="471"/>
      <c r="BU163" s="471"/>
      <c r="BV163" s="471"/>
      <c r="BW163" s="471"/>
      <c r="BX163" s="471"/>
      <c r="BY163" s="471"/>
      <c r="BZ163" s="471"/>
      <c r="CA163" s="471">
        <f>COUNTIF(AI163:AW163,"*OK*")</f>
        <v>0</v>
      </c>
      <c r="CB163" s="471"/>
      <c r="CC163" s="471">
        <f>COUNTIF(AI163:AW163,"*OP*")</f>
        <v>0</v>
      </c>
    </row>
    <row r="164" spans="1:81" ht="15" customHeight="1">
      <c r="A164" s="470">
        <v>28517</v>
      </c>
      <c r="B164" s="471" t="s">
        <v>626</v>
      </c>
      <c r="C164" s="451">
        <f>T164</f>
        <v>269.12</v>
      </c>
      <c r="D164" s="471">
        <f>COUNTIF(AI164:AW164,"*OK*")</f>
        <v>1</v>
      </c>
      <c r="E164" s="471"/>
      <c r="F164" s="473" t="s">
        <v>627</v>
      </c>
      <c r="G164" s="473"/>
      <c r="H164" s="474"/>
      <c r="I164" s="474"/>
      <c r="J164" s="473"/>
      <c r="K164" s="556" t="s">
        <v>68</v>
      </c>
      <c r="L164" s="473" t="s">
        <v>445</v>
      </c>
      <c r="M164" s="473"/>
      <c r="N164" s="476" t="s">
        <v>65</v>
      </c>
      <c r="O164" s="477">
        <v>242.31</v>
      </c>
      <c r="P164" s="477">
        <v>239.03</v>
      </c>
      <c r="Q164" s="477">
        <v>222.87</v>
      </c>
      <c r="R164" s="478">
        <v>230.47</v>
      </c>
      <c r="S164" s="459">
        <v>233.53970000000001</v>
      </c>
      <c r="T164" s="460">
        <v>269.12</v>
      </c>
      <c r="U164" s="479"/>
      <c r="V164" s="480">
        <v>300</v>
      </c>
      <c r="W164" s="481"/>
      <c r="X164" s="572" t="s">
        <v>70</v>
      </c>
      <c r="Y164" s="483" t="s">
        <v>299</v>
      </c>
      <c r="Z164" s="484" t="s">
        <v>628</v>
      </c>
      <c r="AA164" s="480" t="s">
        <v>59</v>
      </c>
      <c r="AB164" s="474" t="s">
        <v>92</v>
      </c>
      <c r="AC164" s="471"/>
      <c r="AD164" s="471"/>
      <c r="AE164" s="471"/>
      <c r="AF164" s="471"/>
      <c r="AG164" s="471"/>
      <c r="AH164" s="494" t="s">
        <v>127</v>
      </c>
      <c r="AI164" s="467" t="s">
        <v>629</v>
      </c>
      <c r="AJ164" s="467"/>
      <c r="AK164" s="467"/>
      <c r="AL164" s="467"/>
      <c r="AM164" s="467"/>
      <c r="AN164" s="467" t="s">
        <v>415</v>
      </c>
      <c r="AO164" s="467"/>
      <c r="AP164" s="467"/>
      <c r="AQ164" s="467"/>
      <c r="AR164" s="467"/>
      <c r="AS164" s="467"/>
      <c r="AT164" s="467"/>
      <c r="AU164" s="467"/>
      <c r="AV164" s="467"/>
      <c r="AW164" s="467"/>
      <c r="AX164" s="467" t="s">
        <v>171</v>
      </c>
      <c r="AY164" s="486">
        <f>COUNTIF(AI164:AX164,"*OP*")</f>
        <v>2</v>
      </c>
      <c r="AZ164" s="485" t="s">
        <v>176</v>
      </c>
      <c r="BA164" s="471">
        <f>(COUNTIF(AI164:AK164,"*OK*")*3) + (COUNTIF(AL164:AN164,"*OK*")*2) + COUNTIF(AO164:AQ164,"*OK*")+COUNTIF(AZ164:AZ164,"SI")*0.5</f>
        <v>2</v>
      </c>
      <c r="BB164" s="471" t="str">
        <f>IF(BA164&lt;0.6,"Demasiado Riesgo",IF(BA164&lt;=5,"Riesgo Medio",IF(BA164&lt;=11,"Riesgo Bajo","Cliente Blindado")))</f>
        <v>Riesgo Medio</v>
      </c>
      <c r="BC164" s="471"/>
      <c r="BD164" s="471"/>
      <c r="BE164" s="471">
        <v>0</v>
      </c>
      <c r="BF164" s="471"/>
      <c r="BG164" s="471"/>
      <c r="BH164" s="471"/>
      <c r="BI164" s="471"/>
      <c r="BJ164" s="471"/>
      <c r="BK164" s="471"/>
      <c r="BL164" s="471"/>
      <c r="BM164" s="471"/>
      <c r="BN164" s="471"/>
      <c r="BO164" s="471"/>
      <c r="BP164" s="471"/>
      <c r="BQ164" s="471"/>
      <c r="BR164" s="471"/>
      <c r="BS164" s="471"/>
      <c r="BT164" s="471"/>
      <c r="BU164" s="471"/>
      <c r="BV164" s="471"/>
      <c r="BW164" s="471"/>
      <c r="BX164" s="471"/>
      <c r="BY164" s="471"/>
      <c r="BZ164" s="471"/>
      <c r="CA164" s="471">
        <f>COUNTIF(AI164:AW164,"*OK*")</f>
        <v>1</v>
      </c>
      <c r="CB164" s="471"/>
      <c r="CC164" s="471">
        <f>COUNTIF(AI164:AW164,"*OP*")</f>
        <v>1</v>
      </c>
    </row>
    <row r="165" spans="1:81" ht="15" customHeight="1">
      <c r="A165" s="470">
        <v>24043</v>
      </c>
      <c r="B165" s="471" t="s">
        <v>630</v>
      </c>
      <c r="C165" s="451">
        <f>T165</f>
        <v>272.66000000000003</v>
      </c>
      <c r="D165" s="471">
        <f>COUNTIF(AI165:AW165,"*OK*")</f>
        <v>0</v>
      </c>
      <c r="E165" s="471"/>
      <c r="F165" s="473" t="s">
        <v>631</v>
      </c>
      <c r="G165" s="473"/>
      <c r="H165" s="474"/>
      <c r="I165" s="474"/>
      <c r="J165" s="473"/>
      <c r="K165" s="556" t="s">
        <v>68</v>
      </c>
      <c r="L165" s="473" t="s">
        <v>445</v>
      </c>
      <c r="M165" s="473"/>
      <c r="N165" s="476" t="s">
        <v>65</v>
      </c>
      <c r="O165" s="477">
        <v>254.73</v>
      </c>
      <c r="P165" s="477">
        <v>266.52</v>
      </c>
      <c r="Q165" s="477">
        <v>253.99</v>
      </c>
      <c r="R165" s="478">
        <v>268.08</v>
      </c>
      <c r="S165" s="459">
        <v>272.6893</v>
      </c>
      <c r="T165" s="469">
        <v>272.66000000000003</v>
      </c>
      <c r="U165" s="479"/>
      <c r="V165" s="480">
        <v>200</v>
      </c>
      <c r="W165" s="481"/>
      <c r="X165" s="493" t="s">
        <v>124</v>
      </c>
      <c r="Y165" s="483" t="s">
        <v>80</v>
      </c>
      <c r="Z165" s="484" t="s">
        <v>632</v>
      </c>
      <c r="AA165" s="480" t="s">
        <v>59</v>
      </c>
      <c r="AB165" s="474" t="s">
        <v>97</v>
      </c>
      <c r="AC165" s="471"/>
      <c r="AD165" s="471"/>
      <c r="AE165" s="471"/>
      <c r="AF165" s="471"/>
      <c r="AG165" s="471"/>
      <c r="AH165" s="494" t="s">
        <v>127</v>
      </c>
      <c r="AI165" s="467"/>
      <c r="AJ165" s="467" t="s">
        <v>171</v>
      </c>
      <c r="AK165" s="467"/>
      <c r="AL165" s="467"/>
      <c r="AM165" s="467"/>
      <c r="AN165" s="467"/>
      <c r="AO165" s="467"/>
      <c r="AP165" s="467"/>
      <c r="AQ165" s="467"/>
      <c r="AR165" s="467"/>
      <c r="AS165" s="467"/>
      <c r="AT165" s="467"/>
      <c r="AU165" s="467"/>
      <c r="AV165" s="467"/>
      <c r="AW165" s="467"/>
      <c r="AX165" s="467"/>
      <c r="AY165" s="486">
        <f>COUNTIF(AI165:AX165,"*OP*")</f>
        <v>1</v>
      </c>
      <c r="AZ165" s="485" t="s">
        <v>176</v>
      </c>
      <c r="BA165" s="471">
        <f>(COUNTIF(AI165:AK165,"*OK*")*3) + (COUNTIF(AL165:AN165,"*OK*")*2) + COUNTIF(AO165:AQ165,"*OK*")+COUNTIF(AZ165:AZ165,"SI")*0.5</f>
        <v>0</v>
      </c>
      <c r="BB165" s="471" t="str">
        <f>IF(BA165&lt;0.6,"Demasiado Riesgo",IF(BA165&lt;=5,"Riesgo Medio",IF(BA165&lt;=11,"Riesgo Bajo","Cliente Blindado")))</f>
        <v>Demasiado Riesgo</v>
      </c>
      <c r="BC165" s="471"/>
      <c r="BD165" s="471"/>
      <c r="BE165" s="471">
        <v>0</v>
      </c>
      <c r="BF165" s="471"/>
      <c r="BG165" s="471"/>
      <c r="BH165" s="471"/>
      <c r="BI165" s="471"/>
      <c r="BJ165" s="471"/>
      <c r="BK165" s="471"/>
      <c r="BL165" s="471"/>
      <c r="BM165" s="471"/>
      <c r="BN165" s="471"/>
      <c r="BO165" s="471"/>
      <c r="BP165" s="471"/>
      <c r="BQ165" s="471"/>
      <c r="BR165" s="471"/>
      <c r="BS165" s="471"/>
      <c r="BT165" s="471"/>
      <c r="BU165" s="471"/>
      <c r="BV165" s="471"/>
      <c r="BW165" s="471"/>
      <c r="BX165" s="471"/>
      <c r="BY165" s="471"/>
      <c r="BZ165" s="471"/>
      <c r="CA165" s="471">
        <f>COUNTIF(AI165:AW165,"*OK*")</f>
        <v>0</v>
      </c>
      <c r="CB165" s="471"/>
      <c r="CC165" s="471">
        <f>COUNTIF(AI165:AW165,"*OP*")</f>
        <v>1</v>
      </c>
    </row>
    <row r="166" spans="1:81" ht="15" customHeight="1">
      <c r="A166" s="449">
        <v>17830</v>
      </c>
      <c r="B166" s="450"/>
      <c r="C166" s="451">
        <f>T166</f>
        <v>272.68</v>
      </c>
      <c r="D166" s="450">
        <f>COUNTIF(AI166:AW166,"*OK*")</f>
        <v>0</v>
      </c>
      <c r="E166" s="450"/>
      <c r="F166" s="576" t="s">
        <v>633</v>
      </c>
      <c r="G166" s="453"/>
      <c r="H166" s="454" t="s">
        <v>634</v>
      </c>
      <c r="I166" s="454"/>
      <c r="J166" s="453"/>
      <c r="K166" s="552" t="s">
        <v>68</v>
      </c>
      <c r="L166" s="453" t="s">
        <v>445</v>
      </c>
      <c r="M166" s="453"/>
      <c r="N166" s="456" t="s">
        <v>191</v>
      </c>
      <c r="O166" s="457">
        <v>414.16</v>
      </c>
      <c r="P166" s="457">
        <v>287.12</v>
      </c>
      <c r="Q166" s="457">
        <v>277.64</v>
      </c>
      <c r="R166" s="458">
        <v>276.2</v>
      </c>
      <c r="S166" s="459">
        <v>277.80720000000002</v>
      </c>
      <c r="T166" s="487">
        <v>272.68</v>
      </c>
      <c r="U166" s="461"/>
      <c r="V166" s="462">
        <v>300</v>
      </c>
      <c r="W166" s="463"/>
      <c r="X166" s="567" t="s">
        <v>70</v>
      </c>
      <c r="Y166" s="465" t="s">
        <v>80</v>
      </c>
      <c r="Z166" s="466" t="s">
        <v>635</v>
      </c>
      <c r="AA166" s="462" t="s">
        <v>59</v>
      </c>
      <c r="AB166" s="454" t="s">
        <v>97</v>
      </c>
      <c r="AC166" s="450"/>
      <c r="AD166" s="450"/>
      <c r="AE166" s="450"/>
      <c r="AF166" s="450"/>
      <c r="AG166" s="450"/>
      <c r="AH166" s="496" t="s">
        <v>59</v>
      </c>
      <c r="AI166" s="467"/>
      <c r="AJ166" s="467"/>
      <c r="AK166" s="467"/>
      <c r="AL166" s="467"/>
      <c r="AM166" s="467"/>
      <c r="AN166" s="467"/>
      <c r="AO166" s="467"/>
      <c r="AP166" s="467"/>
      <c r="AQ166" s="467"/>
      <c r="AR166" s="467"/>
      <c r="AS166" s="467"/>
      <c r="AT166" s="467"/>
      <c r="AU166" s="467"/>
      <c r="AV166" s="467"/>
      <c r="AW166" s="467"/>
      <c r="AX166" s="467"/>
      <c r="AY166" s="486">
        <f>COUNTIF(AI166:AX166,"*OP*")</f>
        <v>0</v>
      </c>
      <c r="AZ166" s="499" t="s">
        <v>59</v>
      </c>
      <c r="BA166" s="450">
        <f>(COUNTIF(AI166:AK166,"*OK*")*3) + (COUNTIF(AL166:AN166,"*OK*")*2) + COUNTIF(AO166:AQ166,"*OK*")+COUNTIF(AZ166:AZ166,"SI")*0.5</f>
        <v>0</v>
      </c>
      <c r="BB166" s="450" t="str">
        <f>IF(BA166&lt;0.6,"Demasiado Riesgo",IF(BA166&lt;=5,"Riesgo Medio",IF(BA166&lt;=11,"Riesgo Bajo","Cliente Blindado")))</f>
        <v>Demasiado Riesgo</v>
      </c>
      <c r="BC166" s="450"/>
      <c r="BD166" s="450"/>
      <c r="BE166" s="450">
        <v>0</v>
      </c>
      <c r="BF166" s="450"/>
      <c r="BG166" s="450"/>
      <c r="BH166" s="450"/>
      <c r="BI166" s="450"/>
      <c r="BJ166" s="450"/>
      <c r="BK166" s="450"/>
      <c r="BL166" s="450"/>
      <c r="BM166" s="450"/>
      <c r="BN166" s="450"/>
      <c r="BO166" s="450"/>
      <c r="BP166" s="450"/>
      <c r="BQ166" s="450"/>
      <c r="BR166" s="450"/>
      <c r="BS166" s="450"/>
      <c r="BT166" s="450"/>
      <c r="BU166" s="450"/>
      <c r="BV166" s="450"/>
      <c r="BW166" s="450"/>
      <c r="BX166" s="450"/>
      <c r="BY166" s="450"/>
      <c r="BZ166" s="450"/>
      <c r="CA166" s="450">
        <f>COUNTIF(AI166:AW166,"*OK*")</f>
        <v>0</v>
      </c>
      <c r="CB166" s="450"/>
      <c r="CC166" s="450">
        <f>COUNTIF(AI166:AW166,"*OP*")</f>
        <v>0</v>
      </c>
    </row>
    <row r="167" spans="1:81" ht="15" customHeight="1">
      <c r="A167" s="470">
        <v>24945</v>
      </c>
      <c r="B167" s="471" t="s">
        <v>636</v>
      </c>
      <c r="C167" s="451">
        <f>T167</f>
        <v>282.60000000000002</v>
      </c>
      <c r="D167" s="471">
        <f>COUNTIF(AI167:AW167,"*OK*")</f>
        <v>0</v>
      </c>
      <c r="E167" s="471"/>
      <c r="F167" s="473" t="s">
        <v>637</v>
      </c>
      <c r="G167" s="473"/>
      <c r="H167" s="474"/>
      <c r="I167" s="474"/>
      <c r="J167" s="473"/>
      <c r="K167" s="556" t="s">
        <v>68</v>
      </c>
      <c r="L167" s="473" t="s">
        <v>445</v>
      </c>
      <c r="M167" s="473"/>
      <c r="N167" s="476" t="s">
        <v>65</v>
      </c>
      <c r="O167" s="477">
        <v>216.52</v>
      </c>
      <c r="P167" s="477">
        <v>210.91</v>
      </c>
      <c r="Q167" s="477">
        <v>193.26</v>
      </c>
      <c r="R167" s="478">
        <v>236.72</v>
      </c>
      <c r="S167" s="459">
        <v>307.29820000000001</v>
      </c>
      <c r="T167" s="469">
        <v>282.60000000000002</v>
      </c>
      <c r="U167" s="479"/>
      <c r="V167" s="480">
        <v>200</v>
      </c>
      <c r="W167" s="481"/>
      <c r="X167" s="572" t="s">
        <v>70</v>
      </c>
      <c r="Y167" s="483" t="s">
        <v>125</v>
      </c>
      <c r="Z167" s="484" t="s">
        <v>638</v>
      </c>
      <c r="AA167" s="480" t="s">
        <v>59</v>
      </c>
      <c r="AB167" s="474" t="s">
        <v>84</v>
      </c>
      <c r="AC167" s="471"/>
      <c r="AD167" s="471"/>
      <c r="AE167" s="471"/>
      <c r="AF167" s="471"/>
      <c r="AG167" s="471"/>
      <c r="AH167" s="494" t="s">
        <v>59</v>
      </c>
      <c r="AI167" s="467"/>
      <c r="AJ167" s="467"/>
      <c r="AK167" s="467"/>
      <c r="AL167" s="467"/>
      <c r="AM167" s="467"/>
      <c r="AN167" s="467"/>
      <c r="AO167" s="467"/>
      <c r="AP167" s="467"/>
      <c r="AQ167" s="467"/>
      <c r="AR167" s="467"/>
      <c r="AS167" s="467"/>
      <c r="AT167" s="467"/>
      <c r="AU167" s="467"/>
      <c r="AV167" s="467"/>
      <c r="AW167" s="467"/>
      <c r="AX167" s="467"/>
      <c r="AY167" s="486">
        <f>COUNTIF(AI167:AX167,"*OP*")</f>
        <v>0</v>
      </c>
      <c r="AZ167" s="485" t="s">
        <v>176</v>
      </c>
      <c r="BA167" s="471">
        <f>(COUNTIF(AI167:AK167,"*OK*")*3) + (COUNTIF(AL167:AN167,"*OK*")*2) + COUNTIF(AO167:AQ167,"*OK*")+COUNTIF(AZ167:AZ167,"SI")*0.5</f>
        <v>0</v>
      </c>
      <c r="BB167" s="471" t="str">
        <f>IF(BA167&lt;0.6,"Demasiado Riesgo",IF(BA167&lt;=5,"Riesgo Medio",IF(BA167&lt;=11,"Riesgo Bajo","Cliente Blindado")))</f>
        <v>Demasiado Riesgo</v>
      </c>
      <c r="BC167" s="471"/>
      <c r="BD167" s="471"/>
      <c r="BE167" s="471">
        <v>0</v>
      </c>
      <c r="BF167" s="471"/>
      <c r="BG167" s="471"/>
      <c r="BH167" s="471"/>
      <c r="BI167" s="471"/>
      <c r="BJ167" s="471"/>
      <c r="BK167" s="471"/>
      <c r="BL167" s="471"/>
      <c r="BM167" s="471"/>
      <c r="BN167" s="471"/>
      <c r="BO167" s="471"/>
      <c r="BP167" s="471"/>
      <c r="BQ167" s="471"/>
      <c r="BR167" s="471"/>
      <c r="BS167" s="471"/>
      <c r="BT167" s="471"/>
      <c r="BU167" s="471"/>
      <c r="BV167" s="471"/>
      <c r="BW167" s="471"/>
      <c r="BX167" s="471"/>
      <c r="BY167" s="471"/>
      <c r="BZ167" s="471"/>
      <c r="CA167" s="471">
        <f>COUNTIF(AI167:AW167,"*OK*")</f>
        <v>0</v>
      </c>
      <c r="CB167" s="471"/>
      <c r="CC167" s="471">
        <f>COUNTIF(AI167:AW167,"*OP*")</f>
        <v>0</v>
      </c>
    </row>
    <row r="168" spans="1:81" ht="15" customHeight="1">
      <c r="A168" s="563"/>
      <c r="B168" s="536"/>
      <c r="C168" s="451">
        <f>T168</f>
        <v>287.41000000000003</v>
      </c>
      <c r="D168" s="471">
        <f>COUNTIF(AI168:AW168,"*OK*")</f>
        <v>0</v>
      </c>
      <c r="E168" s="471"/>
      <c r="F168" s="473" t="s">
        <v>639</v>
      </c>
      <c r="G168" s="473"/>
      <c r="H168" s="474"/>
      <c r="I168" s="474"/>
      <c r="J168" s="473"/>
      <c r="K168" s="475" t="s">
        <v>68</v>
      </c>
      <c r="L168" s="473" t="s">
        <v>445</v>
      </c>
      <c r="M168" s="473"/>
      <c r="N168" s="476" t="s">
        <v>117</v>
      </c>
      <c r="O168" s="477">
        <v>324.67</v>
      </c>
      <c r="P168" s="477">
        <v>291.5</v>
      </c>
      <c r="Q168" s="477">
        <v>300.77</v>
      </c>
      <c r="R168" s="478">
        <v>271.64</v>
      </c>
      <c r="S168" s="459">
        <v>321.18060000000003</v>
      </c>
      <c r="T168" s="469">
        <v>287.41000000000003</v>
      </c>
      <c r="U168" s="479"/>
      <c r="V168" s="480">
        <v>200</v>
      </c>
      <c r="W168" s="481"/>
      <c r="X168" s="572" t="s">
        <v>70</v>
      </c>
      <c r="Y168" s="483" t="s">
        <v>139</v>
      </c>
      <c r="Z168" s="484" t="s">
        <v>640</v>
      </c>
      <c r="AA168" s="480" t="s">
        <v>59</v>
      </c>
      <c r="AB168" s="474" t="s">
        <v>137</v>
      </c>
      <c r="AC168" s="471"/>
      <c r="AD168" s="471"/>
      <c r="AE168" s="471"/>
      <c r="AF168" s="471"/>
      <c r="AG168" s="471" t="s">
        <v>641</v>
      </c>
      <c r="AH168" s="494" t="s">
        <v>59</v>
      </c>
      <c r="AI168" s="467"/>
      <c r="AJ168" s="467"/>
      <c r="AK168" s="467"/>
      <c r="AL168" s="467"/>
      <c r="AM168" s="467"/>
      <c r="AN168" s="467"/>
      <c r="AO168" s="467"/>
      <c r="AP168" s="467"/>
      <c r="AQ168" s="467"/>
      <c r="AR168" s="467"/>
      <c r="AS168" s="467"/>
      <c r="AT168" s="467"/>
      <c r="AU168" s="467"/>
      <c r="AV168" s="467"/>
      <c r="AW168" s="467"/>
      <c r="AX168" s="467"/>
      <c r="AY168" s="486">
        <f>COUNTIF(AI168:AX168,"*OP*")</f>
        <v>0</v>
      </c>
      <c r="AZ168" s="485" t="s">
        <v>59</v>
      </c>
      <c r="BA168" s="471">
        <f>(COUNTIF(AI168:AK168,"*OK*")*3) + (COUNTIF(AL168:AN168,"*OK*")*2) + COUNTIF(AO168:AQ168,"*OK*")+COUNTIF(AZ168:AZ168,"SI")*0.5</f>
        <v>0</v>
      </c>
      <c r="BB168" s="471" t="str">
        <f>IF(BA168&lt;0.6,"Demasiado Riesgo",IF(BA168&lt;=5,"Riesgo Medio",IF(BA168&lt;=11,"Riesgo Bajo","Cliente Blindado")))</f>
        <v>Demasiado Riesgo</v>
      </c>
      <c r="BC168" s="471"/>
      <c r="BD168" s="471"/>
      <c r="BE168" s="471">
        <v>0</v>
      </c>
      <c r="BF168" s="471"/>
      <c r="BG168" s="471"/>
      <c r="BH168" s="471"/>
      <c r="BI168" s="471"/>
      <c r="BJ168" s="471"/>
      <c r="BK168" s="471"/>
      <c r="BL168" s="471"/>
      <c r="BM168" s="471"/>
      <c r="BN168" s="471"/>
      <c r="BO168" s="471"/>
      <c r="BP168" s="471"/>
      <c r="BQ168" s="471"/>
      <c r="BR168" s="471"/>
      <c r="BS168" s="471"/>
      <c r="BT168" s="471"/>
      <c r="BU168" s="471"/>
      <c r="BV168" s="471"/>
      <c r="BW168" s="471"/>
      <c r="BX168" s="471"/>
      <c r="BY168" s="471"/>
      <c r="BZ168" s="471"/>
      <c r="CA168" s="471">
        <f>COUNTIF(AI168:AW168,"*OK*")</f>
        <v>0</v>
      </c>
      <c r="CB168" s="471"/>
      <c r="CC168" s="471">
        <f>COUNTIF(AI168:AW168,"*OP*")</f>
        <v>0</v>
      </c>
    </row>
    <row r="169" spans="1:81" s="570" customFormat="1" ht="15" customHeight="1">
      <c r="A169" s="449">
        <v>23031</v>
      </c>
      <c r="B169" s="450" t="s">
        <v>642</v>
      </c>
      <c r="C169" s="451">
        <f>T169</f>
        <v>297.06</v>
      </c>
      <c r="D169" s="450">
        <f>COUNTIF(AI169:AW169,"*OK*")</f>
        <v>2</v>
      </c>
      <c r="E169" s="450"/>
      <c r="F169" s="453" t="s">
        <v>643</v>
      </c>
      <c r="G169" s="453" t="s">
        <v>523</v>
      </c>
      <c r="H169" s="454"/>
      <c r="I169" s="454"/>
      <c r="J169" s="453"/>
      <c r="K169" s="552" t="s">
        <v>68</v>
      </c>
      <c r="L169" s="453" t="s">
        <v>445</v>
      </c>
      <c r="M169" s="453"/>
      <c r="N169" s="456" t="s">
        <v>103</v>
      </c>
      <c r="O169" s="457">
        <v>195.54</v>
      </c>
      <c r="P169" s="457">
        <v>191.6</v>
      </c>
      <c r="Q169" s="457">
        <v>180.21</v>
      </c>
      <c r="R169" s="458">
        <v>182.32</v>
      </c>
      <c r="S169" s="459">
        <v>183.5196</v>
      </c>
      <c r="T169" s="490">
        <v>297.06</v>
      </c>
      <c r="U169" s="461"/>
      <c r="V169" s="462">
        <v>150</v>
      </c>
      <c r="W169" s="463"/>
      <c r="X169" s="567" t="s">
        <v>70</v>
      </c>
      <c r="Y169" s="465" t="s">
        <v>80</v>
      </c>
      <c r="Z169" s="466" t="s">
        <v>644</v>
      </c>
      <c r="AA169" s="462" t="s">
        <v>220</v>
      </c>
      <c r="AB169" s="454" t="s">
        <v>97</v>
      </c>
      <c r="AC169" s="450"/>
      <c r="AD169" s="450"/>
      <c r="AE169" s="450"/>
      <c r="AF169" s="450"/>
      <c r="AG169" s="450"/>
      <c r="AH169" s="496" t="s">
        <v>127</v>
      </c>
      <c r="AI169" s="467" t="s">
        <v>415</v>
      </c>
      <c r="AJ169" s="467"/>
      <c r="AK169" s="467" t="s">
        <v>415</v>
      </c>
      <c r="AL169" s="467"/>
      <c r="AM169" s="467"/>
      <c r="AN169" s="467"/>
      <c r="AO169" s="467"/>
      <c r="AP169" s="467"/>
      <c r="AQ169" s="467"/>
      <c r="AR169" s="467"/>
      <c r="AS169" s="467"/>
      <c r="AT169" s="467"/>
      <c r="AU169" s="467"/>
      <c r="AV169" s="467"/>
      <c r="AW169" s="467"/>
      <c r="AX169" s="467"/>
      <c r="AY169" s="486">
        <f>COUNTIF(AI169:AX169,"*OP*")</f>
        <v>0</v>
      </c>
      <c r="AZ169" s="499" t="s">
        <v>176</v>
      </c>
      <c r="BA169" s="450">
        <f>(COUNTIF(AI169:AK169,"*OK*")*3) + (COUNTIF(AL169:AN169,"*OK*")*2) + COUNTIF(AO169:AQ169,"*OK*")+COUNTIF(AZ169:AZ169,"SI")*0.5</f>
        <v>6</v>
      </c>
      <c r="BB169" s="450" t="str">
        <f>IF(BA169&lt;0.6,"Demasiado Riesgo",IF(BA169&lt;=5,"Riesgo Medio",IF(BA169&lt;=11,"Riesgo Bajo","Cliente Blindado")))</f>
        <v>Riesgo Bajo</v>
      </c>
      <c r="BC169" s="450"/>
      <c r="BD169" s="450"/>
      <c r="BE169" s="450">
        <v>0</v>
      </c>
      <c r="BF169" s="450"/>
      <c r="BG169" s="450"/>
      <c r="BH169" s="450"/>
      <c r="BI169" s="450"/>
      <c r="BJ169" s="450"/>
      <c r="BK169" s="450"/>
      <c r="BL169" s="450"/>
      <c r="BM169" s="450"/>
      <c r="BN169" s="450"/>
      <c r="BO169" s="450"/>
      <c r="BP169" s="450"/>
      <c r="BQ169" s="450"/>
      <c r="BR169" s="450"/>
      <c r="BS169" s="450"/>
      <c r="BT169" s="450"/>
      <c r="BU169" s="450"/>
      <c r="BV169" s="450"/>
      <c r="BW169" s="450"/>
      <c r="BX169" s="450"/>
      <c r="BY169" s="450"/>
      <c r="BZ169" s="450"/>
      <c r="CA169" s="450">
        <f>COUNTIF(AI169:AW169,"*OK*")</f>
        <v>2</v>
      </c>
      <c r="CB169" s="450"/>
      <c r="CC169" s="450">
        <f>COUNTIF(AI169:AW169,"*OP*")</f>
        <v>0</v>
      </c>
    </row>
    <row r="170" spans="1:81" s="570" customFormat="1" ht="15" customHeight="1">
      <c r="A170" s="470">
        <v>29019</v>
      </c>
      <c r="B170" s="471" t="s">
        <v>645</v>
      </c>
      <c r="C170" s="451">
        <f>T170</f>
        <v>316.17</v>
      </c>
      <c r="D170" s="471">
        <f>COUNTIF(AI170:AW170,"*OK*")</f>
        <v>0</v>
      </c>
      <c r="E170" s="471"/>
      <c r="F170" s="472" t="s">
        <v>646</v>
      </c>
      <c r="G170" s="473"/>
      <c r="H170" s="474"/>
      <c r="I170" s="474"/>
      <c r="J170" s="473"/>
      <c r="K170" s="556" t="s">
        <v>68</v>
      </c>
      <c r="L170" s="473" t="s">
        <v>445</v>
      </c>
      <c r="M170" s="473"/>
      <c r="N170" s="476" t="s">
        <v>65</v>
      </c>
      <c r="O170" s="477">
        <v>246.82</v>
      </c>
      <c r="P170" s="477">
        <v>282.95</v>
      </c>
      <c r="Q170" s="477">
        <v>291.20999999999998</v>
      </c>
      <c r="R170" s="478">
        <v>300.58999999999997</v>
      </c>
      <c r="S170" s="459">
        <v>315.9153</v>
      </c>
      <c r="T170" s="460">
        <v>316.17</v>
      </c>
      <c r="U170" s="479"/>
      <c r="V170" s="480">
        <v>200</v>
      </c>
      <c r="W170" s="481"/>
      <c r="X170" s="572" t="s">
        <v>70</v>
      </c>
      <c r="Y170" s="483" t="s">
        <v>80</v>
      </c>
      <c r="Z170" s="484" t="s">
        <v>647</v>
      </c>
      <c r="AA170" s="480" t="s">
        <v>59</v>
      </c>
      <c r="AB170" s="474" t="s">
        <v>97</v>
      </c>
      <c r="AC170" s="471"/>
      <c r="AD170" s="471"/>
      <c r="AE170" s="471"/>
      <c r="AF170" s="471"/>
      <c r="AG170" s="471"/>
      <c r="AH170" s="494" t="s">
        <v>127</v>
      </c>
      <c r="AI170" s="467"/>
      <c r="AJ170" s="467"/>
      <c r="AK170" s="467"/>
      <c r="AL170" s="467"/>
      <c r="AM170" s="467"/>
      <c r="AN170" s="467"/>
      <c r="AO170" s="467"/>
      <c r="AP170" s="467"/>
      <c r="AQ170" s="467"/>
      <c r="AR170" s="467"/>
      <c r="AS170" s="467"/>
      <c r="AT170" s="467"/>
      <c r="AU170" s="467"/>
      <c r="AV170" s="467"/>
      <c r="AW170" s="467"/>
      <c r="AX170" s="467"/>
      <c r="AY170" s="486">
        <f>COUNTIF(AI170:AX170,"*OP*")</f>
        <v>0</v>
      </c>
      <c r="AZ170" s="485" t="s">
        <v>176</v>
      </c>
      <c r="BA170" s="471">
        <f>(COUNTIF(AI170:AK170,"*OK*")*3) + (COUNTIF(AL170:AN170,"*OK*")*2) + COUNTIF(AO170:AQ170,"*OK*")+COUNTIF(AZ170:AZ170,"SI")*0.5</f>
        <v>0</v>
      </c>
      <c r="BB170" s="471" t="str">
        <f>IF(BA170&lt;0.6,"Demasiado Riesgo",IF(BA170&lt;=5,"Riesgo Medio",IF(BA170&lt;=11,"Riesgo Bajo","Cliente Blindado")))</f>
        <v>Demasiado Riesgo</v>
      </c>
      <c r="BC170" s="471"/>
      <c r="BD170" s="471"/>
      <c r="BE170" s="471">
        <v>0</v>
      </c>
      <c r="BF170" s="471"/>
      <c r="BG170" s="471"/>
      <c r="BH170" s="471"/>
      <c r="BI170" s="471"/>
      <c r="BJ170" s="471"/>
      <c r="BK170" s="471"/>
      <c r="BL170" s="471"/>
      <c r="BM170" s="471"/>
      <c r="BN170" s="471"/>
      <c r="BO170" s="471"/>
      <c r="BP170" s="471"/>
      <c r="BQ170" s="471"/>
      <c r="BR170" s="471"/>
      <c r="BS170" s="471"/>
      <c r="BT170" s="471"/>
      <c r="BU170" s="471"/>
      <c r="BV170" s="471"/>
      <c r="BW170" s="471"/>
      <c r="BX170" s="471"/>
      <c r="BY170" s="471"/>
      <c r="BZ170" s="471"/>
      <c r="CA170" s="471">
        <f>COUNTIF(AI170:AW170,"*OK*")</f>
        <v>0</v>
      </c>
      <c r="CB170" s="471"/>
      <c r="CC170" s="471">
        <f>COUNTIF(AI170:AW170,"*OP*")</f>
        <v>0</v>
      </c>
    </row>
    <row r="171" spans="1:81" ht="15" customHeight="1">
      <c r="A171" s="449">
        <v>24187</v>
      </c>
      <c r="B171" s="450"/>
      <c r="C171" s="451">
        <f>T171</f>
        <v>334.22</v>
      </c>
      <c r="D171" s="450">
        <f>COUNTIF(AI171:AW171,"*OK*")</f>
        <v>1</v>
      </c>
      <c r="E171" s="450"/>
      <c r="F171" s="452" t="s">
        <v>648</v>
      </c>
      <c r="G171" s="453"/>
      <c r="H171" s="454"/>
      <c r="I171" s="454"/>
      <c r="J171" s="453"/>
      <c r="K171" s="552" t="s">
        <v>68</v>
      </c>
      <c r="L171" s="453" t="s">
        <v>445</v>
      </c>
      <c r="M171" s="453"/>
      <c r="N171" s="456" t="s">
        <v>65</v>
      </c>
      <c r="O171" s="457">
        <v>250.08</v>
      </c>
      <c r="P171" s="457">
        <v>252.05</v>
      </c>
      <c r="Q171" s="457">
        <v>250.64</v>
      </c>
      <c r="R171" s="458">
        <v>256.55</v>
      </c>
      <c r="S171" s="459">
        <v>265.46559999999999</v>
      </c>
      <c r="T171" s="490">
        <v>334.22</v>
      </c>
      <c r="U171" s="461"/>
      <c r="V171" s="462">
        <v>100</v>
      </c>
      <c r="W171" s="463"/>
      <c r="X171" s="567" t="s">
        <v>70</v>
      </c>
      <c r="Y171" s="465" t="s">
        <v>241</v>
      </c>
      <c r="Z171" s="466" t="s">
        <v>649</v>
      </c>
      <c r="AA171" s="462" t="s">
        <v>59</v>
      </c>
      <c r="AB171" s="454" t="s">
        <v>97</v>
      </c>
      <c r="AC171" s="450"/>
      <c r="AD171" s="450"/>
      <c r="AE171" s="450"/>
      <c r="AF171" s="450"/>
      <c r="AG171" s="450"/>
      <c r="AH171" s="496" t="s">
        <v>59</v>
      </c>
      <c r="AI171" s="467"/>
      <c r="AJ171" s="467"/>
      <c r="AK171" s="467"/>
      <c r="AL171" s="467" t="s">
        <v>650</v>
      </c>
      <c r="AM171" s="467"/>
      <c r="AN171" s="467"/>
      <c r="AO171" s="467"/>
      <c r="AP171" s="467"/>
      <c r="AQ171" s="467"/>
      <c r="AR171" s="467"/>
      <c r="AS171" s="467" t="s">
        <v>415</v>
      </c>
      <c r="AT171" s="467"/>
      <c r="AU171" s="467"/>
      <c r="AV171" s="467"/>
      <c r="AW171" s="467"/>
      <c r="AX171" s="467"/>
      <c r="AY171" s="486">
        <f>COUNTIF(AI171:AX171,"*OP*")</f>
        <v>1</v>
      </c>
      <c r="AZ171" s="499" t="s">
        <v>59</v>
      </c>
      <c r="BA171" s="450">
        <f>(COUNTIF(AI171:AK171,"*OK*")*3) + (COUNTIF(AL171:AN171,"*OK*")*2) + COUNTIF(AO171:AQ171,"*OK*")+COUNTIF(AZ171:AZ171,"SI")*0.5</f>
        <v>0</v>
      </c>
      <c r="BB171" s="450" t="str">
        <f>IF(BA171&lt;0.6,"Demasiado Riesgo",IF(BA171&lt;=5,"Riesgo Medio",IF(BA171&lt;=11,"Riesgo Bajo","Cliente Blindado")))</f>
        <v>Demasiado Riesgo</v>
      </c>
      <c r="BC171" s="450"/>
      <c r="BD171" s="450"/>
      <c r="BE171" s="450">
        <v>0</v>
      </c>
      <c r="BF171" s="450"/>
      <c r="BG171" s="450"/>
      <c r="BH171" s="450"/>
      <c r="BI171" s="450"/>
      <c r="BJ171" s="450"/>
      <c r="BK171" s="450"/>
      <c r="BL171" s="450"/>
      <c r="BM171" s="450"/>
      <c r="BN171" s="450"/>
      <c r="BO171" s="450"/>
      <c r="BP171" s="450"/>
      <c r="BQ171" s="450"/>
      <c r="BR171" s="450"/>
      <c r="BS171" s="450"/>
      <c r="BT171" s="450"/>
      <c r="BU171" s="450"/>
      <c r="BV171" s="450"/>
      <c r="BW171" s="450"/>
      <c r="BX171" s="450"/>
      <c r="BY171" s="450"/>
      <c r="BZ171" s="450"/>
      <c r="CA171" s="450">
        <f>COUNTIF(AI171:AW171,"*OK*")</f>
        <v>1</v>
      </c>
      <c r="CB171" s="450"/>
      <c r="CC171" s="450">
        <f>COUNTIF(AI171:AW171,"*OP*")</f>
        <v>1</v>
      </c>
    </row>
    <row r="172" spans="1:81" ht="15" customHeight="1">
      <c r="A172" s="449">
        <v>17740</v>
      </c>
      <c r="B172" s="450" t="s">
        <v>651</v>
      </c>
      <c r="C172" s="451">
        <f>T172</f>
        <v>350.77</v>
      </c>
      <c r="D172" s="450">
        <f>COUNTIF(AI172:AW172,"*OK*")</f>
        <v>0</v>
      </c>
      <c r="E172" s="450"/>
      <c r="F172" s="453" t="s">
        <v>652</v>
      </c>
      <c r="G172" s="453"/>
      <c r="H172" s="454"/>
      <c r="I172" s="454"/>
      <c r="J172" s="453"/>
      <c r="K172" s="552" t="s">
        <v>68</v>
      </c>
      <c r="L172" s="453" t="s">
        <v>445</v>
      </c>
      <c r="M172" s="453"/>
      <c r="N172" s="456" t="s">
        <v>65</v>
      </c>
      <c r="O172" s="457">
        <v>350.05</v>
      </c>
      <c r="P172" s="457">
        <v>355.76</v>
      </c>
      <c r="Q172" s="457">
        <v>333.29</v>
      </c>
      <c r="R172" s="458">
        <v>338.08</v>
      </c>
      <c r="S172" s="459">
        <v>348.64269999999999</v>
      </c>
      <c r="T172" s="490">
        <v>350.77</v>
      </c>
      <c r="U172" s="461"/>
      <c r="V172" s="462">
        <v>300</v>
      </c>
      <c r="W172" s="463"/>
      <c r="X172" s="464" t="s">
        <v>251</v>
      </c>
      <c r="Y172" s="465" t="s">
        <v>139</v>
      </c>
      <c r="Z172" s="466" t="s">
        <v>653</v>
      </c>
      <c r="AA172" s="462" t="s">
        <v>59</v>
      </c>
      <c r="AB172" s="454" t="s">
        <v>84</v>
      </c>
      <c r="AC172" s="450"/>
      <c r="AD172" s="450"/>
      <c r="AE172" s="450"/>
      <c r="AF172" s="450"/>
      <c r="AG172" s="450"/>
      <c r="AH172" s="496" t="s">
        <v>59</v>
      </c>
      <c r="AI172" s="467"/>
      <c r="AJ172" s="467"/>
      <c r="AK172" s="467"/>
      <c r="AL172" s="467"/>
      <c r="AM172" s="467"/>
      <c r="AN172" s="467"/>
      <c r="AO172" s="467"/>
      <c r="AP172" s="467"/>
      <c r="AQ172" s="467"/>
      <c r="AR172" s="467"/>
      <c r="AS172" s="467"/>
      <c r="AT172" s="467"/>
      <c r="AU172" s="467"/>
      <c r="AV172" s="467"/>
      <c r="AW172" s="467"/>
      <c r="AX172" s="467"/>
      <c r="AY172" s="486">
        <f>COUNTIF(AI172:AX172,"*OP*")</f>
        <v>0</v>
      </c>
      <c r="AZ172" s="499" t="s">
        <v>176</v>
      </c>
      <c r="BA172" s="450">
        <f>(COUNTIF(AI172:AK172,"*OK*")*3) + (COUNTIF(AL172:AN172,"*OK*")*2) + COUNTIF(AO172:AQ172,"*OK*")+COUNTIF(AZ172:AZ172,"SI")*0.5</f>
        <v>0</v>
      </c>
      <c r="BB172" s="450" t="str">
        <f>IF(BA172&lt;0.6,"Demasiado Riesgo",IF(BA172&lt;=5,"Riesgo Medio",IF(BA172&lt;=11,"Riesgo Bajo","Cliente Blindado")))</f>
        <v>Demasiado Riesgo</v>
      </c>
      <c r="BC172" s="450"/>
      <c r="BD172" s="450"/>
      <c r="BE172" s="450">
        <v>0</v>
      </c>
      <c r="BF172" s="450"/>
      <c r="BG172" s="450"/>
      <c r="BH172" s="450"/>
      <c r="BI172" s="450"/>
      <c r="BJ172" s="450"/>
      <c r="BK172" s="450"/>
      <c r="BL172" s="450"/>
      <c r="BM172" s="450"/>
      <c r="BN172" s="450"/>
      <c r="BO172" s="450"/>
      <c r="BP172" s="450"/>
      <c r="BQ172" s="450"/>
      <c r="BR172" s="450"/>
      <c r="BS172" s="450"/>
      <c r="BT172" s="450"/>
      <c r="BU172" s="450"/>
      <c r="BV172" s="450"/>
      <c r="BW172" s="450"/>
      <c r="BX172" s="450"/>
      <c r="BY172" s="450"/>
      <c r="BZ172" s="450"/>
      <c r="CA172" s="450">
        <f>COUNTIF(AI172:AW172,"*OK*")</f>
        <v>0</v>
      </c>
      <c r="CB172" s="450"/>
      <c r="CC172" s="450">
        <f>COUNTIF(AI172:AW172,"*OP*")</f>
        <v>0</v>
      </c>
    </row>
    <row r="173" spans="1:81" ht="15" customHeight="1">
      <c r="A173" s="449">
        <v>31808</v>
      </c>
      <c r="B173" s="450" t="s">
        <v>654</v>
      </c>
      <c r="C173" s="451">
        <f>T173</f>
        <v>374.66</v>
      </c>
      <c r="D173" s="450">
        <f>COUNTIF(AI173:AW173,"*OK*")</f>
        <v>0</v>
      </c>
      <c r="E173" s="450"/>
      <c r="F173" s="599" t="s">
        <v>655</v>
      </c>
      <c r="G173" s="453"/>
      <c r="H173" s="454"/>
      <c r="I173" s="454"/>
      <c r="J173" s="453"/>
      <c r="K173" s="552" t="s">
        <v>68</v>
      </c>
      <c r="L173" s="453" t="s">
        <v>445</v>
      </c>
      <c r="M173" s="453"/>
      <c r="N173" s="456" t="s">
        <v>103</v>
      </c>
      <c r="O173" s="457">
        <v>288.32</v>
      </c>
      <c r="P173" s="457">
        <v>352.41</v>
      </c>
      <c r="Q173" s="457">
        <v>359.21</v>
      </c>
      <c r="R173" s="458">
        <v>235.12</v>
      </c>
      <c r="S173" s="459">
        <v>345.20760000000001</v>
      </c>
      <c r="T173" s="490">
        <v>374.66</v>
      </c>
      <c r="U173" s="461"/>
      <c r="V173" s="462">
        <v>200</v>
      </c>
      <c r="W173" s="463"/>
      <c r="X173" s="562" t="s">
        <v>70</v>
      </c>
      <c r="Y173" s="465" t="s">
        <v>161</v>
      </c>
      <c r="Z173" s="466" t="s">
        <v>656</v>
      </c>
      <c r="AA173" s="462" t="s">
        <v>220</v>
      </c>
      <c r="AB173" s="454" t="s">
        <v>84</v>
      </c>
      <c r="AC173" s="450"/>
      <c r="AD173" s="450"/>
      <c r="AE173" s="450"/>
      <c r="AF173" s="450"/>
      <c r="AG173" s="450"/>
      <c r="AH173" s="496" t="s">
        <v>127</v>
      </c>
      <c r="AI173" s="467"/>
      <c r="AJ173" s="467"/>
      <c r="AK173" s="467"/>
      <c r="AL173" s="467"/>
      <c r="AM173" s="467"/>
      <c r="AN173" s="467"/>
      <c r="AO173" s="467"/>
      <c r="AP173" s="467"/>
      <c r="AQ173" s="467"/>
      <c r="AR173" s="467"/>
      <c r="AS173" s="467"/>
      <c r="AT173" s="467"/>
      <c r="AU173" s="467"/>
      <c r="AV173" s="467"/>
      <c r="AW173" s="467"/>
      <c r="AX173" s="467"/>
      <c r="AY173" s="486">
        <f>COUNTIF(AI173:AX173,"*OP*")</f>
        <v>0</v>
      </c>
      <c r="AZ173" s="499" t="s">
        <v>176</v>
      </c>
      <c r="BA173" s="450">
        <f>(COUNTIF(AI173:AK173,"*OK*")*3) + (COUNTIF(AL173:AN173,"*OK*")*2) + COUNTIF(AO173:AQ173,"*OK*")+COUNTIF(AZ173:AZ173,"SI")*0.5</f>
        <v>0</v>
      </c>
      <c r="BB173" s="450" t="str">
        <f>IF(BA173&lt;0.6,"Demasiado Riesgo",IF(BA173&lt;=5,"Riesgo Medio",IF(BA173&lt;=11,"Riesgo Bajo","Cliente Blindado")))</f>
        <v>Demasiado Riesgo</v>
      </c>
      <c r="BC173" s="450"/>
      <c r="BD173" s="450"/>
      <c r="BE173" s="450">
        <v>0</v>
      </c>
      <c r="BF173" s="450"/>
      <c r="BG173" s="450"/>
      <c r="BH173" s="450"/>
      <c r="BI173" s="450"/>
      <c r="BJ173" s="450"/>
      <c r="BK173" s="450"/>
      <c r="BL173" s="450"/>
      <c r="BM173" s="450"/>
      <c r="BN173" s="450"/>
      <c r="BO173" s="450"/>
      <c r="BP173" s="450"/>
      <c r="BQ173" s="450"/>
      <c r="BR173" s="450"/>
      <c r="BS173" s="450"/>
      <c r="BT173" s="450"/>
      <c r="BU173" s="450"/>
      <c r="BV173" s="450"/>
      <c r="BW173" s="450"/>
      <c r="BX173" s="450"/>
      <c r="BY173" s="450"/>
      <c r="BZ173" s="450"/>
      <c r="CA173" s="450">
        <f>COUNTIF(AI173:AW173,"*OK*")</f>
        <v>0</v>
      </c>
      <c r="CB173" s="450"/>
      <c r="CC173" s="450">
        <f>COUNTIF(AI173:AW173,"*OP*")</f>
        <v>0</v>
      </c>
    </row>
    <row r="174" spans="1:81" ht="15" customHeight="1">
      <c r="A174" s="470"/>
      <c r="B174" s="471"/>
      <c r="C174" s="451">
        <f>T174</f>
        <v>383.91</v>
      </c>
      <c r="D174" s="471">
        <f>COUNTIF(AI174:AW174,"*OK*")</f>
        <v>0</v>
      </c>
      <c r="E174" s="471"/>
      <c r="F174" s="473" t="s">
        <v>657</v>
      </c>
      <c r="G174" s="473"/>
      <c r="H174" s="474"/>
      <c r="I174" s="474"/>
      <c r="J174" s="473"/>
      <c r="K174" s="556" t="s">
        <v>68</v>
      </c>
      <c r="L174" s="473" t="s">
        <v>445</v>
      </c>
      <c r="M174" s="473"/>
      <c r="N174" s="476" t="s">
        <v>65</v>
      </c>
      <c r="O174" s="477">
        <v>246.29</v>
      </c>
      <c r="P174" s="477">
        <v>400.19</v>
      </c>
      <c r="Q174" s="477">
        <v>334.99</v>
      </c>
      <c r="R174" s="478">
        <v>303.22000000000003</v>
      </c>
      <c r="S174" s="459">
        <v>355.81900000000002</v>
      </c>
      <c r="T174" s="460">
        <v>383.91</v>
      </c>
      <c r="U174" s="479"/>
      <c r="V174" s="480">
        <v>150</v>
      </c>
      <c r="W174" s="481"/>
      <c r="X174" s="482" t="s">
        <v>70</v>
      </c>
      <c r="Y174" s="483" t="s">
        <v>80</v>
      </c>
      <c r="Z174" s="484" t="s">
        <v>658</v>
      </c>
      <c r="AA174" s="480" t="s">
        <v>59</v>
      </c>
      <c r="AB174" s="474" t="s">
        <v>97</v>
      </c>
      <c r="AC174" s="471"/>
      <c r="AD174" s="471"/>
      <c r="AE174" s="471"/>
      <c r="AF174" s="471"/>
      <c r="AG174" s="471"/>
      <c r="AH174" s="494" t="s">
        <v>59</v>
      </c>
      <c r="AI174" s="467"/>
      <c r="AJ174" s="467"/>
      <c r="AK174" s="467" t="s">
        <v>617</v>
      </c>
      <c r="AL174" s="467"/>
      <c r="AM174" s="467"/>
      <c r="AN174" s="467"/>
      <c r="AO174" s="467"/>
      <c r="AP174" s="467"/>
      <c r="AQ174" s="467"/>
      <c r="AR174" s="467"/>
      <c r="AS174" s="467"/>
      <c r="AT174" s="467"/>
      <c r="AU174" s="467"/>
      <c r="AV174" s="467"/>
      <c r="AW174" s="467"/>
      <c r="AX174" s="467" t="s">
        <v>171</v>
      </c>
      <c r="AY174" s="486">
        <f>COUNTIF(AI174:AX174,"*OP*")</f>
        <v>2</v>
      </c>
      <c r="AZ174" s="485" t="s">
        <v>59</v>
      </c>
      <c r="BA174" s="471">
        <f>(COUNTIF(AI174:AK174,"*OK*")*3) + (COUNTIF(AL174:AN174,"*OK*")*2) + COUNTIF(AO174:AQ174,"*OK*")+COUNTIF(AZ174:AZ174,"SI")*0.5</f>
        <v>0</v>
      </c>
      <c r="BB174" s="471" t="str">
        <f>IF(BA174&lt;0.6,"Demasiado Riesgo",IF(BA174&lt;=5,"Riesgo Medio",IF(BA174&lt;=11,"Riesgo Bajo","Cliente Blindado")))</f>
        <v>Demasiado Riesgo</v>
      </c>
      <c r="BC174" s="471"/>
      <c r="BD174" s="471"/>
      <c r="BE174" s="471">
        <v>0</v>
      </c>
      <c r="BF174" s="471"/>
      <c r="BG174" s="471"/>
      <c r="BH174" s="471"/>
      <c r="BI174" s="471"/>
      <c r="BJ174" s="471"/>
      <c r="BK174" s="471"/>
      <c r="BL174" s="471"/>
      <c r="BM174" s="471"/>
      <c r="BN174" s="471"/>
      <c r="BO174" s="471"/>
      <c r="BP174" s="471"/>
      <c r="BQ174" s="471"/>
      <c r="BR174" s="471"/>
      <c r="BS174" s="471"/>
      <c r="BT174" s="471"/>
      <c r="BU174" s="471"/>
      <c r="BV174" s="471"/>
      <c r="BW174" s="471"/>
      <c r="BX174" s="471"/>
      <c r="BY174" s="471"/>
      <c r="BZ174" s="471"/>
      <c r="CA174" s="471">
        <f>COUNTIF(AI174:AW174,"*OK*")</f>
        <v>0</v>
      </c>
      <c r="CB174" s="471"/>
      <c r="CC174" s="471">
        <f>COUNTIF(AI174:AW174,"*OP*")</f>
        <v>1</v>
      </c>
    </row>
    <row r="175" spans="1:81" ht="15" customHeight="1">
      <c r="A175" s="449">
        <v>23029</v>
      </c>
      <c r="B175" s="450" t="s">
        <v>659</v>
      </c>
      <c r="C175" s="451">
        <f>T175</f>
        <v>402.95</v>
      </c>
      <c r="D175" s="450">
        <f>COUNTIF(AI175:AW175,"*OK*")</f>
        <v>0</v>
      </c>
      <c r="E175" s="450"/>
      <c r="F175" s="453" t="s">
        <v>523</v>
      </c>
      <c r="G175" s="453" t="s">
        <v>523</v>
      </c>
      <c r="H175" s="454"/>
      <c r="I175" s="454"/>
      <c r="J175" s="453"/>
      <c r="K175" s="552" t="s">
        <v>68</v>
      </c>
      <c r="L175" s="453" t="s">
        <v>445</v>
      </c>
      <c r="M175" s="453"/>
      <c r="N175" s="456" t="s">
        <v>65</v>
      </c>
      <c r="O175" s="457">
        <v>218.95</v>
      </c>
      <c r="P175" s="457">
        <v>210.33</v>
      </c>
      <c r="Q175" s="457">
        <v>200.44</v>
      </c>
      <c r="R175" s="458">
        <v>215.17</v>
      </c>
      <c r="S175" s="459">
        <v>228.8509</v>
      </c>
      <c r="T175" s="490">
        <v>402.95</v>
      </c>
      <c r="U175" s="461"/>
      <c r="V175" s="462">
        <v>100</v>
      </c>
      <c r="W175" s="463"/>
      <c r="X175" s="562" t="s">
        <v>70</v>
      </c>
      <c r="Y175" s="465" t="s">
        <v>80</v>
      </c>
      <c r="Z175" s="466" t="s">
        <v>660</v>
      </c>
      <c r="AA175" s="462" t="s">
        <v>59</v>
      </c>
      <c r="AB175" s="454" t="s">
        <v>97</v>
      </c>
      <c r="AC175" s="450"/>
      <c r="AD175" s="450"/>
      <c r="AE175" s="450"/>
      <c r="AF175" s="450"/>
      <c r="AG175" s="450"/>
      <c r="AH175" s="496" t="s">
        <v>127</v>
      </c>
      <c r="AI175" s="467" t="s">
        <v>171</v>
      </c>
      <c r="AJ175" s="467"/>
      <c r="AK175" s="467" t="s">
        <v>171</v>
      </c>
      <c r="AL175" s="467"/>
      <c r="AM175" s="467"/>
      <c r="AN175" s="467"/>
      <c r="AO175" s="467"/>
      <c r="AP175" s="467"/>
      <c r="AQ175" s="467"/>
      <c r="AR175" s="467"/>
      <c r="AS175" s="467"/>
      <c r="AT175" s="467"/>
      <c r="AU175" s="467"/>
      <c r="AV175" s="467"/>
      <c r="AW175" s="467"/>
      <c r="AX175" s="467"/>
      <c r="AY175" s="486">
        <f>COUNTIF(AI175:AX175,"*OP*")</f>
        <v>2</v>
      </c>
      <c r="AZ175" s="499" t="s">
        <v>176</v>
      </c>
      <c r="BA175" s="450">
        <f>(COUNTIF(AI175:AK175,"*OK*")*3) + (COUNTIF(AL175:AN175,"*OK*")*2) + COUNTIF(AO175:AQ175,"*OK*")+COUNTIF(AZ175:AZ175,"SI")*0.5</f>
        <v>0</v>
      </c>
      <c r="BB175" s="450" t="str">
        <f>IF(BA175&lt;0.6,"Demasiado Riesgo",IF(BA175&lt;=5,"Riesgo Medio",IF(BA175&lt;=11,"Riesgo Bajo","Cliente Blindado")))</f>
        <v>Demasiado Riesgo</v>
      </c>
      <c r="BC175" s="450"/>
      <c r="BD175" s="450"/>
      <c r="BE175" s="450">
        <v>0</v>
      </c>
      <c r="BF175" s="450"/>
      <c r="BG175" s="450"/>
      <c r="BH175" s="450"/>
      <c r="BI175" s="450"/>
      <c r="BJ175" s="450"/>
      <c r="BK175" s="450"/>
      <c r="BL175" s="450"/>
      <c r="BM175" s="450"/>
      <c r="BN175" s="450"/>
      <c r="BO175" s="450"/>
      <c r="BP175" s="450"/>
      <c r="BQ175" s="450"/>
      <c r="BR175" s="450"/>
      <c r="BS175" s="450"/>
      <c r="BT175" s="450"/>
      <c r="BU175" s="450"/>
      <c r="BV175" s="450"/>
      <c r="BW175" s="450"/>
      <c r="BX175" s="450"/>
      <c r="BY175" s="450"/>
      <c r="BZ175" s="450"/>
      <c r="CA175" s="450">
        <f>COUNTIF(AI175:AW175,"*OK*")</f>
        <v>0</v>
      </c>
      <c r="CB175" s="450"/>
      <c r="CC175" s="450">
        <f>COUNTIF(AI175:AW175,"*OP*")</f>
        <v>2</v>
      </c>
    </row>
    <row r="176" spans="1:81" ht="15" customHeight="1">
      <c r="A176" s="470"/>
      <c r="B176" s="471"/>
      <c r="C176" s="451">
        <f>T176</f>
        <v>412.33</v>
      </c>
      <c r="D176" s="471">
        <f>COUNTIF(AI176:AW176,"*OK*")</f>
        <v>0</v>
      </c>
      <c r="E176" s="471"/>
      <c r="F176" s="578" t="s">
        <v>661</v>
      </c>
      <c r="G176" s="473"/>
      <c r="H176" s="454" t="s">
        <v>662</v>
      </c>
      <c r="I176" s="454"/>
      <c r="J176" s="473"/>
      <c r="K176" s="556" t="s">
        <v>68</v>
      </c>
      <c r="L176" s="473" t="s">
        <v>445</v>
      </c>
      <c r="M176" s="473"/>
      <c r="N176" s="476" t="s">
        <v>65</v>
      </c>
      <c r="O176" s="477">
        <v>428.46</v>
      </c>
      <c r="P176" s="477">
        <v>433.98</v>
      </c>
      <c r="Q176" s="477">
        <v>439.9</v>
      </c>
      <c r="R176" s="478">
        <v>444.36</v>
      </c>
      <c r="S176" s="459">
        <v>440.50209999999998</v>
      </c>
      <c r="T176" s="469">
        <v>412.33</v>
      </c>
      <c r="U176" s="479"/>
      <c r="V176" s="480">
        <v>150</v>
      </c>
      <c r="W176" s="481"/>
      <c r="X176" s="482" t="s">
        <v>70</v>
      </c>
      <c r="Y176" s="483" t="s">
        <v>80</v>
      </c>
      <c r="Z176" s="484" t="s">
        <v>663</v>
      </c>
      <c r="AA176" s="480" t="s">
        <v>59</v>
      </c>
      <c r="AB176" s="474" t="s">
        <v>84</v>
      </c>
      <c r="AC176" s="471"/>
      <c r="AD176" s="471"/>
      <c r="AE176" s="471"/>
      <c r="AF176" s="471"/>
      <c r="AG176" s="471"/>
      <c r="AH176" s="494" t="s">
        <v>59</v>
      </c>
      <c r="AI176" s="467"/>
      <c r="AJ176" s="467"/>
      <c r="AK176" s="467"/>
      <c r="AL176" s="467"/>
      <c r="AM176" s="467"/>
      <c r="AN176" s="467"/>
      <c r="AO176" s="467"/>
      <c r="AP176" s="467"/>
      <c r="AQ176" s="467"/>
      <c r="AR176" s="467"/>
      <c r="AS176" s="467"/>
      <c r="AT176" s="467"/>
      <c r="AU176" s="467"/>
      <c r="AV176" s="467"/>
      <c r="AW176" s="467"/>
      <c r="AX176" s="467"/>
      <c r="AY176" s="486">
        <f>COUNTIF(AI176:AX176,"*OP*")</f>
        <v>0</v>
      </c>
      <c r="AZ176" s="485" t="s">
        <v>59</v>
      </c>
      <c r="BA176" s="471">
        <f>(COUNTIF(AI176:AK176,"*OK*")*3) + (COUNTIF(AL176:AN176,"*OK*")*2) + COUNTIF(AO176:AQ176,"*OK*")+COUNTIF(AZ176:AZ176,"SI")*0.5</f>
        <v>0</v>
      </c>
      <c r="BB176" s="471" t="str">
        <f>IF(BA176&lt;0.6,"Demasiado Riesgo",IF(BA176&lt;=5,"Riesgo Medio",IF(BA176&lt;=11,"Riesgo Bajo","Cliente Blindado")))</f>
        <v>Demasiado Riesgo</v>
      </c>
      <c r="BC176" s="471"/>
      <c r="BD176" s="471"/>
      <c r="BE176" s="471">
        <v>0</v>
      </c>
      <c r="BF176" s="471"/>
      <c r="BG176" s="471"/>
      <c r="BH176" s="471"/>
      <c r="BI176" s="471"/>
      <c r="BJ176" s="471"/>
      <c r="BK176" s="471"/>
      <c r="BL176" s="471"/>
      <c r="BM176" s="471"/>
      <c r="BN176" s="471"/>
      <c r="BO176" s="471"/>
      <c r="BP176" s="471"/>
      <c r="BQ176" s="471"/>
      <c r="BR176" s="471"/>
      <c r="BS176" s="471"/>
      <c r="BT176" s="471"/>
      <c r="BU176" s="471"/>
      <c r="BV176" s="471"/>
      <c r="BW176" s="471"/>
      <c r="BX176" s="471"/>
      <c r="BY176" s="471"/>
      <c r="BZ176" s="471"/>
      <c r="CA176" s="471">
        <f>COUNTIF(AI176:AW176,"*OK*")</f>
        <v>0</v>
      </c>
      <c r="CB176" s="471"/>
      <c r="CC176" s="471">
        <f>COUNTIF(AI176:AW176,"*OP*")</f>
        <v>0</v>
      </c>
    </row>
    <row r="177" spans="1:81" ht="15" customHeight="1">
      <c r="A177" s="449">
        <v>6901</v>
      </c>
      <c r="B177" s="450"/>
      <c r="C177" s="451">
        <f>T177</f>
        <v>413.98</v>
      </c>
      <c r="D177" s="450">
        <f>COUNTIF(AI177:AW177,"*OK*")</f>
        <v>0</v>
      </c>
      <c r="E177" s="450"/>
      <c r="F177" s="578" t="s">
        <v>664</v>
      </c>
      <c r="G177" s="453"/>
      <c r="H177" s="454" t="s">
        <v>665</v>
      </c>
      <c r="I177" s="454"/>
      <c r="J177" s="453"/>
      <c r="K177" s="552" t="s">
        <v>68</v>
      </c>
      <c r="L177" s="453" t="s">
        <v>445</v>
      </c>
      <c r="M177" s="453"/>
      <c r="N177" s="456" t="s">
        <v>65</v>
      </c>
      <c r="O177" s="457">
        <v>476.51</v>
      </c>
      <c r="P177" s="457">
        <v>495.91</v>
      </c>
      <c r="Q177" s="457">
        <v>453.7</v>
      </c>
      <c r="R177" s="458">
        <v>429.27</v>
      </c>
      <c r="S177" s="459">
        <v>441.64249999999998</v>
      </c>
      <c r="T177" s="487">
        <v>413.98</v>
      </c>
      <c r="U177" s="461"/>
      <c r="V177" s="462">
        <v>100</v>
      </c>
      <c r="W177" s="463"/>
      <c r="X177" s="562" t="s">
        <v>70</v>
      </c>
      <c r="Y177" s="465" t="s">
        <v>125</v>
      </c>
      <c r="Z177" s="466" t="s">
        <v>666</v>
      </c>
      <c r="AA177" s="462" t="s">
        <v>59</v>
      </c>
      <c r="AB177" s="454" t="s">
        <v>92</v>
      </c>
      <c r="AC177" s="450"/>
      <c r="AD177" s="450"/>
      <c r="AE177" s="450"/>
      <c r="AF177" s="450"/>
      <c r="AG177" s="450"/>
      <c r="AH177" s="496" t="s">
        <v>59</v>
      </c>
      <c r="AI177" s="467"/>
      <c r="AJ177" s="467"/>
      <c r="AK177" s="467"/>
      <c r="AL177" s="467"/>
      <c r="AM177" s="467"/>
      <c r="AN177" s="467"/>
      <c r="AO177" s="467"/>
      <c r="AP177" s="467"/>
      <c r="AQ177" s="467"/>
      <c r="AR177" s="467"/>
      <c r="AS177" s="467"/>
      <c r="AT177" s="467"/>
      <c r="AU177" s="467"/>
      <c r="AV177" s="467"/>
      <c r="AW177" s="467"/>
      <c r="AX177" s="467"/>
      <c r="AY177" s="486">
        <f>COUNTIF(AI177:AX177,"*OP*")</f>
        <v>0</v>
      </c>
      <c r="AZ177" s="499" t="s">
        <v>176</v>
      </c>
      <c r="BA177" s="450">
        <f>(COUNTIF(AI177:AK177,"*OK*")*3) + (COUNTIF(AL177:AN177,"*OK*")*2) + COUNTIF(AO177:AQ177,"*OK*")+COUNTIF(AZ177:AZ177,"SI")*0.5</f>
        <v>0</v>
      </c>
      <c r="BB177" s="450" t="str">
        <f>IF(BA177&lt;0.6,"Demasiado Riesgo",IF(BA177&lt;=5,"Riesgo Medio",IF(BA177&lt;=11,"Riesgo Bajo","Cliente Blindado")))</f>
        <v>Demasiado Riesgo</v>
      </c>
      <c r="BC177" s="450"/>
      <c r="BD177" s="450"/>
      <c r="BE177" s="450">
        <v>0</v>
      </c>
      <c r="BF177" s="450"/>
      <c r="BG177" s="450"/>
      <c r="BH177" s="450"/>
      <c r="BI177" s="450"/>
      <c r="BJ177" s="450"/>
      <c r="BK177" s="450"/>
      <c r="BL177" s="450"/>
      <c r="BM177" s="450"/>
      <c r="BN177" s="450"/>
      <c r="BO177" s="450"/>
      <c r="BP177" s="450"/>
      <c r="BQ177" s="450"/>
      <c r="BR177" s="450"/>
      <c r="BS177" s="450"/>
      <c r="BT177" s="450"/>
      <c r="BU177" s="450"/>
      <c r="BV177" s="450"/>
      <c r="BW177" s="450"/>
      <c r="BX177" s="450"/>
      <c r="BY177" s="450"/>
      <c r="BZ177" s="450"/>
      <c r="CA177" s="450">
        <f>COUNTIF(AI177:AW177,"*OK*")</f>
        <v>0</v>
      </c>
      <c r="CB177" s="450"/>
      <c r="CC177" s="450">
        <f>COUNTIF(AI177:AW177,"*OP*")</f>
        <v>0</v>
      </c>
    </row>
    <row r="178" spans="1:81" ht="15" customHeight="1">
      <c r="A178" s="449">
        <v>21609</v>
      </c>
      <c r="B178" s="450" t="s">
        <v>667</v>
      </c>
      <c r="C178" s="451">
        <f>T178</f>
        <v>418.17</v>
      </c>
      <c r="D178" s="450">
        <f>COUNTIF(AI178:AW178,"*OK*")</f>
        <v>0</v>
      </c>
      <c r="E178" s="450"/>
      <c r="F178" s="587" t="s">
        <v>668</v>
      </c>
      <c r="G178" s="453"/>
      <c r="H178" s="454" t="s">
        <v>669</v>
      </c>
      <c r="I178" s="454"/>
      <c r="J178" s="453"/>
      <c r="K178" s="552" t="s">
        <v>68</v>
      </c>
      <c r="L178" s="453" t="s">
        <v>445</v>
      </c>
      <c r="M178" s="453"/>
      <c r="N178" s="456" t="s">
        <v>237</v>
      </c>
      <c r="O178" s="457">
        <v>456.1</v>
      </c>
      <c r="P178" s="457">
        <v>430.04</v>
      </c>
      <c r="Q178" s="457">
        <v>481.26</v>
      </c>
      <c r="R178" s="458">
        <v>537.5</v>
      </c>
      <c r="S178" s="459">
        <v>468.0335</v>
      </c>
      <c r="T178" s="487">
        <v>418.17</v>
      </c>
      <c r="U178" s="461"/>
      <c r="V178" s="462">
        <v>150</v>
      </c>
      <c r="W178" s="463"/>
      <c r="X178" s="465" t="s">
        <v>245</v>
      </c>
      <c r="Y178" s="465" t="s">
        <v>161</v>
      </c>
      <c r="Z178" s="466" t="s">
        <v>670</v>
      </c>
      <c r="AA178" s="462" t="s">
        <v>161</v>
      </c>
      <c r="AB178" s="454" t="s">
        <v>568</v>
      </c>
      <c r="AC178" s="450"/>
      <c r="AD178" s="450"/>
      <c r="AE178" s="450"/>
      <c r="AF178" s="450"/>
      <c r="AG178" s="450"/>
      <c r="AH178" s="496" t="s">
        <v>127</v>
      </c>
      <c r="AI178" s="467"/>
      <c r="AJ178" s="467"/>
      <c r="AK178" s="467"/>
      <c r="AL178" s="467"/>
      <c r="AM178" s="467"/>
      <c r="AN178" s="467"/>
      <c r="AO178" s="467"/>
      <c r="AP178" s="467"/>
      <c r="AQ178" s="467"/>
      <c r="AR178" s="467"/>
      <c r="AS178" s="467"/>
      <c r="AT178" s="467"/>
      <c r="AU178" s="467"/>
      <c r="AV178" s="467"/>
      <c r="AW178" s="467"/>
      <c r="AX178" s="467" t="s">
        <v>171</v>
      </c>
      <c r="AY178" s="486">
        <f>COUNTIF(AI178:AX178,"*OP*")</f>
        <v>1</v>
      </c>
      <c r="AZ178" s="499" t="s">
        <v>176</v>
      </c>
      <c r="BA178" s="450">
        <f>(COUNTIF(AI178:AK178,"*OK*")*3) + (COUNTIF(AL178:AN178,"*OK*")*2) + COUNTIF(AO178:AQ178,"*OK*")+COUNTIF(AZ178:AZ178,"SI")*0.5</f>
        <v>0</v>
      </c>
      <c r="BB178" s="450" t="str">
        <f>IF(BA178&lt;0.6,"Demasiado Riesgo",IF(BA178&lt;=5,"Riesgo Medio",IF(BA178&lt;=11,"Riesgo Bajo","Cliente Blindado")))</f>
        <v>Demasiado Riesgo</v>
      </c>
      <c r="BC178" s="450"/>
      <c r="BD178" s="450"/>
      <c r="BE178" s="450">
        <v>0</v>
      </c>
      <c r="BF178" s="450"/>
      <c r="BG178" s="450"/>
      <c r="BH178" s="450"/>
      <c r="BI178" s="450"/>
      <c r="BJ178" s="450"/>
      <c r="BK178" s="450"/>
      <c r="BL178" s="450"/>
      <c r="BM178" s="450"/>
      <c r="BN178" s="450"/>
      <c r="BO178" s="450"/>
      <c r="BP178" s="450"/>
      <c r="BQ178" s="450"/>
      <c r="BR178" s="450"/>
      <c r="BS178" s="450"/>
      <c r="BT178" s="450"/>
      <c r="BU178" s="450"/>
      <c r="BV178" s="450"/>
      <c r="BW178" s="450"/>
      <c r="BX178" s="450"/>
      <c r="BY178" s="450"/>
      <c r="BZ178" s="450"/>
      <c r="CA178" s="450">
        <f>COUNTIF(AI178:AW178,"*OK*")</f>
        <v>0</v>
      </c>
      <c r="CB178" s="450"/>
      <c r="CC178" s="450">
        <f>COUNTIF(AI178:AW178,"*OP*")</f>
        <v>0</v>
      </c>
    </row>
    <row r="179" spans="1:81" ht="15" customHeight="1">
      <c r="A179" s="470">
        <v>23369</v>
      </c>
      <c r="B179" s="471" t="s">
        <v>671</v>
      </c>
      <c r="C179" s="451">
        <f>T179</f>
        <v>422.53</v>
      </c>
      <c r="D179" s="471">
        <f>COUNTIF(AI179:AW179,"*OK*")</f>
        <v>3</v>
      </c>
      <c r="E179" s="471"/>
      <c r="F179" s="473" t="s">
        <v>672</v>
      </c>
      <c r="G179" s="473"/>
      <c r="H179" s="474"/>
      <c r="I179" s="474"/>
      <c r="J179" s="473"/>
      <c r="K179" s="556" t="s">
        <v>68</v>
      </c>
      <c r="L179" s="473" t="s">
        <v>445</v>
      </c>
      <c r="M179" s="473"/>
      <c r="N179" s="476" t="s">
        <v>156</v>
      </c>
      <c r="O179" s="477">
        <v>187.28</v>
      </c>
      <c r="P179" s="477">
        <v>200.63</v>
      </c>
      <c r="Q179" s="477">
        <v>199.79</v>
      </c>
      <c r="R179" s="478">
        <v>172.96</v>
      </c>
      <c r="S179" s="459">
        <v>399.37150000000003</v>
      </c>
      <c r="T179" s="460">
        <v>422.53</v>
      </c>
      <c r="U179" s="479"/>
      <c r="V179" s="480">
        <v>200</v>
      </c>
      <c r="W179" s="481"/>
      <c r="X179" s="482" t="s">
        <v>70</v>
      </c>
      <c r="Y179" s="483" t="s">
        <v>80</v>
      </c>
      <c r="Z179" s="484" t="s">
        <v>673</v>
      </c>
      <c r="AA179" s="480" t="s">
        <v>59</v>
      </c>
      <c r="AB179" s="474" t="s">
        <v>97</v>
      </c>
      <c r="AC179" s="471"/>
      <c r="AD179" s="471"/>
      <c r="AE179" s="471"/>
      <c r="AF179" s="471"/>
      <c r="AG179" s="471"/>
      <c r="AH179" s="494" t="s">
        <v>127</v>
      </c>
      <c r="AI179" s="467"/>
      <c r="AJ179" s="467"/>
      <c r="AK179" s="467" t="s">
        <v>415</v>
      </c>
      <c r="AL179" s="467"/>
      <c r="AM179" s="467"/>
      <c r="AN179" s="467" t="s">
        <v>674</v>
      </c>
      <c r="AO179" s="467"/>
      <c r="AP179" s="467" t="s">
        <v>415</v>
      </c>
      <c r="AQ179" s="467"/>
      <c r="AR179" s="467"/>
      <c r="AS179" s="467"/>
      <c r="AT179" s="467"/>
      <c r="AU179" s="467"/>
      <c r="AV179" s="467"/>
      <c r="AW179" s="467"/>
      <c r="AX179" s="467" t="s">
        <v>675</v>
      </c>
      <c r="AY179" s="486">
        <f>COUNTIF(AI179:AX179,"*OP*")</f>
        <v>1</v>
      </c>
      <c r="AZ179" s="485" t="s">
        <v>676</v>
      </c>
      <c r="BA179" s="471">
        <f>(COUNTIF(AI179:AK179,"*OK*")*3) + (COUNTIF(AL179:AN179,"*OK*")*2) + COUNTIF(AO179:AQ179,"*OK*")+COUNTIF(AZ179:AZ179,"SI")*0.5</f>
        <v>6</v>
      </c>
      <c r="BB179" s="471" t="str">
        <f>IF(BA179&lt;0.6,"Demasiado Riesgo",IF(BA179&lt;=5,"Riesgo Medio",IF(BA179&lt;=11,"Riesgo Bajo","Cliente Blindado")))</f>
        <v>Riesgo Bajo</v>
      </c>
      <c r="BC179" s="471"/>
      <c r="BD179" s="471"/>
      <c r="BE179" s="471">
        <v>0</v>
      </c>
      <c r="BF179" s="471"/>
      <c r="BG179" s="471"/>
      <c r="BH179" s="471"/>
      <c r="BI179" s="471"/>
      <c r="BJ179" s="471"/>
      <c r="BK179" s="471"/>
      <c r="BL179" s="471"/>
      <c r="BM179" s="471"/>
      <c r="BN179" s="471"/>
      <c r="BO179" s="471"/>
      <c r="BP179" s="471"/>
      <c r="BQ179" s="471"/>
      <c r="BR179" s="471"/>
      <c r="BS179" s="471"/>
      <c r="BT179" s="471"/>
      <c r="BU179" s="471"/>
      <c r="BV179" s="471"/>
      <c r="BW179" s="471"/>
      <c r="BX179" s="471"/>
      <c r="BY179" s="471"/>
      <c r="BZ179" s="471"/>
      <c r="CA179" s="471">
        <f>COUNTIF(AI179:AW179,"*OK*")</f>
        <v>3</v>
      </c>
      <c r="CB179" s="471"/>
      <c r="CC179" s="471">
        <f>COUNTIF(AI179:AW179,"*OP*")</f>
        <v>0</v>
      </c>
    </row>
    <row r="180" spans="1:81" ht="15" customHeight="1">
      <c r="A180" s="470">
        <v>21436</v>
      </c>
      <c r="B180" s="471" t="s">
        <v>677</v>
      </c>
      <c r="C180" s="451">
        <f>T180</f>
        <v>435.21</v>
      </c>
      <c r="D180" s="471">
        <f>COUNTIF(AI180:AW180,"*OK*")</f>
        <v>0</v>
      </c>
      <c r="E180" s="471"/>
      <c r="F180" s="578" t="s">
        <v>678</v>
      </c>
      <c r="G180" s="473"/>
      <c r="H180" s="454" t="s">
        <v>679</v>
      </c>
      <c r="I180" s="454"/>
      <c r="J180" s="473"/>
      <c r="K180" s="556" t="s">
        <v>68</v>
      </c>
      <c r="L180" s="473" t="s">
        <v>445</v>
      </c>
      <c r="M180" s="473"/>
      <c r="N180" s="476" t="s">
        <v>191</v>
      </c>
      <c r="O180" s="477">
        <v>412.04</v>
      </c>
      <c r="P180" s="477">
        <v>410.1</v>
      </c>
      <c r="Q180" s="477">
        <v>392.31</v>
      </c>
      <c r="R180" s="478">
        <v>424.95</v>
      </c>
      <c r="S180" s="459">
        <v>432.22989999999999</v>
      </c>
      <c r="T180" s="460">
        <v>435.21</v>
      </c>
      <c r="U180" s="479"/>
      <c r="V180" s="480">
        <v>150</v>
      </c>
      <c r="W180" s="481"/>
      <c r="X180" s="483" t="s">
        <v>100</v>
      </c>
      <c r="Y180" s="483" t="s">
        <v>125</v>
      </c>
      <c r="Z180" s="484" t="s">
        <v>680</v>
      </c>
      <c r="AA180" s="480" t="s">
        <v>59</v>
      </c>
      <c r="AB180" s="474" t="s">
        <v>92</v>
      </c>
      <c r="AC180" s="471"/>
      <c r="AD180" s="471"/>
      <c r="AE180" s="471"/>
      <c r="AF180" s="471"/>
      <c r="AG180" s="471"/>
      <c r="AH180" s="494" t="s">
        <v>127</v>
      </c>
      <c r="AI180" s="467"/>
      <c r="AJ180" s="467"/>
      <c r="AK180" s="467"/>
      <c r="AL180" s="467"/>
      <c r="AM180" s="467"/>
      <c r="AN180" s="467"/>
      <c r="AO180" s="467"/>
      <c r="AP180" s="467"/>
      <c r="AQ180" s="467"/>
      <c r="AR180" s="467"/>
      <c r="AS180" s="467"/>
      <c r="AT180" s="467"/>
      <c r="AU180" s="467"/>
      <c r="AV180" s="467"/>
      <c r="AW180" s="467"/>
      <c r="AX180" s="467"/>
      <c r="AY180" s="486">
        <f>COUNTIF(AI180:AX180,"*OP*")</f>
        <v>0</v>
      </c>
      <c r="AZ180" s="485" t="s">
        <v>176</v>
      </c>
      <c r="BA180" s="471">
        <f>(COUNTIF(AI180:AK180,"*OK*")*3) + (COUNTIF(AL180:AN180,"*OK*")*2) + COUNTIF(AO180:AQ180,"*OK*")+COUNTIF(AZ180:AZ180,"SI")*0.5</f>
        <v>0</v>
      </c>
      <c r="BB180" s="471" t="str">
        <f>IF(BA180&lt;0.6,"Demasiado Riesgo",IF(BA180&lt;=5,"Riesgo Medio",IF(BA180&lt;=11,"Riesgo Bajo","Cliente Blindado")))</f>
        <v>Demasiado Riesgo</v>
      </c>
      <c r="BC180" s="471"/>
      <c r="BD180" s="471"/>
      <c r="BE180" s="471">
        <v>0</v>
      </c>
      <c r="BF180" s="471"/>
      <c r="BG180" s="471"/>
      <c r="BH180" s="471"/>
      <c r="BI180" s="471"/>
      <c r="BJ180" s="471"/>
      <c r="BK180" s="471"/>
      <c r="BL180" s="471"/>
      <c r="BM180" s="471"/>
      <c r="BN180" s="471"/>
      <c r="BO180" s="471"/>
      <c r="BP180" s="471"/>
      <c r="BQ180" s="471"/>
      <c r="BR180" s="471"/>
      <c r="BS180" s="471"/>
      <c r="BT180" s="471"/>
      <c r="BU180" s="471"/>
      <c r="BV180" s="471"/>
      <c r="BW180" s="471"/>
      <c r="BX180" s="471"/>
      <c r="BY180" s="471"/>
      <c r="BZ180" s="471"/>
      <c r="CA180" s="471">
        <f>COUNTIF(AI180:AW180,"*OK*")</f>
        <v>0</v>
      </c>
      <c r="CB180" s="471"/>
      <c r="CC180" s="471">
        <f>COUNTIF(AI180:AW180,"*OP*")</f>
        <v>0</v>
      </c>
    </row>
    <row r="181" spans="1:81" ht="15" customHeight="1">
      <c r="A181" s="470">
        <v>24925</v>
      </c>
      <c r="B181" s="471" t="s">
        <v>681</v>
      </c>
      <c r="C181" s="451">
        <f>T181</f>
        <v>443.25</v>
      </c>
      <c r="D181" s="471">
        <f>COUNTIF(AI181:AW181,"*OK*")</f>
        <v>0</v>
      </c>
      <c r="E181" s="471"/>
      <c r="F181" s="578" t="s">
        <v>682</v>
      </c>
      <c r="G181" s="473"/>
      <c r="H181" s="454" t="s">
        <v>378</v>
      </c>
      <c r="I181" s="454"/>
      <c r="J181" s="473"/>
      <c r="K181" s="556" t="s">
        <v>68</v>
      </c>
      <c r="L181" s="473" t="s">
        <v>445</v>
      </c>
      <c r="M181" s="473"/>
      <c r="N181" s="476" t="s">
        <v>103</v>
      </c>
      <c r="O181" s="477">
        <v>320.44</v>
      </c>
      <c r="P181" s="477">
        <v>320.14</v>
      </c>
      <c r="Q181" s="477">
        <v>321.32</v>
      </c>
      <c r="R181" s="478">
        <v>361.81</v>
      </c>
      <c r="S181" s="459">
        <v>448.16719999999998</v>
      </c>
      <c r="T181" s="469">
        <v>443.25</v>
      </c>
      <c r="U181" s="479"/>
      <c r="V181" s="480">
        <v>100</v>
      </c>
      <c r="W181" s="481"/>
      <c r="X181" s="572" t="s">
        <v>70</v>
      </c>
      <c r="Y181" s="483" t="s">
        <v>80</v>
      </c>
      <c r="Z181" s="484" t="s">
        <v>683</v>
      </c>
      <c r="AA181" s="480" t="s">
        <v>59</v>
      </c>
      <c r="AB181" s="474" t="s">
        <v>92</v>
      </c>
      <c r="AC181" s="471"/>
      <c r="AD181" s="471"/>
      <c r="AE181" s="471"/>
      <c r="AF181" s="471"/>
      <c r="AG181" s="471"/>
      <c r="AH181" s="494" t="s">
        <v>127</v>
      </c>
      <c r="AI181" s="467"/>
      <c r="AJ181" s="467"/>
      <c r="AK181" s="565" t="s">
        <v>171</v>
      </c>
      <c r="AL181" s="467"/>
      <c r="AM181" s="467"/>
      <c r="AN181" s="467"/>
      <c r="AO181" s="467"/>
      <c r="AP181" s="467"/>
      <c r="AQ181" s="467"/>
      <c r="AR181" s="467"/>
      <c r="AS181" s="467"/>
      <c r="AT181" s="467"/>
      <c r="AU181" s="467"/>
      <c r="AV181" s="467"/>
      <c r="AW181" s="467"/>
      <c r="AX181" s="467"/>
      <c r="AY181" s="486">
        <f>COUNTIF(AI181:AX181,"*OP*")</f>
        <v>1</v>
      </c>
      <c r="AZ181" s="485" t="s">
        <v>176</v>
      </c>
      <c r="BA181" s="471">
        <f>(COUNTIF(AI181:AK181,"*OK*")*3) + (COUNTIF(AL181:AN181,"*OK*")*2) + COUNTIF(AO181:AQ181,"*OK*")+COUNTIF(AZ181:AZ181,"SI")*0.5</f>
        <v>0</v>
      </c>
      <c r="BB181" s="471" t="str">
        <f>IF(BA181&lt;0.6,"Demasiado Riesgo",IF(BA181&lt;=5,"Riesgo Medio",IF(BA181&lt;=11,"Riesgo Bajo","Cliente Blindado")))</f>
        <v>Demasiado Riesgo</v>
      </c>
      <c r="BC181" s="471"/>
      <c r="BD181" s="471"/>
      <c r="BE181" s="471">
        <v>0</v>
      </c>
      <c r="BF181" s="471"/>
      <c r="BG181" s="471"/>
      <c r="BH181" s="471"/>
      <c r="BI181" s="471"/>
      <c r="BJ181" s="471"/>
      <c r="BK181" s="471"/>
      <c r="BL181" s="471"/>
      <c r="BM181" s="471"/>
      <c r="BN181" s="471"/>
      <c r="BO181" s="471"/>
      <c r="BP181" s="471"/>
      <c r="BQ181" s="471"/>
      <c r="BR181" s="471"/>
      <c r="BS181" s="471"/>
      <c r="BT181" s="471"/>
      <c r="BU181" s="471"/>
      <c r="BV181" s="471"/>
      <c r="BW181" s="471"/>
      <c r="BX181" s="471"/>
      <c r="BY181" s="471"/>
      <c r="BZ181" s="471"/>
      <c r="CA181" s="471">
        <f>COUNTIF(AI181:AW181,"*OK*")</f>
        <v>0</v>
      </c>
      <c r="CB181" s="471"/>
      <c r="CC181" s="471">
        <f>COUNTIF(AI181:AW181,"*OP*")</f>
        <v>1</v>
      </c>
    </row>
    <row r="182" spans="1:81" ht="15" customHeight="1">
      <c r="A182" s="449">
        <v>31204</v>
      </c>
      <c r="B182" s="450" t="s">
        <v>684</v>
      </c>
      <c r="C182" s="451">
        <f>T182</f>
        <v>445.49</v>
      </c>
      <c r="D182" s="450">
        <f>COUNTIF(AI182:AW182,"*OK*")</f>
        <v>1</v>
      </c>
      <c r="E182" s="450"/>
      <c r="F182" s="587" t="s">
        <v>685</v>
      </c>
      <c r="G182" s="453"/>
      <c r="H182" s="454" t="s">
        <v>686</v>
      </c>
      <c r="I182" s="454"/>
      <c r="J182" s="453"/>
      <c r="K182" s="552" t="s">
        <v>68</v>
      </c>
      <c r="L182" s="453" t="s">
        <v>445</v>
      </c>
      <c r="M182" s="453"/>
      <c r="N182" s="456" t="s">
        <v>135</v>
      </c>
      <c r="O182" s="457">
        <v>443.77</v>
      </c>
      <c r="P182" s="457">
        <v>415.12</v>
      </c>
      <c r="Q182" s="457">
        <v>400.99</v>
      </c>
      <c r="R182" s="458">
        <v>422.23</v>
      </c>
      <c r="S182" s="459">
        <v>447.61430000000001</v>
      </c>
      <c r="T182" s="487">
        <v>445.49</v>
      </c>
      <c r="U182" s="461"/>
      <c r="V182" s="462">
        <v>200</v>
      </c>
      <c r="W182" s="463"/>
      <c r="X182" s="567" t="s">
        <v>70</v>
      </c>
      <c r="Y182" s="465" t="s">
        <v>108</v>
      </c>
      <c r="Z182" s="466" t="s">
        <v>687</v>
      </c>
      <c r="AA182" s="462" t="s">
        <v>108</v>
      </c>
      <c r="AB182" s="454" t="s">
        <v>97</v>
      </c>
      <c r="AC182" s="450"/>
      <c r="AD182" s="450"/>
      <c r="AE182" s="450"/>
      <c r="AF182" s="450"/>
      <c r="AG182" s="450"/>
      <c r="AH182" s="496" t="s">
        <v>59</v>
      </c>
      <c r="AI182" s="467"/>
      <c r="AJ182" s="467"/>
      <c r="AK182" s="467"/>
      <c r="AL182" s="467" t="s">
        <v>650</v>
      </c>
      <c r="AM182" s="467"/>
      <c r="AN182" s="605" t="s">
        <v>415</v>
      </c>
      <c r="AO182" s="467"/>
      <c r="AP182" s="467"/>
      <c r="AQ182" s="467"/>
      <c r="AR182" s="467"/>
      <c r="AS182" s="467"/>
      <c r="AT182" s="467"/>
      <c r="AU182" s="467"/>
      <c r="AV182" s="467"/>
      <c r="AW182" s="467"/>
      <c r="AX182" s="467"/>
      <c r="AY182" s="486">
        <f>COUNTIF(AI182:AX182,"*OP*")</f>
        <v>1</v>
      </c>
      <c r="AZ182" s="499" t="s">
        <v>176</v>
      </c>
      <c r="BA182" s="450">
        <f>(COUNTIF(AI182:AK182,"*OK*")*3) + (COUNTIF(AL182:AN182,"*OK*")*2) + COUNTIF(AO182:AQ182,"*OK*")+COUNTIF(AZ182:AZ182,"SI")*0.5</f>
        <v>2</v>
      </c>
      <c r="BB182" s="450" t="str">
        <f>IF(BA182&lt;0.6,"Demasiado Riesgo",IF(BA182&lt;=5,"Riesgo Medio",IF(BA182&lt;=11,"Riesgo Bajo","Cliente Blindado")))</f>
        <v>Riesgo Medio</v>
      </c>
      <c r="BC182" s="450"/>
      <c r="BD182" s="450"/>
      <c r="BE182" s="450">
        <v>0</v>
      </c>
      <c r="BF182" s="450"/>
      <c r="BG182" s="450"/>
      <c r="BH182" s="450"/>
      <c r="BI182" s="450"/>
      <c r="BJ182" s="450"/>
      <c r="BK182" s="450"/>
      <c r="BL182" s="450"/>
      <c r="BM182" s="450"/>
      <c r="BN182" s="450"/>
      <c r="BO182" s="450"/>
      <c r="BP182" s="450"/>
      <c r="BQ182" s="450"/>
      <c r="BR182" s="450"/>
      <c r="BS182" s="450"/>
      <c r="BT182" s="450"/>
      <c r="BU182" s="450"/>
      <c r="BV182" s="450"/>
      <c r="BW182" s="450"/>
      <c r="BX182" s="450"/>
      <c r="BY182" s="450"/>
      <c r="BZ182" s="450"/>
      <c r="CA182" s="450">
        <f>COUNTIF(AI182:AW182,"*OK*")</f>
        <v>1</v>
      </c>
      <c r="CB182" s="450"/>
      <c r="CC182" s="450">
        <f>COUNTIF(AI182:AW182,"*OP*")</f>
        <v>1</v>
      </c>
    </row>
    <row r="183" spans="1:81" ht="15" customHeight="1">
      <c r="A183" s="470"/>
      <c r="B183" s="471"/>
      <c r="C183" s="451">
        <f>T183</f>
        <v>547.82000000000005</v>
      </c>
      <c r="D183" s="471">
        <f>COUNTIF(AI183:AW183,"*OK*")</f>
        <v>0</v>
      </c>
      <c r="E183" s="471"/>
      <c r="F183" s="587" t="s">
        <v>688</v>
      </c>
      <c r="G183" s="473"/>
      <c r="H183" s="474" t="s">
        <v>689</v>
      </c>
      <c r="I183" s="474"/>
      <c r="J183" s="473"/>
      <c r="K183" s="564" t="s">
        <v>79</v>
      </c>
      <c r="L183" s="473" t="s">
        <v>445</v>
      </c>
      <c r="M183" s="473"/>
      <c r="N183" s="476" t="s">
        <v>65</v>
      </c>
      <c r="O183" s="477">
        <v>539.52</v>
      </c>
      <c r="P183" s="477">
        <v>536.27</v>
      </c>
      <c r="Q183" s="477">
        <v>521.59</v>
      </c>
      <c r="R183" s="478">
        <v>538.38</v>
      </c>
      <c r="S183" s="459">
        <v>551.13610000000006</v>
      </c>
      <c r="T183" s="469">
        <v>547.82000000000005</v>
      </c>
      <c r="U183" s="479"/>
      <c r="V183" s="480">
        <v>200</v>
      </c>
      <c r="W183" s="481"/>
      <c r="X183" s="483" t="s">
        <v>70</v>
      </c>
      <c r="Y183" s="483" t="s">
        <v>241</v>
      </c>
      <c r="Z183" s="484" t="s">
        <v>690</v>
      </c>
      <c r="AA183" s="480" t="s">
        <v>59</v>
      </c>
      <c r="AB183" s="474" t="s">
        <v>97</v>
      </c>
      <c r="AC183" s="471"/>
      <c r="AD183" s="471"/>
      <c r="AE183" s="471"/>
      <c r="AF183" s="471"/>
      <c r="AG183" s="471"/>
      <c r="AH183" s="494" t="s">
        <v>59</v>
      </c>
      <c r="AI183" s="467" t="s">
        <v>171</v>
      </c>
      <c r="AJ183" s="467"/>
      <c r="AK183" s="467"/>
      <c r="AL183" s="467" t="s">
        <v>650</v>
      </c>
      <c r="AM183" s="467"/>
      <c r="AN183" s="467"/>
      <c r="AO183" s="467"/>
      <c r="AP183" s="467"/>
      <c r="AQ183" s="467"/>
      <c r="AR183" s="467"/>
      <c r="AS183" s="467"/>
      <c r="AT183" s="467"/>
      <c r="AU183" s="467"/>
      <c r="AV183" s="467"/>
      <c r="AW183" s="467"/>
      <c r="AX183" s="467"/>
      <c r="AY183" s="486">
        <f>COUNTIF(AI183:AX183,"*OP*")</f>
        <v>2</v>
      </c>
      <c r="AZ183" s="485" t="s">
        <v>59</v>
      </c>
      <c r="BA183" s="471">
        <f>(COUNTIF(AI183:AK183,"*OK*")*3) + (COUNTIF(AL183:AN183,"*OK*")*2) + COUNTIF(AO183:AQ183,"*OK*")+COUNTIF(AZ183:AZ183,"SI")*0.5</f>
        <v>0</v>
      </c>
      <c r="BB183" s="471" t="str">
        <f>IF(BA183&lt;0.6,"Demasiado Riesgo",IF(BA183&lt;=5,"Riesgo Medio",IF(BA183&lt;=11,"Riesgo Bajo","Cliente Blindado")))</f>
        <v>Demasiado Riesgo</v>
      </c>
      <c r="BC183" s="471"/>
      <c r="BD183" s="471"/>
      <c r="BE183" s="471">
        <v>0</v>
      </c>
      <c r="BF183" s="471"/>
      <c r="BG183" s="471"/>
      <c r="BH183" s="471"/>
      <c r="BI183" s="471"/>
      <c r="BJ183" s="471"/>
      <c r="BK183" s="471"/>
      <c r="BL183" s="471"/>
      <c r="BM183" s="471"/>
      <c r="BN183" s="471"/>
      <c r="BO183" s="471"/>
      <c r="BP183" s="471"/>
      <c r="BQ183" s="471"/>
      <c r="BR183" s="471"/>
      <c r="BS183" s="471"/>
      <c r="BT183" s="471"/>
      <c r="BU183" s="471"/>
      <c r="BV183" s="471"/>
      <c r="BW183" s="471"/>
      <c r="BX183" s="471"/>
      <c r="BY183" s="471"/>
      <c r="BZ183" s="471"/>
      <c r="CA183" s="471">
        <f>COUNTIF(AI183:AW183,"*OK*")</f>
        <v>0</v>
      </c>
      <c r="CB183" s="471"/>
      <c r="CC183" s="471">
        <f>COUNTIF(AI183:AW183,"*OP*")</f>
        <v>2</v>
      </c>
    </row>
    <row r="184" spans="1:81" ht="15" customHeight="1">
      <c r="A184" s="449">
        <v>24591</v>
      </c>
      <c r="B184" s="450" t="s">
        <v>691</v>
      </c>
      <c r="C184" s="451">
        <f>T184</f>
        <v>574.73</v>
      </c>
      <c r="D184" s="450">
        <f>COUNTIF(AI184:AW184,"*OK*")</f>
        <v>0</v>
      </c>
      <c r="E184" s="450"/>
      <c r="F184" s="576" t="s">
        <v>692</v>
      </c>
      <c r="G184" s="453"/>
      <c r="H184" s="454" t="s">
        <v>693</v>
      </c>
      <c r="I184" s="454"/>
      <c r="J184" s="453"/>
      <c r="K184" s="606" t="s">
        <v>79</v>
      </c>
      <c r="L184" s="453" t="s">
        <v>445</v>
      </c>
      <c r="M184" s="453"/>
      <c r="N184" s="456" t="s">
        <v>65</v>
      </c>
      <c r="O184" s="457">
        <v>587.47</v>
      </c>
      <c r="P184" s="457">
        <v>546.73</v>
      </c>
      <c r="Q184" s="457">
        <v>555.5</v>
      </c>
      <c r="R184" s="458">
        <v>569.42999999999995</v>
      </c>
      <c r="S184" s="459">
        <v>585.10659999999996</v>
      </c>
      <c r="T184" s="487">
        <v>574.73</v>
      </c>
      <c r="U184" s="461"/>
      <c r="V184" s="462">
        <v>200</v>
      </c>
      <c r="W184" s="463"/>
      <c r="X184" s="464" t="s">
        <v>251</v>
      </c>
      <c r="Y184" s="465" t="s">
        <v>360</v>
      </c>
      <c r="Z184" s="466" t="s">
        <v>694</v>
      </c>
      <c r="AA184" s="462" t="s">
        <v>59</v>
      </c>
      <c r="AB184" s="454" t="s">
        <v>97</v>
      </c>
      <c r="AC184" s="450"/>
      <c r="AD184" s="450"/>
      <c r="AE184" s="450"/>
      <c r="AF184" s="450"/>
      <c r="AG184" s="450"/>
      <c r="AH184" s="496" t="s">
        <v>59</v>
      </c>
      <c r="AI184" s="467"/>
      <c r="AJ184" s="467"/>
      <c r="AK184" s="467"/>
      <c r="AL184" s="605" t="s">
        <v>609</v>
      </c>
      <c r="AM184" s="467"/>
      <c r="AN184" s="467"/>
      <c r="AO184" s="467"/>
      <c r="AP184" s="467"/>
      <c r="AQ184" s="467"/>
      <c r="AR184" s="467"/>
      <c r="AS184" s="467"/>
      <c r="AT184" s="467"/>
      <c r="AU184" s="467"/>
      <c r="AV184" s="467"/>
      <c r="AW184" s="467"/>
      <c r="AX184" s="467"/>
      <c r="AY184" s="486">
        <f>COUNTIF(AI184:AX184,"*OP*")</f>
        <v>1</v>
      </c>
      <c r="AZ184" s="499" t="s">
        <v>59</v>
      </c>
      <c r="BA184" s="450">
        <f>(COUNTIF(AI184:AK184,"*OK*")*3) + (COUNTIF(AL184:AN184,"*OK*")*2) + COUNTIF(AO184:AQ184,"*OK*")+COUNTIF(AZ184:AZ184,"SI")*0.5</f>
        <v>0</v>
      </c>
      <c r="BB184" s="450" t="str">
        <f>IF(BA184&lt;0.6,"Demasiado Riesgo",IF(BA184&lt;=5,"Riesgo Medio",IF(BA184&lt;=11,"Riesgo Bajo","Cliente Blindado")))</f>
        <v>Demasiado Riesgo</v>
      </c>
      <c r="BC184" s="450"/>
      <c r="BD184" s="450"/>
      <c r="BE184" s="450">
        <v>0</v>
      </c>
      <c r="BF184" s="450"/>
      <c r="BG184" s="450"/>
      <c r="BH184" s="450"/>
      <c r="BI184" s="450"/>
      <c r="BJ184" s="450"/>
      <c r="BK184" s="450"/>
      <c r="BL184" s="450"/>
      <c r="BM184" s="450"/>
      <c r="BN184" s="450"/>
      <c r="BO184" s="450"/>
      <c r="BP184" s="450"/>
      <c r="BQ184" s="450"/>
      <c r="BR184" s="450"/>
      <c r="BS184" s="450"/>
      <c r="BT184" s="450"/>
      <c r="BU184" s="450"/>
      <c r="BV184" s="450"/>
      <c r="BW184" s="450"/>
      <c r="BX184" s="450"/>
      <c r="BY184" s="450"/>
      <c r="BZ184" s="450"/>
      <c r="CA184" s="450">
        <f>COUNTIF(AI184:AW184,"*OK*")</f>
        <v>0</v>
      </c>
      <c r="CB184" s="450"/>
      <c r="CC184" s="450">
        <f>COUNTIF(AI184:AW184,"*OP*")</f>
        <v>1</v>
      </c>
    </row>
    <row r="185" spans="1:81" ht="15" customHeight="1">
      <c r="A185" s="470">
        <v>27187</v>
      </c>
      <c r="B185" s="471"/>
      <c r="C185" s="451">
        <f>T185</f>
        <v>828.35</v>
      </c>
      <c r="D185" s="471">
        <f>COUNTIF(AI185:AW185,"*OK*")</f>
        <v>2</v>
      </c>
      <c r="E185" s="471"/>
      <c r="F185" s="582" t="s">
        <v>695</v>
      </c>
      <c r="G185" s="473"/>
      <c r="H185" s="474"/>
      <c r="I185" s="474"/>
      <c r="J185" s="473"/>
      <c r="K185" s="600" t="s">
        <v>79</v>
      </c>
      <c r="L185" s="473" t="s">
        <v>445</v>
      </c>
      <c r="M185" s="473"/>
      <c r="N185" s="476" t="s">
        <v>65</v>
      </c>
      <c r="O185" s="477">
        <v>141.46</v>
      </c>
      <c r="P185" s="477">
        <v>141.33000000000001</v>
      </c>
      <c r="Q185" s="477">
        <v>134.68</v>
      </c>
      <c r="R185" s="478">
        <v>817.67</v>
      </c>
      <c r="S185" s="459">
        <v>844.79459999999995</v>
      </c>
      <c r="T185" s="469">
        <v>828.35</v>
      </c>
      <c r="U185" s="479"/>
      <c r="V185" s="480">
        <v>200</v>
      </c>
      <c r="W185" s="481"/>
      <c r="X185" s="572" t="s">
        <v>70</v>
      </c>
      <c r="Y185" s="483" t="s">
        <v>80</v>
      </c>
      <c r="Z185" s="484" t="s">
        <v>696</v>
      </c>
      <c r="AA185" s="480" t="s">
        <v>59</v>
      </c>
      <c r="AB185" s="474" t="s">
        <v>97</v>
      </c>
      <c r="AC185" s="471"/>
      <c r="AD185" s="471"/>
      <c r="AE185" s="471"/>
      <c r="AF185" s="471"/>
      <c r="AG185" s="471"/>
      <c r="AH185" s="494" t="s">
        <v>59</v>
      </c>
      <c r="AI185" s="467" t="s">
        <v>415</v>
      </c>
      <c r="AJ185" s="467"/>
      <c r="AK185" s="467" t="s">
        <v>415</v>
      </c>
      <c r="AL185" s="467"/>
      <c r="AM185" s="467"/>
      <c r="AN185" s="467"/>
      <c r="AO185" s="467"/>
      <c r="AP185" s="467"/>
      <c r="AQ185" s="467"/>
      <c r="AR185" s="467"/>
      <c r="AS185" s="467"/>
      <c r="AT185" s="467"/>
      <c r="AU185" s="467"/>
      <c r="AV185" s="467"/>
      <c r="AW185" s="467"/>
      <c r="AX185" s="467" t="s">
        <v>697</v>
      </c>
      <c r="AY185" s="486">
        <f>COUNTIF(AI185:AX185,"*OP*")</f>
        <v>1</v>
      </c>
      <c r="AZ185" s="485" t="s">
        <v>59</v>
      </c>
      <c r="BA185" s="471">
        <f>(COUNTIF(AI185:AK185,"*OK*")*3) + (COUNTIF(AL185:AN185,"*OK*")*2) + COUNTIF(AO185:AQ185,"*OK*")+COUNTIF(AZ185:AZ185,"SI")*0.5</f>
        <v>6</v>
      </c>
      <c r="BB185" s="471" t="str">
        <f>IF(BA185&lt;0.6,"Demasiado Riesgo",IF(BA185&lt;=5,"Riesgo Medio",IF(BA185&lt;=11,"Riesgo Bajo","Cliente Blindado")))</f>
        <v>Riesgo Bajo</v>
      </c>
      <c r="BC185" s="471"/>
      <c r="BD185" s="471"/>
      <c r="BE185" s="471">
        <v>0</v>
      </c>
      <c r="BF185" s="471"/>
      <c r="BG185" s="471"/>
      <c r="BH185" s="471"/>
      <c r="BI185" s="471"/>
      <c r="BJ185" s="471"/>
      <c r="BK185" s="471"/>
      <c r="BL185" s="471"/>
      <c r="BM185" s="471"/>
      <c r="BN185" s="471"/>
      <c r="BO185" s="471"/>
      <c r="BP185" s="471"/>
      <c r="BQ185" s="471"/>
      <c r="BR185" s="471"/>
      <c r="BS185" s="471"/>
      <c r="BT185" s="471"/>
      <c r="BU185" s="471"/>
      <c r="BV185" s="471"/>
      <c r="BW185" s="471"/>
      <c r="BX185" s="471"/>
      <c r="BY185" s="471"/>
      <c r="BZ185" s="471"/>
      <c r="CA185" s="471">
        <f>COUNTIF(AI185:AW185,"*OK*")</f>
        <v>2</v>
      </c>
      <c r="CB185" s="471"/>
      <c r="CC185" s="471">
        <f>COUNTIF(AI185:AW185,"*OP*")</f>
        <v>0</v>
      </c>
    </row>
    <row r="186" spans="1:81" ht="15" customHeight="1">
      <c r="A186" s="449">
        <v>31768</v>
      </c>
      <c r="B186" s="450" t="s">
        <v>698</v>
      </c>
      <c r="C186" s="451">
        <f>T186</f>
        <v>1046</v>
      </c>
      <c r="D186" s="450">
        <f>COUNTIF(AI186:AW186,"*OK*")</f>
        <v>0</v>
      </c>
      <c r="E186" s="450"/>
      <c r="F186" s="607" t="s">
        <v>699</v>
      </c>
      <c r="G186" s="453"/>
      <c r="H186" s="454" t="s">
        <v>700</v>
      </c>
      <c r="I186" s="454"/>
      <c r="J186" s="453"/>
      <c r="K186" s="561" t="s">
        <v>79</v>
      </c>
      <c r="L186" s="453" t="s">
        <v>445</v>
      </c>
      <c r="M186" s="453"/>
      <c r="N186" s="456" t="s">
        <v>65</v>
      </c>
      <c r="O186" s="457">
        <v>413.5</v>
      </c>
      <c r="P186" s="457">
        <v>399.9</v>
      </c>
      <c r="Q186" s="457">
        <v>1036.2</v>
      </c>
      <c r="R186" s="458">
        <v>1072.81</v>
      </c>
      <c r="S186" s="459">
        <v>1083.9512</v>
      </c>
      <c r="T186" s="487">
        <v>1046</v>
      </c>
      <c r="U186" s="461"/>
      <c r="V186" s="462">
        <v>50</v>
      </c>
      <c r="W186" s="463"/>
      <c r="X186" s="464" t="s">
        <v>701</v>
      </c>
      <c r="Y186" s="465" t="s">
        <v>150</v>
      </c>
      <c r="Z186" s="466" t="s">
        <v>702</v>
      </c>
      <c r="AA186" s="462" t="s">
        <v>59</v>
      </c>
      <c r="AB186" s="454" t="s">
        <v>92</v>
      </c>
      <c r="AC186" s="450"/>
      <c r="AD186" s="450"/>
      <c r="AE186" s="450"/>
      <c r="AF186" s="450"/>
      <c r="AG186" s="450"/>
      <c r="AH186" s="496" t="s">
        <v>127</v>
      </c>
      <c r="AI186" s="467"/>
      <c r="AJ186" s="467"/>
      <c r="AK186" s="467"/>
      <c r="AL186" s="467"/>
      <c r="AM186" s="467"/>
      <c r="AN186" s="467"/>
      <c r="AO186" s="467"/>
      <c r="AP186" s="467"/>
      <c r="AQ186" s="467"/>
      <c r="AR186" s="467"/>
      <c r="AS186" s="467"/>
      <c r="AT186" s="467"/>
      <c r="AU186" s="467"/>
      <c r="AV186" s="467"/>
      <c r="AW186" s="467"/>
      <c r="AX186" s="467" t="s">
        <v>111</v>
      </c>
      <c r="AY186" s="486">
        <f>COUNTIF(AI186:AX186,"*OP*")</f>
        <v>0</v>
      </c>
      <c r="AZ186" s="499" t="s">
        <v>176</v>
      </c>
      <c r="BA186" s="450">
        <f>(COUNTIF(AI186:AK186,"*OK*")*3) + (COUNTIF(AL186:AN186,"*OK*")*2) + COUNTIF(AO186:AQ186,"*OK*")+COUNTIF(AZ186:AZ186,"SI")*0.5</f>
        <v>0</v>
      </c>
      <c r="BB186" s="450" t="str">
        <f>IF(BA186&lt;0.6,"Demasiado Riesgo",IF(BA186&lt;=5,"Riesgo Medio",IF(BA186&lt;=11,"Riesgo Bajo","Cliente Blindado")))</f>
        <v>Demasiado Riesgo</v>
      </c>
      <c r="BC186" s="450"/>
      <c r="BD186" s="450"/>
      <c r="BE186" s="450">
        <v>0</v>
      </c>
      <c r="BF186" s="450"/>
      <c r="BG186" s="450"/>
      <c r="BH186" s="450"/>
      <c r="BI186" s="450"/>
      <c r="BJ186" s="450"/>
      <c r="BK186" s="450"/>
      <c r="BL186" s="450"/>
      <c r="BM186" s="450"/>
      <c r="BN186" s="450"/>
      <c r="BO186" s="450"/>
      <c r="BP186" s="450"/>
      <c r="BQ186" s="450"/>
      <c r="BR186" s="450"/>
      <c r="BS186" s="450"/>
      <c r="BT186" s="450"/>
      <c r="BU186" s="450"/>
      <c r="BV186" s="450"/>
      <c r="BW186" s="450"/>
      <c r="BX186" s="450"/>
      <c r="BY186" s="450"/>
      <c r="BZ186" s="450"/>
      <c r="CA186" s="450">
        <f>COUNTIF(AI186:AW186,"*OK*")</f>
        <v>0</v>
      </c>
      <c r="CB186" s="450"/>
      <c r="CC186" s="450">
        <f>COUNTIF(AI186:AW186,"*OP*")</f>
        <v>0</v>
      </c>
    </row>
    <row r="187" spans="1:81" ht="15" customHeight="1">
      <c r="A187" s="608">
        <v>25521</v>
      </c>
      <c r="B187" s="536"/>
      <c r="C187" s="451">
        <f>T187</f>
        <v>1446.28</v>
      </c>
      <c r="D187" s="471">
        <f>COUNTIF(AI187:AW187,"*OK*")</f>
        <v>0</v>
      </c>
      <c r="E187" s="471"/>
      <c r="F187" s="587" t="s">
        <v>703</v>
      </c>
      <c r="G187" s="473"/>
      <c r="H187" s="481"/>
      <c r="I187" s="481"/>
      <c r="J187" s="473"/>
      <c r="K187" s="556" t="s">
        <v>79</v>
      </c>
      <c r="L187" s="473" t="s">
        <v>445</v>
      </c>
      <c r="M187" s="473"/>
      <c r="N187" s="476" t="s">
        <v>65</v>
      </c>
      <c r="O187" s="477">
        <v>1500.17</v>
      </c>
      <c r="P187" s="477">
        <v>1448.08</v>
      </c>
      <c r="Q187" s="477">
        <v>1603.74</v>
      </c>
      <c r="R187" s="478">
        <v>1357.91</v>
      </c>
      <c r="S187" s="459">
        <v>1353.7166999999999</v>
      </c>
      <c r="T187" s="460">
        <v>1446.28</v>
      </c>
      <c r="U187" s="479"/>
      <c r="V187" s="480">
        <v>200</v>
      </c>
      <c r="W187" s="481"/>
      <c r="X187" s="493" t="s">
        <v>70</v>
      </c>
      <c r="Y187" s="483" t="s">
        <v>89</v>
      </c>
      <c r="Z187" s="484" t="s">
        <v>704</v>
      </c>
      <c r="AA187" s="480" t="s">
        <v>59</v>
      </c>
      <c r="AB187" s="474" t="s">
        <v>97</v>
      </c>
      <c r="AC187" s="471"/>
      <c r="AD187" s="471"/>
      <c r="AE187" s="471"/>
      <c r="AF187" s="471"/>
      <c r="AG187" s="471" t="s">
        <v>705</v>
      </c>
      <c r="AH187" s="494" t="s">
        <v>176</v>
      </c>
      <c r="AI187" s="467"/>
      <c r="AJ187" s="467"/>
      <c r="AK187" s="467"/>
      <c r="AL187" s="467"/>
      <c r="AM187" s="467"/>
      <c r="AN187" s="467"/>
      <c r="AO187" s="467"/>
      <c r="AP187" s="467"/>
      <c r="AQ187" s="467"/>
      <c r="AR187" s="467"/>
      <c r="AS187" s="467"/>
      <c r="AT187" s="467"/>
      <c r="AU187" s="467"/>
      <c r="AV187" s="467"/>
      <c r="AW187" s="467"/>
      <c r="AX187" s="467"/>
      <c r="AY187" s="486">
        <f>COUNTIF(AI187:AX187,"*OP*")</f>
        <v>0</v>
      </c>
      <c r="AZ187" s="485" t="s">
        <v>59</v>
      </c>
      <c r="BA187" s="471">
        <f>(COUNTIF(AI187:AK187,"*OK*")*3) + (COUNTIF(AL187:AN187,"*OK*")*2) + COUNTIF(AO187:AQ187,"*OK*")+COUNTIF(AZ187:AZ187,"SI")*0.5</f>
        <v>0</v>
      </c>
      <c r="BB187" s="471" t="str">
        <f>IF(BA187&lt;0.6,"Demasiado Riesgo",IF(BA187&lt;=5,"Riesgo Medio",IF(BA187&lt;=11,"Riesgo Bajo","Cliente Blindado")))</f>
        <v>Demasiado Riesgo</v>
      </c>
      <c r="BC187" s="471"/>
      <c r="BD187" s="471"/>
      <c r="BE187" s="471">
        <v>0</v>
      </c>
      <c r="BF187" s="471"/>
      <c r="BG187" s="471"/>
      <c r="BH187" s="471"/>
      <c r="BI187" s="471"/>
      <c r="BJ187" s="471"/>
      <c r="BK187" s="471"/>
      <c r="BL187" s="471"/>
      <c r="BM187" s="471"/>
      <c r="BN187" s="471"/>
      <c r="BO187" s="471"/>
      <c r="BP187" s="471"/>
      <c r="BQ187" s="471"/>
      <c r="BR187" s="471"/>
      <c r="BS187" s="471"/>
      <c r="BT187" s="471"/>
      <c r="BU187" s="471"/>
      <c r="BV187" s="471"/>
      <c r="BW187" s="471"/>
      <c r="BX187" s="471"/>
      <c r="BY187" s="471"/>
      <c r="BZ187" s="471"/>
      <c r="CA187" s="471">
        <f>COUNTIF(AI187:AW187,"*OK*")</f>
        <v>0</v>
      </c>
      <c r="CB187" s="471"/>
      <c r="CC187" s="471">
        <f>COUNTIF(AI187:AW187,"*OP*")</f>
        <v>0</v>
      </c>
    </row>
    <row r="188" spans="1:81" s="610" customFormat="1" ht="15" customHeight="1">
      <c r="A188" s="470">
        <v>32858</v>
      </c>
      <c r="B188" s="471"/>
      <c r="C188" s="451" t="str">
        <f>T188</f>
        <v> </v>
      </c>
      <c r="D188" s="471">
        <f>COUNTIF(AI188:AW188,"*OK*")</f>
        <v>0</v>
      </c>
      <c r="E188" s="471"/>
      <c r="F188" s="472" t="s">
        <v>706</v>
      </c>
      <c r="G188" s="473"/>
      <c r="H188" s="474"/>
      <c r="I188" s="474"/>
      <c r="J188" s="450" t="s">
        <v>707</v>
      </c>
      <c r="K188" s="556"/>
      <c r="L188" s="473" t="s">
        <v>445</v>
      </c>
      <c r="M188" s="473"/>
      <c r="N188" s="476" t="s">
        <v>65</v>
      </c>
      <c r="O188" s="609"/>
      <c r="P188" s="609">
        <v>77</v>
      </c>
      <c r="Q188" s="609">
        <v>76</v>
      </c>
      <c r="R188" s="478" t="s">
        <v>59</v>
      </c>
      <c r="S188" s="459"/>
      <c r="T188" s="469" t="s">
        <v>59</v>
      </c>
      <c r="U188" s="479">
        <v>67</v>
      </c>
      <c r="V188" s="480">
        <v>100</v>
      </c>
      <c r="W188" s="481"/>
      <c r="X188" s="572" t="s">
        <v>70</v>
      </c>
      <c r="Y188" s="483" t="s">
        <v>89</v>
      </c>
      <c r="Z188" s="484" t="s">
        <v>708</v>
      </c>
      <c r="AA188" s="480" t="s">
        <v>59</v>
      </c>
      <c r="AB188" s="474"/>
      <c r="AC188" s="471"/>
      <c r="AD188" s="471"/>
      <c r="AE188" s="471"/>
      <c r="AF188" s="471"/>
      <c r="AG188" s="471"/>
      <c r="AH188" s="494"/>
      <c r="AI188" s="467"/>
      <c r="AJ188" s="467"/>
      <c r="AK188" s="467"/>
      <c r="AL188" s="467"/>
      <c r="AM188" s="467"/>
      <c r="AN188" s="467"/>
      <c r="AO188" s="467"/>
      <c r="AP188" s="467"/>
      <c r="AQ188" s="467"/>
      <c r="AR188" s="467"/>
      <c r="AS188" s="467"/>
      <c r="AT188" s="467"/>
      <c r="AU188" s="467"/>
      <c r="AV188" s="467"/>
      <c r="AW188" s="467"/>
      <c r="AX188" s="467"/>
      <c r="AY188" s="486">
        <f>COUNTIF(AI188:AX188,"*OP*")</f>
        <v>0</v>
      </c>
      <c r="AZ188" s="485"/>
      <c r="BA188" s="471">
        <f>(COUNTIF(AI188:AK188,"*OK*")*3) + (COUNTIF(AL188:AN188,"*OK*")*2) + COUNTIF(AO188:AQ188,"*OK*")+COUNTIF(AZ188:AZ188,"SI")*0.5</f>
        <v>0</v>
      </c>
      <c r="BB188" s="471"/>
      <c r="BC188" s="471"/>
      <c r="BD188" s="471"/>
      <c r="BE188" s="471">
        <v>0</v>
      </c>
      <c r="BF188" s="471"/>
      <c r="BG188" s="471"/>
      <c r="BH188" s="471"/>
      <c r="BI188" s="471"/>
      <c r="BJ188" s="471"/>
      <c r="BK188" s="471"/>
      <c r="BL188" s="471"/>
      <c r="BM188" s="471"/>
      <c r="BN188" s="471"/>
      <c r="BO188" s="471"/>
      <c r="BP188" s="471"/>
      <c r="BQ188" s="471"/>
      <c r="BR188" s="471"/>
      <c r="BS188" s="471"/>
      <c r="BT188" s="471"/>
      <c r="BU188" s="471"/>
      <c r="BV188" s="471"/>
      <c r="BW188" s="471"/>
      <c r="BX188" s="471"/>
      <c r="BY188" s="471"/>
      <c r="BZ188" s="471"/>
      <c r="CA188" s="471">
        <f>COUNTIF(AI188:AW188,"*OK*")</f>
        <v>0</v>
      </c>
      <c r="CB188" s="471"/>
      <c r="CC188" s="471">
        <f>COUNTIF(AI188:AW188,"*OP*")</f>
        <v>0</v>
      </c>
    </row>
    <row r="189" spans="1:81" ht="15" customHeight="1">
      <c r="A189" s="449">
        <v>31646</v>
      </c>
      <c r="B189" s="450"/>
      <c r="C189" s="451" t="str">
        <f>T189</f>
        <v> </v>
      </c>
      <c r="D189" s="450">
        <f>COUNTIF(AI189:AW189,"*OK*")</f>
        <v>0</v>
      </c>
      <c r="E189" s="450"/>
      <c r="F189" s="611" t="s">
        <v>709</v>
      </c>
      <c r="G189" s="450"/>
      <c r="H189" s="454"/>
      <c r="I189" s="454"/>
      <c r="J189" s="450" t="s">
        <v>707</v>
      </c>
      <c r="K189" s="501" t="s">
        <v>68</v>
      </c>
      <c r="L189" s="450" t="s">
        <v>445</v>
      </c>
      <c r="M189" s="450"/>
      <c r="N189" s="466" t="s">
        <v>191</v>
      </c>
      <c r="O189" s="612"/>
      <c r="P189" s="612">
        <v>60</v>
      </c>
      <c r="Q189" s="612">
        <v>67</v>
      </c>
      <c r="R189" s="458" t="s">
        <v>59</v>
      </c>
      <c r="S189" s="459"/>
      <c r="T189" s="487" t="s">
        <v>59</v>
      </c>
      <c r="U189" s="461"/>
      <c r="V189" s="462">
        <v>100</v>
      </c>
      <c r="W189" s="450"/>
      <c r="X189" s="567" t="s">
        <v>70</v>
      </c>
      <c r="Y189" s="465" t="s">
        <v>71</v>
      </c>
      <c r="Z189" s="466" t="s">
        <v>710</v>
      </c>
      <c r="AA189" s="496" t="s">
        <v>132</v>
      </c>
      <c r="AB189" s="454"/>
      <c r="AC189" s="450"/>
      <c r="AD189" s="450"/>
      <c r="AE189" s="450"/>
      <c r="AF189" s="450"/>
      <c r="AG189" s="450"/>
      <c r="AH189" s="496" t="s">
        <v>59</v>
      </c>
      <c r="AI189" s="467"/>
      <c r="AJ189" s="467"/>
      <c r="AK189" s="467"/>
      <c r="AL189" s="467" t="s">
        <v>711</v>
      </c>
      <c r="AM189" s="467"/>
      <c r="AN189" s="467"/>
      <c r="AO189" s="467"/>
      <c r="AP189" s="467"/>
      <c r="AQ189" s="467"/>
      <c r="AR189" s="467"/>
      <c r="AS189" s="467"/>
      <c r="AT189" s="467"/>
      <c r="AU189" s="467"/>
      <c r="AV189" s="467"/>
      <c r="AW189" s="467"/>
      <c r="AX189" s="467"/>
      <c r="AY189" s="486">
        <f>COUNTIF(AI189:AX189,"*OP*")</f>
        <v>1</v>
      </c>
      <c r="AZ189" s="499" t="s">
        <v>59</v>
      </c>
      <c r="BA189" s="450">
        <f>(COUNTIF(AI189:AK189,"*OK*")*3) + (COUNTIF(AL189:AN189,"*OK*")*2) + COUNTIF(AO189:AQ189,"*OK*")+COUNTIF(AZ189:AZ189,"SI")*0.5</f>
        <v>0</v>
      </c>
      <c r="BB189" s="450" t="str">
        <f>IF(BA189&lt;0.6,"Demasiado Riesgo",IF(BA189&lt;=5,"Riesgo Medio",IF(BA189&lt;=11,"Riesgo Bajo","Cliente Blindado")))</f>
        <v>Demasiado Riesgo</v>
      </c>
      <c r="BC189" s="450"/>
      <c r="BD189" s="450"/>
      <c r="BE189" s="450">
        <v>0</v>
      </c>
      <c r="BF189" s="450"/>
      <c r="BG189" s="450"/>
      <c r="BH189" s="450"/>
      <c r="BI189" s="450"/>
      <c r="BJ189" s="450"/>
      <c r="BK189" s="450"/>
      <c r="BL189" s="450"/>
      <c r="BM189" s="450"/>
      <c r="BN189" s="450"/>
      <c r="BO189" s="450"/>
      <c r="BP189" s="450"/>
      <c r="BQ189" s="450"/>
      <c r="BR189" s="450"/>
      <c r="BS189" s="450"/>
      <c r="BT189" s="450"/>
      <c r="BU189" s="450"/>
      <c r="BV189" s="450"/>
      <c r="BW189" s="450"/>
      <c r="BX189" s="450"/>
      <c r="BY189" s="450"/>
      <c r="BZ189" s="450"/>
      <c r="CA189" s="450">
        <f>COUNTIF(AI189:AW189,"*OK*")</f>
        <v>0</v>
      </c>
      <c r="CB189" s="450"/>
      <c r="CC189" s="450">
        <f>COUNTIF(AI189:AW189,"*OP*")</f>
        <v>1</v>
      </c>
    </row>
    <row r="190" spans="1:81" ht="15" customHeight="1">
      <c r="A190" s="563">
        <v>18593</v>
      </c>
      <c r="B190" s="536" t="s">
        <v>712</v>
      </c>
      <c r="C190" s="451" t="str">
        <f>T190</f>
        <v> </v>
      </c>
      <c r="D190" s="471">
        <f>COUNTIF(AI190:AW190,"*OK*")</f>
        <v>0</v>
      </c>
      <c r="E190" s="471"/>
      <c r="F190" s="473" t="s">
        <v>713</v>
      </c>
      <c r="G190" s="473"/>
      <c r="H190" s="474"/>
      <c r="I190" s="474"/>
      <c r="J190" s="473" t="s">
        <v>570</v>
      </c>
      <c r="K190" s="475" t="s">
        <v>68</v>
      </c>
      <c r="L190" s="473" t="s">
        <v>445</v>
      </c>
      <c r="M190" s="473"/>
      <c r="N190" s="476" t="s">
        <v>156</v>
      </c>
      <c r="O190" s="477">
        <v>579.16999999999996</v>
      </c>
      <c r="P190" s="477">
        <v>521.85</v>
      </c>
      <c r="Q190" s="477">
        <v>507</v>
      </c>
      <c r="R190" s="613">
        <v>518.16999999999996</v>
      </c>
      <c r="S190" s="459">
        <v>493.65379999999999</v>
      </c>
      <c r="T190" s="469" t="s">
        <v>59</v>
      </c>
      <c r="U190" s="479"/>
      <c r="V190" s="480">
        <v>100</v>
      </c>
      <c r="W190" s="481"/>
      <c r="X190" s="572" t="s">
        <v>70</v>
      </c>
      <c r="Y190" s="483" t="s">
        <v>139</v>
      </c>
      <c r="Z190" s="484" t="s">
        <v>714</v>
      </c>
      <c r="AA190" s="480" t="s">
        <v>59</v>
      </c>
      <c r="AB190" s="474"/>
      <c r="AC190" s="471"/>
      <c r="AD190" s="471"/>
      <c r="AE190" s="471"/>
      <c r="AF190" s="471"/>
      <c r="AG190" s="471"/>
      <c r="AH190" s="494" t="s">
        <v>59</v>
      </c>
      <c r="AI190" s="467"/>
      <c r="AJ190" s="467"/>
      <c r="AK190" s="467"/>
      <c r="AL190" s="467"/>
      <c r="AM190" s="467"/>
      <c r="AN190" s="467"/>
      <c r="AO190" s="467"/>
      <c r="AP190" s="467"/>
      <c r="AQ190" s="467"/>
      <c r="AR190" s="467"/>
      <c r="AS190" s="467"/>
      <c r="AT190" s="467"/>
      <c r="AU190" s="467"/>
      <c r="AV190" s="467"/>
      <c r="AW190" s="467"/>
      <c r="AX190" s="467"/>
      <c r="AY190" s="486">
        <f>COUNTIF(AI190:AX190,"*OP*")</f>
        <v>0</v>
      </c>
      <c r="AZ190" s="485" t="s">
        <v>176</v>
      </c>
      <c r="BA190" s="471">
        <f>(COUNTIF(AI190:AK190,"*OK*")*3) + (COUNTIF(AL190:AN190,"*OK*")*2) + COUNTIF(AO190:AQ190,"*OK*")+COUNTIF(AZ190:AZ190,"SI")*0.5</f>
        <v>0</v>
      </c>
      <c r="BB190" s="471" t="str">
        <f>IF(BA190&lt;0.6,"Demasiado Riesgo",IF(BA190&lt;=5,"Riesgo Medio",IF(BA190&lt;=11,"Riesgo Bajo","Cliente Blindado")))</f>
        <v>Demasiado Riesgo</v>
      </c>
      <c r="BC190" s="471"/>
      <c r="BD190" s="471"/>
      <c r="BE190" s="471">
        <v>0</v>
      </c>
      <c r="BF190" s="471"/>
      <c r="BG190" s="471"/>
      <c r="BH190" s="471"/>
      <c r="BI190" s="471"/>
      <c r="BJ190" s="471"/>
      <c r="BK190" s="471"/>
      <c r="BL190" s="471"/>
      <c r="BM190" s="471"/>
      <c r="BN190" s="471"/>
      <c r="BO190" s="471"/>
      <c r="BP190" s="471"/>
      <c r="BQ190" s="471"/>
      <c r="BR190" s="471"/>
      <c r="BS190" s="471"/>
      <c r="BT190" s="471"/>
      <c r="BU190" s="471"/>
      <c r="BV190" s="471"/>
      <c r="BW190" s="471"/>
      <c r="BX190" s="471"/>
      <c r="BY190" s="471"/>
      <c r="BZ190" s="471"/>
      <c r="CA190" s="471">
        <f>COUNTIF(AI190:AW190,"*OK*")</f>
        <v>0</v>
      </c>
      <c r="CB190" s="471"/>
      <c r="CC190" s="471">
        <f>COUNTIF(AI190:AW190,"*OP*")</f>
        <v>0</v>
      </c>
    </row>
    <row r="191" spans="1:81" ht="15" customHeight="1">
      <c r="A191" s="449">
        <v>34959</v>
      </c>
      <c r="B191" s="450"/>
      <c r="C191" s="451" t="str">
        <f>T191</f>
        <v> </v>
      </c>
      <c r="D191" s="450">
        <f>COUNTIF(AI191:AW191,"*OK*")</f>
        <v>0</v>
      </c>
      <c r="E191" s="450"/>
      <c r="F191" s="450" t="s">
        <v>715</v>
      </c>
      <c r="G191" s="450"/>
      <c r="H191" s="454"/>
      <c r="I191" s="454"/>
      <c r="J191" s="450"/>
      <c r="K191" s="501" t="s">
        <v>68</v>
      </c>
      <c r="L191" s="450" t="s">
        <v>445</v>
      </c>
      <c r="M191" s="450"/>
      <c r="N191" s="466" t="s">
        <v>160</v>
      </c>
      <c r="O191" s="502">
        <v>137.18</v>
      </c>
      <c r="P191" s="502"/>
      <c r="Q191" s="502"/>
      <c r="R191" s="546" t="s">
        <v>59</v>
      </c>
      <c r="S191" s="459">
        <v>0</v>
      </c>
      <c r="T191" s="614" t="s">
        <v>59</v>
      </c>
      <c r="U191" s="461"/>
      <c r="V191" s="462">
        <v>100</v>
      </c>
      <c r="W191" s="450"/>
      <c r="X191" s="567" t="s">
        <v>70</v>
      </c>
      <c r="Y191" s="465" t="s">
        <v>360</v>
      </c>
      <c r="Z191" s="466" t="s">
        <v>716</v>
      </c>
      <c r="AA191" s="496" t="s">
        <v>59</v>
      </c>
      <c r="AB191" s="454"/>
      <c r="AC191" s="450"/>
      <c r="AD191" s="450"/>
      <c r="AE191" s="450"/>
      <c r="AF191" s="450"/>
      <c r="AG191" s="450"/>
      <c r="AH191" s="496" t="s">
        <v>59</v>
      </c>
      <c r="AI191" s="467"/>
      <c r="AJ191" s="467"/>
      <c r="AK191" s="467"/>
      <c r="AL191" s="467"/>
      <c r="AM191" s="467"/>
      <c r="AN191" s="467"/>
      <c r="AO191" s="467"/>
      <c r="AP191" s="467"/>
      <c r="AQ191" s="467"/>
      <c r="AR191" s="467"/>
      <c r="AS191" s="467"/>
      <c r="AT191" s="467"/>
      <c r="AU191" s="467"/>
      <c r="AV191" s="467"/>
      <c r="AW191" s="467"/>
      <c r="AX191" s="467"/>
      <c r="AY191" s="486">
        <f>COUNTIF(AI191:AX191,"*OP*")</f>
        <v>0</v>
      </c>
      <c r="AZ191" s="499" t="s">
        <v>59</v>
      </c>
      <c r="BA191" s="450">
        <f>(COUNTIF(AI191:AK191,"*OK*")*3) + (COUNTIF(AL191:AN191,"*OK*")*2) + COUNTIF(AO191:AQ191,"*OK*")+COUNTIF(AZ191:AZ191,"SI")*0.5</f>
        <v>0</v>
      </c>
      <c r="BB191" s="450" t="str">
        <f>IF(BA191&lt;0.6,"Demasiado Riesgo",IF(BA191&lt;=5,"Riesgo Medio",IF(BA191&lt;=11,"Riesgo Bajo","Cliente Blindado")))</f>
        <v>Demasiado Riesgo</v>
      </c>
      <c r="BC191" s="450"/>
      <c r="BD191" s="450"/>
      <c r="BE191" s="450">
        <v>0</v>
      </c>
      <c r="BF191" s="450"/>
      <c r="BG191" s="450"/>
      <c r="BH191" s="450"/>
      <c r="BI191" s="450"/>
      <c r="BJ191" s="450"/>
      <c r="BK191" s="450"/>
      <c r="BL191" s="450"/>
      <c r="BM191" s="450"/>
      <c r="BN191" s="450"/>
      <c r="BO191" s="450"/>
      <c r="BP191" s="450"/>
      <c r="BQ191" s="450"/>
      <c r="BR191" s="450"/>
      <c r="BS191" s="450"/>
      <c r="BT191" s="450"/>
      <c r="BU191" s="450"/>
      <c r="BV191" s="450"/>
      <c r="BW191" s="450"/>
      <c r="BX191" s="450"/>
      <c r="BY191" s="450"/>
      <c r="BZ191" s="450"/>
      <c r="CA191" s="450">
        <f>COUNTIF(AI191:AW191,"*OK*")</f>
        <v>0</v>
      </c>
      <c r="CB191" s="450"/>
      <c r="CC191" s="450">
        <f>COUNTIF(AI191:AW191,"*OP*")</f>
        <v>0</v>
      </c>
    </row>
    <row r="192" spans="1:81" ht="15" customHeight="1">
      <c r="A192" s="449"/>
      <c r="B192" s="450"/>
      <c r="C192" s="451" t="str">
        <f>T192</f>
        <v> </v>
      </c>
      <c r="D192" s="450">
        <f>COUNTIF(AI192:AW192,"*OK*")</f>
        <v>0</v>
      </c>
      <c r="E192" s="450"/>
      <c r="F192" s="615" t="s">
        <v>717</v>
      </c>
      <c r="G192" s="453"/>
      <c r="H192" s="454" t="s">
        <v>718</v>
      </c>
      <c r="I192" s="454"/>
      <c r="J192" s="453"/>
      <c r="K192" s="453" t="s">
        <v>68</v>
      </c>
      <c r="L192" s="568" t="s">
        <v>445</v>
      </c>
      <c r="M192" s="568"/>
      <c r="N192" s="456" t="s">
        <v>237</v>
      </c>
      <c r="O192" s="457">
        <v>307.42</v>
      </c>
      <c r="P192" s="457">
        <v>307.14</v>
      </c>
      <c r="Q192" s="457">
        <v>292.7</v>
      </c>
      <c r="R192" s="458">
        <v>302.12</v>
      </c>
      <c r="S192" s="459">
        <v>0</v>
      </c>
      <c r="T192" s="487" t="s">
        <v>59</v>
      </c>
      <c r="U192" s="461"/>
      <c r="V192" s="462">
        <v>200</v>
      </c>
      <c r="W192" s="463"/>
      <c r="X192" s="464" t="s">
        <v>245</v>
      </c>
      <c r="Y192" s="465" t="s">
        <v>80</v>
      </c>
      <c r="Z192" s="466" t="s">
        <v>719</v>
      </c>
      <c r="AA192" s="462" t="s">
        <v>59</v>
      </c>
      <c r="AB192" s="454" t="s">
        <v>137</v>
      </c>
      <c r="AC192" s="450"/>
      <c r="AD192" s="450"/>
      <c r="AE192" s="450"/>
      <c r="AF192" s="450"/>
      <c r="AG192" s="450"/>
      <c r="AH192" s="496" t="s">
        <v>59</v>
      </c>
      <c r="AI192" s="486"/>
      <c r="AJ192" s="486"/>
      <c r="AK192" s="486"/>
      <c r="AL192" s="486"/>
      <c r="AM192" s="486"/>
      <c r="AN192" s="486"/>
      <c r="AO192" s="486"/>
      <c r="AP192" s="486"/>
      <c r="AQ192" s="486"/>
      <c r="AR192" s="486"/>
      <c r="AS192" s="486"/>
      <c r="AT192" s="486"/>
      <c r="AU192" s="486"/>
      <c r="AV192" s="486"/>
      <c r="AW192" s="486"/>
      <c r="AX192" s="486"/>
      <c r="AY192" s="486">
        <f>COUNTIF(AI192:AX192,"*OP*")</f>
        <v>0</v>
      </c>
      <c r="AZ192" s="499" t="s">
        <v>59</v>
      </c>
      <c r="BA192" s="450">
        <f>(COUNTIF(AI192:AK192,"*OK*")*3) + (COUNTIF(AL192:AN192,"*OK*")*2) + COUNTIF(AO192:AQ192,"*OK*")+COUNTIF(AZ192:AZ192,"SI")*0.5</f>
        <v>0</v>
      </c>
      <c r="BB192" s="450" t="str">
        <f>IF(BA192&lt;0.6,"Demasiado Riesgo",IF(BA192&lt;=5,"Riesgo Medio",IF(BA192&lt;=11,"Riesgo Bajo","Cliente Blindado")))</f>
        <v>Demasiado Riesgo</v>
      </c>
      <c r="BC192" s="450"/>
      <c r="BD192" s="450"/>
      <c r="BE192" s="450">
        <v>0</v>
      </c>
      <c r="BF192" s="450"/>
      <c r="BG192" s="450"/>
      <c r="BH192" s="450"/>
      <c r="BI192" s="450"/>
      <c r="BJ192" s="450"/>
      <c r="BK192" s="450"/>
      <c r="BL192" s="450"/>
      <c r="BM192" s="450"/>
      <c r="BN192" s="450"/>
      <c r="BO192" s="450"/>
      <c r="BP192" s="450"/>
      <c r="BQ192" s="450"/>
      <c r="BR192" s="450"/>
      <c r="BS192" s="450"/>
      <c r="BT192" s="450"/>
      <c r="BU192" s="450"/>
      <c r="BV192" s="450"/>
      <c r="BW192" s="450"/>
      <c r="BX192" s="450"/>
      <c r="BY192" s="450"/>
      <c r="BZ192" s="450"/>
      <c r="CA192" s="450">
        <f>COUNTIF(AI192:AW192,"*OK*")</f>
        <v>0</v>
      </c>
      <c r="CB192" s="450"/>
      <c r="CC192" s="450">
        <f>COUNTIF(AI192:AW192,"*OP*")</f>
        <v>0</v>
      </c>
    </row>
    <row r="193" spans="1:81" ht="15" customHeight="1">
      <c r="A193" s="470">
        <v>27159</v>
      </c>
      <c r="B193" s="471" t="s">
        <v>720</v>
      </c>
      <c r="C193" s="451" t="str">
        <f>T193</f>
        <v> </v>
      </c>
      <c r="D193" s="471">
        <f>COUNTIF(AI193:AW193,"*OK*")</f>
        <v>0</v>
      </c>
      <c r="E193" s="471"/>
      <c r="F193" s="473" t="s">
        <v>721</v>
      </c>
      <c r="G193" s="473"/>
      <c r="H193" s="474"/>
      <c r="I193" s="474"/>
      <c r="J193" s="473"/>
      <c r="K193" s="556" t="s">
        <v>68</v>
      </c>
      <c r="L193" s="473" t="s">
        <v>445</v>
      </c>
      <c r="M193" s="473"/>
      <c r="N193" s="476" t="s">
        <v>156</v>
      </c>
      <c r="O193" s="477">
        <v>69.290000000000006</v>
      </c>
      <c r="P193" s="477">
        <v>71.39</v>
      </c>
      <c r="Q193" s="477">
        <v>70.09</v>
      </c>
      <c r="R193" s="478">
        <v>68.09</v>
      </c>
      <c r="S193" s="459">
        <v>69.010999999999996</v>
      </c>
      <c r="T193" s="469" t="s">
        <v>59</v>
      </c>
      <c r="U193" s="479"/>
      <c r="V193" s="480">
        <v>50</v>
      </c>
      <c r="W193" s="481"/>
      <c r="X193" s="572" t="s">
        <v>70</v>
      </c>
      <c r="Y193" s="483" t="s">
        <v>299</v>
      </c>
      <c r="Z193" s="484" t="s">
        <v>722</v>
      </c>
      <c r="AA193" s="480" t="s">
        <v>59</v>
      </c>
      <c r="AB193" s="474" t="s">
        <v>137</v>
      </c>
      <c r="AC193" s="471"/>
      <c r="AD193" s="471"/>
      <c r="AE193" s="471"/>
      <c r="AF193" s="471"/>
      <c r="AG193" s="471" t="s">
        <v>723</v>
      </c>
      <c r="AH193" s="494" t="s">
        <v>59</v>
      </c>
      <c r="AI193" s="467"/>
      <c r="AJ193" s="467"/>
      <c r="AK193" s="467"/>
      <c r="AL193" s="467"/>
      <c r="AM193" s="467"/>
      <c r="AN193" s="467"/>
      <c r="AO193" s="467"/>
      <c r="AP193" s="467"/>
      <c r="AQ193" s="467"/>
      <c r="AR193" s="467"/>
      <c r="AS193" s="467"/>
      <c r="AT193" s="467"/>
      <c r="AU193" s="467"/>
      <c r="AV193" s="467"/>
      <c r="AW193" s="467"/>
      <c r="AX193" s="467"/>
      <c r="AY193" s="486">
        <f>COUNTIF(AI193:AX193,"*OP*")</f>
        <v>0</v>
      </c>
      <c r="AZ193" s="485" t="s">
        <v>59</v>
      </c>
      <c r="BA193" s="471">
        <f>(COUNTIF(AI193:AK193,"*OK*")*3) + (COUNTIF(AL193:AN193,"*OK*")*2) + COUNTIF(AO193:AQ193,"*OK*")+COUNTIF(AZ193:AZ193,"SI")*0.5</f>
        <v>0</v>
      </c>
      <c r="BB193" s="471" t="str">
        <f>IF(BA193&lt;0.6,"Demasiado Riesgo",IF(BA193&lt;=5,"Riesgo Medio",IF(BA193&lt;=11,"Riesgo Bajo","Cliente Blindado")))</f>
        <v>Demasiado Riesgo</v>
      </c>
      <c r="BC193" s="471"/>
      <c r="BD193" s="471"/>
      <c r="BE193" s="471">
        <v>0</v>
      </c>
      <c r="BF193" s="471"/>
      <c r="BG193" s="471"/>
      <c r="BH193" s="471"/>
      <c r="BI193" s="471"/>
      <c r="BJ193" s="471"/>
      <c r="BK193" s="471"/>
      <c r="BL193" s="471"/>
      <c r="BM193" s="471"/>
      <c r="BN193" s="471"/>
      <c r="BO193" s="471"/>
      <c r="BP193" s="471"/>
      <c r="BQ193" s="471"/>
      <c r="BR193" s="471"/>
      <c r="BS193" s="471"/>
      <c r="BT193" s="471"/>
      <c r="BU193" s="471"/>
      <c r="BV193" s="471"/>
      <c r="BW193" s="471"/>
      <c r="BX193" s="471"/>
      <c r="BY193" s="471"/>
      <c r="BZ193" s="471"/>
      <c r="CA193" s="471">
        <f>COUNTIF(AI193:AW193,"*OK*")</f>
        <v>0</v>
      </c>
      <c r="CB193" s="471"/>
      <c r="CC193" s="471">
        <f>COUNTIF(AI193:AW193,"*OP*")</f>
        <v>0</v>
      </c>
    </row>
    <row r="194" spans="1:81" ht="15" customHeight="1">
      <c r="A194" s="470">
        <v>5725</v>
      </c>
      <c r="B194" s="471"/>
      <c r="C194" s="451" t="str">
        <f>T194</f>
        <v> </v>
      </c>
      <c r="D194" s="471">
        <f>COUNTIF(AM194:AX194,"OK")</f>
        <v>0</v>
      </c>
      <c r="E194" s="471"/>
      <c r="F194" s="536" t="s">
        <v>724</v>
      </c>
      <c r="G194" s="536" t="s">
        <v>59</v>
      </c>
      <c r="H194" s="474"/>
      <c r="I194" s="474"/>
      <c r="J194" s="536" t="s">
        <v>59</v>
      </c>
      <c r="K194" s="536" t="s">
        <v>68</v>
      </c>
      <c r="L194" s="536" t="s">
        <v>445</v>
      </c>
      <c r="M194" s="536"/>
      <c r="N194" s="484" t="s">
        <v>191</v>
      </c>
      <c r="O194" s="536" t="s">
        <v>59</v>
      </c>
      <c r="P194" s="536" t="s">
        <v>59</v>
      </c>
      <c r="Q194" s="536" t="s">
        <v>59</v>
      </c>
      <c r="R194" s="494">
        <v>156.19</v>
      </c>
      <c r="S194" s="497"/>
      <c r="T194" s="616" t="s">
        <v>59</v>
      </c>
      <c r="U194" s="479"/>
      <c r="V194" s="480" t="s">
        <v>59</v>
      </c>
      <c r="W194" s="471"/>
      <c r="X194" s="493"/>
      <c r="Y194" s="483"/>
      <c r="Z194" s="484"/>
      <c r="AA194" s="494" t="s">
        <v>59</v>
      </c>
      <c r="AB194" s="474"/>
      <c r="AC194" s="471"/>
      <c r="AD194" s="471"/>
      <c r="AE194" s="471"/>
      <c r="AF194" s="471"/>
      <c r="AG194" s="471"/>
      <c r="AH194" s="494" t="s">
        <v>59</v>
      </c>
      <c r="AI194" s="467"/>
      <c r="AJ194" s="467"/>
      <c r="AK194" s="467"/>
      <c r="AL194" s="467"/>
      <c r="AM194" s="467"/>
      <c r="AN194" s="467"/>
      <c r="AO194" s="467"/>
      <c r="AP194" s="467"/>
      <c r="AQ194" s="467"/>
      <c r="AR194" s="467"/>
      <c r="AS194" s="467"/>
      <c r="AT194" s="467"/>
      <c r="AU194" s="467"/>
      <c r="AV194" s="467"/>
      <c r="AW194" s="467"/>
      <c r="AX194" s="467"/>
      <c r="AY194" s="486">
        <f>COUNTIF(AI194:AX194,"*OP*")</f>
        <v>0</v>
      </c>
      <c r="AZ194" s="485" t="s">
        <v>59</v>
      </c>
      <c r="BA194" s="471">
        <f>(COUNTIF(AI194:AK194,"*OK*")*3) + (COUNTIF(AL194:AN194,"*OK*")*2) + COUNTIF(AO194:AQ194,"*OK*")+COUNTIF(AZ194:AZ194,"SI")*0.5</f>
        <v>0</v>
      </c>
      <c r="BB194" s="471" t="str">
        <f>IF(BA194&lt;0.6,"Demasiado Riesgo",IF(BA194&lt;=5,"Riesgo Medio",IF(BA194&lt;=11,"Riesgo Bajo","Cliente Blindado")))</f>
        <v>Demasiado Riesgo</v>
      </c>
      <c r="BC194" s="471"/>
      <c r="BD194" s="471"/>
      <c r="BE194" s="471">
        <v>0</v>
      </c>
      <c r="BF194" s="471"/>
      <c r="BG194" s="471"/>
      <c r="BH194" s="471"/>
      <c r="BI194" s="471"/>
      <c r="BJ194" s="471"/>
      <c r="BK194" s="471"/>
      <c r="BL194" s="471"/>
      <c r="BM194" s="471"/>
      <c r="BN194" s="471"/>
      <c r="BO194" s="471"/>
      <c r="BP194" s="471"/>
      <c r="BQ194" s="471"/>
      <c r="BR194" s="471"/>
      <c r="BS194" s="471"/>
      <c r="BT194" s="471"/>
      <c r="BU194" s="471"/>
      <c r="BV194" s="471"/>
      <c r="BW194" s="471"/>
      <c r="BX194" s="471"/>
      <c r="BY194" s="471"/>
      <c r="BZ194" s="471"/>
      <c r="CA194" s="471">
        <f>COUNTIF(AI194:AW194,"*OK*")</f>
        <v>0</v>
      </c>
      <c r="CB194" s="471"/>
      <c r="CC194" s="471">
        <f>COUNTIF(AI194:AW194,"*OP*")</f>
        <v>0</v>
      </c>
    </row>
    <row r="195" spans="1:81" ht="15" customHeight="1">
      <c r="A195" s="488">
        <v>27444</v>
      </c>
      <c r="B195" s="489"/>
      <c r="C195" s="451">
        <f>T195</f>
        <v>355.22</v>
      </c>
      <c r="D195" s="450">
        <f>COUNTIF(AI195:AW195,"*OK*")</f>
        <v>0</v>
      </c>
      <c r="E195" s="450"/>
      <c r="F195" s="453" t="s">
        <v>725</v>
      </c>
      <c r="G195" s="453"/>
      <c r="H195" s="454"/>
      <c r="I195" s="454"/>
      <c r="J195" s="453"/>
      <c r="K195" s="552" t="s">
        <v>79</v>
      </c>
      <c r="L195" s="453" t="s">
        <v>726</v>
      </c>
      <c r="M195" s="453"/>
      <c r="N195" s="456" t="s">
        <v>103</v>
      </c>
      <c r="O195" s="457"/>
      <c r="P195" s="457">
        <v>1069.5899999999999</v>
      </c>
      <c r="Q195" s="457">
        <v>319.36</v>
      </c>
      <c r="R195" s="458">
        <v>379.08</v>
      </c>
      <c r="S195" s="459">
        <v>364.70240000000001</v>
      </c>
      <c r="T195" s="487">
        <v>355.22</v>
      </c>
      <c r="U195" s="461"/>
      <c r="V195" s="462">
        <v>200</v>
      </c>
      <c r="W195" s="463"/>
      <c r="X195" s="567" t="s">
        <v>70</v>
      </c>
      <c r="Y195" s="465" t="s">
        <v>80</v>
      </c>
      <c r="Z195" s="466" t="s">
        <v>727</v>
      </c>
      <c r="AA195" s="462" t="s">
        <v>59</v>
      </c>
      <c r="AB195" s="454"/>
      <c r="AC195" s="450"/>
      <c r="AD195" s="450"/>
      <c r="AE195" s="450"/>
      <c r="AF195" s="450"/>
      <c r="AG195" s="450"/>
      <c r="AH195" s="496" t="s">
        <v>59</v>
      </c>
      <c r="AI195" s="467"/>
      <c r="AJ195" s="467"/>
      <c r="AK195" s="467"/>
      <c r="AL195" s="467"/>
      <c r="AM195" s="467"/>
      <c r="AN195" s="467"/>
      <c r="AO195" s="467"/>
      <c r="AP195" s="467"/>
      <c r="AQ195" s="467"/>
      <c r="AR195" s="467"/>
      <c r="AS195" s="467"/>
      <c r="AT195" s="467"/>
      <c r="AU195" s="467"/>
      <c r="AV195" s="467"/>
      <c r="AW195" s="467"/>
      <c r="AX195" s="467"/>
      <c r="AY195" s="486">
        <f>COUNTIF(AI195:AX195,"*OP*")</f>
        <v>0</v>
      </c>
      <c r="AZ195" s="499" t="s">
        <v>59</v>
      </c>
      <c r="BA195" s="450">
        <f>(COUNTIF(AI195:AK195,"*OK*")*3) + (COUNTIF(AL195:AN195,"*OK*")*2) + COUNTIF(AO195:AQ195,"*OK*")+COUNTIF(AZ195:AZ195,"SI")*0.5</f>
        <v>0</v>
      </c>
      <c r="BB195" s="450" t="str">
        <f>IF(BA195&lt;0.6,"Demasiado Riesgo",IF(BA195&lt;=5,"Riesgo Medio",IF(BA195&lt;=11,"Riesgo Bajo","Cliente Blindado")))</f>
        <v>Demasiado Riesgo</v>
      </c>
      <c r="BC195" s="450"/>
      <c r="BD195" s="450"/>
      <c r="BE195" s="450">
        <v>0</v>
      </c>
      <c r="BF195" s="450"/>
      <c r="BG195" s="450"/>
      <c r="BH195" s="450"/>
      <c r="BI195" s="450"/>
      <c r="BJ195" s="450"/>
      <c r="BK195" s="450"/>
      <c r="BL195" s="450"/>
      <c r="BM195" s="450"/>
      <c r="BN195" s="450"/>
      <c r="BO195" s="450"/>
      <c r="BP195" s="450"/>
      <c r="BQ195" s="450"/>
      <c r="BR195" s="450"/>
      <c r="BS195" s="450"/>
      <c r="BT195" s="450"/>
      <c r="BU195" s="450"/>
      <c r="BV195" s="450"/>
      <c r="BW195" s="450"/>
      <c r="BX195" s="450"/>
      <c r="BY195" s="450"/>
      <c r="BZ195" s="450"/>
      <c r="CA195" s="450">
        <f>COUNTIF(AI195:AW195,"*OK*")</f>
        <v>0</v>
      </c>
      <c r="CB195" s="450"/>
      <c r="CC195" s="450">
        <f>COUNTIF(AI195:AW195,"*OP*")</f>
        <v>0</v>
      </c>
    </row>
    <row r="196" spans="1:81" ht="15" customHeight="1">
      <c r="A196" s="470">
        <v>24536</v>
      </c>
      <c r="B196" s="471"/>
      <c r="C196" s="451">
        <f>T196</f>
        <v>3.55</v>
      </c>
      <c r="D196" s="471">
        <f>COUNTIF(AI196:AW196,"*OK*")</f>
        <v>0</v>
      </c>
      <c r="E196" s="471"/>
      <c r="F196" s="473" t="s">
        <v>728</v>
      </c>
      <c r="G196" s="473"/>
      <c r="H196" s="474"/>
      <c r="I196" s="474"/>
      <c r="J196" s="473"/>
      <c r="K196" s="556" t="s">
        <v>68</v>
      </c>
      <c r="L196" s="453" t="s">
        <v>461</v>
      </c>
      <c r="M196" s="473"/>
      <c r="N196" s="484" t="s">
        <v>103</v>
      </c>
      <c r="O196" s="477">
        <v>3.61</v>
      </c>
      <c r="P196" s="477">
        <v>3.61</v>
      </c>
      <c r="Q196" s="477">
        <v>3.44</v>
      </c>
      <c r="R196" s="478">
        <v>3.55</v>
      </c>
      <c r="S196" s="459">
        <v>3.5939000000000001</v>
      </c>
      <c r="T196" s="487">
        <v>3.55</v>
      </c>
      <c r="U196" s="479"/>
      <c r="V196" s="480">
        <v>200</v>
      </c>
      <c r="W196" s="481"/>
      <c r="X196" s="493" t="s">
        <v>251</v>
      </c>
      <c r="Y196" s="483" t="s">
        <v>80</v>
      </c>
      <c r="Z196" s="484" t="s">
        <v>729</v>
      </c>
      <c r="AA196" s="480" t="s">
        <v>59</v>
      </c>
      <c r="AB196" s="474"/>
      <c r="AC196" s="471"/>
      <c r="AD196" s="471"/>
      <c r="AE196" s="471"/>
      <c r="AF196" s="471"/>
      <c r="AG196" s="471"/>
      <c r="AH196" s="494" t="s">
        <v>59</v>
      </c>
      <c r="AI196" s="467"/>
      <c r="AJ196" s="467"/>
      <c r="AK196" s="467"/>
      <c r="AL196" s="467"/>
      <c r="AM196" s="467"/>
      <c r="AN196" s="467"/>
      <c r="AO196" s="467"/>
      <c r="AP196" s="467"/>
      <c r="AQ196" s="467"/>
      <c r="AR196" s="467"/>
      <c r="AS196" s="467"/>
      <c r="AT196" s="467"/>
      <c r="AU196" s="467"/>
      <c r="AV196" s="467"/>
      <c r="AW196" s="467"/>
      <c r="AX196" s="467"/>
      <c r="AY196" s="486">
        <f>COUNTIF(AI196:AX196,"*OP*")</f>
        <v>0</v>
      </c>
      <c r="AZ196" s="485" t="s">
        <v>59</v>
      </c>
      <c r="BA196" s="471">
        <f>(COUNTIF(AI196:AK196,"*OK*")*3) + (COUNTIF(AL196:AN196,"*OK*")*2) + COUNTIF(AO196:AQ196,"*OK*")+COUNTIF(AZ196:AZ196,"SI")*0.5</f>
        <v>0</v>
      </c>
      <c r="BB196" s="471" t="str">
        <f>IF(BA196&lt;0.6,"Demasiado Riesgo",IF(BA196&lt;=5,"Riesgo Medio",IF(BA196&lt;=11,"Riesgo Bajo","Cliente Blindado")))</f>
        <v>Demasiado Riesgo</v>
      </c>
      <c r="BC196" s="471"/>
      <c r="BD196" s="471"/>
      <c r="BE196" s="471">
        <v>0</v>
      </c>
      <c r="BF196" s="471"/>
      <c r="BG196" s="471"/>
      <c r="BH196" s="471"/>
      <c r="BI196" s="471"/>
      <c r="BJ196" s="471"/>
      <c r="BK196" s="471"/>
      <c r="BL196" s="471"/>
      <c r="BM196" s="471"/>
      <c r="BN196" s="471"/>
      <c r="BO196" s="471"/>
      <c r="BP196" s="471"/>
      <c r="BQ196" s="471"/>
      <c r="BR196" s="471"/>
      <c r="BS196" s="471"/>
      <c r="BT196" s="471"/>
      <c r="BU196" s="471"/>
      <c r="BV196" s="471"/>
      <c r="BW196" s="471"/>
      <c r="BX196" s="471"/>
      <c r="BY196" s="471"/>
      <c r="BZ196" s="471"/>
      <c r="CA196" s="471">
        <f>COUNTIF(AI196:AW196,"*OK*")</f>
        <v>0</v>
      </c>
      <c r="CB196" s="471"/>
      <c r="CC196" s="471">
        <f>COUNTIF(AI196:AW196,"*OP*")</f>
        <v>0</v>
      </c>
    </row>
    <row r="197" spans="1:81" ht="15" customHeight="1">
      <c r="A197" s="449"/>
      <c r="B197" s="450"/>
      <c r="C197" s="451">
        <f>T197</f>
        <v>4.63</v>
      </c>
      <c r="D197" s="450">
        <f>COUNTIF(AI197:AW197,"*OK*")</f>
        <v>0</v>
      </c>
      <c r="E197" s="450"/>
      <c r="F197" s="453" t="s">
        <v>730</v>
      </c>
      <c r="G197" s="453"/>
      <c r="H197" s="454"/>
      <c r="I197" s="454"/>
      <c r="J197" s="453"/>
      <c r="K197" s="455" t="s">
        <v>68</v>
      </c>
      <c r="L197" s="453" t="s">
        <v>461</v>
      </c>
      <c r="M197" s="453"/>
      <c r="N197" s="466" t="s">
        <v>65</v>
      </c>
      <c r="O197" s="457">
        <v>4.7</v>
      </c>
      <c r="P197" s="457">
        <v>4.6900000000000004</v>
      </c>
      <c r="Q197" s="457">
        <v>4.47</v>
      </c>
      <c r="R197" s="458">
        <v>4.62</v>
      </c>
      <c r="S197" s="459">
        <v>4.6795</v>
      </c>
      <c r="T197" s="469">
        <v>4.63</v>
      </c>
      <c r="U197" s="461"/>
      <c r="V197" s="462">
        <v>100</v>
      </c>
      <c r="W197" s="463"/>
      <c r="X197" s="562" t="s">
        <v>70</v>
      </c>
      <c r="Y197" s="465" t="s">
        <v>360</v>
      </c>
      <c r="Z197" s="466" t="s">
        <v>731</v>
      </c>
      <c r="AA197" s="462" t="s">
        <v>59</v>
      </c>
      <c r="AB197" s="454"/>
      <c r="AC197" s="450"/>
      <c r="AD197" s="450"/>
      <c r="AE197" s="450"/>
      <c r="AF197" s="450"/>
      <c r="AG197" s="450"/>
      <c r="AH197" s="496" t="s">
        <v>59</v>
      </c>
      <c r="AI197" s="467"/>
      <c r="AJ197" s="467"/>
      <c r="AK197" s="467"/>
      <c r="AL197" s="467"/>
      <c r="AM197" s="467"/>
      <c r="AN197" s="467"/>
      <c r="AO197" s="467"/>
      <c r="AP197" s="467"/>
      <c r="AQ197" s="467"/>
      <c r="AR197" s="467"/>
      <c r="AS197" s="467"/>
      <c r="AT197" s="467"/>
      <c r="AU197" s="467"/>
      <c r="AV197" s="467"/>
      <c r="AW197" s="467"/>
      <c r="AX197" s="467"/>
      <c r="AY197" s="486">
        <f>COUNTIF(AI197:AX197,"*OP*")</f>
        <v>0</v>
      </c>
      <c r="AZ197" s="499" t="s">
        <v>59</v>
      </c>
      <c r="BA197" s="450">
        <f>(COUNTIF(AI197:AK197,"*OK*")*3) + (COUNTIF(AL197:AN197,"*OK*")*2) + COUNTIF(AO197:AQ197,"*OK*")+COUNTIF(AZ197:AZ197,"SI")*0.5</f>
        <v>0</v>
      </c>
      <c r="BB197" s="450" t="str">
        <f>IF(BA197&lt;0.6,"Demasiado Riesgo",IF(BA197&lt;=5,"Riesgo Medio",IF(BA197&lt;=11,"Riesgo Bajo","Cliente Blindado")))</f>
        <v>Demasiado Riesgo</v>
      </c>
      <c r="BC197" s="450"/>
      <c r="BD197" s="450"/>
      <c r="BE197" s="450">
        <v>0</v>
      </c>
      <c r="BF197" s="450"/>
      <c r="BG197" s="450"/>
      <c r="BH197" s="450"/>
      <c r="BI197" s="450"/>
      <c r="BJ197" s="450"/>
      <c r="BK197" s="450"/>
      <c r="BL197" s="450"/>
      <c r="BM197" s="450"/>
      <c r="BN197" s="450"/>
      <c r="BO197" s="450"/>
      <c r="BP197" s="450"/>
      <c r="BQ197" s="450"/>
      <c r="BR197" s="450"/>
      <c r="BS197" s="450"/>
      <c r="BT197" s="450"/>
      <c r="BU197" s="450"/>
      <c r="BV197" s="450"/>
      <c r="BW197" s="450"/>
      <c r="BX197" s="450"/>
      <c r="BY197" s="450"/>
      <c r="BZ197" s="450"/>
      <c r="CA197" s="450">
        <f>COUNTIF(AI197:AW197,"*OK*")</f>
        <v>0</v>
      </c>
      <c r="CB197" s="450"/>
      <c r="CC197" s="450">
        <f>COUNTIF(AI197:AW197,"*OP*")</f>
        <v>0</v>
      </c>
    </row>
    <row r="198" spans="1:81" ht="15" customHeight="1">
      <c r="A198" s="449"/>
      <c r="B198" s="450"/>
      <c r="C198" s="451">
        <f>T198</f>
        <v>5.14</v>
      </c>
      <c r="D198" s="450">
        <f>COUNTIF(AI198:AW198,"*OK*")</f>
        <v>0</v>
      </c>
      <c r="E198" s="450"/>
      <c r="F198" s="453" t="s">
        <v>732</v>
      </c>
      <c r="G198" s="453"/>
      <c r="H198" s="454"/>
      <c r="I198" s="454"/>
      <c r="J198" s="453"/>
      <c r="K198" s="455" t="s">
        <v>68</v>
      </c>
      <c r="L198" s="453" t="s">
        <v>461</v>
      </c>
      <c r="M198" s="453"/>
      <c r="N198" s="466" t="s">
        <v>65</v>
      </c>
      <c r="O198" s="457"/>
      <c r="P198" s="457"/>
      <c r="Q198" s="457">
        <v>7.46</v>
      </c>
      <c r="R198" s="458">
        <v>7.7</v>
      </c>
      <c r="S198" s="459">
        <v>7.7991000000000001</v>
      </c>
      <c r="T198" s="469">
        <v>5.14</v>
      </c>
      <c r="U198" s="461"/>
      <c r="V198" s="462">
        <v>50</v>
      </c>
      <c r="W198" s="463"/>
      <c r="X198" s="567" t="s">
        <v>70</v>
      </c>
      <c r="Y198" s="465" t="s">
        <v>71</v>
      </c>
      <c r="Z198" s="466" t="s">
        <v>733</v>
      </c>
      <c r="AA198" s="462" t="s">
        <v>59</v>
      </c>
      <c r="AB198" s="454"/>
      <c r="AC198" s="450"/>
      <c r="AD198" s="450"/>
      <c r="AE198" s="450"/>
      <c r="AF198" s="450"/>
      <c r="AG198" s="450"/>
      <c r="AH198" s="496" t="s">
        <v>59</v>
      </c>
      <c r="AI198" s="467"/>
      <c r="AJ198" s="467"/>
      <c r="AK198" s="467"/>
      <c r="AL198" s="467"/>
      <c r="AM198" s="467"/>
      <c r="AN198" s="467"/>
      <c r="AO198" s="467"/>
      <c r="AP198" s="467"/>
      <c r="AQ198" s="467"/>
      <c r="AR198" s="467"/>
      <c r="AS198" s="467"/>
      <c r="AT198" s="467"/>
      <c r="AU198" s="467"/>
      <c r="AV198" s="467"/>
      <c r="AW198" s="467"/>
      <c r="AX198" s="467"/>
      <c r="AY198" s="468">
        <f>COUNTIF(AI198:AX198,"*OP*")</f>
        <v>0</v>
      </c>
      <c r="AZ198" s="466" t="s">
        <v>59</v>
      </c>
      <c r="BA198" s="450">
        <f>(COUNTIF(AI198:AK198,"*OK*")*3) + (COUNTIF(AL198:AN198,"*OK*")*2) + COUNTIF(AO198:AQ198,"*OK*")+COUNTIF(AZ198:AZ198,"SI")*0.5</f>
        <v>0</v>
      </c>
      <c r="BB198" s="450" t="str">
        <f>IF(BA198&lt;0.6,"Demasiado Riesgo",IF(BA198&lt;=5,"Riesgo Medio",IF(BA198&lt;=11,"Riesgo Bajo","Cliente Blindado")))</f>
        <v>Demasiado Riesgo</v>
      </c>
      <c r="BC198" s="450"/>
      <c r="BD198" s="450"/>
      <c r="BE198" s="450">
        <v>0</v>
      </c>
      <c r="BF198" s="450"/>
      <c r="BG198" s="450"/>
      <c r="BH198" s="450"/>
      <c r="BI198" s="450"/>
      <c r="BJ198" s="450"/>
      <c r="BK198" s="450"/>
      <c r="BL198" s="450"/>
      <c r="BM198" s="450"/>
      <c r="BN198" s="450"/>
      <c r="BO198" s="450"/>
      <c r="BP198" s="450"/>
      <c r="BQ198" s="450"/>
      <c r="BR198" s="450"/>
      <c r="BS198" s="450"/>
      <c r="BT198" s="450"/>
      <c r="BU198" s="450"/>
      <c r="BV198" s="450"/>
      <c r="BW198" s="450"/>
      <c r="BX198" s="450"/>
      <c r="BY198" s="450"/>
      <c r="BZ198" s="450"/>
      <c r="CA198" s="450">
        <f>COUNTIF(AI198:AW198,"*OK*")</f>
        <v>0</v>
      </c>
      <c r="CB198" s="450"/>
      <c r="CC198" s="450">
        <f>COUNTIF(AI198:AW198,"*OP*")</f>
        <v>0</v>
      </c>
    </row>
    <row r="199" spans="1:81" ht="15" customHeight="1">
      <c r="A199" s="449"/>
      <c r="B199" s="450"/>
      <c r="C199" s="451">
        <f>T199</f>
        <v>6.17</v>
      </c>
      <c r="D199" s="450">
        <f>COUNTIF(AI199:AW199,"*OK*")</f>
        <v>0</v>
      </c>
      <c r="E199" s="450"/>
      <c r="F199" s="453" t="s">
        <v>734</v>
      </c>
      <c r="G199" s="453"/>
      <c r="H199" s="454"/>
      <c r="I199" s="454"/>
      <c r="J199" s="453"/>
      <c r="K199" s="455" t="s">
        <v>68</v>
      </c>
      <c r="L199" s="453" t="s">
        <v>461</v>
      </c>
      <c r="M199" s="453"/>
      <c r="N199" s="466" t="s">
        <v>237</v>
      </c>
      <c r="O199" s="457">
        <v>6.26</v>
      </c>
      <c r="P199" s="457">
        <v>6.26</v>
      </c>
      <c r="Q199" s="457">
        <v>5.96</v>
      </c>
      <c r="R199" s="458">
        <v>6.16</v>
      </c>
      <c r="S199" s="459">
        <v>6.2393000000000001</v>
      </c>
      <c r="T199" s="469">
        <v>6.17</v>
      </c>
      <c r="U199" s="461"/>
      <c r="V199" s="462">
        <v>100</v>
      </c>
      <c r="W199" s="463"/>
      <c r="X199" s="567" t="s">
        <v>70</v>
      </c>
      <c r="Y199" s="465" t="s">
        <v>161</v>
      </c>
      <c r="Z199" s="466" t="s">
        <v>735</v>
      </c>
      <c r="AA199" s="462" t="s">
        <v>59</v>
      </c>
      <c r="AB199" s="454"/>
      <c r="AC199" s="450"/>
      <c r="AD199" s="450"/>
      <c r="AE199" s="450"/>
      <c r="AF199" s="450"/>
      <c r="AG199" s="450"/>
      <c r="AH199" s="496" t="s">
        <v>59</v>
      </c>
      <c r="AI199" s="467"/>
      <c r="AJ199" s="467"/>
      <c r="AK199" s="467"/>
      <c r="AL199" s="467"/>
      <c r="AM199" s="467"/>
      <c r="AN199" s="467"/>
      <c r="AO199" s="467"/>
      <c r="AP199" s="467"/>
      <c r="AQ199" s="467"/>
      <c r="AR199" s="467"/>
      <c r="AS199" s="467"/>
      <c r="AT199" s="467"/>
      <c r="AU199" s="467"/>
      <c r="AV199" s="467"/>
      <c r="AW199" s="467"/>
      <c r="AX199" s="467"/>
      <c r="AY199" s="486">
        <f>COUNTIF(AI199:AX199,"*OP*")</f>
        <v>0</v>
      </c>
      <c r="AZ199" s="499" t="s">
        <v>59</v>
      </c>
      <c r="BA199" s="450">
        <f>(COUNTIF(AI199:AK199,"*OK*")*3) + (COUNTIF(AL199:AN199,"*OK*")*2) + COUNTIF(AO199:AQ199,"*OK*")+COUNTIF(AZ199:AZ199,"SI")*0.5</f>
        <v>0</v>
      </c>
      <c r="BB199" s="450" t="str">
        <f>IF(BA199&lt;0.6,"Demasiado Riesgo",IF(BA199&lt;=5,"Riesgo Medio",IF(BA199&lt;=11,"Riesgo Bajo","Cliente Blindado")))</f>
        <v>Demasiado Riesgo</v>
      </c>
      <c r="BC199" s="450"/>
      <c r="BD199" s="450"/>
      <c r="BE199" s="450">
        <v>0</v>
      </c>
      <c r="BF199" s="450"/>
      <c r="BG199" s="450"/>
      <c r="BH199" s="450"/>
      <c r="BI199" s="450"/>
      <c r="BJ199" s="450"/>
      <c r="BK199" s="450"/>
      <c r="BL199" s="450"/>
      <c r="BM199" s="450"/>
      <c r="BN199" s="450"/>
      <c r="BO199" s="450"/>
      <c r="BP199" s="450"/>
      <c r="BQ199" s="450"/>
      <c r="BR199" s="450"/>
      <c r="BS199" s="450"/>
      <c r="BT199" s="450"/>
      <c r="BU199" s="450"/>
      <c r="BV199" s="450"/>
      <c r="BW199" s="450"/>
      <c r="BX199" s="450"/>
      <c r="BY199" s="450"/>
      <c r="BZ199" s="450"/>
      <c r="CA199" s="450">
        <f>COUNTIF(AI199:AW199,"*OK*")</f>
        <v>0</v>
      </c>
      <c r="CB199" s="450"/>
      <c r="CC199" s="450">
        <f>COUNTIF(AI199:AW199,"*OP*")</f>
        <v>0</v>
      </c>
    </row>
    <row r="200" spans="1:81" ht="15" customHeight="1">
      <c r="A200" s="470">
        <v>35369</v>
      </c>
      <c r="B200" s="471"/>
      <c r="C200" s="451">
        <f>T200</f>
        <v>6.17</v>
      </c>
      <c r="D200" s="471">
        <f>COUNTIF(AI200:AW200,"*OK*")</f>
        <v>0</v>
      </c>
      <c r="E200" s="471"/>
      <c r="F200" s="473" t="s">
        <v>736</v>
      </c>
      <c r="G200" s="473"/>
      <c r="H200" s="474"/>
      <c r="I200" s="474"/>
      <c r="J200" s="473"/>
      <c r="K200" s="475" t="s">
        <v>68</v>
      </c>
      <c r="L200" s="453" t="s">
        <v>461</v>
      </c>
      <c r="M200" s="473"/>
      <c r="N200" s="484" t="s">
        <v>65</v>
      </c>
      <c r="O200" s="477">
        <v>6.26</v>
      </c>
      <c r="P200" s="477">
        <v>6.26</v>
      </c>
      <c r="Q200" s="477">
        <v>5.96</v>
      </c>
      <c r="R200" s="478">
        <v>6.16</v>
      </c>
      <c r="S200" s="459">
        <v>6.2393000000000001</v>
      </c>
      <c r="T200" s="487">
        <v>6.17</v>
      </c>
      <c r="U200" s="479"/>
      <c r="V200" s="480">
        <v>100</v>
      </c>
      <c r="W200" s="481"/>
      <c r="X200" s="572" t="s">
        <v>70</v>
      </c>
      <c r="Y200" s="483" t="s">
        <v>360</v>
      </c>
      <c r="Z200" s="484" t="s">
        <v>737</v>
      </c>
      <c r="AA200" s="480" t="s">
        <v>59</v>
      </c>
      <c r="AB200" s="474"/>
      <c r="AC200" s="471"/>
      <c r="AD200" s="471"/>
      <c r="AE200" s="471"/>
      <c r="AF200" s="471"/>
      <c r="AG200" s="471"/>
      <c r="AH200" s="494" t="s">
        <v>59</v>
      </c>
      <c r="AI200" s="467"/>
      <c r="AJ200" s="467"/>
      <c r="AK200" s="467"/>
      <c r="AL200" s="467"/>
      <c r="AM200" s="467"/>
      <c r="AN200" s="467"/>
      <c r="AO200" s="467"/>
      <c r="AP200" s="467"/>
      <c r="AQ200" s="467"/>
      <c r="AR200" s="467"/>
      <c r="AS200" s="467"/>
      <c r="AT200" s="467"/>
      <c r="AU200" s="467"/>
      <c r="AV200" s="467"/>
      <c r="AW200" s="467"/>
      <c r="AX200" s="467"/>
      <c r="AY200" s="486">
        <f>COUNTIF(AI200:AX200,"*OP*")</f>
        <v>0</v>
      </c>
      <c r="AZ200" s="485" t="s">
        <v>59</v>
      </c>
      <c r="BA200" s="471">
        <f>(COUNTIF(AI200:AK200,"*OK*")*3) + (COUNTIF(AL200:AN200,"*OK*")*2) + COUNTIF(AO200:AQ200,"*OK*")+COUNTIF(AZ200:AZ200,"SI")*0.5</f>
        <v>0</v>
      </c>
      <c r="BB200" s="471" t="str">
        <f>IF(BA200&lt;0.6,"Demasiado Riesgo",IF(BA200&lt;=5,"Riesgo Medio",IF(BA200&lt;=11,"Riesgo Bajo","Cliente Blindado")))</f>
        <v>Demasiado Riesgo</v>
      </c>
      <c r="BC200" s="471"/>
      <c r="BD200" s="471"/>
      <c r="BE200" s="471">
        <v>0</v>
      </c>
      <c r="BF200" s="471"/>
      <c r="BG200" s="471"/>
      <c r="BH200" s="471"/>
      <c r="BI200" s="471"/>
      <c r="BJ200" s="471"/>
      <c r="BK200" s="471"/>
      <c r="BL200" s="471"/>
      <c r="BM200" s="471"/>
      <c r="BN200" s="471"/>
      <c r="BO200" s="471"/>
      <c r="BP200" s="471"/>
      <c r="BQ200" s="471"/>
      <c r="BR200" s="471"/>
      <c r="BS200" s="471"/>
      <c r="BT200" s="471"/>
      <c r="BU200" s="471"/>
      <c r="BV200" s="471"/>
      <c r="BW200" s="471"/>
      <c r="BX200" s="471"/>
      <c r="BY200" s="471"/>
      <c r="BZ200" s="471"/>
      <c r="CA200" s="471">
        <f>COUNTIF(AI200:AW200,"*OK*")</f>
        <v>0</v>
      </c>
      <c r="CB200" s="471"/>
      <c r="CC200" s="471">
        <f>COUNTIF(AI200:AW200,"*OP*")</f>
        <v>0</v>
      </c>
    </row>
    <row r="201" spans="1:81" ht="15" customHeight="1">
      <c r="A201" s="470"/>
      <c r="B201" s="471"/>
      <c r="C201" s="451">
        <f>T201</f>
        <v>7.71</v>
      </c>
      <c r="D201" s="471">
        <f>COUNTIF(AI201:AW201,"*OK*")</f>
        <v>0</v>
      </c>
      <c r="E201" s="471"/>
      <c r="F201" s="473" t="s">
        <v>738</v>
      </c>
      <c r="G201" s="473"/>
      <c r="H201" s="474"/>
      <c r="I201" s="474"/>
      <c r="J201" s="473"/>
      <c r="K201" s="475" t="s">
        <v>68</v>
      </c>
      <c r="L201" s="453" t="s">
        <v>461</v>
      </c>
      <c r="M201" s="473"/>
      <c r="N201" s="484" t="s">
        <v>65</v>
      </c>
      <c r="O201" s="477">
        <v>7.83</v>
      </c>
      <c r="P201" s="477">
        <v>7.82</v>
      </c>
      <c r="Q201" s="477">
        <v>7.46</v>
      </c>
      <c r="R201" s="478">
        <v>7.7</v>
      </c>
      <c r="S201" s="459">
        <v>7.7991000000000001</v>
      </c>
      <c r="T201" s="487">
        <v>7.71</v>
      </c>
      <c r="U201" s="479"/>
      <c r="V201" s="480">
        <v>50</v>
      </c>
      <c r="W201" s="481"/>
      <c r="X201" s="572" t="s">
        <v>70</v>
      </c>
      <c r="Y201" s="483" t="s">
        <v>71</v>
      </c>
      <c r="Z201" s="484" t="s">
        <v>739</v>
      </c>
      <c r="AA201" s="480" t="s">
        <v>59</v>
      </c>
      <c r="AB201" s="474"/>
      <c r="AC201" s="471"/>
      <c r="AD201" s="471"/>
      <c r="AE201" s="471"/>
      <c r="AF201" s="471"/>
      <c r="AG201" s="471"/>
      <c r="AH201" s="494" t="s">
        <v>59</v>
      </c>
      <c r="AI201" s="467"/>
      <c r="AJ201" s="467"/>
      <c r="AK201" s="467"/>
      <c r="AL201" s="467"/>
      <c r="AM201" s="467"/>
      <c r="AN201" s="467"/>
      <c r="AO201" s="467"/>
      <c r="AP201" s="467"/>
      <c r="AQ201" s="467"/>
      <c r="AR201" s="467"/>
      <c r="AS201" s="467"/>
      <c r="AT201" s="467"/>
      <c r="AU201" s="467"/>
      <c r="AV201" s="467"/>
      <c r="AW201" s="467"/>
      <c r="AX201" s="467"/>
      <c r="AY201" s="486">
        <f>COUNTIF(AI201:AX201,"*OP*")</f>
        <v>0</v>
      </c>
      <c r="AZ201" s="485" t="s">
        <v>59</v>
      </c>
      <c r="BA201" s="471">
        <f>(COUNTIF(AI201:AK201,"*OK*")*3) + (COUNTIF(AL201:AN201,"*OK*")*2) + COUNTIF(AO201:AQ201,"*OK*")+COUNTIF(AZ201:AZ201,"SI")*0.5</f>
        <v>0</v>
      </c>
      <c r="BB201" s="471" t="str">
        <f>IF(BA201&lt;0.6,"Demasiado Riesgo",IF(BA201&lt;=5,"Riesgo Medio",IF(BA201&lt;=11,"Riesgo Bajo","Cliente Blindado")))</f>
        <v>Demasiado Riesgo</v>
      </c>
      <c r="BC201" s="471"/>
      <c r="BD201" s="471"/>
      <c r="BE201" s="471">
        <v>0</v>
      </c>
      <c r="BF201" s="471"/>
      <c r="BG201" s="471"/>
      <c r="BH201" s="471"/>
      <c r="BI201" s="471"/>
      <c r="BJ201" s="471"/>
      <c r="BK201" s="471"/>
      <c r="BL201" s="471"/>
      <c r="BM201" s="471"/>
      <c r="BN201" s="471"/>
      <c r="BO201" s="471"/>
      <c r="BP201" s="471"/>
      <c r="BQ201" s="471"/>
      <c r="BR201" s="471"/>
      <c r="BS201" s="471"/>
      <c r="BT201" s="471"/>
      <c r="BU201" s="471"/>
      <c r="BV201" s="471"/>
      <c r="BW201" s="471"/>
      <c r="BX201" s="471"/>
      <c r="BY201" s="471"/>
      <c r="BZ201" s="471"/>
      <c r="CA201" s="471">
        <f>COUNTIF(AI201:AW201,"*OK*")</f>
        <v>0</v>
      </c>
      <c r="CB201" s="471"/>
      <c r="CC201" s="471">
        <f>COUNTIF(AI201:AW201,"*OP*")</f>
        <v>0</v>
      </c>
    </row>
    <row r="202" spans="1:81" ht="15" customHeight="1">
      <c r="A202" s="470"/>
      <c r="B202" s="471"/>
      <c r="C202" s="451">
        <f>T202</f>
        <v>7.78</v>
      </c>
      <c r="D202" s="471">
        <f>COUNTIF(AI202:AW202,"*OK*")</f>
        <v>0</v>
      </c>
      <c r="E202" s="471"/>
      <c r="F202" s="473" t="s">
        <v>740</v>
      </c>
      <c r="G202" s="473"/>
      <c r="H202" s="474"/>
      <c r="I202" s="474"/>
      <c r="J202" s="473"/>
      <c r="K202" s="556" t="s">
        <v>68</v>
      </c>
      <c r="L202" s="453" t="s">
        <v>461</v>
      </c>
      <c r="M202" s="473"/>
      <c r="N202" s="484" t="s">
        <v>65</v>
      </c>
      <c r="O202" s="477">
        <v>7.9</v>
      </c>
      <c r="P202" s="477">
        <v>7.89</v>
      </c>
      <c r="Q202" s="477">
        <v>7.52</v>
      </c>
      <c r="R202" s="478">
        <v>7.76</v>
      </c>
      <c r="S202" s="459">
        <v>7.8666999999999998</v>
      </c>
      <c r="T202" s="487">
        <v>7.78</v>
      </c>
      <c r="U202" s="479"/>
      <c r="V202" s="480">
        <v>50</v>
      </c>
      <c r="W202" s="481"/>
      <c r="X202" s="572" t="s">
        <v>70</v>
      </c>
      <c r="Y202" s="483" t="s">
        <v>71</v>
      </c>
      <c r="Z202" s="484" t="s">
        <v>72</v>
      </c>
      <c r="AA202" s="480" t="s">
        <v>59</v>
      </c>
      <c r="AB202" s="474"/>
      <c r="AC202" s="471"/>
      <c r="AD202" s="471"/>
      <c r="AE202" s="471"/>
      <c r="AF202" s="471"/>
      <c r="AG202" s="471"/>
      <c r="AH202" s="494" t="s">
        <v>59</v>
      </c>
      <c r="AI202" s="467"/>
      <c r="AJ202" s="467"/>
      <c r="AK202" s="467"/>
      <c r="AL202" s="467"/>
      <c r="AM202" s="467"/>
      <c r="AN202" s="467"/>
      <c r="AO202" s="467"/>
      <c r="AP202" s="467"/>
      <c r="AQ202" s="467"/>
      <c r="AR202" s="467"/>
      <c r="AS202" s="467"/>
      <c r="AT202" s="467"/>
      <c r="AU202" s="467"/>
      <c r="AV202" s="467"/>
      <c r="AW202" s="467"/>
      <c r="AX202" s="467"/>
      <c r="AY202" s="486">
        <f>COUNTIF(AI202:AX202,"*OP*")</f>
        <v>0</v>
      </c>
      <c r="AZ202" s="485" t="s">
        <v>59</v>
      </c>
      <c r="BA202" s="471">
        <f>(COUNTIF(AI202:AK202,"*OK*")*3) + (COUNTIF(AL202:AN202,"*OK*")*2) + COUNTIF(AO202:AQ202,"*OK*")+COUNTIF(AZ202:AZ202,"SI")*0.5</f>
        <v>0</v>
      </c>
      <c r="BB202" s="471" t="str">
        <f>IF(BA202&lt;0.6,"Demasiado Riesgo",IF(BA202&lt;=5,"Riesgo Medio",IF(BA202&lt;=11,"Riesgo Bajo","Cliente Blindado")))</f>
        <v>Demasiado Riesgo</v>
      </c>
      <c r="BC202" s="471"/>
      <c r="BD202" s="471"/>
      <c r="BE202" s="471">
        <v>0</v>
      </c>
      <c r="BF202" s="471"/>
      <c r="BG202" s="471"/>
      <c r="BH202" s="471"/>
      <c r="BI202" s="471"/>
      <c r="BJ202" s="471"/>
      <c r="BK202" s="471"/>
      <c r="BL202" s="471"/>
      <c r="BM202" s="471"/>
      <c r="BN202" s="471"/>
      <c r="BO202" s="471"/>
      <c r="BP202" s="471"/>
      <c r="BQ202" s="471"/>
      <c r="BR202" s="471"/>
      <c r="BS202" s="471"/>
      <c r="BT202" s="471"/>
      <c r="BU202" s="471"/>
      <c r="BV202" s="471"/>
      <c r="BW202" s="471"/>
      <c r="BX202" s="471"/>
      <c r="BY202" s="471"/>
      <c r="BZ202" s="471"/>
      <c r="CA202" s="471">
        <f>COUNTIF(AI202:AW202,"*OK*")</f>
        <v>0</v>
      </c>
      <c r="CB202" s="471"/>
      <c r="CC202" s="471">
        <f>COUNTIF(AI202:AW202,"*OP*")</f>
        <v>0</v>
      </c>
    </row>
    <row r="203" spans="1:81" ht="15" customHeight="1">
      <c r="A203" s="449"/>
      <c r="B203" s="450"/>
      <c r="C203" s="451">
        <f>T203</f>
        <v>9.26</v>
      </c>
      <c r="D203" s="450">
        <f>COUNTIF(AI203:AW203,"*OK*")</f>
        <v>0</v>
      </c>
      <c r="E203" s="450"/>
      <c r="F203" s="453" t="s">
        <v>741</v>
      </c>
      <c r="G203" s="453"/>
      <c r="H203" s="454"/>
      <c r="I203" s="454"/>
      <c r="J203" s="453"/>
      <c r="K203" s="455" t="s">
        <v>68</v>
      </c>
      <c r="L203" s="453" t="s">
        <v>461</v>
      </c>
      <c r="M203" s="453"/>
      <c r="N203" s="466" t="s">
        <v>65</v>
      </c>
      <c r="O203" s="457">
        <v>9.4</v>
      </c>
      <c r="P203" s="457">
        <v>9.39</v>
      </c>
      <c r="Q203" s="457">
        <v>8.9499999999999993</v>
      </c>
      <c r="R203" s="458">
        <v>9.23</v>
      </c>
      <c r="S203" s="459">
        <v>9.3589000000000002</v>
      </c>
      <c r="T203" s="469">
        <v>9.26</v>
      </c>
      <c r="U203" s="461"/>
      <c r="V203" s="462">
        <v>100</v>
      </c>
      <c r="W203" s="463"/>
      <c r="X203" s="567" t="s">
        <v>70</v>
      </c>
      <c r="Y203" s="465" t="s">
        <v>360</v>
      </c>
      <c r="Z203" s="466" t="s">
        <v>742</v>
      </c>
      <c r="AA203" s="462" t="s">
        <v>59</v>
      </c>
      <c r="AB203" s="454"/>
      <c r="AC203" s="450"/>
      <c r="AD203" s="450"/>
      <c r="AE203" s="450"/>
      <c r="AF203" s="450"/>
      <c r="AG203" s="450"/>
      <c r="AH203" s="466" t="s">
        <v>59</v>
      </c>
      <c r="AI203" s="467"/>
      <c r="AJ203" s="467"/>
      <c r="AK203" s="467"/>
      <c r="AL203" s="467"/>
      <c r="AM203" s="467"/>
      <c r="AN203" s="467"/>
      <c r="AO203" s="467"/>
      <c r="AP203" s="467"/>
      <c r="AQ203" s="467"/>
      <c r="AR203" s="467"/>
      <c r="AS203" s="467"/>
      <c r="AT203" s="467"/>
      <c r="AU203" s="467"/>
      <c r="AV203" s="467"/>
      <c r="AW203" s="467"/>
      <c r="AX203" s="467"/>
      <c r="AY203" s="468">
        <f>COUNTIF(AI203:AX203,"*OP*")</f>
        <v>0</v>
      </c>
      <c r="AZ203" s="466" t="s">
        <v>59</v>
      </c>
      <c r="BA203" s="450">
        <f>(COUNTIF(AI203:AK203,"*OK*")*3) + (COUNTIF(AL203:AN203,"*OK*")*2) + COUNTIF(AO203:AQ203,"*OK*")+COUNTIF(AZ203:AZ203,"SI")*0.5</f>
        <v>0</v>
      </c>
      <c r="BB203" s="450" t="str">
        <f>IF(BA203&lt;0.6,"Demasiado Riesgo",IF(BA203&lt;=5,"Riesgo Medio",IF(BA203&lt;=11,"Riesgo Bajo","Cliente Blindado")))</f>
        <v>Demasiado Riesgo</v>
      </c>
      <c r="BC203" s="450"/>
      <c r="BD203" s="450"/>
      <c r="BE203" s="450">
        <v>0</v>
      </c>
      <c r="BF203" s="450"/>
      <c r="BG203" s="450"/>
      <c r="BH203" s="450"/>
      <c r="BI203" s="450"/>
      <c r="BJ203" s="450"/>
      <c r="BK203" s="450"/>
      <c r="BL203" s="450"/>
      <c r="BM203" s="450"/>
      <c r="BN203" s="450"/>
      <c r="BO203" s="450"/>
      <c r="BP203" s="450"/>
      <c r="BQ203" s="450"/>
      <c r="BR203" s="450"/>
      <c r="BS203" s="450"/>
      <c r="BT203" s="450"/>
      <c r="BU203" s="450"/>
      <c r="BV203" s="450"/>
      <c r="BW203" s="450"/>
      <c r="BX203" s="450"/>
      <c r="BY203" s="450"/>
      <c r="BZ203" s="450"/>
      <c r="CA203" s="450">
        <f>COUNTIF(AI203:AW203,"*OK*")</f>
        <v>0</v>
      </c>
      <c r="CB203" s="450"/>
      <c r="CC203" s="450">
        <f>COUNTIF(AI203:AW203,"*OP*")</f>
        <v>0</v>
      </c>
    </row>
    <row r="204" spans="1:81" s="406" customFormat="1" ht="15" customHeight="1">
      <c r="A204" s="470"/>
      <c r="B204" s="471"/>
      <c r="C204" s="451">
        <f>T204</f>
        <v>10.8</v>
      </c>
      <c r="D204" s="471">
        <f>COUNTIF(AI204:AW204,"*OK*")</f>
        <v>0</v>
      </c>
      <c r="E204" s="471"/>
      <c r="F204" s="473" t="s">
        <v>743</v>
      </c>
      <c r="G204" s="473"/>
      <c r="H204" s="474"/>
      <c r="I204" s="474"/>
      <c r="J204" s="473"/>
      <c r="K204" s="475" t="s">
        <v>68</v>
      </c>
      <c r="L204" s="453" t="s">
        <v>461</v>
      </c>
      <c r="M204" s="473"/>
      <c r="N204" s="484" t="s">
        <v>65</v>
      </c>
      <c r="O204" s="477">
        <v>10.96</v>
      </c>
      <c r="P204" s="477">
        <v>10.95</v>
      </c>
      <c r="Q204" s="477">
        <v>10.44</v>
      </c>
      <c r="R204" s="478">
        <v>10.77</v>
      </c>
      <c r="S204" s="459">
        <v>10.918699999999999</v>
      </c>
      <c r="T204" s="487">
        <v>10.8</v>
      </c>
      <c r="U204" s="479"/>
      <c r="V204" s="480">
        <v>50</v>
      </c>
      <c r="W204" s="481"/>
      <c r="X204" s="572" t="s">
        <v>70</v>
      </c>
      <c r="Y204" s="483" t="s">
        <v>80</v>
      </c>
      <c r="Z204" s="484" t="s">
        <v>744</v>
      </c>
      <c r="AA204" s="480" t="s">
        <v>59</v>
      </c>
      <c r="AB204" s="474"/>
      <c r="AC204" s="471"/>
      <c r="AD204" s="471"/>
      <c r="AE204" s="471"/>
      <c r="AF204" s="471"/>
      <c r="AG204" s="471"/>
      <c r="AH204" s="494" t="s">
        <v>59</v>
      </c>
      <c r="AI204" s="467"/>
      <c r="AJ204" s="467"/>
      <c r="AK204" s="467"/>
      <c r="AL204" s="467"/>
      <c r="AM204" s="467"/>
      <c r="AN204" s="467"/>
      <c r="AO204" s="467"/>
      <c r="AP204" s="467"/>
      <c r="AQ204" s="467"/>
      <c r="AR204" s="467"/>
      <c r="AS204" s="467"/>
      <c r="AT204" s="467"/>
      <c r="AU204" s="467"/>
      <c r="AV204" s="467"/>
      <c r="AW204" s="467"/>
      <c r="AX204" s="467"/>
      <c r="AY204" s="486">
        <f>COUNTIF(AI204:AX204,"*OP*")</f>
        <v>0</v>
      </c>
      <c r="AZ204" s="485" t="s">
        <v>59</v>
      </c>
      <c r="BA204" s="471">
        <f>(COUNTIF(AI204:AK204,"*OK*")*3) + (COUNTIF(AL204:AN204,"*OK*")*2) + COUNTIF(AO204:AQ204,"*OK*")+COUNTIF(AZ204:AZ204,"SI")*0.5</f>
        <v>0</v>
      </c>
      <c r="BB204" s="471" t="str">
        <f>IF(BA204&lt;0.6,"Demasiado Riesgo",IF(BA204&lt;=5,"Riesgo Medio",IF(BA204&lt;=11,"Riesgo Bajo","Cliente Blindado")))</f>
        <v>Demasiado Riesgo</v>
      </c>
      <c r="BC204" s="471"/>
      <c r="BD204" s="471"/>
      <c r="BE204" s="471">
        <v>0</v>
      </c>
      <c r="BF204" s="471"/>
      <c r="BG204" s="471"/>
      <c r="BH204" s="471"/>
      <c r="BI204" s="471"/>
      <c r="BJ204" s="471"/>
      <c r="BK204" s="471"/>
      <c r="BL204" s="471"/>
      <c r="BM204" s="471"/>
      <c r="BN204" s="471"/>
      <c r="BO204" s="471"/>
      <c r="BP204" s="471"/>
      <c r="BQ204" s="471"/>
      <c r="BR204" s="471"/>
      <c r="BS204" s="471"/>
      <c r="BT204" s="471"/>
      <c r="BU204" s="471"/>
      <c r="BV204" s="471"/>
      <c r="BW204" s="471"/>
      <c r="BX204" s="471"/>
      <c r="BY204" s="471"/>
      <c r="BZ204" s="471"/>
      <c r="CA204" s="471">
        <f>COUNTIF(AI204:AW204,"*OK*")</f>
        <v>0</v>
      </c>
      <c r="CB204" s="471"/>
      <c r="CC204" s="471">
        <f>COUNTIF(AI204:AW204,"*OP*")</f>
        <v>0</v>
      </c>
    </row>
    <row r="205" spans="1:81" ht="15" customHeight="1">
      <c r="A205" s="449">
        <v>26588</v>
      </c>
      <c r="B205" s="450"/>
      <c r="C205" s="451">
        <f>T205</f>
        <v>12.44</v>
      </c>
      <c r="D205" s="450">
        <f>COUNTIF(AI205:AW205,"*OK*")</f>
        <v>0</v>
      </c>
      <c r="E205" s="450"/>
      <c r="F205" s="453" t="s">
        <v>745</v>
      </c>
      <c r="G205" s="453"/>
      <c r="H205" s="454"/>
      <c r="I205" s="454"/>
      <c r="J205" s="453"/>
      <c r="K205" s="552" t="s">
        <v>68</v>
      </c>
      <c r="L205" s="453" t="s">
        <v>461</v>
      </c>
      <c r="M205" s="453"/>
      <c r="N205" s="466" t="s">
        <v>65</v>
      </c>
      <c r="O205" s="457">
        <v>21.05</v>
      </c>
      <c r="P205" s="457">
        <v>21.03</v>
      </c>
      <c r="Q205" s="457">
        <v>16.03</v>
      </c>
      <c r="R205" s="458">
        <v>12.41</v>
      </c>
      <c r="S205" s="459">
        <v>12.5791</v>
      </c>
      <c r="T205" s="469">
        <v>12.44</v>
      </c>
      <c r="U205" s="461"/>
      <c r="V205" s="462">
        <v>50</v>
      </c>
      <c r="W205" s="463"/>
      <c r="X205" s="567" t="s">
        <v>70</v>
      </c>
      <c r="Y205" s="465" t="s">
        <v>71</v>
      </c>
      <c r="Z205" s="466" t="s">
        <v>76</v>
      </c>
      <c r="AA205" s="462" t="s">
        <v>59</v>
      </c>
      <c r="AB205" s="454"/>
      <c r="AC205" s="450"/>
      <c r="AD205" s="450"/>
      <c r="AE205" s="450"/>
      <c r="AF205" s="450"/>
      <c r="AG205" s="450"/>
      <c r="AH205" s="496" t="s">
        <v>59</v>
      </c>
      <c r="AI205" s="467"/>
      <c r="AJ205" s="467"/>
      <c r="AK205" s="566"/>
      <c r="AL205" s="467"/>
      <c r="AM205" s="467"/>
      <c r="AN205" s="467"/>
      <c r="AO205" s="467"/>
      <c r="AP205" s="467"/>
      <c r="AQ205" s="467"/>
      <c r="AR205" s="467"/>
      <c r="AS205" s="467"/>
      <c r="AT205" s="467"/>
      <c r="AU205" s="467"/>
      <c r="AV205" s="467"/>
      <c r="AW205" s="467"/>
      <c r="AX205" s="467"/>
      <c r="AY205" s="486">
        <f>COUNTIF(AI205:AX205,"*OP*")</f>
        <v>0</v>
      </c>
      <c r="AZ205" s="499" t="s">
        <v>59</v>
      </c>
      <c r="BA205" s="450">
        <f>(COUNTIF(AI205:AK205,"*OK*")*3) + (COUNTIF(AL205:AN205,"*OK*")*2) + COUNTIF(AO205:AQ205,"*OK*")+COUNTIF(AZ205:AZ205,"SI")*0.5</f>
        <v>0</v>
      </c>
      <c r="BB205" s="450" t="str">
        <f>IF(BA205&lt;0.6,"Demasiado Riesgo",IF(BA205&lt;=5,"Riesgo Medio",IF(BA205&lt;=11,"Riesgo Bajo","Cliente Blindado")))</f>
        <v>Demasiado Riesgo</v>
      </c>
      <c r="BC205" s="450"/>
      <c r="BD205" s="450"/>
      <c r="BE205" s="450">
        <v>0</v>
      </c>
      <c r="BF205" s="450"/>
      <c r="BG205" s="450"/>
      <c r="BH205" s="450"/>
      <c r="BI205" s="450"/>
      <c r="BJ205" s="450"/>
      <c r="BK205" s="450"/>
      <c r="BL205" s="450"/>
      <c r="BM205" s="450"/>
      <c r="BN205" s="450"/>
      <c r="BO205" s="450"/>
      <c r="BP205" s="450"/>
      <c r="BQ205" s="450"/>
      <c r="BR205" s="450"/>
      <c r="BS205" s="450"/>
      <c r="BT205" s="450"/>
      <c r="BU205" s="450"/>
      <c r="BV205" s="450"/>
      <c r="BW205" s="450"/>
      <c r="BX205" s="450"/>
      <c r="BY205" s="450"/>
      <c r="BZ205" s="450"/>
      <c r="CA205" s="450">
        <f>COUNTIF(AI205:AW205,"*OK*")</f>
        <v>0</v>
      </c>
      <c r="CB205" s="450"/>
      <c r="CC205" s="450">
        <f>COUNTIF(AI205:AW205,"*OP*")</f>
        <v>0</v>
      </c>
    </row>
    <row r="206" spans="1:81" ht="15" customHeight="1">
      <c r="A206" s="470">
        <v>26921</v>
      </c>
      <c r="B206" s="471"/>
      <c r="C206" s="451">
        <f>T206</f>
        <v>14.22</v>
      </c>
      <c r="D206" s="471">
        <f>COUNTIF(AI206:AW206,"*OK*")</f>
        <v>0</v>
      </c>
      <c r="E206" s="471"/>
      <c r="F206" s="473" t="s">
        <v>746</v>
      </c>
      <c r="G206" s="473"/>
      <c r="H206" s="474"/>
      <c r="I206" s="474"/>
      <c r="J206" s="473"/>
      <c r="K206" s="556" t="s">
        <v>68</v>
      </c>
      <c r="L206" s="453" t="s">
        <v>461</v>
      </c>
      <c r="M206" s="473"/>
      <c r="N206" s="484" t="s">
        <v>65</v>
      </c>
      <c r="O206" s="477">
        <v>14.43</v>
      </c>
      <c r="P206" s="477">
        <v>14.42</v>
      </c>
      <c r="Q206" s="477">
        <v>13.74</v>
      </c>
      <c r="R206" s="478">
        <v>14.18</v>
      </c>
      <c r="S206" s="459">
        <v>14.3758</v>
      </c>
      <c r="T206" s="487">
        <v>14.22</v>
      </c>
      <c r="U206" s="479"/>
      <c r="V206" s="480">
        <v>50</v>
      </c>
      <c r="W206" s="481"/>
      <c r="X206" s="572" t="s">
        <v>70</v>
      </c>
      <c r="Y206" s="483" t="s">
        <v>71</v>
      </c>
      <c r="Z206" s="484" t="s">
        <v>747</v>
      </c>
      <c r="AA206" s="480" t="s">
        <v>59</v>
      </c>
      <c r="AB206" s="474"/>
      <c r="AC206" s="471"/>
      <c r="AD206" s="471"/>
      <c r="AE206" s="471"/>
      <c r="AF206" s="471"/>
      <c r="AG206" s="471"/>
      <c r="AH206" s="494" t="s">
        <v>59</v>
      </c>
      <c r="AI206" s="467"/>
      <c r="AJ206" s="467"/>
      <c r="AK206" s="467"/>
      <c r="AL206" s="467"/>
      <c r="AM206" s="467"/>
      <c r="AN206" s="467"/>
      <c r="AO206" s="467"/>
      <c r="AP206" s="467"/>
      <c r="AQ206" s="467"/>
      <c r="AR206" s="467"/>
      <c r="AS206" s="467"/>
      <c r="AT206" s="467"/>
      <c r="AU206" s="467"/>
      <c r="AV206" s="467"/>
      <c r="AW206" s="467"/>
      <c r="AX206" s="467"/>
      <c r="AY206" s="486">
        <f>COUNTIF(AI206:AX206,"*OP*")</f>
        <v>0</v>
      </c>
      <c r="AZ206" s="485" t="s">
        <v>59</v>
      </c>
      <c r="BA206" s="471">
        <f>(COUNTIF(AI206:AK206,"*OK*")*3) + (COUNTIF(AL206:AN206,"*OK*")*2) + COUNTIF(AO206:AQ206,"*OK*")+COUNTIF(AZ206:AZ206,"SI")*0.5</f>
        <v>0</v>
      </c>
      <c r="BB206" s="471" t="str">
        <f>IF(BA206&lt;0.6,"Demasiado Riesgo",IF(BA206&lt;=5,"Riesgo Medio",IF(BA206&lt;=11,"Riesgo Bajo","Cliente Blindado")))</f>
        <v>Demasiado Riesgo</v>
      </c>
      <c r="BC206" s="471"/>
      <c r="BD206" s="471"/>
      <c r="BE206" s="471">
        <v>0</v>
      </c>
      <c r="BF206" s="471"/>
      <c r="BG206" s="471"/>
      <c r="BH206" s="471"/>
      <c r="BI206" s="471"/>
      <c r="BJ206" s="471"/>
      <c r="BK206" s="471"/>
      <c r="BL206" s="471"/>
      <c r="BM206" s="471"/>
      <c r="BN206" s="471"/>
      <c r="BO206" s="471"/>
      <c r="BP206" s="471"/>
      <c r="BQ206" s="471"/>
      <c r="BR206" s="471"/>
      <c r="BS206" s="471"/>
      <c r="BT206" s="471"/>
      <c r="BU206" s="471"/>
      <c r="BV206" s="471"/>
      <c r="BW206" s="471"/>
      <c r="BX206" s="471"/>
      <c r="BY206" s="471"/>
      <c r="BZ206" s="471"/>
      <c r="CA206" s="471">
        <f>COUNTIF(AI206:AW206,"*OK*")</f>
        <v>0</v>
      </c>
      <c r="CB206" s="471"/>
      <c r="CC206" s="471">
        <f>COUNTIF(AI206:AW206,"*OP*")</f>
        <v>0</v>
      </c>
    </row>
    <row r="207" spans="1:81" s="406" customFormat="1" ht="15" customHeight="1">
      <c r="A207" s="449">
        <v>31742</v>
      </c>
      <c r="B207" s="450"/>
      <c r="C207" s="451">
        <f>T207</f>
        <v>15.11</v>
      </c>
      <c r="D207" s="450">
        <f>COUNTIF(AI207:AW207,"*OK*")</f>
        <v>0</v>
      </c>
      <c r="E207" s="450"/>
      <c r="F207" s="453" t="s">
        <v>748</v>
      </c>
      <c r="G207" s="453"/>
      <c r="H207" s="454"/>
      <c r="I207" s="454"/>
      <c r="J207" s="453"/>
      <c r="K207" s="552" t="s">
        <v>68</v>
      </c>
      <c r="L207" s="453" t="s">
        <v>461</v>
      </c>
      <c r="M207" s="453"/>
      <c r="N207" s="466" t="s">
        <v>156</v>
      </c>
      <c r="O207" s="457">
        <v>15.34</v>
      </c>
      <c r="P207" s="457">
        <v>15.32</v>
      </c>
      <c r="Q207" s="457">
        <v>14.6</v>
      </c>
      <c r="R207" s="458">
        <v>15.07</v>
      </c>
      <c r="S207" s="459">
        <v>15.2758</v>
      </c>
      <c r="T207" s="469">
        <v>15.11</v>
      </c>
      <c r="U207" s="461"/>
      <c r="V207" s="462">
        <v>100</v>
      </c>
      <c r="W207" s="463"/>
      <c r="X207" s="567" t="s">
        <v>70</v>
      </c>
      <c r="Y207" s="465" t="s">
        <v>80</v>
      </c>
      <c r="Z207" s="466" t="s">
        <v>749</v>
      </c>
      <c r="AA207" s="462" t="s">
        <v>59</v>
      </c>
      <c r="AB207" s="454"/>
      <c r="AC207" s="450"/>
      <c r="AD207" s="450"/>
      <c r="AE207" s="450"/>
      <c r="AF207" s="450"/>
      <c r="AG207" s="450"/>
      <c r="AH207" s="496" t="s">
        <v>59</v>
      </c>
      <c r="AI207" s="467"/>
      <c r="AJ207" s="467"/>
      <c r="AK207" s="467"/>
      <c r="AL207" s="467"/>
      <c r="AM207" s="467"/>
      <c r="AN207" s="467"/>
      <c r="AO207" s="467"/>
      <c r="AP207" s="467"/>
      <c r="AQ207" s="467"/>
      <c r="AR207" s="467"/>
      <c r="AS207" s="467"/>
      <c r="AT207" s="467"/>
      <c r="AU207" s="467"/>
      <c r="AV207" s="467"/>
      <c r="AW207" s="467"/>
      <c r="AX207" s="467"/>
      <c r="AY207" s="486">
        <f>COUNTIF(AI207:AX207,"*OP*")</f>
        <v>0</v>
      </c>
      <c r="AZ207" s="499" t="s">
        <v>59</v>
      </c>
      <c r="BA207" s="450">
        <f>(COUNTIF(AI207:AK207,"*OK*")*3) + (COUNTIF(AL207:AN207,"*OK*")*2) + COUNTIF(AO207:AQ207,"*OK*")+COUNTIF(AZ207:AZ207,"SI")*0.5</f>
        <v>0</v>
      </c>
      <c r="BB207" s="450" t="str">
        <f>IF(BA207&lt;0.6,"Demasiado Riesgo",IF(BA207&lt;=5,"Riesgo Medio",IF(BA207&lt;=11,"Riesgo Bajo","Cliente Blindado")))</f>
        <v>Demasiado Riesgo</v>
      </c>
      <c r="BC207" s="450"/>
      <c r="BD207" s="450"/>
      <c r="BE207" s="450">
        <v>0</v>
      </c>
      <c r="BF207" s="450"/>
      <c r="BG207" s="450"/>
      <c r="BH207" s="450"/>
      <c r="BI207" s="450"/>
      <c r="BJ207" s="450"/>
      <c r="BK207" s="450"/>
      <c r="BL207" s="450"/>
      <c r="BM207" s="450"/>
      <c r="BN207" s="450"/>
      <c r="BO207" s="450"/>
      <c r="BP207" s="450"/>
      <c r="BQ207" s="450"/>
      <c r="BR207" s="450"/>
      <c r="BS207" s="450"/>
      <c r="BT207" s="450"/>
      <c r="BU207" s="450"/>
      <c r="BV207" s="450"/>
      <c r="BW207" s="450"/>
      <c r="BX207" s="450"/>
      <c r="BY207" s="450"/>
      <c r="BZ207" s="450"/>
      <c r="CA207" s="450">
        <f>COUNTIF(AI207:AW207,"*OK*")</f>
        <v>0</v>
      </c>
      <c r="CB207" s="450"/>
      <c r="CC207" s="450">
        <f>COUNTIF(AI207:AW207,"*OP*")</f>
        <v>0</v>
      </c>
    </row>
    <row r="208" spans="1:81" ht="15" customHeight="1">
      <c r="A208" s="470">
        <v>35715</v>
      </c>
      <c r="B208" s="471"/>
      <c r="C208" s="451">
        <f>T208</f>
        <v>17.14</v>
      </c>
      <c r="D208" s="471">
        <f>COUNTIF(AI208:AW208,"*OK*")</f>
        <v>0</v>
      </c>
      <c r="E208" s="471"/>
      <c r="F208" s="473" t="s">
        <v>750</v>
      </c>
      <c r="G208" s="473"/>
      <c r="H208" s="474"/>
      <c r="I208" s="474"/>
      <c r="J208" s="473"/>
      <c r="K208" s="475" t="s">
        <v>68</v>
      </c>
      <c r="L208" s="453" t="s">
        <v>461</v>
      </c>
      <c r="M208" s="473"/>
      <c r="N208" s="484" t="s">
        <v>156</v>
      </c>
      <c r="O208" s="477">
        <v>17.399999999999999</v>
      </c>
      <c r="P208" s="477">
        <v>17.39</v>
      </c>
      <c r="Q208" s="477">
        <v>16.57</v>
      </c>
      <c r="R208" s="478">
        <v>17.100000000000001</v>
      </c>
      <c r="S208" s="459">
        <v>17.331299999999999</v>
      </c>
      <c r="T208" s="487">
        <v>17.14</v>
      </c>
      <c r="U208" s="479"/>
      <c r="V208" s="480">
        <v>100</v>
      </c>
      <c r="W208" s="481"/>
      <c r="X208" s="572" t="s">
        <v>70</v>
      </c>
      <c r="Y208" s="483" t="s">
        <v>161</v>
      </c>
      <c r="Z208" s="484" t="s">
        <v>751</v>
      </c>
      <c r="AA208" s="480" t="s">
        <v>71</v>
      </c>
      <c r="AB208" s="474"/>
      <c r="AC208" s="471"/>
      <c r="AD208" s="471"/>
      <c r="AE208" s="471"/>
      <c r="AF208" s="471"/>
      <c r="AG208" s="471"/>
      <c r="AH208" s="494" t="s">
        <v>59</v>
      </c>
      <c r="AI208" s="467"/>
      <c r="AJ208" s="467"/>
      <c r="AK208" s="467"/>
      <c r="AL208" s="467"/>
      <c r="AM208" s="467"/>
      <c r="AN208" s="467"/>
      <c r="AO208" s="467"/>
      <c r="AP208" s="467"/>
      <c r="AQ208" s="467"/>
      <c r="AR208" s="467"/>
      <c r="AS208" s="467"/>
      <c r="AT208" s="467"/>
      <c r="AU208" s="467"/>
      <c r="AV208" s="467"/>
      <c r="AW208" s="467"/>
      <c r="AX208" s="467"/>
      <c r="AY208" s="486">
        <f>COUNTIF(AI208:AX208,"*OP*")</f>
        <v>0</v>
      </c>
      <c r="AZ208" s="485" t="s">
        <v>59</v>
      </c>
      <c r="BA208" s="471">
        <f>(COUNTIF(AI208:AK208,"*OK*")*3) + (COUNTIF(AL208:AN208,"*OK*")*2) + COUNTIF(AO208:AQ208,"*OK*")+COUNTIF(AZ208:AZ208,"SI")*0.5</f>
        <v>0</v>
      </c>
      <c r="BB208" s="471" t="str">
        <f>IF(BA208&lt;0.6,"Demasiado Riesgo",IF(BA208&lt;=5,"Riesgo Medio",IF(BA208&lt;=11,"Riesgo Bajo","Cliente Blindado")))</f>
        <v>Demasiado Riesgo</v>
      </c>
      <c r="BC208" s="471"/>
      <c r="BD208" s="471"/>
      <c r="BE208" s="471">
        <v>0</v>
      </c>
      <c r="BF208" s="471"/>
      <c r="BG208" s="471"/>
      <c r="BH208" s="471"/>
      <c r="BI208" s="471"/>
      <c r="BJ208" s="471"/>
      <c r="BK208" s="471"/>
      <c r="BL208" s="471"/>
      <c r="BM208" s="471"/>
      <c r="BN208" s="471"/>
      <c r="BO208" s="471"/>
      <c r="BP208" s="471"/>
      <c r="BQ208" s="471"/>
      <c r="BR208" s="471"/>
      <c r="BS208" s="471"/>
      <c r="BT208" s="471"/>
      <c r="BU208" s="471"/>
      <c r="BV208" s="471"/>
      <c r="BW208" s="471"/>
      <c r="BX208" s="471"/>
      <c r="BY208" s="471"/>
      <c r="BZ208" s="471"/>
      <c r="CA208" s="471">
        <f>COUNTIF(AI208:AW208,"*OK*")</f>
        <v>0</v>
      </c>
      <c r="CB208" s="471"/>
      <c r="CC208" s="471">
        <f>COUNTIF(AI208:AW208,"*OP*")</f>
        <v>0</v>
      </c>
    </row>
    <row r="209" spans="1:81" ht="15" customHeight="1">
      <c r="A209" s="470">
        <v>21316</v>
      </c>
      <c r="B209" s="471"/>
      <c r="C209" s="451">
        <f>T209</f>
        <v>17.5</v>
      </c>
      <c r="D209" s="471">
        <f>COUNTIF(AI209:AW209,"*OK*")</f>
        <v>0</v>
      </c>
      <c r="E209" s="471"/>
      <c r="F209" s="473" t="s">
        <v>752</v>
      </c>
      <c r="G209" s="473"/>
      <c r="H209" s="474"/>
      <c r="I209" s="474"/>
      <c r="J209" s="473"/>
      <c r="K209" s="556" t="s">
        <v>68</v>
      </c>
      <c r="L209" s="453" t="s">
        <v>461</v>
      </c>
      <c r="M209" s="473"/>
      <c r="N209" s="484" t="s">
        <v>65</v>
      </c>
      <c r="O209" s="477">
        <v>17.77</v>
      </c>
      <c r="P209" s="477">
        <v>17.75</v>
      </c>
      <c r="Q209" s="477">
        <v>16.920000000000002</v>
      </c>
      <c r="R209" s="478">
        <v>17.46</v>
      </c>
      <c r="S209" s="459">
        <v>17.698699999999999</v>
      </c>
      <c r="T209" s="487">
        <v>17.5</v>
      </c>
      <c r="U209" s="479"/>
      <c r="V209" s="480">
        <v>50</v>
      </c>
      <c r="W209" s="481"/>
      <c r="X209" s="572" t="s">
        <v>70</v>
      </c>
      <c r="Y209" s="483" t="s">
        <v>71</v>
      </c>
      <c r="Z209" s="484" t="s">
        <v>753</v>
      </c>
      <c r="AA209" s="480" t="s">
        <v>59</v>
      </c>
      <c r="AB209" s="474"/>
      <c r="AC209" s="471"/>
      <c r="AD209" s="471"/>
      <c r="AE209" s="471"/>
      <c r="AF209" s="471"/>
      <c r="AG209" s="471"/>
      <c r="AH209" s="494" t="s">
        <v>59</v>
      </c>
      <c r="AI209" s="467"/>
      <c r="AJ209" s="467"/>
      <c r="AK209" s="467"/>
      <c r="AL209" s="467"/>
      <c r="AM209" s="467"/>
      <c r="AN209" s="467"/>
      <c r="AO209" s="467"/>
      <c r="AP209" s="467"/>
      <c r="AQ209" s="467"/>
      <c r="AR209" s="467"/>
      <c r="AS209" s="467"/>
      <c r="AT209" s="467"/>
      <c r="AU209" s="467"/>
      <c r="AV209" s="467"/>
      <c r="AW209" s="467"/>
      <c r="AX209" s="467"/>
      <c r="AY209" s="486">
        <f>COUNTIF(AI209:AX209,"*OP*")</f>
        <v>0</v>
      </c>
      <c r="AZ209" s="485" t="s">
        <v>59</v>
      </c>
      <c r="BA209" s="471">
        <f>(COUNTIF(AI209:AK209,"*OK*")*3) + (COUNTIF(AL209:AN209,"*OK*")*2) + COUNTIF(AO209:AQ209,"*OK*")+COUNTIF(AZ209:AZ209,"SI")*0.5</f>
        <v>0</v>
      </c>
      <c r="BB209" s="471" t="str">
        <f>IF(BA209&lt;0.6,"Demasiado Riesgo",IF(BA209&lt;=5,"Riesgo Medio",IF(BA209&lt;=11,"Riesgo Bajo","Cliente Blindado")))</f>
        <v>Demasiado Riesgo</v>
      </c>
      <c r="BC209" s="471"/>
      <c r="BD209" s="471"/>
      <c r="BE209" s="471">
        <v>0</v>
      </c>
      <c r="BF209" s="471"/>
      <c r="BG209" s="471"/>
      <c r="BH209" s="471"/>
      <c r="BI209" s="471"/>
      <c r="BJ209" s="471"/>
      <c r="BK209" s="471"/>
      <c r="BL209" s="471"/>
      <c r="BM209" s="471"/>
      <c r="BN209" s="471"/>
      <c r="BO209" s="471"/>
      <c r="BP209" s="471"/>
      <c r="BQ209" s="471"/>
      <c r="BR209" s="471"/>
      <c r="BS209" s="471"/>
      <c r="BT209" s="471"/>
      <c r="BU209" s="471"/>
      <c r="BV209" s="471"/>
      <c r="BW209" s="471"/>
      <c r="BX209" s="471"/>
      <c r="BY209" s="471"/>
      <c r="BZ209" s="471"/>
      <c r="CA209" s="471">
        <f>COUNTIF(AI209:AW209,"*OK*")</f>
        <v>0</v>
      </c>
      <c r="CB209" s="471"/>
      <c r="CC209" s="471">
        <f>COUNTIF(AI209:AW209,"*OP*")</f>
        <v>0</v>
      </c>
    </row>
    <row r="210" spans="1:81" ht="15" customHeight="1">
      <c r="A210" s="470">
        <v>24144</v>
      </c>
      <c r="B210" s="471"/>
      <c r="C210" s="451">
        <f>T210</f>
        <v>18.52</v>
      </c>
      <c r="D210" s="471">
        <f>COUNTIF(AI210:AW210,"*OK*")</f>
        <v>0</v>
      </c>
      <c r="E210" s="471"/>
      <c r="F210" s="473" t="s">
        <v>754</v>
      </c>
      <c r="G210" s="473"/>
      <c r="H210" s="474"/>
      <c r="I210" s="474"/>
      <c r="J210" s="473"/>
      <c r="K210" s="556" t="s">
        <v>68</v>
      </c>
      <c r="L210" s="453" t="s">
        <v>461</v>
      </c>
      <c r="M210" s="473"/>
      <c r="N210" s="484" t="s">
        <v>61</v>
      </c>
      <c r="O210" s="477">
        <v>18.8</v>
      </c>
      <c r="P210" s="477">
        <v>18.79</v>
      </c>
      <c r="Q210" s="477">
        <v>17.899999999999999</v>
      </c>
      <c r="R210" s="478">
        <v>18.48</v>
      </c>
      <c r="S210" s="459">
        <v>18.729399999999998</v>
      </c>
      <c r="T210" s="487">
        <v>18.52</v>
      </c>
      <c r="U210" s="479"/>
      <c r="V210" s="480">
        <v>50</v>
      </c>
      <c r="W210" s="481"/>
      <c r="X210" s="572" t="s">
        <v>70</v>
      </c>
      <c r="Y210" s="483" t="s">
        <v>89</v>
      </c>
      <c r="Z210" s="484" t="s">
        <v>755</v>
      </c>
      <c r="AA210" s="480" t="s">
        <v>59</v>
      </c>
      <c r="AB210" s="474"/>
      <c r="AC210" s="471"/>
      <c r="AD210" s="471"/>
      <c r="AE210" s="471"/>
      <c r="AF210" s="471"/>
      <c r="AG210" s="471"/>
      <c r="AH210" s="494" t="s">
        <v>59</v>
      </c>
      <c r="AI210" s="467"/>
      <c r="AJ210" s="467"/>
      <c r="AK210" s="467"/>
      <c r="AL210" s="467"/>
      <c r="AM210" s="467"/>
      <c r="AN210" s="467"/>
      <c r="AO210" s="467"/>
      <c r="AP210" s="467"/>
      <c r="AQ210" s="467"/>
      <c r="AR210" s="467"/>
      <c r="AS210" s="467"/>
      <c r="AT210" s="467"/>
      <c r="AU210" s="467"/>
      <c r="AV210" s="467"/>
      <c r="AW210" s="467"/>
      <c r="AX210" s="467"/>
      <c r="AY210" s="486">
        <f>COUNTIF(AI210:AX210,"*OP*")</f>
        <v>0</v>
      </c>
      <c r="AZ210" s="485" t="s">
        <v>59</v>
      </c>
      <c r="BA210" s="471">
        <f>(COUNTIF(AI210:AK210,"*OK*")*3) + (COUNTIF(AL210:AN210,"*OK*")*2) + COUNTIF(AO210:AQ210,"*OK*")+COUNTIF(AZ210:AZ210,"SI")*0.5</f>
        <v>0</v>
      </c>
      <c r="BB210" s="471" t="str">
        <f>IF(BA210&lt;0.6,"Demasiado Riesgo",IF(BA210&lt;=5,"Riesgo Medio",IF(BA210&lt;=11,"Riesgo Bajo","Cliente Blindado")))</f>
        <v>Demasiado Riesgo</v>
      </c>
      <c r="BC210" s="471"/>
      <c r="BD210" s="471"/>
      <c r="BE210" s="471">
        <v>0</v>
      </c>
      <c r="BF210" s="471"/>
      <c r="BG210" s="471"/>
      <c r="BH210" s="471"/>
      <c r="BI210" s="471"/>
      <c r="BJ210" s="471"/>
      <c r="BK210" s="471"/>
      <c r="BL210" s="471"/>
      <c r="BM210" s="471"/>
      <c r="BN210" s="471"/>
      <c r="BO210" s="471"/>
      <c r="BP210" s="471"/>
      <c r="BQ210" s="471"/>
      <c r="BR210" s="471"/>
      <c r="BS210" s="471"/>
      <c r="BT210" s="471"/>
      <c r="BU210" s="471"/>
      <c r="BV210" s="471"/>
      <c r="BW210" s="471"/>
      <c r="BX210" s="471"/>
      <c r="BY210" s="471"/>
      <c r="BZ210" s="471"/>
      <c r="CA210" s="471">
        <f>COUNTIF(AI210:AW210,"*OK*")</f>
        <v>0</v>
      </c>
      <c r="CB210" s="471"/>
      <c r="CC210" s="471">
        <f>COUNTIF(AI210:AW210,"*OP*")</f>
        <v>0</v>
      </c>
    </row>
    <row r="211" spans="1:81" ht="15" customHeight="1">
      <c r="A211" s="449"/>
      <c r="B211" s="450"/>
      <c r="C211" s="451">
        <f>T211</f>
        <v>20</v>
      </c>
      <c r="D211" s="450">
        <f>COUNTIF(AI211:AW211,"*OK*")</f>
        <v>0</v>
      </c>
      <c r="E211" s="450"/>
      <c r="F211" s="453" t="s">
        <v>756</v>
      </c>
      <c r="G211" s="453"/>
      <c r="H211" s="454"/>
      <c r="I211" s="454"/>
      <c r="J211" s="453"/>
      <c r="K211" s="455" t="s">
        <v>68</v>
      </c>
      <c r="L211" s="453" t="s">
        <v>461</v>
      </c>
      <c r="M211" s="453"/>
      <c r="N211" s="456" t="s">
        <v>65</v>
      </c>
      <c r="O211" s="457">
        <v>20.3</v>
      </c>
      <c r="P211" s="457">
        <v>21.09</v>
      </c>
      <c r="Q211" s="457">
        <v>20.100000000000001</v>
      </c>
      <c r="R211" s="458">
        <v>19.95</v>
      </c>
      <c r="S211" s="459">
        <v>20.219899999999999</v>
      </c>
      <c r="T211" s="469">
        <v>20</v>
      </c>
      <c r="U211" s="461"/>
      <c r="V211" s="462">
        <v>50</v>
      </c>
      <c r="W211" s="463"/>
      <c r="X211" s="567" t="s">
        <v>70</v>
      </c>
      <c r="Y211" s="465" t="s">
        <v>139</v>
      </c>
      <c r="Z211" s="466" t="s">
        <v>757</v>
      </c>
      <c r="AA211" s="462" t="s">
        <v>59</v>
      </c>
      <c r="AB211" s="454"/>
      <c r="AC211" s="450"/>
      <c r="AD211" s="450"/>
      <c r="AE211" s="450"/>
      <c r="AF211" s="450"/>
      <c r="AG211" s="450"/>
      <c r="AH211" s="496" t="s">
        <v>59</v>
      </c>
      <c r="AI211" s="467"/>
      <c r="AJ211" s="467"/>
      <c r="AK211" s="467"/>
      <c r="AL211" s="467"/>
      <c r="AM211" s="467"/>
      <c r="AN211" s="467"/>
      <c r="AO211" s="467"/>
      <c r="AP211" s="467"/>
      <c r="AQ211" s="467"/>
      <c r="AR211" s="467"/>
      <c r="AS211" s="467"/>
      <c r="AT211" s="467"/>
      <c r="AU211" s="467"/>
      <c r="AV211" s="467"/>
      <c r="AW211" s="467"/>
      <c r="AX211" s="467"/>
      <c r="AY211" s="486">
        <f>COUNTIF(AI211:AX211,"*OP*")</f>
        <v>0</v>
      </c>
      <c r="AZ211" s="499" t="s">
        <v>59</v>
      </c>
      <c r="BA211" s="450">
        <f>(COUNTIF(AI211:AK211,"*OK*")*3) + (COUNTIF(AL211:AN211,"*OK*")*2) + COUNTIF(AO211:AQ211,"*OK*")+COUNTIF(AZ211:AZ211,"SI")*0.5</f>
        <v>0</v>
      </c>
      <c r="BB211" s="450" t="str">
        <f>IF(BA211&lt;0.6,"Demasiado Riesgo",IF(BA211&lt;=5,"Riesgo Medio",IF(BA211&lt;=11,"Riesgo Bajo","Cliente Blindado")))</f>
        <v>Demasiado Riesgo</v>
      </c>
      <c r="BC211" s="450"/>
      <c r="BD211" s="450"/>
      <c r="BE211" s="450">
        <v>0</v>
      </c>
      <c r="BF211" s="450"/>
      <c r="BG211" s="450"/>
      <c r="BH211" s="450"/>
      <c r="BI211" s="450"/>
      <c r="BJ211" s="450"/>
      <c r="BK211" s="450"/>
      <c r="BL211" s="450"/>
      <c r="BM211" s="450"/>
      <c r="BN211" s="450"/>
      <c r="BO211" s="450"/>
      <c r="BP211" s="450"/>
      <c r="BQ211" s="450"/>
      <c r="BR211" s="450"/>
      <c r="BS211" s="450"/>
      <c r="BT211" s="450"/>
      <c r="BU211" s="450"/>
      <c r="BV211" s="450"/>
      <c r="BW211" s="450"/>
      <c r="BX211" s="450"/>
      <c r="BY211" s="450"/>
      <c r="BZ211" s="450"/>
      <c r="CA211" s="450">
        <f>COUNTIF(AI211:AW211,"*OK*")</f>
        <v>0</v>
      </c>
      <c r="CB211" s="450"/>
      <c r="CC211" s="450">
        <f>COUNTIF(AI211:AW211,"*OP*")</f>
        <v>0</v>
      </c>
    </row>
    <row r="212" spans="1:81" ht="15" customHeight="1">
      <c r="A212" s="470"/>
      <c r="B212" s="471"/>
      <c r="C212" s="451">
        <f>T212</f>
        <v>20.75</v>
      </c>
      <c r="D212" s="471">
        <f>COUNTIF(AI212:AW212,"*OK*")</f>
        <v>0</v>
      </c>
      <c r="E212" s="471"/>
      <c r="F212" s="473" t="s">
        <v>758</v>
      </c>
      <c r="G212" s="473"/>
      <c r="H212" s="474"/>
      <c r="I212" s="474"/>
      <c r="J212" s="473"/>
      <c r="K212" s="556" t="s">
        <v>68</v>
      </c>
      <c r="L212" s="453" t="s">
        <v>461</v>
      </c>
      <c r="M212" s="473"/>
      <c r="N212" s="484" t="s">
        <v>65</v>
      </c>
      <c r="O212" s="477">
        <v>21.06</v>
      </c>
      <c r="P212" s="477">
        <v>21.04</v>
      </c>
      <c r="Q212" s="477">
        <v>20.05</v>
      </c>
      <c r="R212" s="478">
        <v>20.7</v>
      </c>
      <c r="S212" s="459">
        <v>20.977799999999998</v>
      </c>
      <c r="T212" s="487">
        <v>20.75</v>
      </c>
      <c r="U212" s="479"/>
      <c r="V212" s="480">
        <v>50</v>
      </c>
      <c r="W212" s="481"/>
      <c r="X212" s="483" t="s">
        <v>251</v>
      </c>
      <c r="Y212" s="483" t="s">
        <v>80</v>
      </c>
      <c r="Z212" s="484" t="s">
        <v>759</v>
      </c>
      <c r="AA212" s="480" t="s">
        <v>59</v>
      </c>
      <c r="AB212" s="474"/>
      <c r="AC212" s="471"/>
      <c r="AD212" s="471"/>
      <c r="AE212" s="471"/>
      <c r="AF212" s="471"/>
      <c r="AG212" s="471"/>
      <c r="AH212" s="494" t="s">
        <v>59</v>
      </c>
      <c r="AI212" s="467"/>
      <c r="AJ212" s="467"/>
      <c r="AK212" s="467"/>
      <c r="AL212" s="467"/>
      <c r="AM212" s="467"/>
      <c r="AN212" s="467"/>
      <c r="AO212" s="467"/>
      <c r="AP212" s="467"/>
      <c r="AQ212" s="467"/>
      <c r="AR212" s="467"/>
      <c r="AS212" s="467"/>
      <c r="AT212" s="467"/>
      <c r="AU212" s="467"/>
      <c r="AV212" s="467"/>
      <c r="AW212" s="467"/>
      <c r="AX212" s="467"/>
      <c r="AY212" s="486">
        <f>COUNTIF(AI212:AX212,"*OP*")</f>
        <v>0</v>
      </c>
      <c r="AZ212" s="485" t="s">
        <v>59</v>
      </c>
      <c r="BA212" s="471">
        <f>(COUNTIF(AI212:AK212,"*OK*")*3) + (COUNTIF(AL212:AN212,"*OK*")*2) + COUNTIF(AO212:AQ212,"*OK*")+COUNTIF(AZ212:AZ212,"SI")*0.5</f>
        <v>0</v>
      </c>
      <c r="BB212" s="471" t="str">
        <f>IF(BA212&lt;0.6,"Demasiado Riesgo",IF(BA212&lt;=5,"Riesgo Medio",IF(BA212&lt;=11,"Riesgo Bajo","Cliente Blindado")))</f>
        <v>Demasiado Riesgo</v>
      </c>
      <c r="BC212" s="471"/>
      <c r="BD212" s="471"/>
      <c r="BE212" s="471">
        <v>0</v>
      </c>
      <c r="BF212" s="471"/>
      <c r="BG212" s="471"/>
      <c r="BH212" s="471"/>
      <c r="BI212" s="471"/>
      <c r="BJ212" s="471"/>
      <c r="BK212" s="471"/>
      <c r="BL212" s="471"/>
      <c r="BM212" s="471"/>
      <c r="BN212" s="471"/>
      <c r="BO212" s="471"/>
      <c r="BP212" s="471"/>
      <c r="BQ212" s="471"/>
      <c r="BR212" s="471"/>
      <c r="BS212" s="471"/>
      <c r="BT212" s="471"/>
      <c r="BU212" s="471"/>
      <c r="BV212" s="471"/>
      <c r="BW212" s="471"/>
      <c r="BX212" s="471"/>
      <c r="BY212" s="471"/>
      <c r="BZ212" s="471"/>
      <c r="CA212" s="471">
        <f>COUNTIF(AI212:AW212,"*OK*")</f>
        <v>0</v>
      </c>
      <c r="CB212" s="471"/>
      <c r="CC212" s="471">
        <f>COUNTIF(AI212:AW212,"*OP*")</f>
        <v>0</v>
      </c>
    </row>
    <row r="213" spans="1:81" ht="15" customHeight="1">
      <c r="A213" s="449">
        <v>21861</v>
      </c>
      <c r="B213" s="450"/>
      <c r="C213" s="451">
        <f>T213</f>
        <v>22.75</v>
      </c>
      <c r="D213" s="450">
        <f>COUNTIF(AI213:AW213,"*OK*")</f>
        <v>0</v>
      </c>
      <c r="E213" s="450"/>
      <c r="F213" s="453" t="s">
        <v>760</v>
      </c>
      <c r="G213" s="453"/>
      <c r="H213" s="454"/>
      <c r="I213" s="454"/>
      <c r="J213" s="453"/>
      <c r="K213" s="552" t="s">
        <v>68</v>
      </c>
      <c r="L213" s="453" t="s">
        <v>461</v>
      </c>
      <c r="M213" s="453"/>
      <c r="N213" s="466" t="s">
        <v>191</v>
      </c>
      <c r="O213" s="457">
        <v>25.66</v>
      </c>
      <c r="P213" s="457">
        <v>25.64</v>
      </c>
      <c r="Q213" s="457">
        <v>24.43</v>
      </c>
      <c r="R213" s="458">
        <v>22.7</v>
      </c>
      <c r="S213" s="459">
        <v>23.002099999999999</v>
      </c>
      <c r="T213" s="469">
        <v>22.75</v>
      </c>
      <c r="U213" s="461"/>
      <c r="V213" s="462">
        <v>100</v>
      </c>
      <c r="W213" s="463"/>
      <c r="X213" s="464" t="s">
        <v>181</v>
      </c>
      <c r="Y213" s="465" t="s">
        <v>125</v>
      </c>
      <c r="Z213" s="466" t="s">
        <v>761</v>
      </c>
      <c r="AA213" s="462" t="s">
        <v>59</v>
      </c>
      <c r="AB213" s="454"/>
      <c r="AC213" s="450"/>
      <c r="AD213" s="450"/>
      <c r="AE213" s="450"/>
      <c r="AF213" s="450"/>
      <c r="AG213" s="450"/>
      <c r="AH213" s="496" t="s">
        <v>59</v>
      </c>
      <c r="AI213" s="467"/>
      <c r="AJ213" s="467"/>
      <c r="AK213" s="467"/>
      <c r="AL213" s="467"/>
      <c r="AM213" s="467"/>
      <c r="AN213" s="467"/>
      <c r="AO213" s="467"/>
      <c r="AP213" s="467"/>
      <c r="AQ213" s="467"/>
      <c r="AR213" s="467"/>
      <c r="AS213" s="467"/>
      <c r="AT213" s="467"/>
      <c r="AU213" s="467"/>
      <c r="AV213" s="467"/>
      <c r="AW213" s="467"/>
      <c r="AX213" s="467"/>
      <c r="AY213" s="486">
        <f>COUNTIF(AI213:AX213,"*OP*")</f>
        <v>0</v>
      </c>
      <c r="AZ213" s="499" t="s">
        <v>59</v>
      </c>
      <c r="BA213" s="450">
        <f>(COUNTIF(AI213:AK213,"*OK*")*3) + (COUNTIF(AL213:AN213,"*OK*")*2) + COUNTIF(AO213:AQ213,"*OK*")+COUNTIF(AZ213:AZ213,"SI")*0.5</f>
        <v>0</v>
      </c>
      <c r="BB213" s="450" t="str">
        <f>IF(BA213&lt;0.6,"Demasiado Riesgo",IF(BA213&lt;=5,"Riesgo Medio",IF(BA213&lt;=11,"Riesgo Bajo","Cliente Blindado")))</f>
        <v>Demasiado Riesgo</v>
      </c>
      <c r="BC213" s="450"/>
      <c r="BD213" s="450"/>
      <c r="BE213" s="450">
        <v>0</v>
      </c>
      <c r="BF213" s="450"/>
      <c r="BG213" s="450"/>
      <c r="BH213" s="450"/>
      <c r="BI213" s="450"/>
      <c r="BJ213" s="450"/>
      <c r="BK213" s="450"/>
      <c r="BL213" s="450"/>
      <c r="BM213" s="450"/>
      <c r="BN213" s="450"/>
      <c r="BO213" s="450"/>
      <c r="BP213" s="450"/>
      <c r="BQ213" s="450"/>
      <c r="BR213" s="450"/>
      <c r="BS213" s="450"/>
      <c r="BT213" s="450"/>
      <c r="BU213" s="450"/>
      <c r="BV213" s="450"/>
      <c r="BW213" s="450"/>
      <c r="BX213" s="450"/>
      <c r="BY213" s="450"/>
      <c r="BZ213" s="450"/>
      <c r="CA213" s="450">
        <f>COUNTIF(AI213:AW213,"*OK*")</f>
        <v>0</v>
      </c>
      <c r="CB213" s="450"/>
      <c r="CC213" s="450">
        <f>COUNTIF(AI213:AW213,"*OP*")</f>
        <v>0</v>
      </c>
    </row>
    <row r="214" spans="1:81" ht="15" customHeight="1">
      <c r="A214" s="449"/>
      <c r="B214" s="450"/>
      <c r="C214" s="451">
        <f>T214</f>
        <v>23.77</v>
      </c>
      <c r="D214" s="450">
        <f>COUNTIF(AM214:AX214,"OK")</f>
        <v>0</v>
      </c>
      <c r="E214" s="450"/>
      <c r="F214" s="450" t="s">
        <v>762</v>
      </c>
      <c r="G214" s="450"/>
      <c r="H214" s="454"/>
      <c r="I214" s="454"/>
      <c r="J214" s="450"/>
      <c r="K214" s="501" t="s">
        <v>68</v>
      </c>
      <c r="L214" s="453" t="s">
        <v>461</v>
      </c>
      <c r="M214" s="471"/>
      <c r="N214" s="466"/>
      <c r="O214" s="457"/>
      <c r="P214" s="457"/>
      <c r="Q214" s="457"/>
      <c r="R214" s="458"/>
      <c r="S214" s="459">
        <v>24.033899999999999</v>
      </c>
      <c r="T214" s="547">
        <v>23.77</v>
      </c>
      <c r="U214" s="461"/>
      <c r="V214" s="462" t="s">
        <v>59</v>
      </c>
      <c r="W214" s="450"/>
      <c r="X214" s="464"/>
      <c r="Y214" s="465"/>
      <c r="Z214" s="466"/>
      <c r="AA214" s="496" t="s">
        <v>59</v>
      </c>
      <c r="AB214" s="454"/>
      <c r="AC214" s="450"/>
      <c r="AD214" s="450"/>
      <c r="AE214" s="450"/>
      <c r="AF214" s="450"/>
      <c r="AG214" s="450"/>
      <c r="AH214" s="617"/>
      <c r="AI214" s="618"/>
      <c r="AJ214" s="618"/>
      <c r="AK214" s="618"/>
      <c r="AL214" s="618"/>
      <c r="AM214" s="618"/>
      <c r="AN214" s="618"/>
      <c r="AO214" s="618"/>
      <c r="AP214" s="618"/>
      <c r="AQ214" s="618"/>
      <c r="AR214" s="618"/>
      <c r="AS214" s="618"/>
      <c r="AT214" s="618"/>
      <c r="AU214" s="618"/>
      <c r="AV214" s="618"/>
      <c r="AW214" s="618"/>
      <c r="AX214" s="618"/>
      <c r="AY214" s="619">
        <f>COUNTIF(AI214:AX214,"*OP*")</f>
        <v>0</v>
      </c>
      <c r="AZ214" s="620"/>
      <c r="BA214" s="450">
        <f>(COUNTIF(AI214:AK214,"*OK*")*3) + (COUNTIF(AL214:AN214,"*OK*")*2) + COUNTIF(AO214:AQ214,"*OK*")+COUNTIF(AZ214:AZ214,"SI")*0.5</f>
        <v>0</v>
      </c>
      <c r="BB214" s="450" t="str">
        <f>IF(BA214&lt;0.6,"Demasiado Riesgo",IF(BA214&lt;=5,"Riesgo Medio",IF(BA214&lt;=11,"Riesgo Bajo","Cliente Blindado")))</f>
        <v>Demasiado Riesgo</v>
      </c>
      <c r="BC214" s="450"/>
      <c r="BD214" s="450"/>
      <c r="BE214" s="450"/>
      <c r="BF214" s="450"/>
      <c r="BG214" s="450"/>
      <c r="BH214" s="450"/>
      <c r="BI214" s="450"/>
      <c r="BJ214" s="450"/>
      <c r="BK214" s="450"/>
      <c r="BL214" s="450"/>
      <c r="BM214" s="450"/>
      <c r="BN214" s="450"/>
      <c r="BO214" s="450"/>
      <c r="BP214" s="450"/>
      <c r="BQ214" s="450"/>
      <c r="BR214" s="450"/>
      <c r="BS214" s="450"/>
      <c r="BT214" s="450"/>
      <c r="BU214" s="450"/>
      <c r="BV214" s="450"/>
      <c r="BW214" s="450"/>
      <c r="BX214" s="450"/>
      <c r="BY214" s="450"/>
      <c r="BZ214" s="450"/>
      <c r="CA214" s="450">
        <f>COUNTIF(AI214:AW214,"*OK*")</f>
        <v>0</v>
      </c>
      <c r="CB214" s="450"/>
      <c r="CC214" s="450">
        <f>COUNTIF(AI214:AW214,"*OP*")</f>
        <v>0</v>
      </c>
    </row>
    <row r="215" spans="1:81" ht="15" customHeight="1">
      <c r="A215" s="449">
        <v>30635</v>
      </c>
      <c r="B215" s="450"/>
      <c r="C215" s="451">
        <f>T215</f>
        <v>26.66</v>
      </c>
      <c r="D215" s="450">
        <f>COUNTIF(AI215:AW215,"*OK*")</f>
        <v>0</v>
      </c>
      <c r="E215" s="450"/>
      <c r="F215" s="453" t="s">
        <v>763</v>
      </c>
      <c r="G215" s="453"/>
      <c r="H215" s="454"/>
      <c r="I215" s="454"/>
      <c r="J215" s="453"/>
      <c r="K215" s="552" t="s">
        <v>68</v>
      </c>
      <c r="L215" s="453" t="s">
        <v>461</v>
      </c>
      <c r="M215" s="453"/>
      <c r="N215" s="466" t="s">
        <v>191</v>
      </c>
      <c r="O215" s="457">
        <v>27.06</v>
      </c>
      <c r="P215" s="457">
        <v>27.04</v>
      </c>
      <c r="Q215" s="457">
        <v>25.77</v>
      </c>
      <c r="R215" s="458">
        <v>26.6</v>
      </c>
      <c r="S215" s="459">
        <v>26.956</v>
      </c>
      <c r="T215" s="469">
        <v>26.66</v>
      </c>
      <c r="U215" s="461"/>
      <c r="V215" s="462">
        <v>100</v>
      </c>
      <c r="W215" s="463"/>
      <c r="X215" s="567" t="s">
        <v>70</v>
      </c>
      <c r="Y215" s="465" t="s">
        <v>150</v>
      </c>
      <c r="Z215" s="466" t="s">
        <v>764</v>
      </c>
      <c r="AA215" s="462" t="s">
        <v>132</v>
      </c>
      <c r="AB215" s="454"/>
      <c r="AC215" s="450"/>
      <c r="AD215" s="450"/>
      <c r="AE215" s="450"/>
      <c r="AF215" s="450"/>
      <c r="AG215" s="450"/>
      <c r="AH215" s="496" t="s">
        <v>59</v>
      </c>
      <c r="AI215" s="467"/>
      <c r="AJ215" s="467"/>
      <c r="AK215" s="467"/>
      <c r="AL215" s="467"/>
      <c r="AM215" s="467"/>
      <c r="AN215" s="467"/>
      <c r="AO215" s="467"/>
      <c r="AP215" s="467"/>
      <c r="AQ215" s="467"/>
      <c r="AR215" s="467"/>
      <c r="AS215" s="467"/>
      <c r="AT215" s="467"/>
      <c r="AU215" s="467"/>
      <c r="AV215" s="467"/>
      <c r="AW215" s="467"/>
      <c r="AX215" s="467"/>
      <c r="AY215" s="486">
        <f>COUNTIF(AI215:AX215,"*OP*")</f>
        <v>0</v>
      </c>
      <c r="AZ215" s="499" t="s">
        <v>59</v>
      </c>
      <c r="BA215" s="450">
        <f>(COUNTIF(AI215:AK215,"*OK*")*3) + (COUNTIF(AL215:AN215,"*OK*")*2) + COUNTIF(AO215:AQ215,"*OK*")+COUNTIF(AZ215:AZ215,"SI")*0.5</f>
        <v>0</v>
      </c>
      <c r="BB215" s="450" t="str">
        <f>IF(BA215&lt;0.6,"Demasiado Riesgo",IF(BA215&lt;=5,"Riesgo Medio",IF(BA215&lt;=11,"Riesgo Bajo","Cliente Blindado")))</f>
        <v>Demasiado Riesgo</v>
      </c>
      <c r="BC215" s="450"/>
      <c r="BD215" s="450"/>
      <c r="BE215" s="450">
        <v>0</v>
      </c>
      <c r="BF215" s="450"/>
      <c r="BG215" s="450"/>
      <c r="BH215" s="450"/>
      <c r="BI215" s="450"/>
      <c r="BJ215" s="450"/>
      <c r="BK215" s="450"/>
      <c r="BL215" s="450"/>
      <c r="BM215" s="450"/>
      <c r="BN215" s="450"/>
      <c r="BO215" s="450"/>
      <c r="BP215" s="450"/>
      <c r="BQ215" s="450"/>
      <c r="BR215" s="450"/>
      <c r="BS215" s="450"/>
      <c r="BT215" s="450"/>
      <c r="BU215" s="450"/>
      <c r="BV215" s="450"/>
      <c r="BW215" s="450"/>
      <c r="BX215" s="450"/>
      <c r="BY215" s="450"/>
      <c r="BZ215" s="450"/>
      <c r="CA215" s="450">
        <f>COUNTIF(AI215:AW215,"*OK*")</f>
        <v>0</v>
      </c>
      <c r="CB215" s="450"/>
      <c r="CC215" s="450">
        <f>COUNTIF(AI215:AW215,"*OP*")</f>
        <v>0</v>
      </c>
    </row>
    <row r="216" spans="1:81" ht="15" customHeight="1">
      <c r="A216" s="470"/>
      <c r="B216" s="471"/>
      <c r="C216" s="451">
        <f>T216</f>
        <v>27.73</v>
      </c>
      <c r="D216" s="471">
        <f>COUNTIF(AI216:AW216,"*OK*")</f>
        <v>0</v>
      </c>
      <c r="E216" s="471"/>
      <c r="F216" s="473" t="s">
        <v>765</v>
      </c>
      <c r="G216" s="473"/>
      <c r="H216" s="474"/>
      <c r="I216" s="474"/>
      <c r="J216" s="473"/>
      <c r="K216" s="556" t="s">
        <v>68</v>
      </c>
      <c r="L216" s="453" t="s">
        <v>461</v>
      </c>
      <c r="M216" s="473"/>
      <c r="N216" s="484" t="s">
        <v>103</v>
      </c>
      <c r="O216" s="477">
        <v>29.71</v>
      </c>
      <c r="P216" s="477">
        <v>29.68</v>
      </c>
      <c r="Q216" s="477">
        <v>28.29</v>
      </c>
      <c r="R216" s="478">
        <v>27.66</v>
      </c>
      <c r="S216" s="459">
        <v>28.0351</v>
      </c>
      <c r="T216" s="487">
        <v>27.73</v>
      </c>
      <c r="U216" s="479"/>
      <c r="V216" s="480">
        <v>50</v>
      </c>
      <c r="W216" s="481"/>
      <c r="X216" s="572" t="s">
        <v>70</v>
      </c>
      <c r="Y216" s="483" t="s">
        <v>80</v>
      </c>
      <c r="Z216" s="484" t="s">
        <v>766</v>
      </c>
      <c r="AA216" s="480" t="s">
        <v>59</v>
      </c>
      <c r="AB216" s="474"/>
      <c r="AC216" s="471"/>
      <c r="AD216" s="471"/>
      <c r="AE216" s="471"/>
      <c r="AF216" s="471"/>
      <c r="AG216" s="471"/>
      <c r="AH216" s="494" t="s">
        <v>59</v>
      </c>
      <c r="AI216" s="467"/>
      <c r="AJ216" s="467"/>
      <c r="AK216" s="467"/>
      <c r="AL216" s="467"/>
      <c r="AM216" s="467"/>
      <c r="AN216" s="467"/>
      <c r="AO216" s="467"/>
      <c r="AP216" s="467"/>
      <c r="AQ216" s="467"/>
      <c r="AR216" s="467"/>
      <c r="AS216" s="467"/>
      <c r="AT216" s="467"/>
      <c r="AU216" s="467"/>
      <c r="AV216" s="467"/>
      <c r="AW216" s="467"/>
      <c r="AX216" s="467"/>
      <c r="AY216" s="486">
        <f>COUNTIF(AI216:AX216,"*OP*")</f>
        <v>0</v>
      </c>
      <c r="AZ216" s="485" t="s">
        <v>59</v>
      </c>
      <c r="BA216" s="471">
        <f>(COUNTIF(AI216:AK216,"*OK*")*3) + (COUNTIF(AL216:AN216,"*OK*")*2) + COUNTIF(AO216:AQ216,"*OK*")+COUNTIF(AZ216:AZ216,"SI")*0.5</f>
        <v>0</v>
      </c>
      <c r="BB216" s="471" t="str">
        <f>IF(BA216&lt;0.6,"Demasiado Riesgo",IF(BA216&lt;=5,"Riesgo Medio",IF(BA216&lt;=11,"Riesgo Bajo","Cliente Blindado")))</f>
        <v>Demasiado Riesgo</v>
      </c>
      <c r="BC216" s="471"/>
      <c r="BD216" s="471"/>
      <c r="BE216" s="471">
        <v>0</v>
      </c>
      <c r="BF216" s="471"/>
      <c r="BG216" s="471"/>
      <c r="BH216" s="471"/>
      <c r="BI216" s="471"/>
      <c r="BJ216" s="471"/>
      <c r="BK216" s="471"/>
      <c r="BL216" s="471"/>
      <c r="BM216" s="471"/>
      <c r="BN216" s="471"/>
      <c r="BO216" s="471"/>
      <c r="BP216" s="471"/>
      <c r="BQ216" s="471"/>
      <c r="BR216" s="471"/>
      <c r="BS216" s="471"/>
      <c r="BT216" s="471"/>
      <c r="BU216" s="471"/>
      <c r="BV216" s="471"/>
      <c r="BW216" s="471"/>
      <c r="BX216" s="471"/>
      <c r="BY216" s="471"/>
      <c r="BZ216" s="471"/>
      <c r="CA216" s="471">
        <f>COUNTIF(AI216:AW216,"*OK*")</f>
        <v>0</v>
      </c>
      <c r="CB216" s="471"/>
      <c r="CC216" s="471">
        <f>COUNTIF(AI216:AW216,"*OP*")</f>
        <v>0</v>
      </c>
    </row>
    <row r="217" spans="1:81" ht="15" customHeight="1">
      <c r="A217" s="449">
        <v>20600</v>
      </c>
      <c r="B217" s="450"/>
      <c r="C217" s="451">
        <f>T217</f>
        <v>28.44</v>
      </c>
      <c r="D217" s="450">
        <f>COUNTIF(AI217:AW217,"*OK*")</f>
        <v>0</v>
      </c>
      <c r="E217" s="450"/>
      <c r="F217" s="453" t="s">
        <v>767</v>
      </c>
      <c r="G217" s="453"/>
      <c r="H217" s="454"/>
      <c r="I217" s="454"/>
      <c r="J217" s="453"/>
      <c r="K217" s="453" t="s">
        <v>68</v>
      </c>
      <c r="L217" s="453" t="s">
        <v>461</v>
      </c>
      <c r="M217" s="453"/>
      <c r="N217" s="466" t="s">
        <v>156</v>
      </c>
      <c r="O217" s="457">
        <v>43.3</v>
      </c>
      <c r="P217" s="457">
        <v>36.049999999999997</v>
      </c>
      <c r="Q217" s="457">
        <v>34.36</v>
      </c>
      <c r="R217" s="458">
        <v>35.46</v>
      </c>
      <c r="S217" s="459">
        <v>32.345399999999998</v>
      </c>
      <c r="T217" s="469">
        <v>28.44</v>
      </c>
      <c r="U217" s="461"/>
      <c r="V217" s="462">
        <v>100</v>
      </c>
      <c r="W217" s="463"/>
      <c r="X217" s="567" t="s">
        <v>70</v>
      </c>
      <c r="Y217" s="465" t="s">
        <v>71</v>
      </c>
      <c r="Z217" s="466" t="s">
        <v>768</v>
      </c>
      <c r="AA217" s="462" t="s">
        <v>59</v>
      </c>
      <c r="AB217" s="454"/>
      <c r="AC217" s="450"/>
      <c r="AD217" s="450"/>
      <c r="AE217" s="450"/>
      <c r="AF217" s="450"/>
      <c r="AG217" s="450"/>
      <c r="AH217" s="496" t="s">
        <v>59</v>
      </c>
      <c r="AI217" s="467"/>
      <c r="AJ217" s="467"/>
      <c r="AK217" s="467"/>
      <c r="AL217" s="467"/>
      <c r="AM217" s="467"/>
      <c r="AN217" s="467"/>
      <c r="AO217" s="467"/>
      <c r="AP217" s="467"/>
      <c r="AQ217" s="467"/>
      <c r="AR217" s="467"/>
      <c r="AS217" s="467"/>
      <c r="AT217" s="467"/>
      <c r="AU217" s="467"/>
      <c r="AV217" s="467"/>
      <c r="AW217" s="467"/>
      <c r="AX217" s="467"/>
      <c r="AY217" s="486">
        <f>COUNTIF(AI217:AX217,"*OP*")</f>
        <v>0</v>
      </c>
      <c r="AZ217" s="499" t="s">
        <v>59</v>
      </c>
      <c r="BA217" s="450">
        <f>(COUNTIF(AI217:AK217,"*OK*")*3) + (COUNTIF(AL217:AN217,"*OK*")*2) + COUNTIF(AO217:AQ217,"*OK*")+COUNTIF(AZ217:AZ217,"SI")*0.5</f>
        <v>0</v>
      </c>
      <c r="BB217" s="450" t="str">
        <f>IF(BA217&lt;0.6,"Demasiado Riesgo",IF(BA217&lt;=5,"Riesgo Medio",IF(BA217&lt;=11,"Riesgo Bajo","Cliente Blindado")))</f>
        <v>Demasiado Riesgo</v>
      </c>
      <c r="BC217" s="450"/>
      <c r="BD217" s="450"/>
      <c r="BE217" s="450">
        <v>0</v>
      </c>
      <c r="BF217" s="450"/>
      <c r="BG217" s="450"/>
      <c r="BH217" s="450"/>
      <c r="BI217" s="450"/>
      <c r="BJ217" s="450"/>
      <c r="BK217" s="450"/>
      <c r="BL217" s="450"/>
      <c r="BM217" s="450"/>
      <c r="BN217" s="450"/>
      <c r="BO217" s="450"/>
      <c r="BP217" s="450"/>
      <c r="BQ217" s="450"/>
      <c r="BR217" s="450"/>
      <c r="BS217" s="450"/>
      <c r="BT217" s="450"/>
      <c r="BU217" s="450"/>
      <c r="BV217" s="450"/>
      <c r="BW217" s="450"/>
      <c r="BX217" s="450"/>
      <c r="BY217" s="450"/>
      <c r="BZ217" s="450"/>
      <c r="CA217" s="450">
        <f>COUNTIF(AI217:AW217,"*OK*")</f>
        <v>0</v>
      </c>
      <c r="CB217" s="450"/>
      <c r="CC217" s="450">
        <f>COUNTIF(AI217:AW217,"*OP*")</f>
        <v>0</v>
      </c>
    </row>
    <row r="218" spans="1:81" ht="15" customHeight="1">
      <c r="A218" s="449">
        <v>35584</v>
      </c>
      <c r="B218" s="450"/>
      <c r="C218" s="451">
        <f>T218</f>
        <v>30</v>
      </c>
      <c r="D218" s="450">
        <f>COUNTIF(AI218:AW218,"*OK*")</f>
        <v>0</v>
      </c>
      <c r="E218" s="450"/>
      <c r="F218" s="453" t="s">
        <v>769</v>
      </c>
      <c r="G218" s="453"/>
      <c r="H218" s="454"/>
      <c r="I218" s="454"/>
      <c r="J218" s="453"/>
      <c r="K218" s="455" t="s">
        <v>68</v>
      </c>
      <c r="L218" s="453" t="s">
        <v>461</v>
      </c>
      <c r="M218" s="453"/>
      <c r="N218" s="466" t="s">
        <v>65</v>
      </c>
      <c r="O218" s="457">
        <v>17.399999999999999</v>
      </c>
      <c r="P218" s="457">
        <v>17.39</v>
      </c>
      <c r="Q218" s="457">
        <v>16.57</v>
      </c>
      <c r="R218" s="458">
        <v>17.100000000000001</v>
      </c>
      <c r="S218" s="459">
        <v>17.331299999999999</v>
      </c>
      <c r="T218" s="460">
        <v>30</v>
      </c>
      <c r="U218" s="461"/>
      <c r="V218" s="462">
        <v>50</v>
      </c>
      <c r="W218" s="463"/>
      <c r="X218" s="562" t="s">
        <v>70</v>
      </c>
      <c r="Y218" s="465" t="s">
        <v>161</v>
      </c>
      <c r="Z218" s="466" t="s">
        <v>770</v>
      </c>
      <c r="AA218" s="462" t="s">
        <v>59</v>
      </c>
      <c r="AB218" s="454"/>
      <c r="AC218" s="450"/>
      <c r="AD218" s="450"/>
      <c r="AE218" s="450"/>
      <c r="AF218" s="450"/>
      <c r="AG218" s="450"/>
      <c r="AH218" s="496" t="s">
        <v>59</v>
      </c>
      <c r="AI218" s="467"/>
      <c r="AJ218" s="467"/>
      <c r="AK218" s="467"/>
      <c r="AL218" s="467"/>
      <c r="AM218" s="467"/>
      <c r="AN218" s="467"/>
      <c r="AO218" s="467"/>
      <c r="AP218" s="467"/>
      <c r="AQ218" s="467"/>
      <c r="AR218" s="467"/>
      <c r="AS218" s="467"/>
      <c r="AT218" s="467"/>
      <c r="AU218" s="467"/>
      <c r="AV218" s="467"/>
      <c r="AW218" s="467"/>
      <c r="AX218" s="467"/>
      <c r="AY218" s="486">
        <f>COUNTIF(AI218:AX218,"*OP*")</f>
        <v>0</v>
      </c>
      <c r="AZ218" s="499" t="s">
        <v>59</v>
      </c>
      <c r="BA218" s="450">
        <f>(COUNTIF(AI218:AK218,"*OK*")*3) + (COUNTIF(AL218:AN218,"*OK*")*2) + COUNTIF(AO218:AQ218,"*OK*")+COUNTIF(AZ218:AZ218,"SI")*0.5</f>
        <v>0</v>
      </c>
      <c r="BB218" s="450" t="str">
        <f>IF(BA218&lt;0.6,"Demasiado Riesgo",IF(BA218&lt;=5,"Riesgo Medio",IF(BA218&lt;=11,"Riesgo Bajo","Cliente Blindado")))</f>
        <v>Demasiado Riesgo</v>
      </c>
      <c r="BC218" s="450"/>
      <c r="BD218" s="450"/>
      <c r="BE218" s="450">
        <v>0</v>
      </c>
      <c r="BF218" s="450"/>
      <c r="BG218" s="450"/>
      <c r="BH218" s="450"/>
      <c r="BI218" s="450"/>
      <c r="BJ218" s="450"/>
      <c r="BK218" s="450"/>
      <c r="BL218" s="450"/>
      <c r="BM218" s="450"/>
      <c r="BN218" s="450"/>
      <c r="BO218" s="450"/>
      <c r="BP218" s="450"/>
      <c r="BQ218" s="450"/>
      <c r="BR218" s="450"/>
      <c r="BS218" s="450"/>
      <c r="BT218" s="450"/>
      <c r="BU218" s="450"/>
      <c r="BV218" s="450"/>
      <c r="BW218" s="450"/>
      <c r="BX218" s="450"/>
      <c r="BY218" s="450"/>
      <c r="BZ218" s="450"/>
      <c r="CA218" s="450">
        <f>COUNTIF(AI218:AW218,"*OK*")</f>
        <v>0</v>
      </c>
      <c r="CB218" s="450"/>
      <c r="CC218" s="450">
        <f>COUNTIF(AI218:AW218,"*OP*")</f>
        <v>0</v>
      </c>
    </row>
    <row r="219" spans="1:81" ht="15" customHeight="1">
      <c r="A219" s="449">
        <v>35650</v>
      </c>
      <c r="B219" s="450"/>
      <c r="C219" s="451">
        <f>T219</f>
        <v>32</v>
      </c>
      <c r="D219" s="450">
        <f>COUNTIF(AI219:AW219,"*OK*")</f>
        <v>0</v>
      </c>
      <c r="E219" s="450"/>
      <c r="F219" s="453" t="s">
        <v>771</v>
      </c>
      <c r="G219" s="453"/>
      <c r="H219" s="454"/>
      <c r="I219" s="454"/>
      <c r="J219" s="453"/>
      <c r="K219" s="455" t="s">
        <v>68</v>
      </c>
      <c r="L219" s="453" t="s">
        <v>461</v>
      </c>
      <c r="M219" s="453"/>
      <c r="N219" s="466" t="s">
        <v>65</v>
      </c>
      <c r="O219" s="457">
        <v>32.479999999999997</v>
      </c>
      <c r="P219" s="457">
        <v>4.0599999999999996</v>
      </c>
      <c r="Q219" s="457">
        <v>30.93</v>
      </c>
      <c r="R219" s="458">
        <v>31.92</v>
      </c>
      <c r="S219" s="459">
        <v>32.351799999999997</v>
      </c>
      <c r="T219" s="469">
        <v>32</v>
      </c>
      <c r="U219" s="461"/>
      <c r="V219" s="462">
        <v>50</v>
      </c>
      <c r="W219" s="463"/>
      <c r="X219" s="567" t="s">
        <v>70</v>
      </c>
      <c r="Y219" s="465" t="s">
        <v>71</v>
      </c>
      <c r="Z219" s="466" t="s">
        <v>74</v>
      </c>
      <c r="AA219" s="462" t="s">
        <v>59</v>
      </c>
      <c r="AB219" s="454"/>
      <c r="AC219" s="450"/>
      <c r="AD219" s="450"/>
      <c r="AE219" s="450"/>
      <c r="AF219" s="450"/>
      <c r="AG219" s="450"/>
      <c r="AH219" s="496" t="s">
        <v>59</v>
      </c>
      <c r="AI219" s="467"/>
      <c r="AJ219" s="467"/>
      <c r="AK219" s="467"/>
      <c r="AL219" s="467"/>
      <c r="AM219" s="467"/>
      <c r="AN219" s="467"/>
      <c r="AO219" s="467"/>
      <c r="AP219" s="467"/>
      <c r="AQ219" s="467"/>
      <c r="AR219" s="467"/>
      <c r="AS219" s="467"/>
      <c r="AT219" s="467"/>
      <c r="AU219" s="467"/>
      <c r="AV219" s="467"/>
      <c r="AW219" s="467"/>
      <c r="AX219" s="467"/>
      <c r="AY219" s="486">
        <f>COUNTIF(AI219:AX219,"*OP*")</f>
        <v>0</v>
      </c>
      <c r="AZ219" s="499" t="s">
        <v>59</v>
      </c>
      <c r="BA219" s="450">
        <f>(COUNTIF(AI219:AK219,"*OK*")*3) + (COUNTIF(AL219:AN219,"*OK*")*2) + COUNTIF(AO219:AQ219,"*OK*")+COUNTIF(AZ219:AZ219,"SI")*0.5</f>
        <v>0</v>
      </c>
      <c r="BB219" s="450" t="str">
        <f>IF(BA219&lt;0.6,"Demasiado Riesgo",IF(BA219&lt;=5,"Riesgo Medio",IF(BA219&lt;=11,"Riesgo Bajo","Cliente Blindado")))</f>
        <v>Demasiado Riesgo</v>
      </c>
      <c r="BC219" s="450"/>
      <c r="BD219" s="450"/>
      <c r="BE219" s="450">
        <v>0</v>
      </c>
      <c r="BF219" s="450"/>
      <c r="BG219" s="450"/>
      <c r="BH219" s="450"/>
      <c r="BI219" s="450"/>
      <c r="BJ219" s="450"/>
      <c r="BK219" s="450"/>
      <c r="BL219" s="450"/>
      <c r="BM219" s="450"/>
      <c r="BN219" s="450"/>
      <c r="BO219" s="450"/>
      <c r="BP219" s="450"/>
      <c r="BQ219" s="450"/>
      <c r="BR219" s="450"/>
      <c r="BS219" s="450"/>
      <c r="BT219" s="450"/>
      <c r="BU219" s="450"/>
      <c r="BV219" s="450"/>
      <c r="BW219" s="450"/>
      <c r="BX219" s="450"/>
      <c r="BY219" s="450"/>
      <c r="BZ219" s="450"/>
      <c r="CA219" s="450">
        <f>COUNTIF(AI219:AW219,"*OK*")</f>
        <v>0</v>
      </c>
      <c r="CB219" s="450"/>
      <c r="CC219" s="450">
        <f>COUNTIF(AI219:AW219,"*OP*")</f>
        <v>0</v>
      </c>
    </row>
    <row r="220" spans="1:81" s="621" customFormat="1" ht="15" customHeight="1">
      <c r="A220" s="470">
        <v>31343</v>
      </c>
      <c r="B220" s="471"/>
      <c r="C220" s="451">
        <f>T220</f>
        <v>32.4</v>
      </c>
      <c r="D220" s="471">
        <f>COUNTIF(AI220:AW220,"*OK*")</f>
        <v>0</v>
      </c>
      <c r="E220" s="471"/>
      <c r="F220" s="473" t="s">
        <v>772</v>
      </c>
      <c r="G220" s="473"/>
      <c r="H220" s="474"/>
      <c r="I220" s="474"/>
      <c r="J220" s="473"/>
      <c r="K220" s="473" t="s">
        <v>68</v>
      </c>
      <c r="L220" s="453" t="s">
        <v>461</v>
      </c>
      <c r="M220" s="473"/>
      <c r="N220" s="484" t="s">
        <v>237</v>
      </c>
      <c r="O220" s="477">
        <v>34.11</v>
      </c>
      <c r="P220" s="477">
        <v>34.08</v>
      </c>
      <c r="Q220" s="477">
        <v>32.47</v>
      </c>
      <c r="R220" s="478">
        <v>32.32</v>
      </c>
      <c r="S220" s="459">
        <v>32.7562</v>
      </c>
      <c r="T220" s="487">
        <v>32.4</v>
      </c>
      <c r="U220" s="479"/>
      <c r="V220" s="480">
        <v>100</v>
      </c>
      <c r="W220" s="481"/>
      <c r="X220" s="572" t="s">
        <v>70</v>
      </c>
      <c r="Y220" s="483" t="s">
        <v>161</v>
      </c>
      <c r="Z220" s="484" t="s">
        <v>773</v>
      </c>
      <c r="AA220" s="480" t="s">
        <v>161</v>
      </c>
      <c r="AB220" s="474"/>
      <c r="AC220" s="471"/>
      <c r="AD220" s="471"/>
      <c r="AE220" s="471"/>
      <c r="AF220" s="471"/>
      <c r="AG220" s="471"/>
      <c r="AH220" s="494" t="s">
        <v>59</v>
      </c>
      <c r="AI220" s="467"/>
      <c r="AJ220" s="467"/>
      <c r="AK220" s="467"/>
      <c r="AL220" s="467"/>
      <c r="AM220" s="467"/>
      <c r="AN220" s="467"/>
      <c r="AO220" s="467"/>
      <c r="AP220" s="467"/>
      <c r="AQ220" s="467"/>
      <c r="AR220" s="467"/>
      <c r="AS220" s="467"/>
      <c r="AT220" s="467"/>
      <c r="AU220" s="467"/>
      <c r="AV220" s="467"/>
      <c r="AW220" s="467"/>
      <c r="AX220" s="467"/>
      <c r="AY220" s="486">
        <f>COUNTIF(AI220:AX220,"*OP*")</f>
        <v>0</v>
      </c>
      <c r="AZ220" s="485" t="s">
        <v>59</v>
      </c>
      <c r="BA220" s="471">
        <f>(COUNTIF(AI220:AK220,"*OK*")*3) + (COUNTIF(AL220:AN220,"*OK*")*2) + COUNTIF(AO220:AQ220,"*OK*")+COUNTIF(AZ220:AZ220,"SI")*0.5</f>
        <v>0</v>
      </c>
      <c r="BB220" s="471" t="str">
        <f>IF(BA220&lt;0.6,"Demasiado Riesgo",IF(BA220&lt;=5,"Riesgo Medio",IF(BA220&lt;=11,"Riesgo Bajo","Cliente Blindado")))</f>
        <v>Demasiado Riesgo</v>
      </c>
      <c r="BC220" s="471"/>
      <c r="BD220" s="471"/>
      <c r="BE220" s="471">
        <v>0</v>
      </c>
      <c r="BF220" s="471"/>
      <c r="BG220" s="471"/>
      <c r="BH220" s="471"/>
      <c r="BI220" s="471"/>
      <c r="BJ220" s="471"/>
      <c r="BK220" s="471"/>
      <c r="BL220" s="471"/>
      <c r="BM220" s="471"/>
      <c r="BN220" s="471"/>
      <c r="BO220" s="471"/>
      <c r="BP220" s="471"/>
      <c r="BQ220" s="471"/>
      <c r="BR220" s="471"/>
      <c r="BS220" s="471"/>
      <c r="BT220" s="471"/>
      <c r="BU220" s="471"/>
      <c r="BV220" s="471"/>
      <c r="BW220" s="471"/>
      <c r="BX220" s="471"/>
      <c r="BY220" s="471"/>
      <c r="BZ220" s="471"/>
      <c r="CA220" s="471">
        <f>COUNTIF(AI220:AW220,"*OK*")</f>
        <v>0</v>
      </c>
      <c r="CB220" s="471"/>
      <c r="CC220" s="471">
        <f>COUNTIF(AI220:AW220,"*OP*")</f>
        <v>0</v>
      </c>
    </row>
    <row r="221" spans="1:81" ht="15" customHeight="1">
      <c r="A221" s="470"/>
      <c r="B221" s="471"/>
      <c r="C221" s="451">
        <f>T221</f>
        <v>33.43</v>
      </c>
      <c r="D221" s="471">
        <f>COUNTIF(AI221:AW221,"*OK*")</f>
        <v>0</v>
      </c>
      <c r="E221" s="471"/>
      <c r="F221" s="473" t="s">
        <v>774</v>
      </c>
      <c r="G221" s="473"/>
      <c r="H221" s="474"/>
      <c r="I221" s="474"/>
      <c r="J221" s="473"/>
      <c r="K221" s="475" t="s">
        <v>68</v>
      </c>
      <c r="L221" s="453" t="s">
        <v>461</v>
      </c>
      <c r="M221" s="473"/>
      <c r="N221" s="484" t="s">
        <v>65</v>
      </c>
      <c r="O221" s="477">
        <v>85.24</v>
      </c>
      <c r="P221" s="477"/>
      <c r="Q221" s="477">
        <v>34.79</v>
      </c>
      <c r="R221" s="478">
        <v>35.909999999999997</v>
      </c>
      <c r="S221" s="459">
        <v>33.796100000000003</v>
      </c>
      <c r="T221" s="487">
        <v>33.43</v>
      </c>
      <c r="U221" s="479"/>
      <c r="V221" s="480">
        <v>50</v>
      </c>
      <c r="W221" s="481"/>
      <c r="X221" s="572" t="s">
        <v>70</v>
      </c>
      <c r="Y221" s="483" t="s">
        <v>150</v>
      </c>
      <c r="Z221" s="484" t="s">
        <v>775</v>
      </c>
      <c r="AA221" s="480" t="s">
        <v>59</v>
      </c>
      <c r="AB221" s="474"/>
      <c r="AC221" s="471"/>
      <c r="AD221" s="471"/>
      <c r="AE221" s="471"/>
      <c r="AF221" s="471"/>
      <c r="AG221" s="471"/>
      <c r="AH221" s="494" t="s">
        <v>59</v>
      </c>
      <c r="AI221" s="467"/>
      <c r="AJ221" s="467"/>
      <c r="AK221" s="467"/>
      <c r="AL221" s="467"/>
      <c r="AM221" s="467"/>
      <c r="AN221" s="467"/>
      <c r="AO221" s="467"/>
      <c r="AP221" s="467"/>
      <c r="AQ221" s="467"/>
      <c r="AR221" s="467"/>
      <c r="AS221" s="467"/>
      <c r="AT221" s="467"/>
      <c r="AU221" s="467"/>
      <c r="AV221" s="467"/>
      <c r="AW221" s="467"/>
      <c r="AX221" s="467"/>
      <c r="AY221" s="486">
        <f>COUNTIF(AI221:AX221,"*OP*")</f>
        <v>0</v>
      </c>
      <c r="AZ221" s="485" t="s">
        <v>59</v>
      </c>
      <c r="BA221" s="471">
        <f>(COUNTIF(AI221:AK221,"*OK*")*3) + (COUNTIF(AL221:AN221,"*OK*")*2) + COUNTIF(AO221:AQ221,"*OK*")+COUNTIF(AZ221:AZ221,"SI")*0.5</f>
        <v>0</v>
      </c>
      <c r="BB221" s="471" t="str">
        <f>IF(BA221&lt;0.6,"Demasiado Riesgo",IF(BA221&lt;=5,"Riesgo Medio",IF(BA221&lt;=11,"Riesgo Bajo","Cliente Blindado")))</f>
        <v>Demasiado Riesgo</v>
      </c>
      <c r="BC221" s="471"/>
      <c r="BD221" s="471"/>
      <c r="BE221" s="471">
        <v>0</v>
      </c>
      <c r="BF221" s="471"/>
      <c r="BG221" s="471"/>
      <c r="BH221" s="471"/>
      <c r="BI221" s="471"/>
      <c r="BJ221" s="471"/>
      <c r="BK221" s="471"/>
      <c r="BL221" s="471"/>
      <c r="BM221" s="471"/>
      <c r="BN221" s="471"/>
      <c r="BO221" s="471"/>
      <c r="BP221" s="471"/>
      <c r="BQ221" s="471"/>
      <c r="BR221" s="471"/>
      <c r="BS221" s="471"/>
      <c r="BT221" s="471"/>
      <c r="BU221" s="471"/>
      <c r="BV221" s="471"/>
      <c r="BW221" s="471"/>
      <c r="BX221" s="471"/>
      <c r="BY221" s="471"/>
      <c r="BZ221" s="471"/>
      <c r="CA221" s="471">
        <f>COUNTIF(AI221:AW221,"*OK*")</f>
        <v>0</v>
      </c>
      <c r="CB221" s="471"/>
      <c r="CC221" s="471">
        <f>COUNTIF(AI221:AW221,"*OP*")</f>
        <v>0</v>
      </c>
    </row>
    <row r="222" spans="1:81" ht="15" customHeight="1">
      <c r="A222" s="449"/>
      <c r="B222" s="450"/>
      <c r="C222" s="451">
        <f>T222</f>
        <v>36.11</v>
      </c>
      <c r="D222" s="450">
        <f>COUNTIF(AM222:AX222,"OK")</f>
        <v>0</v>
      </c>
      <c r="E222" s="450"/>
      <c r="F222" s="450" t="s">
        <v>776</v>
      </c>
      <c r="G222" s="450"/>
      <c r="H222" s="454"/>
      <c r="I222" s="454"/>
      <c r="J222" s="450"/>
      <c r="K222" s="501" t="s">
        <v>68</v>
      </c>
      <c r="L222" s="453" t="s">
        <v>461</v>
      </c>
      <c r="M222" s="450"/>
      <c r="N222" s="466"/>
      <c r="O222" s="457"/>
      <c r="P222" s="457"/>
      <c r="Q222" s="457"/>
      <c r="R222" s="458">
        <v>36.03</v>
      </c>
      <c r="S222" s="459">
        <v>36.511299999999999</v>
      </c>
      <c r="T222" s="547">
        <v>36.11</v>
      </c>
      <c r="U222" s="461"/>
      <c r="V222" s="462" t="s">
        <v>59</v>
      </c>
      <c r="W222" s="450"/>
      <c r="X222" s="464"/>
      <c r="Y222" s="465"/>
      <c r="Z222" s="466"/>
      <c r="AA222" s="496" t="s">
        <v>59</v>
      </c>
      <c r="AB222" s="454"/>
      <c r="AC222" s="450"/>
      <c r="AD222" s="450"/>
      <c r="AE222" s="450"/>
      <c r="AF222" s="450"/>
      <c r="AG222" s="450"/>
      <c r="AH222" s="496"/>
      <c r="AI222" s="467"/>
      <c r="AJ222" s="467"/>
      <c r="AK222" s="467"/>
      <c r="AL222" s="467"/>
      <c r="AM222" s="467"/>
      <c r="AN222" s="467"/>
      <c r="AO222" s="467"/>
      <c r="AP222" s="467"/>
      <c r="AQ222" s="467"/>
      <c r="AR222" s="467"/>
      <c r="AS222" s="467"/>
      <c r="AT222" s="467"/>
      <c r="AU222" s="467"/>
      <c r="AV222" s="467"/>
      <c r="AW222" s="467"/>
      <c r="AX222" s="467"/>
      <c r="AY222" s="486">
        <f>COUNTIF(AI222:AX222,"*OP*")</f>
        <v>0</v>
      </c>
      <c r="AZ222" s="499" t="s">
        <v>59</v>
      </c>
      <c r="BA222" s="450">
        <f>(COUNTIF(AI222:AK222,"*OK*")*3) + (COUNTIF(AL222:AN222,"*OK*")*2) + COUNTIF(AO222:AQ222,"*OK*")+COUNTIF(AZ222:AZ222,"SI")*0.5</f>
        <v>0</v>
      </c>
      <c r="BB222" s="450" t="str">
        <f>IF(BA222&lt;0.6,"Demasiado Riesgo",IF(BA222&lt;=5,"Riesgo Medio",IF(BA222&lt;=11,"Riesgo Bajo","Cliente Blindado")))</f>
        <v>Demasiado Riesgo</v>
      </c>
      <c r="BC222" s="450"/>
      <c r="BD222" s="450"/>
      <c r="BE222" s="450"/>
      <c r="BF222" s="450"/>
      <c r="BG222" s="450"/>
      <c r="BH222" s="450"/>
      <c r="BI222" s="450"/>
      <c r="BJ222" s="450"/>
      <c r="BK222" s="450"/>
      <c r="BL222" s="450"/>
      <c r="BM222" s="450"/>
      <c r="BN222" s="450"/>
      <c r="BO222" s="450"/>
      <c r="BP222" s="450"/>
      <c r="BQ222" s="450"/>
      <c r="BR222" s="450"/>
      <c r="BS222" s="450"/>
      <c r="BT222" s="450"/>
      <c r="BU222" s="450"/>
      <c r="BV222" s="450"/>
      <c r="BW222" s="450"/>
      <c r="BX222" s="450"/>
      <c r="BY222" s="450"/>
      <c r="BZ222" s="450"/>
      <c r="CA222" s="450">
        <f>COUNTIF(AI222:AW222,"*OK*")</f>
        <v>0</v>
      </c>
      <c r="CB222" s="450"/>
      <c r="CC222" s="450">
        <f>COUNTIF(AI222:AW222,"*OP*")</f>
        <v>0</v>
      </c>
    </row>
    <row r="223" spans="1:81" ht="15" customHeight="1">
      <c r="A223" s="449">
        <v>33694</v>
      </c>
      <c r="B223" s="450"/>
      <c r="C223" s="451">
        <f>T223</f>
        <v>36.26</v>
      </c>
      <c r="D223" s="450">
        <f>COUNTIF(AI223:AW223,"*OK*")</f>
        <v>0</v>
      </c>
      <c r="E223" s="450"/>
      <c r="F223" s="453" t="s">
        <v>777</v>
      </c>
      <c r="G223" s="453"/>
      <c r="H223" s="454"/>
      <c r="I223" s="454"/>
      <c r="J223" s="453"/>
      <c r="K223" s="453" t="s">
        <v>68</v>
      </c>
      <c r="L223" s="453" t="s">
        <v>461</v>
      </c>
      <c r="M223" s="453"/>
      <c r="N223" s="466" t="s">
        <v>65</v>
      </c>
      <c r="O223" s="457">
        <v>31.56</v>
      </c>
      <c r="P223" s="457">
        <v>36.78</v>
      </c>
      <c r="Q223" s="457">
        <v>30.04</v>
      </c>
      <c r="R223" s="458">
        <v>36.18</v>
      </c>
      <c r="S223" s="459">
        <v>36.666699999999999</v>
      </c>
      <c r="T223" s="469">
        <v>36.26</v>
      </c>
      <c r="U223" s="461"/>
      <c r="V223" s="462">
        <v>50</v>
      </c>
      <c r="W223" s="463"/>
      <c r="X223" s="567" t="s">
        <v>70</v>
      </c>
      <c r="Y223" s="465" t="s">
        <v>71</v>
      </c>
      <c r="Z223" s="466" t="s">
        <v>76</v>
      </c>
      <c r="AA223" s="462" t="s">
        <v>59</v>
      </c>
      <c r="AB223" s="454"/>
      <c r="AC223" s="450"/>
      <c r="AD223" s="450"/>
      <c r="AE223" s="450"/>
      <c r="AF223" s="450"/>
      <c r="AG223" s="450"/>
      <c r="AH223" s="496" t="s">
        <v>59</v>
      </c>
      <c r="AI223" s="467"/>
      <c r="AJ223" s="467"/>
      <c r="AK223" s="467"/>
      <c r="AL223" s="467"/>
      <c r="AM223" s="467"/>
      <c r="AN223" s="467"/>
      <c r="AO223" s="467"/>
      <c r="AP223" s="467"/>
      <c r="AQ223" s="467"/>
      <c r="AR223" s="467"/>
      <c r="AS223" s="467"/>
      <c r="AT223" s="467"/>
      <c r="AU223" s="467"/>
      <c r="AV223" s="467"/>
      <c r="AW223" s="467"/>
      <c r="AX223" s="467"/>
      <c r="AY223" s="486">
        <f>COUNTIF(AI223:AX223,"*OP*")</f>
        <v>0</v>
      </c>
      <c r="AZ223" s="499" t="s">
        <v>59</v>
      </c>
      <c r="BA223" s="450">
        <f>(COUNTIF(AI223:AK223,"*OK*")*3) + (COUNTIF(AL223:AN223,"*OK*")*2) + COUNTIF(AO223:AQ223,"*OK*")+COUNTIF(AZ223:AZ223,"SI")*0.5</f>
        <v>0</v>
      </c>
      <c r="BB223" s="450" t="str">
        <f>IF(BA223&lt;0.6,"Demasiado Riesgo",IF(BA223&lt;=5,"Riesgo Medio",IF(BA223&lt;=11,"Riesgo Bajo","Cliente Blindado")))</f>
        <v>Demasiado Riesgo</v>
      </c>
      <c r="BC223" s="450"/>
      <c r="BD223" s="450"/>
      <c r="BE223" s="450">
        <v>0</v>
      </c>
      <c r="BF223" s="450"/>
      <c r="BG223" s="450"/>
      <c r="BH223" s="450"/>
      <c r="BI223" s="450"/>
      <c r="BJ223" s="450"/>
      <c r="BK223" s="450"/>
      <c r="BL223" s="450"/>
      <c r="BM223" s="450"/>
      <c r="BN223" s="450"/>
      <c r="BO223" s="450"/>
      <c r="BP223" s="450"/>
      <c r="BQ223" s="450"/>
      <c r="BR223" s="450"/>
      <c r="BS223" s="450"/>
      <c r="BT223" s="450"/>
      <c r="BU223" s="450"/>
      <c r="BV223" s="450"/>
      <c r="BW223" s="450"/>
      <c r="BX223" s="450"/>
      <c r="BY223" s="450"/>
      <c r="BZ223" s="450"/>
      <c r="CA223" s="450">
        <f>COUNTIF(AI223:AW223,"*OK*")</f>
        <v>0</v>
      </c>
      <c r="CB223" s="450"/>
      <c r="CC223" s="450">
        <f>COUNTIF(AI223:AW223,"*OP*")</f>
        <v>0</v>
      </c>
    </row>
    <row r="224" spans="1:81" ht="15" customHeight="1">
      <c r="A224" s="470">
        <v>36028</v>
      </c>
      <c r="B224" s="471"/>
      <c r="C224" s="451">
        <f>T224</f>
        <v>37.14</v>
      </c>
      <c r="D224" s="471">
        <f>COUNTIF(AI224:AW224,"*OK*")</f>
        <v>0</v>
      </c>
      <c r="E224" s="471"/>
      <c r="F224" s="473" t="s">
        <v>778</v>
      </c>
      <c r="G224" s="473"/>
      <c r="H224" s="474"/>
      <c r="I224" s="474"/>
      <c r="J224" s="473"/>
      <c r="K224" s="475" t="s">
        <v>68</v>
      </c>
      <c r="L224" s="453" t="s">
        <v>461</v>
      </c>
      <c r="M224" s="473"/>
      <c r="N224" s="484" t="s">
        <v>65</v>
      </c>
      <c r="O224" s="477"/>
      <c r="P224" s="477">
        <v>85.48</v>
      </c>
      <c r="Q224" s="477">
        <v>44.18</v>
      </c>
      <c r="R224" s="478">
        <v>37.049999999999997</v>
      </c>
      <c r="S224" s="459">
        <v>37.551200000000001</v>
      </c>
      <c r="T224" s="487">
        <v>37.14</v>
      </c>
      <c r="U224" s="479"/>
      <c r="V224" s="480">
        <v>50</v>
      </c>
      <c r="W224" s="481"/>
      <c r="X224" s="572" t="s">
        <v>70</v>
      </c>
      <c r="Y224" s="483" t="s">
        <v>71</v>
      </c>
      <c r="Z224" s="484" t="s">
        <v>74</v>
      </c>
      <c r="AA224" s="480" t="s">
        <v>59</v>
      </c>
      <c r="AB224" s="474"/>
      <c r="AC224" s="471"/>
      <c r="AD224" s="471"/>
      <c r="AE224" s="471"/>
      <c r="AF224" s="471"/>
      <c r="AG224" s="471"/>
      <c r="AH224" s="494" t="s">
        <v>59</v>
      </c>
      <c r="AI224" s="467"/>
      <c r="AJ224" s="467"/>
      <c r="AK224" s="467"/>
      <c r="AL224" s="467"/>
      <c r="AM224" s="467"/>
      <c r="AN224" s="467"/>
      <c r="AO224" s="467"/>
      <c r="AP224" s="467"/>
      <c r="AQ224" s="467"/>
      <c r="AR224" s="467"/>
      <c r="AS224" s="467"/>
      <c r="AT224" s="467"/>
      <c r="AU224" s="467"/>
      <c r="AV224" s="467"/>
      <c r="AW224" s="467"/>
      <c r="AX224" s="467"/>
      <c r="AY224" s="486">
        <f>COUNTIF(AI224:AX224,"*OP*")</f>
        <v>0</v>
      </c>
      <c r="AZ224" s="485" t="s">
        <v>59</v>
      </c>
      <c r="BA224" s="471">
        <f>(COUNTIF(AI224:AK224,"*OK*")*3) + (COUNTIF(AL224:AN224,"*OK*")*2) + COUNTIF(AO224:AQ224,"*OK*")+COUNTIF(AZ224:AZ224,"SI")*0.5</f>
        <v>0</v>
      </c>
      <c r="BB224" s="471" t="str">
        <f>IF(BA224&lt;0.6,"Demasiado Riesgo",IF(BA224&lt;=5,"Riesgo Medio",IF(BA224&lt;=11,"Riesgo Bajo","Cliente Blindado")))</f>
        <v>Demasiado Riesgo</v>
      </c>
      <c r="BC224" s="471"/>
      <c r="BD224" s="471"/>
      <c r="BE224" s="471">
        <v>0</v>
      </c>
      <c r="BF224" s="471"/>
      <c r="BG224" s="471"/>
      <c r="BH224" s="471"/>
      <c r="BI224" s="471"/>
      <c r="BJ224" s="471"/>
      <c r="BK224" s="471"/>
      <c r="BL224" s="471"/>
      <c r="BM224" s="471"/>
      <c r="BN224" s="471"/>
      <c r="BO224" s="471"/>
      <c r="BP224" s="471"/>
      <c r="BQ224" s="471"/>
      <c r="BR224" s="471"/>
      <c r="BS224" s="471"/>
      <c r="BT224" s="471"/>
      <c r="BU224" s="471"/>
      <c r="BV224" s="471"/>
      <c r="BW224" s="471"/>
      <c r="BX224" s="471"/>
      <c r="BY224" s="471"/>
      <c r="BZ224" s="471"/>
      <c r="CA224" s="471">
        <f>COUNTIF(AI224:AW224,"*OK*")</f>
        <v>0</v>
      </c>
      <c r="CB224" s="471"/>
      <c r="CC224" s="471">
        <f>COUNTIF(AI224:AW224,"*OP*")</f>
        <v>0</v>
      </c>
    </row>
    <row r="225" spans="1:81" ht="15" customHeight="1">
      <c r="A225" s="470"/>
      <c r="B225" s="471"/>
      <c r="C225" s="451">
        <f>T225</f>
        <v>38.9</v>
      </c>
      <c r="D225" s="471">
        <f>COUNTIF(AM225:AX225,"OK")</f>
        <v>0</v>
      </c>
      <c r="E225" s="471"/>
      <c r="F225" s="471" t="s">
        <v>779</v>
      </c>
      <c r="G225" s="471"/>
      <c r="H225" s="474"/>
      <c r="I225" s="474"/>
      <c r="J225" s="471"/>
      <c r="K225" s="491" t="s">
        <v>68</v>
      </c>
      <c r="L225" s="453" t="s">
        <v>461</v>
      </c>
      <c r="M225" s="471"/>
      <c r="N225" s="484"/>
      <c r="O225" s="457"/>
      <c r="P225" s="457"/>
      <c r="Q225" s="457"/>
      <c r="R225" s="458"/>
      <c r="S225" s="459">
        <v>45.882899999999999</v>
      </c>
      <c r="T225" s="498">
        <v>38.9</v>
      </c>
      <c r="U225" s="479"/>
      <c r="V225" s="480" t="s">
        <v>59</v>
      </c>
      <c r="W225" s="471"/>
      <c r="X225" s="493"/>
      <c r="Y225" s="483"/>
      <c r="Z225" s="484"/>
      <c r="AA225" s="494" t="s">
        <v>59</v>
      </c>
      <c r="AB225" s="474"/>
      <c r="AC225" s="471"/>
      <c r="AD225" s="471"/>
      <c r="AE225" s="471"/>
      <c r="AF225" s="471"/>
      <c r="AG225" s="471"/>
      <c r="AH225" s="494"/>
      <c r="AI225" s="467"/>
      <c r="AJ225" s="467"/>
      <c r="AK225" s="467"/>
      <c r="AL225" s="467"/>
      <c r="AM225" s="467"/>
      <c r="AN225" s="467"/>
      <c r="AO225" s="467"/>
      <c r="AP225" s="467"/>
      <c r="AQ225" s="467"/>
      <c r="AR225" s="467"/>
      <c r="AS225" s="467"/>
      <c r="AT225" s="467"/>
      <c r="AU225" s="467"/>
      <c r="AV225" s="467"/>
      <c r="AW225" s="467"/>
      <c r="AX225" s="467"/>
      <c r="AY225" s="486">
        <f>COUNTIF(AI225:AX225,"*OP*")</f>
        <v>0</v>
      </c>
      <c r="AZ225" s="485" t="s">
        <v>59</v>
      </c>
      <c r="BA225" s="471">
        <f>(COUNTIF(AI225:AK225,"*OK*")*3) + (COUNTIF(AL225:AN225,"*OK*")*2) + COUNTIF(AO225:AQ225,"*OK*")+COUNTIF(AZ225:AZ225,"SI")*0.5</f>
        <v>0</v>
      </c>
      <c r="BB225" s="471" t="str">
        <f>IF(BA225&lt;0.6,"Demasiado Riesgo",IF(BA225&lt;=5,"Riesgo Medio",IF(BA225&lt;=11,"Riesgo Bajo","Cliente Blindado")))</f>
        <v>Demasiado Riesgo</v>
      </c>
      <c r="BC225" s="471"/>
      <c r="BD225" s="471"/>
      <c r="BE225" s="471"/>
      <c r="BF225" s="471"/>
      <c r="BG225" s="471"/>
      <c r="BH225" s="471"/>
      <c r="BI225" s="471"/>
      <c r="BJ225" s="471"/>
      <c r="BK225" s="471"/>
      <c r="BL225" s="471"/>
      <c r="BM225" s="471"/>
      <c r="BN225" s="471"/>
      <c r="BO225" s="471"/>
      <c r="BP225" s="471"/>
      <c r="BQ225" s="471"/>
      <c r="BR225" s="471"/>
      <c r="BS225" s="471"/>
      <c r="BT225" s="471"/>
      <c r="BU225" s="471"/>
      <c r="BV225" s="471"/>
      <c r="BW225" s="471"/>
      <c r="BX225" s="471"/>
      <c r="BY225" s="471"/>
      <c r="BZ225" s="471"/>
      <c r="CA225" s="471">
        <f>COUNTIF(AI225:AW225,"*OK*")</f>
        <v>0</v>
      </c>
      <c r="CB225" s="471"/>
      <c r="CC225" s="471">
        <f>COUNTIF(AI225:AW225,"*OP*")</f>
        <v>0</v>
      </c>
    </row>
    <row r="226" spans="1:81" ht="15" customHeight="1">
      <c r="A226" s="470">
        <v>36465</v>
      </c>
      <c r="B226" s="471"/>
      <c r="C226" s="451">
        <f>T226</f>
        <v>40</v>
      </c>
      <c r="D226" s="471">
        <f>COUNTIF(AI226:AW226,"*OK*")</f>
        <v>0</v>
      </c>
      <c r="E226" s="471"/>
      <c r="F226" s="473" t="s">
        <v>780</v>
      </c>
      <c r="G226" s="473"/>
      <c r="H226" s="474"/>
      <c r="I226" s="474"/>
      <c r="J226" s="473"/>
      <c r="K226" s="475" t="s">
        <v>68</v>
      </c>
      <c r="L226" s="453" t="s">
        <v>461</v>
      </c>
      <c r="M226" s="473"/>
      <c r="N226" s="484" t="s">
        <v>156</v>
      </c>
      <c r="O226" s="477"/>
      <c r="P226" s="477"/>
      <c r="Q226" s="477">
        <v>50.26</v>
      </c>
      <c r="R226" s="478">
        <v>51.87</v>
      </c>
      <c r="S226" s="459">
        <v>40.439799999999998</v>
      </c>
      <c r="T226" s="487">
        <v>40</v>
      </c>
      <c r="U226" s="479"/>
      <c r="V226" s="480">
        <v>100</v>
      </c>
      <c r="W226" s="481"/>
      <c r="X226" s="482" t="s">
        <v>70</v>
      </c>
      <c r="Y226" s="483" t="s">
        <v>71</v>
      </c>
      <c r="Z226" s="484" t="s">
        <v>781</v>
      </c>
      <c r="AA226" s="480" t="s">
        <v>71</v>
      </c>
      <c r="AB226" s="474"/>
      <c r="AC226" s="471"/>
      <c r="AD226" s="471"/>
      <c r="AE226" s="471"/>
      <c r="AF226" s="471"/>
      <c r="AG226" s="471"/>
      <c r="AH226" s="494" t="s">
        <v>59</v>
      </c>
      <c r="AI226" s="467"/>
      <c r="AJ226" s="467"/>
      <c r="AK226" s="467"/>
      <c r="AL226" s="467"/>
      <c r="AM226" s="467"/>
      <c r="AN226" s="467"/>
      <c r="AO226" s="467"/>
      <c r="AP226" s="467"/>
      <c r="AQ226" s="467"/>
      <c r="AR226" s="467"/>
      <c r="AS226" s="467"/>
      <c r="AT226" s="467"/>
      <c r="AU226" s="467"/>
      <c r="AV226" s="467"/>
      <c r="AW226" s="467"/>
      <c r="AX226" s="467"/>
      <c r="AY226" s="486">
        <f>COUNTIF(AI226:AX226,"*OP*")</f>
        <v>0</v>
      </c>
      <c r="AZ226" s="485" t="s">
        <v>59</v>
      </c>
      <c r="BA226" s="471">
        <f>(COUNTIF(AI226:AK226,"*OK*")*3) + (COUNTIF(AL226:AN226,"*OK*")*2) + COUNTIF(AO226:AQ226,"*OK*")+COUNTIF(AZ226:AZ226,"SI")*0.5</f>
        <v>0</v>
      </c>
      <c r="BB226" s="471" t="str">
        <f>IF(BA226&lt;0.6,"Demasiado Riesgo",IF(BA226&lt;=5,"Riesgo Medio",IF(BA226&lt;=11,"Riesgo Bajo","Cliente Blindado")))</f>
        <v>Demasiado Riesgo</v>
      </c>
      <c r="BC226" s="471"/>
      <c r="BD226" s="471"/>
      <c r="BE226" s="471">
        <v>0</v>
      </c>
      <c r="BF226" s="471"/>
      <c r="BG226" s="471"/>
      <c r="BH226" s="471"/>
      <c r="BI226" s="471"/>
      <c r="BJ226" s="471"/>
      <c r="BK226" s="471"/>
      <c r="BL226" s="471"/>
      <c r="BM226" s="471"/>
      <c r="BN226" s="471"/>
      <c r="BO226" s="471"/>
      <c r="BP226" s="471"/>
      <c r="BQ226" s="471"/>
      <c r="BR226" s="471"/>
      <c r="BS226" s="471"/>
      <c r="BT226" s="471"/>
      <c r="BU226" s="471"/>
      <c r="BV226" s="471"/>
      <c r="BW226" s="471"/>
      <c r="BX226" s="471"/>
      <c r="BY226" s="471"/>
      <c r="BZ226" s="471"/>
      <c r="CA226" s="471">
        <f>COUNTIF(AI226:AW226,"*OK*")</f>
        <v>0</v>
      </c>
      <c r="CB226" s="471"/>
      <c r="CC226" s="471">
        <f>COUNTIF(AI226:AW226,"*OP*")</f>
        <v>0</v>
      </c>
    </row>
    <row r="227" spans="1:81" ht="15" customHeight="1">
      <c r="A227" s="470">
        <v>32597</v>
      </c>
      <c r="B227" s="471"/>
      <c r="C227" s="451">
        <f>T227</f>
        <v>42.66</v>
      </c>
      <c r="D227" s="471">
        <f>COUNTIF(AI227:AW227,"*OK*")</f>
        <v>0</v>
      </c>
      <c r="E227" s="471"/>
      <c r="F227" s="473" t="s">
        <v>782</v>
      </c>
      <c r="G227" s="473"/>
      <c r="H227" s="474"/>
      <c r="I227" s="474"/>
      <c r="J227" s="473"/>
      <c r="K227" s="473" t="s">
        <v>68</v>
      </c>
      <c r="L227" s="453" t="s">
        <v>461</v>
      </c>
      <c r="M227" s="473"/>
      <c r="N227" s="484" t="s">
        <v>65</v>
      </c>
      <c r="O227" s="477">
        <v>125.1</v>
      </c>
      <c r="P227" s="477">
        <v>100.95</v>
      </c>
      <c r="Q227" s="477">
        <v>91.62</v>
      </c>
      <c r="R227" s="478">
        <v>94.57</v>
      </c>
      <c r="S227" s="459">
        <v>76.6738</v>
      </c>
      <c r="T227" s="487">
        <v>42.66</v>
      </c>
      <c r="U227" s="479"/>
      <c r="V227" s="480">
        <v>50</v>
      </c>
      <c r="W227" s="481"/>
      <c r="X227" s="572" t="s">
        <v>70</v>
      </c>
      <c r="Y227" s="483" t="s">
        <v>71</v>
      </c>
      <c r="Z227" s="484" t="s">
        <v>783</v>
      </c>
      <c r="AA227" s="480" t="s">
        <v>59</v>
      </c>
      <c r="AB227" s="474"/>
      <c r="AC227" s="471"/>
      <c r="AD227" s="471"/>
      <c r="AE227" s="471"/>
      <c r="AF227" s="471"/>
      <c r="AG227" s="471"/>
      <c r="AH227" s="494" t="s">
        <v>59</v>
      </c>
      <c r="AI227" s="467"/>
      <c r="AJ227" s="467"/>
      <c r="AK227" s="467"/>
      <c r="AL227" s="467"/>
      <c r="AM227" s="467"/>
      <c r="AN227" s="467"/>
      <c r="AO227" s="467"/>
      <c r="AP227" s="467"/>
      <c r="AQ227" s="467"/>
      <c r="AR227" s="467"/>
      <c r="AS227" s="467"/>
      <c r="AT227" s="467"/>
      <c r="AU227" s="467"/>
      <c r="AV227" s="467"/>
      <c r="AW227" s="467"/>
      <c r="AX227" s="467"/>
      <c r="AY227" s="486">
        <f>COUNTIF(AI227:AX227,"*OP*")</f>
        <v>0</v>
      </c>
      <c r="AZ227" s="485" t="s">
        <v>59</v>
      </c>
      <c r="BA227" s="471">
        <f>(COUNTIF(AI227:AK227,"*OK*")*3) + (COUNTIF(AL227:AN227,"*OK*")*2) + COUNTIF(AO227:AQ227,"*OK*")+COUNTIF(AZ227:AZ227,"SI")*0.5</f>
        <v>0</v>
      </c>
      <c r="BB227" s="471" t="str">
        <f>IF(BA227&lt;0.6,"Demasiado Riesgo",IF(BA227&lt;=5,"Riesgo Medio",IF(BA227&lt;=11,"Riesgo Bajo","Cliente Blindado")))</f>
        <v>Demasiado Riesgo</v>
      </c>
      <c r="BC227" s="471"/>
      <c r="BD227" s="471"/>
      <c r="BE227" s="471">
        <v>0</v>
      </c>
      <c r="BF227" s="471"/>
      <c r="BG227" s="471"/>
      <c r="BH227" s="471"/>
      <c r="BI227" s="471"/>
      <c r="BJ227" s="471"/>
      <c r="BK227" s="471"/>
      <c r="BL227" s="471"/>
      <c r="BM227" s="471"/>
      <c r="BN227" s="471"/>
      <c r="BO227" s="471"/>
      <c r="BP227" s="471"/>
      <c r="BQ227" s="471"/>
      <c r="BR227" s="471"/>
      <c r="BS227" s="471"/>
      <c r="BT227" s="471"/>
      <c r="BU227" s="471"/>
      <c r="BV227" s="471"/>
      <c r="BW227" s="471"/>
      <c r="BX227" s="471"/>
      <c r="BY227" s="471"/>
      <c r="BZ227" s="471"/>
      <c r="CA227" s="471">
        <f>COUNTIF(AI227:AW227,"*OK*")</f>
        <v>0</v>
      </c>
      <c r="CB227" s="471"/>
      <c r="CC227" s="471">
        <f>COUNTIF(AI227:AW227,"*OP*")</f>
        <v>0</v>
      </c>
    </row>
    <row r="228" spans="1:81" ht="15" customHeight="1">
      <c r="A228" s="449"/>
      <c r="B228" s="450"/>
      <c r="C228" s="451">
        <f>T228</f>
        <v>44.15</v>
      </c>
      <c r="D228" s="450">
        <f>COUNTIF(AI228:AW228,"*OK*")</f>
        <v>0</v>
      </c>
      <c r="E228" s="450"/>
      <c r="F228" s="453" t="s">
        <v>784</v>
      </c>
      <c r="G228" s="453"/>
      <c r="H228" s="454"/>
      <c r="I228" s="454"/>
      <c r="J228" s="453"/>
      <c r="K228" s="453" t="s">
        <v>68</v>
      </c>
      <c r="L228" s="453" t="s">
        <v>461</v>
      </c>
      <c r="M228" s="453"/>
      <c r="N228" s="466" t="s">
        <v>65</v>
      </c>
      <c r="O228" s="457">
        <v>51.72</v>
      </c>
      <c r="P228" s="457">
        <v>41.34</v>
      </c>
      <c r="Q228" s="457">
        <v>42.67</v>
      </c>
      <c r="R228" s="458">
        <v>50.82</v>
      </c>
      <c r="S228" s="459">
        <v>48.074800000000003</v>
      </c>
      <c r="T228" s="469">
        <v>44.15</v>
      </c>
      <c r="U228" s="461"/>
      <c r="V228" s="462">
        <v>50</v>
      </c>
      <c r="W228" s="463"/>
      <c r="X228" s="562" t="s">
        <v>70</v>
      </c>
      <c r="Y228" s="465" t="s">
        <v>71</v>
      </c>
      <c r="Z228" s="466" t="s">
        <v>72</v>
      </c>
      <c r="AA228" s="462" t="s">
        <v>59</v>
      </c>
      <c r="AB228" s="454"/>
      <c r="AC228" s="450"/>
      <c r="AD228" s="450"/>
      <c r="AE228" s="450"/>
      <c r="AF228" s="450"/>
      <c r="AG228" s="450"/>
      <c r="AH228" s="496" t="s">
        <v>59</v>
      </c>
      <c r="AI228" s="467"/>
      <c r="AJ228" s="467"/>
      <c r="AK228" s="467"/>
      <c r="AL228" s="467"/>
      <c r="AM228" s="467"/>
      <c r="AN228" s="467"/>
      <c r="AO228" s="467"/>
      <c r="AP228" s="467"/>
      <c r="AQ228" s="467"/>
      <c r="AR228" s="467"/>
      <c r="AS228" s="467"/>
      <c r="AT228" s="467"/>
      <c r="AU228" s="467"/>
      <c r="AV228" s="467"/>
      <c r="AW228" s="467"/>
      <c r="AX228" s="467"/>
      <c r="AY228" s="486">
        <f>COUNTIF(AI228:AX228,"*OP*")</f>
        <v>0</v>
      </c>
      <c r="AZ228" s="499" t="s">
        <v>59</v>
      </c>
      <c r="BA228" s="450">
        <f>(COUNTIF(AI228:AK228,"*OK*")*3) + (COUNTIF(AL228:AN228,"*OK*")*2) + COUNTIF(AO228:AQ228,"*OK*")+COUNTIF(AZ228:AZ228,"SI")*0.5</f>
        <v>0</v>
      </c>
      <c r="BB228" s="450" t="str">
        <f>IF(BA228&lt;0.6,"Demasiado Riesgo",IF(BA228&lt;=5,"Riesgo Medio",IF(BA228&lt;=11,"Riesgo Bajo","Cliente Blindado")))</f>
        <v>Demasiado Riesgo</v>
      </c>
      <c r="BC228" s="450"/>
      <c r="BD228" s="450"/>
      <c r="BE228" s="450">
        <v>0</v>
      </c>
      <c r="BF228" s="450"/>
      <c r="BG228" s="450"/>
      <c r="BH228" s="450"/>
      <c r="BI228" s="450"/>
      <c r="BJ228" s="450"/>
      <c r="BK228" s="450"/>
      <c r="BL228" s="450"/>
      <c r="BM228" s="450"/>
      <c r="BN228" s="450"/>
      <c r="BO228" s="450"/>
      <c r="BP228" s="450"/>
      <c r="BQ228" s="450"/>
      <c r="BR228" s="450"/>
      <c r="BS228" s="450"/>
      <c r="BT228" s="450"/>
      <c r="BU228" s="450"/>
      <c r="BV228" s="450"/>
      <c r="BW228" s="450"/>
      <c r="BX228" s="450"/>
      <c r="BY228" s="450"/>
      <c r="BZ228" s="450"/>
      <c r="CA228" s="450">
        <f>COUNTIF(AI228:AW228,"*OK*")</f>
        <v>0</v>
      </c>
      <c r="CB228" s="450"/>
      <c r="CC228" s="450">
        <f>COUNTIF(AI228:AW228,"*OP*")</f>
        <v>0</v>
      </c>
    </row>
    <row r="229" spans="1:81" ht="15" customHeight="1">
      <c r="A229" s="449">
        <v>35630</v>
      </c>
      <c r="B229" s="450"/>
      <c r="C229" s="451">
        <f>T229</f>
        <v>45.71</v>
      </c>
      <c r="D229" s="450">
        <f>COUNTIF(AI229:AW229,"*OK*")</f>
        <v>0</v>
      </c>
      <c r="E229" s="450"/>
      <c r="F229" s="453" t="s">
        <v>785</v>
      </c>
      <c r="G229" s="453"/>
      <c r="H229" s="454"/>
      <c r="I229" s="454"/>
      <c r="J229" s="453"/>
      <c r="K229" s="455" t="s">
        <v>68</v>
      </c>
      <c r="L229" s="453" t="s">
        <v>461</v>
      </c>
      <c r="M229" s="453"/>
      <c r="N229" s="466" t="s">
        <v>156</v>
      </c>
      <c r="O229" s="457">
        <v>46.4</v>
      </c>
      <c r="P229" s="457">
        <v>46.36</v>
      </c>
      <c r="Q229" s="457">
        <v>44.18</v>
      </c>
      <c r="R229" s="458">
        <v>45.6</v>
      </c>
      <c r="S229" s="459">
        <v>46.216900000000003</v>
      </c>
      <c r="T229" s="469">
        <v>45.71</v>
      </c>
      <c r="U229" s="461"/>
      <c r="V229" s="462">
        <v>50</v>
      </c>
      <c r="W229" s="463"/>
      <c r="X229" s="567" t="s">
        <v>70</v>
      </c>
      <c r="Y229" s="465" t="s">
        <v>71</v>
      </c>
      <c r="Z229" s="466" t="s">
        <v>786</v>
      </c>
      <c r="AA229" s="462" t="s">
        <v>71</v>
      </c>
      <c r="AB229" s="454"/>
      <c r="AC229" s="450"/>
      <c r="AD229" s="450"/>
      <c r="AE229" s="450"/>
      <c r="AF229" s="450"/>
      <c r="AG229" s="450"/>
      <c r="AH229" s="496" t="s">
        <v>59</v>
      </c>
      <c r="AI229" s="467"/>
      <c r="AJ229" s="467"/>
      <c r="AK229" s="467"/>
      <c r="AL229" s="467"/>
      <c r="AM229" s="467"/>
      <c r="AN229" s="467"/>
      <c r="AO229" s="467"/>
      <c r="AP229" s="467"/>
      <c r="AQ229" s="467"/>
      <c r="AR229" s="467"/>
      <c r="AS229" s="467"/>
      <c r="AT229" s="467"/>
      <c r="AU229" s="467"/>
      <c r="AV229" s="467"/>
      <c r="AW229" s="467"/>
      <c r="AX229" s="467"/>
      <c r="AY229" s="486">
        <f>COUNTIF(AI229:AX229,"*OP*")</f>
        <v>0</v>
      </c>
      <c r="AZ229" s="499" t="s">
        <v>59</v>
      </c>
      <c r="BA229" s="450">
        <f>(COUNTIF(AI229:AK229,"*OK*")*3) + (COUNTIF(AL229:AN229,"*OK*")*2) + COUNTIF(AO229:AQ229,"*OK*")+COUNTIF(AZ229:AZ229,"SI")*0.5</f>
        <v>0</v>
      </c>
      <c r="BB229" s="450" t="str">
        <f>IF(BA229&lt;0.6,"Demasiado Riesgo",IF(BA229&lt;=5,"Riesgo Medio",IF(BA229&lt;=11,"Riesgo Bajo","Cliente Blindado")))</f>
        <v>Demasiado Riesgo</v>
      </c>
      <c r="BC229" s="450"/>
      <c r="BD229" s="450"/>
      <c r="BE229" s="450">
        <v>0</v>
      </c>
      <c r="BF229" s="450"/>
      <c r="BG229" s="450"/>
      <c r="BH229" s="450"/>
      <c r="BI229" s="450"/>
      <c r="BJ229" s="450"/>
      <c r="BK229" s="450"/>
      <c r="BL229" s="450"/>
      <c r="BM229" s="450"/>
      <c r="BN229" s="450"/>
      <c r="BO229" s="450"/>
      <c r="BP229" s="450"/>
      <c r="BQ229" s="450"/>
      <c r="BR229" s="450"/>
      <c r="BS229" s="450"/>
      <c r="BT229" s="450"/>
      <c r="BU229" s="450"/>
      <c r="BV229" s="450"/>
      <c r="BW229" s="450"/>
      <c r="BX229" s="450"/>
      <c r="BY229" s="450"/>
      <c r="BZ229" s="450"/>
      <c r="CA229" s="450">
        <f>COUNTIF(AI229:AW229,"*OK*")</f>
        <v>0</v>
      </c>
      <c r="CB229" s="450"/>
      <c r="CC229" s="450">
        <f>COUNTIF(AI229:AW229,"*OP*")</f>
        <v>0</v>
      </c>
    </row>
    <row r="230" spans="1:81" ht="15" customHeight="1">
      <c r="A230" s="470">
        <v>33286</v>
      </c>
      <c r="B230" s="471"/>
      <c r="C230" s="451">
        <f>T230</f>
        <v>46.21</v>
      </c>
      <c r="D230" s="471">
        <f>COUNTIF(AI230:AW230,"*OK*")</f>
        <v>0</v>
      </c>
      <c r="E230" s="471"/>
      <c r="F230" s="473" t="s">
        <v>787</v>
      </c>
      <c r="G230" s="473"/>
      <c r="H230" s="474"/>
      <c r="I230" s="474"/>
      <c r="J230" s="473"/>
      <c r="K230" s="473" t="s">
        <v>68</v>
      </c>
      <c r="L230" s="453" t="s">
        <v>461</v>
      </c>
      <c r="M230" s="473"/>
      <c r="N230" s="484" t="s">
        <v>65</v>
      </c>
      <c r="O230" s="477">
        <v>43.3</v>
      </c>
      <c r="P230" s="477">
        <v>46.87</v>
      </c>
      <c r="Q230" s="477">
        <v>44.66</v>
      </c>
      <c r="R230" s="478">
        <v>46.1</v>
      </c>
      <c r="S230" s="459">
        <v>46.721200000000003</v>
      </c>
      <c r="T230" s="487">
        <v>46.21</v>
      </c>
      <c r="U230" s="479"/>
      <c r="V230" s="480">
        <v>50</v>
      </c>
      <c r="W230" s="481"/>
      <c r="X230" s="493" t="s">
        <v>283</v>
      </c>
      <c r="Y230" s="483" t="s">
        <v>80</v>
      </c>
      <c r="Z230" s="484" t="s">
        <v>788</v>
      </c>
      <c r="AA230" s="480" t="s">
        <v>59</v>
      </c>
      <c r="AB230" s="474"/>
      <c r="AC230" s="471"/>
      <c r="AD230" s="471"/>
      <c r="AE230" s="471"/>
      <c r="AF230" s="471"/>
      <c r="AG230" s="471"/>
      <c r="AH230" s="494" t="s">
        <v>59</v>
      </c>
      <c r="AI230" s="467"/>
      <c r="AJ230" s="467"/>
      <c r="AK230" s="467"/>
      <c r="AL230" s="467"/>
      <c r="AM230" s="467"/>
      <c r="AN230" s="467"/>
      <c r="AO230" s="467"/>
      <c r="AP230" s="467"/>
      <c r="AQ230" s="467"/>
      <c r="AR230" s="467"/>
      <c r="AS230" s="467"/>
      <c r="AT230" s="467"/>
      <c r="AU230" s="467"/>
      <c r="AV230" s="467"/>
      <c r="AW230" s="467"/>
      <c r="AX230" s="467"/>
      <c r="AY230" s="486">
        <f>COUNTIF(AI230:AX230,"*OP*")</f>
        <v>0</v>
      </c>
      <c r="AZ230" s="485" t="s">
        <v>59</v>
      </c>
      <c r="BA230" s="471">
        <f>(COUNTIF(AI230:AK230,"*OK*")*3) + (COUNTIF(AL230:AN230,"*OK*")*2) + COUNTIF(AO230:AQ230,"*OK*")+COUNTIF(AZ230:AZ230,"SI")*0.5</f>
        <v>0</v>
      </c>
      <c r="BB230" s="471" t="str">
        <f>IF(BA230&lt;0.6,"Demasiado Riesgo",IF(BA230&lt;=5,"Riesgo Medio",IF(BA230&lt;=11,"Riesgo Bajo","Cliente Blindado")))</f>
        <v>Demasiado Riesgo</v>
      </c>
      <c r="BC230" s="471"/>
      <c r="BD230" s="471"/>
      <c r="BE230" s="471">
        <v>0</v>
      </c>
      <c r="BF230" s="471"/>
      <c r="BG230" s="471"/>
      <c r="BH230" s="471"/>
      <c r="BI230" s="471"/>
      <c r="BJ230" s="471"/>
      <c r="BK230" s="471"/>
      <c r="BL230" s="471"/>
      <c r="BM230" s="471"/>
      <c r="BN230" s="471"/>
      <c r="BO230" s="471"/>
      <c r="BP230" s="471"/>
      <c r="BQ230" s="471"/>
      <c r="BR230" s="471"/>
      <c r="BS230" s="471"/>
      <c r="BT230" s="471"/>
      <c r="BU230" s="471"/>
      <c r="BV230" s="471"/>
      <c r="BW230" s="471"/>
      <c r="BX230" s="471"/>
      <c r="BY230" s="471"/>
      <c r="BZ230" s="471"/>
      <c r="CA230" s="471">
        <f>COUNTIF(AI230:AW230,"*OK*")</f>
        <v>0</v>
      </c>
      <c r="CB230" s="471"/>
      <c r="CC230" s="471">
        <f>COUNTIF(AI230:AW230,"*OP*")</f>
        <v>0</v>
      </c>
    </row>
    <row r="231" spans="1:81" ht="15" customHeight="1">
      <c r="A231" s="470">
        <v>24347</v>
      </c>
      <c r="B231" s="471"/>
      <c r="C231" s="451">
        <f>T231</f>
        <v>46.31</v>
      </c>
      <c r="D231" s="471">
        <f>COUNTIF(AI231:AW231,"*OK*")</f>
        <v>0</v>
      </c>
      <c r="E231" s="471"/>
      <c r="F231" s="473" t="s">
        <v>789</v>
      </c>
      <c r="G231" s="473"/>
      <c r="H231" s="474"/>
      <c r="I231" s="474"/>
      <c r="J231" s="473"/>
      <c r="K231" s="473" t="s">
        <v>68</v>
      </c>
      <c r="L231" s="453" t="s">
        <v>461</v>
      </c>
      <c r="M231" s="473"/>
      <c r="N231" s="484" t="s">
        <v>156</v>
      </c>
      <c r="O231" s="477">
        <v>47.01</v>
      </c>
      <c r="P231" s="477">
        <v>46.96</v>
      </c>
      <c r="Q231" s="477">
        <v>44.76</v>
      </c>
      <c r="R231" s="478">
        <v>46.2</v>
      </c>
      <c r="S231" s="459">
        <v>46.818800000000003</v>
      </c>
      <c r="T231" s="487">
        <v>46.31</v>
      </c>
      <c r="U231" s="479"/>
      <c r="V231" s="480">
        <v>50</v>
      </c>
      <c r="W231" s="481"/>
      <c r="X231" s="572" t="s">
        <v>70</v>
      </c>
      <c r="Y231" s="483" t="s">
        <v>299</v>
      </c>
      <c r="Z231" s="484" t="s">
        <v>790</v>
      </c>
      <c r="AA231" s="480" t="s">
        <v>59</v>
      </c>
      <c r="AB231" s="474"/>
      <c r="AC231" s="471"/>
      <c r="AD231" s="471"/>
      <c r="AE231" s="471"/>
      <c r="AF231" s="471"/>
      <c r="AG231" s="471"/>
      <c r="AH231" s="494" t="s">
        <v>59</v>
      </c>
      <c r="AI231" s="467"/>
      <c r="AJ231" s="467"/>
      <c r="AK231" s="467"/>
      <c r="AL231" s="467"/>
      <c r="AM231" s="467"/>
      <c r="AN231" s="467"/>
      <c r="AO231" s="467"/>
      <c r="AP231" s="467"/>
      <c r="AQ231" s="467"/>
      <c r="AR231" s="467"/>
      <c r="AS231" s="467"/>
      <c r="AT231" s="467"/>
      <c r="AU231" s="467"/>
      <c r="AV231" s="467"/>
      <c r="AW231" s="467"/>
      <c r="AX231" s="467"/>
      <c r="AY231" s="486">
        <f>COUNTIF(AI231:AX231,"*OP*")</f>
        <v>0</v>
      </c>
      <c r="AZ231" s="485" t="s">
        <v>59</v>
      </c>
      <c r="BA231" s="471">
        <f>(COUNTIF(AI231:AK231,"*OK*")*3) + (COUNTIF(AL231:AN231,"*OK*")*2) + COUNTIF(AO231:AQ231,"*OK*")+COUNTIF(AZ231:AZ231,"SI")*0.5</f>
        <v>0</v>
      </c>
      <c r="BB231" s="471" t="str">
        <f>IF(BA231&lt;0.6,"Demasiado Riesgo",IF(BA231&lt;=5,"Riesgo Medio",IF(BA231&lt;=11,"Riesgo Bajo","Cliente Blindado")))</f>
        <v>Demasiado Riesgo</v>
      </c>
      <c r="BC231" s="471"/>
      <c r="BD231" s="471"/>
      <c r="BE231" s="471">
        <v>0</v>
      </c>
      <c r="BF231" s="471"/>
      <c r="BG231" s="471"/>
      <c r="BH231" s="471"/>
      <c r="BI231" s="471"/>
      <c r="BJ231" s="471"/>
      <c r="BK231" s="471"/>
      <c r="BL231" s="471"/>
      <c r="BM231" s="471"/>
      <c r="BN231" s="471"/>
      <c r="BO231" s="471"/>
      <c r="BP231" s="471"/>
      <c r="BQ231" s="471"/>
      <c r="BR231" s="471"/>
      <c r="BS231" s="471"/>
      <c r="BT231" s="471"/>
      <c r="BU231" s="471"/>
      <c r="BV231" s="471"/>
      <c r="BW231" s="471"/>
      <c r="BX231" s="471"/>
      <c r="BY231" s="471"/>
      <c r="BZ231" s="471"/>
      <c r="CA231" s="471">
        <f>COUNTIF(AI231:AW231,"*OK*")</f>
        <v>0</v>
      </c>
      <c r="CB231" s="471"/>
      <c r="CC231" s="471">
        <f>COUNTIF(AI231:AW231,"*OP*")</f>
        <v>0</v>
      </c>
    </row>
    <row r="232" spans="1:81" ht="15" customHeight="1">
      <c r="A232" s="449">
        <v>21885</v>
      </c>
      <c r="B232" s="450"/>
      <c r="C232" s="451">
        <f>T232</f>
        <v>46.31</v>
      </c>
      <c r="D232" s="450">
        <f>COUNTIF(AI232:AW232,"*OK*")</f>
        <v>0</v>
      </c>
      <c r="E232" s="450"/>
      <c r="F232" s="453" t="s">
        <v>791</v>
      </c>
      <c r="G232" s="453"/>
      <c r="H232" s="454"/>
      <c r="I232" s="454"/>
      <c r="J232" s="453"/>
      <c r="K232" s="453" t="s">
        <v>68</v>
      </c>
      <c r="L232" s="453" t="s">
        <v>461</v>
      </c>
      <c r="M232" s="453"/>
      <c r="N232" s="466" t="s">
        <v>65</v>
      </c>
      <c r="O232" s="457">
        <v>47.01</v>
      </c>
      <c r="P232" s="457">
        <v>46.96</v>
      </c>
      <c r="Q232" s="457">
        <v>44.76</v>
      </c>
      <c r="R232" s="458">
        <v>46.2</v>
      </c>
      <c r="S232" s="459">
        <v>46.818800000000003</v>
      </c>
      <c r="T232" s="469">
        <v>46.31</v>
      </c>
      <c r="U232" s="461"/>
      <c r="V232" s="462">
        <v>50</v>
      </c>
      <c r="W232" s="463"/>
      <c r="X232" s="567" t="s">
        <v>70</v>
      </c>
      <c r="Y232" s="465" t="s">
        <v>71</v>
      </c>
      <c r="Z232" s="466" t="s">
        <v>792</v>
      </c>
      <c r="AA232" s="462" t="s">
        <v>59</v>
      </c>
      <c r="AB232" s="454"/>
      <c r="AC232" s="450"/>
      <c r="AD232" s="450"/>
      <c r="AE232" s="450"/>
      <c r="AF232" s="450"/>
      <c r="AG232" s="450"/>
      <c r="AH232" s="496" t="s">
        <v>59</v>
      </c>
      <c r="AI232" s="467"/>
      <c r="AJ232" s="467"/>
      <c r="AK232" s="467"/>
      <c r="AL232" s="467"/>
      <c r="AM232" s="467"/>
      <c r="AN232" s="467"/>
      <c r="AO232" s="467"/>
      <c r="AP232" s="467"/>
      <c r="AQ232" s="467"/>
      <c r="AR232" s="467"/>
      <c r="AS232" s="467"/>
      <c r="AT232" s="467"/>
      <c r="AU232" s="467"/>
      <c r="AV232" s="467"/>
      <c r="AW232" s="467"/>
      <c r="AX232" s="467"/>
      <c r="AY232" s="486">
        <f>COUNTIF(AI232:AX232,"*OP*")</f>
        <v>0</v>
      </c>
      <c r="AZ232" s="499" t="s">
        <v>59</v>
      </c>
      <c r="BA232" s="450">
        <f>(COUNTIF(AI232:AK232,"*OK*")*3) + (COUNTIF(AL232:AN232,"*OK*")*2) + COUNTIF(AO232:AQ232,"*OK*")+COUNTIF(AZ232:AZ232,"SI")*0.5</f>
        <v>0</v>
      </c>
      <c r="BB232" s="450" t="str">
        <f>IF(BA232&lt;0.6,"Demasiado Riesgo",IF(BA232&lt;=5,"Riesgo Medio",IF(BA232&lt;=11,"Riesgo Bajo","Cliente Blindado")))</f>
        <v>Demasiado Riesgo</v>
      </c>
      <c r="BC232" s="450"/>
      <c r="BD232" s="450"/>
      <c r="BE232" s="450">
        <v>0</v>
      </c>
      <c r="BF232" s="450"/>
      <c r="BG232" s="450"/>
      <c r="BH232" s="450"/>
      <c r="BI232" s="450"/>
      <c r="BJ232" s="450"/>
      <c r="BK232" s="450"/>
      <c r="BL232" s="450"/>
      <c r="BM232" s="450"/>
      <c r="BN232" s="450"/>
      <c r="BO232" s="450"/>
      <c r="BP232" s="450"/>
      <c r="BQ232" s="450"/>
      <c r="BR232" s="450"/>
      <c r="BS232" s="450"/>
      <c r="BT232" s="450"/>
      <c r="BU232" s="450"/>
      <c r="BV232" s="450"/>
      <c r="BW232" s="450"/>
      <c r="BX232" s="450"/>
      <c r="BY232" s="450"/>
      <c r="BZ232" s="450"/>
      <c r="CA232" s="450">
        <f>COUNTIF(AI232:AW232,"*OK*")</f>
        <v>0</v>
      </c>
      <c r="CB232" s="450"/>
      <c r="CC232" s="450">
        <f>COUNTIF(AI232:AW232,"*OP*")</f>
        <v>0</v>
      </c>
    </row>
    <row r="233" spans="1:81" ht="15" customHeight="1">
      <c r="A233" s="470"/>
      <c r="B233" s="471"/>
      <c r="C233" s="451">
        <f>T233</f>
        <v>46.31</v>
      </c>
      <c r="D233" s="471">
        <f>COUNTIF(AI233:AW233,"*OK*")</f>
        <v>0</v>
      </c>
      <c r="E233" s="471"/>
      <c r="F233" s="473" t="s">
        <v>793</v>
      </c>
      <c r="G233" s="473"/>
      <c r="H233" s="474"/>
      <c r="I233" s="474"/>
      <c r="J233" s="473"/>
      <c r="K233" s="473" t="s">
        <v>68</v>
      </c>
      <c r="L233" s="453" t="s">
        <v>461</v>
      </c>
      <c r="M233" s="473"/>
      <c r="N233" s="484" t="s">
        <v>65</v>
      </c>
      <c r="O233" s="477">
        <v>47.01</v>
      </c>
      <c r="P233" s="477">
        <v>46.96</v>
      </c>
      <c r="Q233" s="477">
        <v>44.76</v>
      </c>
      <c r="R233" s="478">
        <v>46.2</v>
      </c>
      <c r="S233" s="459">
        <v>46.818800000000003</v>
      </c>
      <c r="T233" s="487">
        <v>46.31</v>
      </c>
      <c r="U233" s="479"/>
      <c r="V233" s="480">
        <v>100</v>
      </c>
      <c r="W233" s="481"/>
      <c r="X233" s="493" t="s">
        <v>198</v>
      </c>
      <c r="Y233" s="483" t="s">
        <v>80</v>
      </c>
      <c r="Z233" s="484" t="s">
        <v>794</v>
      </c>
      <c r="AA233" s="480" t="s">
        <v>59</v>
      </c>
      <c r="AB233" s="474"/>
      <c r="AC233" s="471"/>
      <c r="AD233" s="471"/>
      <c r="AE233" s="471"/>
      <c r="AF233" s="471"/>
      <c r="AG233" s="471"/>
      <c r="AH233" s="494" t="s">
        <v>59</v>
      </c>
      <c r="AI233" s="467"/>
      <c r="AJ233" s="467"/>
      <c r="AK233" s="467"/>
      <c r="AL233" s="467"/>
      <c r="AM233" s="467"/>
      <c r="AN233" s="467"/>
      <c r="AO233" s="467"/>
      <c r="AP233" s="467"/>
      <c r="AQ233" s="467"/>
      <c r="AR233" s="467"/>
      <c r="AS233" s="467"/>
      <c r="AT233" s="467"/>
      <c r="AU233" s="467"/>
      <c r="AV233" s="467"/>
      <c r="AW233" s="467"/>
      <c r="AX233" s="467"/>
      <c r="AY233" s="486">
        <f>COUNTIF(AI233:AX233,"*OP*")</f>
        <v>0</v>
      </c>
      <c r="AZ233" s="485" t="s">
        <v>59</v>
      </c>
      <c r="BA233" s="471">
        <f>(COUNTIF(AI233:AK233,"*OK*")*3) + (COUNTIF(AL233:AN233,"*OK*")*2) + COUNTIF(AO233:AQ233,"*OK*")+COUNTIF(AZ233:AZ233,"SI")*0.5</f>
        <v>0</v>
      </c>
      <c r="BB233" s="471" t="str">
        <f>IF(BA233&lt;0.6,"Demasiado Riesgo",IF(BA233&lt;=5,"Riesgo Medio",IF(BA233&lt;=11,"Riesgo Bajo","Cliente Blindado")))</f>
        <v>Demasiado Riesgo</v>
      </c>
      <c r="BC233" s="471"/>
      <c r="BD233" s="471"/>
      <c r="BE233" s="471">
        <v>0</v>
      </c>
      <c r="BF233" s="471"/>
      <c r="BG233" s="471"/>
      <c r="BH233" s="471"/>
      <c r="BI233" s="471"/>
      <c r="BJ233" s="471"/>
      <c r="BK233" s="471"/>
      <c r="BL233" s="471"/>
      <c r="BM233" s="471"/>
      <c r="BN233" s="471"/>
      <c r="BO233" s="471"/>
      <c r="BP233" s="471"/>
      <c r="BQ233" s="471"/>
      <c r="BR233" s="471"/>
      <c r="BS233" s="471"/>
      <c r="BT233" s="471"/>
      <c r="BU233" s="471"/>
      <c r="BV233" s="471"/>
      <c r="BW233" s="471"/>
      <c r="BX233" s="471"/>
      <c r="BY233" s="471"/>
      <c r="BZ233" s="471"/>
      <c r="CA233" s="471">
        <f>COUNTIF(AI233:AW233,"*OK*")</f>
        <v>0</v>
      </c>
      <c r="CB233" s="471"/>
      <c r="CC233" s="471">
        <f>COUNTIF(AI233:AW233,"*OP*")</f>
        <v>0</v>
      </c>
    </row>
    <row r="234" spans="1:81" ht="15" customHeight="1">
      <c r="A234" s="449">
        <v>25534</v>
      </c>
      <c r="B234" s="450"/>
      <c r="C234" s="451">
        <f>T234</f>
        <v>47.23</v>
      </c>
      <c r="D234" s="450">
        <f>COUNTIF(AI234:AW234,"*OK*")</f>
        <v>0</v>
      </c>
      <c r="E234" s="450"/>
      <c r="F234" s="453" t="s">
        <v>795</v>
      </c>
      <c r="G234" s="453"/>
      <c r="H234" s="454"/>
      <c r="I234" s="454"/>
      <c r="J234" s="453"/>
      <c r="K234" s="453" t="s">
        <v>68</v>
      </c>
      <c r="L234" s="453" t="s">
        <v>461</v>
      </c>
      <c r="M234" s="453"/>
      <c r="N234" s="466" t="s">
        <v>65</v>
      </c>
      <c r="O234" s="457">
        <v>42.3</v>
      </c>
      <c r="P234" s="457">
        <v>42.26</v>
      </c>
      <c r="Q234" s="457">
        <v>40.28</v>
      </c>
      <c r="R234" s="458">
        <v>44.34</v>
      </c>
      <c r="S234" s="459">
        <v>44.941299999999998</v>
      </c>
      <c r="T234" s="460">
        <v>47.23</v>
      </c>
      <c r="U234" s="461"/>
      <c r="V234" s="462">
        <v>50</v>
      </c>
      <c r="W234" s="463"/>
      <c r="X234" s="562" t="s">
        <v>70</v>
      </c>
      <c r="Y234" s="465" t="s">
        <v>80</v>
      </c>
      <c r="Z234" s="466" t="s">
        <v>796</v>
      </c>
      <c r="AA234" s="462" t="s">
        <v>59</v>
      </c>
      <c r="AB234" s="454"/>
      <c r="AC234" s="450"/>
      <c r="AD234" s="450"/>
      <c r="AE234" s="450"/>
      <c r="AF234" s="450"/>
      <c r="AG234" s="450"/>
      <c r="AH234" s="496" t="s">
        <v>59</v>
      </c>
      <c r="AI234" s="467"/>
      <c r="AJ234" s="467"/>
      <c r="AK234" s="467"/>
      <c r="AL234" s="467"/>
      <c r="AM234" s="467"/>
      <c r="AN234" s="467"/>
      <c r="AO234" s="467"/>
      <c r="AP234" s="467"/>
      <c r="AQ234" s="467"/>
      <c r="AR234" s="467"/>
      <c r="AS234" s="467"/>
      <c r="AT234" s="467"/>
      <c r="AU234" s="467"/>
      <c r="AV234" s="467"/>
      <c r="AW234" s="467"/>
      <c r="AX234" s="467"/>
      <c r="AY234" s="486">
        <f>COUNTIF(AI234:AX234,"*OP*")</f>
        <v>0</v>
      </c>
      <c r="AZ234" s="499" t="s">
        <v>59</v>
      </c>
      <c r="BA234" s="450">
        <f>(COUNTIF(AI234:AK234,"*OK*")*3) + (COUNTIF(AL234:AN234,"*OK*")*2) + COUNTIF(AO234:AQ234,"*OK*")+COUNTIF(AZ234:AZ234,"SI")*0.5</f>
        <v>0</v>
      </c>
      <c r="BB234" s="450" t="str">
        <f>IF(BA234&lt;0.6,"Demasiado Riesgo",IF(BA234&lt;=5,"Riesgo Medio",IF(BA234&lt;=11,"Riesgo Bajo","Cliente Blindado")))</f>
        <v>Demasiado Riesgo</v>
      </c>
      <c r="BC234" s="450"/>
      <c r="BD234" s="450"/>
      <c r="BE234" s="450">
        <v>0</v>
      </c>
      <c r="BF234" s="450"/>
      <c r="BG234" s="450"/>
      <c r="BH234" s="450"/>
      <c r="BI234" s="450"/>
      <c r="BJ234" s="450"/>
      <c r="BK234" s="450"/>
      <c r="BL234" s="450"/>
      <c r="BM234" s="450"/>
      <c r="BN234" s="450"/>
      <c r="BO234" s="450"/>
      <c r="BP234" s="450"/>
      <c r="BQ234" s="450"/>
      <c r="BR234" s="450"/>
      <c r="BS234" s="450"/>
      <c r="BT234" s="450"/>
      <c r="BU234" s="450"/>
      <c r="BV234" s="450"/>
      <c r="BW234" s="450"/>
      <c r="BX234" s="450"/>
      <c r="BY234" s="450"/>
      <c r="BZ234" s="450"/>
      <c r="CA234" s="450">
        <f>COUNTIF(AI234:AW234,"*OK*")</f>
        <v>0</v>
      </c>
      <c r="CB234" s="450"/>
      <c r="CC234" s="450">
        <f>COUNTIF(AI234:AW234,"*OP*")</f>
        <v>0</v>
      </c>
    </row>
    <row r="235" spans="1:81" ht="15" customHeight="1">
      <c r="A235" s="449">
        <v>24731</v>
      </c>
      <c r="B235" s="450"/>
      <c r="C235" s="451">
        <f>T235</f>
        <v>47.23</v>
      </c>
      <c r="D235" s="450">
        <f>COUNTIF(AI235:AW235,"*OK*")</f>
        <v>0</v>
      </c>
      <c r="E235" s="450"/>
      <c r="F235" s="453" t="s">
        <v>797</v>
      </c>
      <c r="G235" s="453"/>
      <c r="H235" s="454"/>
      <c r="I235" s="454"/>
      <c r="J235" s="453"/>
      <c r="K235" s="453" t="s">
        <v>68</v>
      </c>
      <c r="L235" s="453" t="s">
        <v>461</v>
      </c>
      <c r="M235" s="453"/>
      <c r="N235" s="466" t="s">
        <v>500</v>
      </c>
      <c r="O235" s="457">
        <v>45.12</v>
      </c>
      <c r="P235" s="457">
        <v>42.26</v>
      </c>
      <c r="Q235" s="457">
        <v>40.28</v>
      </c>
      <c r="R235" s="458">
        <v>41.57</v>
      </c>
      <c r="S235" s="459">
        <v>47.750100000000003</v>
      </c>
      <c r="T235" s="469">
        <v>47.23</v>
      </c>
      <c r="U235" s="461"/>
      <c r="V235" s="462">
        <v>50</v>
      </c>
      <c r="W235" s="463"/>
      <c r="X235" s="562" t="s">
        <v>70</v>
      </c>
      <c r="Y235" s="465" t="s">
        <v>241</v>
      </c>
      <c r="Z235" s="466" t="s">
        <v>798</v>
      </c>
      <c r="AA235" s="462" t="s">
        <v>59</v>
      </c>
      <c r="AB235" s="454"/>
      <c r="AC235" s="450"/>
      <c r="AD235" s="450"/>
      <c r="AE235" s="450"/>
      <c r="AF235" s="450"/>
      <c r="AG235" s="450"/>
      <c r="AH235" s="496" t="s">
        <v>59</v>
      </c>
      <c r="AI235" s="467"/>
      <c r="AJ235" s="467"/>
      <c r="AK235" s="467"/>
      <c r="AL235" s="467"/>
      <c r="AM235" s="467"/>
      <c r="AN235" s="467"/>
      <c r="AO235" s="467"/>
      <c r="AP235" s="467"/>
      <c r="AQ235" s="467"/>
      <c r="AR235" s="467"/>
      <c r="AS235" s="467"/>
      <c r="AT235" s="467"/>
      <c r="AU235" s="467"/>
      <c r="AV235" s="467"/>
      <c r="AW235" s="467"/>
      <c r="AX235" s="467"/>
      <c r="AY235" s="486">
        <f>COUNTIF(AI235:AX235,"*OP*")</f>
        <v>0</v>
      </c>
      <c r="AZ235" s="499" t="s">
        <v>59</v>
      </c>
      <c r="BA235" s="450">
        <f>(COUNTIF(AI235:AK235,"*OK*")*3) + (COUNTIF(AL235:AN235,"*OK*")*2) + COUNTIF(AO235:AQ235,"*OK*")+COUNTIF(AZ235:AZ235,"SI")*0.5</f>
        <v>0</v>
      </c>
      <c r="BB235" s="450" t="str">
        <f>IF(BA235&lt;0.6,"Demasiado Riesgo",IF(BA235&lt;=5,"Riesgo Medio",IF(BA235&lt;=11,"Riesgo Bajo","Cliente Blindado")))</f>
        <v>Demasiado Riesgo</v>
      </c>
      <c r="BC235" s="450"/>
      <c r="BD235" s="450"/>
      <c r="BE235" s="450">
        <v>0</v>
      </c>
      <c r="BF235" s="450"/>
      <c r="BG235" s="450"/>
      <c r="BH235" s="450"/>
      <c r="BI235" s="450"/>
      <c r="BJ235" s="450"/>
      <c r="BK235" s="450"/>
      <c r="BL235" s="450"/>
      <c r="BM235" s="450"/>
      <c r="BN235" s="450"/>
      <c r="BO235" s="450"/>
      <c r="BP235" s="450"/>
      <c r="BQ235" s="450"/>
      <c r="BR235" s="450"/>
      <c r="BS235" s="450"/>
      <c r="BT235" s="450"/>
      <c r="BU235" s="450"/>
      <c r="BV235" s="450"/>
      <c r="BW235" s="450"/>
      <c r="BX235" s="450"/>
      <c r="BY235" s="450"/>
      <c r="BZ235" s="450"/>
      <c r="CA235" s="450">
        <f>COUNTIF(AI235:AW235,"*OK*")</f>
        <v>0</v>
      </c>
      <c r="CB235" s="450"/>
      <c r="CC235" s="450">
        <f>COUNTIF(AI235:AW235,"*OP*")</f>
        <v>0</v>
      </c>
    </row>
    <row r="236" spans="1:81" ht="15" customHeight="1">
      <c r="A236" s="470"/>
      <c r="B236" s="471"/>
      <c r="C236" s="451">
        <f>T236</f>
        <v>47.77</v>
      </c>
      <c r="D236" s="471">
        <f>COUNTIF(AI236:AW236,"*OK*")</f>
        <v>0</v>
      </c>
      <c r="E236" s="471"/>
      <c r="F236" s="473" t="s">
        <v>799</v>
      </c>
      <c r="G236" s="473"/>
      <c r="H236" s="474"/>
      <c r="I236" s="474"/>
      <c r="J236" s="473"/>
      <c r="K236" s="475" t="s">
        <v>68</v>
      </c>
      <c r="L236" s="453" t="s">
        <v>461</v>
      </c>
      <c r="M236" s="473"/>
      <c r="N236" s="484" t="s">
        <v>65</v>
      </c>
      <c r="O236" s="477">
        <v>52.9</v>
      </c>
      <c r="P236" s="477">
        <v>57.26</v>
      </c>
      <c r="Q236" s="477">
        <v>46.17</v>
      </c>
      <c r="R236" s="478">
        <v>49.82</v>
      </c>
      <c r="S236" s="459">
        <v>48.296599999999998</v>
      </c>
      <c r="T236" s="487">
        <v>47.77</v>
      </c>
      <c r="U236" s="479"/>
      <c r="V236" s="480">
        <v>50</v>
      </c>
      <c r="W236" s="481"/>
      <c r="X236" s="572" t="s">
        <v>70</v>
      </c>
      <c r="Y236" s="483" t="s">
        <v>71</v>
      </c>
      <c r="Z236" s="484" t="s">
        <v>800</v>
      </c>
      <c r="AA236" s="480" t="s">
        <v>59</v>
      </c>
      <c r="AB236" s="474"/>
      <c r="AC236" s="471"/>
      <c r="AD236" s="471"/>
      <c r="AE236" s="471"/>
      <c r="AF236" s="471"/>
      <c r="AG236" s="471"/>
      <c r="AH236" s="494" t="s">
        <v>59</v>
      </c>
      <c r="AI236" s="467"/>
      <c r="AJ236" s="467"/>
      <c r="AK236" s="467"/>
      <c r="AL236" s="467"/>
      <c r="AM236" s="467"/>
      <c r="AN236" s="467"/>
      <c r="AO236" s="467"/>
      <c r="AP236" s="467"/>
      <c r="AQ236" s="467"/>
      <c r="AR236" s="467"/>
      <c r="AS236" s="467"/>
      <c r="AT236" s="467"/>
      <c r="AU236" s="467"/>
      <c r="AV236" s="467"/>
      <c r="AW236" s="467"/>
      <c r="AX236" s="467"/>
      <c r="AY236" s="486">
        <f>COUNTIF(AI236:AX236,"*OP*")</f>
        <v>0</v>
      </c>
      <c r="AZ236" s="485" t="s">
        <v>59</v>
      </c>
      <c r="BA236" s="471">
        <f>(COUNTIF(AI236:AK236,"*OK*")*3) + (COUNTIF(AL236:AN236,"*OK*")*2) + COUNTIF(AO236:AQ236,"*OK*")+COUNTIF(AZ236:AZ236,"SI")*0.5</f>
        <v>0</v>
      </c>
      <c r="BB236" s="471" t="str">
        <f>IF(BA236&lt;0.6,"Demasiado Riesgo",IF(BA236&lt;=5,"Riesgo Medio",IF(BA236&lt;=11,"Riesgo Bajo","Cliente Blindado")))</f>
        <v>Demasiado Riesgo</v>
      </c>
      <c r="BC236" s="471"/>
      <c r="BD236" s="471"/>
      <c r="BE236" s="471">
        <v>0</v>
      </c>
      <c r="BF236" s="471"/>
      <c r="BG236" s="471"/>
      <c r="BH236" s="471"/>
      <c r="BI236" s="471"/>
      <c r="BJ236" s="471"/>
      <c r="BK236" s="471"/>
      <c r="BL236" s="471"/>
      <c r="BM236" s="471"/>
      <c r="BN236" s="471"/>
      <c r="BO236" s="471"/>
      <c r="BP236" s="471"/>
      <c r="BQ236" s="471"/>
      <c r="BR236" s="471"/>
      <c r="BS236" s="471"/>
      <c r="BT236" s="471"/>
      <c r="BU236" s="471"/>
      <c r="BV236" s="471"/>
      <c r="BW236" s="471"/>
      <c r="BX236" s="471"/>
      <c r="BY236" s="471"/>
      <c r="BZ236" s="471"/>
      <c r="CA236" s="471">
        <f>COUNTIF(AI236:AW236,"*OK*")</f>
        <v>0</v>
      </c>
      <c r="CB236" s="471"/>
      <c r="CC236" s="471">
        <f>COUNTIF(AI236:AW236,"*OP*")</f>
        <v>0</v>
      </c>
    </row>
    <row r="237" spans="1:81" ht="15" customHeight="1">
      <c r="A237" s="470"/>
      <c r="B237" s="471"/>
      <c r="C237" s="451">
        <f>T237</f>
        <v>48.52</v>
      </c>
      <c r="D237" s="471">
        <f>COUNTIF(AI237:AW237,"*OK*")</f>
        <v>0</v>
      </c>
      <c r="E237" s="471"/>
      <c r="F237" s="473" t="s">
        <v>801</v>
      </c>
      <c r="G237" s="473"/>
      <c r="H237" s="474"/>
      <c r="I237" s="474"/>
      <c r="J237" s="473"/>
      <c r="K237" s="475" t="s">
        <v>68</v>
      </c>
      <c r="L237" s="453" t="s">
        <v>461</v>
      </c>
      <c r="M237" s="473"/>
      <c r="N237" s="484" t="s">
        <v>65</v>
      </c>
      <c r="O237" s="477">
        <v>58.73</v>
      </c>
      <c r="P237" s="477">
        <v>58.67</v>
      </c>
      <c r="Q237" s="477">
        <v>55.91</v>
      </c>
      <c r="R237" s="478">
        <v>59.58</v>
      </c>
      <c r="S237" s="459">
        <v>54.717300000000002</v>
      </c>
      <c r="T237" s="487">
        <v>48.52</v>
      </c>
      <c r="U237" s="479"/>
      <c r="V237" s="480">
        <v>50</v>
      </c>
      <c r="W237" s="481"/>
      <c r="X237" s="482" t="s">
        <v>70</v>
      </c>
      <c r="Y237" s="483" t="s">
        <v>89</v>
      </c>
      <c r="Z237" s="484" t="s">
        <v>802</v>
      </c>
      <c r="AA237" s="480" t="s">
        <v>59</v>
      </c>
      <c r="AB237" s="474"/>
      <c r="AC237" s="471"/>
      <c r="AD237" s="471"/>
      <c r="AE237" s="471"/>
      <c r="AF237" s="471"/>
      <c r="AG237" s="471"/>
      <c r="AH237" s="494" t="s">
        <v>59</v>
      </c>
      <c r="AI237" s="467"/>
      <c r="AJ237" s="467"/>
      <c r="AK237" s="467"/>
      <c r="AL237" s="467"/>
      <c r="AM237" s="467"/>
      <c r="AN237" s="467"/>
      <c r="AO237" s="467"/>
      <c r="AP237" s="467"/>
      <c r="AQ237" s="467"/>
      <c r="AR237" s="467"/>
      <c r="AS237" s="467"/>
      <c r="AT237" s="467"/>
      <c r="AU237" s="467"/>
      <c r="AV237" s="467"/>
      <c r="AW237" s="467"/>
      <c r="AX237" s="467"/>
      <c r="AY237" s="486">
        <f>COUNTIF(AI237:AX237,"*OP*")</f>
        <v>0</v>
      </c>
      <c r="AZ237" s="485" t="s">
        <v>59</v>
      </c>
      <c r="BA237" s="471">
        <f>(COUNTIF(AI237:AK237,"*OK*")*3) + (COUNTIF(AL237:AN237,"*OK*")*2) + COUNTIF(AO237:AQ237,"*OK*")+COUNTIF(AZ237:AZ237,"SI")*0.5</f>
        <v>0</v>
      </c>
      <c r="BB237" s="471" t="str">
        <f>IF(BA237&lt;0.6,"Demasiado Riesgo",IF(BA237&lt;=5,"Riesgo Medio",IF(BA237&lt;=11,"Riesgo Bajo","Cliente Blindado")))</f>
        <v>Demasiado Riesgo</v>
      </c>
      <c r="BC237" s="471"/>
      <c r="BD237" s="471"/>
      <c r="BE237" s="471">
        <v>0</v>
      </c>
      <c r="BF237" s="471"/>
      <c r="BG237" s="471"/>
      <c r="BH237" s="471"/>
      <c r="BI237" s="471"/>
      <c r="BJ237" s="471"/>
      <c r="BK237" s="471"/>
      <c r="BL237" s="471"/>
      <c r="BM237" s="471"/>
      <c r="BN237" s="471"/>
      <c r="BO237" s="471"/>
      <c r="BP237" s="471"/>
      <c r="BQ237" s="471"/>
      <c r="BR237" s="471"/>
      <c r="BS237" s="471"/>
      <c r="BT237" s="471"/>
      <c r="BU237" s="471"/>
      <c r="BV237" s="471"/>
      <c r="BW237" s="471"/>
      <c r="BX237" s="471"/>
      <c r="BY237" s="471"/>
      <c r="BZ237" s="471"/>
      <c r="CA237" s="471">
        <f>COUNTIF(AI237:AW237,"*OK*")</f>
        <v>0</v>
      </c>
      <c r="CB237" s="471"/>
      <c r="CC237" s="471">
        <f>COUNTIF(AI237:AW237,"*OP*")</f>
        <v>0</v>
      </c>
    </row>
    <row r="238" spans="1:81" ht="15" customHeight="1">
      <c r="A238" s="449">
        <v>22060</v>
      </c>
      <c r="B238" s="450"/>
      <c r="C238" s="451">
        <f>T238</f>
        <v>48.62</v>
      </c>
      <c r="D238" s="450">
        <f>COUNTIF(AI238:AW238,"*OK*")</f>
        <v>0</v>
      </c>
      <c r="E238" s="450"/>
      <c r="F238" s="453" t="s">
        <v>803</v>
      </c>
      <c r="G238" s="453"/>
      <c r="H238" s="454"/>
      <c r="I238" s="454"/>
      <c r="J238" s="453"/>
      <c r="K238" s="453" t="s">
        <v>68</v>
      </c>
      <c r="L238" s="453" t="s">
        <v>461</v>
      </c>
      <c r="M238" s="453"/>
      <c r="N238" s="466" t="s">
        <v>65</v>
      </c>
      <c r="O238" s="457">
        <v>49.36</v>
      </c>
      <c r="P238" s="457">
        <v>49.31</v>
      </c>
      <c r="Q238" s="457">
        <v>46.99</v>
      </c>
      <c r="R238" s="458">
        <v>48.51</v>
      </c>
      <c r="S238" s="459">
        <v>49.159700000000001</v>
      </c>
      <c r="T238" s="469">
        <v>48.62</v>
      </c>
      <c r="U238" s="461"/>
      <c r="V238" s="462">
        <v>50</v>
      </c>
      <c r="W238" s="463"/>
      <c r="X238" s="567" t="s">
        <v>70</v>
      </c>
      <c r="Y238" s="465" t="s">
        <v>71</v>
      </c>
      <c r="Z238" s="466" t="s">
        <v>74</v>
      </c>
      <c r="AA238" s="462" t="s">
        <v>59</v>
      </c>
      <c r="AB238" s="454"/>
      <c r="AC238" s="450"/>
      <c r="AD238" s="450"/>
      <c r="AE238" s="450"/>
      <c r="AF238" s="450"/>
      <c r="AG238" s="450"/>
      <c r="AH238" s="496" t="s">
        <v>59</v>
      </c>
      <c r="AI238" s="467"/>
      <c r="AJ238" s="467"/>
      <c r="AK238" s="467"/>
      <c r="AL238" s="467"/>
      <c r="AM238" s="467"/>
      <c r="AN238" s="467"/>
      <c r="AO238" s="467"/>
      <c r="AP238" s="467"/>
      <c r="AQ238" s="467"/>
      <c r="AR238" s="467"/>
      <c r="AS238" s="467"/>
      <c r="AT238" s="467"/>
      <c r="AU238" s="467"/>
      <c r="AV238" s="467"/>
      <c r="AW238" s="467"/>
      <c r="AX238" s="467"/>
      <c r="AY238" s="486">
        <f>COUNTIF(AI238:AX238,"*OP*")</f>
        <v>0</v>
      </c>
      <c r="AZ238" s="499" t="s">
        <v>59</v>
      </c>
      <c r="BA238" s="450">
        <f>(COUNTIF(AI238:AK238,"*OK*")*3) + (COUNTIF(AL238:AN238,"*OK*")*2) + COUNTIF(AO238:AQ238,"*OK*")+COUNTIF(AZ238:AZ238,"SI")*0.5</f>
        <v>0</v>
      </c>
      <c r="BB238" s="450" t="str">
        <f>IF(BA238&lt;0.6,"Demasiado Riesgo",IF(BA238&lt;=5,"Riesgo Medio",IF(BA238&lt;=11,"Riesgo Bajo","Cliente Blindado")))</f>
        <v>Demasiado Riesgo</v>
      </c>
      <c r="BC238" s="450"/>
      <c r="BD238" s="450"/>
      <c r="BE238" s="450">
        <v>0</v>
      </c>
      <c r="BF238" s="450"/>
      <c r="BG238" s="450"/>
      <c r="BH238" s="450"/>
      <c r="BI238" s="450"/>
      <c r="BJ238" s="450"/>
      <c r="BK238" s="450"/>
      <c r="BL238" s="450"/>
      <c r="BM238" s="450"/>
      <c r="BN238" s="450"/>
      <c r="BO238" s="450"/>
      <c r="BP238" s="450"/>
      <c r="BQ238" s="450"/>
      <c r="BR238" s="450"/>
      <c r="BS238" s="450"/>
      <c r="BT238" s="450"/>
      <c r="BU238" s="450"/>
      <c r="BV238" s="450"/>
      <c r="BW238" s="450"/>
      <c r="BX238" s="450"/>
      <c r="BY238" s="450"/>
      <c r="BZ238" s="450"/>
      <c r="CA238" s="450">
        <f>COUNTIF(AI238:AW238,"*OK*")</f>
        <v>0</v>
      </c>
      <c r="CB238" s="450"/>
      <c r="CC238" s="450">
        <f>COUNTIF(AI238:AW238,"*OP*")</f>
        <v>0</v>
      </c>
    </row>
    <row r="239" spans="1:81" ht="15" customHeight="1">
      <c r="A239" s="470">
        <v>34153</v>
      </c>
      <c r="B239" s="471"/>
      <c r="C239" s="451">
        <f>T239</f>
        <v>48.88</v>
      </c>
      <c r="D239" s="471">
        <f>COUNTIF(AI239:AW239,"*OK*")</f>
        <v>0</v>
      </c>
      <c r="E239" s="471"/>
      <c r="F239" s="473" t="s">
        <v>804</v>
      </c>
      <c r="G239" s="473"/>
      <c r="H239" s="474"/>
      <c r="I239" s="474"/>
      <c r="J239" s="473"/>
      <c r="K239" s="473" t="s">
        <v>68</v>
      </c>
      <c r="L239" s="453" t="s">
        <v>461</v>
      </c>
      <c r="M239" s="473"/>
      <c r="N239" s="484" t="s">
        <v>156</v>
      </c>
      <c r="O239" s="477">
        <v>40.6</v>
      </c>
      <c r="P239" s="477">
        <v>40.56</v>
      </c>
      <c r="Q239" s="477">
        <v>38.65</v>
      </c>
      <c r="R239" s="478">
        <v>39.9</v>
      </c>
      <c r="S239" s="459">
        <v>35.942900000000002</v>
      </c>
      <c r="T239" s="490">
        <v>48.88</v>
      </c>
      <c r="U239" s="479"/>
      <c r="V239" s="480">
        <v>50</v>
      </c>
      <c r="W239" s="481"/>
      <c r="X239" s="572" t="s">
        <v>70</v>
      </c>
      <c r="Y239" s="483" t="s">
        <v>80</v>
      </c>
      <c r="Z239" s="484" t="s">
        <v>805</v>
      </c>
      <c r="AA239" s="480" t="s">
        <v>59</v>
      </c>
      <c r="AB239" s="474"/>
      <c r="AC239" s="471"/>
      <c r="AD239" s="471"/>
      <c r="AE239" s="471"/>
      <c r="AF239" s="471"/>
      <c r="AG239" s="471"/>
      <c r="AH239" s="494" t="s">
        <v>59</v>
      </c>
      <c r="AI239" s="467"/>
      <c r="AJ239" s="467"/>
      <c r="AK239" s="467"/>
      <c r="AL239" s="467"/>
      <c r="AM239" s="467"/>
      <c r="AN239" s="467"/>
      <c r="AO239" s="467"/>
      <c r="AP239" s="467"/>
      <c r="AQ239" s="467"/>
      <c r="AR239" s="467"/>
      <c r="AS239" s="467"/>
      <c r="AT239" s="467"/>
      <c r="AU239" s="467"/>
      <c r="AV239" s="467"/>
      <c r="AW239" s="467"/>
      <c r="AX239" s="467"/>
      <c r="AY239" s="486">
        <f>COUNTIF(AI239:AX239,"*OP*")</f>
        <v>0</v>
      </c>
      <c r="AZ239" s="485" t="s">
        <v>59</v>
      </c>
      <c r="BA239" s="471">
        <f>(COUNTIF(AI239:AK239,"*OK*")*3) + (COUNTIF(AL239:AN239,"*OK*")*2) + COUNTIF(AO239:AQ239,"*OK*")+COUNTIF(AZ239:AZ239,"SI")*0.5</f>
        <v>0</v>
      </c>
      <c r="BB239" s="471" t="str">
        <f>IF(BA239&lt;0.6,"Demasiado Riesgo",IF(BA239&lt;=5,"Riesgo Medio",IF(BA239&lt;=11,"Riesgo Bajo","Cliente Blindado")))</f>
        <v>Demasiado Riesgo</v>
      </c>
      <c r="BC239" s="471"/>
      <c r="BD239" s="471"/>
      <c r="BE239" s="471">
        <v>0</v>
      </c>
      <c r="BF239" s="471"/>
      <c r="BG239" s="471"/>
      <c r="BH239" s="471"/>
      <c r="BI239" s="471"/>
      <c r="BJ239" s="471"/>
      <c r="BK239" s="471"/>
      <c r="BL239" s="471"/>
      <c r="BM239" s="471"/>
      <c r="BN239" s="471"/>
      <c r="BO239" s="471"/>
      <c r="BP239" s="471"/>
      <c r="BQ239" s="471"/>
      <c r="BR239" s="471"/>
      <c r="BS239" s="471"/>
      <c r="BT239" s="471"/>
      <c r="BU239" s="471"/>
      <c r="BV239" s="471"/>
      <c r="BW239" s="471"/>
      <c r="BX239" s="471"/>
      <c r="BY239" s="471"/>
      <c r="BZ239" s="471"/>
      <c r="CA239" s="471">
        <f>COUNTIF(AI239:AW239,"*OK*")</f>
        <v>0</v>
      </c>
      <c r="CB239" s="471"/>
      <c r="CC239" s="471">
        <f>COUNTIF(AI239:AW239,"*OP*")</f>
        <v>0</v>
      </c>
    </row>
    <row r="240" spans="1:81" ht="15" customHeight="1">
      <c r="A240" s="470">
        <v>35965</v>
      </c>
      <c r="B240" s="471"/>
      <c r="C240" s="451">
        <f>T240</f>
        <v>49.37</v>
      </c>
      <c r="D240" s="471">
        <f>COUNTIF(AI240:AW240,"*OK*")</f>
        <v>0</v>
      </c>
      <c r="E240" s="471"/>
      <c r="F240" s="473" t="s">
        <v>806</v>
      </c>
      <c r="G240" s="473"/>
      <c r="H240" s="474"/>
      <c r="I240" s="474"/>
      <c r="J240" s="473"/>
      <c r="K240" s="475" t="s">
        <v>68</v>
      </c>
      <c r="L240" s="453" t="s">
        <v>461</v>
      </c>
      <c r="M240" s="473"/>
      <c r="N240" s="484" t="s">
        <v>156</v>
      </c>
      <c r="O240" s="477"/>
      <c r="P240" s="477">
        <v>54.24</v>
      </c>
      <c r="Q240" s="477">
        <v>51.69</v>
      </c>
      <c r="R240" s="478">
        <v>49.25</v>
      </c>
      <c r="S240" s="459">
        <v>49.914200000000001</v>
      </c>
      <c r="T240" s="487">
        <v>49.37</v>
      </c>
      <c r="U240" s="479"/>
      <c r="V240" s="480">
        <v>100</v>
      </c>
      <c r="W240" s="481"/>
      <c r="X240" s="572" t="s">
        <v>70</v>
      </c>
      <c r="Y240" s="483" t="s">
        <v>71</v>
      </c>
      <c r="Z240" s="484" t="s">
        <v>807</v>
      </c>
      <c r="AA240" s="480" t="s">
        <v>71</v>
      </c>
      <c r="AB240" s="474"/>
      <c r="AC240" s="471"/>
      <c r="AD240" s="471"/>
      <c r="AE240" s="471"/>
      <c r="AF240" s="471"/>
      <c r="AG240" s="471"/>
      <c r="AH240" s="494" t="s">
        <v>59</v>
      </c>
      <c r="AI240" s="467"/>
      <c r="AJ240" s="467"/>
      <c r="AK240" s="467"/>
      <c r="AL240" s="467"/>
      <c r="AM240" s="467"/>
      <c r="AN240" s="467"/>
      <c r="AO240" s="467"/>
      <c r="AP240" s="467"/>
      <c r="AQ240" s="467"/>
      <c r="AR240" s="467"/>
      <c r="AS240" s="467"/>
      <c r="AT240" s="467"/>
      <c r="AU240" s="467"/>
      <c r="AV240" s="467"/>
      <c r="AW240" s="467"/>
      <c r="AX240" s="467"/>
      <c r="AY240" s="486">
        <f>COUNTIF(AI240:AX240,"*OP*")</f>
        <v>0</v>
      </c>
      <c r="AZ240" s="485" t="s">
        <v>59</v>
      </c>
      <c r="BA240" s="471">
        <f>(COUNTIF(AI240:AK240,"*OK*")*3) + (COUNTIF(AL240:AN240,"*OK*")*2) + COUNTIF(AO240:AQ240,"*OK*")+COUNTIF(AZ240:AZ240,"SI")*0.5</f>
        <v>0</v>
      </c>
      <c r="BB240" s="471" t="str">
        <f>IF(BA240&lt;0.6,"Demasiado Riesgo",IF(BA240&lt;=5,"Riesgo Medio",IF(BA240&lt;=11,"Riesgo Bajo","Cliente Blindado")))</f>
        <v>Demasiado Riesgo</v>
      </c>
      <c r="BC240" s="471"/>
      <c r="BD240" s="471"/>
      <c r="BE240" s="471">
        <v>0</v>
      </c>
      <c r="BF240" s="471"/>
      <c r="BG240" s="471"/>
      <c r="BH240" s="471"/>
      <c r="BI240" s="471"/>
      <c r="BJ240" s="471"/>
      <c r="BK240" s="471"/>
      <c r="BL240" s="471"/>
      <c r="BM240" s="471"/>
      <c r="BN240" s="471"/>
      <c r="BO240" s="471"/>
      <c r="BP240" s="471"/>
      <c r="BQ240" s="471"/>
      <c r="BR240" s="471"/>
      <c r="BS240" s="471"/>
      <c r="BT240" s="471"/>
      <c r="BU240" s="471"/>
      <c r="BV240" s="471"/>
      <c r="BW240" s="471"/>
      <c r="BX240" s="471"/>
      <c r="BY240" s="471"/>
      <c r="BZ240" s="471"/>
      <c r="CA240" s="471">
        <f>COUNTIF(AI240:AW240,"*OK*")</f>
        <v>0</v>
      </c>
      <c r="CB240" s="471"/>
      <c r="CC240" s="471">
        <f>COUNTIF(AI240:AW240,"*OP*")</f>
        <v>0</v>
      </c>
    </row>
    <row r="241" spans="1:81" ht="15" customHeight="1">
      <c r="A241" s="449">
        <v>26580</v>
      </c>
      <c r="B241" s="450"/>
      <c r="C241" s="451">
        <f>T241</f>
        <v>49.76</v>
      </c>
      <c r="D241" s="450">
        <f>COUNTIF(AI241:AW241,"*OK*")</f>
        <v>0</v>
      </c>
      <c r="E241" s="450"/>
      <c r="F241" s="453" t="s">
        <v>808</v>
      </c>
      <c r="G241" s="453"/>
      <c r="H241" s="454"/>
      <c r="I241" s="454"/>
      <c r="J241" s="453"/>
      <c r="K241" s="453" t="s">
        <v>68</v>
      </c>
      <c r="L241" s="453" t="s">
        <v>461</v>
      </c>
      <c r="M241" s="453"/>
      <c r="N241" s="466" t="s">
        <v>160</v>
      </c>
      <c r="O241" s="457">
        <v>50.52</v>
      </c>
      <c r="P241" s="457">
        <v>50.47</v>
      </c>
      <c r="Q241" s="457">
        <v>48.1</v>
      </c>
      <c r="R241" s="458">
        <v>46.1</v>
      </c>
      <c r="S241" s="459">
        <v>46.721200000000003</v>
      </c>
      <c r="T241" s="460">
        <v>49.76</v>
      </c>
      <c r="U241" s="461"/>
      <c r="V241" s="462">
        <v>100</v>
      </c>
      <c r="W241" s="463"/>
      <c r="X241" s="567" t="s">
        <v>70</v>
      </c>
      <c r="Y241" s="465" t="s">
        <v>299</v>
      </c>
      <c r="Z241" s="466" t="s">
        <v>809</v>
      </c>
      <c r="AA241" s="462" t="s">
        <v>59</v>
      </c>
      <c r="AB241" s="454"/>
      <c r="AC241" s="450"/>
      <c r="AD241" s="450"/>
      <c r="AE241" s="450"/>
      <c r="AF241" s="450"/>
      <c r="AG241" s="450"/>
      <c r="AH241" s="496" t="s">
        <v>59</v>
      </c>
      <c r="AI241" s="467"/>
      <c r="AJ241" s="467"/>
      <c r="AK241" s="467"/>
      <c r="AL241" s="467"/>
      <c r="AM241" s="467"/>
      <c r="AN241" s="467"/>
      <c r="AO241" s="467"/>
      <c r="AP241" s="467"/>
      <c r="AQ241" s="467"/>
      <c r="AR241" s="467"/>
      <c r="AS241" s="467"/>
      <c r="AT241" s="467"/>
      <c r="AU241" s="467"/>
      <c r="AV241" s="467"/>
      <c r="AW241" s="467"/>
      <c r="AX241" s="467"/>
      <c r="AY241" s="486">
        <f>COUNTIF(AI241:AX241,"*OP*")</f>
        <v>0</v>
      </c>
      <c r="AZ241" s="499" t="s">
        <v>59</v>
      </c>
      <c r="BA241" s="450">
        <f>(COUNTIF(AI241:AK241,"*OK*")*3) + (COUNTIF(AL241:AN241,"*OK*")*2) + COUNTIF(AO241:AQ241,"*OK*")+COUNTIF(AZ241:AZ241,"SI")*0.5</f>
        <v>0</v>
      </c>
      <c r="BB241" s="450" t="str">
        <f>IF(BA241&lt;0.6,"Demasiado Riesgo",IF(BA241&lt;=5,"Riesgo Medio",IF(BA241&lt;=11,"Riesgo Bajo","Cliente Blindado")))</f>
        <v>Demasiado Riesgo</v>
      </c>
      <c r="BC241" s="450"/>
      <c r="BD241" s="450"/>
      <c r="BE241" s="450">
        <v>0</v>
      </c>
      <c r="BF241" s="450"/>
      <c r="BG241" s="450"/>
      <c r="BH241" s="450"/>
      <c r="BI241" s="450"/>
      <c r="BJ241" s="450"/>
      <c r="BK241" s="450"/>
      <c r="BL241" s="450"/>
      <c r="BM241" s="450"/>
      <c r="BN241" s="450"/>
      <c r="BO241" s="450"/>
      <c r="BP241" s="450"/>
      <c r="BQ241" s="450"/>
      <c r="BR241" s="450"/>
      <c r="BS241" s="450"/>
      <c r="BT241" s="450"/>
      <c r="BU241" s="450"/>
      <c r="BV241" s="450"/>
      <c r="BW241" s="450"/>
      <c r="BX241" s="450"/>
      <c r="BY241" s="450"/>
      <c r="BZ241" s="450"/>
      <c r="CA241" s="450">
        <f>COUNTIF(AI241:AW241,"*OK*")</f>
        <v>0</v>
      </c>
      <c r="CB241" s="450"/>
      <c r="CC241" s="450">
        <f>COUNTIF(AI241:AW241,"*OP*")</f>
        <v>0</v>
      </c>
    </row>
    <row r="242" spans="1:81" ht="15" customHeight="1">
      <c r="A242" s="470">
        <v>27460</v>
      </c>
      <c r="B242" s="471"/>
      <c r="C242" s="451">
        <f>T242</f>
        <v>50.72</v>
      </c>
      <c r="D242" s="471">
        <f>COUNTIF(AI242:AW242,"*OK*")</f>
        <v>0</v>
      </c>
      <c r="E242" s="471"/>
      <c r="F242" s="473" t="s">
        <v>810</v>
      </c>
      <c r="G242" s="473"/>
      <c r="H242" s="474"/>
      <c r="I242" s="474"/>
      <c r="J242" s="473"/>
      <c r="K242" s="473" t="s">
        <v>68</v>
      </c>
      <c r="L242" s="453" t="s">
        <v>461</v>
      </c>
      <c r="M242" s="473"/>
      <c r="N242" s="484" t="s">
        <v>156</v>
      </c>
      <c r="O242" s="477">
        <v>45.05</v>
      </c>
      <c r="P242" s="477">
        <v>45.01</v>
      </c>
      <c r="Q242" s="477">
        <v>42.89</v>
      </c>
      <c r="R242" s="478">
        <v>44.27</v>
      </c>
      <c r="S242" s="459">
        <v>51.2776</v>
      </c>
      <c r="T242" s="487">
        <v>50.72</v>
      </c>
      <c r="U242" s="479"/>
      <c r="V242" s="480">
        <v>100</v>
      </c>
      <c r="W242" s="481"/>
      <c r="X242" s="482" t="s">
        <v>70</v>
      </c>
      <c r="Y242" s="483" t="s">
        <v>241</v>
      </c>
      <c r="Z242" s="484" t="s">
        <v>811</v>
      </c>
      <c r="AA242" s="480" t="s">
        <v>59</v>
      </c>
      <c r="AB242" s="474"/>
      <c r="AC242" s="471"/>
      <c r="AD242" s="471"/>
      <c r="AE242" s="471"/>
      <c r="AF242" s="471"/>
      <c r="AG242" s="471"/>
      <c r="AH242" s="494" t="s">
        <v>59</v>
      </c>
      <c r="AI242" s="467"/>
      <c r="AJ242" s="467"/>
      <c r="AK242" s="467"/>
      <c r="AL242" s="467"/>
      <c r="AM242" s="467"/>
      <c r="AN242" s="467"/>
      <c r="AO242" s="467"/>
      <c r="AP242" s="467"/>
      <c r="AQ242" s="467"/>
      <c r="AR242" s="467"/>
      <c r="AS242" s="467"/>
      <c r="AT242" s="467"/>
      <c r="AU242" s="467"/>
      <c r="AV242" s="467"/>
      <c r="AW242" s="467"/>
      <c r="AX242" s="467"/>
      <c r="AY242" s="486">
        <f>COUNTIF(AI242:AX242,"*OP*")</f>
        <v>0</v>
      </c>
      <c r="AZ242" s="485" t="s">
        <v>59</v>
      </c>
      <c r="BA242" s="471">
        <f>(COUNTIF(AI242:AK242,"*OK*")*3) + (COUNTIF(AL242:AN242,"*OK*")*2) + COUNTIF(AO242:AQ242,"*OK*")+COUNTIF(AZ242:AZ242,"SI")*0.5</f>
        <v>0</v>
      </c>
      <c r="BB242" s="471" t="str">
        <f>IF(BA242&lt;0.6,"Demasiado Riesgo",IF(BA242&lt;=5,"Riesgo Medio",IF(BA242&lt;=11,"Riesgo Bajo","Cliente Blindado")))</f>
        <v>Demasiado Riesgo</v>
      </c>
      <c r="BC242" s="471"/>
      <c r="BD242" s="471"/>
      <c r="BE242" s="471">
        <v>0</v>
      </c>
      <c r="BF242" s="471"/>
      <c r="BG242" s="471"/>
      <c r="BH242" s="471"/>
      <c r="BI242" s="471"/>
      <c r="BJ242" s="471"/>
      <c r="BK242" s="471"/>
      <c r="BL242" s="471"/>
      <c r="BM242" s="471"/>
      <c r="BN242" s="471"/>
      <c r="BO242" s="471"/>
      <c r="BP242" s="471"/>
      <c r="BQ242" s="471"/>
      <c r="BR242" s="471"/>
      <c r="BS242" s="471"/>
      <c r="BT242" s="471"/>
      <c r="BU242" s="471"/>
      <c r="BV242" s="471"/>
      <c r="BW242" s="471"/>
      <c r="BX242" s="471"/>
      <c r="BY242" s="471"/>
      <c r="BZ242" s="471"/>
      <c r="CA242" s="471">
        <f>COUNTIF(AI242:AW242,"*OK*")</f>
        <v>0</v>
      </c>
      <c r="CB242" s="471"/>
      <c r="CC242" s="471">
        <f>COUNTIF(AI242:AW242,"*OP*")</f>
        <v>0</v>
      </c>
    </row>
    <row r="243" spans="1:81" ht="15" customHeight="1">
      <c r="A243" s="449">
        <v>34247</v>
      </c>
      <c r="B243" s="450"/>
      <c r="C243" s="451">
        <f>T243</f>
        <v>51.42</v>
      </c>
      <c r="D243" s="450">
        <f>COUNTIF(AI243:AW243,"*OK*")</f>
        <v>0</v>
      </c>
      <c r="E243" s="450"/>
      <c r="F243" s="453" t="s">
        <v>812</v>
      </c>
      <c r="G243" s="453"/>
      <c r="H243" s="454"/>
      <c r="I243" s="454"/>
      <c r="J243" s="453"/>
      <c r="K243" s="453" t="s">
        <v>68</v>
      </c>
      <c r="L243" s="453" t="s">
        <v>461</v>
      </c>
      <c r="M243" s="453"/>
      <c r="N243" s="466" t="s">
        <v>156</v>
      </c>
      <c r="O243" s="457">
        <v>52.2</v>
      </c>
      <c r="P243" s="457">
        <v>52.16</v>
      </c>
      <c r="Q243" s="457">
        <v>49.7</v>
      </c>
      <c r="R243" s="458">
        <v>51.3</v>
      </c>
      <c r="S243" s="459">
        <v>51.994</v>
      </c>
      <c r="T243" s="469">
        <v>51.42</v>
      </c>
      <c r="U243" s="461"/>
      <c r="V243" s="462">
        <v>50</v>
      </c>
      <c r="W243" s="463"/>
      <c r="X243" s="464" t="s">
        <v>437</v>
      </c>
      <c r="Y243" s="465" t="s">
        <v>161</v>
      </c>
      <c r="Z243" s="466" t="s">
        <v>813</v>
      </c>
      <c r="AA243" s="462" t="s">
        <v>59</v>
      </c>
      <c r="AB243" s="454"/>
      <c r="AC243" s="450"/>
      <c r="AD243" s="450"/>
      <c r="AE243" s="450"/>
      <c r="AF243" s="450"/>
      <c r="AG243" s="450"/>
      <c r="AH243" s="496" t="s">
        <v>59</v>
      </c>
      <c r="AI243" s="467"/>
      <c r="AJ243" s="467"/>
      <c r="AK243" s="467"/>
      <c r="AL243" s="467"/>
      <c r="AM243" s="467"/>
      <c r="AN243" s="467"/>
      <c r="AO243" s="467"/>
      <c r="AP243" s="467"/>
      <c r="AQ243" s="467"/>
      <c r="AR243" s="467"/>
      <c r="AS243" s="467"/>
      <c r="AT243" s="467"/>
      <c r="AU243" s="467"/>
      <c r="AV243" s="467"/>
      <c r="AW243" s="467"/>
      <c r="AX243" s="467"/>
      <c r="AY243" s="486">
        <f>COUNTIF(AI243:AX243,"*OP*")</f>
        <v>0</v>
      </c>
      <c r="AZ243" s="499" t="s">
        <v>59</v>
      </c>
      <c r="BA243" s="450">
        <f>(COUNTIF(AI243:AK243,"*OK*")*3) + (COUNTIF(AL243:AN243,"*OK*")*2) + COUNTIF(AO243:AQ243,"*OK*")+COUNTIF(AZ243:AZ243,"SI")*0.5</f>
        <v>0</v>
      </c>
      <c r="BB243" s="450" t="str">
        <f>IF(BA243&lt;0.6,"Demasiado Riesgo",IF(BA243&lt;=5,"Riesgo Medio",IF(BA243&lt;=11,"Riesgo Bajo","Cliente Blindado")))</f>
        <v>Demasiado Riesgo</v>
      </c>
      <c r="BC243" s="450"/>
      <c r="BD243" s="450"/>
      <c r="BE243" s="450">
        <v>0</v>
      </c>
      <c r="BF243" s="450"/>
      <c r="BG243" s="450"/>
      <c r="BH243" s="450"/>
      <c r="BI243" s="450"/>
      <c r="BJ243" s="450"/>
      <c r="BK243" s="450"/>
      <c r="BL243" s="450"/>
      <c r="BM243" s="450"/>
      <c r="BN243" s="450"/>
      <c r="BO243" s="450"/>
      <c r="BP243" s="450"/>
      <c r="BQ243" s="450"/>
      <c r="BR243" s="450"/>
      <c r="BS243" s="450"/>
      <c r="BT243" s="450"/>
      <c r="BU243" s="450"/>
      <c r="BV243" s="450"/>
      <c r="BW243" s="450"/>
      <c r="BX243" s="450"/>
      <c r="BY243" s="450"/>
      <c r="BZ243" s="450"/>
      <c r="CA243" s="450">
        <f>COUNTIF(AI243:AW243,"*OK*")</f>
        <v>0</v>
      </c>
      <c r="CB243" s="450"/>
      <c r="CC243" s="450">
        <f>COUNTIF(AI243:AW243,"*OP*")</f>
        <v>0</v>
      </c>
    </row>
    <row r="244" spans="1:81" ht="15" customHeight="1">
      <c r="A244" s="449"/>
      <c r="B244" s="450"/>
      <c r="C244" s="451">
        <f>T244</f>
        <v>52.02</v>
      </c>
      <c r="D244" s="450">
        <f>COUNTIF(AI244:AW244,"*OK*")</f>
        <v>0</v>
      </c>
      <c r="E244" s="450"/>
      <c r="F244" s="453" t="s">
        <v>814</v>
      </c>
      <c r="G244" s="453"/>
      <c r="H244" s="454"/>
      <c r="I244" s="454"/>
      <c r="J244" s="453"/>
      <c r="K244" s="453" t="s">
        <v>68</v>
      </c>
      <c r="L244" s="453" t="s">
        <v>461</v>
      </c>
      <c r="M244" s="453"/>
      <c r="N244" s="466" t="s">
        <v>65</v>
      </c>
      <c r="O244" s="457">
        <v>52.81</v>
      </c>
      <c r="P244" s="457">
        <v>52.76</v>
      </c>
      <c r="Q244" s="457">
        <v>50.28</v>
      </c>
      <c r="R244" s="458">
        <v>51.9</v>
      </c>
      <c r="S244" s="459">
        <v>52.6006</v>
      </c>
      <c r="T244" s="469">
        <v>52.02</v>
      </c>
      <c r="U244" s="461"/>
      <c r="V244" s="462">
        <v>50</v>
      </c>
      <c r="W244" s="463"/>
      <c r="X244" s="567" t="s">
        <v>70</v>
      </c>
      <c r="Y244" s="465" t="s">
        <v>71</v>
      </c>
      <c r="Z244" s="466" t="s">
        <v>815</v>
      </c>
      <c r="AA244" s="462" t="s">
        <v>59</v>
      </c>
      <c r="AB244" s="454"/>
      <c r="AC244" s="450"/>
      <c r="AD244" s="450"/>
      <c r="AE244" s="450"/>
      <c r="AF244" s="450"/>
      <c r="AG244" s="450"/>
      <c r="AH244" s="496" t="s">
        <v>59</v>
      </c>
      <c r="AI244" s="467"/>
      <c r="AJ244" s="467"/>
      <c r="AK244" s="467"/>
      <c r="AL244" s="467"/>
      <c r="AM244" s="467"/>
      <c r="AN244" s="467"/>
      <c r="AO244" s="467"/>
      <c r="AP244" s="467"/>
      <c r="AQ244" s="467"/>
      <c r="AR244" s="467"/>
      <c r="AS244" s="467"/>
      <c r="AT244" s="467"/>
      <c r="AU244" s="467"/>
      <c r="AV244" s="467"/>
      <c r="AW244" s="467"/>
      <c r="AX244" s="467"/>
      <c r="AY244" s="486">
        <f>COUNTIF(AI244:AX244,"*OP*")</f>
        <v>0</v>
      </c>
      <c r="AZ244" s="499" t="s">
        <v>59</v>
      </c>
      <c r="BA244" s="450">
        <f>(COUNTIF(AI244:AK244,"*OK*")*3) + (COUNTIF(AL244:AN244,"*OK*")*2) + COUNTIF(AO244:AQ244,"*OK*")+COUNTIF(AZ244:AZ244,"SI")*0.5</f>
        <v>0</v>
      </c>
      <c r="BB244" s="450" t="str">
        <f>IF(BA244&lt;0.6,"Demasiado Riesgo",IF(BA244&lt;=5,"Riesgo Medio",IF(BA244&lt;=11,"Riesgo Bajo","Cliente Blindado")))</f>
        <v>Demasiado Riesgo</v>
      </c>
      <c r="BC244" s="450"/>
      <c r="BD244" s="450"/>
      <c r="BE244" s="450">
        <v>0</v>
      </c>
      <c r="BF244" s="450"/>
      <c r="BG244" s="450"/>
      <c r="BH244" s="450"/>
      <c r="BI244" s="450"/>
      <c r="BJ244" s="450"/>
      <c r="BK244" s="450"/>
      <c r="BL244" s="450"/>
      <c r="BM244" s="450"/>
      <c r="BN244" s="450"/>
      <c r="BO244" s="450"/>
      <c r="BP244" s="450"/>
      <c r="BQ244" s="450"/>
      <c r="BR244" s="450"/>
      <c r="BS244" s="450"/>
      <c r="BT244" s="450"/>
      <c r="BU244" s="450"/>
      <c r="BV244" s="450"/>
      <c r="BW244" s="450"/>
      <c r="BX244" s="450"/>
      <c r="BY244" s="450"/>
      <c r="BZ244" s="450"/>
      <c r="CA244" s="450">
        <f>COUNTIF(AI244:AW244,"*OK*")</f>
        <v>0</v>
      </c>
      <c r="CB244" s="450"/>
      <c r="CC244" s="450">
        <f>COUNTIF(AI244:AW244,"*OP*")</f>
        <v>0</v>
      </c>
    </row>
    <row r="245" spans="1:81" ht="15" customHeight="1">
      <c r="A245" s="470">
        <v>18900</v>
      </c>
      <c r="B245" s="471"/>
      <c r="C245" s="451">
        <f>T245</f>
        <v>52.02</v>
      </c>
      <c r="D245" s="471">
        <f>COUNTIF(AI245:AW245,"*OK*")</f>
        <v>0</v>
      </c>
      <c r="E245" s="471"/>
      <c r="F245" s="473" t="s">
        <v>816</v>
      </c>
      <c r="G245" s="473"/>
      <c r="H245" s="474"/>
      <c r="I245" s="474"/>
      <c r="J245" s="473"/>
      <c r="K245" s="473" t="s">
        <v>68</v>
      </c>
      <c r="L245" s="453" t="s">
        <v>461</v>
      </c>
      <c r="M245" s="473"/>
      <c r="N245" s="484" t="s">
        <v>103</v>
      </c>
      <c r="O245" s="477">
        <v>52.81</v>
      </c>
      <c r="P245" s="477">
        <v>52.76</v>
      </c>
      <c r="Q245" s="477">
        <v>50.28</v>
      </c>
      <c r="R245" s="478">
        <v>51.9</v>
      </c>
      <c r="S245" s="459">
        <v>52.6006</v>
      </c>
      <c r="T245" s="487">
        <v>52.02</v>
      </c>
      <c r="U245" s="479"/>
      <c r="V245" s="480">
        <v>100</v>
      </c>
      <c r="W245" s="481"/>
      <c r="X245" s="572" t="s">
        <v>70</v>
      </c>
      <c r="Y245" s="483" t="s">
        <v>80</v>
      </c>
      <c r="Z245" s="484" t="s">
        <v>817</v>
      </c>
      <c r="AA245" s="480" t="s">
        <v>220</v>
      </c>
      <c r="AB245" s="474"/>
      <c r="AC245" s="471"/>
      <c r="AD245" s="471"/>
      <c r="AE245" s="471"/>
      <c r="AF245" s="471"/>
      <c r="AG245" s="471"/>
      <c r="AH245" s="494" t="s">
        <v>59</v>
      </c>
      <c r="AI245" s="467"/>
      <c r="AJ245" s="467"/>
      <c r="AK245" s="467"/>
      <c r="AL245" s="467"/>
      <c r="AM245" s="467"/>
      <c r="AN245" s="467"/>
      <c r="AO245" s="467"/>
      <c r="AP245" s="467"/>
      <c r="AQ245" s="467"/>
      <c r="AR245" s="467"/>
      <c r="AS245" s="467"/>
      <c r="AT245" s="467"/>
      <c r="AU245" s="467"/>
      <c r="AV245" s="467"/>
      <c r="AW245" s="467"/>
      <c r="AX245" s="467"/>
      <c r="AY245" s="486">
        <f>COUNTIF(AI245:AX245,"*OP*")</f>
        <v>0</v>
      </c>
      <c r="AZ245" s="485" t="s">
        <v>59</v>
      </c>
      <c r="BA245" s="471">
        <f>(COUNTIF(AI245:AK245,"*OK*")*3) + (COUNTIF(AL245:AN245,"*OK*")*2) + COUNTIF(AO245:AQ245,"*OK*")+COUNTIF(AZ245:AZ245,"SI")*0.5</f>
        <v>0</v>
      </c>
      <c r="BB245" s="471" t="str">
        <f>IF(BA245&lt;0.6,"Demasiado Riesgo",IF(BA245&lt;=5,"Riesgo Medio",IF(BA245&lt;=11,"Riesgo Bajo","Cliente Blindado")))</f>
        <v>Demasiado Riesgo</v>
      </c>
      <c r="BC245" s="471"/>
      <c r="BD245" s="471"/>
      <c r="BE245" s="471">
        <v>0</v>
      </c>
      <c r="BF245" s="471"/>
      <c r="BG245" s="471"/>
      <c r="BH245" s="471"/>
      <c r="BI245" s="471"/>
      <c r="BJ245" s="471"/>
      <c r="BK245" s="471"/>
      <c r="BL245" s="471"/>
      <c r="BM245" s="471"/>
      <c r="BN245" s="471"/>
      <c r="BO245" s="471"/>
      <c r="BP245" s="471"/>
      <c r="BQ245" s="471"/>
      <c r="BR245" s="471"/>
      <c r="BS245" s="471"/>
      <c r="BT245" s="471"/>
      <c r="BU245" s="471"/>
      <c r="BV245" s="471"/>
      <c r="BW245" s="471"/>
      <c r="BX245" s="471"/>
      <c r="BY245" s="471"/>
      <c r="BZ245" s="471"/>
      <c r="CA245" s="471">
        <f>COUNTIF(AI245:AW245,"*OK*")</f>
        <v>0</v>
      </c>
      <c r="CB245" s="471"/>
      <c r="CC245" s="471">
        <f>COUNTIF(AI245:AW245,"*OP*")</f>
        <v>0</v>
      </c>
    </row>
    <row r="246" spans="1:81" ht="15" customHeight="1">
      <c r="A246" s="449">
        <v>19960</v>
      </c>
      <c r="B246" s="450"/>
      <c r="C246" s="451">
        <f>T246</f>
        <v>52.02</v>
      </c>
      <c r="D246" s="450">
        <f>COUNTIF(AI246:AW246,"*OK*")</f>
        <v>0</v>
      </c>
      <c r="E246" s="450"/>
      <c r="F246" s="453" t="s">
        <v>818</v>
      </c>
      <c r="G246" s="453"/>
      <c r="H246" s="454"/>
      <c r="I246" s="454"/>
      <c r="J246" s="453"/>
      <c r="K246" s="453" t="s">
        <v>68</v>
      </c>
      <c r="L246" s="453" t="s">
        <v>461</v>
      </c>
      <c r="M246" s="453"/>
      <c r="N246" s="466" t="s">
        <v>103</v>
      </c>
      <c r="O246" s="457">
        <v>52.81</v>
      </c>
      <c r="P246" s="457">
        <v>52.76</v>
      </c>
      <c r="Q246" s="457">
        <v>50.28</v>
      </c>
      <c r="R246" s="458">
        <v>51.9</v>
      </c>
      <c r="S246" s="459">
        <v>52.6006</v>
      </c>
      <c r="T246" s="469">
        <v>52.02</v>
      </c>
      <c r="U246" s="461"/>
      <c r="V246" s="462">
        <v>100</v>
      </c>
      <c r="W246" s="463"/>
      <c r="X246" s="567" t="s">
        <v>70</v>
      </c>
      <c r="Y246" s="465" t="s">
        <v>80</v>
      </c>
      <c r="Z246" s="466" t="s">
        <v>819</v>
      </c>
      <c r="AA246" s="462" t="s">
        <v>220</v>
      </c>
      <c r="AB246" s="454"/>
      <c r="AC246" s="450"/>
      <c r="AD246" s="450"/>
      <c r="AE246" s="450"/>
      <c r="AF246" s="450"/>
      <c r="AG246" s="450"/>
      <c r="AH246" s="496" t="s">
        <v>59</v>
      </c>
      <c r="AI246" s="467"/>
      <c r="AJ246" s="467"/>
      <c r="AK246" s="467"/>
      <c r="AL246" s="467"/>
      <c r="AM246" s="467"/>
      <c r="AN246" s="467"/>
      <c r="AO246" s="467"/>
      <c r="AP246" s="467"/>
      <c r="AQ246" s="467"/>
      <c r="AR246" s="467"/>
      <c r="AS246" s="467"/>
      <c r="AT246" s="467"/>
      <c r="AU246" s="467"/>
      <c r="AV246" s="467"/>
      <c r="AW246" s="467"/>
      <c r="AX246" s="467"/>
      <c r="AY246" s="486">
        <f>COUNTIF(AI246:AX246,"*OP*")</f>
        <v>0</v>
      </c>
      <c r="AZ246" s="499" t="s">
        <v>59</v>
      </c>
      <c r="BA246" s="450">
        <f>(COUNTIF(AI246:AK246,"*OK*")*3) + (COUNTIF(AL246:AN246,"*OK*")*2) + COUNTIF(AO246:AQ246,"*OK*")+COUNTIF(AZ246:AZ246,"SI")*0.5</f>
        <v>0</v>
      </c>
      <c r="BB246" s="450" t="str">
        <f>IF(BA246&lt;0.6,"Demasiado Riesgo",IF(BA246&lt;=5,"Riesgo Medio",IF(BA246&lt;=11,"Riesgo Bajo","Cliente Blindado")))</f>
        <v>Demasiado Riesgo</v>
      </c>
      <c r="BC246" s="450"/>
      <c r="BD246" s="450"/>
      <c r="BE246" s="450">
        <v>0</v>
      </c>
      <c r="BF246" s="450"/>
      <c r="BG246" s="450"/>
      <c r="BH246" s="450"/>
      <c r="BI246" s="450"/>
      <c r="BJ246" s="450"/>
      <c r="BK246" s="450"/>
      <c r="BL246" s="450"/>
      <c r="BM246" s="450"/>
      <c r="BN246" s="450"/>
      <c r="BO246" s="450"/>
      <c r="BP246" s="450"/>
      <c r="BQ246" s="450"/>
      <c r="BR246" s="450"/>
      <c r="BS246" s="450"/>
      <c r="BT246" s="450"/>
      <c r="BU246" s="450"/>
      <c r="BV246" s="450"/>
      <c r="BW246" s="450"/>
      <c r="BX246" s="450"/>
      <c r="BY246" s="450"/>
      <c r="BZ246" s="450"/>
      <c r="CA246" s="450">
        <f>COUNTIF(AI246:AW246,"*OK*")</f>
        <v>0</v>
      </c>
      <c r="CB246" s="450"/>
      <c r="CC246" s="450">
        <f>COUNTIF(AI246:AW246,"*OP*")</f>
        <v>0</v>
      </c>
    </row>
    <row r="247" spans="1:81" ht="15" customHeight="1">
      <c r="A247" s="470">
        <v>26334</v>
      </c>
      <c r="B247" s="471"/>
      <c r="C247" s="451">
        <f>T247</f>
        <v>52.78</v>
      </c>
      <c r="D247" s="471">
        <f>COUNTIF(AI247:AW247,"*OK*")</f>
        <v>0</v>
      </c>
      <c r="E247" s="471"/>
      <c r="F247" s="472" t="s">
        <v>820</v>
      </c>
      <c r="G247" s="473"/>
      <c r="H247" s="474"/>
      <c r="I247" s="474"/>
      <c r="J247" s="473"/>
      <c r="K247" s="473" t="s">
        <v>68</v>
      </c>
      <c r="L247" s="453" t="s">
        <v>461</v>
      </c>
      <c r="M247" s="473"/>
      <c r="N247" s="484" t="s">
        <v>117</v>
      </c>
      <c r="O247" s="477">
        <v>36.659999999999997</v>
      </c>
      <c r="P247" s="477">
        <v>47.9</v>
      </c>
      <c r="Q247" s="477">
        <v>37.590000000000003</v>
      </c>
      <c r="R247" s="478">
        <v>47.12</v>
      </c>
      <c r="S247" s="459">
        <v>73.029600000000002</v>
      </c>
      <c r="T247" s="487">
        <v>52.78</v>
      </c>
      <c r="U247" s="479"/>
      <c r="V247" s="480">
        <v>200</v>
      </c>
      <c r="W247" s="481"/>
      <c r="X247" s="482" t="s">
        <v>70</v>
      </c>
      <c r="Y247" s="483" t="s">
        <v>108</v>
      </c>
      <c r="Z247" s="484" t="s">
        <v>821</v>
      </c>
      <c r="AA247" s="480" t="s">
        <v>59</v>
      </c>
      <c r="AB247" s="474"/>
      <c r="AC247" s="471"/>
      <c r="AD247" s="471"/>
      <c r="AE247" s="471"/>
      <c r="AF247" s="471"/>
      <c r="AG247" s="471"/>
      <c r="AH247" s="494" t="s">
        <v>59</v>
      </c>
      <c r="AI247" s="467" t="s">
        <v>650</v>
      </c>
      <c r="AJ247" s="467"/>
      <c r="AK247" s="467"/>
      <c r="AL247" s="467"/>
      <c r="AM247" s="467"/>
      <c r="AN247" s="467"/>
      <c r="AO247" s="467"/>
      <c r="AP247" s="467"/>
      <c r="AQ247" s="467"/>
      <c r="AR247" s="467"/>
      <c r="AS247" s="467"/>
      <c r="AT247" s="467"/>
      <c r="AU247" s="467"/>
      <c r="AV247" s="467"/>
      <c r="AW247" s="467"/>
      <c r="AX247" s="467"/>
      <c r="AY247" s="486">
        <f>COUNTIF(AI247:AX247,"*OP*")</f>
        <v>1</v>
      </c>
      <c r="AZ247" s="485" t="s">
        <v>59</v>
      </c>
      <c r="BA247" s="471">
        <f>(COUNTIF(AI247:AK247,"*OK*")*3) + (COUNTIF(AL247:AN247,"*OK*")*2) + COUNTIF(AO247:AQ247,"*OK*")+COUNTIF(AZ247:AZ247,"SI")*0.5</f>
        <v>0</v>
      </c>
      <c r="BB247" s="471" t="str">
        <f>IF(BA247&lt;0.6,"Demasiado Riesgo",IF(BA247&lt;=5,"Riesgo Medio",IF(BA247&lt;=11,"Riesgo Bajo","Cliente Blindado")))</f>
        <v>Demasiado Riesgo</v>
      </c>
      <c r="BC247" s="471"/>
      <c r="BD247" s="471"/>
      <c r="BE247" s="471">
        <v>0</v>
      </c>
      <c r="BF247" s="471"/>
      <c r="BG247" s="471"/>
      <c r="BH247" s="471"/>
      <c r="BI247" s="471"/>
      <c r="BJ247" s="471"/>
      <c r="BK247" s="471"/>
      <c r="BL247" s="471"/>
      <c r="BM247" s="471"/>
      <c r="BN247" s="471"/>
      <c r="BO247" s="471"/>
      <c r="BP247" s="471"/>
      <c r="BQ247" s="471"/>
      <c r="BR247" s="471"/>
      <c r="BS247" s="471"/>
      <c r="BT247" s="471"/>
      <c r="BU247" s="471"/>
      <c r="BV247" s="471"/>
      <c r="BW247" s="471"/>
      <c r="BX247" s="471"/>
      <c r="BY247" s="471"/>
      <c r="BZ247" s="471"/>
      <c r="CA247" s="471">
        <f>COUNTIF(AI247:AW247,"*OK*")</f>
        <v>0</v>
      </c>
      <c r="CB247" s="471"/>
      <c r="CC247" s="471">
        <f>COUNTIF(AI247:AW247,"*OP*")</f>
        <v>1</v>
      </c>
    </row>
    <row r="248" spans="1:81" ht="15" customHeight="1">
      <c r="A248" s="470">
        <v>31210</v>
      </c>
      <c r="B248" s="471"/>
      <c r="C248" s="451">
        <f>T248</f>
        <v>53.32</v>
      </c>
      <c r="D248" s="471">
        <f>COUNTIF(AI248:AW248,"*OK*")</f>
        <v>0</v>
      </c>
      <c r="E248" s="471"/>
      <c r="F248" s="473" t="s">
        <v>822</v>
      </c>
      <c r="G248" s="473"/>
      <c r="H248" s="474"/>
      <c r="I248" s="474"/>
      <c r="J248" s="473"/>
      <c r="K248" s="473" t="s">
        <v>68</v>
      </c>
      <c r="L248" s="453" t="s">
        <v>461</v>
      </c>
      <c r="M248" s="473"/>
      <c r="N248" s="484" t="s">
        <v>156</v>
      </c>
      <c r="O248" s="477">
        <v>57.73</v>
      </c>
      <c r="P248" s="477">
        <v>57.68</v>
      </c>
      <c r="Q248" s="477">
        <v>51.53</v>
      </c>
      <c r="R248" s="478">
        <v>56.74</v>
      </c>
      <c r="S248" s="459">
        <v>53.909100000000002</v>
      </c>
      <c r="T248" s="487">
        <v>53.32</v>
      </c>
      <c r="U248" s="479"/>
      <c r="V248" s="480">
        <v>50</v>
      </c>
      <c r="W248" s="481"/>
      <c r="X248" s="572" t="s">
        <v>70</v>
      </c>
      <c r="Y248" s="483" t="s">
        <v>80</v>
      </c>
      <c r="Z248" s="484" t="s">
        <v>823</v>
      </c>
      <c r="AA248" s="480" t="s">
        <v>59</v>
      </c>
      <c r="AB248" s="474"/>
      <c r="AC248" s="471"/>
      <c r="AD248" s="471"/>
      <c r="AE248" s="471"/>
      <c r="AF248" s="471"/>
      <c r="AG248" s="471"/>
      <c r="AH248" s="494" t="s">
        <v>59</v>
      </c>
      <c r="AI248" s="467"/>
      <c r="AJ248" s="467"/>
      <c r="AK248" s="467"/>
      <c r="AL248" s="467"/>
      <c r="AM248" s="467"/>
      <c r="AN248" s="467"/>
      <c r="AO248" s="467"/>
      <c r="AP248" s="467"/>
      <c r="AQ248" s="467"/>
      <c r="AR248" s="467"/>
      <c r="AS248" s="467"/>
      <c r="AT248" s="467"/>
      <c r="AU248" s="467"/>
      <c r="AV248" s="467"/>
      <c r="AW248" s="467"/>
      <c r="AX248" s="467"/>
      <c r="AY248" s="486">
        <f>COUNTIF(AI248:AX248,"*OP*")</f>
        <v>0</v>
      </c>
      <c r="AZ248" s="485" t="s">
        <v>59</v>
      </c>
      <c r="BA248" s="471">
        <f>(COUNTIF(AI248:AK248,"*OK*")*3) + (COUNTIF(AL248:AN248,"*OK*")*2) + COUNTIF(AO248:AQ248,"*OK*")+COUNTIF(AZ248:AZ248,"SI")*0.5</f>
        <v>0</v>
      </c>
      <c r="BB248" s="471" t="str">
        <f>IF(BA248&lt;0.6,"Demasiado Riesgo",IF(BA248&lt;=5,"Riesgo Medio",IF(BA248&lt;=11,"Riesgo Bajo","Cliente Blindado")))</f>
        <v>Demasiado Riesgo</v>
      </c>
      <c r="BC248" s="471"/>
      <c r="BD248" s="471"/>
      <c r="BE248" s="471">
        <v>0</v>
      </c>
      <c r="BF248" s="471"/>
      <c r="BG248" s="471"/>
      <c r="BH248" s="471"/>
      <c r="BI248" s="471"/>
      <c r="BJ248" s="471"/>
      <c r="BK248" s="471"/>
      <c r="BL248" s="471"/>
      <c r="BM248" s="471"/>
      <c r="BN248" s="471"/>
      <c r="BO248" s="471"/>
      <c r="BP248" s="471"/>
      <c r="BQ248" s="471"/>
      <c r="BR248" s="471"/>
      <c r="BS248" s="471"/>
      <c r="BT248" s="471"/>
      <c r="BU248" s="471"/>
      <c r="BV248" s="471"/>
      <c r="BW248" s="471"/>
      <c r="BX248" s="471"/>
      <c r="BY248" s="471"/>
      <c r="BZ248" s="471"/>
      <c r="CA248" s="471">
        <f>COUNTIF(AI248:AW248,"*OK*")</f>
        <v>0</v>
      </c>
      <c r="CB248" s="471"/>
      <c r="CC248" s="471">
        <f>COUNTIF(AI248:AW248,"*OP*")</f>
        <v>0</v>
      </c>
    </row>
    <row r="249" spans="1:81" ht="15" customHeight="1">
      <c r="A249" s="449">
        <v>28061</v>
      </c>
      <c r="B249" s="450"/>
      <c r="C249" s="451">
        <f>T249</f>
        <v>53.32</v>
      </c>
      <c r="D249" s="450">
        <f>COUNTIF(AI249:AW249,"*OK*")</f>
        <v>0</v>
      </c>
      <c r="E249" s="450"/>
      <c r="F249" s="453" t="s">
        <v>824</v>
      </c>
      <c r="G249" s="453"/>
      <c r="H249" s="454"/>
      <c r="I249" s="454"/>
      <c r="J249" s="453"/>
      <c r="K249" s="453" t="s">
        <v>68</v>
      </c>
      <c r="L249" s="453" t="s">
        <v>461</v>
      </c>
      <c r="M249" s="453"/>
      <c r="N249" s="466" t="s">
        <v>237</v>
      </c>
      <c r="O249" s="457">
        <v>51.12</v>
      </c>
      <c r="P249" s="457">
        <v>51.07</v>
      </c>
      <c r="Q249" s="457">
        <v>42.94</v>
      </c>
      <c r="R249" s="458">
        <v>50.24</v>
      </c>
      <c r="S249" s="459">
        <v>50.912500000000001</v>
      </c>
      <c r="T249" s="460">
        <v>53.32</v>
      </c>
      <c r="U249" s="461"/>
      <c r="V249" s="462">
        <v>100</v>
      </c>
      <c r="W249" s="463"/>
      <c r="X249" s="567" t="s">
        <v>70</v>
      </c>
      <c r="Y249" s="465" t="s">
        <v>161</v>
      </c>
      <c r="Z249" s="466" t="s">
        <v>825</v>
      </c>
      <c r="AA249" s="462" t="s">
        <v>161</v>
      </c>
      <c r="AB249" s="454"/>
      <c r="AC249" s="450"/>
      <c r="AD249" s="450"/>
      <c r="AE249" s="450"/>
      <c r="AF249" s="450"/>
      <c r="AG249" s="450"/>
      <c r="AH249" s="496" t="s">
        <v>59</v>
      </c>
      <c r="AI249" s="467"/>
      <c r="AJ249" s="467"/>
      <c r="AK249" s="467"/>
      <c r="AL249" s="467"/>
      <c r="AM249" s="467"/>
      <c r="AN249" s="467"/>
      <c r="AO249" s="467"/>
      <c r="AP249" s="467"/>
      <c r="AQ249" s="467"/>
      <c r="AR249" s="467"/>
      <c r="AS249" s="467"/>
      <c r="AT249" s="467"/>
      <c r="AU249" s="467"/>
      <c r="AV249" s="467"/>
      <c r="AW249" s="467"/>
      <c r="AX249" s="467"/>
      <c r="AY249" s="486">
        <f>COUNTIF(AI249:AX249,"*OP*")</f>
        <v>0</v>
      </c>
      <c r="AZ249" s="499" t="s">
        <v>59</v>
      </c>
      <c r="BA249" s="450">
        <f>(COUNTIF(AI249:AK249,"*OK*")*3) + (COUNTIF(AL249:AN249,"*OK*")*2) + COUNTIF(AO249:AQ249,"*OK*")+COUNTIF(AZ249:AZ249,"SI")*0.5</f>
        <v>0</v>
      </c>
      <c r="BB249" s="450" t="str">
        <f>IF(BA249&lt;0.6,"Demasiado Riesgo",IF(BA249&lt;=5,"Riesgo Medio",IF(BA249&lt;=11,"Riesgo Bajo","Cliente Blindado")))</f>
        <v>Demasiado Riesgo</v>
      </c>
      <c r="BC249" s="450"/>
      <c r="BD249" s="450"/>
      <c r="BE249" s="450">
        <v>0</v>
      </c>
      <c r="BF249" s="450"/>
      <c r="BG249" s="450"/>
      <c r="BH249" s="450"/>
      <c r="BI249" s="450"/>
      <c r="BJ249" s="450"/>
      <c r="BK249" s="450"/>
      <c r="BL249" s="450"/>
      <c r="BM249" s="450"/>
      <c r="BN249" s="450"/>
      <c r="BO249" s="450"/>
      <c r="BP249" s="450"/>
      <c r="BQ249" s="450"/>
      <c r="BR249" s="450"/>
      <c r="BS249" s="450"/>
      <c r="BT249" s="450"/>
      <c r="BU249" s="450"/>
      <c r="BV249" s="450"/>
      <c r="BW249" s="450"/>
      <c r="BX249" s="450"/>
      <c r="BY249" s="450"/>
      <c r="BZ249" s="450"/>
      <c r="CA249" s="450">
        <f>COUNTIF(AI249:AW249,"*OK*")</f>
        <v>0</v>
      </c>
      <c r="CB249" s="450"/>
      <c r="CC249" s="450">
        <f>COUNTIF(AI249:AW249,"*OP*")</f>
        <v>0</v>
      </c>
    </row>
    <row r="250" spans="1:81" ht="15" customHeight="1">
      <c r="A250" s="449">
        <v>22079</v>
      </c>
      <c r="B250" s="450"/>
      <c r="C250" s="451">
        <f>T250</f>
        <v>53.48</v>
      </c>
      <c r="D250" s="450">
        <f>COUNTIF(AI250:AW250,"*OK*")</f>
        <v>0</v>
      </c>
      <c r="E250" s="450"/>
      <c r="F250" s="453" t="s">
        <v>826</v>
      </c>
      <c r="G250" s="453"/>
      <c r="H250" s="454"/>
      <c r="I250" s="454"/>
      <c r="J250" s="453"/>
      <c r="K250" s="453" t="s">
        <v>68</v>
      </c>
      <c r="L250" s="453" t="s">
        <v>461</v>
      </c>
      <c r="M250" s="453"/>
      <c r="N250" s="466" t="s">
        <v>65</v>
      </c>
      <c r="O250" s="457">
        <v>43.43</v>
      </c>
      <c r="P250" s="457">
        <v>43.39</v>
      </c>
      <c r="Q250" s="457">
        <v>44.8</v>
      </c>
      <c r="R250" s="458">
        <v>46.24</v>
      </c>
      <c r="S250" s="459">
        <v>54.073700000000002</v>
      </c>
      <c r="T250" s="469">
        <v>53.48</v>
      </c>
      <c r="U250" s="461"/>
      <c r="V250" s="462">
        <v>50</v>
      </c>
      <c r="W250" s="463"/>
      <c r="X250" s="567" t="s">
        <v>70</v>
      </c>
      <c r="Y250" s="465" t="s">
        <v>71</v>
      </c>
      <c r="Z250" s="466" t="s">
        <v>74</v>
      </c>
      <c r="AA250" s="462" t="s">
        <v>59</v>
      </c>
      <c r="AB250" s="454"/>
      <c r="AC250" s="450"/>
      <c r="AD250" s="450"/>
      <c r="AE250" s="450"/>
      <c r="AF250" s="450"/>
      <c r="AG250" s="450"/>
      <c r="AH250" s="496" t="s">
        <v>59</v>
      </c>
      <c r="AI250" s="467"/>
      <c r="AJ250" s="467"/>
      <c r="AK250" s="467"/>
      <c r="AL250" s="467"/>
      <c r="AM250" s="467"/>
      <c r="AN250" s="467"/>
      <c r="AO250" s="467"/>
      <c r="AP250" s="467"/>
      <c r="AQ250" s="467"/>
      <c r="AR250" s="467"/>
      <c r="AS250" s="467"/>
      <c r="AT250" s="467"/>
      <c r="AU250" s="467"/>
      <c r="AV250" s="467"/>
      <c r="AW250" s="467"/>
      <c r="AX250" s="467"/>
      <c r="AY250" s="486">
        <f>COUNTIF(AI250:AX250,"*OP*")</f>
        <v>0</v>
      </c>
      <c r="AZ250" s="499" t="s">
        <v>59</v>
      </c>
      <c r="BA250" s="450">
        <f>(COUNTIF(AI250:AK250,"*OK*")*3) + (COUNTIF(AL250:AN250,"*OK*")*2) + COUNTIF(AO250:AQ250,"*OK*")+COUNTIF(AZ250:AZ250,"SI")*0.5</f>
        <v>0</v>
      </c>
      <c r="BB250" s="450" t="str">
        <f>IF(BA250&lt;0.6,"Demasiado Riesgo",IF(BA250&lt;=5,"Riesgo Medio",IF(BA250&lt;=11,"Riesgo Bajo","Cliente Blindado")))</f>
        <v>Demasiado Riesgo</v>
      </c>
      <c r="BC250" s="450"/>
      <c r="BD250" s="450"/>
      <c r="BE250" s="450">
        <v>0</v>
      </c>
      <c r="BF250" s="450"/>
      <c r="BG250" s="450"/>
      <c r="BH250" s="450"/>
      <c r="BI250" s="450"/>
      <c r="BJ250" s="450"/>
      <c r="BK250" s="450"/>
      <c r="BL250" s="450"/>
      <c r="BM250" s="450"/>
      <c r="BN250" s="450"/>
      <c r="BO250" s="450"/>
      <c r="BP250" s="450"/>
      <c r="BQ250" s="450"/>
      <c r="BR250" s="450"/>
      <c r="BS250" s="450"/>
      <c r="BT250" s="450"/>
      <c r="BU250" s="450"/>
      <c r="BV250" s="450"/>
      <c r="BW250" s="450"/>
      <c r="BX250" s="450"/>
      <c r="BY250" s="450"/>
      <c r="BZ250" s="450"/>
      <c r="CA250" s="450">
        <f>COUNTIF(AI250:AW250,"*OK*")</f>
        <v>0</v>
      </c>
      <c r="CB250" s="450"/>
      <c r="CC250" s="450">
        <f>COUNTIF(AI250:AW250,"*OP*")</f>
        <v>0</v>
      </c>
    </row>
    <row r="251" spans="1:81" ht="15" customHeight="1">
      <c r="A251" s="470">
        <v>26564</v>
      </c>
      <c r="B251" s="471"/>
      <c r="C251" s="451">
        <f>T251</f>
        <v>53.72</v>
      </c>
      <c r="D251" s="471">
        <f>COUNTIF(AI251:AW251,"*OK*")</f>
        <v>0</v>
      </c>
      <c r="E251" s="471"/>
      <c r="F251" s="473" t="s">
        <v>827</v>
      </c>
      <c r="G251" s="473"/>
      <c r="H251" s="474"/>
      <c r="I251" s="474"/>
      <c r="J251" s="473"/>
      <c r="K251" s="473" t="s">
        <v>68</v>
      </c>
      <c r="L251" s="453" t="s">
        <v>461</v>
      </c>
      <c r="M251" s="473"/>
      <c r="N251" s="484" t="s">
        <v>191</v>
      </c>
      <c r="O251" s="477">
        <v>54.53</v>
      </c>
      <c r="P251" s="477">
        <v>54.48</v>
      </c>
      <c r="Q251" s="477">
        <v>51.92</v>
      </c>
      <c r="R251" s="478">
        <v>53.59</v>
      </c>
      <c r="S251" s="459">
        <v>54.310600000000001</v>
      </c>
      <c r="T251" s="487">
        <v>53.72</v>
      </c>
      <c r="U251" s="479"/>
      <c r="V251" s="480">
        <v>100</v>
      </c>
      <c r="W251" s="481"/>
      <c r="X251" s="493" t="s">
        <v>828</v>
      </c>
      <c r="Y251" s="483" t="s">
        <v>150</v>
      </c>
      <c r="Z251" s="484" t="s">
        <v>829</v>
      </c>
      <c r="AA251" s="480" t="s">
        <v>132</v>
      </c>
      <c r="AB251" s="474"/>
      <c r="AC251" s="471"/>
      <c r="AD251" s="471"/>
      <c r="AE251" s="471"/>
      <c r="AF251" s="471"/>
      <c r="AG251" s="471"/>
      <c r="AH251" s="494" t="s">
        <v>59</v>
      </c>
      <c r="AI251" s="467"/>
      <c r="AJ251" s="467"/>
      <c r="AK251" s="467"/>
      <c r="AL251" s="467"/>
      <c r="AM251" s="467"/>
      <c r="AN251" s="467"/>
      <c r="AO251" s="467"/>
      <c r="AP251" s="467"/>
      <c r="AQ251" s="467"/>
      <c r="AR251" s="467"/>
      <c r="AS251" s="467"/>
      <c r="AT251" s="467"/>
      <c r="AU251" s="467"/>
      <c r="AV251" s="467"/>
      <c r="AW251" s="467"/>
      <c r="AX251" s="467"/>
      <c r="AY251" s="486">
        <f>COUNTIF(AI251:AX251,"*OP*")</f>
        <v>0</v>
      </c>
      <c r="AZ251" s="485" t="s">
        <v>59</v>
      </c>
      <c r="BA251" s="471">
        <f>(COUNTIF(AI251:AK251,"*OK*")*3) + (COUNTIF(AL251:AN251,"*OK*")*2) + COUNTIF(AO251:AQ251,"*OK*")+COUNTIF(AZ251:AZ251,"SI")*0.5</f>
        <v>0</v>
      </c>
      <c r="BB251" s="471" t="str">
        <f>IF(BA251&lt;0.6,"Demasiado Riesgo",IF(BA251&lt;=5,"Riesgo Medio",IF(BA251&lt;=11,"Riesgo Bajo","Cliente Blindado")))</f>
        <v>Demasiado Riesgo</v>
      </c>
      <c r="BC251" s="471"/>
      <c r="BD251" s="471"/>
      <c r="BE251" s="471">
        <v>0</v>
      </c>
      <c r="BF251" s="471"/>
      <c r="BG251" s="471"/>
      <c r="BH251" s="471"/>
      <c r="BI251" s="471"/>
      <c r="BJ251" s="471"/>
      <c r="BK251" s="471"/>
      <c r="BL251" s="471"/>
      <c r="BM251" s="471"/>
      <c r="BN251" s="471"/>
      <c r="BO251" s="471"/>
      <c r="BP251" s="471"/>
      <c r="BQ251" s="471"/>
      <c r="BR251" s="471"/>
      <c r="BS251" s="471"/>
      <c r="BT251" s="471"/>
      <c r="BU251" s="471"/>
      <c r="BV251" s="471"/>
      <c r="BW251" s="471"/>
      <c r="BX251" s="471"/>
      <c r="BY251" s="471"/>
      <c r="BZ251" s="471"/>
      <c r="CA251" s="471">
        <f>COUNTIF(AI251:AW251,"*OK*")</f>
        <v>0</v>
      </c>
      <c r="CB251" s="471"/>
      <c r="CC251" s="471">
        <f>COUNTIF(AI251:AW251,"*OP*")</f>
        <v>0</v>
      </c>
    </row>
    <row r="252" spans="1:81" ht="15" customHeight="1">
      <c r="A252" s="563"/>
      <c r="B252" s="536"/>
      <c r="C252" s="451">
        <f>T252</f>
        <v>54</v>
      </c>
      <c r="D252" s="471">
        <f>COUNTIF(AI252:AW252,"*OK*")</f>
        <v>0</v>
      </c>
      <c r="E252" s="471"/>
      <c r="F252" s="473" t="s">
        <v>830</v>
      </c>
      <c r="G252" s="473"/>
      <c r="H252" s="474"/>
      <c r="I252" s="474"/>
      <c r="J252" s="473"/>
      <c r="K252" s="564" t="s">
        <v>68</v>
      </c>
      <c r="L252" s="453" t="s">
        <v>461</v>
      </c>
      <c r="M252" s="473"/>
      <c r="N252" s="484" t="s">
        <v>65</v>
      </c>
      <c r="O252" s="477">
        <v>40.020000000000003</v>
      </c>
      <c r="P252" s="477">
        <v>40.86</v>
      </c>
      <c r="Q252" s="477">
        <v>39.76</v>
      </c>
      <c r="R252" s="478">
        <v>51.3</v>
      </c>
      <c r="S252" s="459">
        <v>52.860500000000002</v>
      </c>
      <c r="T252" s="490">
        <v>54</v>
      </c>
      <c r="U252" s="479"/>
      <c r="V252" s="480">
        <v>200</v>
      </c>
      <c r="W252" s="481"/>
      <c r="X252" s="493" t="s">
        <v>124</v>
      </c>
      <c r="Y252" s="483" t="s">
        <v>125</v>
      </c>
      <c r="Z252" s="484" t="s">
        <v>831</v>
      </c>
      <c r="AA252" s="480" t="s">
        <v>59</v>
      </c>
      <c r="AB252" s="474"/>
      <c r="AC252" s="471"/>
      <c r="AD252" s="471"/>
      <c r="AE252" s="471"/>
      <c r="AF252" s="471"/>
      <c r="AG252" s="471"/>
      <c r="AH252" s="494" t="s">
        <v>59</v>
      </c>
      <c r="AI252" s="467"/>
      <c r="AJ252" s="467"/>
      <c r="AK252" s="467"/>
      <c r="AL252" s="467"/>
      <c r="AM252" s="467"/>
      <c r="AN252" s="467"/>
      <c r="AO252" s="467"/>
      <c r="AP252" s="467"/>
      <c r="AQ252" s="467"/>
      <c r="AR252" s="467"/>
      <c r="AS252" s="467"/>
      <c r="AT252" s="467"/>
      <c r="AU252" s="467"/>
      <c r="AV252" s="467"/>
      <c r="AW252" s="467"/>
      <c r="AX252" s="467"/>
      <c r="AY252" s="486">
        <f>COUNTIF(AI252:AX252,"*OP*")</f>
        <v>0</v>
      </c>
      <c r="AZ252" s="485" t="s">
        <v>59</v>
      </c>
      <c r="BA252" s="471">
        <f>(COUNTIF(AI252:AK252,"*OK*")*3) + (COUNTIF(AL252:AN252,"*OK*")*2) + COUNTIF(AO252:AQ252,"*OK*")+COUNTIF(AZ252:AZ252,"SI")*0.5</f>
        <v>0</v>
      </c>
      <c r="BB252" s="471" t="str">
        <f>IF(BA252&lt;0.6,"Demasiado Riesgo",IF(BA252&lt;=5,"Riesgo Medio",IF(BA252&lt;=11,"Riesgo Bajo","Cliente Blindado")))</f>
        <v>Demasiado Riesgo</v>
      </c>
      <c r="BC252" s="471"/>
      <c r="BD252" s="471"/>
      <c r="BE252" s="471">
        <v>0</v>
      </c>
      <c r="BF252" s="471"/>
      <c r="BG252" s="471"/>
      <c r="BH252" s="471"/>
      <c r="BI252" s="471"/>
      <c r="BJ252" s="471"/>
      <c r="BK252" s="471"/>
      <c r="BL252" s="471"/>
      <c r="BM252" s="471"/>
      <c r="BN252" s="471"/>
      <c r="BO252" s="471"/>
      <c r="BP252" s="471"/>
      <c r="BQ252" s="471"/>
      <c r="BR252" s="471"/>
      <c r="BS252" s="471"/>
      <c r="BT252" s="471"/>
      <c r="BU252" s="471"/>
      <c r="BV252" s="471"/>
      <c r="BW252" s="471"/>
      <c r="BX252" s="471"/>
      <c r="BY252" s="471"/>
      <c r="BZ252" s="471"/>
      <c r="CA252" s="471">
        <f>COUNTIF(AI252:AW252,"*OK*")</f>
        <v>0</v>
      </c>
      <c r="CB252" s="471"/>
      <c r="CC252" s="471">
        <f>COUNTIF(AI252:AW252,"*OP*")</f>
        <v>0</v>
      </c>
    </row>
    <row r="253" spans="1:81" ht="15" customHeight="1">
      <c r="A253" s="449">
        <v>26933</v>
      </c>
      <c r="B253" s="450"/>
      <c r="C253" s="451">
        <f>T253</f>
        <v>55.1</v>
      </c>
      <c r="D253" s="450">
        <f>COUNTIF(AI253:AW253,"*OK*")</f>
        <v>0</v>
      </c>
      <c r="E253" s="450"/>
      <c r="F253" s="453" t="s">
        <v>832</v>
      </c>
      <c r="G253" s="453"/>
      <c r="H253" s="454"/>
      <c r="I253" s="454"/>
      <c r="J253" s="453"/>
      <c r="K253" s="453" t="s">
        <v>68</v>
      </c>
      <c r="L253" s="453" t="s">
        <v>461</v>
      </c>
      <c r="M253" s="453"/>
      <c r="N253" s="466" t="s">
        <v>103</v>
      </c>
      <c r="O253" s="457">
        <v>54.14</v>
      </c>
      <c r="P253" s="457">
        <v>54.09</v>
      </c>
      <c r="Q253" s="457">
        <v>53.26</v>
      </c>
      <c r="R253" s="458">
        <v>54.98</v>
      </c>
      <c r="S253" s="459">
        <v>55.715000000000003</v>
      </c>
      <c r="T253" s="469">
        <v>55.1</v>
      </c>
      <c r="U253" s="461"/>
      <c r="V253" s="462">
        <v>150</v>
      </c>
      <c r="W253" s="463"/>
      <c r="X253" s="464" t="s">
        <v>828</v>
      </c>
      <c r="Y253" s="465" t="s">
        <v>80</v>
      </c>
      <c r="Z253" s="466" t="s">
        <v>833</v>
      </c>
      <c r="AA253" s="462" t="s">
        <v>220</v>
      </c>
      <c r="AB253" s="454"/>
      <c r="AC253" s="450"/>
      <c r="AD253" s="450"/>
      <c r="AE253" s="450"/>
      <c r="AF253" s="450"/>
      <c r="AG253" s="450"/>
      <c r="AH253" s="496" t="s">
        <v>59</v>
      </c>
      <c r="AI253" s="467"/>
      <c r="AJ253" s="467"/>
      <c r="AK253" s="467"/>
      <c r="AL253" s="467"/>
      <c r="AM253" s="467"/>
      <c r="AN253" s="467"/>
      <c r="AO253" s="467"/>
      <c r="AP253" s="467"/>
      <c r="AQ253" s="467"/>
      <c r="AR253" s="467"/>
      <c r="AS253" s="467"/>
      <c r="AT253" s="467"/>
      <c r="AU253" s="467"/>
      <c r="AV253" s="467"/>
      <c r="AW253" s="467"/>
      <c r="AX253" s="467"/>
      <c r="AY253" s="486">
        <f>COUNTIF(AI253:AX253,"*OP*")</f>
        <v>0</v>
      </c>
      <c r="AZ253" s="499" t="s">
        <v>59</v>
      </c>
      <c r="BA253" s="450">
        <f>(COUNTIF(AI253:AK253,"*OK*")*3) + (COUNTIF(AL253:AN253,"*OK*")*2) + COUNTIF(AO253:AQ253,"*OK*")+COUNTIF(AZ253:AZ253,"SI")*0.5</f>
        <v>0</v>
      </c>
      <c r="BB253" s="450" t="str">
        <f>IF(BA253&lt;0.6,"Demasiado Riesgo",IF(BA253&lt;=5,"Riesgo Medio",IF(BA253&lt;=11,"Riesgo Bajo","Cliente Blindado")))</f>
        <v>Demasiado Riesgo</v>
      </c>
      <c r="BC253" s="450"/>
      <c r="BD253" s="450"/>
      <c r="BE253" s="450">
        <v>0</v>
      </c>
      <c r="BF253" s="450"/>
      <c r="BG253" s="450"/>
      <c r="BH253" s="450"/>
      <c r="BI253" s="450"/>
      <c r="BJ253" s="450"/>
      <c r="BK253" s="450"/>
      <c r="BL253" s="450"/>
      <c r="BM253" s="450"/>
      <c r="BN253" s="450"/>
      <c r="BO253" s="450"/>
      <c r="BP253" s="450"/>
      <c r="BQ253" s="450"/>
      <c r="BR253" s="450"/>
      <c r="BS253" s="450"/>
      <c r="BT253" s="450"/>
      <c r="BU253" s="450"/>
      <c r="BV253" s="450"/>
      <c r="BW253" s="450"/>
      <c r="BX253" s="450"/>
      <c r="BY253" s="450"/>
      <c r="BZ253" s="450"/>
      <c r="CA253" s="450">
        <f>COUNTIF(AI253:AW253,"*OK*")</f>
        <v>0</v>
      </c>
      <c r="CB253" s="450"/>
      <c r="CC253" s="450">
        <f>COUNTIF(AI253:AW253,"*OP*")</f>
        <v>0</v>
      </c>
    </row>
    <row r="254" spans="1:81" ht="15" customHeight="1">
      <c r="A254" s="449">
        <v>6984</v>
      </c>
      <c r="B254" s="450"/>
      <c r="C254" s="451">
        <f>T254</f>
        <v>55.15</v>
      </c>
      <c r="D254" s="450">
        <f>COUNTIF(AI254:AW254,"*OK*")</f>
        <v>0</v>
      </c>
      <c r="E254" s="450"/>
      <c r="F254" s="453" t="s">
        <v>834</v>
      </c>
      <c r="G254" s="453"/>
      <c r="H254" s="454"/>
      <c r="I254" s="454"/>
      <c r="J254" s="453"/>
      <c r="K254" s="453" t="s">
        <v>68</v>
      </c>
      <c r="L254" s="453" t="s">
        <v>461</v>
      </c>
      <c r="M254" s="453"/>
      <c r="N254" s="466" t="s">
        <v>156</v>
      </c>
      <c r="O254" s="457">
        <v>55.98</v>
      </c>
      <c r="P254" s="457">
        <v>55.93</v>
      </c>
      <c r="Q254" s="457">
        <v>53.3</v>
      </c>
      <c r="R254" s="458">
        <v>55.02</v>
      </c>
      <c r="S254" s="459">
        <v>55.756599999999999</v>
      </c>
      <c r="T254" s="469">
        <v>55.15</v>
      </c>
      <c r="U254" s="461"/>
      <c r="V254" s="462">
        <v>100</v>
      </c>
      <c r="W254" s="463"/>
      <c r="X254" s="567" t="s">
        <v>70</v>
      </c>
      <c r="Y254" s="465" t="s">
        <v>125</v>
      </c>
      <c r="Z254" s="466" t="s">
        <v>835</v>
      </c>
      <c r="AA254" s="462" t="s">
        <v>59</v>
      </c>
      <c r="AB254" s="454"/>
      <c r="AC254" s="450"/>
      <c r="AD254" s="450"/>
      <c r="AE254" s="450"/>
      <c r="AF254" s="450"/>
      <c r="AG254" s="450"/>
      <c r="AH254" s="496" t="s">
        <v>59</v>
      </c>
      <c r="AI254" s="467"/>
      <c r="AJ254" s="467"/>
      <c r="AK254" s="467"/>
      <c r="AL254" s="467"/>
      <c r="AM254" s="467"/>
      <c r="AN254" s="467"/>
      <c r="AO254" s="467"/>
      <c r="AP254" s="467"/>
      <c r="AQ254" s="467"/>
      <c r="AR254" s="467"/>
      <c r="AS254" s="467"/>
      <c r="AT254" s="467"/>
      <c r="AU254" s="467"/>
      <c r="AV254" s="467"/>
      <c r="AW254" s="467"/>
      <c r="AX254" s="467"/>
      <c r="AY254" s="486">
        <f>COUNTIF(AI254:AX254,"*OP*")</f>
        <v>0</v>
      </c>
      <c r="AZ254" s="499" t="s">
        <v>59</v>
      </c>
      <c r="BA254" s="450">
        <f>(COUNTIF(AI254:AK254,"*OK*")*3) + (COUNTIF(AL254:AN254,"*OK*")*2) + COUNTIF(AO254:AQ254,"*OK*")+COUNTIF(AZ254:AZ254,"SI")*0.5</f>
        <v>0</v>
      </c>
      <c r="BB254" s="450" t="str">
        <f>IF(BA254&lt;0.6,"Demasiado Riesgo",IF(BA254&lt;=5,"Riesgo Medio",IF(BA254&lt;=11,"Riesgo Bajo","Cliente Blindado")))</f>
        <v>Demasiado Riesgo</v>
      </c>
      <c r="BC254" s="450"/>
      <c r="BD254" s="450"/>
      <c r="BE254" s="450">
        <v>0</v>
      </c>
      <c r="BF254" s="450"/>
      <c r="BG254" s="450"/>
      <c r="BH254" s="450"/>
      <c r="BI254" s="450"/>
      <c r="BJ254" s="450"/>
      <c r="BK254" s="450"/>
      <c r="BL254" s="450"/>
      <c r="BM254" s="450"/>
      <c r="BN254" s="450"/>
      <c r="BO254" s="450"/>
      <c r="BP254" s="450"/>
      <c r="BQ254" s="450"/>
      <c r="BR254" s="450"/>
      <c r="BS254" s="450"/>
      <c r="BT254" s="450"/>
      <c r="BU254" s="450"/>
      <c r="BV254" s="450"/>
      <c r="BW254" s="450"/>
      <c r="BX254" s="450"/>
      <c r="BY254" s="450"/>
      <c r="BZ254" s="450"/>
      <c r="CA254" s="450">
        <f>COUNTIF(AI254:AW254,"*OK*")</f>
        <v>0</v>
      </c>
      <c r="CB254" s="450"/>
      <c r="CC254" s="450">
        <f>COUNTIF(AI254:AW254,"*OP*")</f>
        <v>0</v>
      </c>
    </row>
    <row r="255" spans="1:81" ht="15" customHeight="1">
      <c r="A255" s="470"/>
      <c r="B255" s="471"/>
      <c r="C255" s="451">
        <f>T255</f>
        <v>55.15</v>
      </c>
      <c r="D255" s="471">
        <f>COUNTIF(AI255:AW255,"*OK*")</f>
        <v>0</v>
      </c>
      <c r="E255" s="471"/>
      <c r="F255" s="473" t="s">
        <v>836</v>
      </c>
      <c r="G255" s="473"/>
      <c r="H255" s="474"/>
      <c r="I255" s="474"/>
      <c r="J255" s="473"/>
      <c r="K255" s="473" t="s">
        <v>68</v>
      </c>
      <c r="L255" s="453" t="s">
        <v>461</v>
      </c>
      <c r="M255" s="473"/>
      <c r="N255" s="484" t="s">
        <v>103</v>
      </c>
      <c r="O255" s="477">
        <v>55.98</v>
      </c>
      <c r="P255" s="477">
        <v>55.93</v>
      </c>
      <c r="Q255" s="477">
        <v>53.3</v>
      </c>
      <c r="R255" s="478">
        <v>55.02</v>
      </c>
      <c r="S255" s="459">
        <v>55.756599999999999</v>
      </c>
      <c r="T255" s="487">
        <v>55.15</v>
      </c>
      <c r="U255" s="479"/>
      <c r="V255" s="480">
        <v>100</v>
      </c>
      <c r="W255" s="481"/>
      <c r="X255" s="482" t="s">
        <v>70</v>
      </c>
      <c r="Y255" s="483" t="s">
        <v>80</v>
      </c>
      <c r="Z255" s="484" t="s">
        <v>837</v>
      </c>
      <c r="AA255" s="480" t="s">
        <v>59</v>
      </c>
      <c r="AB255" s="474"/>
      <c r="AC255" s="471"/>
      <c r="AD255" s="471"/>
      <c r="AE255" s="471"/>
      <c r="AF255" s="471"/>
      <c r="AG255" s="471"/>
      <c r="AH255" s="494" t="s">
        <v>59</v>
      </c>
      <c r="AI255" s="467"/>
      <c r="AJ255" s="467"/>
      <c r="AK255" s="467"/>
      <c r="AL255" s="467"/>
      <c r="AM255" s="467"/>
      <c r="AN255" s="467"/>
      <c r="AO255" s="467"/>
      <c r="AP255" s="467"/>
      <c r="AQ255" s="467"/>
      <c r="AR255" s="467"/>
      <c r="AS255" s="467"/>
      <c r="AT255" s="467"/>
      <c r="AU255" s="467"/>
      <c r="AV255" s="467"/>
      <c r="AW255" s="467"/>
      <c r="AX255" s="467"/>
      <c r="AY255" s="486">
        <f>COUNTIF(AI255:AX255,"*OP*")</f>
        <v>0</v>
      </c>
      <c r="AZ255" s="485" t="s">
        <v>59</v>
      </c>
      <c r="BA255" s="471">
        <f>(COUNTIF(AI255:AK255,"*OK*")*3) + (COUNTIF(AL255:AN255,"*OK*")*2) + COUNTIF(AO255:AQ255,"*OK*")+COUNTIF(AZ255:AZ255,"SI")*0.5</f>
        <v>0</v>
      </c>
      <c r="BB255" s="471" t="str">
        <f>IF(BA255&lt;0.6,"Demasiado Riesgo",IF(BA255&lt;=5,"Riesgo Medio",IF(BA255&lt;=11,"Riesgo Bajo","Cliente Blindado")))</f>
        <v>Demasiado Riesgo</v>
      </c>
      <c r="BC255" s="471"/>
      <c r="BD255" s="471"/>
      <c r="BE255" s="471">
        <v>0</v>
      </c>
      <c r="BF255" s="471"/>
      <c r="BG255" s="471"/>
      <c r="BH255" s="471"/>
      <c r="BI255" s="471"/>
      <c r="BJ255" s="471"/>
      <c r="BK255" s="471"/>
      <c r="BL255" s="471"/>
      <c r="BM255" s="471"/>
      <c r="BN255" s="471"/>
      <c r="BO255" s="471"/>
      <c r="BP255" s="471"/>
      <c r="BQ255" s="471"/>
      <c r="BR255" s="471"/>
      <c r="BS255" s="471"/>
      <c r="BT255" s="471"/>
      <c r="BU255" s="471"/>
      <c r="BV255" s="471"/>
      <c r="BW255" s="471"/>
      <c r="BX255" s="471"/>
      <c r="BY255" s="471"/>
      <c r="BZ255" s="471"/>
      <c r="CA255" s="471">
        <f>COUNTIF(AI255:AW255,"*OK*")</f>
        <v>0</v>
      </c>
      <c r="CB255" s="471"/>
      <c r="CC255" s="471">
        <f>COUNTIF(AI255:AW255,"*OP*")</f>
        <v>0</v>
      </c>
    </row>
    <row r="256" spans="1:81" ht="15" customHeight="1">
      <c r="A256" s="449">
        <v>25507</v>
      </c>
      <c r="B256" s="450"/>
      <c r="C256" s="451">
        <f>T256</f>
        <v>56.3</v>
      </c>
      <c r="D256" s="450">
        <f>COUNTIF(AI256:AW256,"*OK*")</f>
        <v>1</v>
      </c>
      <c r="E256" s="450"/>
      <c r="F256" s="452" t="s">
        <v>838</v>
      </c>
      <c r="G256" s="453"/>
      <c r="H256" s="454"/>
      <c r="I256" s="454"/>
      <c r="J256" s="453"/>
      <c r="K256" s="453" t="s">
        <v>68</v>
      </c>
      <c r="L256" s="453" t="s">
        <v>461</v>
      </c>
      <c r="M256" s="453"/>
      <c r="N256" s="466" t="s">
        <v>500</v>
      </c>
      <c r="O256" s="457">
        <v>50.77</v>
      </c>
      <c r="P256" s="457">
        <v>50.72</v>
      </c>
      <c r="Q256" s="457">
        <v>48.34</v>
      </c>
      <c r="R256" s="458">
        <v>57.29</v>
      </c>
      <c r="S256" s="459">
        <v>56.919499999999999</v>
      </c>
      <c r="T256" s="469">
        <v>56.3</v>
      </c>
      <c r="U256" s="461"/>
      <c r="V256" s="462">
        <v>100</v>
      </c>
      <c r="W256" s="463"/>
      <c r="X256" s="567" t="s">
        <v>70</v>
      </c>
      <c r="Y256" s="465" t="s">
        <v>241</v>
      </c>
      <c r="Z256" s="466" t="s">
        <v>839</v>
      </c>
      <c r="AA256" s="462" t="s">
        <v>241</v>
      </c>
      <c r="AB256" s="454"/>
      <c r="AC256" s="450"/>
      <c r="AD256" s="450"/>
      <c r="AE256" s="450"/>
      <c r="AF256" s="450"/>
      <c r="AG256" s="450"/>
      <c r="AH256" s="496" t="s">
        <v>59</v>
      </c>
      <c r="AI256" s="467"/>
      <c r="AJ256" s="467"/>
      <c r="AK256" s="467"/>
      <c r="AL256" s="467"/>
      <c r="AM256" s="467"/>
      <c r="AN256" s="467"/>
      <c r="AO256" s="467"/>
      <c r="AP256" s="467"/>
      <c r="AQ256" s="467"/>
      <c r="AR256" s="467"/>
      <c r="AS256" s="467" t="s">
        <v>415</v>
      </c>
      <c r="AT256" s="467"/>
      <c r="AU256" s="467"/>
      <c r="AV256" s="467"/>
      <c r="AW256" s="467"/>
      <c r="AX256" s="467"/>
      <c r="AY256" s="486">
        <f>COUNTIF(AI256:AX256,"*OP*")</f>
        <v>0</v>
      </c>
      <c r="AZ256" s="499" t="s">
        <v>59</v>
      </c>
      <c r="BA256" s="450">
        <f>(COUNTIF(AI256:AK256,"*OK*")*3) + (COUNTIF(AL256:AN256,"*OK*")*2) + COUNTIF(AO256:AQ256,"*OK*")+COUNTIF(AZ256:AZ256,"SI")*0.5</f>
        <v>0</v>
      </c>
      <c r="BB256" s="450" t="str">
        <f>IF(BA256&lt;0.6,"Demasiado Riesgo",IF(BA256&lt;=5,"Riesgo Medio",IF(BA256&lt;=11,"Riesgo Bajo","Cliente Blindado")))</f>
        <v>Demasiado Riesgo</v>
      </c>
      <c r="BC256" s="450"/>
      <c r="BD256" s="450"/>
      <c r="BE256" s="450">
        <v>0</v>
      </c>
      <c r="BF256" s="450"/>
      <c r="BG256" s="450"/>
      <c r="BH256" s="450"/>
      <c r="BI256" s="450"/>
      <c r="BJ256" s="450"/>
      <c r="BK256" s="450"/>
      <c r="BL256" s="450"/>
      <c r="BM256" s="450"/>
      <c r="BN256" s="450"/>
      <c r="BO256" s="450"/>
      <c r="BP256" s="450"/>
      <c r="BQ256" s="450"/>
      <c r="BR256" s="450"/>
      <c r="BS256" s="450"/>
      <c r="BT256" s="450"/>
      <c r="BU256" s="450"/>
      <c r="BV256" s="450"/>
      <c r="BW256" s="450"/>
      <c r="BX256" s="450"/>
      <c r="BY256" s="450"/>
      <c r="BZ256" s="450"/>
      <c r="CA256" s="450">
        <f>COUNTIF(AI256:AW256,"*OK*")</f>
        <v>1</v>
      </c>
      <c r="CB256" s="450"/>
      <c r="CC256" s="450">
        <f>COUNTIF(AI256:AW256,"*OP*")</f>
        <v>0</v>
      </c>
    </row>
    <row r="257" spans="1:81" ht="15" customHeight="1">
      <c r="A257" s="449">
        <v>28852</v>
      </c>
      <c r="B257" s="450"/>
      <c r="C257" s="451">
        <f>T257</f>
        <v>56.77</v>
      </c>
      <c r="D257" s="450">
        <f>COUNTIF(AI257:AW257,"*OK*")</f>
        <v>1</v>
      </c>
      <c r="E257" s="450"/>
      <c r="F257" s="453" t="s">
        <v>840</v>
      </c>
      <c r="G257" s="453"/>
      <c r="H257" s="454"/>
      <c r="I257" s="454"/>
      <c r="J257" s="453"/>
      <c r="K257" s="453" t="s">
        <v>68</v>
      </c>
      <c r="L257" s="453" t="s">
        <v>461</v>
      </c>
      <c r="M257" s="453"/>
      <c r="N257" s="466" t="s">
        <v>65</v>
      </c>
      <c r="O257" s="457">
        <v>49.25</v>
      </c>
      <c r="P257" s="457">
        <v>57.58</v>
      </c>
      <c r="Q257" s="457">
        <v>41.06</v>
      </c>
      <c r="R257" s="458">
        <v>56.63</v>
      </c>
      <c r="S257" s="459">
        <v>57.396700000000003</v>
      </c>
      <c r="T257" s="469">
        <v>56.77</v>
      </c>
      <c r="U257" s="461"/>
      <c r="V257" s="462">
        <v>50</v>
      </c>
      <c r="W257" s="463"/>
      <c r="X257" s="567" t="s">
        <v>70</v>
      </c>
      <c r="Y257" s="465" t="s">
        <v>233</v>
      </c>
      <c r="Z257" s="466" t="s">
        <v>841</v>
      </c>
      <c r="AA257" s="462" t="s">
        <v>59</v>
      </c>
      <c r="AB257" s="454"/>
      <c r="AC257" s="450"/>
      <c r="AD257" s="450"/>
      <c r="AE257" s="450"/>
      <c r="AF257" s="450"/>
      <c r="AG257" s="450"/>
      <c r="AH257" s="496" t="s">
        <v>59</v>
      </c>
      <c r="AI257" s="467"/>
      <c r="AJ257" s="467"/>
      <c r="AK257" s="565" t="s">
        <v>111</v>
      </c>
      <c r="AL257" s="467"/>
      <c r="AM257" s="467"/>
      <c r="AN257" s="467"/>
      <c r="AO257" s="467"/>
      <c r="AP257" s="467"/>
      <c r="AQ257" s="467"/>
      <c r="AR257" s="467"/>
      <c r="AS257" s="467"/>
      <c r="AT257" s="467"/>
      <c r="AU257" s="467"/>
      <c r="AV257" s="467"/>
      <c r="AW257" s="467"/>
      <c r="AX257" s="467"/>
      <c r="AY257" s="486">
        <f>COUNTIF(AI257:AX257,"*OP*")</f>
        <v>0</v>
      </c>
      <c r="AZ257" s="499" t="s">
        <v>59</v>
      </c>
      <c r="BA257" s="450">
        <f>(COUNTIF(AI257:AK257,"*OK*")*3) + (COUNTIF(AL257:AN257,"*OK*")*2) + COUNTIF(AO257:AQ257,"*OK*")+COUNTIF(AZ257:AZ257,"SI")*0.5</f>
        <v>3</v>
      </c>
      <c r="BB257" s="450" t="str">
        <f>IF(BA257&lt;0.6,"Demasiado Riesgo",IF(BA257&lt;=5,"Riesgo Medio",IF(BA257&lt;=11,"Riesgo Bajo","Cliente Blindado")))</f>
        <v>Riesgo Medio</v>
      </c>
      <c r="BC257" s="450"/>
      <c r="BD257" s="450"/>
      <c r="BE257" s="450">
        <v>0</v>
      </c>
      <c r="BF257" s="450"/>
      <c r="BG257" s="450"/>
      <c r="BH257" s="450"/>
      <c r="BI257" s="450"/>
      <c r="BJ257" s="450"/>
      <c r="BK257" s="450"/>
      <c r="BL257" s="450"/>
      <c r="BM257" s="450"/>
      <c r="BN257" s="450"/>
      <c r="BO257" s="450"/>
      <c r="BP257" s="450"/>
      <c r="BQ257" s="450"/>
      <c r="BR257" s="450"/>
      <c r="BS257" s="450"/>
      <c r="BT257" s="450"/>
      <c r="BU257" s="450"/>
      <c r="BV257" s="450"/>
      <c r="BW257" s="450"/>
      <c r="BX257" s="450"/>
      <c r="BY257" s="450"/>
      <c r="BZ257" s="450"/>
      <c r="CA257" s="450">
        <f>COUNTIF(AI257:AW257,"*OK*")</f>
        <v>1</v>
      </c>
      <c r="CB257" s="450"/>
      <c r="CC257" s="450">
        <f>COUNTIF(AI257:AW257,"*OP*")</f>
        <v>0</v>
      </c>
    </row>
    <row r="258" spans="1:81" ht="15" customHeight="1">
      <c r="A258" s="449">
        <v>27998</v>
      </c>
      <c r="B258" s="450"/>
      <c r="C258" s="451">
        <f>T258</f>
        <v>56.87</v>
      </c>
      <c r="D258" s="450">
        <f>COUNTIF(AI258:AW258,"*OK*")</f>
        <v>0</v>
      </c>
      <c r="E258" s="450"/>
      <c r="F258" s="453" t="s">
        <v>842</v>
      </c>
      <c r="G258" s="453"/>
      <c r="H258" s="454"/>
      <c r="I258" s="454"/>
      <c r="J258" s="453"/>
      <c r="K258" s="453" t="s">
        <v>68</v>
      </c>
      <c r="L258" s="453" t="s">
        <v>461</v>
      </c>
      <c r="M258" s="453"/>
      <c r="N258" s="466" t="s">
        <v>156</v>
      </c>
      <c r="O258" s="457">
        <v>57.73</v>
      </c>
      <c r="P258" s="457">
        <v>57.68</v>
      </c>
      <c r="Q258" s="457">
        <v>54.97</v>
      </c>
      <c r="R258" s="458">
        <v>56.74</v>
      </c>
      <c r="S258" s="459">
        <v>57.503</v>
      </c>
      <c r="T258" s="469">
        <v>56.87</v>
      </c>
      <c r="U258" s="461"/>
      <c r="V258" s="462">
        <v>50</v>
      </c>
      <c r="W258" s="463"/>
      <c r="X258" s="567" t="s">
        <v>70</v>
      </c>
      <c r="Y258" s="465" t="s">
        <v>299</v>
      </c>
      <c r="Z258" s="466" t="s">
        <v>843</v>
      </c>
      <c r="AA258" s="462" t="s">
        <v>71</v>
      </c>
      <c r="AB258" s="454"/>
      <c r="AC258" s="450"/>
      <c r="AD258" s="450"/>
      <c r="AE258" s="450"/>
      <c r="AF258" s="450"/>
      <c r="AG258" s="450"/>
      <c r="AH258" s="496" t="s">
        <v>59</v>
      </c>
      <c r="AI258" s="467"/>
      <c r="AJ258" s="467"/>
      <c r="AK258" s="467"/>
      <c r="AL258" s="467"/>
      <c r="AM258" s="467"/>
      <c r="AN258" s="467"/>
      <c r="AO258" s="467"/>
      <c r="AP258" s="467"/>
      <c r="AQ258" s="467"/>
      <c r="AR258" s="467"/>
      <c r="AS258" s="467"/>
      <c r="AT258" s="467"/>
      <c r="AU258" s="467"/>
      <c r="AV258" s="467"/>
      <c r="AW258" s="467"/>
      <c r="AX258" s="467"/>
      <c r="AY258" s="486">
        <f>COUNTIF(AI258:AX258,"*OP*")</f>
        <v>0</v>
      </c>
      <c r="AZ258" s="499" t="s">
        <v>59</v>
      </c>
      <c r="BA258" s="450">
        <f>(COUNTIF(AI258:AK258,"*OK*")*3) + (COUNTIF(AL258:AN258,"*OK*")*2) + COUNTIF(AO258:AQ258,"*OK*")+COUNTIF(AZ258:AZ258,"SI")*0.5</f>
        <v>0</v>
      </c>
      <c r="BB258" s="450" t="str">
        <f>IF(BA258&lt;0.6,"Demasiado Riesgo",IF(BA258&lt;=5,"Riesgo Medio",IF(BA258&lt;=11,"Riesgo Bajo","Cliente Blindado")))</f>
        <v>Demasiado Riesgo</v>
      </c>
      <c r="BC258" s="450"/>
      <c r="BD258" s="450"/>
      <c r="BE258" s="450">
        <v>0</v>
      </c>
      <c r="BF258" s="450"/>
      <c r="BG258" s="450"/>
      <c r="BH258" s="450"/>
      <c r="BI258" s="450"/>
      <c r="BJ258" s="450"/>
      <c r="BK258" s="450"/>
      <c r="BL258" s="450"/>
      <c r="BM258" s="450"/>
      <c r="BN258" s="450"/>
      <c r="BO258" s="450"/>
      <c r="BP258" s="450"/>
      <c r="BQ258" s="450"/>
      <c r="BR258" s="450"/>
      <c r="BS258" s="450"/>
      <c r="BT258" s="450"/>
      <c r="BU258" s="450"/>
      <c r="BV258" s="450"/>
      <c r="BW258" s="450"/>
      <c r="BX258" s="450"/>
      <c r="BY258" s="450"/>
      <c r="BZ258" s="450"/>
      <c r="CA258" s="450">
        <f>COUNTIF(AI258:AW258,"*OK*")</f>
        <v>0</v>
      </c>
      <c r="CB258" s="450"/>
      <c r="CC258" s="450">
        <f>COUNTIF(AI258:AW258,"*OP*")</f>
        <v>0</v>
      </c>
    </row>
    <row r="259" spans="1:81" ht="15" customHeight="1">
      <c r="A259" s="470"/>
      <c r="B259" s="471"/>
      <c r="C259" s="451">
        <f>T259</f>
        <v>56.88</v>
      </c>
      <c r="D259" s="471">
        <f>COUNTIF(AI259:AW259,"*OK*")</f>
        <v>0</v>
      </c>
      <c r="E259" s="471"/>
      <c r="F259" s="473" t="s">
        <v>844</v>
      </c>
      <c r="G259" s="473"/>
      <c r="H259" s="474"/>
      <c r="I259" s="474"/>
      <c r="J259" s="473"/>
      <c r="K259" s="475" t="s">
        <v>68</v>
      </c>
      <c r="L259" s="453" t="s">
        <v>461</v>
      </c>
      <c r="M259" s="473"/>
      <c r="N259" s="476" t="s">
        <v>65</v>
      </c>
      <c r="O259" s="477">
        <v>46.48</v>
      </c>
      <c r="P259" s="477">
        <v>44.67</v>
      </c>
      <c r="Q259" s="477">
        <v>39.89</v>
      </c>
      <c r="R259" s="478">
        <v>56.75</v>
      </c>
      <c r="S259" s="459">
        <v>57.51</v>
      </c>
      <c r="T259" s="487">
        <v>56.88</v>
      </c>
      <c r="U259" s="479"/>
      <c r="V259" s="480">
        <v>100</v>
      </c>
      <c r="W259" s="481"/>
      <c r="X259" s="572" t="s">
        <v>70</v>
      </c>
      <c r="Y259" s="483" t="s">
        <v>108</v>
      </c>
      <c r="Z259" s="484" t="s">
        <v>845</v>
      </c>
      <c r="AA259" s="480" t="s">
        <v>59</v>
      </c>
      <c r="AB259" s="474"/>
      <c r="AC259" s="471"/>
      <c r="AD259" s="471"/>
      <c r="AE259" s="471"/>
      <c r="AF259" s="471"/>
      <c r="AG259" s="471"/>
      <c r="AH259" s="494" t="s">
        <v>59</v>
      </c>
      <c r="AI259" s="467"/>
      <c r="AJ259" s="467"/>
      <c r="AK259" s="566"/>
      <c r="AL259" s="467"/>
      <c r="AM259" s="467"/>
      <c r="AN259" s="467"/>
      <c r="AO259" s="467"/>
      <c r="AP259" s="467"/>
      <c r="AQ259" s="467"/>
      <c r="AR259" s="467"/>
      <c r="AS259" s="467"/>
      <c r="AT259" s="467"/>
      <c r="AU259" s="467"/>
      <c r="AV259" s="467"/>
      <c r="AW259" s="467"/>
      <c r="AX259" s="467"/>
      <c r="AY259" s="486">
        <f>COUNTIF(AI259:AX259,"*OP*")</f>
        <v>0</v>
      </c>
      <c r="AZ259" s="485" t="s">
        <v>59</v>
      </c>
      <c r="BA259" s="471">
        <f>(COUNTIF(AI259:AK259,"*OK*")*3) + (COUNTIF(AL259:AN259,"*OK*")*2) + COUNTIF(AO259:AQ259,"*OK*")+COUNTIF(AZ259:AZ259,"SI")*0.5</f>
        <v>0</v>
      </c>
      <c r="BB259" s="471" t="str">
        <f>IF(BA259&lt;0.6,"Demasiado Riesgo",IF(BA259&lt;=5,"Riesgo Medio",IF(BA259&lt;=11,"Riesgo Bajo","Cliente Blindado")))</f>
        <v>Demasiado Riesgo</v>
      </c>
      <c r="BC259" s="471"/>
      <c r="BD259" s="471"/>
      <c r="BE259" s="471">
        <v>0</v>
      </c>
      <c r="BF259" s="471"/>
      <c r="BG259" s="471"/>
      <c r="BH259" s="471"/>
      <c r="BI259" s="471"/>
      <c r="BJ259" s="471"/>
      <c r="BK259" s="471"/>
      <c r="BL259" s="471"/>
      <c r="BM259" s="471"/>
      <c r="BN259" s="471"/>
      <c r="BO259" s="471"/>
      <c r="BP259" s="471"/>
      <c r="BQ259" s="471"/>
      <c r="BR259" s="471"/>
      <c r="BS259" s="471"/>
      <c r="BT259" s="471"/>
      <c r="BU259" s="471"/>
      <c r="BV259" s="471"/>
      <c r="BW259" s="471"/>
      <c r="BX259" s="471"/>
      <c r="BY259" s="471"/>
      <c r="BZ259" s="471"/>
      <c r="CA259" s="471">
        <f>COUNTIF(AI259:AW259,"*OK*")</f>
        <v>0</v>
      </c>
      <c r="CB259" s="471"/>
      <c r="CC259" s="471">
        <f>COUNTIF(AI259:AW259,"*OP*")</f>
        <v>0</v>
      </c>
    </row>
    <row r="260" spans="1:81" ht="15" customHeight="1">
      <c r="A260" s="470">
        <v>22145</v>
      </c>
      <c r="B260" s="471"/>
      <c r="C260" s="451">
        <f>T260</f>
        <v>56.99</v>
      </c>
      <c r="D260" s="471">
        <f>COUNTIF(AI260:AW260,"*OK*")</f>
        <v>0</v>
      </c>
      <c r="E260" s="471"/>
      <c r="F260" s="473" t="s">
        <v>846</v>
      </c>
      <c r="G260" s="473"/>
      <c r="H260" s="474"/>
      <c r="I260" s="474"/>
      <c r="J260" s="473"/>
      <c r="K260" s="473" t="s">
        <v>68</v>
      </c>
      <c r="L260" s="453" t="s">
        <v>461</v>
      </c>
      <c r="M260" s="473"/>
      <c r="N260" s="484" t="s">
        <v>65</v>
      </c>
      <c r="O260" s="477">
        <v>57.86</v>
      </c>
      <c r="P260" s="477">
        <v>57.81</v>
      </c>
      <c r="Q260" s="477">
        <v>55.09</v>
      </c>
      <c r="R260" s="478">
        <v>56.86</v>
      </c>
      <c r="S260" s="459">
        <v>57.626600000000003</v>
      </c>
      <c r="T260" s="487">
        <v>56.99</v>
      </c>
      <c r="U260" s="479"/>
      <c r="V260" s="480">
        <v>200</v>
      </c>
      <c r="W260" s="481"/>
      <c r="X260" s="493" t="s">
        <v>455</v>
      </c>
      <c r="Y260" s="483" t="s">
        <v>80</v>
      </c>
      <c r="Z260" s="484" t="s">
        <v>847</v>
      </c>
      <c r="AA260" s="480" t="s">
        <v>59</v>
      </c>
      <c r="AB260" s="474"/>
      <c r="AC260" s="471"/>
      <c r="AD260" s="471"/>
      <c r="AE260" s="471"/>
      <c r="AF260" s="471"/>
      <c r="AG260" s="471"/>
      <c r="AH260" s="494" t="s">
        <v>59</v>
      </c>
      <c r="AI260" s="467"/>
      <c r="AJ260" s="467"/>
      <c r="AK260" s="467"/>
      <c r="AL260" s="467"/>
      <c r="AM260" s="467"/>
      <c r="AN260" s="467"/>
      <c r="AO260" s="467"/>
      <c r="AP260" s="467"/>
      <c r="AQ260" s="467"/>
      <c r="AR260" s="467"/>
      <c r="AS260" s="467"/>
      <c r="AT260" s="467"/>
      <c r="AU260" s="467"/>
      <c r="AV260" s="467"/>
      <c r="AW260" s="467"/>
      <c r="AX260" s="467"/>
      <c r="AY260" s="486">
        <f>COUNTIF(AI260:AX260,"*OP*")</f>
        <v>0</v>
      </c>
      <c r="AZ260" s="485" t="s">
        <v>59</v>
      </c>
      <c r="BA260" s="471">
        <f>(COUNTIF(AI260:AK260,"*OK*")*3) + (COUNTIF(AL260:AN260,"*OK*")*2) + COUNTIF(AO260:AQ260,"*OK*")+COUNTIF(AZ260:AZ260,"SI")*0.5</f>
        <v>0</v>
      </c>
      <c r="BB260" s="471" t="str">
        <f>IF(BA260&lt;0.6,"Demasiado Riesgo",IF(BA260&lt;=5,"Riesgo Medio",IF(BA260&lt;=11,"Riesgo Bajo","Cliente Blindado")))</f>
        <v>Demasiado Riesgo</v>
      </c>
      <c r="BC260" s="471"/>
      <c r="BD260" s="471"/>
      <c r="BE260" s="471">
        <v>0</v>
      </c>
      <c r="BF260" s="471"/>
      <c r="BG260" s="471"/>
      <c r="BH260" s="471"/>
      <c r="BI260" s="471"/>
      <c r="BJ260" s="471"/>
      <c r="BK260" s="471"/>
      <c r="BL260" s="471"/>
      <c r="BM260" s="471"/>
      <c r="BN260" s="471"/>
      <c r="BO260" s="471"/>
      <c r="BP260" s="471"/>
      <c r="BQ260" s="471"/>
      <c r="BR260" s="471"/>
      <c r="BS260" s="471"/>
      <c r="BT260" s="471"/>
      <c r="BU260" s="471"/>
      <c r="BV260" s="471"/>
      <c r="BW260" s="471"/>
      <c r="BX260" s="471"/>
      <c r="BY260" s="471"/>
      <c r="BZ260" s="471"/>
      <c r="CA260" s="471">
        <f>COUNTIF(AI260:AW260,"*OK*")</f>
        <v>0</v>
      </c>
      <c r="CB260" s="471"/>
      <c r="CC260" s="471">
        <f>COUNTIF(AI260:AW260,"*OP*")</f>
        <v>0</v>
      </c>
    </row>
    <row r="261" spans="1:81" ht="15" customHeight="1">
      <c r="A261" s="470"/>
      <c r="B261" s="471"/>
      <c r="C261" s="451">
        <f>T261</f>
        <v>57.14</v>
      </c>
      <c r="D261" s="471">
        <f>COUNTIF(AI261:AW261,"*OK*")</f>
        <v>0</v>
      </c>
      <c r="E261" s="471"/>
      <c r="F261" s="473" t="s">
        <v>848</v>
      </c>
      <c r="G261" s="473"/>
      <c r="H261" s="474"/>
      <c r="I261" s="474"/>
      <c r="J261" s="473"/>
      <c r="K261" s="475" t="s">
        <v>68</v>
      </c>
      <c r="L261" s="453" t="s">
        <v>461</v>
      </c>
      <c r="M261" s="473"/>
      <c r="N261" s="484" t="s">
        <v>65</v>
      </c>
      <c r="O261" s="477"/>
      <c r="P261" s="477">
        <v>57.95</v>
      </c>
      <c r="Q261" s="477">
        <v>55.23</v>
      </c>
      <c r="R261" s="478">
        <v>64.41</v>
      </c>
      <c r="S261" s="459">
        <v>65.281300000000002</v>
      </c>
      <c r="T261" s="487">
        <v>57.14</v>
      </c>
      <c r="U261" s="479"/>
      <c r="V261" s="480">
        <v>100</v>
      </c>
      <c r="W261" s="481"/>
      <c r="X261" s="483" t="s">
        <v>283</v>
      </c>
      <c r="Y261" s="483" t="s">
        <v>80</v>
      </c>
      <c r="Z261" s="484" t="s">
        <v>849</v>
      </c>
      <c r="AA261" s="480" t="s">
        <v>59</v>
      </c>
      <c r="AB261" s="474"/>
      <c r="AC261" s="471"/>
      <c r="AD261" s="471"/>
      <c r="AE261" s="471"/>
      <c r="AF261" s="471"/>
      <c r="AG261" s="471"/>
      <c r="AH261" s="494" t="s">
        <v>59</v>
      </c>
      <c r="AI261" s="467"/>
      <c r="AJ261" s="467"/>
      <c r="AK261" s="467"/>
      <c r="AL261" s="467"/>
      <c r="AM261" s="467"/>
      <c r="AN261" s="467"/>
      <c r="AO261" s="467"/>
      <c r="AP261" s="467"/>
      <c r="AQ261" s="467"/>
      <c r="AR261" s="467"/>
      <c r="AS261" s="467"/>
      <c r="AT261" s="467"/>
      <c r="AU261" s="467"/>
      <c r="AV261" s="467"/>
      <c r="AW261" s="467"/>
      <c r="AX261" s="467"/>
      <c r="AY261" s="486">
        <f>COUNTIF(AI261:AX261,"*OP*")</f>
        <v>0</v>
      </c>
      <c r="AZ261" s="485" t="s">
        <v>59</v>
      </c>
      <c r="BA261" s="471">
        <f>(COUNTIF(AI261:AK261,"*OK*")*3) + (COUNTIF(AL261:AN261,"*OK*")*2) + COUNTIF(AO261:AQ261,"*OK*")+COUNTIF(AZ261:AZ261,"SI")*0.5</f>
        <v>0</v>
      </c>
      <c r="BB261" s="471" t="str">
        <f>IF(BA261&lt;0.6,"Demasiado Riesgo",IF(BA261&lt;=5,"Riesgo Medio",IF(BA261&lt;=11,"Riesgo Bajo","Cliente Blindado")))</f>
        <v>Demasiado Riesgo</v>
      </c>
      <c r="BC261" s="471"/>
      <c r="BD261" s="471"/>
      <c r="BE261" s="471">
        <v>0</v>
      </c>
      <c r="BF261" s="471"/>
      <c r="BG261" s="471"/>
      <c r="BH261" s="471"/>
      <c r="BI261" s="471"/>
      <c r="BJ261" s="471"/>
      <c r="BK261" s="471"/>
      <c r="BL261" s="471"/>
      <c r="BM261" s="471"/>
      <c r="BN261" s="471"/>
      <c r="BO261" s="471"/>
      <c r="BP261" s="471"/>
      <c r="BQ261" s="471"/>
      <c r="BR261" s="471"/>
      <c r="BS261" s="471"/>
      <c r="BT261" s="471"/>
      <c r="BU261" s="471"/>
      <c r="BV261" s="471"/>
      <c r="BW261" s="471"/>
      <c r="BX261" s="471"/>
      <c r="BY261" s="471"/>
      <c r="BZ261" s="471"/>
      <c r="CA261" s="471">
        <f>COUNTIF(AI261:AW261,"*OK*")</f>
        <v>0</v>
      </c>
      <c r="CB261" s="471"/>
      <c r="CC261" s="471">
        <f>COUNTIF(AI261:AW261,"*OP*")</f>
        <v>0</v>
      </c>
    </row>
    <row r="262" spans="1:81" ht="15" customHeight="1">
      <c r="A262" s="470">
        <v>36100</v>
      </c>
      <c r="B262" s="471"/>
      <c r="C262" s="451">
        <f>T262</f>
        <v>57.14</v>
      </c>
      <c r="D262" s="471">
        <f>COUNTIF(AI262:AW262,"*OK*")</f>
        <v>0</v>
      </c>
      <c r="E262" s="471"/>
      <c r="F262" s="473" t="s">
        <v>850</v>
      </c>
      <c r="G262" s="473"/>
      <c r="H262" s="474"/>
      <c r="I262" s="474"/>
      <c r="J262" s="473"/>
      <c r="K262" s="475" t="s">
        <v>68</v>
      </c>
      <c r="L262" s="453" t="s">
        <v>461</v>
      </c>
      <c r="M262" s="473"/>
      <c r="N262" s="484" t="s">
        <v>500</v>
      </c>
      <c r="O262" s="477"/>
      <c r="P262" s="477">
        <v>57.95</v>
      </c>
      <c r="Q262" s="477">
        <v>55.23</v>
      </c>
      <c r="R262" s="478">
        <v>57</v>
      </c>
      <c r="S262" s="459">
        <v>57.771099999999997</v>
      </c>
      <c r="T262" s="487">
        <v>57.14</v>
      </c>
      <c r="U262" s="479"/>
      <c r="V262" s="480">
        <v>50</v>
      </c>
      <c r="W262" s="481"/>
      <c r="X262" s="572" t="s">
        <v>70</v>
      </c>
      <c r="Y262" s="483" t="s">
        <v>241</v>
      </c>
      <c r="Z262" s="484" t="s">
        <v>851</v>
      </c>
      <c r="AA262" s="480" t="s">
        <v>59</v>
      </c>
      <c r="AB262" s="474"/>
      <c r="AC262" s="471"/>
      <c r="AD262" s="471"/>
      <c r="AE262" s="471"/>
      <c r="AF262" s="471"/>
      <c r="AG262" s="471"/>
      <c r="AH262" s="494" t="s">
        <v>59</v>
      </c>
      <c r="AI262" s="467"/>
      <c r="AJ262" s="467"/>
      <c r="AK262" s="467"/>
      <c r="AL262" s="467"/>
      <c r="AM262" s="467"/>
      <c r="AN262" s="467"/>
      <c r="AO262" s="467"/>
      <c r="AP262" s="467"/>
      <c r="AQ262" s="467"/>
      <c r="AR262" s="467"/>
      <c r="AS262" s="467"/>
      <c r="AT262" s="467"/>
      <c r="AU262" s="467"/>
      <c r="AV262" s="467"/>
      <c r="AW262" s="467"/>
      <c r="AX262" s="467"/>
      <c r="AY262" s="486">
        <f>COUNTIF(AI262:AX262,"*OP*")</f>
        <v>0</v>
      </c>
      <c r="AZ262" s="485" t="s">
        <v>59</v>
      </c>
      <c r="BA262" s="471">
        <f>(COUNTIF(AI262:AK262,"*OK*")*3) + (COUNTIF(AL262:AN262,"*OK*")*2) + COUNTIF(AO262:AQ262,"*OK*")+COUNTIF(AZ262:AZ262,"SI")*0.5</f>
        <v>0</v>
      </c>
      <c r="BB262" s="471" t="str">
        <f>IF(BA262&lt;0.6,"Demasiado Riesgo",IF(BA262&lt;=5,"Riesgo Medio",IF(BA262&lt;=11,"Riesgo Bajo","Cliente Blindado")))</f>
        <v>Demasiado Riesgo</v>
      </c>
      <c r="BC262" s="471"/>
      <c r="BD262" s="471"/>
      <c r="BE262" s="471">
        <v>0</v>
      </c>
      <c r="BF262" s="471"/>
      <c r="BG262" s="471"/>
      <c r="BH262" s="471"/>
      <c r="BI262" s="471"/>
      <c r="BJ262" s="471"/>
      <c r="BK262" s="471"/>
      <c r="BL262" s="471"/>
      <c r="BM262" s="471"/>
      <c r="BN262" s="471"/>
      <c r="BO262" s="471"/>
      <c r="BP262" s="471"/>
      <c r="BQ262" s="471"/>
      <c r="BR262" s="471"/>
      <c r="BS262" s="471"/>
      <c r="BT262" s="471"/>
      <c r="BU262" s="471"/>
      <c r="BV262" s="471"/>
      <c r="BW262" s="471"/>
      <c r="BX262" s="471"/>
      <c r="BY262" s="471"/>
      <c r="BZ262" s="471"/>
      <c r="CA262" s="471">
        <f>COUNTIF(AI262:AW262,"*OK*")</f>
        <v>0</v>
      </c>
      <c r="CB262" s="471"/>
      <c r="CC262" s="471">
        <f>COUNTIF(AI262:AW262,"*OP*")</f>
        <v>0</v>
      </c>
    </row>
    <row r="263" spans="1:81" ht="15" customHeight="1">
      <c r="A263" s="449">
        <v>23119</v>
      </c>
      <c r="B263" s="450"/>
      <c r="C263" s="451">
        <f>T263</f>
        <v>57.14</v>
      </c>
      <c r="D263" s="450">
        <f>COUNTIF(AI263:AW263,"*OK*")</f>
        <v>0</v>
      </c>
      <c r="E263" s="450"/>
      <c r="F263" s="453" t="s">
        <v>852</v>
      </c>
      <c r="G263" s="453"/>
      <c r="H263" s="454"/>
      <c r="I263" s="454"/>
      <c r="J263" s="453"/>
      <c r="K263" s="453" t="s">
        <v>68</v>
      </c>
      <c r="L263" s="453" t="s">
        <v>461</v>
      </c>
      <c r="M263" s="453"/>
      <c r="N263" s="466" t="s">
        <v>191</v>
      </c>
      <c r="O263" s="457">
        <v>58</v>
      </c>
      <c r="P263" s="457">
        <v>57.95</v>
      </c>
      <c r="Q263" s="457">
        <v>55.23</v>
      </c>
      <c r="R263" s="458">
        <v>57</v>
      </c>
      <c r="S263" s="459">
        <v>57.771099999999997</v>
      </c>
      <c r="T263" s="469">
        <v>57.14</v>
      </c>
      <c r="U263" s="461"/>
      <c r="V263" s="462">
        <v>50</v>
      </c>
      <c r="W263" s="463"/>
      <c r="X263" s="567" t="s">
        <v>70</v>
      </c>
      <c r="Y263" s="465" t="s">
        <v>150</v>
      </c>
      <c r="Z263" s="466" t="s">
        <v>853</v>
      </c>
      <c r="AA263" s="462" t="s">
        <v>132</v>
      </c>
      <c r="AB263" s="454"/>
      <c r="AC263" s="450"/>
      <c r="AD263" s="450"/>
      <c r="AE263" s="450"/>
      <c r="AF263" s="450"/>
      <c r="AG263" s="450"/>
      <c r="AH263" s="496" t="s">
        <v>59</v>
      </c>
      <c r="AI263" s="467"/>
      <c r="AJ263" s="467"/>
      <c r="AK263" s="467"/>
      <c r="AL263" s="467"/>
      <c r="AM263" s="467"/>
      <c r="AN263" s="467"/>
      <c r="AO263" s="467"/>
      <c r="AP263" s="467"/>
      <c r="AQ263" s="467"/>
      <c r="AR263" s="467"/>
      <c r="AS263" s="467"/>
      <c r="AT263" s="467"/>
      <c r="AU263" s="467"/>
      <c r="AV263" s="467"/>
      <c r="AW263" s="467"/>
      <c r="AX263" s="467"/>
      <c r="AY263" s="486">
        <f>COUNTIF(AI263:AX263,"*OP*")</f>
        <v>0</v>
      </c>
      <c r="AZ263" s="499" t="s">
        <v>59</v>
      </c>
      <c r="BA263" s="450">
        <f>(COUNTIF(AI263:AK263,"*OK*")*3) + (COUNTIF(AL263:AN263,"*OK*")*2) + COUNTIF(AO263:AQ263,"*OK*")+COUNTIF(AZ263:AZ263,"SI")*0.5</f>
        <v>0</v>
      </c>
      <c r="BB263" s="450" t="str">
        <f>IF(BA263&lt;0.6,"Demasiado Riesgo",IF(BA263&lt;=5,"Riesgo Medio",IF(BA263&lt;=11,"Riesgo Bajo","Cliente Blindado")))</f>
        <v>Demasiado Riesgo</v>
      </c>
      <c r="BC263" s="450"/>
      <c r="BD263" s="450"/>
      <c r="BE263" s="450">
        <v>0</v>
      </c>
      <c r="BF263" s="450"/>
      <c r="BG263" s="450"/>
      <c r="BH263" s="450"/>
      <c r="BI263" s="450"/>
      <c r="BJ263" s="450"/>
      <c r="BK263" s="450"/>
      <c r="BL263" s="450"/>
      <c r="BM263" s="450"/>
      <c r="BN263" s="450"/>
      <c r="BO263" s="450"/>
      <c r="BP263" s="450"/>
      <c r="BQ263" s="450"/>
      <c r="BR263" s="450"/>
      <c r="BS263" s="450"/>
      <c r="BT263" s="450"/>
      <c r="BU263" s="450"/>
      <c r="BV263" s="450"/>
      <c r="BW263" s="450"/>
      <c r="BX263" s="450"/>
      <c r="BY263" s="450"/>
      <c r="BZ263" s="450"/>
      <c r="CA263" s="450">
        <f>COUNTIF(AI263:AW263,"*OK*")</f>
        <v>0</v>
      </c>
      <c r="CB263" s="450"/>
      <c r="CC263" s="450">
        <f>COUNTIF(AI263:AW263,"*OP*")</f>
        <v>0</v>
      </c>
    </row>
    <row r="264" spans="1:81" ht="15" customHeight="1">
      <c r="A264" s="470"/>
      <c r="B264" s="471"/>
      <c r="C264" s="451">
        <f>T264</f>
        <v>57.14</v>
      </c>
      <c r="D264" s="471">
        <f>COUNTIF(AM264:AX264,"OK")</f>
        <v>0</v>
      </c>
      <c r="E264" s="471"/>
      <c r="F264" s="471" t="s">
        <v>854</v>
      </c>
      <c r="G264" s="471"/>
      <c r="H264" s="474"/>
      <c r="I264" s="474"/>
      <c r="J264" s="471"/>
      <c r="K264" s="491" t="s">
        <v>68</v>
      </c>
      <c r="L264" s="453" t="s">
        <v>461</v>
      </c>
      <c r="M264" s="471"/>
      <c r="N264" s="484"/>
      <c r="O264" s="457"/>
      <c r="P264" s="457"/>
      <c r="Q264" s="457"/>
      <c r="R264" s="458"/>
      <c r="S264" s="459">
        <v>57.771099999999997</v>
      </c>
      <c r="T264" s="547">
        <v>57.14</v>
      </c>
      <c r="U264" s="479"/>
      <c r="V264" s="480" t="s">
        <v>59</v>
      </c>
      <c r="W264" s="471"/>
      <c r="X264" s="493"/>
      <c r="Y264" s="483"/>
      <c r="Z264" s="484"/>
      <c r="AA264" s="494" t="s">
        <v>59</v>
      </c>
      <c r="AB264" s="474"/>
      <c r="AC264" s="471"/>
      <c r="AD264" s="471"/>
      <c r="AE264" s="471"/>
      <c r="AF264" s="471"/>
      <c r="AG264" s="471"/>
      <c r="AH264" s="622"/>
      <c r="AI264" s="618"/>
      <c r="AJ264" s="618"/>
      <c r="AK264" s="618"/>
      <c r="AL264" s="618"/>
      <c r="AM264" s="618"/>
      <c r="AN264" s="618"/>
      <c r="AO264" s="618"/>
      <c r="AP264" s="618"/>
      <c r="AQ264" s="618"/>
      <c r="AR264" s="618"/>
      <c r="AS264" s="618"/>
      <c r="AT264" s="618"/>
      <c r="AU264" s="618"/>
      <c r="AV264" s="618"/>
      <c r="AW264" s="618"/>
      <c r="AX264" s="618"/>
      <c r="AY264" s="619">
        <f>COUNTIF(AI264:AX264,"*OP*")</f>
        <v>0</v>
      </c>
      <c r="AZ264" s="623"/>
      <c r="BA264" s="471">
        <f>(COUNTIF(AI264:AK264,"*OK*")*3) + (COUNTIF(AL264:AN264,"*OK*")*2) + COUNTIF(AO264:AQ264,"*OK*")+COUNTIF(AZ264:AZ264,"SI")*0.5</f>
        <v>0</v>
      </c>
      <c r="BB264" s="471" t="str">
        <f>IF(BA264&lt;0.6,"Demasiado Riesgo",IF(BA264&lt;=5,"Riesgo Medio",IF(BA264&lt;=11,"Riesgo Bajo","Cliente Blindado")))</f>
        <v>Demasiado Riesgo</v>
      </c>
      <c r="BC264" s="471"/>
      <c r="BD264" s="471"/>
      <c r="BE264" s="471"/>
      <c r="BF264" s="471"/>
      <c r="BG264" s="471"/>
      <c r="BH264" s="471"/>
      <c r="BI264" s="471"/>
      <c r="BJ264" s="471"/>
      <c r="BK264" s="471"/>
      <c r="BL264" s="471"/>
      <c r="BM264" s="471"/>
      <c r="BN264" s="471"/>
      <c r="BO264" s="471"/>
      <c r="BP264" s="471"/>
      <c r="BQ264" s="471"/>
      <c r="BR264" s="471"/>
      <c r="BS264" s="471"/>
      <c r="BT264" s="471"/>
      <c r="BU264" s="471"/>
      <c r="BV264" s="471"/>
      <c r="BW264" s="471"/>
      <c r="BX264" s="471"/>
      <c r="BY264" s="471"/>
      <c r="BZ264" s="471"/>
      <c r="CA264" s="471">
        <f>COUNTIF(AI264:AW264,"*OK*")</f>
        <v>0</v>
      </c>
      <c r="CB264" s="471"/>
      <c r="CC264" s="471"/>
    </row>
    <row r="265" spans="1:81" ht="15" customHeight="1">
      <c r="A265" s="470"/>
      <c r="B265" s="471"/>
      <c r="C265" s="451">
        <f>T265</f>
        <v>57.14</v>
      </c>
      <c r="D265" s="471">
        <f>COUNTIF(AM265:AX265,"OK")</f>
        <v>0</v>
      </c>
      <c r="E265" s="471"/>
      <c r="F265" s="471" t="s">
        <v>855</v>
      </c>
      <c r="G265" s="471"/>
      <c r="H265" s="474"/>
      <c r="I265" s="474"/>
      <c r="J265" s="471"/>
      <c r="K265" s="491" t="s">
        <v>68</v>
      </c>
      <c r="L265" s="453" t="s">
        <v>461</v>
      </c>
      <c r="M265" s="471"/>
      <c r="N265" s="484"/>
      <c r="O265" s="457"/>
      <c r="P265" s="457"/>
      <c r="Q265" s="457"/>
      <c r="R265" s="458"/>
      <c r="S265" s="459">
        <v>57.771099999999997</v>
      </c>
      <c r="T265" s="547">
        <v>57.14</v>
      </c>
      <c r="U265" s="479"/>
      <c r="V265" s="480" t="s">
        <v>59</v>
      </c>
      <c r="W265" s="471"/>
      <c r="X265" s="493"/>
      <c r="Y265" s="483"/>
      <c r="Z265" s="484"/>
      <c r="AA265" s="494" t="s">
        <v>59</v>
      </c>
      <c r="AB265" s="474"/>
      <c r="AC265" s="471"/>
      <c r="AD265" s="471"/>
      <c r="AE265" s="471"/>
      <c r="AF265" s="471"/>
      <c r="AG265" s="471"/>
      <c r="AH265" s="622"/>
      <c r="AI265" s="618"/>
      <c r="AJ265" s="618"/>
      <c r="AK265" s="618"/>
      <c r="AL265" s="618"/>
      <c r="AM265" s="618"/>
      <c r="AN265" s="618"/>
      <c r="AO265" s="618"/>
      <c r="AP265" s="618"/>
      <c r="AQ265" s="618"/>
      <c r="AR265" s="618"/>
      <c r="AS265" s="618"/>
      <c r="AT265" s="618"/>
      <c r="AU265" s="618"/>
      <c r="AV265" s="618"/>
      <c r="AW265" s="618"/>
      <c r="AX265" s="618"/>
      <c r="AY265" s="619">
        <f>COUNTIF(AI265:AX265,"*OP*")</f>
        <v>0</v>
      </c>
      <c r="AZ265" s="623"/>
      <c r="BA265" s="471">
        <f>(COUNTIF(AI265:AK265,"*OK*")*3) + (COUNTIF(AL265:AN265,"*OK*")*2) + COUNTIF(AO265:AQ265,"*OK*")+COUNTIF(AZ265:AZ265,"SI")*0.5</f>
        <v>0</v>
      </c>
      <c r="BB265" s="471" t="str">
        <f>IF(BA265&lt;0.6,"Demasiado Riesgo",IF(BA265&lt;=5,"Riesgo Medio",IF(BA265&lt;=11,"Riesgo Bajo","Cliente Blindado")))</f>
        <v>Demasiado Riesgo</v>
      </c>
      <c r="BC265" s="471"/>
      <c r="BD265" s="471"/>
      <c r="BE265" s="471"/>
      <c r="BF265" s="471"/>
      <c r="BG265" s="471"/>
      <c r="BH265" s="471"/>
      <c r="BI265" s="471"/>
      <c r="BJ265" s="471"/>
      <c r="BK265" s="471"/>
      <c r="BL265" s="471"/>
      <c r="BM265" s="471"/>
      <c r="BN265" s="471"/>
      <c r="BO265" s="471"/>
      <c r="BP265" s="471"/>
      <c r="BQ265" s="471"/>
      <c r="BR265" s="471"/>
      <c r="BS265" s="471"/>
      <c r="BT265" s="471"/>
      <c r="BU265" s="471"/>
      <c r="BV265" s="471"/>
      <c r="BW265" s="471"/>
      <c r="BX265" s="471"/>
      <c r="BY265" s="471"/>
      <c r="BZ265" s="471"/>
      <c r="CA265" s="471">
        <f>COUNTIF(AI265:AW265,"*OK*")</f>
        <v>0</v>
      </c>
      <c r="CB265" s="471"/>
      <c r="CC265" s="471"/>
    </row>
    <row r="266" spans="1:81" ht="15" customHeight="1">
      <c r="A266" s="470">
        <v>27462</v>
      </c>
      <c r="B266" s="471"/>
      <c r="C266" s="451">
        <f>T266</f>
        <v>57.77</v>
      </c>
      <c r="D266" s="471">
        <f>COUNTIF(AI266:AW266,"*OK*")</f>
        <v>0</v>
      </c>
      <c r="E266" s="471"/>
      <c r="F266" s="473" t="s">
        <v>856</v>
      </c>
      <c r="G266" s="473"/>
      <c r="H266" s="474"/>
      <c r="I266" s="474"/>
      <c r="J266" s="473"/>
      <c r="K266" s="473" t="s">
        <v>68</v>
      </c>
      <c r="L266" s="453" t="s">
        <v>461</v>
      </c>
      <c r="M266" s="473"/>
      <c r="N266" s="484" t="s">
        <v>65</v>
      </c>
      <c r="O266" s="477">
        <v>58.64</v>
      </c>
      <c r="P266" s="477">
        <v>63.09</v>
      </c>
      <c r="Q266" s="477">
        <v>64.42</v>
      </c>
      <c r="R266" s="478">
        <v>66.5</v>
      </c>
      <c r="S266" s="459">
        <v>53.9131</v>
      </c>
      <c r="T266" s="490">
        <v>57.77</v>
      </c>
      <c r="U266" s="479"/>
      <c r="V266" s="480">
        <v>100</v>
      </c>
      <c r="W266" s="481"/>
      <c r="X266" s="572" t="s">
        <v>70</v>
      </c>
      <c r="Y266" s="483" t="s">
        <v>241</v>
      </c>
      <c r="Z266" s="484" t="s">
        <v>857</v>
      </c>
      <c r="AA266" s="480" t="s">
        <v>59</v>
      </c>
      <c r="AB266" s="474"/>
      <c r="AC266" s="471"/>
      <c r="AD266" s="471"/>
      <c r="AE266" s="471"/>
      <c r="AF266" s="471"/>
      <c r="AG266" s="471"/>
      <c r="AH266" s="494" t="s">
        <v>59</v>
      </c>
      <c r="AI266" s="467"/>
      <c r="AJ266" s="467"/>
      <c r="AK266" s="467"/>
      <c r="AL266" s="467"/>
      <c r="AM266" s="467"/>
      <c r="AN266" s="467"/>
      <c r="AO266" s="467"/>
      <c r="AP266" s="467"/>
      <c r="AQ266" s="467"/>
      <c r="AR266" s="467"/>
      <c r="AS266" s="467"/>
      <c r="AT266" s="467"/>
      <c r="AU266" s="467"/>
      <c r="AV266" s="467"/>
      <c r="AW266" s="467"/>
      <c r="AX266" s="467"/>
      <c r="AY266" s="486">
        <f>COUNTIF(AI266:AX266,"*OP*")</f>
        <v>0</v>
      </c>
      <c r="AZ266" s="485" t="s">
        <v>59</v>
      </c>
      <c r="BA266" s="471">
        <f>(COUNTIF(AI266:AK266,"*OK*")*3) + (COUNTIF(AL266:AN266,"*OK*")*2) + COUNTIF(AO266:AQ266,"*OK*")+COUNTIF(AZ266:AZ266,"SI")*0.5</f>
        <v>0</v>
      </c>
      <c r="BB266" s="471" t="str">
        <f>IF(BA266&lt;0.6,"Demasiado Riesgo",IF(BA266&lt;=5,"Riesgo Medio",IF(BA266&lt;=11,"Riesgo Bajo","Cliente Blindado")))</f>
        <v>Demasiado Riesgo</v>
      </c>
      <c r="BC266" s="471"/>
      <c r="BD266" s="471"/>
      <c r="BE266" s="471">
        <v>0</v>
      </c>
      <c r="BF266" s="471"/>
      <c r="BG266" s="471"/>
      <c r="BH266" s="471"/>
      <c r="BI266" s="471"/>
      <c r="BJ266" s="471"/>
      <c r="BK266" s="471"/>
      <c r="BL266" s="471"/>
      <c r="BM266" s="471"/>
      <c r="BN266" s="471"/>
      <c r="BO266" s="471"/>
      <c r="BP266" s="471"/>
      <c r="BQ266" s="471"/>
      <c r="BR266" s="471"/>
      <c r="BS266" s="471"/>
      <c r="BT266" s="471"/>
      <c r="BU266" s="471"/>
      <c r="BV266" s="471"/>
      <c r="BW266" s="471"/>
      <c r="BX266" s="471"/>
      <c r="BY266" s="471"/>
      <c r="BZ266" s="471"/>
      <c r="CA266" s="471">
        <f>COUNTIF(AI266:AW266,"*OK*")</f>
        <v>0</v>
      </c>
      <c r="CB266" s="471"/>
      <c r="CC266" s="471">
        <f>COUNTIF(AI266:AW266,"*OP*")</f>
        <v>0</v>
      </c>
    </row>
    <row r="267" spans="1:81" ht="15" customHeight="1">
      <c r="A267" s="470">
        <v>21971</v>
      </c>
      <c r="B267" s="471"/>
      <c r="C267" s="451">
        <f>T267</f>
        <v>58.14</v>
      </c>
      <c r="D267" s="471">
        <f>COUNTIF(AI267:AW267,"*OK*")</f>
        <v>0</v>
      </c>
      <c r="E267" s="471"/>
      <c r="F267" s="473" t="s">
        <v>858</v>
      </c>
      <c r="G267" s="473"/>
      <c r="H267" s="474"/>
      <c r="I267" s="474"/>
      <c r="J267" s="473"/>
      <c r="K267" s="473" t="s">
        <v>68</v>
      </c>
      <c r="L267" s="453" t="s">
        <v>461</v>
      </c>
      <c r="M267" s="473"/>
      <c r="N267" s="484" t="s">
        <v>65</v>
      </c>
      <c r="O267" s="477">
        <v>53.89</v>
      </c>
      <c r="P267" s="477">
        <v>56.4</v>
      </c>
      <c r="Q267" s="477">
        <v>53.75</v>
      </c>
      <c r="R267" s="478">
        <v>55.48</v>
      </c>
      <c r="S267" s="459">
        <v>56.227400000000003</v>
      </c>
      <c r="T267" s="490">
        <v>58.14</v>
      </c>
      <c r="U267" s="479"/>
      <c r="V267" s="480">
        <v>100</v>
      </c>
      <c r="W267" s="481"/>
      <c r="X267" s="572" t="s">
        <v>70</v>
      </c>
      <c r="Y267" s="483" t="s">
        <v>360</v>
      </c>
      <c r="Z267" s="484" t="s">
        <v>859</v>
      </c>
      <c r="AA267" s="480" t="s">
        <v>59</v>
      </c>
      <c r="AB267" s="474"/>
      <c r="AC267" s="471"/>
      <c r="AD267" s="471"/>
      <c r="AE267" s="471"/>
      <c r="AF267" s="471"/>
      <c r="AG267" s="471"/>
      <c r="AH267" s="494" t="s">
        <v>59</v>
      </c>
      <c r="AI267" s="467"/>
      <c r="AJ267" s="467"/>
      <c r="AK267" s="467"/>
      <c r="AL267" s="467"/>
      <c r="AM267" s="467"/>
      <c r="AN267" s="467"/>
      <c r="AO267" s="467"/>
      <c r="AP267" s="467"/>
      <c r="AQ267" s="467"/>
      <c r="AR267" s="467"/>
      <c r="AS267" s="467"/>
      <c r="AT267" s="467"/>
      <c r="AU267" s="467"/>
      <c r="AV267" s="467"/>
      <c r="AW267" s="467"/>
      <c r="AX267" s="467"/>
      <c r="AY267" s="486">
        <f>COUNTIF(AI267:AX267,"*OP*")</f>
        <v>0</v>
      </c>
      <c r="AZ267" s="485" t="s">
        <v>59</v>
      </c>
      <c r="BA267" s="471">
        <f>(COUNTIF(AI267:AK267,"*OK*")*3) + (COUNTIF(AL267:AN267,"*OK*")*2) + COUNTIF(AO267:AQ267,"*OK*")+COUNTIF(AZ267:AZ267,"SI")*0.5</f>
        <v>0</v>
      </c>
      <c r="BB267" s="471" t="str">
        <f>IF(BA267&lt;0.6,"Demasiado Riesgo",IF(BA267&lt;=5,"Riesgo Medio",IF(BA267&lt;=11,"Riesgo Bajo","Cliente Blindado")))</f>
        <v>Demasiado Riesgo</v>
      </c>
      <c r="BC267" s="471"/>
      <c r="BD267" s="471"/>
      <c r="BE267" s="471">
        <v>0</v>
      </c>
      <c r="BF267" s="471"/>
      <c r="BG267" s="471"/>
      <c r="BH267" s="471"/>
      <c r="BI267" s="471"/>
      <c r="BJ267" s="471"/>
      <c r="BK267" s="471"/>
      <c r="BL267" s="471"/>
      <c r="BM267" s="471"/>
      <c r="BN267" s="471"/>
      <c r="BO267" s="471"/>
      <c r="BP267" s="471"/>
      <c r="BQ267" s="471"/>
      <c r="BR267" s="471"/>
      <c r="BS267" s="471"/>
      <c r="BT267" s="471"/>
      <c r="BU267" s="471"/>
      <c r="BV267" s="471"/>
      <c r="BW267" s="471"/>
      <c r="BX267" s="471"/>
      <c r="BY267" s="471"/>
      <c r="BZ267" s="471"/>
      <c r="CA267" s="471">
        <f>COUNTIF(AI267:AW267,"*OK*")</f>
        <v>0</v>
      </c>
      <c r="CB267" s="471"/>
      <c r="CC267" s="471">
        <f>COUNTIF(AI267:AW267,"*OP*")</f>
        <v>0</v>
      </c>
    </row>
    <row r="268" spans="1:81" ht="15" customHeight="1">
      <c r="A268" s="470">
        <v>34818</v>
      </c>
      <c r="B268" s="471"/>
      <c r="C268" s="451">
        <f>T268</f>
        <v>59.99</v>
      </c>
      <c r="D268" s="471">
        <f>COUNTIF(AI268:AW268,"*OK*")</f>
        <v>0</v>
      </c>
      <c r="E268" s="471"/>
      <c r="F268" s="473" t="s">
        <v>860</v>
      </c>
      <c r="G268" s="473"/>
      <c r="H268" s="474"/>
      <c r="I268" s="474"/>
      <c r="J268" s="473"/>
      <c r="K268" s="475" t="s">
        <v>68</v>
      </c>
      <c r="L268" s="453" t="s">
        <v>461</v>
      </c>
      <c r="M268" s="473"/>
      <c r="N268" s="484" t="s">
        <v>65</v>
      </c>
      <c r="O268" s="477">
        <v>60.9</v>
      </c>
      <c r="P268" s="477">
        <v>60.85</v>
      </c>
      <c r="Q268" s="477">
        <v>57.99</v>
      </c>
      <c r="R268" s="478">
        <v>59.85</v>
      </c>
      <c r="S268" s="459">
        <v>60.659599999999998</v>
      </c>
      <c r="T268" s="487">
        <v>59.99</v>
      </c>
      <c r="U268" s="479"/>
      <c r="V268" s="480">
        <v>50</v>
      </c>
      <c r="W268" s="481"/>
      <c r="X268" s="572" t="s">
        <v>70</v>
      </c>
      <c r="Y268" s="483" t="s">
        <v>71</v>
      </c>
      <c r="Z268" s="484" t="s">
        <v>74</v>
      </c>
      <c r="AA268" s="480" t="s">
        <v>59</v>
      </c>
      <c r="AB268" s="474"/>
      <c r="AC268" s="471"/>
      <c r="AD268" s="471"/>
      <c r="AE268" s="471"/>
      <c r="AF268" s="471"/>
      <c r="AG268" s="471"/>
      <c r="AH268" s="494" t="s">
        <v>59</v>
      </c>
      <c r="AI268" s="467"/>
      <c r="AJ268" s="467"/>
      <c r="AK268" s="467"/>
      <c r="AL268" s="467"/>
      <c r="AM268" s="467"/>
      <c r="AN268" s="467"/>
      <c r="AO268" s="467"/>
      <c r="AP268" s="467"/>
      <c r="AQ268" s="467"/>
      <c r="AR268" s="467"/>
      <c r="AS268" s="467"/>
      <c r="AT268" s="467"/>
      <c r="AU268" s="467"/>
      <c r="AV268" s="467"/>
      <c r="AW268" s="467"/>
      <c r="AX268" s="467"/>
      <c r="AY268" s="486">
        <f>COUNTIF(AI268:AX268,"*OP*")</f>
        <v>0</v>
      </c>
      <c r="AZ268" s="485" t="s">
        <v>59</v>
      </c>
      <c r="BA268" s="471">
        <f>(COUNTIF(AI268:AK268,"*OK*")*3) + (COUNTIF(AL268:AN268,"*OK*")*2) + COUNTIF(AO268:AQ268,"*OK*")+COUNTIF(AZ268:AZ268,"SI")*0.5</f>
        <v>0</v>
      </c>
      <c r="BB268" s="471" t="str">
        <f>IF(BA268&lt;0.6,"Demasiado Riesgo",IF(BA268&lt;=5,"Riesgo Medio",IF(BA268&lt;=11,"Riesgo Bajo","Cliente Blindado")))</f>
        <v>Demasiado Riesgo</v>
      </c>
      <c r="BC268" s="471"/>
      <c r="BD268" s="471"/>
      <c r="BE268" s="471">
        <v>0</v>
      </c>
      <c r="BF268" s="471"/>
      <c r="BG268" s="471"/>
      <c r="BH268" s="471"/>
      <c r="BI268" s="471"/>
      <c r="BJ268" s="471"/>
      <c r="BK268" s="471"/>
      <c r="BL268" s="471"/>
      <c r="BM268" s="471"/>
      <c r="BN268" s="471"/>
      <c r="BO268" s="471"/>
      <c r="BP268" s="471"/>
      <c r="BQ268" s="471"/>
      <c r="BR268" s="471"/>
      <c r="BS268" s="471"/>
      <c r="BT268" s="471"/>
      <c r="BU268" s="471"/>
      <c r="BV268" s="471"/>
      <c r="BW268" s="471"/>
      <c r="BX268" s="471"/>
      <c r="BY268" s="471"/>
      <c r="BZ268" s="471"/>
      <c r="CA268" s="471">
        <f>COUNTIF(AI268:AW268,"*OK*")</f>
        <v>0</v>
      </c>
      <c r="CB268" s="471"/>
      <c r="CC268" s="471">
        <f>COUNTIF(AI268:AW268,"*OP*")</f>
        <v>0</v>
      </c>
    </row>
    <row r="269" spans="1:81" ht="15" customHeight="1">
      <c r="A269" s="449">
        <v>34850</v>
      </c>
      <c r="B269" s="450"/>
      <c r="C269" s="451">
        <f>T269</f>
        <v>60.85</v>
      </c>
      <c r="D269" s="450">
        <f>COUNTIF(AI269:AW269,"*OK*")</f>
        <v>0</v>
      </c>
      <c r="E269" s="450"/>
      <c r="F269" s="453" t="s">
        <v>861</v>
      </c>
      <c r="G269" s="453"/>
      <c r="H269" s="454"/>
      <c r="I269" s="454"/>
      <c r="J269" s="453"/>
      <c r="K269" s="455" t="s">
        <v>68</v>
      </c>
      <c r="L269" s="453" t="s">
        <v>461</v>
      </c>
      <c r="M269" s="453"/>
      <c r="N269" s="466" t="s">
        <v>191</v>
      </c>
      <c r="O269" s="457">
        <v>65.540000000000006</v>
      </c>
      <c r="P269" s="457">
        <v>65.48</v>
      </c>
      <c r="Q269" s="457">
        <v>62.41</v>
      </c>
      <c r="R269" s="458">
        <v>60.71</v>
      </c>
      <c r="S269" s="459">
        <v>61.526200000000003</v>
      </c>
      <c r="T269" s="469">
        <v>60.85</v>
      </c>
      <c r="U269" s="461"/>
      <c r="V269" s="462">
        <v>50</v>
      </c>
      <c r="W269" s="463"/>
      <c r="X269" s="567" t="s">
        <v>70</v>
      </c>
      <c r="Y269" s="465" t="s">
        <v>150</v>
      </c>
      <c r="Z269" s="466" t="s">
        <v>862</v>
      </c>
      <c r="AA269" s="462" t="s">
        <v>132</v>
      </c>
      <c r="AB269" s="454"/>
      <c r="AC269" s="450"/>
      <c r="AD269" s="450"/>
      <c r="AE269" s="450"/>
      <c r="AF269" s="450"/>
      <c r="AG269" s="450"/>
      <c r="AH269" s="496" t="s">
        <v>59</v>
      </c>
      <c r="AI269" s="467"/>
      <c r="AJ269" s="467"/>
      <c r="AK269" s="467"/>
      <c r="AL269" s="467"/>
      <c r="AM269" s="467"/>
      <c r="AN269" s="467"/>
      <c r="AO269" s="467"/>
      <c r="AP269" s="467"/>
      <c r="AQ269" s="467"/>
      <c r="AR269" s="467"/>
      <c r="AS269" s="467"/>
      <c r="AT269" s="467"/>
      <c r="AU269" s="467"/>
      <c r="AV269" s="467"/>
      <c r="AW269" s="467"/>
      <c r="AX269" s="467"/>
      <c r="AY269" s="486">
        <f>COUNTIF(AI269:AX269,"*OP*")</f>
        <v>0</v>
      </c>
      <c r="AZ269" s="499" t="s">
        <v>59</v>
      </c>
      <c r="BA269" s="450">
        <f>(COUNTIF(AI269:AK269,"*OK*")*3) + (COUNTIF(AL269:AN269,"*OK*")*2) + COUNTIF(AO269:AQ269,"*OK*")+COUNTIF(AZ269:AZ269,"SI")*0.5</f>
        <v>0</v>
      </c>
      <c r="BB269" s="450" t="str">
        <f>IF(BA269&lt;0.6,"Demasiado Riesgo",IF(BA269&lt;=5,"Riesgo Medio",IF(BA269&lt;=11,"Riesgo Bajo","Cliente Blindado")))</f>
        <v>Demasiado Riesgo</v>
      </c>
      <c r="BC269" s="450"/>
      <c r="BD269" s="450"/>
      <c r="BE269" s="450">
        <v>0</v>
      </c>
      <c r="BF269" s="450"/>
      <c r="BG269" s="450"/>
      <c r="BH269" s="450"/>
      <c r="BI269" s="450"/>
      <c r="BJ269" s="450"/>
      <c r="BK269" s="450"/>
      <c r="BL269" s="450"/>
      <c r="BM269" s="450"/>
      <c r="BN269" s="450"/>
      <c r="BO269" s="450"/>
      <c r="BP269" s="450"/>
      <c r="BQ269" s="450"/>
      <c r="BR269" s="450"/>
      <c r="BS269" s="450"/>
      <c r="BT269" s="450"/>
      <c r="BU269" s="450"/>
      <c r="BV269" s="450"/>
      <c r="BW269" s="450"/>
      <c r="BX269" s="450"/>
      <c r="BY269" s="450"/>
      <c r="BZ269" s="450"/>
      <c r="CA269" s="450">
        <f>COUNTIF(AI269:AW269,"*OK*")</f>
        <v>0</v>
      </c>
      <c r="CB269" s="450"/>
      <c r="CC269" s="450">
        <f>COUNTIF(AI269:AW269,"*OP*")</f>
        <v>0</v>
      </c>
    </row>
    <row r="270" spans="1:81" ht="15" customHeight="1">
      <c r="A270" s="449"/>
      <c r="B270" s="450"/>
      <c r="C270" s="451">
        <f>T270</f>
        <v>62.2</v>
      </c>
      <c r="D270" s="450">
        <f>COUNTIF(AI270:AW270,"*OK*")</f>
        <v>0</v>
      </c>
      <c r="E270" s="450"/>
      <c r="F270" s="453" t="s">
        <v>863</v>
      </c>
      <c r="G270" s="453"/>
      <c r="H270" s="454"/>
      <c r="I270" s="454"/>
      <c r="J270" s="453"/>
      <c r="K270" s="453" t="s">
        <v>68</v>
      </c>
      <c r="L270" s="453" t="s">
        <v>461</v>
      </c>
      <c r="M270" s="453"/>
      <c r="N270" s="466" t="s">
        <v>65</v>
      </c>
      <c r="O270" s="457">
        <v>60.14</v>
      </c>
      <c r="P270" s="457">
        <v>63.09</v>
      </c>
      <c r="Q270" s="457">
        <v>60.12</v>
      </c>
      <c r="R270" s="458">
        <v>62.06</v>
      </c>
      <c r="S270" s="459">
        <v>62.8919</v>
      </c>
      <c r="T270" s="469">
        <v>62.2</v>
      </c>
      <c r="U270" s="461"/>
      <c r="V270" s="462">
        <v>50</v>
      </c>
      <c r="W270" s="463"/>
      <c r="X270" s="567" t="s">
        <v>70</v>
      </c>
      <c r="Y270" s="465" t="s">
        <v>71</v>
      </c>
      <c r="Z270" s="466" t="s">
        <v>864</v>
      </c>
      <c r="AA270" s="462" t="s">
        <v>59</v>
      </c>
      <c r="AB270" s="454"/>
      <c r="AC270" s="450"/>
      <c r="AD270" s="450"/>
      <c r="AE270" s="450"/>
      <c r="AF270" s="450"/>
      <c r="AG270" s="450"/>
      <c r="AH270" s="496" t="s">
        <v>59</v>
      </c>
      <c r="AI270" s="467"/>
      <c r="AJ270" s="467"/>
      <c r="AK270" s="467"/>
      <c r="AL270" s="467"/>
      <c r="AM270" s="467"/>
      <c r="AN270" s="467"/>
      <c r="AO270" s="467"/>
      <c r="AP270" s="467"/>
      <c r="AQ270" s="467"/>
      <c r="AR270" s="467"/>
      <c r="AS270" s="467"/>
      <c r="AT270" s="467"/>
      <c r="AU270" s="467"/>
      <c r="AV270" s="467"/>
      <c r="AW270" s="467"/>
      <c r="AX270" s="467"/>
      <c r="AY270" s="486">
        <f>COUNTIF(AI270:AX270,"*OP*")</f>
        <v>0</v>
      </c>
      <c r="AZ270" s="499" t="s">
        <v>59</v>
      </c>
      <c r="BA270" s="450">
        <f>(COUNTIF(AI270:AK270,"*OK*")*3) + (COUNTIF(AL270:AN270,"*OK*")*2) + COUNTIF(AO270:AQ270,"*OK*")+COUNTIF(AZ270:AZ270,"SI")*0.5</f>
        <v>0</v>
      </c>
      <c r="BB270" s="450" t="str">
        <f>IF(BA270&lt;0.6,"Demasiado Riesgo",IF(BA270&lt;=5,"Riesgo Medio",IF(BA270&lt;=11,"Riesgo Bajo","Cliente Blindado")))</f>
        <v>Demasiado Riesgo</v>
      </c>
      <c r="BC270" s="450"/>
      <c r="BD270" s="450"/>
      <c r="BE270" s="450">
        <v>0</v>
      </c>
      <c r="BF270" s="450"/>
      <c r="BG270" s="450"/>
      <c r="BH270" s="450"/>
      <c r="BI270" s="450"/>
      <c r="BJ270" s="450"/>
      <c r="BK270" s="450"/>
      <c r="BL270" s="450"/>
      <c r="BM270" s="450"/>
      <c r="BN270" s="450"/>
      <c r="BO270" s="450"/>
      <c r="BP270" s="450"/>
      <c r="BQ270" s="450"/>
      <c r="BR270" s="450"/>
      <c r="BS270" s="450"/>
      <c r="BT270" s="450"/>
      <c r="BU270" s="450"/>
      <c r="BV270" s="450"/>
      <c r="BW270" s="450"/>
      <c r="BX270" s="450"/>
      <c r="BY270" s="450"/>
      <c r="BZ270" s="450"/>
      <c r="CA270" s="450">
        <f>COUNTIF(AI270:AW270,"*OK*")</f>
        <v>0</v>
      </c>
      <c r="CB270" s="450"/>
      <c r="CC270" s="450">
        <f>COUNTIF(AI270:AW270,"*OP*")</f>
        <v>0</v>
      </c>
    </row>
    <row r="271" spans="1:81" ht="15" customHeight="1">
      <c r="A271" s="449">
        <v>23171</v>
      </c>
      <c r="B271" s="450"/>
      <c r="C271" s="451">
        <f>T271</f>
        <v>64.010000000000005</v>
      </c>
      <c r="D271" s="450">
        <f>COUNTIF(AI271:AW271,"*OK*")</f>
        <v>1</v>
      </c>
      <c r="E271" s="450"/>
      <c r="F271" s="453" t="s">
        <v>865</v>
      </c>
      <c r="G271" s="453"/>
      <c r="H271" s="454"/>
      <c r="I271" s="454"/>
      <c r="J271" s="453"/>
      <c r="K271" s="453" t="s">
        <v>68</v>
      </c>
      <c r="L271" s="453" t="s">
        <v>461</v>
      </c>
      <c r="M271" s="453"/>
      <c r="N271" s="466" t="s">
        <v>282</v>
      </c>
      <c r="O271" s="457">
        <v>64.98</v>
      </c>
      <c r="P271" s="457">
        <v>64.92</v>
      </c>
      <c r="Q271" s="457">
        <v>61.87</v>
      </c>
      <c r="R271" s="458">
        <v>63.86</v>
      </c>
      <c r="S271" s="459">
        <v>64.722099999999998</v>
      </c>
      <c r="T271" s="469">
        <v>64.010000000000005</v>
      </c>
      <c r="U271" s="461"/>
      <c r="V271" s="462">
        <v>200</v>
      </c>
      <c r="W271" s="463"/>
      <c r="X271" s="567" t="s">
        <v>70</v>
      </c>
      <c r="Y271" s="465" t="s">
        <v>80</v>
      </c>
      <c r="Z271" s="466" t="s">
        <v>866</v>
      </c>
      <c r="AA271" s="462" t="s">
        <v>284</v>
      </c>
      <c r="AB271" s="454"/>
      <c r="AC271" s="450"/>
      <c r="AD271" s="450"/>
      <c r="AE271" s="450"/>
      <c r="AF271" s="450"/>
      <c r="AG271" s="450"/>
      <c r="AH271" s="496" t="s">
        <v>59</v>
      </c>
      <c r="AI271" s="467"/>
      <c r="AJ271" s="467"/>
      <c r="AK271" s="589" t="s">
        <v>111</v>
      </c>
      <c r="AL271" s="467"/>
      <c r="AM271" s="467"/>
      <c r="AN271" s="467"/>
      <c r="AO271" s="467"/>
      <c r="AP271" s="467"/>
      <c r="AQ271" s="467"/>
      <c r="AR271" s="467"/>
      <c r="AS271" s="467"/>
      <c r="AT271" s="467"/>
      <c r="AU271" s="467"/>
      <c r="AV271" s="467"/>
      <c r="AW271" s="467"/>
      <c r="AX271" s="467"/>
      <c r="AY271" s="486">
        <f>COUNTIF(AI271:AX271,"*OP*")</f>
        <v>0</v>
      </c>
      <c r="AZ271" s="499" t="s">
        <v>59</v>
      </c>
      <c r="BA271" s="450">
        <f>(COUNTIF(AI271:AK271,"*OK*")*3) + (COUNTIF(AL271:AN271,"*OK*")*2) + COUNTIF(AO271:AQ271,"*OK*")+COUNTIF(AZ271:AZ271,"SI")*0.5</f>
        <v>3</v>
      </c>
      <c r="BB271" s="450" t="str">
        <f>IF(BA271&lt;0.6,"Demasiado Riesgo",IF(BA271&lt;=5,"Riesgo Medio",IF(BA271&lt;=11,"Riesgo Bajo","Cliente Blindado")))</f>
        <v>Riesgo Medio</v>
      </c>
      <c r="BC271" s="450"/>
      <c r="BD271" s="450"/>
      <c r="BE271" s="450">
        <v>0</v>
      </c>
      <c r="BF271" s="450"/>
      <c r="BG271" s="450"/>
      <c r="BH271" s="450"/>
      <c r="BI271" s="450"/>
      <c r="BJ271" s="450"/>
      <c r="BK271" s="450"/>
      <c r="BL271" s="450"/>
      <c r="BM271" s="450"/>
      <c r="BN271" s="450"/>
      <c r="BO271" s="450"/>
      <c r="BP271" s="450"/>
      <c r="BQ271" s="450"/>
      <c r="BR271" s="450"/>
      <c r="BS271" s="450"/>
      <c r="BT271" s="450"/>
      <c r="BU271" s="450"/>
      <c r="BV271" s="450"/>
      <c r="BW271" s="450"/>
      <c r="BX271" s="450"/>
      <c r="BY271" s="450"/>
      <c r="BZ271" s="450"/>
      <c r="CA271" s="450">
        <f>COUNTIF(AI271:AW271,"*OK*")</f>
        <v>1</v>
      </c>
      <c r="CB271" s="450"/>
      <c r="CC271" s="450">
        <f>COUNTIF(AI271:AW271,"*OP*")</f>
        <v>0</v>
      </c>
    </row>
    <row r="272" spans="1:81" ht="15" customHeight="1">
      <c r="A272" s="449">
        <v>34913</v>
      </c>
      <c r="B272" s="450"/>
      <c r="C272" s="451">
        <f>T272</f>
        <v>65.989999999999995</v>
      </c>
      <c r="D272" s="450">
        <f>COUNTIF(AI272:AW272,"*OK*")</f>
        <v>0</v>
      </c>
      <c r="E272" s="450"/>
      <c r="F272" s="453" t="s">
        <v>867</v>
      </c>
      <c r="G272" s="453"/>
      <c r="H272" s="454"/>
      <c r="I272" s="454"/>
      <c r="J272" s="453"/>
      <c r="K272" s="455" t="s">
        <v>68</v>
      </c>
      <c r="L272" s="453" t="s">
        <v>461</v>
      </c>
      <c r="M272" s="453"/>
      <c r="N272" s="466" t="s">
        <v>61</v>
      </c>
      <c r="O272" s="457">
        <v>60.9</v>
      </c>
      <c r="P272" s="457">
        <v>77.069999999999993</v>
      </c>
      <c r="Q272" s="457">
        <v>75.38</v>
      </c>
      <c r="R272" s="458">
        <v>65.84</v>
      </c>
      <c r="S272" s="459">
        <v>72.791600000000003</v>
      </c>
      <c r="T272" s="469">
        <v>65.989999999999995</v>
      </c>
      <c r="U272" s="461"/>
      <c r="V272" s="462">
        <v>50</v>
      </c>
      <c r="W272" s="463"/>
      <c r="X272" s="464" t="s">
        <v>437</v>
      </c>
      <c r="Y272" s="465" t="s">
        <v>71</v>
      </c>
      <c r="Z272" s="466" t="s">
        <v>868</v>
      </c>
      <c r="AA272" s="462" t="s">
        <v>91</v>
      </c>
      <c r="AB272" s="454"/>
      <c r="AC272" s="450"/>
      <c r="AD272" s="450"/>
      <c r="AE272" s="450"/>
      <c r="AF272" s="450"/>
      <c r="AG272" s="450"/>
      <c r="AH272" s="496" t="s">
        <v>59</v>
      </c>
      <c r="AI272" s="467"/>
      <c r="AJ272" s="467"/>
      <c r="AK272" s="467"/>
      <c r="AL272" s="467"/>
      <c r="AM272" s="467"/>
      <c r="AN272" s="467"/>
      <c r="AO272" s="467"/>
      <c r="AP272" s="467"/>
      <c r="AQ272" s="467"/>
      <c r="AR272" s="467"/>
      <c r="AS272" s="467"/>
      <c r="AT272" s="467"/>
      <c r="AU272" s="467"/>
      <c r="AV272" s="467"/>
      <c r="AW272" s="467"/>
      <c r="AX272" s="467"/>
      <c r="AY272" s="486">
        <f>COUNTIF(AI272:AX272,"*OP*")</f>
        <v>0</v>
      </c>
      <c r="AZ272" s="499" t="s">
        <v>59</v>
      </c>
      <c r="BA272" s="450">
        <f>(COUNTIF(AI272:AK272,"*OK*")*3) + (COUNTIF(AL272:AN272,"*OK*")*2) + COUNTIF(AO272:AQ272,"*OK*")+COUNTIF(AZ272:AZ272,"SI")*0.5</f>
        <v>0</v>
      </c>
      <c r="BB272" s="450" t="str">
        <f>IF(BA272&lt;0.6,"Demasiado Riesgo",IF(BA272&lt;=5,"Riesgo Medio",IF(BA272&lt;=11,"Riesgo Bajo","Cliente Blindado")))</f>
        <v>Demasiado Riesgo</v>
      </c>
      <c r="BC272" s="450"/>
      <c r="BD272" s="450"/>
      <c r="BE272" s="450">
        <v>0</v>
      </c>
      <c r="BF272" s="450"/>
      <c r="BG272" s="450"/>
      <c r="BH272" s="450"/>
      <c r="BI272" s="450"/>
      <c r="BJ272" s="450"/>
      <c r="BK272" s="450"/>
      <c r="BL272" s="450"/>
      <c r="BM272" s="450"/>
      <c r="BN272" s="450"/>
      <c r="BO272" s="450"/>
      <c r="BP272" s="450"/>
      <c r="BQ272" s="450"/>
      <c r="BR272" s="450"/>
      <c r="BS272" s="450"/>
      <c r="BT272" s="450"/>
      <c r="BU272" s="450"/>
      <c r="BV272" s="450"/>
      <c r="BW272" s="450"/>
      <c r="BX272" s="450"/>
      <c r="BY272" s="450"/>
      <c r="BZ272" s="450"/>
      <c r="CA272" s="450">
        <f>COUNTIF(AI272:AW272,"*OK*")</f>
        <v>0</v>
      </c>
      <c r="CB272" s="450"/>
      <c r="CC272" s="450">
        <f>COUNTIF(AI272:AW272,"*OP*")</f>
        <v>0</v>
      </c>
    </row>
    <row r="273" spans="1:81" ht="15" customHeight="1">
      <c r="A273" s="470"/>
      <c r="B273" s="471"/>
      <c r="C273" s="451">
        <f>T273</f>
        <v>66.67</v>
      </c>
      <c r="D273" s="471">
        <f>COUNTIF(AI273:AW273,"*OK*")</f>
        <v>0</v>
      </c>
      <c r="E273" s="471"/>
      <c r="F273" s="473" t="s">
        <v>869</v>
      </c>
      <c r="G273" s="473"/>
      <c r="H273" s="474"/>
      <c r="I273" s="474"/>
      <c r="J273" s="473"/>
      <c r="K273" s="473" t="s">
        <v>68</v>
      </c>
      <c r="L273" s="453" t="s">
        <v>461</v>
      </c>
      <c r="M273" s="473"/>
      <c r="N273" s="484" t="s">
        <v>65</v>
      </c>
      <c r="O273" s="477">
        <v>93.06</v>
      </c>
      <c r="P273" s="477">
        <v>90.16</v>
      </c>
      <c r="Q273" s="477">
        <v>88.61</v>
      </c>
      <c r="R273" s="478">
        <v>91.46</v>
      </c>
      <c r="S273" s="459">
        <v>87.073700000000002</v>
      </c>
      <c r="T273" s="487">
        <v>66.67</v>
      </c>
      <c r="U273" s="479"/>
      <c r="V273" s="480">
        <v>300</v>
      </c>
      <c r="W273" s="481"/>
      <c r="X273" s="493" t="s">
        <v>251</v>
      </c>
      <c r="Y273" s="483" t="s">
        <v>80</v>
      </c>
      <c r="Z273" s="484" t="s">
        <v>870</v>
      </c>
      <c r="AA273" s="480" t="s">
        <v>59</v>
      </c>
      <c r="AB273" s="474"/>
      <c r="AC273" s="471"/>
      <c r="AD273" s="471"/>
      <c r="AE273" s="471"/>
      <c r="AF273" s="471"/>
      <c r="AG273" s="471"/>
      <c r="AH273" s="494" t="s">
        <v>59</v>
      </c>
      <c r="AI273" s="467"/>
      <c r="AJ273" s="467"/>
      <c r="AK273" s="467"/>
      <c r="AL273" s="467"/>
      <c r="AM273" s="467"/>
      <c r="AN273" s="467"/>
      <c r="AO273" s="467"/>
      <c r="AP273" s="467"/>
      <c r="AQ273" s="467"/>
      <c r="AR273" s="467"/>
      <c r="AS273" s="467"/>
      <c r="AT273" s="467"/>
      <c r="AU273" s="467"/>
      <c r="AV273" s="467"/>
      <c r="AW273" s="467"/>
      <c r="AX273" s="467"/>
      <c r="AY273" s="486">
        <f>COUNTIF(AI273:AX273,"*OP*")</f>
        <v>0</v>
      </c>
      <c r="AZ273" s="485" t="s">
        <v>59</v>
      </c>
      <c r="BA273" s="471">
        <f>(COUNTIF(AI273:AK273,"*OK*")*3) + (COUNTIF(AL273:AN273,"*OK*")*2) + COUNTIF(AO273:AQ273,"*OK*")+COUNTIF(AZ273:AZ273,"SI")*0.5</f>
        <v>0</v>
      </c>
      <c r="BB273" s="471" t="str">
        <f>IF(BA273&lt;0.6,"Demasiado Riesgo",IF(BA273&lt;=5,"Riesgo Medio",IF(BA273&lt;=11,"Riesgo Bajo","Cliente Blindado")))</f>
        <v>Demasiado Riesgo</v>
      </c>
      <c r="BC273" s="471"/>
      <c r="BD273" s="471"/>
      <c r="BE273" s="471">
        <v>0</v>
      </c>
      <c r="BF273" s="471"/>
      <c r="BG273" s="471"/>
      <c r="BH273" s="471"/>
      <c r="BI273" s="471"/>
      <c r="BJ273" s="471"/>
      <c r="BK273" s="471"/>
      <c r="BL273" s="471"/>
      <c r="BM273" s="471"/>
      <c r="BN273" s="471"/>
      <c r="BO273" s="471"/>
      <c r="BP273" s="471"/>
      <c r="BQ273" s="471"/>
      <c r="BR273" s="471"/>
      <c r="BS273" s="471"/>
      <c r="BT273" s="471"/>
      <c r="BU273" s="471"/>
      <c r="BV273" s="471"/>
      <c r="BW273" s="471"/>
      <c r="BX273" s="471"/>
      <c r="BY273" s="471"/>
      <c r="BZ273" s="471"/>
      <c r="CA273" s="471">
        <f>COUNTIF(AI273:AW273,"*OK*")</f>
        <v>0</v>
      </c>
      <c r="CB273" s="471"/>
      <c r="CC273" s="471">
        <f>COUNTIF(AI273:AW273,"*OP*")</f>
        <v>0</v>
      </c>
    </row>
    <row r="274" spans="1:81" ht="15" customHeight="1">
      <c r="A274" s="449">
        <v>30729</v>
      </c>
      <c r="B274" s="450"/>
      <c r="C274" s="451">
        <f>T274</f>
        <v>67.540000000000006</v>
      </c>
      <c r="D274" s="450">
        <f>COUNTIF(AI274:AW274,"*OK*")</f>
        <v>0</v>
      </c>
      <c r="E274" s="450"/>
      <c r="F274" s="453" t="s">
        <v>871</v>
      </c>
      <c r="G274" s="453"/>
      <c r="H274" s="454"/>
      <c r="I274" s="454"/>
      <c r="J274" s="453"/>
      <c r="K274" s="453" t="s">
        <v>68</v>
      </c>
      <c r="L274" s="453" t="s">
        <v>461</v>
      </c>
      <c r="M274" s="453"/>
      <c r="N274" s="466" t="s">
        <v>500</v>
      </c>
      <c r="O274" s="457">
        <v>72.17</v>
      </c>
      <c r="P274" s="457">
        <v>68.5</v>
      </c>
      <c r="Q274" s="457">
        <v>58.41</v>
      </c>
      <c r="R274" s="458">
        <v>67.38</v>
      </c>
      <c r="S274" s="459">
        <v>68.284800000000004</v>
      </c>
      <c r="T274" s="469">
        <v>67.540000000000006</v>
      </c>
      <c r="U274" s="461"/>
      <c r="V274" s="462">
        <v>200</v>
      </c>
      <c r="W274" s="463"/>
      <c r="X274" s="567" t="s">
        <v>70</v>
      </c>
      <c r="Y274" s="465" t="s">
        <v>241</v>
      </c>
      <c r="Z274" s="466" t="s">
        <v>872</v>
      </c>
      <c r="AA274" s="462" t="s">
        <v>241</v>
      </c>
      <c r="AB274" s="454"/>
      <c r="AC274" s="450"/>
      <c r="AD274" s="450"/>
      <c r="AE274" s="450"/>
      <c r="AF274" s="450"/>
      <c r="AG274" s="450"/>
      <c r="AH274" s="496" t="s">
        <v>59</v>
      </c>
      <c r="AI274" s="467"/>
      <c r="AJ274" s="467"/>
      <c r="AK274" s="467"/>
      <c r="AL274" s="467"/>
      <c r="AM274" s="467"/>
      <c r="AN274" s="467"/>
      <c r="AO274" s="467"/>
      <c r="AP274" s="467"/>
      <c r="AQ274" s="467"/>
      <c r="AR274" s="467"/>
      <c r="AS274" s="467"/>
      <c r="AT274" s="467"/>
      <c r="AU274" s="467"/>
      <c r="AV274" s="467"/>
      <c r="AW274" s="467"/>
      <c r="AX274" s="467"/>
      <c r="AY274" s="486">
        <f>COUNTIF(AI274:AX274,"*OP*")</f>
        <v>0</v>
      </c>
      <c r="AZ274" s="499" t="s">
        <v>59</v>
      </c>
      <c r="BA274" s="450">
        <f>(COUNTIF(AI274:AK274,"*OK*")*3) + (COUNTIF(AL274:AN274,"*OK*")*2) + COUNTIF(AO274:AQ274,"*OK*")+COUNTIF(AZ274:AZ274,"SI")*0.5</f>
        <v>0</v>
      </c>
      <c r="BB274" s="450" t="str">
        <f>IF(BA274&lt;0.6,"Demasiado Riesgo",IF(BA274&lt;=5,"Riesgo Medio",IF(BA274&lt;=11,"Riesgo Bajo","Cliente Blindado")))</f>
        <v>Demasiado Riesgo</v>
      </c>
      <c r="BC274" s="450"/>
      <c r="BD274" s="450"/>
      <c r="BE274" s="450">
        <v>0</v>
      </c>
      <c r="BF274" s="450"/>
      <c r="BG274" s="450"/>
      <c r="BH274" s="450"/>
      <c r="BI274" s="450"/>
      <c r="BJ274" s="450"/>
      <c r="BK274" s="450"/>
      <c r="BL274" s="450"/>
      <c r="BM274" s="450"/>
      <c r="BN274" s="450"/>
      <c r="BO274" s="450"/>
      <c r="BP274" s="450"/>
      <c r="BQ274" s="450"/>
      <c r="BR274" s="450"/>
      <c r="BS274" s="450"/>
      <c r="BT274" s="450"/>
      <c r="BU274" s="450"/>
      <c r="BV274" s="450"/>
      <c r="BW274" s="450"/>
      <c r="BX274" s="450"/>
      <c r="BY274" s="450"/>
      <c r="BZ274" s="450"/>
      <c r="CA274" s="450">
        <f>COUNTIF(AI274:AW274,"*OK*")</f>
        <v>0</v>
      </c>
      <c r="CB274" s="450"/>
      <c r="CC274" s="450">
        <f>COUNTIF(AI274:AW274,"*OP*")</f>
        <v>0</v>
      </c>
    </row>
    <row r="275" spans="1:81" ht="15" customHeight="1">
      <c r="A275" s="470"/>
      <c r="B275" s="471"/>
      <c r="C275" s="451">
        <f>T275</f>
        <v>67.64</v>
      </c>
      <c r="D275" s="471">
        <f>COUNTIF(AI275:AW275,"*OK*")</f>
        <v>0</v>
      </c>
      <c r="E275" s="471"/>
      <c r="F275" s="473" t="s">
        <v>873</v>
      </c>
      <c r="G275" s="473"/>
      <c r="H275" s="474"/>
      <c r="I275" s="474"/>
      <c r="J275" s="473"/>
      <c r="K275" s="473" t="s">
        <v>68</v>
      </c>
      <c r="L275" s="453" t="s">
        <v>461</v>
      </c>
      <c r="M275" s="473"/>
      <c r="N275" s="484" t="s">
        <v>156</v>
      </c>
      <c r="O275" s="477">
        <v>77.25</v>
      </c>
      <c r="P275" s="477">
        <v>68.599999999999994</v>
      </c>
      <c r="Q275" s="477">
        <v>65.38</v>
      </c>
      <c r="R275" s="478">
        <v>67.48</v>
      </c>
      <c r="S275" s="459">
        <v>68.3917</v>
      </c>
      <c r="T275" s="487">
        <v>67.64</v>
      </c>
      <c r="U275" s="479"/>
      <c r="V275" s="480">
        <v>100</v>
      </c>
      <c r="W275" s="481"/>
      <c r="X275" s="572" t="s">
        <v>70</v>
      </c>
      <c r="Y275" s="483" t="s">
        <v>71</v>
      </c>
      <c r="Z275" s="484" t="s">
        <v>874</v>
      </c>
      <c r="AA275" s="480" t="s">
        <v>71</v>
      </c>
      <c r="AB275" s="474"/>
      <c r="AC275" s="471"/>
      <c r="AD275" s="471"/>
      <c r="AE275" s="471"/>
      <c r="AF275" s="471"/>
      <c r="AG275" s="471"/>
      <c r="AH275" s="494" t="s">
        <v>59</v>
      </c>
      <c r="AI275" s="467"/>
      <c r="AJ275" s="467"/>
      <c r="AK275" s="467"/>
      <c r="AL275" s="467"/>
      <c r="AM275" s="467"/>
      <c r="AN275" s="467"/>
      <c r="AO275" s="467"/>
      <c r="AP275" s="467"/>
      <c r="AQ275" s="467"/>
      <c r="AR275" s="467"/>
      <c r="AS275" s="467"/>
      <c r="AT275" s="467"/>
      <c r="AU275" s="467"/>
      <c r="AV275" s="467"/>
      <c r="AW275" s="467"/>
      <c r="AX275" s="467"/>
      <c r="AY275" s="486">
        <f>COUNTIF(AI275:AX275,"*OP*")</f>
        <v>0</v>
      </c>
      <c r="AZ275" s="485" t="s">
        <v>59</v>
      </c>
      <c r="BA275" s="471">
        <f>(COUNTIF(AI275:AK275,"*OK*")*3) + (COUNTIF(AL275:AN275,"*OK*")*2) + COUNTIF(AO275:AQ275,"*OK*")+COUNTIF(AZ275:AZ275,"SI")*0.5</f>
        <v>0</v>
      </c>
      <c r="BB275" s="471" t="str">
        <f>IF(BA275&lt;0.6,"Demasiado Riesgo",IF(BA275&lt;=5,"Riesgo Medio",IF(BA275&lt;=11,"Riesgo Bajo","Cliente Blindado")))</f>
        <v>Demasiado Riesgo</v>
      </c>
      <c r="BC275" s="471"/>
      <c r="BD275" s="471"/>
      <c r="BE275" s="471">
        <v>0</v>
      </c>
      <c r="BF275" s="471"/>
      <c r="BG275" s="471"/>
      <c r="BH275" s="471"/>
      <c r="BI275" s="471"/>
      <c r="BJ275" s="471"/>
      <c r="BK275" s="471"/>
      <c r="BL275" s="471"/>
      <c r="BM275" s="471"/>
      <c r="BN275" s="471"/>
      <c r="BO275" s="471"/>
      <c r="BP275" s="471"/>
      <c r="BQ275" s="471"/>
      <c r="BR275" s="471"/>
      <c r="BS275" s="471"/>
      <c r="BT275" s="471"/>
      <c r="BU275" s="471"/>
      <c r="BV275" s="471"/>
      <c r="BW275" s="471"/>
      <c r="BX275" s="471"/>
      <c r="BY275" s="471"/>
      <c r="BZ275" s="471"/>
      <c r="CA275" s="471">
        <f>COUNTIF(AI275:AW275,"*OK*")</f>
        <v>0</v>
      </c>
      <c r="CB275" s="471"/>
      <c r="CC275" s="471">
        <f>COUNTIF(AI275:AW275,"*OP*")</f>
        <v>0</v>
      </c>
    </row>
    <row r="276" spans="1:81" ht="15" customHeight="1">
      <c r="A276" s="470">
        <v>27911</v>
      </c>
      <c r="B276" s="471"/>
      <c r="C276" s="451">
        <f>T276</f>
        <v>68.13</v>
      </c>
      <c r="D276" s="471">
        <f>COUNTIF(AI276:AW276,"*OK*")</f>
        <v>0</v>
      </c>
      <c r="E276" s="471"/>
      <c r="F276" s="473" t="s">
        <v>875</v>
      </c>
      <c r="G276" s="473"/>
      <c r="H276" s="474"/>
      <c r="I276" s="474"/>
      <c r="J276" s="473"/>
      <c r="K276" s="473" t="s">
        <v>68</v>
      </c>
      <c r="L276" s="453" t="s">
        <v>461</v>
      </c>
      <c r="M276" s="473"/>
      <c r="N276" s="484" t="s">
        <v>160</v>
      </c>
      <c r="O276" s="477">
        <v>57.13</v>
      </c>
      <c r="P276" s="477">
        <v>60.08</v>
      </c>
      <c r="Q276" s="477">
        <v>57.26</v>
      </c>
      <c r="R276" s="478">
        <v>56.15</v>
      </c>
      <c r="S276" s="459">
        <v>68.881600000000006</v>
      </c>
      <c r="T276" s="487">
        <v>68.13</v>
      </c>
      <c r="U276" s="479"/>
      <c r="V276" s="480">
        <v>50</v>
      </c>
      <c r="W276" s="481"/>
      <c r="X276" s="482" t="s">
        <v>70</v>
      </c>
      <c r="Y276" s="483" t="s">
        <v>71</v>
      </c>
      <c r="Z276" s="484" t="s">
        <v>876</v>
      </c>
      <c r="AA276" s="480" t="s">
        <v>233</v>
      </c>
      <c r="AB276" s="474"/>
      <c r="AC276" s="471"/>
      <c r="AD276" s="471"/>
      <c r="AE276" s="471"/>
      <c r="AF276" s="471"/>
      <c r="AG276" s="471"/>
      <c r="AH276" s="494" t="s">
        <v>59</v>
      </c>
      <c r="AI276" s="467"/>
      <c r="AJ276" s="467"/>
      <c r="AK276" s="467"/>
      <c r="AL276" s="467"/>
      <c r="AM276" s="467"/>
      <c r="AN276" s="467"/>
      <c r="AO276" s="467"/>
      <c r="AP276" s="467"/>
      <c r="AQ276" s="467"/>
      <c r="AR276" s="467"/>
      <c r="AS276" s="467"/>
      <c r="AT276" s="467"/>
      <c r="AU276" s="467"/>
      <c r="AV276" s="467"/>
      <c r="AW276" s="467"/>
      <c r="AX276" s="467"/>
      <c r="AY276" s="486">
        <f>COUNTIF(AI276:AX276,"*OP*")</f>
        <v>0</v>
      </c>
      <c r="AZ276" s="485" t="s">
        <v>59</v>
      </c>
      <c r="BA276" s="471">
        <f>(COUNTIF(AI276:AK276,"*OK*")*3) + (COUNTIF(AL276:AN276,"*OK*")*2) + COUNTIF(AO276:AQ276,"*OK*")+COUNTIF(AZ276:AZ276,"SI")*0.5</f>
        <v>0</v>
      </c>
      <c r="BB276" s="471" t="str">
        <f>IF(BA276&lt;0.6,"Demasiado Riesgo",IF(BA276&lt;=5,"Riesgo Medio",IF(BA276&lt;=11,"Riesgo Bajo","Cliente Blindado")))</f>
        <v>Demasiado Riesgo</v>
      </c>
      <c r="BC276" s="471"/>
      <c r="BD276" s="471"/>
      <c r="BE276" s="471">
        <v>0</v>
      </c>
      <c r="BF276" s="471"/>
      <c r="BG276" s="471"/>
      <c r="BH276" s="471"/>
      <c r="BI276" s="471"/>
      <c r="BJ276" s="471"/>
      <c r="BK276" s="471"/>
      <c r="BL276" s="471"/>
      <c r="BM276" s="471"/>
      <c r="BN276" s="471"/>
      <c r="BO276" s="471"/>
      <c r="BP276" s="471"/>
      <c r="BQ276" s="471"/>
      <c r="BR276" s="471"/>
      <c r="BS276" s="471"/>
      <c r="BT276" s="471"/>
      <c r="BU276" s="471"/>
      <c r="BV276" s="471"/>
      <c r="BW276" s="471"/>
      <c r="BX276" s="471"/>
      <c r="BY276" s="471"/>
      <c r="BZ276" s="471"/>
      <c r="CA276" s="471">
        <f>COUNTIF(AI276:AW276,"*OK*")</f>
        <v>0</v>
      </c>
      <c r="CB276" s="471"/>
      <c r="CC276" s="471">
        <f>COUNTIF(AI276:AW276,"*OP*")</f>
        <v>0</v>
      </c>
    </row>
    <row r="277" spans="1:81" ht="15" customHeight="1">
      <c r="A277" s="470">
        <v>36210</v>
      </c>
      <c r="B277" s="471"/>
      <c r="C277" s="451">
        <f>T277</f>
        <v>68.569999999999993</v>
      </c>
      <c r="D277" s="471">
        <f>COUNTIF(AI277:AW277,"*OK*")</f>
        <v>0</v>
      </c>
      <c r="E277" s="471"/>
      <c r="F277" s="473" t="s">
        <v>877</v>
      </c>
      <c r="G277" s="473"/>
      <c r="H277" s="474"/>
      <c r="I277" s="474"/>
      <c r="J277" s="473"/>
      <c r="K277" s="475" t="s">
        <v>68</v>
      </c>
      <c r="L277" s="453" t="s">
        <v>461</v>
      </c>
      <c r="M277" s="473"/>
      <c r="N277" s="484" t="s">
        <v>156</v>
      </c>
      <c r="O277" s="477"/>
      <c r="P277" s="477">
        <v>69.540000000000006</v>
      </c>
      <c r="Q277" s="477">
        <v>66.27</v>
      </c>
      <c r="R277" s="478">
        <v>68.400000000000006</v>
      </c>
      <c r="S277" s="459">
        <v>69.325299999999999</v>
      </c>
      <c r="T277" s="487">
        <v>68.569999999999993</v>
      </c>
      <c r="U277" s="479"/>
      <c r="V277" s="480">
        <v>100</v>
      </c>
      <c r="W277" s="481"/>
      <c r="X277" s="493" t="s">
        <v>828</v>
      </c>
      <c r="Y277" s="483" t="s">
        <v>80</v>
      </c>
      <c r="Z277" s="484" t="s">
        <v>878</v>
      </c>
      <c r="AA277" s="480" t="s">
        <v>71</v>
      </c>
      <c r="AB277" s="474"/>
      <c r="AC277" s="471"/>
      <c r="AD277" s="471"/>
      <c r="AE277" s="471"/>
      <c r="AF277" s="471"/>
      <c r="AG277" s="471"/>
      <c r="AH277" s="494" t="s">
        <v>59</v>
      </c>
      <c r="AI277" s="467"/>
      <c r="AJ277" s="467"/>
      <c r="AK277" s="467"/>
      <c r="AL277" s="467"/>
      <c r="AM277" s="467"/>
      <c r="AN277" s="467"/>
      <c r="AO277" s="467"/>
      <c r="AP277" s="467"/>
      <c r="AQ277" s="467"/>
      <c r="AR277" s="467"/>
      <c r="AS277" s="467"/>
      <c r="AT277" s="467"/>
      <c r="AU277" s="467"/>
      <c r="AV277" s="467"/>
      <c r="AW277" s="467"/>
      <c r="AX277" s="467"/>
      <c r="AY277" s="486">
        <f>COUNTIF(AI277:AX277,"*OP*")</f>
        <v>0</v>
      </c>
      <c r="AZ277" s="485" t="s">
        <v>59</v>
      </c>
      <c r="BA277" s="471">
        <f>(COUNTIF(AI277:AK277,"*OK*")*3) + (COUNTIF(AL277:AN277,"*OK*")*2) + COUNTIF(AO277:AQ277,"*OK*")+COUNTIF(AZ277:AZ277,"SI")*0.5</f>
        <v>0</v>
      </c>
      <c r="BB277" s="471" t="str">
        <f>IF(BA277&lt;0.6,"Demasiado Riesgo",IF(BA277&lt;=5,"Riesgo Medio",IF(BA277&lt;=11,"Riesgo Bajo","Cliente Blindado")))</f>
        <v>Demasiado Riesgo</v>
      </c>
      <c r="BC277" s="471"/>
      <c r="BD277" s="471"/>
      <c r="BE277" s="471">
        <v>0</v>
      </c>
      <c r="BF277" s="471"/>
      <c r="BG277" s="471"/>
      <c r="BH277" s="471"/>
      <c r="BI277" s="471"/>
      <c r="BJ277" s="471"/>
      <c r="BK277" s="471"/>
      <c r="BL277" s="471"/>
      <c r="BM277" s="471"/>
      <c r="BN277" s="471"/>
      <c r="BO277" s="471"/>
      <c r="BP277" s="471"/>
      <c r="BQ277" s="471"/>
      <c r="BR277" s="471"/>
      <c r="BS277" s="471"/>
      <c r="BT277" s="471"/>
      <c r="BU277" s="471"/>
      <c r="BV277" s="471"/>
      <c r="BW277" s="471"/>
      <c r="BX277" s="471"/>
      <c r="BY277" s="471"/>
      <c r="BZ277" s="471"/>
      <c r="CA277" s="471">
        <f>COUNTIF(AI277:AW277,"*OK*")</f>
        <v>0</v>
      </c>
      <c r="CB277" s="471"/>
      <c r="CC277" s="471">
        <f>COUNTIF(AI277:AW277,"*OP*")</f>
        <v>0</v>
      </c>
    </row>
    <row r="278" spans="1:81" ht="15" customHeight="1">
      <c r="A278" s="449">
        <v>35881</v>
      </c>
      <c r="B278" s="450"/>
      <c r="C278" s="451">
        <f>T278</f>
        <v>69.14</v>
      </c>
      <c r="D278" s="450">
        <f>COUNTIF(AI278:AW278,"*OK*")</f>
        <v>0</v>
      </c>
      <c r="E278" s="450"/>
      <c r="F278" s="453" t="s">
        <v>879</v>
      </c>
      <c r="G278" s="453"/>
      <c r="H278" s="454"/>
      <c r="I278" s="454"/>
      <c r="J278" s="453"/>
      <c r="K278" s="455" t="s">
        <v>68</v>
      </c>
      <c r="L278" s="453" t="s">
        <v>461</v>
      </c>
      <c r="M278" s="453"/>
      <c r="N278" s="466" t="s">
        <v>191</v>
      </c>
      <c r="O278" s="457"/>
      <c r="P278" s="457">
        <v>66.930000000000007</v>
      </c>
      <c r="Q278" s="457">
        <v>66.819999999999993</v>
      </c>
      <c r="R278" s="458">
        <v>72.11</v>
      </c>
      <c r="S278" s="459">
        <v>69.903000000000006</v>
      </c>
      <c r="T278" s="469">
        <v>69.14</v>
      </c>
      <c r="U278" s="461"/>
      <c r="V278" s="462">
        <v>50</v>
      </c>
      <c r="W278" s="463"/>
      <c r="X278" s="562" t="s">
        <v>70</v>
      </c>
      <c r="Y278" s="465" t="s">
        <v>150</v>
      </c>
      <c r="Z278" s="466" t="s">
        <v>880</v>
      </c>
      <c r="AA278" s="462" t="s">
        <v>132</v>
      </c>
      <c r="AB278" s="454"/>
      <c r="AC278" s="450"/>
      <c r="AD278" s="450"/>
      <c r="AE278" s="450"/>
      <c r="AF278" s="450"/>
      <c r="AG278" s="450"/>
      <c r="AH278" s="496" t="s">
        <v>59</v>
      </c>
      <c r="AI278" s="467"/>
      <c r="AJ278" s="467"/>
      <c r="AK278" s="467"/>
      <c r="AL278" s="467"/>
      <c r="AM278" s="467"/>
      <c r="AN278" s="467"/>
      <c r="AO278" s="467"/>
      <c r="AP278" s="467"/>
      <c r="AQ278" s="467"/>
      <c r="AR278" s="467"/>
      <c r="AS278" s="467"/>
      <c r="AT278" s="467"/>
      <c r="AU278" s="467"/>
      <c r="AV278" s="467"/>
      <c r="AW278" s="467"/>
      <c r="AX278" s="467"/>
      <c r="AY278" s="486">
        <f>COUNTIF(AI278:AX278,"*OP*")</f>
        <v>0</v>
      </c>
      <c r="AZ278" s="499" t="s">
        <v>59</v>
      </c>
      <c r="BA278" s="450">
        <f>(COUNTIF(AI278:AK278,"*OK*")*3) + (COUNTIF(AL278:AN278,"*OK*")*2) + COUNTIF(AO278:AQ278,"*OK*")+COUNTIF(AZ278:AZ278,"SI")*0.5</f>
        <v>0</v>
      </c>
      <c r="BB278" s="450" t="str">
        <f>IF(BA278&lt;0.6,"Demasiado Riesgo",IF(BA278&lt;=5,"Riesgo Medio",IF(BA278&lt;=11,"Riesgo Bajo","Cliente Blindado")))</f>
        <v>Demasiado Riesgo</v>
      </c>
      <c r="BC278" s="450"/>
      <c r="BD278" s="450"/>
      <c r="BE278" s="450">
        <v>0</v>
      </c>
      <c r="BF278" s="450"/>
      <c r="BG278" s="450"/>
      <c r="BH278" s="450"/>
      <c r="BI278" s="450"/>
      <c r="BJ278" s="450"/>
      <c r="BK278" s="450"/>
      <c r="BL278" s="450"/>
      <c r="BM278" s="450"/>
      <c r="BN278" s="450"/>
      <c r="BO278" s="450"/>
      <c r="BP278" s="450"/>
      <c r="BQ278" s="450"/>
      <c r="BR278" s="450"/>
      <c r="BS278" s="450"/>
      <c r="BT278" s="450"/>
      <c r="BU278" s="450"/>
      <c r="BV278" s="450"/>
      <c r="BW278" s="450"/>
      <c r="BX278" s="450"/>
      <c r="BY278" s="450"/>
      <c r="BZ278" s="450"/>
      <c r="CA278" s="450">
        <f>COUNTIF(AI278:AW278,"*OK*")</f>
        <v>0</v>
      </c>
      <c r="CB278" s="450"/>
      <c r="CC278" s="450">
        <f>COUNTIF(AI278:AW278,"*OP*")</f>
        <v>0</v>
      </c>
    </row>
    <row r="279" spans="1:81" ht="15" customHeight="1">
      <c r="A279" s="449"/>
      <c r="B279" s="450"/>
      <c r="C279" s="451">
        <f>T279</f>
        <v>69.319999999999993</v>
      </c>
      <c r="D279" s="450">
        <f>COUNTIF(AI279:AW279,"*OK*")</f>
        <v>0</v>
      </c>
      <c r="E279" s="450"/>
      <c r="F279" s="453" t="s">
        <v>881</v>
      </c>
      <c r="G279" s="453"/>
      <c r="H279" s="454"/>
      <c r="I279" s="454"/>
      <c r="J279" s="453"/>
      <c r="K279" s="455" t="s">
        <v>68</v>
      </c>
      <c r="L279" s="453" t="s">
        <v>461</v>
      </c>
      <c r="M279" s="453"/>
      <c r="N279" s="456" t="s">
        <v>65</v>
      </c>
      <c r="O279" s="457">
        <v>68.81</v>
      </c>
      <c r="P279" s="457">
        <v>68.739999999999995</v>
      </c>
      <c r="Q279" s="457">
        <v>67</v>
      </c>
      <c r="R279" s="458">
        <v>69.16</v>
      </c>
      <c r="S279" s="459">
        <v>73.2029</v>
      </c>
      <c r="T279" s="469">
        <v>69.319999999999993</v>
      </c>
      <c r="U279" s="461"/>
      <c r="V279" s="462">
        <v>100</v>
      </c>
      <c r="W279" s="463"/>
      <c r="X279" s="567" t="s">
        <v>70</v>
      </c>
      <c r="Y279" s="465" t="s">
        <v>89</v>
      </c>
      <c r="Z279" s="466" t="s">
        <v>882</v>
      </c>
      <c r="AA279" s="462" t="s">
        <v>59</v>
      </c>
      <c r="AB279" s="454"/>
      <c r="AC279" s="450"/>
      <c r="AD279" s="450"/>
      <c r="AE279" s="450"/>
      <c r="AF279" s="450"/>
      <c r="AG279" s="450"/>
      <c r="AH279" s="496" t="s">
        <v>59</v>
      </c>
      <c r="AI279" s="467"/>
      <c r="AJ279" s="467"/>
      <c r="AK279" s="467"/>
      <c r="AL279" s="467"/>
      <c r="AM279" s="467"/>
      <c r="AN279" s="467"/>
      <c r="AO279" s="467"/>
      <c r="AP279" s="467"/>
      <c r="AQ279" s="467"/>
      <c r="AR279" s="467"/>
      <c r="AS279" s="467"/>
      <c r="AT279" s="467"/>
      <c r="AU279" s="467"/>
      <c r="AV279" s="467"/>
      <c r="AW279" s="467"/>
      <c r="AX279" s="467"/>
      <c r="AY279" s="486">
        <f>COUNTIF(AI279:AX279,"*OP*")</f>
        <v>0</v>
      </c>
      <c r="AZ279" s="499" t="s">
        <v>59</v>
      </c>
      <c r="BA279" s="450">
        <f>(COUNTIF(AI279:AK279,"*OK*")*3) + (COUNTIF(AL279:AN279,"*OK*")*2) + COUNTIF(AO279:AQ279,"*OK*")+COUNTIF(AZ279:AZ279,"SI")*0.5</f>
        <v>0</v>
      </c>
      <c r="BB279" s="450" t="str">
        <f>IF(BA279&lt;0.6,"Demasiado Riesgo",IF(BA279&lt;=5,"Riesgo Medio",IF(BA279&lt;=11,"Riesgo Bajo","Cliente Blindado")))</f>
        <v>Demasiado Riesgo</v>
      </c>
      <c r="BC279" s="450"/>
      <c r="BD279" s="450"/>
      <c r="BE279" s="450">
        <v>0</v>
      </c>
      <c r="BF279" s="450"/>
      <c r="BG279" s="450"/>
      <c r="BH279" s="450"/>
      <c r="BI279" s="450"/>
      <c r="BJ279" s="450"/>
      <c r="BK279" s="450"/>
      <c r="BL279" s="450"/>
      <c r="BM279" s="450"/>
      <c r="BN279" s="450"/>
      <c r="BO279" s="450"/>
      <c r="BP279" s="450"/>
      <c r="BQ279" s="450"/>
      <c r="BR279" s="450"/>
      <c r="BS279" s="450"/>
      <c r="BT279" s="450"/>
      <c r="BU279" s="450"/>
      <c r="BV279" s="450"/>
      <c r="BW279" s="450"/>
      <c r="BX279" s="450"/>
      <c r="BY279" s="450"/>
      <c r="BZ279" s="450"/>
      <c r="CA279" s="450">
        <f>COUNTIF(AI279:AW279,"*OK*")</f>
        <v>0</v>
      </c>
      <c r="CB279" s="450"/>
      <c r="CC279" s="450">
        <f>COUNTIF(AI279:AW279,"*OP*")</f>
        <v>0</v>
      </c>
    </row>
    <row r="280" spans="1:81" ht="15" customHeight="1">
      <c r="A280" s="449"/>
      <c r="B280" s="450"/>
      <c r="C280" s="451">
        <f>T280</f>
        <v>71.989999999999995</v>
      </c>
      <c r="D280" s="450">
        <f>COUNTIF(AM280:AX280,"OK")</f>
        <v>0</v>
      </c>
      <c r="E280" s="450"/>
      <c r="F280" s="450" t="s">
        <v>883</v>
      </c>
      <c r="G280" s="450"/>
      <c r="H280" s="454"/>
      <c r="I280" s="454"/>
      <c r="J280" s="450"/>
      <c r="K280" s="501" t="s">
        <v>68</v>
      </c>
      <c r="L280" s="453" t="s">
        <v>461</v>
      </c>
      <c r="M280" s="471"/>
      <c r="N280" s="466"/>
      <c r="O280" s="457"/>
      <c r="P280" s="457"/>
      <c r="Q280" s="457"/>
      <c r="R280" s="458"/>
      <c r="S280" s="459">
        <v>93.011499999999998</v>
      </c>
      <c r="T280" s="498">
        <v>71.989999999999995</v>
      </c>
      <c r="U280" s="461"/>
      <c r="V280" s="462" t="s">
        <v>59</v>
      </c>
      <c r="W280" s="450"/>
      <c r="X280" s="464"/>
      <c r="Y280" s="465"/>
      <c r="Z280" s="466"/>
      <c r="AA280" s="496" t="s">
        <v>59</v>
      </c>
      <c r="AB280" s="454"/>
      <c r="AC280" s="450"/>
      <c r="AD280" s="450"/>
      <c r="AE280" s="450"/>
      <c r="AF280" s="450"/>
      <c r="AG280" s="450"/>
      <c r="AH280" s="617"/>
      <c r="AI280" s="618"/>
      <c r="AJ280" s="618"/>
      <c r="AK280" s="618"/>
      <c r="AL280" s="618"/>
      <c r="AM280" s="618"/>
      <c r="AN280" s="618"/>
      <c r="AO280" s="618"/>
      <c r="AP280" s="618"/>
      <c r="AQ280" s="618"/>
      <c r="AR280" s="618"/>
      <c r="AS280" s="618"/>
      <c r="AT280" s="618"/>
      <c r="AU280" s="618"/>
      <c r="AV280" s="618"/>
      <c r="AW280" s="618"/>
      <c r="AX280" s="618"/>
      <c r="AY280" s="619">
        <f>COUNTIF(AI280:AX280,"*OP*")</f>
        <v>0</v>
      </c>
      <c r="AZ280" s="620"/>
      <c r="BA280" s="450">
        <f>(COUNTIF(AI280:AK280,"*OK*")*3) + (COUNTIF(AL280:AN280,"*OK*")*2) + COUNTIF(AO280:AQ280,"*OK*")+COUNTIF(AZ280:AZ280,"SI")*0.5</f>
        <v>0</v>
      </c>
      <c r="BB280" s="450" t="str">
        <f>IF(BA280&lt;0.6,"Demasiado Riesgo",IF(BA280&lt;=5,"Riesgo Medio",IF(BA280&lt;=11,"Riesgo Bajo","Cliente Blindado")))</f>
        <v>Demasiado Riesgo</v>
      </c>
      <c r="BC280" s="450"/>
      <c r="BD280" s="450"/>
      <c r="BE280" s="450"/>
      <c r="BF280" s="450"/>
      <c r="BG280" s="450"/>
      <c r="BH280" s="450"/>
      <c r="BI280" s="450"/>
      <c r="BJ280" s="450"/>
      <c r="BK280" s="450"/>
      <c r="BL280" s="450"/>
      <c r="BM280" s="450"/>
      <c r="BN280" s="450"/>
      <c r="BO280" s="450"/>
      <c r="BP280" s="450"/>
      <c r="BQ280" s="450"/>
      <c r="BR280" s="450"/>
      <c r="BS280" s="450"/>
      <c r="BT280" s="450"/>
      <c r="BU280" s="450"/>
      <c r="BV280" s="450"/>
      <c r="BW280" s="450"/>
      <c r="BX280" s="450"/>
      <c r="BY280" s="450"/>
      <c r="BZ280" s="450"/>
      <c r="CA280" s="450">
        <f>COUNTIF(AI280:AW280,"*OK*")</f>
        <v>0</v>
      </c>
      <c r="CB280" s="450"/>
      <c r="CC280" s="450"/>
    </row>
    <row r="281" spans="1:81" ht="15" customHeight="1">
      <c r="A281" s="470">
        <v>36212</v>
      </c>
      <c r="B281" s="471"/>
      <c r="C281" s="451">
        <f>T281</f>
        <v>72.28</v>
      </c>
      <c r="D281" s="471">
        <f>COUNTIF(AI281:AW281,"*OK*")</f>
        <v>0</v>
      </c>
      <c r="E281" s="471"/>
      <c r="F281" s="473" t="s">
        <v>884</v>
      </c>
      <c r="G281" s="473"/>
      <c r="H281" s="474"/>
      <c r="I281" s="474"/>
      <c r="J281" s="473"/>
      <c r="K281" s="475" t="s">
        <v>68</v>
      </c>
      <c r="L281" s="453" t="s">
        <v>461</v>
      </c>
      <c r="M281" s="473"/>
      <c r="N281" s="484" t="s">
        <v>103</v>
      </c>
      <c r="O281" s="477"/>
      <c r="P281" s="477">
        <v>79.680000000000007</v>
      </c>
      <c r="Q281" s="477">
        <v>69.86</v>
      </c>
      <c r="R281" s="478">
        <v>84.65</v>
      </c>
      <c r="S281" s="459">
        <v>101.6771</v>
      </c>
      <c r="T281" s="487">
        <v>72.28</v>
      </c>
      <c r="U281" s="479"/>
      <c r="V281" s="480">
        <v>50</v>
      </c>
      <c r="W281" s="481"/>
      <c r="X281" s="572" t="s">
        <v>70</v>
      </c>
      <c r="Y281" s="483" t="s">
        <v>299</v>
      </c>
      <c r="Z281" s="484" t="s">
        <v>885</v>
      </c>
      <c r="AA281" s="480" t="s">
        <v>59</v>
      </c>
      <c r="AB281" s="474"/>
      <c r="AC281" s="471"/>
      <c r="AD281" s="471"/>
      <c r="AE281" s="471"/>
      <c r="AF281" s="471"/>
      <c r="AG281" s="471"/>
      <c r="AH281" s="494" t="s">
        <v>59</v>
      </c>
      <c r="AI281" s="467"/>
      <c r="AJ281" s="467"/>
      <c r="AK281" s="467"/>
      <c r="AL281" s="467"/>
      <c r="AM281" s="467"/>
      <c r="AN281" s="467"/>
      <c r="AO281" s="467"/>
      <c r="AP281" s="467"/>
      <c r="AQ281" s="467"/>
      <c r="AR281" s="467"/>
      <c r="AS281" s="467"/>
      <c r="AT281" s="467"/>
      <c r="AU281" s="467"/>
      <c r="AV281" s="467"/>
      <c r="AW281" s="467"/>
      <c r="AX281" s="467"/>
      <c r="AY281" s="486">
        <f>COUNTIF(AI281:AX281,"*OP*")</f>
        <v>0</v>
      </c>
      <c r="AZ281" s="485" t="s">
        <v>59</v>
      </c>
      <c r="BA281" s="471">
        <f>(COUNTIF(AI281:AK281,"*OK*")*3) + (COUNTIF(AL281:AN281,"*OK*")*2) + COUNTIF(AO281:AQ281,"*OK*")+COUNTIF(AZ281:AZ281,"SI")*0.5</f>
        <v>0</v>
      </c>
      <c r="BB281" s="471" t="str">
        <f>IF(BA281&lt;0.6,"Demasiado Riesgo",IF(BA281&lt;=5,"Riesgo Medio",IF(BA281&lt;=11,"Riesgo Bajo","Cliente Blindado")))</f>
        <v>Demasiado Riesgo</v>
      </c>
      <c r="BC281" s="471"/>
      <c r="BD281" s="471"/>
      <c r="BE281" s="471">
        <v>0</v>
      </c>
      <c r="BF281" s="471"/>
      <c r="BG281" s="471"/>
      <c r="BH281" s="471"/>
      <c r="BI281" s="471"/>
      <c r="BJ281" s="471"/>
      <c r="BK281" s="471"/>
      <c r="BL281" s="471"/>
      <c r="BM281" s="471"/>
      <c r="BN281" s="471"/>
      <c r="BO281" s="471"/>
      <c r="BP281" s="471"/>
      <c r="BQ281" s="471"/>
      <c r="BR281" s="471"/>
      <c r="BS281" s="471"/>
      <c r="BT281" s="471"/>
      <c r="BU281" s="471"/>
      <c r="BV281" s="471"/>
      <c r="BW281" s="471"/>
      <c r="BX281" s="471"/>
      <c r="BY281" s="471"/>
      <c r="BZ281" s="471"/>
      <c r="CA281" s="471">
        <f>COUNTIF(AI281:AW281,"*OK*")</f>
        <v>0</v>
      </c>
      <c r="CB281" s="471"/>
      <c r="CC281" s="471">
        <f>COUNTIF(AI281:AW281,"*OP*")</f>
        <v>0</v>
      </c>
    </row>
    <row r="282" spans="1:81" ht="15" customHeight="1">
      <c r="A282" s="470">
        <v>22223</v>
      </c>
      <c r="B282" s="471"/>
      <c r="C282" s="451">
        <f>T282</f>
        <v>73.5</v>
      </c>
      <c r="D282" s="471">
        <f>COUNTIF(AI282:AW282,"*OK*")</f>
        <v>0</v>
      </c>
      <c r="E282" s="471"/>
      <c r="F282" s="473" t="s">
        <v>886</v>
      </c>
      <c r="G282" s="473"/>
      <c r="H282" s="474"/>
      <c r="I282" s="474"/>
      <c r="J282" s="473"/>
      <c r="K282" s="473" t="s">
        <v>68</v>
      </c>
      <c r="L282" s="453" t="s">
        <v>461</v>
      </c>
      <c r="M282" s="473"/>
      <c r="N282" s="484" t="s">
        <v>237</v>
      </c>
      <c r="O282" s="477">
        <v>56.57</v>
      </c>
      <c r="P282" s="477">
        <v>56.52</v>
      </c>
      <c r="Q282" s="477">
        <v>53.87</v>
      </c>
      <c r="R282" s="478">
        <v>62.69</v>
      </c>
      <c r="S282" s="459">
        <v>74.317300000000003</v>
      </c>
      <c r="T282" s="487">
        <v>73.5</v>
      </c>
      <c r="U282" s="479"/>
      <c r="V282" s="480">
        <v>100</v>
      </c>
      <c r="W282" s="481"/>
      <c r="X282" s="572" t="s">
        <v>70</v>
      </c>
      <c r="Y282" s="483" t="s">
        <v>161</v>
      </c>
      <c r="Z282" s="484" t="s">
        <v>887</v>
      </c>
      <c r="AA282" s="480" t="s">
        <v>161</v>
      </c>
      <c r="AB282" s="474"/>
      <c r="AC282" s="471"/>
      <c r="AD282" s="471"/>
      <c r="AE282" s="471"/>
      <c r="AF282" s="471"/>
      <c r="AG282" s="471"/>
      <c r="AH282" s="494" t="s">
        <v>59</v>
      </c>
      <c r="AI282" s="467"/>
      <c r="AJ282" s="467"/>
      <c r="AK282" s="467"/>
      <c r="AL282" s="467"/>
      <c r="AM282" s="467"/>
      <c r="AN282" s="467"/>
      <c r="AO282" s="467"/>
      <c r="AP282" s="467"/>
      <c r="AQ282" s="467"/>
      <c r="AR282" s="467"/>
      <c r="AS282" s="467"/>
      <c r="AT282" s="467"/>
      <c r="AU282" s="467"/>
      <c r="AV282" s="467"/>
      <c r="AW282" s="467"/>
      <c r="AX282" s="467"/>
      <c r="AY282" s="486">
        <f>COUNTIF(AI282:AX282,"*OP*")</f>
        <v>0</v>
      </c>
      <c r="AZ282" s="485" t="s">
        <v>59</v>
      </c>
      <c r="BA282" s="471">
        <f>(COUNTIF(AI282:AK282,"*OK*")*3) + (COUNTIF(AL282:AN282,"*OK*")*2) + COUNTIF(AO282:AQ282,"*OK*")+COUNTIF(AZ282:AZ282,"SI")*0.5</f>
        <v>0</v>
      </c>
      <c r="BB282" s="471" t="str">
        <f>IF(BA282&lt;0.6,"Demasiado Riesgo",IF(BA282&lt;=5,"Riesgo Medio",IF(BA282&lt;=11,"Riesgo Bajo","Cliente Blindado")))</f>
        <v>Demasiado Riesgo</v>
      </c>
      <c r="BC282" s="471"/>
      <c r="BD282" s="471"/>
      <c r="BE282" s="471">
        <v>0</v>
      </c>
      <c r="BF282" s="471"/>
      <c r="BG282" s="471"/>
      <c r="BH282" s="471"/>
      <c r="BI282" s="471"/>
      <c r="BJ282" s="471"/>
      <c r="BK282" s="471"/>
      <c r="BL282" s="471"/>
      <c r="BM282" s="471"/>
      <c r="BN282" s="471"/>
      <c r="BO282" s="471"/>
      <c r="BP282" s="471"/>
      <c r="BQ282" s="471"/>
      <c r="BR282" s="471"/>
      <c r="BS282" s="471"/>
      <c r="BT282" s="471"/>
      <c r="BU282" s="471"/>
      <c r="BV282" s="471"/>
      <c r="BW282" s="471"/>
      <c r="BX282" s="471"/>
      <c r="BY282" s="471"/>
      <c r="BZ282" s="471"/>
      <c r="CA282" s="471">
        <f>COUNTIF(AI282:AW282,"*OK*")</f>
        <v>0</v>
      </c>
      <c r="CB282" s="471"/>
      <c r="CC282" s="471">
        <f>COUNTIF(AI282:AW282,"*OP*")</f>
        <v>0</v>
      </c>
    </row>
    <row r="283" spans="1:81" ht="15" customHeight="1">
      <c r="A283" s="470">
        <v>26538</v>
      </c>
      <c r="B283" s="471"/>
      <c r="C283" s="451">
        <f>T283</f>
        <v>74.08</v>
      </c>
      <c r="D283" s="471">
        <f>COUNTIF(AI283:AW283,"*OK*")</f>
        <v>1</v>
      </c>
      <c r="E283" s="471"/>
      <c r="F283" s="473" t="s">
        <v>888</v>
      </c>
      <c r="G283" s="473"/>
      <c r="H283" s="474"/>
      <c r="I283" s="474"/>
      <c r="J283" s="473"/>
      <c r="K283" s="473" t="s">
        <v>68</v>
      </c>
      <c r="L283" s="453" t="s">
        <v>461</v>
      </c>
      <c r="M283" s="473"/>
      <c r="N283" s="484" t="s">
        <v>156</v>
      </c>
      <c r="O283" s="477">
        <v>75.209999999999994</v>
      </c>
      <c r="P283" s="477">
        <v>75.14</v>
      </c>
      <c r="Q283" s="477">
        <v>71.61</v>
      </c>
      <c r="R283" s="478">
        <v>73.91</v>
      </c>
      <c r="S283" s="459">
        <v>74.906000000000006</v>
      </c>
      <c r="T283" s="487">
        <v>74.08</v>
      </c>
      <c r="U283" s="479"/>
      <c r="V283" s="480">
        <v>200</v>
      </c>
      <c r="W283" s="481"/>
      <c r="X283" s="493" t="s">
        <v>251</v>
      </c>
      <c r="Y283" s="483" t="s">
        <v>139</v>
      </c>
      <c r="Z283" s="484" t="s">
        <v>889</v>
      </c>
      <c r="AA283" s="480" t="s">
        <v>59</v>
      </c>
      <c r="AB283" s="474"/>
      <c r="AC283" s="471"/>
      <c r="AD283" s="471"/>
      <c r="AE283" s="471"/>
      <c r="AF283" s="471"/>
      <c r="AG283" s="471"/>
      <c r="AH283" s="494" t="s">
        <v>59</v>
      </c>
      <c r="AI283" s="467"/>
      <c r="AJ283" s="467"/>
      <c r="AK283" s="565" t="s">
        <v>111</v>
      </c>
      <c r="AL283" s="467"/>
      <c r="AM283" s="467"/>
      <c r="AN283" s="467"/>
      <c r="AO283" s="467"/>
      <c r="AP283" s="467"/>
      <c r="AQ283" s="467"/>
      <c r="AR283" s="467"/>
      <c r="AS283" s="467"/>
      <c r="AT283" s="467"/>
      <c r="AU283" s="467"/>
      <c r="AV283" s="467"/>
      <c r="AW283" s="467"/>
      <c r="AX283" s="467"/>
      <c r="AY283" s="486">
        <f>COUNTIF(AI283:AX283,"*OP*")</f>
        <v>0</v>
      </c>
      <c r="AZ283" s="485" t="s">
        <v>59</v>
      </c>
      <c r="BA283" s="471">
        <f>(COUNTIF(AI283:AK283,"*OK*")*3) + (COUNTIF(AL283:AN283,"*OK*")*2) + COUNTIF(AO283:AQ283,"*OK*")+COUNTIF(AZ283:AZ283,"SI")*0.5</f>
        <v>3</v>
      </c>
      <c r="BB283" s="471" t="str">
        <f>IF(BA283&lt;0.6,"Demasiado Riesgo",IF(BA283&lt;=5,"Riesgo Medio",IF(BA283&lt;=11,"Riesgo Bajo","Cliente Blindado")))</f>
        <v>Riesgo Medio</v>
      </c>
      <c r="BC283" s="471"/>
      <c r="BD283" s="471"/>
      <c r="BE283" s="471">
        <v>0</v>
      </c>
      <c r="BF283" s="471"/>
      <c r="BG283" s="471"/>
      <c r="BH283" s="471"/>
      <c r="BI283" s="471"/>
      <c r="BJ283" s="471"/>
      <c r="BK283" s="471"/>
      <c r="BL283" s="471"/>
      <c r="BM283" s="471"/>
      <c r="BN283" s="471"/>
      <c r="BO283" s="471"/>
      <c r="BP283" s="471"/>
      <c r="BQ283" s="471"/>
      <c r="BR283" s="471"/>
      <c r="BS283" s="471"/>
      <c r="BT283" s="471"/>
      <c r="BU283" s="471"/>
      <c r="BV283" s="471"/>
      <c r="BW283" s="471"/>
      <c r="BX283" s="471"/>
      <c r="BY283" s="471"/>
      <c r="BZ283" s="471"/>
      <c r="CA283" s="471">
        <f>COUNTIF(AI283:AW283,"*OK*")</f>
        <v>1</v>
      </c>
      <c r="CB283" s="471"/>
      <c r="CC283" s="471">
        <f>COUNTIF(AI283:AW283,"*OP*")</f>
        <v>0</v>
      </c>
    </row>
    <row r="284" spans="1:81" ht="15" customHeight="1">
      <c r="A284" s="449"/>
      <c r="B284" s="450"/>
      <c r="C284" s="451">
        <f>T284</f>
        <v>78.849999999999994</v>
      </c>
      <c r="D284" s="450">
        <f>COUNTIF(AM284:AX284,"OK")</f>
        <v>0</v>
      </c>
      <c r="E284" s="450"/>
      <c r="F284" s="450" t="s">
        <v>890</v>
      </c>
      <c r="G284" s="450"/>
      <c r="H284" s="454"/>
      <c r="I284" s="454"/>
      <c r="J284" s="450"/>
      <c r="K284" s="501" t="s">
        <v>68</v>
      </c>
      <c r="L284" s="453" t="s">
        <v>461</v>
      </c>
      <c r="M284" s="450"/>
      <c r="N284" s="466"/>
      <c r="O284" s="457"/>
      <c r="P284" s="457"/>
      <c r="Q284" s="457"/>
      <c r="R284" s="458">
        <v>78.67</v>
      </c>
      <c r="S284" s="459">
        <v>79.724100000000007</v>
      </c>
      <c r="T284" s="498">
        <v>78.849999999999994</v>
      </c>
      <c r="U284" s="461"/>
      <c r="V284" s="462" t="s">
        <v>59</v>
      </c>
      <c r="W284" s="450"/>
      <c r="X284" s="464"/>
      <c r="Y284" s="465"/>
      <c r="Z284" s="466"/>
      <c r="AA284" s="496" t="s">
        <v>59</v>
      </c>
      <c r="AB284" s="454"/>
      <c r="AC284" s="450"/>
      <c r="AD284" s="450"/>
      <c r="AE284" s="450"/>
      <c r="AF284" s="450"/>
      <c r="AG284" s="450"/>
      <c r="AH284" s="496"/>
      <c r="AI284" s="467"/>
      <c r="AJ284" s="467"/>
      <c r="AK284" s="467"/>
      <c r="AL284" s="467"/>
      <c r="AM284" s="467"/>
      <c r="AN284" s="467"/>
      <c r="AO284" s="467"/>
      <c r="AP284" s="467"/>
      <c r="AQ284" s="467"/>
      <c r="AR284" s="467"/>
      <c r="AS284" s="467"/>
      <c r="AT284" s="467"/>
      <c r="AU284" s="467"/>
      <c r="AV284" s="467"/>
      <c r="AW284" s="467"/>
      <c r="AX284" s="467"/>
      <c r="AY284" s="486">
        <f>COUNTIF(AI284:AX284,"*OP*")</f>
        <v>0</v>
      </c>
      <c r="AZ284" s="499" t="s">
        <v>59</v>
      </c>
      <c r="BA284" s="450">
        <f>(COUNTIF(AI284:AK284,"*OK*")*3) + (COUNTIF(AL284:AN284,"*OK*")*2) + COUNTIF(AO284:AQ284,"*OK*")+COUNTIF(AZ284:AZ284,"SI")*0.5</f>
        <v>0</v>
      </c>
      <c r="BB284" s="450" t="str">
        <f>IF(BA284&lt;0.6,"Demasiado Riesgo",IF(BA284&lt;=5,"Riesgo Medio",IF(BA284&lt;=11,"Riesgo Bajo","Cliente Blindado")))</f>
        <v>Demasiado Riesgo</v>
      </c>
      <c r="BC284" s="450"/>
      <c r="BD284" s="450"/>
      <c r="BE284" s="450"/>
      <c r="BF284" s="450"/>
      <c r="BG284" s="450"/>
      <c r="BH284" s="450"/>
      <c r="BI284" s="450"/>
      <c r="BJ284" s="450"/>
      <c r="BK284" s="450"/>
      <c r="BL284" s="450"/>
      <c r="BM284" s="450"/>
      <c r="BN284" s="450"/>
      <c r="BO284" s="450"/>
      <c r="BP284" s="450"/>
      <c r="BQ284" s="450"/>
      <c r="BR284" s="450"/>
      <c r="BS284" s="450"/>
      <c r="BT284" s="450"/>
      <c r="BU284" s="450"/>
      <c r="BV284" s="450"/>
      <c r="BW284" s="450"/>
      <c r="BX284" s="450"/>
      <c r="BY284" s="450"/>
      <c r="BZ284" s="450"/>
      <c r="CA284" s="450">
        <f>COUNTIF(AI284:AW284,"*OK*")</f>
        <v>0</v>
      </c>
      <c r="CB284" s="450"/>
      <c r="CC284" s="450">
        <f>COUNTIF(AI284:AW284,"*OP*")</f>
        <v>0</v>
      </c>
    </row>
    <row r="285" spans="1:81" ht="15" customHeight="1">
      <c r="A285" s="449">
        <v>31677</v>
      </c>
      <c r="B285" s="450"/>
      <c r="C285" s="451">
        <f>T285</f>
        <v>79.98</v>
      </c>
      <c r="D285" s="450">
        <f>COUNTIF(AI285:AW285,"*OK*")</f>
        <v>0</v>
      </c>
      <c r="E285" s="450"/>
      <c r="F285" s="453" t="s">
        <v>891</v>
      </c>
      <c r="G285" s="453"/>
      <c r="H285" s="454"/>
      <c r="I285" s="454"/>
      <c r="J285" s="453"/>
      <c r="K285" s="453" t="s">
        <v>68</v>
      </c>
      <c r="L285" s="453" t="s">
        <v>461</v>
      </c>
      <c r="M285" s="453"/>
      <c r="N285" s="466" t="s">
        <v>65</v>
      </c>
      <c r="O285" s="457">
        <v>73.08</v>
      </c>
      <c r="P285" s="457">
        <v>75.709999999999994</v>
      </c>
      <c r="Q285" s="457">
        <v>72.150000000000006</v>
      </c>
      <c r="R285" s="458">
        <v>74.47</v>
      </c>
      <c r="S285" s="459">
        <v>75.476799999999997</v>
      </c>
      <c r="T285" s="460">
        <v>79.98</v>
      </c>
      <c r="U285" s="461"/>
      <c r="V285" s="462">
        <v>100</v>
      </c>
      <c r="W285" s="463"/>
      <c r="X285" s="567" t="s">
        <v>70</v>
      </c>
      <c r="Y285" s="465" t="s">
        <v>95</v>
      </c>
      <c r="Z285" s="466" t="s">
        <v>892</v>
      </c>
      <c r="AA285" s="462" t="s">
        <v>59</v>
      </c>
      <c r="AB285" s="454"/>
      <c r="AC285" s="450"/>
      <c r="AD285" s="450"/>
      <c r="AE285" s="450"/>
      <c r="AF285" s="450"/>
      <c r="AG285" s="450"/>
      <c r="AH285" s="496" t="s">
        <v>59</v>
      </c>
      <c r="AI285" s="467"/>
      <c r="AJ285" s="467"/>
      <c r="AK285" s="467"/>
      <c r="AL285" s="467"/>
      <c r="AM285" s="467"/>
      <c r="AN285" s="467"/>
      <c r="AO285" s="467"/>
      <c r="AP285" s="467"/>
      <c r="AQ285" s="467"/>
      <c r="AR285" s="467"/>
      <c r="AS285" s="467"/>
      <c r="AT285" s="467"/>
      <c r="AU285" s="467"/>
      <c r="AV285" s="467"/>
      <c r="AW285" s="467"/>
      <c r="AX285" s="467"/>
      <c r="AY285" s="486">
        <f>COUNTIF(AI285:AX285,"*OP*")</f>
        <v>0</v>
      </c>
      <c r="AZ285" s="499" t="s">
        <v>59</v>
      </c>
      <c r="BA285" s="450">
        <f>(COUNTIF(AI285:AK285,"*OK*")*3) + (COUNTIF(AL285:AN285,"*OK*")*2) + COUNTIF(AO285:AQ285,"*OK*")+COUNTIF(AZ285:AZ285,"SI")*0.5</f>
        <v>0</v>
      </c>
      <c r="BB285" s="450" t="str">
        <f>IF(BA285&lt;0.6,"Demasiado Riesgo",IF(BA285&lt;=5,"Riesgo Medio",IF(BA285&lt;=11,"Riesgo Bajo","Cliente Blindado")))</f>
        <v>Demasiado Riesgo</v>
      </c>
      <c r="BC285" s="450"/>
      <c r="BD285" s="450"/>
      <c r="BE285" s="450">
        <v>0</v>
      </c>
      <c r="BF285" s="450"/>
      <c r="BG285" s="450"/>
      <c r="BH285" s="450"/>
      <c r="BI285" s="450"/>
      <c r="BJ285" s="450"/>
      <c r="BK285" s="450"/>
      <c r="BL285" s="450"/>
      <c r="BM285" s="450"/>
      <c r="BN285" s="450"/>
      <c r="BO285" s="450"/>
      <c r="BP285" s="450"/>
      <c r="BQ285" s="450"/>
      <c r="BR285" s="450"/>
      <c r="BS285" s="450"/>
      <c r="BT285" s="450"/>
      <c r="BU285" s="450"/>
      <c r="BV285" s="450"/>
      <c r="BW285" s="450"/>
      <c r="BX285" s="450"/>
      <c r="BY285" s="450"/>
      <c r="BZ285" s="450"/>
      <c r="CA285" s="450">
        <f>COUNTIF(AI285:AW285,"*OK*")</f>
        <v>0</v>
      </c>
      <c r="CB285" s="450"/>
      <c r="CC285" s="450">
        <f>COUNTIF(AI285:AW285,"*OP*")</f>
        <v>0</v>
      </c>
    </row>
    <row r="286" spans="1:81" ht="15" customHeight="1">
      <c r="A286" s="470"/>
      <c r="B286" s="471"/>
      <c r="C286" s="451">
        <f>T286</f>
        <v>81.510000000000005</v>
      </c>
      <c r="D286" s="471">
        <f>COUNTIF(AI286:AW286,"*OK*")</f>
        <v>0</v>
      </c>
      <c r="E286" s="471"/>
      <c r="F286" s="473" t="s">
        <v>893</v>
      </c>
      <c r="G286" s="473"/>
      <c r="H286" s="474"/>
      <c r="I286" s="474"/>
      <c r="J286" s="473"/>
      <c r="K286" s="473" t="s">
        <v>68</v>
      </c>
      <c r="L286" s="453" t="s">
        <v>461</v>
      </c>
      <c r="M286" s="473"/>
      <c r="N286" s="484" t="s">
        <v>500</v>
      </c>
      <c r="O286" s="477">
        <v>78.98</v>
      </c>
      <c r="P286" s="477">
        <v>86.42</v>
      </c>
      <c r="Q286" s="477">
        <v>75.2</v>
      </c>
      <c r="R286" s="478">
        <v>77.62</v>
      </c>
      <c r="S286" s="459">
        <v>78.663399999999996</v>
      </c>
      <c r="T286" s="490">
        <v>81.510000000000005</v>
      </c>
      <c r="U286" s="479"/>
      <c r="V286" s="480">
        <v>100</v>
      </c>
      <c r="W286" s="481"/>
      <c r="X286" s="482" t="s">
        <v>70</v>
      </c>
      <c r="Y286" s="483" t="s">
        <v>241</v>
      </c>
      <c r="Z286" s="484" t="s">
        <v>894</v>
      </c>
      <c r="AA286" s="480" t="s">
        <v>241</v>
      </c>
      <c r="AB286" s="474"/>
      <c r="AC286" s="471"/>
      <c r="AD286" s="471"/>
      <c r="AE286" s="471"/>
      <c r="AF286" s="471"/>
      <c r="AG286" s="471"/>
      <c r="AH286" s="494" t="s">
        <v>59</v>
      </c>
      <c r="AI286" s="467"/>
      <c r="AJ286" s="467"/>
      <c r="AK286" s="467"/>
      <c r="AL286" s="467"/>
      <c r="AM286" s="467"/>
      <c r="AN286" s="467"/>
      <c r="AO286" s="467"/>
      <c r="AP286" s="467"/>
      <c r="AQ286" s="467"/>
      <c r="AR286" s="467"/>
      <c r="AS286" s="467"/>
      <c r="AT286" s="467"/>
      <c r="AU286" s="467"/>
      <c r="AV286" s="467"/>
      <c r="AW286" s="467"/>
      <c r="AX286" s="467"/>
      <c r="AY286" s="486">
        <f>COUNTIF(AI286:AX286,"*OP*")</f>
        <v>0</v>
      </c>
      <c r="AZ286" s="485" t="s">
        <v>59</v>
      </c>
      <c r="BA286" s="471">
        <f>(COUNTIF(AI286:AK286,"*OK*")*3) + (COUNTIF(AL286:AN286,"*OK*")*2) + COUNTIF(AO286:AQ286,"*OK*")+COUNTIF(AZ286:AZ286,"SI")*0.5</f>
        <v>0</v>
      </c>
      <c r="BB286" s="471" t="str">
        <f>IF(BA286&lt;0.6,"Demasiado Riesgo",IF(BA286&lt;=5,"Riesgo Medio",IF(BA286&lt;=11,"Riesgo Bajo","Cliente Blindado")))</f>
        <v>Demasiado Riesgo</v>
      </c>
      <c r="BC286" s="471"/>
      <c r="BD286" s="471"/>
      <c r="BE286" s="471">
        <v>0</v>
      </c>
      <c r="BF286" s="471"/>
      <c r="BG286" s="471"/>
      <c r="BH286" s="471"/>
      <c r="BI286" s="471"/>
      <c r="BJ286" s="471"/>
      <c r="BK286" s="471"/>
      <c r="BL286" s="471"/>
      <c r="BM286" s="471"/>
      <c r="BN286" s="471"/>
      <c r="BO286" s="471"/>
      <c r="BP286" s="471"/>
      <c r="BQ286" s="471"/>
      <c r="BR286" s="471"/>
      <c r="BS286" s="471"/>
      <c r="BT286" s="471"/>
      <c r="BU286" s="471"/>
      <c r="BV286" s="471"/>
      <c r="BW286" s="471"/>
      <c r="BX286" s="471"/>
      <c r="BY286" s="471"/>
      <c r="BZ286" s="471"/>
      <c r="CA286" s="471">
        <f>COUNTIF(AI286:AW286,"*OK*")</f>
        <v>0</v>
      </c>
      <c r="CB286" s="471"/>
      <c r="CC286" s="471">
        <f>COUNTIF(AI286:AW286,"*OP*")</f>
        <v>0</v>
      </c>
    </row>
    <row r="287" spans="1:81" ht="15" customHeight="1">
      <c r="A287" s="449">
        <v>18820</v>
      </c>
      <c r="B287" s="450"/>
      <c r="C287" s="451">
        <f>T287</f>
        <v>81.709999999999994</v>
      </c>
      <c r="D287" s="450">
        <f>COUNTIF(AI287:AW287,"*OK*")</f>
        <v>0</v>
      </c>
      <c r="E287" s="450"/>
      <c r="F287" s="453" t="s">
        <v>895</v>
      </c>
      <c r="G287" s="453"/>
      <c r="H287" s="454"/>
      <c r="I287" s="454"/>
      <c r="J287" s="453"/>
      <c r="K287" s="455" t="s">
        <v>68</v>
      </c>
      <c r="L287" s="453" t="s">
        <v>461</v>
      </c>
      <c r="M287" s="453"/>
      <c r="N287" s="466" t="s">
        <v>65</v>
      </c>
      <c r="O287" s="457"/>
      <c r="P287" s="457"/>
      <c r="Q287" s="457">
        <v>71.790000000000006</v>
      </c>
      <c r="R287" s="458">
        <v>81.52</v>
      </c>
      <c r="S287" s="459">
        <v>82.6126</v>
      </c>
      <c r="T287" s="469">
        <v>81.709999999999994</v>
      </c>
      <c r="U287" s="461"/>
      <c r="V287" s="462">
        <v>100</v>
      </c>
      <c r="W287" s="463"/>
      <c r="X287" s="562" t="s">
        <v>70</v>
      </c>
      <c r="Y287" s="465" t="s">
        <v>71</v>
      </c>
      <c r="Z287" s="466" t="s">
        <v>896</v>
      </c>
      <c r="AA287" s="462" t="s">
        <v>59</v>
      </c>
      <c r="AB287" s="454"/>
      <c r="AC287" s="450"/>
      <c r="AD287" s="450"/>
      <c r="AE287" s="450"/>
      <c r="AF287" s="450"/>
      <c r="AG287" s="450"/>
      <c r="AH287" s="496" t="s">
        <v>59</v>
      </c>
      <c r="AI287" s="467"/>
      <c r="AJ287" s="467"/>
      <c r="AK287" s="467"/>
      <c r="AL287" s="467"/>
      <c r="AM287" s="467"/>
      <c r="AN287" s="467"/>
      <c r="AO287" s="467"/>
      <c r="AP287" s="467"/>
      <c r="AQ287" s="467"/>
      <c r="AR287" s="467"/>
      <c r="AS287" s="467"/>
      <c r="AT287" s="467"/>
      <c r="AU287" s="467"/>
      <c r="AV287" s="467"/>
      <c r="AW287" s="467"/>
      <c r="AX287" s="467"/>
      <c r="AY287" s="486">
        <f>COUNTIF(AI287:AX287,"*OP*")</f>
        <v>0</v>
      </c>
      <c r="AZ287" s="499" t="s">
        <v>59</v>
      </c>
      <c r="BA287" s="450">
        <f>(COUNTIF(AI287:AK287,"*OK*")*3) + (COUNTIF(AL287:AN287,"*OK*")*2) + COUNTIF(AO287:AQ287,"*OK*")+COUNTIF(AZ287:AZ287,"SI")*0.5</f>
        <v>0</v>
      </c>
      <c r="BB287" s="450" t="str">
        <f>IF(BA287&lt;0.6,"Demasiado Riesgo",IF(BA287&lt;=5,"Riesgo Medio",IF(BA287&lt;=11,"Riesgo Bajo","Cliente Blindado")))</f>
        <v>Demasiado Riesgo</v>
      </c>
      <c r="BC287" s="450"/>
      <c r="BD287" s="450"/>
      <c r="BE287" s="450">
        <v>0</v>
      </c>
      <c r="BF287" s="450"/>
      <c r="BG287" s="450"/>
      <c r="BH287" s="450"/>
      <c r="BI287" s="450"/>
      <c r="BJ287" s="450"/>
      <c r="BK287" s="450"/>
      <c r="BL287" s="450"/>
      <c r="BM287" s="450"/>
      <c r="BN287" s="450"/>
      <c r="BO287" s="450"/>
      <c r="BP287" s="450"/>
      <c r="BQ287" s="450"/>
      <c r="BR287" s="450"/>
      <c r="BS287" s="450"/>
      <c r="BT287" s="450"/>
      <c r="BU287" s="450"/>
      <c r="BV287" s="450"/>
      <c r="BW287" s="450"/>
      <c r="BX287" s="450"/>
      <c r="BY287" s="450"/>
      <c r="BZ287" s="450"/>
      <c r="CA287" s="450">
        <f>COUNTIF(AI287:AW287,"*OK*")</f>
        <v>0</v>
      </c>
      <c r="CB287" s="450"/>
      <c r="CC287" s="450">
        <f>COUNTIF(AI287:AW287,"*OP*")</f>
        <v>0</v>
      </c>
    </row>
    <row r="288" spans="1:81" ht="15" customHeight="1">
      <c r="A288" s="470">
        <v>33095</v>
      </c>
      <c r="B288" s="471"/>
      <c r="C288" s="451">
        <f>T288</f>
        <v>83.56</v>
      </c>
      <c r="D288" s="471">
        <f>COUNTIF(AI288:AW288,"*OK*")</f>
        <v>0</v>
      </c>
      <c r="E288" s="471"/>
      <c r="F288" s="473" t="s">
        <v>897</v>
      </c>
      <c r="G288" s="473"/>
      <c r="H288" s="474"/>
      <c r="I288" s="474"/>
      <c r="J288" s="473"/>
      <c r="K288" s="473" t="s">
        <v>68</v>
      </c>
      <c r="L288" s="453" t="s">
        <v>461</v>
      </c>
      <c r="M288" s="473"/>
      <c r="N288" s="484" t="s">
        <v>191</v>
      </c>
      <c r="O288" s="477">
        <v>84.83</v>
      </c>
      <c r="P288" s="477">
        <v>84.75</v>
      </c>
      <c r="Q288" s="477">
        <v>80.77</v>
      </c>
      <c r="R288" s="478">
        <v>83.37</v>
      </c>
      <c r="S288" s="459">
        <v>84.490200000000002</v>
      </c>
      <c r="T288" s="487">
        <v>83.56</v>
      </c>
      <c r="U288" s="479"/>
      <c r="V288" s="480">
        <v>200</v>
      </c>
      <c r="W288" s="481"/>
      <c r="X288" s="572" t="s">
        <v>70</v>
      </c>
      <c r="Y288" s="483" t="s">
        <v>150</v>
      </c>
      <c r="Z288" s="484" t="s">
        <v>898</v>
      </c>
      <c r="AA288" s="480" t="s">
        <v>132</v>
      </c>
      <c r="AB288" s="474"/>
      <c r="AC288" s="471"/>
      <c r="AD288" s="471"/>
      <c r="AE288" s="471"/>
      <c r="AF288" s="471"/>
      <c r="AG288" s="471"/>
      <c r="AH288" s="494" t="s">
        <v>59</v>
      </c>
      <c r="AI288" s="467"/>
      <c r="AJ288" s="467"/>
      <c r="AK288" s="467"/>
      <c r="AL288" s="467"/>
      <c r="AM288" s="467"/>
      <c r="AN288" s="467"/>
      <c r="AO288" s="467"/>
      <c r="AP288" s="467"/>
      <c r="AQ288" s="467"/>
      <c r="AR288" s="467"/>
      <c r="AS288" s="467"/>
      <c r="AT288" s="467"/>
      <c r="AU288" s="467"/>
      <c r="AV288" s="467"/>
      <c r="AW288" s="467"/>
      <c r="AX288" s="467"/>
      <c r="AY288" s="486">
        <f>COUNTIF(AI288:AX288,"*OP*")</f>
        <v>0</v>
      </c>
      <c r="AZ288" s="485" t="s">
        <v>59</v>
      </c>
      <c r="BA288" s="471">
        <f>(COUNTIF(AI288:AK288,"*OK*")*3) + (COUNTIF(AL288:AN288,"*OK*")*2) + COUNTIF(AO288:AQ288,"*OK*")+COUNTIF(AZ288:AZ288,"SI")*0.5</f>
        <v>0</v>
      </c>
      <c r="BB288" s="471" t="str">
        <f>IF(BA288&lt;0.6,"Demasiado Riesgo",IF(BA288&lt;=5,"Riesgo Medio",IF(BA288&lt;=11,"Riesgo Bajo","Cliente Blindado")))</f>
        <v>Demasiado Riesgo</v>
      </c>
      <c r="BC288" s="471"/>
      <c r="BD288" s="471"/>
      <c r="BE288" s="471">
        <v>0</v>
      </c>
      <c r="BF288" s="471"/>
      <c r="BG288" s="471"/>
      <c r="BH288" s="471"/>
      <c r="BI288" s="471"/>
      <c r="BJ288" s="471"/>
      <c r="BK288" s="471"/>
      <c r="BL288" s="471"/>
      <c r="BM288" s="471"/>
      <c r="BN288" s="471"/>
      <c r="BO288" s="471"/>
      <c r="BP288" s="471"/>
      <c r="BQ288" s="471"/>
      <c r="BR288" s="471"/>
      <c r="BS288" s="471"/>
      <c r="BT288" s="471"/>
      <c r="BU288" s="471"/>
      <c r="BV288" s="471"/>
      <c r="BW288" s="471"/>
      <c r="BX288" s="471"/>
      <c r="BY288" s="471"/>
      <c r="BZ288" s="471"/>
      <c r="CA288" s="471">
        <f>COUNTIF(AI288:AW288,"*OK*")</f>
        <v>0</v>
      </c>
      <c r="CB288" s="471"/>
      <c r="CC288" s="471">
        <f>COUNTIF(AI288:AW288,"*OP*")</f>
        <v>0</v>
      </c>
    </row>
    <row r="289" spans="1:81" ht="15" customHeight="1">
      <c r="A289" s="449">
        <v>25424</v>
      </c>
      <c r="B289" s="450"/>
      <c r="C289" s="451">
        <f>T289</f>
        <v>83.97</v>
      </c>
      <c r="D289" s="450">
        <f>COUNTIF(AI289:AW289,"*OK*")</f>
        <v>0</v>
      </c>
      <c r="E289" s="450"/>
      <c r="F289" s="453" t="s">
        <v>899</v>
      </c>
      <c r="G289" s="453"/>
      <c r="H289" s="454"/>
      <c r="I289" s="454"/>
      <c r="J289" s="453"/>
      <c r="K289" s="453" t="s">
        <v>68</v>
      </c>
      <c r="L289" s="453" t="s">
        <v>461</v>
      </c>
      <c r="M289" s="453"/>
      <c r="N289" s="466" t="s">
        <v>65</v>
      </c>
      <c r="O289" s="457">
        <v>85.24</v>
      </c>
      <c r="P289" s="457">
        <v>85.16</v>
      </c>
      <c r="Q289" s="457">
        <v>81.16</v>
      </c>
      <c r="R289" s="458">
        <v>83.77</v>
      </c>
      <c r="S289" s="459">
        <v>73.022599999999997</v>
      </c>
      <c r="T289" s="469">
        <v>83.97</v>
      </c>
      <c r="U289" s="461"/>
      <c r="V289" s="462">
        <v>100</v>
      </c>
      <c r="W289" s="463"/>
      <c r="X289" s="567" t="s">
        <v>70</v>
      </c>
      <c r="Y289" s="465" t="s">
        <v>80</v>
      </c>
      <c r="Z289" s="466" t="s">
        <v>900</v>
      </c>
      <c r="AA289" s="462" t="s">
        <v>59</v>
      </c>
      <c r="AB289" s="454"/>
      <c r="AC289" s="450"/>
      <c r="AD289" s="450"/>
      <c r="AE289" s="450"/>
      <c r="AF289" s="450"/>
      <c r="AG289" s="450"/>
      <c r="AH289" s="496" t="s">
        <v>59</v>
      </c>
      <c r="AI289" s="467"/>
      <c r="AJ289" s="467"/>
      <c r="AK289" s="467"/>
      <c r="AL289" s="467"/>
      <c r="AM289" s="467"/>
      <c r="AN289" s="467"/>
      <c r="AO289" s="467"/>
      <c r="AP289" s="467"/>
      <c r="AQ289" s="467"/>
      <c r="AR289" s="467"/>
      <c r="AS289" s="467"/>
      <c r="AT289" s="467"/>
      <c r="AU289" s="467"/>
      <c r="AV289" s="467"/>
      <c r="AW289" s="467"/>
      <c r="AX289" s="467"/>
      <c r="AY289" s="486">
        <f>COUNTIF(AI289:AX289,"*OP*")</f>
        <v>0</v>
      </c>
      <c r="AZ289" s="499" t="s">
        <v>59</v>
      </c>
      <c r="BA289" s="450">
        <f>(COUNTIF(AI289:AK289,"*OK*")*3) + (COUNTIF(AL289:AN289,"*OK*")*2) + COUNTIF(AO289:AQ289,"*OK*")+COUNTIF(AZ289:AZ289,"SI")*0.5</f>
        <v>0</v>
      </c>
      <c r="BB289" s="450" t="str">
        <f>IF(BA289&lt;0.6,"Demasiado Riesgo",IF(BA289&lt;=5,"Riesgo Medio",IF(BA289&lt;=11,"Riesgo Bajo","Cliente Blindado")))</f>
        <v>Demasiado Riesgo</v>
      </c>
      <c r="BC289" s="450"/>
      <c r="BD289" s="450"/>
      <c r="BE289" s="450">
        <v>0</v>
      </c>
      <c r="BF289" s="450"/>
      <c r="BG289" s="450"/>
      <c r="BH289" s="450"/>
      <c r="BI289" s="450"/>
      <c r="BJ289" s="450"/>
      <c r="BK289" s="450"/>
      <c r="BL289" s="450"/>
      <c r="BM289" s="450"/>
      <c r="BN289" s="450"/>
      <c r="BO289" s="450"/>
      <c r="BP289" s="450"/>
      <c r="BQ289" s="450"/>
      <c r="BR289" s="450"/>
      <c r="BS289" s="450"/>
      <c r="BT289" s="450"/>
      <c r="BU289" s="450"/>
      <c r="BV289" s="450"/>
      <c r="BW289" s="450"/>
      <c r="BX289" s="450"/>
      <c r="BY289" s="450"/>
      <c r="BZ289" s="450"/>
      <c r="CA289" s="450">
        <f>COUNTIF(AI289:AW289,"*OK*")</f>
        <v>0</v>
      </c>
      <c r="CB289" s="450"/>
      <c r="CC289" s="450">
        <f>COUNTIF(AI289:AW289,"*OP*")</f>
        <v>0</v>
      </c>
    </row>
    <row r="290" spans="1:81" ht="15" customHeight="1">
      <c r="A290" s="449">
        <v>31607</v>
      </c>
      <c r="B290" s="450"/>
      <c r="C290" s="451">
        <f>T290</f>
        <v>84.72</v>
      </c>
      <c r="D290" s="450">
        <f>COUNTIF(AI290:AW290,"*OK*")</f>
        <v>0</v>
      </c>
      <c r="E290" s="450"/>
      <c r="F290" s="453" t="s">
        <v>901</v>
      </c>
      <c r="G290" s="453"/>
      <c r="H290" s="454"/>
      <c r="I290" s="454"/>
      <c r="J290" s="453"/>
      <c r="K290" s="453" t="s">
        <v>68</v>
      </c>
      <c r="L290" s="453" t="s">
        <v>461</v>
      </c>
      <c r="M290" s="453"/>
      <c r="N290" s="466" t="s">
        <v>61</v>
      </c>
      <c r="O290" s="457">
        <v>86.01</v>
      </c>
      <c r="P290" s="457">
        <v>85.93</v>
      </c>
      <c r="Q290" s="457">
        <v>81.89</v>
      </c>
      <c r="R290" s="458">
        <v>84.53</v>
      </c>
      <c r="S290" s="459">
        <v>85.662999999999997</v>
      </c>
      <c r="T290" s="469">
        <v>84.72</v>
      </c>
      <c r="U290" s="461"/>
      <c r="V290" s="462">
        <v>100</v>
      </c>
      <c r="W290" s="463"/>
      <c r="X290" s="464" t="s">
        <v>437</v>
      </c>
      <c r="Y290" s="465" t="s">
        <v>89</v>
      </c>
      <c r="Z290" s="466" t="s">
        <v>902</v>
      </c>
      <c r="AA290" s="462" t="s">
        <v>59</v>
      </c>
      <c r="AB290" s="454"/>
      <c r="AC290" s="450"/>
      <c r="AD290" s="450"/>
      <c r="AE290" s="450"/>
      <c r="AF290" s="450"/>
      <c r="AG290" s="450"/>
      <c r="AH290" s="496" t="s">
        <v>59</v>
      </c>
      <c r="AI290" s="467"/>
      <c r="AJ290" s="467"/>
      <c r="AK290" s="467"/>
      <c r="AL290" s="467"/>
      <c r="AM290" s="467"/>
      <c r="AN290" s="467"/>
      <c r="AO290" s="467"/>
      <c r="AP290" s="467"/>
      <c r="AQ290" s="467"/>
      <c r="AR290" s="467"/>
      <c r="AS290" s="467"/>
      <c r="AT290" s="467"/>
      <c r="AU290" s="467"/>
      <c r="AV290" s="467"/>
      <c r="AW290" s="467"/>
      <c r="AX290" s="467"/>
      <c r="AY290" s="486">
        <f>COUNTIF(AI290:AX290,"*OP*")</f>
        <v>0</v>
      </c>
      <c r="AZ290" s="499" t="s">
        <v>59</v>
      </c>
      <c r="BA290" s="450">
        <f>(COUNTIF(AI290:AK290,"*OK*")*3) + (COUNTIF(AL290:AN290,"*OK*")*2) + COUNTIF(AO290:AQ290,"*OK*")+COUNTIF(AZ290:AZ290,"SI")*0.5</f>
        <v>0</v>
      </c>
      <c r="BB290" s="450" t="str">
        <f>IF(BA290&lt;0.6,"Demasiado Riesgo",IF(BA290&lt;=5,"Riesgo Medio",IF(BA290&lt;=11,"Riesgo Bajo","Cliente Blindado")))</f>
        <v>Demasiado Riesgo</v>
      </c>
      <c r="BC290" s="450"/>
      <c r="BD290" s="450"/>
      <c r="BE290" s="450">
        <v>0</v>
      </c>
      <c r="BF290" s="450"/>
      <c r="BG290" s="450"/>
      <c r="BH290" s="450"/>
      <c r="BI290" s="450"/>
      <c r="BJ290" s="450"/>
      <c r="BK290" s="450"/>
      <c r="BL290" s="450"/>
      <c r="BM290" s="450"/>
      <c r="BN290" s="450"/>
      <c r="BO290" s="450"/>
      <c r="BP290" s="450"/>
      <c r="BQ290" s="450"/>
      <c r="BR290" s="450"/>
      <c r="BS290" s="450"/>
      <c r="BT290" s="450"/>
      <c r="BU290" s="450"/>
      <c r="BV290" s="450"/>
      <c r="BW290" s="450"/>
      <c r="BX290" s="450"/>
      <c r="BY290" s="450"/>
      <c r="BZ290" s="450"/>
      <c r="CA290" s="450">
        <f>COUNTIF(AI290:AW290,"*OK*")</f>
        <v>0</v>
      </c>
      <c r="CB290" s="450"/>
      <c r="CC290" s="450">
        <f>COUNTIF(AI290:AW290,"*OP*")</f>
        <v>0</v>
      </c>
    </row>
    <row r="291" spans="1:81" ht="15" customHeight="1">
      <c r="A291" s="470">
        <v>32160</v>
      </c>
      <c r="B291" s="471"/>
      <c r="C291" s="451">
        <f>T291</f>
        <v>84.72</v>
      </c>
      <c r="D291" s="471">
        <f>COUNTIF(AI291:AW291,"*OK*")</f>
        <v>0</v>
      </c>
      <c r="E291" s="471"/>
      <c r="F291" s="473" t="s">
        <v>903</v>
      </c>
      <c r="G291" s="473"/>
      <c r="H291" s="474"/>
      <c r="I291" s="474"/>
      <c r="J291" s="473"/>
      <c r="K291" s="473" t="s">
        <v>68</v>
      </c>
      <c r="L291" s="453" t="s">
        <v>461</v>
      </c>
      <c r="M291" s="473"/>
      <c r="N291" s="484" t="s">
        <v>61</v>
      </c>
      <c r="O291" s="477">
        <v>82.7</v>
      </c>
      <c r="P291" s="477">
        <v>82.62</v>
      </c>
      <c r="Q291" s="477">
        <v>78.739999999999995</v>
      </c>
      <c r="R291" s="478">
        <v>84.52</v>
      </c>
      <c r="S291" s="459">
        <v>85.661799999999999</v>
      </c>
      <c r="T291" s="487">
        <v>84.72</v>
      </c>
      <c r="U291" s="479"/>
      <c r="V291" s="480">
        <v>100</v>
      </c>
      <c r="W291" s="481"/>
      <c r="X291" s="572" t="s">
        <v>70</v>
      </c>
      <c r="Y291" s="483" t="s">
        <v>89</v>
      </c>
      <c r="Z291" s="484" t="s">
        <v>904</v>
      </c>
      <c r="AA291" s="480" t="s">
        <v>91</v>
      </c>
      <c r="AB291" s="474"/>
      <c r="AC291" s="471"/>
      <c r="AD291" s="471"/>
      <c r="AE291" s="471"/>
      <c r="AF291" s="471"/>
      <c r="AG291" s="471"/>
      <c r="AH291" s="494" t="s">
        <v>59</v>
      </c>
      <c r="AI291" s="467"/>
      <c r="AJ291" s="467"/>
      <c r="AK291" s="467"/>
      <c r="AL291" s="467"/>
      <c r="AM291" s="467"/>
      <c r="AN291" s="467"/>
      <c r="AO291" s="467"/>
      <c r="AP291" s="467"/>
      <c r="AQ291" s="467"/>
      <c r="AR291" s="467"/>
      <c r="AS291" s="467"/>
      <c r="AT291" s="467"/>
      <c r="AU291" s="467"/>
      <c r="AV291" s="467"/>
      <c r="AW291" s="467"/>
      <c r="AX291" s="467"/>
      <c r="AY291" s="486">
        <f>COUNTIF(AI291:AX291,"*OP*")</f>
        <v>0</v>
      </c>
      <c r="AZ291" s="485" t="s">
        <v>59</v>
      </c>
      <c r="BA291" s="471">
        <f>(COUNTIF(AI291:AK291,"*OK*")*3) + (COUNTIF(AL291:AN291,"*OK*")*2) + COUNTIF(AO291:AQ291,"*OK*")+COUNTIF(AZ291:AZ291,"SI")*0.5</f>
        <v>0</v>
      </c>
      <c r="BB291" s="471" t="str">
        <f>IF(BA291&lt;0.6,"Demasiado Riesgo",IF(BA291&lt;=5,"Riesgo Medio",IF(BA291&lt;=11,"Riesgo Bajo","Cliente Blindado")))</f>
        <v>Demasiado Riesgo</v>
      </c>
      <c r="BC291" s="471"/>
      <c r="BD291" s="471"/>
      <c r="BE291" s="471">
        <v>0</v>
      </c>
      <c r="BF291" s="471"/>
      <c r="BG291" s="471"/>
      <c r="BH291" s="471"/>
      <c r="BI291" s="471"/>
      <c r="BJ291" s="471"/>
      <c r="BK291" s="471"/>
      <c r="BL291" s="471"/>
      <c r="BM291" s="471"/>
      <c r="BN291" s="471"/>
      <c r="BO291" s="471"/>
      <c r="BP291" s="471"/>
      <c r="BQ291" s="471"/>
      <c r="BR291" s="471"/>
      <c r="BS291" s="471"/>
      <c r="BT291" s="471"/>
      <c r="BU291" s="471"/>
      <c r="BV291" s="471"/>
      <c r="BW291" s="471"/>
      <c r="BX291" s="471"/>
      <c r="BY291" s="471"/>
      <c r="BZ291" s="471"/>
      <c r="CA291" s="471">
        <f>COUNTIF(AI291:AW291,"*OK*")</f>
        <v>0</v>
      </c>
      <c r="CB291" s="471"/>
      <c r="CC291" s="471">
        <f>COUNTIF(AI291:AW291,"*OP*")</f>
        <v>0</v>
      </c>
    </row>
    <row r="292" spans="1:81" ht="15" customHeight="1">
      <c r="A292" s="470">
        <v>22178</v>
      </c>
      <c r="B292" s="471"/>
      <c r="C292" s="451">
        <f>T292</f>
        <v>84.91</v>
      </c>
      <c r="D292" s="471">
        <f>COUNTIF(AI292:AW292,"*OK*")</f>
        <v>0</v>
      </c>
      <c r="E292" s="471"/>
      <c r="F292" s="473" t="s">
        <v>905</v>
      </c>
      <c r="G292" s="473"/>
      <c r="H292" s="474"/>
      <c r="I292" s="474"/>
      <c r="J292" s="473"/>
      <c r="K292" s="473" t="s">
        <v>68</v>
      </c>
      <c r="L292" s="453" t="s">
        <v>461</v>
      </c>
      <c r="M292" s="473"/>
      <c r="N292" s="484" t="s">
        <v>191</v>
      </c>
      <c r="O292" s="477">
        <v>89.64</v>
      </c>
      <c r="P292" s="477">
        <v>103.34</v>
      </c>
      <c r="Q292" s="477">
        <v>82.07</v>
      </c>
      <c r="R292" s="478">
        <v>88.1</v>
      </c>
      <c r="S292" s="459">
        <v>85.847800000000007</v>
      </c>
      <c r="T292" s="487">
        <v>84.91</v>
      </c>
      <c r="U292" s="479"/>
      <c r="V292" s="480">
        <v>50</v>
      </c>
      <c r="W292" s="481"/>
      <c r="X292" s="572" t="s">
        <v>70</v>
      </c>
      <c r="Y292" s="483" t="s">
        <v>150</v>
      </c>
      <c r="Z292" s="484" t="s">
        <v>906</v>
      </c>
      <c r="AA292" s="480" t="s">
        <v>59</v>
      </c>
      <c r="AB292" s="474"/>
      <c r="AC292" s="471"/>
      <c r="AD292" s="471"/>
      <c r="AE292" s="471"/>
      <c r="AF292" s="471"/>
      <c r="AG292" s="471"/>
      <c r="AH292" s="494" t="s">
        <v>59</v>
      </c>
      <c r="AI292" s="467"/>
      <c r="AJ292" s="467"/>
      <c r="AK292" s="467"/>
      <c r="AL292" s="467"/>
      <c r="AM292" s="467"/>
      <c r="AN292" s="467"/>
      <c r="AO292" s="467"/>
      <c r="AP292" s="467"/>
      <c r="AQ292" s="467"/>
      <c r="AR292" s="467"/>
      <c r="AS292" s="467"/>
      <c r="AT292" s="467"/>
      <c r="AU292" s="467"/>
      <c r="AV292" s="467"/>
      <c r="AW292" s="467"/>
      <c r="AX292" s="467"/>
      <c r="AY292" s="486">
        <f>COUNTIF(AI292:AX292,"*OP*")</f>
        <v>0</v>
      </c>
      <c r="AZ292" s="485" t="s">
        <v>59</v>
      </c>
      <c r="BA292" s="471">
        <f>(COUNTIF(AI292:AK292,"*OK*")*3) + (COUNTIF(AL292:AN292,"*OK*")*2) + COUNTIF(AO292:AQ292,"*OK*")+COUNTIF(AZ292:AZ292,"SI")*0.5</f>
        <v>0</v>
      </c>
      <c r="BB292" s="471" t="str">
        <f>IF(BA292&lt;0.6,"Demasiado Riesgo",IF(BA292&lt;=5,"Riesgo Medio",IF(BA292&lt;=11,"Riesgo Bajo","Cliente Blindado")))</f>
        <v>Demasiado Riesgo</v>
      </c>
      <c r="BC292" s="471"/>
      <c r="BD292" s="471"/>
      <c r="BE292" s="471">
        <v>0</v>
      </c>
      <c r="BF292" s="471"/>
      <c r="BG292" s="471"/>
      <c r="BH292" s="471"/>
      <c r="BI292" s="471"/>
      <c r="BJ292" s="471"/>
      <c r="BK292" s="471"/>
      <c r="BL292" s="471"/>
      <c r="BM292" s="471"/>
      <c r="BN292" s="471"/>
      <c r="BO292" s="471"/>
      <c r="BP292" s="471"/>
      <c r="BQ292" s="471"/>
      <c r="BR292" s="471"/>
      <c r="BS292" s="471"/>
      <c r="BT292" s="471"/>
      <c r="BU292" s="471"/>
      <c r="BV292" s="471"/>
      <c r="BW292" s="471"/>
      <c r="BX292" s="471"/>
      <c r="BY292" s="471"/>
      <c r="BZ292" s="471"/>
      <c r="CA292" s="471">
        <f>COUNTIF(AI292:AW292,"*OK*")</f>
        <v>0</v>
      </c>
      <c r="CB292" s="471"/>
      <c r="CC292" s="471">
        <f>COUNTIF(AI292:AW292,"*OP*")</f>
        <v>0</v>
      </c>
    </row>
    <row r="293" spans="1:81" ht="15" customHeight="1">
      <c r="A293" s="470"/>
      <c r="B293" s="471"/>
      <c r="C293" s="451">
        <f>T293</f>
        <v>85.71</v>
      </c>
      <c r="D293" s="471">
        <f>COUNTIF(AM293:AX293,"OK")</f>
        <v>0</v>
      </c>
      <c r="E293" s="471"/>
      <c r="F293" s="471" t="s">
        <v>907</v>
      </c>
      <c r="G293" s="471"/>
      <c r="H293" s="474"/>
      <c r="I293" s="474"/>
      <c r="J293" s="471"/>
      <c r="K293" s="491" t="s">
        <v>68</v>
      </c>
      <c r="L293" s="453" t="s">
        <v>461</v>
      </c>
      <c r="M293" s="471"/>
      <c r="N293" s="484"/>
      <c r="O293" s="457"/>
      <c r="P293" s="457"/>
      <c r="Q293" s="457"/>
      <c r="R293" s="458"/>
      <c r="S293" s="459">
        <v>86.656599999999997</v>
      </c>
      <c r="T293" s="547">
        <v>85.71</v>
      </c>
      <c r="U293" s="479"/>
      <c r="V293" s="480" t="s">
        <v>59</v>
      </c>
      <c r="W293" s="471"/>
      <c r="X293" s="493"/>
      <c r="Y293" s="483"/>
      <c r="Z293" s="484"/>
      <c r="AA293" s="494" t="s">
        <v>59</v>
      </c>
      <c r="AB293" s="474"/>
      <c r="AC293" s="471"/>
      <c r="AD293" s="471"/>
      <c r="AE293" s="471"/>
      <c r="AF293" s="471"/>
      <c r="AG293" s="471"/>
      <c r="AH293" s="622"/>
      <c r="AI293" s="618"/>
      <c r="AJ293" s="618"/>
      <c r="AK293" s="618"/>
      <c r="AL293" s="618"/>
      <c r="AM293" s="618"/>
      <c r="AN293" s="618"/>
      <c r="AO293" s="618"/>
      <c r="AP293" s="618"/>
      <c r="AQ293" s="618"/>
      <c r="AR293" s="618"/>
      <c r="AS293" s="618"/>
      <c r="AT293" s="618"/>
      <c r="AU293" s="618"/>
      <c r="AV293" s="618"/>
      <c r="AW293" s="618"/>
      <c r="AX293" s="618"/>
      <c r="AY293" s="619">
        <f>COUNTIF(AI293:AX293,"*OP*")</f>
        <v>0</v>
      </c>
      <c r="AZ293" s="623"/>
      <c r="BA293" s="471">
        <f>(COUNTIF(AI293:AK293,"*OK*")*3) + (COUNTIF(AL293:AN293,"*OK*")*2) + COUNTIF(AO293:AQ293,"*OK*")+COUNTIF(AZ293:AZ293,"SI")*0.5</f>
        <v>0</v>
      </c>
      <c r="BB293" s="471" t="str">
        <f>IF(BA293&lt;0.6,"Demasiado Riesgo",IF(BA293&lt;=5,"Riesgo Medio",IF(BA293&lt;=11,"Riesgo Bajo","Cliente Blindado")))</f>
        <v>Demasiado Riesgo</v>
      </c>
      <c r="BC293" s="471"/>
      <c r="BD293" s="471"/>
      <c r="BE293" s="471"/>
      <c r="BF293" s="471"/>
      <c r="BG293" s="471"/>
      <c r="BH293" s="471"/>
      <c r="BI293" s="471"/>
      <c r="BJ293" s="471"/>
      <c r="BK293" s="471"/>
      <c r="BL293" s="471"/>
      <c r="BM293" s="471"/>
      <c r="BN293" s="471"/>
      <c r="BO293" s="471"/>
      <c r="BP293" s="471"/>
      <c r="BQ293" s="471"/>
      <c r="BR293" s="471"/>
      <c r="BS293" s="471"/>
      <c r="BT293" s="471"/>
      <c r="BU293" s="471"/>
      <c r="BV293" s="471"/>
      <c r="BW293" s="471"/>
      <c r="BX293" s="471"/>
      <c r="BY293" s="471"/>
      <c r="BZ293" s="471"/>
      <c r="CA293" s="471">
        <f>COUNTIF(AI293:AW293,"*OK*")</f>
        <v>0</v>
      </c>
    </row>
    <row r="294" spans="1:81" ht="15" customHeight="1">
      <c r="A294" s="449">
        <v>36846</v>
      </c>
      <c r="B294" s="450"/>
      <c r="C294" s="451">
        <f>T294</f>
        <v>86.85</v>
      </c>
      <c r="D294" s="450">
        <f>COUNTIF(AI294:AW294,"*OK*")</f>
        <v>0</v>
      </c>
      <c r="E294" s="450"/>
      <c r="F294" s="453" t="s">
        <v>908</v>
      </c>
      <c r="G294" s="453"/>
      <c r="H294" s="454"/>
      <c r="I294" s="454"/>
      <c r="J294" s="453"/>
      <c r="K294" s="455" t="s">
        <v>68</v>
      </c>
      <c r="L294" s="453" t="s">
        <v>461</v>
      </c>
      <c r="M294" s="453"/>
      <c r="N294" s="466" t="s">
        <v>282</v>
      </c>
      <c r="O294" s="457"/>
      <c r="P294" s="457"/>
      <c r="Q294" s="457">
        <v>83.94</v>
      </c>
      <c r="R294" s="458">
        <v>86.65</v>
      </c>
      <c r="S294" s="459">
        <v>87.811999999999998</v>
      </c>
      <c r="T294" s="469">
        <v>86.85</v>
      </c>
      <c r="U294" s="461"/>
      <c r="V294" s="462">
        <v>100</v>
      </c>
      <c r="W294" s="463"/>
      <c r="X294" s="562" t="s">
        <v>70</v>
      </c>
      <c r="Y294" s="465" t="s">
        <v>71</v>
      </c>
      <c r="Z294" s="466" t="s">
        <v>909</v>
      </c>
      <c r="AA294" s="462" t="s">
        <v>284</v>
      </c>
      <c r="AB294" s="454"/>
      <c r="AC294" s="450"/>
      <c r="AD294" s="450"/>
      <c r="AE294" s="450"/>
      <c r="AF294" s="450"/>
      <c r="AG294" s="450"/>
      <c r="AH294" s="496" t="s">
        <v>59</v>
      </c>
      <c r="AI294" s="467"/>
      <c r="AJ294" s="467"/>
      <c r="AK294" s="467"/>
      <c r="AL294" s="467"/>
      <c r="AM294" s="467"/>
      <c r="AN294" s="467"/>
      <c r="AO294" s="467"/>
      <c r="AP294" s="467"/>
      <c r="AQ294" s="467"/>
      <c r="AR294" s="467"/>
      <c r="AS294" s="467"/>
      <c r="AT294" s="467"/>
      <c r="AU294" s="467"/>
      <c r="AV294" s="467"/>
      <c r="AW294" s="467"/>
      <c r="AX294" s="467"/>
      <c r="AY294" s="486">
        <f>COUNTIF(AI294:AX294,"*OP*")</f>
        <v>0</v>
      </c>
      <c r="AZ294" s="499" t="s">
        <v>59</v>
      </c>
      <c r="BA294" s="450">
        <f>(COUNTIF(AI294:AK294,"*OK*")*3) + (COUNTIF(AL294:AN294,"*OK*")*2) + COUNTIF(AO294:AQ294,"*OK*")+COUNTIF(AZ294:AZ294,"SI")*0.5</f>
        <v>0</v>
      </c>
      <c r="BB294" s="450" t="str">
        <f>IF(BA294&lt;0.6,"Demasiado Riesgo",IF(BA294&lt;=5,"Riesgo Medio",IF(BA294&lt;=11,"Riesgo Bajo","Cliente Blindado")))</f>
        <v>Demasiado Riesgo</v>
      </c>
      <c r="BC294" s="450"/>
      <c r="BD294" s="450"/>
      <c r="BE294" s="450">
        <v>0</v>
      </c>
      <c r="BF294" s="450"/>
      <c r="BG294" s="450"/>
      <c r="BH294" s="450"/>
      <c r="BI294" s="450"/>
      <c r="BJ294" s="450"/>
      <c r="BK294" s="450"/>
      <c r="BL294" s="450"/>
      <c r="BM294" s="450"/>
      <c r="BN294" s="450"/>
      <c r="BO294" s="450"/>
      <c r="BP294" s="450"/>
      <c r="BQ294" s="450"/>
      <c r="BR294" s="450"/>
      <c r="BS294" s="450"/>
      <c r="BT294" s="450"/>
      <c r="BU294" s="450"/>
      <c r="BV294" s="450"/>
      <c r="BW294" s="450"/>
      <c r="BX294" s="450"/>
      <c r="BY294" s="450"/>
      <c r="BZ294" s="450"/>
      <c r="CA294" s="450">
        <f>COUNTIF(AI294:AW294,"*OK*")</f>
        <v>0</v>
      </c>
      <c r="CB294" s="450"/>
      <c r="CC294" s="450">
        <f>COUNTIF(AI294:AW294,"*OP*")</f>
        <v>0</v>
      </c>
    </row>
    <row r="295" spans="1:81" ht="15" customHeight="1">
      <c r="A295" s="470"/>
      <c r="B295" s="471"/>
      <c r="C295" s="451">
        <f>T295</f>
        <v>89.13</v>
      </c>
      <c r="D295" s="471">
        <f>COUNTIF(AI295:AW295,"*OK*")</f>
        <v>0</v>
      </c>
      <c r="E295" s="471"/>
      <c r="F295" s="473" t="s">
        <v>910</v>
      </c>
      <c r="G295" s="473"/>
      <c r="H295" s="474"/>
      <c r="I295" s="474"/>
      <c r="J295" s="473"/>
      <c r="K295" s="475" t="s">
        <v>68</v>
      </c>
      <c r="L295" s="453" t="s">
        <v>461</v>
      </c>
      <c r="M295" s="473"/>
      <c r="N295" s="484" t="s">
        <v>65</v>
      </c>
      <c r="O295" s="477">
        <v>88.17</v>
      </c>
      <c r="P295" s="477">
        <v>83.45</v>
      </c>
      <c r="Q295" s="477">
        <v>75.11</v>
      </c>
      <c r="R295" s="478">
        <v>72.97</v>
      </c>
      <c r="S295" s="459">
        <v>73.947000000000003</v>
      </c>
      <c r="T295" s="490">
        <v>89.13</v>
      </c>
      <c r="U295" s="479"/>
      <c r="V295" s="480">
        <v>50</v>
      </c>
      <c r="W295" s="481"/>
      <c r="X295" s="572" t="s">
        <v>70</v>
      </c>
      <c r="Y295" s="483" t="s">
        <v>299</v>
      </c>
      <c r="Z295" s="484" t="s">
        <v>911</v>
      </c>
      <c r="AA295" s="480" t="s">
        <v>59</v>
      </c>
      <c r="AB295" s="474"/>
      <c r="AC295" s="471"/>
      <c r="AD295" s="471"/>
      <c r="AE295" s="471"/>
      <c r="AF295" s="471"/>
      <c r="AG295" s="471"/>
      <c r="AH295" s="494" t="s">
        <v>59</v>
      </c>
      <c r="AI295" s="467"/>
      <c r="AJ295" s="467"/>
      <c r="AK295" s="467"/>
      <c r="AL295" s="467"/>
      <c r="AM295" s="467"/>
      <c r="AN295" s="467"/>
      <c r="AO295" s="467"/>
      <c r="AP295" s="467"/>
      <c r="AQ295" s="467"/>
      <c r="AR295" s="467"/>
      <c r="AS295" s="467"/>
      <c r="AT295" s="467"/>
      <c r="AU295" s="467"/>
      <c r="AV295" s="467"/>
      <c r="AW295" s="467"/>
      <c r="AX295" s="467"/>
      <c r="AY295" s="486">
        <f>COUNTIF(AI295:AX295,"*OP*")</f>
        <v>0</v>
      </c>
      <c r="AZ295" s="485" t="s">
        <v>59</v>
      </c>
      <c r="BA295" s="471">
        <f>(COUNTIF(AI295:AK295,"*OK*")*3) + (COUNTIF(AL295:AN295,"*OK*")*2) + COUNTIF(AO295:AQ295,"*OK*")+COUNTIF(AZ295:AZ295,"SI")*0.5</f>
        <v>0</v>
      </c>
      <c r="BB295" s="471" t="str">
        <f>IF(BA295&lt;0.6,"Demasiado Riesgo",IF(BA295&lt;=5,"Riesgo Medio",IF(BA295&lt;=11,"Riesgo Bajo","Cliente Blindado")))</f>
        <v>Demasiado Riesgo</v>
      </c>
      <c r="BC295" s="471"/>
      <c r="BD295" s="471"/>
      <c r="BE295" s="471">
        <v>0</v>
      </c>
      <c r="BF295" s="471"/>
      <c r="BG295" s="471"/>
      <c r="BH295" s="471"/>
      <c r="BI295" s="471"/>
      <c r="BJ295" s="471"/>
      <c r="BK295" s="471"/>
      <c r="BL295" s="471"/>
      <c r="BM295" s="471"/>
      <c r="BN295" s="471"/>
      <c r="BO295" s="471"/>
      <c r="BP295" s="471"/>
      <c r="BQ295" s="471"/>
      <c r="BR295" s="471"/>
      <c r="BS295" s="471"/>
      <c r="BT295" s="471"/>
      <c r="BU295" s="471"/>
      <c r="BV295" s="471"/>
      <c r="BW295" s="471"/>
      <c r="BX295" s="471"/>
      <c r="BY295" s="471"/>
      <c r="BZ295" s="471"/>
      <c r="CA295" s="471">
        <f>COUNTIF(AI295:AW295,"*OK*")</f>
        <v>0</v>
      </c>
      <c r="CB295" s="471"/>
      <c r="CC295" s="471">
        <f>COUNTIF(AI295:AW295,"*OP*")</f>
        <v>0</v>
      </c>
    </row>
    <row r="296" spans="1:81" ht="15" customHeight="1">
      <c r="A296" s="449">
        <v>36024</v>
      </c>
      <c r="B296" s="450"/>
      <c r="C296" s="451">
        <f>T296</f>
        <v>89.99</v>
      </c>
      <c r="D296" s="450">
        <f>COUNTIF(AI296:AW296,"*OK*")</f>
        <v>0</v>
      </c>
      <c r="E296" s="450"/>
      <c r="F296" s="453" t="s">
        <v>912</v>
      </c>
      <c r="G296" s="453"/>
      <c r="H296" s="454"/>
      <c r="I296" s="454"/>
      <c r="J296" s="453"/>
      <c r="K296" s="455" t="s">
        <v>68</v>
      </c>
      <c r="L296" s="453" t="s">
        <v>461</v>
      </c>
      <c r="M296" s="453"/>
      <c r="N296" s="466" t="s">
        <v>65</v>
      </c>
      <c r="O296" s="457"/>
      <c r="P296" s="457">
        <v>73.89</v>
      </c>
      <c r="Q296" s="457">
        <v>74.56</v>
      </c>
      <c r="R296" s="458">
        <v>76.959999999999994</v>
      </c>
      <c r="S296" s="459">
        <v>82.323800000000006</v>
      </c>
      <c r="T296" s="460">
        <v>89.99</v>
      </c>
      <c r="U296" s="461"/>
      <c r="V296" s="462">
        <v>50</v>
      </c>
      <c r="W296" s="463"/>
      <c r="X296" s="567" t="s">
        <v>70</v>
      </c>
      <c r="Y296" s="465" t="s">
        <v>71</v>
      </c>
      <c r="Z296" s="466" t="s">
        <v>913</v>
      </c>
      <c r="AA296" s="462" t="s">
        <v>59</v>
      </c>
      <c r="AB296" s="454"/>
      <c r="AC296" s="450"/>
      <c r="AD296" s="450"/>
      <c r="AE296" s="450"/>
      <c r="AF296" s="450"/>
      <c r="AG296" s="450"/>
      <c r="AH296" s="496" t="s">
        <v>59</v>
      </c>
      <c r="AI296" s="467"/>
      <c r="AJ296" s="467"/>
      <c r="AK296" s="467"/>
      <c r="AL296" s="467"/>
      <c r="AM296" s="467"/>
      <c r="AN296" s="467"/>
      <c r="AO296" s="467"/>
      <c r="AP296" s="467"/>
      <c r="AQ296" s="467"/>
      <c r="AR296" s="467"/>
      <c r="AS296" s="467"/>
      <c r="AT296" s="467"/>
      <c r="AU296" s="467"/>
      <c r="AV296" s="467"/>
      <c r="AW296" s="467"/>
      <c r="AX296" s="467"/>
      <c r="AY296" s="486">
        <f>COUNTIF(AI296:AX296,"*OP*")</f>
        <v>0</v>
      </c>
      <c r="AZ296" s="499" t="s">
        <v>59</v>
      </c>
      <c r="BA296" s="450">
        <f>(COUNTIF(AI296:AK296,"*OK*")*3) + (COUNTIF(AL296:AN296,"*OK*")*2) + COUNTIF(AO296:AQ296,"*OK*")+COUNTIF(AZ296:AZ296,"SI")*0.5</f>
        <v>0</v>
      </c>
      <c r="BB296" s="450" t="str">
        <f>IF(BA296&lt;0.6,"Demasiado Riesgo",IF(BA296&lt;=5,"Riesgo Medio",IF(BA296&lt;=11,"Riesgo Bajo","Cliente Blindado")))</f>
        <v>Demasiado Riesgo</v>
      </c>
      <c r="BC296" s="450"/>
      <c r="BD296" s="450"/>
      <c r="BE296" s="450">
        <v>0</v>
      </c>
      <c r="BF296" s="450"/>
      <c r="BG296" s="450"/>
      <c r="BH296" s="450"/>
      <c r="BI296" s="450"/>
      <c r="BJ296" s="450"/>
      <c r="BK296" s="450"/>
      <c r="BL296" s="450"/>
      <c r="BM296" s="450"/>
      <c r="BN296" s="450"/>
      <c r="BO296" s="450"/>
      <c r="BP296" s="450"/>
      <c r="BQ296" s="450"/>
      <c r="BR296" s="450"/>
      <c r="BS296" s="450"/>
      <c r="BT296" s="450"/>
      <c r="BU296" s="450"/>
      <c r="BV296" s="450"/>
      <c r="BW296" s="450"/>
      <c r="BX296" s="450"/>
      <c r="BY296" s="450"/>
      <c r="BZ296" s="450"/>
      <c r="CA296" s="450">
        <f>COUNTIF(AI296:AW296,"*OK*")</f>
        <v>0</v>
      </c>
      <c r="CB296" s="450"/>
      <c r="CC296" s="450">
        <f>COUNTIF(AI296:AW296,"*OP*")</f>
        <v>0</v>
      </c>
    </row>
    <row r="297" spans="1:81" ht="15" customHeight="1">
      <c r="A297" s="449">
        <v>24926</v>
      </c>
      <c r="B297" s="450"/>
      <c r="C297" s="451">
        <f>T297</f>
        <v>91.68</v>
      </c>
      <c r="D297" s="450">
        <f>COUNTIF(AI297:AW297,"*OK*")</f>
        <v>0</v>
      </c>
      <c r="E297" s="450"/>
      <c r="F297" s="453" t="s">
        <v>914</v>
      </c>
      <c r="G297" s="453"/>
      <c r="H297" s="454"/>
      <c r="I297" s="454"/>
      <c r="J297" s="453"/>
      <c r="K297" s="453" t="s">
        <v>68</v>
      </c>
      <c r="L297" s="453" t="s">
        <v>461</v>
      </c>
      <c r="M297" s="453"/>
      <c r="N297" s="466" t="s">
        <v>191</v>
      </c>
      <c r="O297" s="457">
        <v>87.42</v>
      </c>
      <c r="P297" s="457">
        <v>95.8</v>
      </c>
      <c r="Q297" s="457">
        <v>85.92</v>
      </c>
      <c r="R297" s="458">
        <v>91.46</v>
      </c>
      <c r="S297" s="459">
        <v>92.691400000000002</v>
      </c>
      <c r="T297" s="469">
        <v>91.68</v>
      </c>
      <c r="U297" s="461"/>
      <c r="V297" s="462">
        <v>100</v>
      </c>
      <c r="W297" s="463"/>
      <c r="X297" s="567" t="s">
        <v>70</v>
      </c>
      <c r="Y297" s="465" t="s">
        <v>89</v>
      </c>
      <c r="Z297" s="466" t="s">
        <v>915</v>
      </c>
      <c r="AA297" s="462" t="s">
        <v>59</v>
      </c>
      <c r="AB297" s="454"/>
      <c r="AC297" s="450"/>
      <c r="AD297" s="450"/>
      <c r="AE297" s="450"/>
      <c r="AF297" s="450"/>
      <c r="AG297" s="450"/>
      <c r="AH297" s="496" t="s">
        <v>59</v>
      </c>
      <c r="AI297" s="467"/>
      <c r="AJ297" s="467"/>
      <c r="AK297" s="467"/>
      <c r="AL297" s="467"/>
      <c r="AM297" s="467"/>
      <c r="AN297" s="467"/>
      <c r="AO297" s="467"/>
      <c r="AP297" s="467"/>
      <c r="AQ297" s="467"/>
      <c r="AR297" s="467"/>
      <c r="AS297" s="467"/>
      <c r="AT297" s="467"/>
      <c r="AU297" s="467"/>
      <c r="AV297" s="467"/>
      <c r="AW297" s="467"/>
      <c r="AX297" s="467"/>
      <c r="AY297" s="486">
        <f>COUNTIF(AI297:AX297,"*OP*")</f>
        <v>0</v>
      </c>
      <c r="AZ297" s="499" t="s">
        <v>59</v>
      </c>
      <c r="BA297" s="450">
        <f>(COUNTIF(AI297:AK297,"*OK*")*3) + (COUNTIF(AL297:AN297,"*OK*")*2) + COUNTIF(AO297:AQ297,"*OK*")+COUNTIF(AZ297:AZ297,"SI")*0.5</f>
        <v>0</v>
      </c>
      <c r="BB297" s="450" t="str">
        <f>IF(BA297&lt;0.6,"Demasiado Riesgo",IF(BA297&lt;=5,"Riesgo Medio",IF(BA297&lt;=11,"Riesgo Bajo","Cliente Blindado")))</f>
        <v>Demasiado Riesgo</v>
      </c>
      <c r="BC297" s="450"/>
      <c r="BD297" s="450"/>
      <c r="BE297" s="450">
        <v>0</v>
      </c>
      <c r="BF297" s="450"/>
      <c r="BG297" s="450"/>
      <c r="BH297" s="450"/>
      <c r="BI297" s="450"/>
      <c r="BJ297" s="450"/>
      <c r="BK297" s="450"/>
      <c r="BL297" s="450"/>
      <c r="BM297" s="450"/>
      <c r="BN297" s="450"/>
      <c r="BO297" s="450"/>
      <c r="BP297" s="450"/>
      <c r="BQ297" s="450"/>
      <c r="BR297" s="450"/>
      <c r="BS297" s="450"/>
      <c r="BT297" s="450"/>
      <c r="BU297" s="450"/>
      <c r="BV297" s="450"/>
      <c r="BW297" s="450"/>
      <c r="BX297" s="450"/>
      <c r="BY297" s="450"/>
      <c r="BZ297" s="450"/>
      <c r="CA297" s="450">
        <f>COUNTIF(AI297:AW297,"*OK*")</f>
        <v>0</v>
      </c>
      <c r="CB297" s="450"/>
      <c r="CC297" s="450">
        <f>COUNTIF(AI297:AW297,"*OP*")</f>
        <v>0</v>
      </c>
    </row>
    <row r="298" spans="1:81" ht="15" customHeight="1">
      <c r="A298" s="449">
        <v>22345</v>
      </c>
      <c r="B298" s="450"/>
      <c r="C298" s="451">
        <f>T298</f>
        <v>92.61</v>
      </c>
      <c r="D298" s="450">
        <f>COUNTIF(AI298:AW298,"*OK*")</f>
        <v>0</v>
      </c>
      <c r="E298" s="450"/>
      <c r="F298" s="453" t="s">
        <v>916</v>
      </c>
      <c r="G298" s="453"/>
      <c r="H298" s="454"/>
      <c r="I298" s="454"/>
      <c r="J298" s="453"/>
      <c r="K298" s="453" t="s">
        <v>68</v>
      </c>
      <c r="L298" s="453" t="s">
        <v>461</v>
      </c>
      <c r="M298" s="453"/>
      <c r="N298" s="466" t="s">
        <v>65</v>
      </c>
      <c r="O298" s="457">
        <v>98.71</v>
      </c>
      <c r="P298" s="457">
        <v>98.62</v>
      </c>
      <c r="Q298" s="457">
        <v>89.51</v>
      </c>
      <c r="R298" s="458">
        <v>92.39</v>
      </c>
      <c r="S298" s="459">
        <v>93.635400000000004</v>
      </c>
      <c r="T298" s="469">
        <v>92.61</v>
      </c>
      <c r="U298" s="461"/>
      <c r="V298" s="462">
        <v>100</v>
      </c>
      <c r="W298" s="463"/>
      <c r="X298" s="567" t="s">
        <v>70</v>
      </c>
      <c r="Y298" s="465" t="s">
        <v>150</v>
      </c>
      <c r="Z298" s="466" t="s">
        <v>917</v>
      </c>
      <c r="AA298" s="462" t="s">
        <v>59</v>
      </c>
      <c r="AB298" s="454"/>
      <c r="AC298" s="450"/>
      <c r="AD298" s="450"/>
      <c r="AE298" s="450"/>
      <c r="AF298" s="450"/>
      <c r="AG298" s="450"/>
      <c r="AH298" s="496" t="s">
        <v>59</v>
      </c>
      <c r="AI298" s="467"/>
      <c r="AJ298" s="467"/>
      <c r="AK298" s="467"/>
      <c r="AL298" s="467"/>
      <c r="AM298" s="467"/>
      <c r="AN298" s="467"/>
      <c r="AO298" s="467"/>
      <c r="AP298" s="467"/>
      <c r="AQ298" s="467"/>
      <c r="AR298" s="467"/>
      <c r="AS298" s="467"/>
      <c r="AT298" s="467"/>
      <c r="AU298" s="467"/>
      <c r="AV298" s="467"/>
      <c r="AW298" s="467"/>
      <c r="AX298" s="467"/>
      <c r="AY298" s="486">
        <f>COUNTIF(AI298:AX298,"*OP*")</f>
        <v>0</v>
      </c>
      <c r="AZ298" s="499" t="s">
        <v>59</v>
      </c>
      <c r="BA298" s="450">
        <f>(COUNTIF(AI298:AK298,"*OK*")*3) + (COUNTIF(AL298:AN298,"*OK*")*2) + COUNTIF(AO298:AQ298,"*OK*")+COUNTIF(AZ298:AZ298,"SI")*0.5</f>
        <v>0</v>
      </c>
      <c r="BB298" s="450" t="str">
        <f>IF(BA298&lt;0.6,"Demasiado Riesgo",IF(BA298&lt;=5,"Riesgo Medio",IF(BA298&lt;=11,"Riesgo Bajo","Cliente Blindado")))</f>
        <v>Demasiado Riesgo</v>
      </c>
      <c r="BC298" s="450"/>
      <c r="BD298" s="450"/>
      <c r="BE298" s="450">
        <v>0</v>
      </c>
      <c r="BF298" s="450"/>
      <c r="BG298" s="450"/>
      <c r="BH298" s="450"/>
      <c r="BI298" s="450"/>
      <c r="BJ298" s="450"/>
      <c r="BK298" s="450"/>
      <c r="BL298" s="450"/>
      <c r="BM298" s="450"/>
      <c r="BN298" s="450"/>
      <c r="BO298" s="450"/>
      <c r="BP298" s="450"/>
      <c r="BQ298" s="450"/>
      <c r="BR298" s="450"/>
      <c r="BS298" s="450"/>
      <c r="BT298" s="450"/>
      <c r="BU298" s="450"/>
      <c r="BV298" s="450"/>
      <c r="BW298" s="450"/>
      <c r="BX298" s="450"/>
      <c r="BY298" s="450"/>
      <c r="BZ298" s="450"/>
      <c r="CA298" s="450">
        <f>COUNTIF(AI298:AW298,"*OK*")</f>
        <v>0</v>
      </c>
      <c r="CB298" s="450"/>
      <c r="CC298" s="450">
        <f>COUNTIF(AI298:AW298,"*OP*")</f>
        <v>0</v>
      </c>
    </row>
    <row r="299" spans="1:81" ht="15" customHeight="1">
      <c r="A299" s="470">
        <v>30111</v>
      </c>
      <c r="B299" s="471"/>
      <c r="C299" s="451">
        <f>T299</f>
        <v>93.59</v>
      </c>
      <c r="D299" s="471">
        <f>COUNTIF(AI299:AW299,"*OK*")</f>
        <v>0</v>
      </c>
      <c r="E299" s="471"/>
      <c r="F299" s="473" t="s">
        <v>918</v>
      </c>
      <c r="G299" s="473"/>
      <c r="H299" s="474"/>
      <c r="I299" s="474"/>
      <c r="J299" s="473"/>
      <c r="K299" s="473" t="s">
        <v>68</v>
      </c>
      <c r="L299" s="453" t="s">
        <v>461</v>
      </c>
      <c r="M299" s="473"/>
      <c r="N299" s="484" t="s">
        <v>65</v>
      </c>
      <c r="O299" s="477">
        <v>95.01</v>
      </c>
      <c r="P299" s="477">
        <v>94.92</v>
      </c>
      <c r="Q299" s="477">
        <v>90.46</v>
      </c>
      <c r="R299" s="478">
        <v>93.37</v>
      </c>
      <c r="S299" s="459">
        <v>94.629000000000005</v>
      </c>
      <c r="T299" s="487">
        <v>93.59</v>
      </c>
      <c r="U299" s="479"/>
      <c r="V299" s="480">
        <v>500</v>
      </c>
      <c r="W299" s="481"/>
      <c r="X299" s="493" t="s">
        <v>251</v>
      </c>
      <c r="Y299" s="483" t="s">
        <v>80</v>
      </c>
      <c r="Z299" s="484" t="s">
        <v>919</v>
      </c>
      <c r="AA299" s="480" t="s">
        <v>59</v>
      </c>
      <c r="AB299" s="474"/>
      <c r="AC299" s="471"/>
      <c r="AD299" s="471"/>
      <c r="AE299" s="471"/>
      <c r="AF299" s="471"/>
      <c r="AG299" s="471"/>
      <c r="AH299" s="494" t="s">
        <v>59</v>
      </c>
      <c r="AI299" s="467"/>
      <c r="AJ299" s="467"/>
      <c r="AK299" s="467"/>
      <c r="AL299" s="467"/>
      <c r="AM299" s="467"/>
      <c r="AN299" s="467"/>
      <c r="AO299" s="467"/>
      <c r="AP299" s="467"/>
      <c r="AQ299" s="467"/>
      <c r="AR299" s="467"/>
      <c r="AS299" s="467"/>
      <c r="AT299" s="467"/>
      <c r="AU299" s="467"/>
      <c r="AV299" s="467"/>
      <c r="AW299" s="467"/>
      <c r="AX299" s="467"/>
      <c r="AY299" s="486">
        <f>COUNTIF(AI299:AX299,"*OP*")</f>
        <v>0</v>
      </c>
      <c r="AZ299" s="485" t="s">
        <v>59</v>
      </c>
      <c r="BA299" s="471">
        <f>(COUNTIF(AI299:AK299,"*OK*")*3) + (COUNTIF(AL299:AN299,"*OK*")*2) + COUNTIF(AO299:AQ299,"*OK*")+COUNTIF(AZ299:AZ299,"SI")*0.5</f>
        <v>0</v>
      </c>
      <c r="BB299" s="471" t="str">
        <f>IF(BA299&lt;0.6,"Demasiado Riesgo",IF(BA299&lt;=5,"Riesgo Medio",IF(BA299&lt;=11,"Riesgo Bajo","Cliente Blindado")))</f>
        <v>Demasiado Riesgo</v>
      </c>
      <c r="BC299" s="471"/>
      <c r="BD299" s="471"/>
      <c r="BE299" s="471">
        <v>0</v>
      </c>
      <c r="BF299" s="471"/>
      <c r="BG299" s="471"/>
      <c r="BH299" s="471"/>
      <c r="BI299" s="471"/>
      <c r="BJ299" s="471"/>
      <c r="BK299" s="471"/>
      <c r="BL299" s="471"/>
      <c r="BM299" s="471"/>
      <c r="BN299" s="471"/>
      <c r="BO299" s="471"/>
      <c r="BP299" s="471"/>
      <c r="BQ299" s="471"/>
      <c r="BR299" s="471"/>
      <c r="BS299" s="471"/>
      <c r="BT299" s="471"/>
      <c r="BU299" s="471"/>
      <c r="BV299" s="471"/>
      <c r="BW299" s="471"/>
      <c r="BX299" s="471"/>
      <c r="BY299" s="471"/>
      <c r="BZ299" s="471"/>
      <c r="CA299" s="471">
        <f>COUNTIF(AI299:AW299,"*OK*")</f>
        <v>0</v>
      </c>
      <c r="CB299" s="471"/>
      <c r="CC299" s="471">
        <f>COUNTIF(AI299:AW299,"*OP*")</f>
        <v>0</v>
      </c>
    </row>
    <row r="300" spans="1:81" ht="15" customHeight="1">
      <c r="A300" s="470">
        <v>34359</v>
      </c>
      <c r="B300" s="471"/>
      <c r="C300" s="451">
        <f>T300</f>
        <v>94.28</v>
      </c>
      <c r="D300" s="471">
        <f>COUNTIF(AI300:AW300,"*OK*")</f>
        <v>0</v>
      </c>
      <c r="E300" s="471"/>
      <c r="F300" s="473" t="s">
        <v>920</v>
      </c>
      <c r="G300" s="473"/>
      <c r="H300" s="454" t="s">
        <v>451</v>
      </c>
      <c r="I300" s="474"/>
      <c r="J300" s="473"/>
      <c r="K300" s="475" t="s">
        <v>68</v>
      </c>
      <c r="L300" s="536" t="s">
        <v>445</v>
      </c>
      <c r="M300" s="536"/>
      <c r="N300" s="484" t="s">
        <v>156</v>
      </c>
      <c r="O300" s="477">
        <v>104.41</v>
      </c>
      <c r="P300" s="477">
        <v>108.66</v>
      </c>
      <c r="Q300" s="477">
        <v>99.41</v>
      </c>
      <c r="R300" s="478">
        <v>98.33</v>
      </c>
      <c r="S300" s="459">
        <v>108.3207</v>
      </c>
      <c r="T300" s="487">
        <v>94.28</v>
      </c>
      <c r="U300" s="479"/>
      <c r="V300" s="480">
        <v>200</v>
      </c>
      <c r="W300" s="481"/>
      <c r="X300" s="572" t="s">
        <v>70</v>
      </c>
      <c r="Y300" s="483" t="s">
        <v>89</v>
      </c>
      <c r="Z300" s="484" t="s">
        <v>921</v>
      </c>
      <c r="AA300" s="480" t="s">
        <v>71</v>
      </c>
      <c r="AB300" s="474"/>
      <c r="AC300" s="471"/>
      <c r="AD300" s="471"/>
      <c r="AE300" s="471"/>
      <c r="AF300" s="471"/>
      <c r="AG300" s="471"/>
      <c r="AH300" s="494" t="s">
        <v>59</v>
      </c>
      <c r="AI300" s="467"/>
      <c r="AJ300" s="467"/>
      <c r="AK300" s="467"/>
      <c r="AL300" s="467"/>
      <c r="AM300" s="467"/>
      <c r="AN300" s="467"/>
      <c r="AO300" s="467"/>
      <c r="AP300" s="467"/>
      <c r="AQ300" s="467"/>
      <c r="AR300" s="467"/>
      <c r="AS300" s="467"/>
      <c r="AT300" s="467"/>
      <c r="AU300" s="467"/>
      <c r="AV300" s="467"/>
      <c r="AW300" s="467"/>
      <c r="AX300" s="467"/>
      <c r="AY300" s="486">
        <f>COUNTIF(AI300:AX300,"*OP*")</f>
        <v>0</v>
      </c>
      <c r="AZ300" s="485" t="s">
        <v>59</v>
      </c>
      <c r="BA300" s="471">
        <f>(COUNTIF(AI300:AK300,"*OK*")*3) + (COUNTIF(AL300:AN300,"*OK*")*2) + COUNTIF(AO300:AQ300,"*OK*")+COUNTIF(AZ300:AZ300,"SI")*0.5</f>
        <v>0</v>
      </c>
      <c r="BB300" s="471" t="str">
        <f>IF(BA300&lt;0.6,"Demasiado Riesgo",IF(BA300&lt;=5,"Riesgo Medio",IF(BA300&lt;=11,"Riesgo Bajo","Cliente Blindado")))</f>
        <v>Demasiado Riesgo</v>
      </c>
      <c r="BC300" s="471"/>
      <c r="BD300" s="471"/>
      <c r="BE300" s="471">
        <v>0</v>
      </c>
      <c r="BF300" s="471"/>
      <c r="BG300" s="471"/>
      <c r="BH300" s="471"/>
      <c r="BI300" s="471"/>
      <c r="BJ300" s="471"/>
      <c r="BK300" s="471"/>
      <c r="BL300" s="471"/>
      <c r="BM300" s="471"/>
      <c r="BN300" s="471"/>
      <c r="BO300" s="471"/>
      <c r="BP300" s="471"/>
      <c r="BQ300" s="471"/>
      <c r="BR300" s="471"/>
      <c r="BS300" s="471"/>
      <c r="BT300" s="471"/>
      <c r="BU300" s="471"/>
      <c r="BV300" s="471"/>
      <c r="BW300" s="471"/>
      <c r="BX300" s="471"/>
      <c r="BY300" s="471"/>
      <c r="BZ300" s="471"/>
      <c r="CA300" s="471">
        <f>COUNTIF(AI300:AW300,"*OK*")</f>
        <v>0</v>
      </c>
      <c r="CB300" s="471"/>
      <c r="CC300" s="471">
        <f>COUNTIF(AI300:AW300,"*OP*")</f>
        <v>0</v>
      </c>
    </row>
    <row r="301" spans="1:81" ht="15" customHeight="1">
      <c r="A301" s="449"/>
      <c r="B301" s="450"/>
      <c r="C301" s="451">
        <f>T301</f>
        <v>94.5</v>
      </c>
      <c r="D301" s="450">
        <f>COUNTIF(AI301:AW301,"*OK*")</f>
        <v>0</v>
      </c>
      <c r="E301" s="450"/>
      <c r="F301" s="453" t="s">
        <v>922</v>
      </c>
      <c r="G301" s="453"/>
      <c r="H301" s="454" t="s">
        <v>451</v>
      </c>
      <c r="I301" s="454"/>
      <c r="J301" s="453"/>
      <c r="K301" s="453" t="s">
        <v>68</v>
      </c>
      <c r="L301" s="536" t="s">
        <v>445</v>
      </c>
      <c r="M301" s="536"/>
      <c r="N301" s="466" t="s">
        <v>156</v>
      </c>
      <c r="O301" s="457">
        <v>105.85</v>
      </c>
      <c r="P301" s="457">
        <v>109.06</v>
      </c>
      <c r="Q301" s="457">
        <v>100.79</v>
      </c>
      <c r="R301" s="458">
        <v>107.28</v>
      </c>
      <c r="S301" s="459">
        <v>125.19799999999999</v>
      </c>
      <c r="T301" s="469">
        <v>94.5</v>
      </c>
      <c r="U301" s="461"/>
      <c r="V301" s="462">
        <v>100</v>
      </c>
      <c r="W301" s="463"/>
      <c r="X301" s="567" t="s">
        <v>70</v>
      </c>
      <c r="Y301" s="465" t="s">
        <v>71</v>
      </c>
      <c r="Z301" s="466" t="s">
        <v>923</v>
      </c>
      <c r="AA301" s="462" t="s">
        <v>71</v>
      </c>
      <c r="AB301" s="454"/>
      <c r="AC301" s="450"/>
      <c r="AD301" s="450"/>
      <c r="AE301" s="450"/>
      <c r="AF301" s="450"/>
      <c r="AG301" s="450"/>
      <c r="AH301" s="496" t="s">
        <v>59</v>
      </c>
      <c r="AI301" s="467"/>
      <c r="AJ301" s="467"/>
      <c r="AK301" s="467"/>
      <c r="AL301" s="467"/>
      <c r="AM301" s="467"/>
      <c r="AN301" s="467"/>
      <c r="AO301" s="467"/>
      <c r="AP301" s="467"/>
      <c r="AQ301" s="467"/>
      <c r="AR301" s="467"/>
      <c r="AS301" s="467"/>
      <c r="AT301" s="467"/>
      <c r="AU301" s="467"/>
      <c r="AV301" s="467"/>
      <c r="AW301" s="467"/>
      <c r="AX301" s="467"/>
      <c r="AY301" s="486">
        <f>COUNTIF(AI301:AX301,"*OP*")</f>
        <v>0</v>
      </c>
      <c r="AZ301" s="499" t="s">
        <v>59</v>
      </c>
      <c r="BA301" s="450">
        <f>(COUNTIF(AI301:AK301,"*OK*")*3) + (COUNTIF(AL301:AN301,"*OK*")*2) + COUNTIF(AO301:AQ301,"*OK*")+COUNTIF(AZ301:AZ301,"SI")*0.5</f>
        <v>0</v>
      </c>
      <c r="BB301" s="450" t="str">
        <f>IF(BA301&lt;0.6,"Demasiado Riesgo",IF(BA301&lt;=5,"Riesgo Medio",IF(BA301&lt;=11,"Riesgo Bajo","Cliente Blindado")))</f>
        <v>Demasiado Riesgo</v>
      </c>
      <c r="BC301" s="450"/>
      <c r="BD301" s="450"/>
      <c r="BE301" s="450">
        <v>0</v>
      </c>
      <c r="BF301" s="450"/>
      <c r="BG301" s="450"/>
      <c r="BH301" s="450"/>
      <c r="BI301" s="450"/>
      <c r="BJ301" s="450"/>
      <c r="BK301" s="450"/>
      <c r="BL301" s="450"/>
      <c r="BM301" s="450"/>
      <c r="BN301" s="450"/>
      <c r="BO301" s="450"/>
      <c r="BP301" s="450"/>
      <c r="BQ301" s="450"/>
      <c r="BR301" s="450"/>
      <c r="BS301" s="450"/>
      <c r="BT301" s="450"/>
      <c r="BU301" s="450"/>
      <c r="BV301" s="450"/>
      <c r="BW301" s="450"/>
      <c r="BX301" s="450"/>
      <c r="BY301" s="450"/>
      <c r="BZ301" s="450"/>
      <c r="CA301" s="450">
        <f>COUNTIF(AI301:AW301,"*OK*")</f>
        <v>0</v>
      </c>
      <c r="CB301" s="450"/>
      <c r="CC301" s="450">
        <f>COUNTIF(AI301:AW301,"*OP*")</f>
        <v>0</v>
      </c>
    </row>
    <row r="302" spans="1:81" ht="15" customHeight="1">
      <c r="A302" s="449"/>
      <c r="B302" s="450"/>
      <c r="C302" s="451">
        <f>T302</f>
        <v>97.24</v>
      </c>
      <c r="D302" s="450">
        <f>COUNTIF(AI302:AW302,"*OK*")</f>
        <v>0</v>
      </c>
      <c r="E302" s="450"/>
      <c r="F302" s="453" t="s">
        <v>924</v>
      </c>
      <c r="G302" s="453"/>
      <c r="H302" s="454"/>
      <c r="I302" s="454"/>
      <c r="J302" s="453"/>
      <c r="K302" s="453" t="s">
        <v>68</v>
      </c>
      <c r="L302" s="453" t="s">
        <v>461</v>
      </c>
      <c r="M302" s="453"/>
      <c r="N302" s="466" t="s">
        <v>237</v>
      </c>
      <c r="O302" s="457">
        <v>82.26</v>
      </c>
      <c r="P302" s="457">
        <v>92.05</v>
      </c>
      <c r="Q302" s="457">
        <v>90.86</v>
      </c>
      <c r="R302" s="458">
        <v>93.78</v>
      </c>
      <c r="S302" s="459">
        <v>98.320599999999999</v>
      </c>
      <c r="T302" s="469">
        <v>97.24</v>
      </c>
      <c r="U302" s="461"/>
      <c r="V302" s="462">
        <v>100</v>
      </c>
      <c r="W302" s="463"/>
      <c r="X302" s="464" t="s">
        <v>245</v>
      </c>
      <c r="Y302" s="465" t="s">
        <v>161</v>
      </c>
      <c r="Z302" s="466" t="s">
        <v>925</v>
      </c>
      <c r="AA302" s="462" t="s">
        <v>161</v>
      </c>
      <c r="AB302" s="454"/>
      <c r="AC302" s="450"/>
      <c r="AD302" s="450"/>
      <c r="AE302" s="450"/>
      <c r="AF302" s="450"/>
      <c r="AG302" s="450"/>
      <c r="AH302" s="496" t="s">
        <v>59</v>
      </c>
      <c r="AI302" s="467"/>
      <c r="AJ302" s="467"/>
      <c r="AK302" s="467"/>
      <c r="AL302" s="467"/>
      <c r="AM302" s="467"/>
      <c r="AN302" s="467"/>
      <c r="AO302" s="467"/>
      <c r="AP302" s="467"/>
      <c r="AQ302" s="467"/>
      <c r="AR302" s="467"/>
      <c r="AS302" s="467"/>
      <c r="AT302" s="467"/>
      <c r="AU302" s="467"/>
      <c r="AV302" s="467"/>
      <c r="AW302" s="467"/>
      <c r="AX302" s="467"/>
      <c r="AY302" s="486">
        <f>COUNTIF(AI302:AX302,"*OP*")</f>
        <v>0</v>
      </c>
      <c r="AZ302" s="499" t="s">
        <v>59</v>
      </c>
      <c r="BA302" s="450">
        <f>(COUNTIF(AI302:AK302,"*OK*")*3) + (COUNTIF(AL302:AN302,"*OK*")*2) + COUNTIF(AO302:AQ302,"*OK*")+COUNTIF(AZ302:AZ302,"SI")*0.5</f>
        <v>0</v>
      </c>
      <c r="BB302" s="450" t="str">
        <f>IF(BA302&lt;0.6,"Demasiado Riesgo",IF(BA302&lt;=5,"Riesgo Medio",IF(BA302&lt;=11,"Riesgo Bajo","Cliente Blindado")))</f>
        <v>Demasiado Riesgo</v>
      </c>
      <c r="BC302" s="450"/>
      <c r="BD302" s="450"/>
      <c r="BE302" s="450">
        <v>0</v>
      </c>
      <c r="BF302" s="450"/>
      <c r="BG302" s="450"/>
      <c r="BH302" s="450"/>
      <c r="BI302" s="450"/>
      <c r="BJ302" s="450"/>
      <c r="BK302" s="450"/>
      <c r="BL302" s="450"/>
      <c r="BM302" s="450"/>
      <c r="BN302" s="450"/>
      <c r="BO302" s="450"/>
      <c r="BP302" s="450"/>
      <c r="BQ302" s="450"/>
      <c r="BR302" s="450"/>
      <c r="BS302" s="450"/>
      <c r="BT302" s="450"/>
      <c r="BU302" s="450"/>
      <c r="BV302" s="450"/>
      <c r="BW302" s="450"/>
      <c r="BX302" s="450"/>
      <c r="BY302" s="450"/>
      <c r="BZ302" s="450"/>
      <c r="CA302" s="450">
        <f>COUNTIF(AI302:AW302,"*OK*")</f>
        <v>0</v>
      </c>
      <c r="CB302" s="450"/>
      <c r="CC302" s="450">
        <f>COUNTIF(AI302:AW302,"*OP*")</f>
        <v>0</v>
      </c>
    </row>
    <row r="303" spans="1:81" ht="15" customHeight="1">
      <c r="A303" s="449">
        <v>27835</v>
      </c>
      <c r="B303" s="450"/>
      <c r="C303" s="451">
        <f>T303</f>
        <v>99.53</v>
      </c>
      <c r="D303" s="450">
        <f>COUNTIF(AI303:AW303,"*OK*")</f>
        <v>0</v>
      </c>
      <c r="E303" s="450"/>
      <c r="F303" s="453" t="s">
        <v>926</v>
      </c>
      <c r="G303" s="453"/>
      <c r="H303" s="454" t="s">
        <v>451</v>
      </c>
      <c r="I303" s="454"/>
      <c r="J303" s="453"/>
      <c r="K303" s="453" t="s">
        <v>68</v>
      </c>
      <c r="L303" s="536" t="s">
        <v>445</v>
      </c>
      <c r="M303" s="536"/>
      <c r="N303" s="466" t="s">
        <v>191</v>
      </c>
      <c r="O303" s="457">
        <v>109.46</v>
      </c>
      <c r="P303" s="457">
        <v>109.36</v>
      </c>
      <c r="Q303" s="457">
        <v>100.21</v>
      </c>
      <c r="R303" s="458">
        <v>103.43</v>
      </c>
      <c r="S303" s="459">
        <v>100.6326</v>
      </c>
      <c r="T303" s="469">
        <v>99.53</v>
      </c>
      <c r="U303" s="461"/>
      <c r="V303" s="462">
        <v>100</v>
      </c>
      <c r="W303" s="463"/>
      <c r="X303" s="464" t="s">
        <v>251</v>
      </c>
      <c r="Y303" s="465" t="s">
        <v>150</v>
      </c>
      <c r="Z303" s="466" t="s">
        <v>927</v>
      </c>
      <c r="AA303" s="462" t="s">
        <v>59</v>
      </c>
      <c r="AB303" s="454"/>
      <c r="AC303" s="450"/>
      <c r="AD303" s="450"/>
      <c r="AE303" s="450"/>
      <c r="AF303" s="450"/>
      <c r="AG303" s="450"/>
      <c r="AH303" s="496" t="s">
        <v>59</v>
      </c>
      <c r="AI303" s="467"/>
      <c r="AJ303" s="467"/>
      <c r="AK303" s="467"/>
      <c r="AL303" s="467"/>
      <c r="AM303" s="467"/>
      <c r="AN303" s="467"/>
      <c r="AO303" s="467"/>
      <c r="AP303" s="467"/>
      <c r="AQ303" s="467"/>
      <c r="AR303" s="467"/>
      <c r="AS303" s="467"/>
      <c r="AT303" s="467"/>
      <c r="AU303" s="467"/>
      <c r="AV303" s="467"/>
      <c r="AW303" s="467"/>
      <c r="AX303" s="467"/>
      <c r="AY303" s="486">
        <f>COUNTIF(AI303:AX303,"*OP*")</f>
        <v>0</v>
      </c>
      <c r="AZ303" s="499" t="s">
        <v>59</v>
      </c>
      <c r="BA303" s="450">
        <f>(COUNTIF(AI303:AK303,"*OK*")*3) + (COUNTIF(AL303:AN303,"*OK*")*2) + COUNTIF(AO303:AQ303,"*OK*")+COUNTIF(AZ303:AZ303,"SI")*0.5</f>
        <v>0</v>
      </c>
      <c r="BB303" s="450" t="str">
        <f>IF(BA303&lt;0.6,"Demasiado Riesgo",IF(BA303&lt;=5,"Riesgo Medio",IF(BA303&lt;=11,"Riesgo Bajo","Cliente Blindado")))</f>
        <v>Demasiado Riesgo</v>
      </c>
      <c r="BC303" s="450"/>
      <c r="BD303" s="450"/>
      <c r="BE303" s="450">
        <v>0</v>
      </c>
      <c r="BF303" s="450"/>
      <c r="BG303" s="450"/>
      <c r="BH303" s="450"/>
      <c r="BI303" s="450"/>
      <c r="BJ303" s="450"/>
      <c r="BK303" s="450"/>
      <c r="BL303" s="450"/>
      <c r="BM303" s="450"/>
      <c r="BN303" s="450"/>
      <c r="BO303" s="450"/>
      <c r="BP303" s="450"/>
      <c r="BQ303" s="450"/>
      <c r="BR303" s="450"/>
      <c r="BS303" s="450"/>
      <c r="BT303" s="450"/>
      <c r="BU303" s="450"/>
      <c r="BV303" s="450"/>
      <c r="BW303" s="450"/>
      <c r="BX303" s="450"/>
      <c r="BY303" s="450"/>
      <c r="BZ303" s="450"/>
      <c r="CA303" s="450">
        <f>COUNTIF(AI303:AW303,"*OK*")</f>
        <v>0</v>
      </c>
      <c r="CB303" s="450"/>
      <c r="CC303" s="450">
        <f>COUNTIF(AI303:AW303,"*OP*")</f>
        <v>0</v>
      </c>
    </row>
    <row r="304" spans="1:81" ht="15" customHeight="1">
      <c r="A304" s="470">
        <v>1889</v>
      </c>
      <c r="B304" s="471"/>
      <c r="C304" s="451">
        <f>T304</f>
        <v>99.93</v>
      </c>
      <c r="D304" s="471">
        <f>COUNTIF(AI304:AW304,"*OK*")</f>
        <v>0</v>
      </c>
      <c r="E304" s="471"/>
      <c r="F304" s="473" t="s">
        <v>928</v>
      </c>
      <c r="G304" s="473"/>
      <c r="H304" s="474"/>
      <c r="I304" s="474"/>
      <c r="J304" s="473"/>
      <c r="K304" s="473" t="s">
        <v>68</v>
      </c>
      <c r="L304" s="453" t="s">
        <v>461</v>
      </c>
      <c r="M304" s="473"/>
      <c r="N304" s="476" t="s">
        <v>156</v>
      </c>
      <c r="O304" s="477">
        <v>106.98</v>
      </c>
      <c r="P304" s="477">
        <v>106.88</v>
      </c>
      <c r="Q304" s="477">
        <v>100.1</v>
      </c>
      <c r="R304" s="478">
        <v>101.51</v>
      </c>
      <c r="S304" s="459">
        <v>0</v>
      </c>
      <c r="T304" s="487">
        <v>99.93</v>
      </c>
      <c r="U304" s="479"/>
      <c r="V304" s="480">
        <v>100</v>
      </c>
      <c r="W304" s="481"/>
      <c r="X304" s="572" t="s">
        <v>70</v>
      </c>
      <c r="Y304" s="483" t="s">
        <v>139</v>
      </c>
      <c r="Z304" s="484" t="s">
        <v>929</v>
      </c>
      <c r="AA304" s="480" t="s">
        <v>59</v>
      </c>
      <c r="AB304" s="474"/>
      <c r="AC304" s="471"/>
      <c r="AD304" s="471"/>
      <c r="AE304" s="471"/>
      <c r="AF304" s="471"/>
      <c r="AG304" s="471"/>
      <c r="AH304" s="494" t="s">
        <v>59</v>
      </c>
      <c r="AI304" s="467"/>
      <c r="AJ304" s="467"/>
      <c r="AK304" s="467"/>
      <c r="AL304" s="467"/>
      <c r="AM304" s="467"/>
      <c r="AN304" s="467"/>
      <c r="AO304" s="467"/>
      <c r="AP304" s="467"/>
      <c r="AQ304" s="467"/>
      <c r="AR304" s="467"/>
      <c r="AS304" s="467"/>
      <c r="AT304" s="467"/>
      <c r="AU304" s="467"/>
      <c r="AV304" s="467"/>
      <c r="AW304" s="467"/>
      <c r="AX304" s="467"/>
      <c r="AY304" s="486">
        <f>COUNTIF(AI304:AX304,"*OP*")</f>
        <v>0</v>
      </c>
      <c r="AZ304" s="485" t="s">
        <v>59</v>
      </c>
      <c r="BA304" s="471">
        <f>(COUNTIF(AI304:AK304,"*OK*")*3) + (COUNTIF(AL304:AN304,"*OK*")*2) + COUNTIF(AO304:AQ304,"*OK*")+COUNTIF(AZ304:AZ304,"SI")*0.5</f>
        <v>0</v>
      </c>
      <c r="BB304" s="471" t="str">
        <f>IF(BA304&lt;0.6,"Demasiado Riesgo",IF(BA304&lt;=5,"Riesgo Medio",IF(BA304&lt;=11,"Riesgo Bajo","Cliente Blindado")))</f>
        <v>Demasiado Riesgo</v>
      </c>
      <c r="BC304" s="471"/>
      <c r="BD304" s="471"/>
      <c r="BE304" s="471">
        <v>0</v>
      </c>
      <c r="BF304" s="471"/>
      <c r="BG304" s="471"/>
      <c r="BH304" s="471"/>
      <c r="BI304" s="471"/>
      <c r="BJ304" s="471"/>
      <c r="BK304" s="471"/>
      <c r="BL304" s="471"/>
      <c r="BM304" s="471"/>
      <c r="BN304" s="471"/>
      <c r="BO304" s="471"/>
      <c r="BP304" s="471"/>
      <c r="BQ304" s="471"/>
      <c r="BR304" s="471"/>
      <c r="BS304" s="471"/>
      <c r="BT304" s="471"/>
      <c r="BU304" s="471"/>
      <c r="BV304" s="471"/>
      <c r="BW304" s="471"/>
      <c r="BX304" s="471"/>
      <c r="BY304" s="471"/>
      <c r="BZ304" s="471"/>
      <c r="CA304" s="471">
        <f>COUNTIF(AI304:AW304,"*OK*")</f>
        <v>0</v>
      </c>
      <c r="CB304" s="471"/>
      <c r="CC304" s="471">
        <f>COUNTIF(AI304:AW304,"*OP*")</f>
        <v>0</v>
      </c>
    </row>
    <row r="305" spans="1:81" ht="15" customHeight="1">
      <c r="A305" s="488">
        <v>5774</v>
      </c>
      <c r="B305" s="489"/>
      <c r="C305" s="451">
        <f>T305</f>
        <v>100.03</v>
      </c>
      <c r="D305" s="450">
        <f>COUNTIF(AI305:AW305,"*OK*")</f>
        <v>0</v>
      </c>
      <c r="E305" s="450"/>
      <c r="F305" s="453" t="s">
        <v>930</v>
      </c>
      <c r="G305" s="453"/>
      <c r="H305" s="454"/>
      <c r="I305" s="454"/>
      <c r="J305" s="453"/>
      <c r="K305" s="568" t="s">
        <v>68</v>
      </c>
      <c r="L305" s="453" t="s">
        <v>461</v>
      </c>
      <c r="M305" s="453"/>
      <c r="N305" s="466" t="s">
        <v>500</v>
      </c>
      <c r="O305" s="457">
        <v>78.98</v>
      </c>
      <c r="P305" s="457">
        <v>93.94</v>
      </c>
      <c r="Q305" s="457">
        <v>93.1</v>
      </c>
      <c r="R305" s="458">
        <v>96.1</v>
      </c>
      <c r="S305" s="459">
        <v>97.392799999999994</v>
      </c>
      <c r="T305" s="460">
        <v>100.03</v>
      </c>
      <c r="U305" s="461"/>
      <c r="V305" s="462">
        <v>100</v>
      </c>
      <c r="W305" s="463"/>
      <c r="X305" s="562" t="s">
        <v>70</v>
      </c>
      <c r="Y305" s="465" t="s">
        <v>241</v>
      </c>
      <c r="Z305" s="466" t="s">
        <v>931</v>
      </c>
      <c r="AA305" s="462" t="s">
        <v>59</v>
      </c>
      <c r="AB305" s="454"/>
      <c r="AC305" s="450"/>
      <c r="AD305" s="450"/>
      <c r="AE305" s="450"/>
      <c r="AF305" s="450"/>
      <c r="AG305" s="450"/>
      <c r="AH305" s="496" t="s">
        <v>59</v>
      </c>
      <c r="AI305" s="467"/>
      <c r="AJ305" s="467"/>
      <c r="AK305" s="467"/>
      <c r="AL305" s="467"/>
      <c r="AM305" s="467"/>
      <c r="AN305" s="467"/>
      <c r="AO305" s="467"/>
      <c r="AP305" s="467"/>
      <c r="AQ305" s="467"/>
      <c r="AR305" s="467"/>
      <c r="AS305" s="467"/>
      <c r="AT305" s="467"/>
      <c r="AU305" s="467"/>
      <c r="AV305" s="467"/>
      <c r="AW305" s="467"/>
      <c r="AX305" s="467"/>
      <c r="AY305" s="486">
        <f>COUNTIF(AI305:AX305,"*OP*")</f>
        <v>0</v>
      </c>
      <c r="AZ305" s="499" t="s">
        <v>59</v>
      </c>
      <c r="BA305" s="450">
        <f>(COUNTIF(AI305:AK305,"*OK*")*3) + (COUNTIF(AL305:AN305,"*OK*")*2) + COUNTIF(AO305:AQ305,"*OK*")+COUNTIF(AZ305:AZ305,"SI")*0.5</f>
        <v>0</v>
      </c>
      <c r="BB305" s="450" t="str">
        <f>IF(BA305&lt;0.6,"Demasiado Riesgo",IF(BA305&lt;=5,"Riesgo Medio",IF(BA305&lt;=11,"Riesgo Bajo","Cliente Blindado")))</f>
        <v>Demasiado Riesgo</v>
      </c>
      <c r="BC305" s="450"/>
      <c r="BD305" s="450"/>
      <c r="BE305" s="450">
        <v>0</v>
      </c>
      <c r="BF305" s="450"/>
      <c r="BG305" s="450"/>
      <c r="BH305" s="450"/>
      <c r="BI305" s="450"/>
      <c r="BJ305" s="450"/>
      <c r="BK305" s="450"/>
      <c r="BL305" s="450"/>
      <c r="BM305" s="450"/>
      <c r="BN305" s="450"/>
      <c r="BO305" s="450"/>
      <c r="BP305" s="450"/>
      <c r="BQ305" s="450"/>
      <c r="BR305" s="450"/>
      <c r="BS305" s="450"/>
      <c r="BT305" s="450"/>
      <c r="BU305" s="450"/>
      <c r="BV305" s="450"/>
      <c r="BW305" s="450"/>
      <c r="BX305" s="450"/>
      <c r="BY305" s="450"/>
      <c r="BZ305" s="450"/>
      <c r="CA305" s="450">
        <f>COUNTIF(AI305:AW305,"*OK*")</f>
        <v>0</v>
      </c>
      <c r="CB305" s="450"/>
      <c r="CC305" s="450">
        <f>COUNTIF(AI305:AW305,"*OP*")</f>
        <v>0</v>
      </c>
    </row>
    <row r="306" spans="1:81" ht="15" customHeight="1">
      <c r="A306" s="470"/>
      <c r="B306" s="471"/>
      <c r="C306" s="451">
        <f>T306</f>
        <v>101.27</v>
      </c>
      <c r="D306" s="471">
        <f>COUNTIF(AM306:AX306,"OK")</f>
        <v>0</v>
      </c>
      <c r="E306" s="471"/>
      <c r="F306" s="471" t="s">
        <v>932</v>
      </c>
      <c r="G306" s="471"/>
      <c r="H306" s="454" t="s">
        <v>451</v>
      </c>
      <c r="I306" s="474"/>
      <c r="J306" s="471"/>
      <c r="K306" s="491" t="s">
        <v>68</v>
      </c>
      <c r="L306" s="536" t="s">
        <v>445</v>
      </c>
      <c r="M306" s="536"/>
      <c r="N306" s="484"/>
      <c r="O306" s="457"/>
      <c r="P306" s="457"/>
      <c r="Q306" s="457"/>
      <c r="R306" s="458">
        <v>101.04</v>
      </c>
      <c r="S306" s="459">
        <v>102.39579999999999</v>
      </c>
      <c r="T306" s="498">
        <v>101.27</v>
      </c>
      <c r="U306" s="479"/>
      <c r="V306" s="480" t="s">
        <v>59</v>
      </c>
      <c r="W306" s="471"/>
      <c r="X306" s="483"/>
      <c r="Y306" s="483"/>
      <c r="Z306" s="484"/>
      <c r="AA306" s="494" t="s">
        <v>59</v>
      </c>
      <c r="AB306" s="474"/>
      <c r="AC306" s="471"/>
      <c r="AD306" s="471"/>
      <c r="AE306" s="471"/>
      <c r="AF306" s="471"/>
      <c r="AG306" s="471"/>
      <c r="AH306" s="494"/>
      <c r="AI306" s="467"/>
      <c r="AJ306" s="467"/>
      <c r="AK306" s="467"/>
      <c r="AL306" s="467"/>
      <c r="AM306" s="467"/>
      <c r="AN306" s="467"/>
      <c r="AO306" s="467"/>
      <c r="AP306" s="467"/>
      <c r="AQ306" s="467"/>
      <c r="AR306" s="467"/>
      <c r="AS306" s="467"/>
      <c r="AT306" s="467"/>
      <c r="AU306" s="467"/>
      <c r="AV306" s="467"/>
      <c r="AW306" s="467"/>
      <c r="AX306" s="467"/>
      <c r="AY306" s="486">
        <f>COUNTIF(AI306:AX306,"*OP*")</f>
        <v>0</v>
      </c>
      <c r="AZ306" s="485" t="s">
        <v>59</v>
      </c>
      <c r="BA306" s="471">
        <f>(COUNTIF(AI306:AK306,"*OK*")*3) + (COUNTIF(AL306:AN306,"*OK*")*2) + COUNTIF(AO306:AQ306,"*OK*")+COUNTIF(AZ306:AZ306,"SI")*0.5</f>
        <v>0</v>
      </c>
      <c r="BB306" s="471" t="str">
        <f>IF(BA306&lt;0.6,"Demasiado Riesgo",IF(BA306&lt;=5,"Riesgo Medio",IF(BA306&lt;=11,"Riesgo Bajo","Cliente Blindado")))</f>
        <v>Demasiado Riesgo</v>
      </c>
      <c r="BC306" s="471"/>
      <c r="BD306" s="471"/>
      <c r="BE306" s="471"/>
      <c r="BF306" s="471"/>
      <c r="BG306" s="471"/>
      <c r="BH306" s="471"/>
      <c r="BI306" s="471"/>
      <c r="BJ306" s="471"/>
      <c r="BK306" s="471"/>
      <c r="BL306" s="471"/>
      <c r="BM306" s="471"/>
      <c r="BN306" s="471"/>
      <c r="BO306" s="471"/>
      <c r="BP306" s="471"/>
      <c r="BQ306" s="471"/>
      <c r="BR306" s="471"/>
      <c r="BS306" s="471"/>
      <c r="BT306" s="471"/>
      <c r="BU306" s="471"/>
      <c r="BV306" s="471"/>
      <c r="BW306" s="471"/>
      <c r="BX306" s="471"/>
      <c r="BY306" s="471"/>
      <c r="BZ306" s="471"/>
      <c r="CA306" s="471">
        <f>COUNTIF(AI306:AW306,"*OK*")</f>
        <v>0</v>
      </c>
      <c r="CB306" s="471"/>
      <c r="CC306" s="471">
        <f>COUNTIF(AI306:AW306,"*OP*")</f>
        <v>0</v>
      </c>
    </row>
    <row r="307" spans="1:81" ht="15" customHeight="1">
      <c r="A307" s="470">
        <v>26405</v>
      </c>
      <c r="B307" s="471"/>
      <c r="C307" s="451">
        <f>T307</f>
        <v>105.94</v>
      </c>
      <c r="D307" s="471">
        <f>COUNTIF(AI307:AW307,"*OK*")</f>
        <v>0</v>
      </c>
      <c r="E307" s="471"/>
      <c r="F307" s="473" t="s">
        <v>933</v>
      </c>
      <c r="G307" s="473"/>
      <c r="H307" s="454" t="s">
        <v>451</v>
      </c>
      <c r="I307" s="474"/>
      <c r="J307" s="473"/>
      <c r="K307" s="473" t="s">
        <v>68</v>
      </c>
      <c r="L307" s="536" t="s">
        <v>445</v>
      </c>
      <c r="M307" s="536"/>
      <c r="N307" s="484" t="s">
        <v>103</v>
      </c>
      <c r="O307" s="477">
        <v>80.66</v>
      </c>
      <c r="P307" s="477">
        <v>97.68</v>
      </c>
      <c r="Q307" s="477">
        <v>102.4</v>
      </c>
      <c r="R307" s="478">
        <v>108.1</v>
      </c>
      <c r="S307" s="459">
        <v>107.1168</v>
      </c>
      <c r="T307" s="487">
        <v>105.94</v>
      </c>
      <c r="U307" s="479"/>
      <c r="V307" s="480">
        <v>300</v>
      </c>
      <c r="W307" s="481"/>
      <c r="X307" s="493" t="s">
        <v>251</v>
      </c>
      <c r="Y307" s="483" t="s">
        <v>80</v>
      </c>
      <c r="Z307" s="484" t="s">
        <v>934</v>
      </c>
      <c r="AA307" s="480" t="s">
        <v>59</v>
      </c>
      <c r="AB307" s="474"/>
      <c r="AC307" s="471"/>
      <c r="AD307" s="471"/>
      <c r="AE307" s="471"/>
      <c r="AF307" s="471"/>
      <c r="AG307" s="471"/>
      <c r="AH307" s="494" t="s">
        <v>59</v>
      </c>
      <c r="AI307" s="467"/>
      <c r="AJ307" s="467"/>
      <c r="AK307" s="467"/>
      <c r="AL307" s="467"/>
      <c r="AM307" s="467"/>
      <c r="AN307" s="467"/>
      <c r="AO307" s="467"/>
      <c r="AP307" s="467"/>
      <c r="AQ307" s="467"/>
      <c r="AR307" s="467"/>
      <c r="AS307" s="467"/>
      <c r="AT307" s="467"/>
      <c r="AU307" s="467"/>
      <c r="AV307" s="467"/>
      <c r="AW307" s="467"/>
      <c r="AX307" s="467"/>
      <c r="AY307" s="486">
        <f>COUNTIF(AI307:AX307,"*OP*")</f>
        <v>0</v>
      </c>
      <c r="AZ307" s="485" t="s">
        <v>59</v>
      </c>
      <c r="BA307" s="471">
        <f>(COUNTIF(AI307:AK307,"*OK*")*3) + (COUNTIF(AL307:AN307,"*OK*")*2) + COUNTIF(AO307:AQ307,"*OK*")+COUNTIF(AZ307:AZ307,"SI")*0.5</f>
        <v>0</v>
      </c>
      <c r="BB307" s="471" t="str">
        <f>IF(BA307&lt;0.6,"Demasiado Riesgo",IF(BA307&lt;=5,"Riesgo Medio",IF(BA307&lt;=11,"Riesgo Bajo","Cliente Blindado")))</f>
        <v>Demasiado Riesgo</v>
      </c>
      <c r="BC307" s="471"/>
      <c r="BD307" s="471"/>
      <c r="BE307" s="471">
        <v>0</v>
      </c>
      <c r="BF307" s="471"/>
      <c r="BG307" s="471"/>
      <c r="BH307" s="471"/>
      <c r="BI307" s="471"/>
      <c r="BJ307" s="471"/>
      <c r="BK307" s="471"/>
      <c r="BL307" s="471"/>
      <c r="BM307" s="471"/>
      <c r="BN307" s="471"/>
      <c r="BO307" s="471"/>
      <c r="BP307" s="471"/>
      <c r="BQ307" s="471"/>
      <c r="BR307" s="471"/>
      <c r="BS307" s="471"/>
      <c r="BT307" s="471"/>
      <c r="BU307" s="471"/>
      <c r="BV307" s="471"/>
      <c r="BW307" s="471"/>
      <c r="BX307" s="471"/>
      <c r="BY307" s="471"/>
      <c r="BZ307" s="471"/>
      <c r="CA307" s="471">
        <f>COUNTIF(AI307:AW307,"*OK*")</f>
        <v>0</v>
      </c>
      <c r="CB307" s="471"/>
      <c r="CC307" s="471">
        <f>COUNTIF(AI307:AW307,"*OP*")</f>
        <v>0</v>
      </c>
    </row>
    <row r="308" spans="1:81" ht="15" customHeight="1">
      <c r="A308" s="449">
        <v>35970</v>
      </c>
      <c r="B308" s="450"/>
      <c r="C308" s="451">
        <f>T308</f>
        <v>106.05</v>
      </c>
      <c r="D308" s="450">
        <f>COUNTIF(AI308:AW308,"*OK*")</f>
        <v>0</v>
      </c>
      <c r="E308" s="450"/>
      <c r="F308" s="453" t="s">
        <v>935</v>
      </c>
      <c r="G308" s="453"/>
      <c r="H308" s="454" t="s">
        <v>451</v>
      </c>
      <c r="I308" s="454"/>
      <c r="J308" s="453"/>
      <c r="K308" s="455" t="s">
        <v>68</v>
      </c>
      <c r="L308" s="536" t="s">
        <v>445</v>
      </c>
      <c r="M308" s="536"/>
      <c r="N308" s="466" t="s">
        <v>500</v>
      </c>
      <c r="O308" s="457"/>
      <c r="P308" s="457">
        <v>111.27</v>
      </c>
      <c r="Q308" s="457">
        <v>102.5</v>
      </c>
      <c r="R308" s="458">
        <v>105.8</v>
      </c>
      <c r="S308" s="459">
        <v>107.2231</v>
      </c>
      <c r="T308" s="487">
        <v>106.05</v>
      </c>
      <c r="U308" s="461"/>
      <c r="V308" s="462">
        <v>100</v>
      </c>
      <c r="W308" s="463"/>
      <c r="X308" s="567" t="s">
        <v>70</v>
      </c>
      <c r="Y308" s="465" t="s">
        <v>71</v>
      </c>
      <c r="Z308" s="466" t="s">
        <v>936</v>
      </c>
      <c r="AA308" s="462" t="s">
        <v>241</v>
      </c>
      <c r="AB308" s="454"/>
      <c r="AC308" s="450"/>
      <c r="AD308" s="450"/>
      <c r="AE308" s="450"/>
      <c r="AF308" s="450"/>
      <c r="AG308" s="450"/>
      <c r="AH308" s="496" t="s">
        <v>59</v>
      </c>
      <c r="AI308" s="467"/>
      <c r="AJ308" s="467"/>
      <c r="AK308" s="467"/>
      <c r="AL308" s="467"/>
      <c r="AM308" s="467"/>
      <c r="AN308" s="467"/>
      <c r="AO308" s="467"/>
      <c r="AP308" s="467"/>
      <c r="AQ308" s="467"/>
      <c r="AR308" s="467"/>
      <c r="AS308" s="467"/>
      <c r="AT308" s="467"/>
      <c r="AU308" s="467"/>
      <c r="AV308" s="467"/>
      <c r="AW308" s="467"/>
      <c r="AX308" s="467"/>
      <c r="AY308" s="486">
        <f>COUNTIF(AI308:AX308,"*OP*")</f>
        <v>0</v>
      </c>
      <c r="AZ308" s="499" t="s">
        <v>59</v>
      </c>
      <c r="BA308" s="450">
        <f>(COUNTIF(AI308:AK308,"*OK*")*3) + (COUNTIF(AL308:AN308,"*OK*")*2) + COUNTIF(AO308:AQ308,"*OK*")+COUNTIF(AZ308:AZ308,"SI")*0.5</f>
        <v>0</v>
      </c>
      <c r="BB308" s="450" t="str">
        <f>IF(BA308&lt;0.6,"Demasiado Riesgo",IF(BA308&lt;=5,"Riesgo Medio",IF(BA308&lt;=11,"Riesgo Bajo","Cliente Blindado")))</f>
        <v>Demasiado Riesgo</v>
      </c>
      <c r="BC308" s="450"/>
      <c r="BD308" s="450"/>
      <c r="BE308" s="450">
        <v>0</v>
      </c>
      <c r="BF308" s="450"/>
      <c r="BG308" s="450"/>
      <c r="BH308" s="450"/>
      <c r="BI308" s="450"/>
      <c r="BJ308" s="450"/>
      <c r="BK308" s="450"/>
      <c r="BL308" s="450"/>
      <c r="BM308" s="450"/>
      <c r="BN308" s="450"/>
      <c r="BO308" s="450"/>
      <c r="BP308" s="450"/>
      <c r="BQ308" s="450"/>
      <c r="BR308" s="450"/>
      <c r="BS308" s="450"/>
      <c r="BT308" s="450"/>
      <c r="BU308" s="450"/>
      <c r="BV308" s="450"/>
      <c r="BW308" s="450"/>
      <c r="BX308" s="450"/>
      <c r="BY308" s="450"/>
      <c r="BZ308" s="450"/>
      <c r="CA308" s="450">
        <f>COUNTIF(AI308:AW308,"*OK*")</f>
        <v>0</v>
      </c>
      <c r="CB308" s="450"/>
      <c r="CC308" s="450">
        <f>COUNTIF(AI308:AW308,"*OP*")</f>
        <v>0</v>
      </c>
    </row>
    <row r="309" spans="1:81" ht="15" customHeight="1">
      <c r="A309" s="470"/>
      <c r="B309" s="471"/>
      <c r="C309" s="451">
        <f>T309</f>
        <v>107.02</v>
      </c>
      <c r="D309" s="471">
        <f>COUNTIF(AI309:AW309,"*OK*")</f>
        <v>0</v>
      </c>
      <c r="E309" s="471"/>
      <c r="F309" s="473" t="s">
        <v>937</v>
      </c>
      <c r="G309" s="473"/>
      <c r="H309" s="454" t="s">
        <v>451</v>
      </c>
      <c r="I309" s="474"/>
      <c r="J309" s="473"/>
      <c r="K309" s="473" t="s">
        <v>68</v>
      </c>
      <c r="L309" s="536" t="s">
        <v>445</v>
      </c>
      <c r="M309" s="536"/>
      <c r="N309" s="484" t="s">
        <v>191</v>
      </c>
      <c r="O309" s="477">
        <v>112.66</v>
      </c>
      <c r="P309" s="477">
        <v>108.54</v>
      </c>
      <c r="Q309" s="477">
        <v>103.44</v>
      </c>
      <c r="R309" s="478">
        <v>106.77</v>
      </c>
      <c r="S309" s="459">
        <v>108.2046</v>
      </c>
      <c r="T309" s="469">
        <v>107.02</v>
      </c>
      <c r="U309" s="479"/>
      <c r="V309" s="480">
        <v>200</v>
      </c>
      <c r="W309" s="481"/>
      <c r="X309" s="482" t="s">
        <v>70</v>
      </c>
      <c r="Y309" s="483" t="s">
        <v>150</v>
      </c>
      <c r="Z309" s="484" t="s">
        <v>938</v>
      </c>
      <c r="AA309" s="480" t="s">
        <v>59</v>
      </c>
      <c r="AB309" s="474"/>
      <c r="AC309" s="471"/>
      <c r="AD309" s="471"/>
      <c r="AE309" s="471"/>
      <c r="AF309" s="471"/>
      <c r="AG309" s="471"/>
      <c r="AH309" s="494" t="s">
        <v>59</v>
      </c>
      <c r="AI309" s="467"/>
      <c r="AJ309" s="467"/>
      <c r="AK309" s="467"/>
      <c r="AL309" s="467"/>
      <c r="AM309" s="467"/>
      <c r="AN309" s="467"/>
      <c r="AO309" s="467"/>
      <c r="AP309" s="467"/>
      <c r="AQ309" s="467"/>
      <c r="AR309" s="467"/>
      <c r="AS309" s="467"/>
      <c r="AT309" s="467"/>
      <c r="AU309" s="467"/>
      <c r="AV309" s="467"/>
      <c r="AW309" s="467"/>
      <c r="AX309" s="467"/>
      <c r="AY309" s="486">
        <f>COUNTIF(AI309:AX309,"*OP*")</f>
        <v>0</v>
      </c>
      <c r="AZ309" s="485" t="s">
        <v>59</v>
      </c>
      <c r="BA309" s="471">
        <f>(COUNTIF(AI309:AK309,"*OK*")*3) + (COUNTIF(AL309:AN309,"*OK*")*2) + COUNTIF(AO309:AQ309,"*OK*")+COUNTIF(AZ309:AZ309,"SI")*0.5</f>
        <v>0</v>
      </c>
      <c r="BB309" s="471" t="str">
        <f>IF(BA309&lt;0.6,"Demasiado Riesgo",IF(BA309&lt;=5,"Riesgo Medio",IF(BA309&lt;=11,"Riesgo Bajo","Cliente Blindado")))</f>
        <v>Demasiado Riesgo</v>
      </c>
      <c r="BC309" s="471"/>
      <c r="BD309" s="471"/>
      <c r="BE309" s="471">
        <v>0</v>
      </c>
      <c r="BF309" s="471"/>
      <c r="BG309" s="471"/>
      <c r="BH309" s="471"/>
      <c r="BI309" s="471"/>
      <c r="BJ309" s="471"/>
      <c r="BK309" s="471"/>
      <c r="BL309" s="471"/>
      <c r="BM309" s="471"/>
      <c r="BN309" s="471"/>
      <c r="BO309" s="471"/>
      <c r="BP309" s="471"/>
      <c r="BQ309" s="471"/>
      <c r="BR309" s="471"/>
      <c r="BS309" s="471"/>
      <c r="BT309" s="471"/>
      <c r="BU309" s="471"/>
      <c r="BV309" s="471"/>
      <c r="BW309" s="471"/>
      <c r="BX309" s="471"/>
      <c r="BY309" s="471"/>
      <c r="BZ309" s="471"/>
      <c r="CA309" s="471">
        <f>COUNTIF(AI309:AW309,"*OK*")</f>
        <v>0</v>
      </c>
      <c r="CB309" s="471"/>
      <c r="CC309" s="471">
        <f>COUNTIF(AI309:AW309,"*OP*")</f>
        <v>0</v>
      </c>
    </row>
    <row r="310" spans="1:81" ht="15" customHeight="1">
      <c r="A310" s="470">
        <v>27834</v>
      </c>
      <c r="B310" s="471"/>
      <c r="C310" s="451">
        <f>T310</f>
        <v>112.56</v>
      </c>
      <c r="D310" s="471">
        <f>COUNTIF(AI310:AW310,"*OK*")</f>
        <v>0</v>
      </c>
      <c r="E310" s="471"/>
      <c r="F310" s="473" t="s">
        <v>939</v>
      </c>
      <c r="G310" s="473"/>
      <c r="H310" s="454" t="s">
        <v>451</v>
      </c>
      <c r="I310" s="474"/>
      <c r="J310" s="473"/>
      <c r="K310" s="473" t="s">
        <v>68</v>
      </c>
      <c r="L310" s="536" t="s">
        <v>445</v>
      </c>
      <c r="M310" s="536"/>
      <c r="N310" s="484" t="s">
        <v>500</v>
      </c>
      <c r="O310" s="477">
        <v>93.21</v>
      </c>
      <c r="P310" s="477">
        <v>123.17</v>
      </c>
      <c r="Q310" s="477">
        <v>114.52</v>
      </c>
      <c r="R310" s="478">
        <v>118.2</v>
      </c>
      <c r="S310" s="459">
        <v>119.7941</v>
      </c>
      <c r="T310" s="469">
        <v>112.56</v>
      </c>
      <c r="U310" s="479"/>
      <c r="V310" s="480">
        <v>100</v>
      </c>
      <c r="W310" s="481"/>
      <c r="X310" s="572" t="s">
        <v>70</v>
      </c>
      <c r="Y310" s="483" t="s">
        <v>241</v>
      </c>
      <c r="Z310" s="484" t="s">
        <v>940</v>
      </c>
      <c r="AA310" s="480" t="s">
        <v>59</v>
      </c>
      <c r="AB310" s="474"/>
      <c r="AC310" s="471"/>
      <c r="AD310" s="471"/>
      <c r="AE310" s="471"/>
      <c r="AF310" s="471"/>
      <c r="AG310" s="471"/>
      <c r="AH310" s="494" t="s">
        <v>59</v>
      </c>
      <c r="AI310" s="467"/>
      <c r="AJ310" s="467"/>
      <c r="AK310" s="467"/>
      <c r="AL310" s="467"/>
      <c r="AM310" s="467"/>
      <c r="AN310" s="467"/>
      <c r="AO310" s="467"/>
      <c r="AP310" s="467"/>
      <c r="AQ310" s="467"/>
      <c r="AR310" s="467"/>
      <c r="AS310" s="467"/>
      <c r="AT310" s="467"/>
      <c r="AU310" s="467"/>
      <c r="AV310" s="467"/>
      <c r="AW310" s="467"/>
      <c r="AX310" s="467"/>
      <c r="AY310" s="486">
        <f>COUNTIF(AI310:AX310,"*OP*")</f>
        <v>0</v>
      </c>
      <c r="AZ310" s="485" t="s">
        <v>59</v>
      </c>
      <c r="BA310" s="471">
        <f>(COUNTIF(AI310:AK310,"*OK*")*3) + (COUNTIF(AL310:AN310,"*OK*")*2) + COUNTIF(AO310:AQ310,"*OK*")+COUNTIF(AZ310:AZ310,"SI")*0.5</f>
        <v>0</v>
      </c>
      <c r="BB310" s="471" t="str">
        <f>IF(BA310&lt;0.6,"Demasiado Riesgo",IF(BA310&lt;=5,"Riesgo Medio",IF(BA310&lt;=11,"Riesgo Bajo","Cliente Blindado")))</f>
        <v>Demasiado Riesgo</v>
      </c>
      <c r="BC310" s="471"/>
      <c r="BD310" s="471"/>
      <c r="BE310" s="471">
        <v>0</v>
      </c>
      <c r="BF310" s="471"/>
      <c r="BG310" s="471"/>
      <c r="BH310" s="471"/>
      <c r="BI310" s="471"/>
      <c r="BJ310" s="471"/>
      <c r="BK310" s="471"/>
      <c r="BL310" s="471"/>
      <c r="BM310" s="471"/>
      <c r="BN310" s="471"/>
      <c r="BO310" s="471"/>
      <c r="BP310" s="471"/>
      <c r="BQ310" s="471"/>
      <c r="BR310" s="471"/>
      <c r="BS310" s="471"/>
      <c r="BT310" s="471"/>
      <c r="BU310" s="471"/>
      <c r="BV310" s="471"/>
      <c r="BW310" s="471"/>
      <c r="BX310" s="471"/>
      <c r="BY310" s="471"/>
      <c r="BZ310" s="471"/>
      <c r="CA310" s="471">
        <f>COUNTIF(AI310:AW310,"*OK*")</f>
        <v>0</v>
      </c>
      <c r="CB310" s="471"/>
      <c r="CC310" s="471">
        <f>COUNTIF(AI310:AW310,"*OP*")</f>
        <v>0</v>
      </c>
    </row>
    <row r="311" spans="1:81" ht="15" customHeight="1">
      <c r="A311" s="470">
        <v>7146</v>
      </c>
      <c r="B311" s="471"/>
      <c r="C311" s="451">
        <f>T311</f>
        <v>114.95</v>
      </c>
      <c r="D311" s="471">
        <f>COUNTIF(AI311:AW311,"*OK*")</f>
        <v>0</v>
      </c>
      <c r="E311" s="471"/>
      <c r="F311" s="473" t="s">
        <v>941</v>
      </c>
      <c r="G311" s="473"/>
      <c r="H311" s="454" t="s">
        <v>451</v>
      </c>
      <c r="I311" s="474"/>
      <c r="J311" s="473"/>
      <c r="K311" s="473" t="s">
        <v>68</v>
      </c>
      <c r="L311" s="536" t="s">
        <v>445</v>
      </c>
      <c r="M311" s="536"/>
      <c r="N311" s="484" t="s">
        <v>65</v>
      </c>
      <c r="O311" s="477">
        <v>144.85</v>
      </c>
      <c r="P311" s="477">
        <v>128.63999999999999</v>
      </c>
      <c r="Q311" s="477">
        <v>130.26</v>
      </c>
      <c r="R311" s="478">
        <v>130.49</v>
      </c>
      <c r="S311" s="459">
        <v>124.235</v>
      </c>
      <c r="T311" s="487">
        <v>114.95</v>
      </c>
      <c r="U311" s="479"/>
      <c r="V311" s="480">
        <v>200</v>
      </c>
      <c r="W311" s="481"/>
      <c r="X311" s="572" t="s">
        <v>70</v>
      </c>
      <c r="Y311" s="483" t="s">
        <v>71</v>
      </c>
      <c r="Z311" s="484" t="s">
        <v>942</v>
      </c>
      <c r="AA311" s="480" t="s">
        <v>59</v>
      </c>
      <c r="AB311" s="474"/>
      <c r="AC311" s="471"/>
      <c r="AD311" s="471"/>
      <c r="AE311" s="471"/>
      <c r="AF311" s="471"/>
      <c r="AG311" s="471"/>
      <c r="AH311" s="494" t="s">
        <v>59</v>
      </c>
      <c r="AI311" s="467"/>
      <c r="AJ311" s="467"/>
      <c r="AK311" s="467"/>
      <c r="AL311" s="467"/>
      <c r="AM311" s="467"/>
      <c r="AN311" s="467"/>
      <c r="AO311" s="467"/>
      <c r="AP311" s="467"/>
      <c r="AQ311" s="467"/>
      <c r="AR311" s="467"/>
      <c r="AS311" s="467"/>
      <c r="AT311" s="467"/>
      <c r="AU311" s="467"/>
      <c r="AV311" s="467"/>
      <c r="AW311" s="467"/>
      <c r="AX311" s="467"/>
      <c r="AY311" s="486">
        <f>COUNTIF(AI311:AX311,"*OP*")</f>
        <v>0</v>
      </c>
      <c r="AZ311" s="485" t="s">
        <v>59</v>
      </c>
      <c r="BA311" s="471">
        <f>(COUNTIF(AI311:AK311,"*OK*")*3) + (COUNTIF(AL311:AN311,"*OK*")*2) + COUNTIF(AO311:AQ311,"*OK*")+COUNTIF(AZ311:AZ311,"SI")*0.5</f>
        <v>0</v>
      </c>
      <c r="BB311" s="471" t="str">
        <f>IF(BA311&lt;0.6,"Demasiado Riesgo",IF(BA311&lt;=5,"Riesgo Medio",IF(BA311&lt;=11,"Riesgo Bajo","Cliente Blindado")))</f>
        <v>Demasiado Riesgo</v>
      </c>
      <c r="BC311" s="471"/>
      <c r="BD311" s="471"/>
      <c r="BE311" s="471">
        <v>0</v>
      </c>
      <c r="BF311" s="471"/>
      <c r="BG311" s="471"/>
      <c r="BH311" s="471"/>
      <c r="BI311" s="471"/>
      <c r="BJ311" s="471"/>
      <c r="BK311" s="471"/>
      <c r="BL311" s="471"/>
      <c r="BM311" s="471"/>
      <c r="BN311" s="471"/>
      <c r="BO311" s="471"/>
      <c r="BP311" s="471"/>
      <c r="BQ311" s="471"/>
      <c r="BR311" s="471"/>
      <c r="BS311" s="471"/>
      <c r="BT311" s="471"/>
      <c r="BU311" s="471"/>
      <c r="BV311" s="471"/>
      <c r="BW311" s="471"/>
      <c r="BX311" s="471"/>
      <c r="BY311" s="471"/>
      <c r="BZ311" s="471"/>
      <c r="CA311" s="471">
        <f>COUNTIF(AI311:AW311,"*OK*")</f>
        <v>0</v>
      </c>
      <c r="CB311" s="471"/>
      <c r="CC311" s="471">
        <f>COUNTIF(AI311:AW311,"*OP*")</f>
        <v>0</v>
      </c>
    </row>
    <row r="312" spans="1:81" ht="15" customHeight="1">
      <c r="A312" s="449">
        <v>35476</v>
      </c>
      <c r="B312" s="450"/>
      <c r="C312" s="451">
        <f>T312</f>
        <v>117.13</v>
      </c>
      <c r="D312" s="450">
        <f>COUNTIF(AI312:AW312,"*OK*")</f>
        <v>0</v>
      </c>
      <c r="E312" s="450"/>
      <c r="F312" s="453" t="s">
        <v>943</v>
      </c>
      <c r="G312" s="453"/>
      <c r="H312" s="454" t="s">
        <v>451</v>
      </c>
      <c r="I312" s="454"/>
      <c r="J312" s="453"/>
      <c r="K312" s="455" t="s">
        <v>68</v>
      </c>
      <c r="L312" s="536" t="s">
        <v>445</v>
      </c>
      <c r="M312" s="536"/>
      <c r="N312" s="466" t="s">
        <v>282</v>
      </c>
      <c r="O312" s="457">
        <v>110.21</v>
      </c>
      <c r="P312" s="457">
        <v>110.11</v>
      </c>
      <c r="Q312" s="457">
        <v>107.69</v>
      </c>
      <c r="R312" s="458">
        <v>111.16</v>
      </c>
      <c r="S312" s="459">
        <v>112.6536</v>
      </c>
      <c r="T312" s="490">
        <v>117.13</v>
      </c>
      <c r="U312" s="461"/>
      <c r="V312" s="462">
        <v>100</v>
      </c>
      <c r="W312" s="463"/>
      <c r="X312" s="567" t="s">
        <v>70</v>
      </c>
      <c r="Y312" s="465" t="s">
        <v>80</v>
      </c>
      <c r="Z312" s="466" t="s">
        <v>944</v>
      </c>
      <c r="AA312" s="462" t="s">
        <v>284</v>
      </c>
      <c r="AB312" s="454"/>
      <c r="AC312" s="450"/>
      <c r="AD312" s="450"/>
      <c r="AE312" s="450"/>
      <c r="AF312" s="450"/>
      <c r="AG312" s="450"/>
      <c r="AH312" s="496" t="s">
        <v>59</v>
      </c>
      <c r="AI312" s="467"/>
      <c r="AJ312" s="467"/>
      <c r="AK312" s="467"/>
      <c r="AL312" s="467"/>
      <c r="AM312" s="467"/>
      <c r="AN312" s="467"/>
      <c r="AO312" s="467"/>
      <c r="AP312" s="467"/>
      <c r="AQ312" s="467"/>
      <c r="AR312" s="467"/>
      <c r="AS312" s="467"/>
      <c r="AT312" s="467"/>
      <c r="AU312" s="467"/>
      <c r="AV312" s="467"/>
      <c r="AW312" s="467"/>
      <c r="AX312" s="467"/>
      <c r="AY312" s="486">
        <f>COUNTIF(AI312:AX312,"*OP*")</f>
        <v>0</v>
      </c>
      <c r="AZ312" s="499" t="s">
        <v>59</v>
      </c>
      <c r="BA312" s="450">
        <f>(COUNTIF(AI312:AK312,"*OK*")*3) + (COUNTIF(AL312:AN312,"*OK*")*2) + COUNTIF(AO312:AQ312,"*OK*")+COUNTIF(AZ312:AZ312,"SI")*0.5</f>
        <v>0</v>
      </c>
      <c r="BB312" s="450" t="str">
        <f>IF(BA312&lt;0.6,"Demasiado Riesgo",IF(BA312&lt;=5,"Riesgo Medio",IF(BA312&lt;=11,"Riesgo Bajo","Cliente Blindado")))</f>
        <v>Demasiado Riesgo</v>
      </c>
      <c r="BC312" s="450"/>
      <c r="BD312" s="450"/>
      <c r="BE312" s="450">
        <v>0</v>
      </c>
      <c r="BF312" s="450"/>
      <c r="BG312" s="450"/>
      <c r="BH312" s="450"/>
      <c r="BI312" s="450"/>
      <c r="BJ312" s="450"/>
      <c r="BK312" s="450"/>
      <c r="BL312" s="450"/>
      <c r="BM312" s="450"/>
      <c r="BN312" s="450"/>
      <c r="BO312" s="450"/>
      <c r="BP312" s="450"/>
      <c r="BQ312" s="450"/>
      <c r="BR312" s="450"/>
      <c r="BS312" s="450"/>
      <c r="BT312" s="450"/>
      <c r="BU312" s="450"/>
      <c r="BV312" s="450"/>
      <c r="BW312" s="450"/>
      <c r="BX312" s="450"/>
      <c r="BY312" s="450"/>
      <c r="BZ312" s="450"/>
      <c r="CA312" s="450">
        <f>COUNTIF(AI312:AW312,"*OK*")</f>
        <v>0</v>
      </c>
      <c r="CB312" s="450"/>
      <c r="CC312" s="450">
        <f>COUNTIF(AI312:AW312,"*OP*")</f>
        <v>0</v>
      </c>
    </row>
    <row r="313" spans="1:81" ht="15" customHeight="1">
      <c r="A313" s="470"/>
      <c r="B313" s="471"/>
      <c r="C313" s="451">
        <f>T313</f>
        <v>119.99</v>
      </c>
      <c r="D313" s="471">
        <f>COUNTIF(AM313:AX313,"OK")</f>
        <v>0</v>
      </c>
      <c r="E313" s="471"/>
      <c r="F313" s="471" t="s">
        <v>945</v>
      </c>
      <c r="G313" s="471"/>
      <c r="H313" s="474"/>
      <c r="I313" s="474"/>
      <c r="J313" s="471"/>
      <c r="K313" s="491" t="s">
        <v>68</v>
      </c>
      <c r="L313" s="453" t="s">
        <v>461</v>
      </c>
      <c r="M313" s="471"/>
      <c r="N313" s="484"/>
      <c r="O313" s="457"/>
      <c r="P313" s="457"/>
      <c r="Q313" s="457"/>
      <c r="R313" s="458">
        <v>119.7086</v>
      </c>
      <c r="S313" s="459">
        <v>121.3193</v>
      </c>
      <c r="T313" s="547">
        <v>119.99</v>
      </c>
      <c r="U313" s="479"/>
      <c r="V313" s="480" t="s">
        <v>59</v>
      </c>
      <c r="W313" s="471"/>
      <c r="X313" s="493"/>
      <c r="Y313" s="483"/>
      <c r="Z313" s="484"/>
      <c r="AA313" s="494" t="s">
        <v>59</v>
      </c>
      <c r="AB313" s="474"/>
      <c r="AC313" s="471"/>
      <c r="AD313" s="471"/>
      <c r="AE313" s="471"/>
      <c r="AF313" s="471"/>
      <c r="AG313" s="471"/>
      <c r="AH313" s="622"/>
      <c r="AI313" s="618"/>
      <c r="AJ313" s="618"/>
      <c r="AK313" s="618"/>
      <c r="AL313" s="618"/>
      <c r="AM313" s="618"/>
      <c r="AN313" s="618"/>
      <c r="AO313" s="618"/>
      <c r="AP313" s="618"/>
      <c r="AQ313" s="618"/>
      <c r="AR313" s="618"/>
      <c r="AS313" s="618"/>
      <c r="AT313" s="618"/>
      <c r="AU313" s="618"/>
      <c r="AV313" s="618"/>
      <c r="AW313" s="618"/>
      <c r="AX313" s="618"/>
      <c r="AY313" s="619">
        <f>COUNTIF(AI313:AX313,"*OP*")</f>
        <v>0</v>
      </c>
      <c r="AZ313" s="623"/>
      <c r="BA313" s="471">
        <f>(COUNTIF(AI313:AK313,"*OK*")*3) + (COUNTIF(AL313:AN313,"*OK*")*2) + COUNTIF(AO313:AQ313,"*OK*")+COUNTIF(AZ313:AZ313,"SI")*0.5</f>
        <v>0</v>
      </c>
      <c r="BB313" s="471" t="str">
        <f>IF(BA313&lt;0.6,"Demasiado Riesgo",IF(BA313&lt;=5,"Riesgo Medio",IF(BA313&lt;=11,"Riesgo Bajo","Cliente Blindado")))</f>
        <v>Demasiado Riesgo</v>
      </c>
      <c r="BC313" s="471"/>
      <c r="BD313" s="471"/>
      <c r="BE313" s="471"/>
      <c r="BF313" s="471"/>
      <c r="BG313" s="471"/>
      <c r="BH313" s="471"/>
      <c r="BI313" s="471"/>
      <c r="BJ313" s="471"/>
      <c r="BK313" s="471"/>
      <c r="BL313" s="471"/>
      <c r="BM313" s="471"/>
      <c r="BN313" s="471"/>
      <c r="BO313" s="471"/>
      <c r="BP313" s="471"/>
      <c r="BQ313" s="471"/>
      <c r="BR313" s="471"/>
      <c r="BS313" s="471"/>
      <c r="BT313" s="471"/>
      <c r="BU313" s="471"/>
      <c r="BV313" s="471"/>
      <c r="BW313" s="471"/>
      <c r="BX313" s="471"/>
      <c r="BY313" s="471"/>
      <c r="BZ313" s="471"/>
      <c r="CA313" s="471">
        <f>COUNTIF(AI313:AW313,"*OK*")</f>
        <v>0</v>
      </c>
      <c r="CB313" s="471"/>
      <c r="CC313" s="471"/>
    </row>
    <row r="314" spans="1:81" ht="15" customHeight="1">
      <c r="A314" s="449">
        <v>28721</v>
      </c>
      <c r="B314" s="450"/>
      <c r="C314" s="451">
        <f>T314</f>
        <v>121.44</v>
      </c>
      <c r="D314" s="450">
        <f>COUNTIF(AI314:AW314,"*OK*")</f>
        <v>0</v>
      </c>
      <c r="E314" s="450"/>
      <c r="F314" s="453" t="s">
        <v>946</v>
      </c>
      <c r="G314" s="453"/>
      <c r="H314" s="454" t="s">
        <v>451</v>
      </c>
      <c r="I314" s="454"/>
      <c r="J314" s="453"/>
      <c r="K314" s="453" t="s">
        <v>68</v>
      </c>
      <c r="L314" s="536" t="s">
        <v>445</v>
      </c>
      <c r="M314" s="536"/>
      <c r="N314" s="466" t="s">
        <v>191</v>
      </c>
      <c r="O314" s="457">
        <v>120.28</v>
      </c>
      <c r="P314" s="457">
        <v>132.18</v>
      </c>
      <c r="Q314" s="457">
        <v>123.11</v>
      </c>
      <c r="R314" s="458">
        <v>121.16</v>
      </c>
      <c r="S314" s="459">
        <v>122.789</v>
      </c>
      <c r="T314" s="487">
        <v>121.44</v>
      </c>
      <c r="U314" s="461"/>
      <c r="V314" s="462">
        <v>200</v>
      </c>
      <c r="W314" s="463"/>
      <c r="X314" s="465" t="s">
        <v>198</v>
      </c>
      <c r="Y314" s="465" t="s">
        <v>80</v>
      </c>
      <c r="Z314" s="466" t="s">
        <v>947</v>
      </c>
      <c r="AA314" s="462" t="s">
        <v>132</v>
      </c>
      <c r="AB314" s="454"/>
      <c r="AC314" s="450"/>
      <c r="AD314" s="450"/>
      <c r="AE314" s="450"/>
      <c r="AF314" s="450"/>
      <c r="AG314" s="450"/>
      <c r="AH314" s="496" t="s">
        <v>59</v>
      </c>
      <c r="AI314" s="467"/>
      <c r="AJ314" s="467"/>
      <c r="AK314" s="467"/>
      <c r="AL314" s="467"/>
      <c r="AM314" s="467"/>
      <c r="AN314" s="467"/>
      <c r="AO314" s="467"/>
      <c r="AP314" s="467"/>
      <c r="AQ314" s="467"/>
      <c r="AR314" s="467"/>
      <c r="AS314" s="467"/>
      <c r="AT314" s="467"/>
      <c r="AU314" s="467"/>
      <c r="AV314" s="467"/>
      <c r="AW314" s="467"/>
      <c r="AX314" s="467"/>
      <c r="AY314" s="486">
        <f>COUNTIF(AI314:AX314,"*OP*")</f>
        <v>0</v>
      </c>
      <c r="AZ314" s="499" t="s">
        <v>59</v>
      </c>
      <c r="BA314" s="450">
        <f>(COUNTIF(AI314:AK314,"*OK*")*3) + (COUNTIF(AL314:AN314,"*OK*")*2) + COUNTIF(AO314:AQ314,"*OK*")+COUNTIF(AZ314:AZ314,"SI")*0.5</f>
        <v>0</v>
      </c>
      <c r="BB314" s="450" t="str">
        <f>IF(BA314&lt;0.6,"Demasiado Riesgo",IF(BA314&lt;=5,"Riesgo Medio",IF(BA314&lt;=11,"Riesgo Bajo","Cliente Blindado")))</f>
        <v>Demasiado Riesgo</v>
      </c>
      <c r="BC314" s="450"/>
      <c r="BD314" s="450"/>
      <c r="BE314" s="450">
        <v>0</v>
      </c>
      <c r="BF314" s="450"/>
      <c r="BG314" s="450"/>
      <c r="BH314" s="450"/>
      <c r="BI314" s="450"/>
      <c r="BJ314" s="450"/>
      <c r="BK314" s="450"/>
      <c r="BL314" s="450"/>
      <c r="BM314" s="450"/>
      <c r="BN314" s="450"/>
      <c r="BO314" s="450"/>
      <c r="BP314" s="450"/>
      <c r="BQ314" s="450"/>
      <c r="BR314" s="450"/>
      <c r="BS314" s="450"/>
      <c r="BT314" s="450"/>
      <c r="BU314" s="450"/>
      <c r="BV314" s="450"/>
      <c r="BW314" s="450"/>
      <c r="BX314" s="450"/>
      <c r="BY314" s="450"/>
      <c r="BZ314" s="450"/>
      <c r="CA314" s="450">
        <f>COUNTIF(AI314:AW314,"*OK*")</f>
        <v>0</v>
      </c>
      <c r="CB314" s="450"/>
      <c r="CC314" s="450">
        <f>COUNTIF(AI314:AW314,"*OP*")</f>
        <v>0</v>
      </c>
    </row>
    <row r="315" spans="1:81" ht="15" customHeight="1">
      <c r="A315" s="449"/>
      <c r="B315" s="450"/>
      <c r="C315" s="451">
        <f>T315</f>
        <v>121.99</v>
      </c>
      <c r="D315" s="450">
        <f>COUNTIF(AI315:AW315,"*OK*")</f>
        <v>0</v>
      </c>
      <c r="E315" s="450"/>
      <c r="F315" s="453" t="s">
        <v>948</v>
      </c>
      <c r="G315" s="453"/>
      <c r="H315" s="454" t="s">
        <v>451</v>
      </c>
      <c r="I315" s="454"/>
      <c r="J315" s="453"/>
      <c r="K315" s="453" t="s">
        <v>68</v>
      </c>
      <c r="L315" s="536" t="s">
        <v>445</v>
      </c>
      <c r="M315" s="536"/>
      <c r="N315" s="466" t="s">
        <v>65</v>
      </c>
      <c r="O315" s="457">
        <v>112.23</v>
      </c>
      <c r="P315" s="457">
        <v>127.59</v>
      </c>
      <c r="Q315" s="457">
        <v>121.6</v>
      </c>
      <c r="R315" s="458">
        <v>125.51</v>
      </c>
      <c r="S315" s="459">
        <v>134.90700000000001</v>
      </c>
      <c r="T315" s="469">
        <v>121.99</v>
      </c>
      <c r="U315" s="461"/>
      <c r="V315" s="462">
        <v>50</v>
      </c>
      <c r="W315" s="463"/>
      <c r="X315" s="567" t="s">
        <v>70</v>
      </c>
      <c r="Y315" s="465" t="s">
        <v>71</v>
      </c>
      <c r="Z315" s="466" t="s">
        <v>949</v>
      </c>
      <c r="AA315" s="462" t="s">
        <v>59</v>
      </c>
      <c r="AB315" s="454"/>
      <c r="AC315" s="450"/>
      <c r="AD315" s="450"/>
      <c r="AE315" s="450"/>
      <c r="AF315" s="450"/>
      <c r="AG315" s="450"/>
      <c r="AH315" s="496" t="s">
        <v>59</v>
      </c>
      <c r="AI315" s="467"/>
      <c r="AJ315" s="467"/>
      <c r="AK315" s="467"/>
      <c r="AL315" s="467"/>
      <c r="AM315" s="467"/>
      <c r="AN315" s="467"/>
      <c r="AO315" s="467"/>
      <c r="AP315" s="467"/>
      <c r="AQ315" s="467"/>
      <c r="AR315" s="467"/>
      <c r="AS315" s="467"/>
      <c r="AT315" s="467"/>
      <c r="AU315" s="467"/>
      <c r="AV315" s="467"/>
      <c r="AW315" s="467"/>
      <c r="AX315" s="467"/>
      <c r="AY315" s="486">
        <f>COUNTIF(AI315:AX315,"*OP*")</f>
        <v>0</v>
      </c>
      <c r="AZ315" s="499" t="s">
        <v>59</v>
      </c>
      <c r="BA315" s="450">
        <f>(COUNTIF(AI315:AK315,"*OK*")*3) + (COUNTIF(AL315:AN315,"*OK*")*2) + COUNTIF(AO315:AQ315,"*OK*")+COUNTIF(AZ315:AZ315,"SI")*0.5</f>
        <v>0</v>
      </c>
      <c r="BB315" s="450" t="str">
        <f>IF(BA315&lt;0.6,"Demasiado Riesgo",IF(BA315&lt;=5,"Riesgo Medio",IF(BA315&lt;=11,"Riesgo Bajo","Cliente Blindado")))</f>
        <v>Demasiado Riesgo</v>
      </c>
      <c r="BC315" s="450"/>
      <c r="BD315" s="450"/>
      <c r="BE315" s="450">
        <v>0</v>
      </c>
      <c r="BF315" s="450"/>
      <c r="BG315" s="450"/>
      <c r="BH315" s="450"/>
      <c r="BI315" s="450"/>
      <c r="BJ315" s="450"/>
      <c r="BK315" s="450"/>
      <c r="BL315" s="450"/>
      <c r="BM315" s="450"/>
      <c r="BN315" s="450"/>
      <c r="BO315" s="450"/>
      <c r="BP315" s="450"/>
      <c r="BQ315" s="450"/>
      <c r="BR315" s="450"/>
      <c r="BS315" s="450"/>
      <c r="BT315" s="450"/>
      <c r="BU315" s="450"/>
      <c r="BV315" s="450"/>
      <c r="BW315" s="450"/>
      <c r="BX315" s="450"/>
      <c r="BY315" s="450"/>
      <c r="BZ315" s="450"/>
      <c r="CA315" s="450">
        <f>COUNTIF(AI315:AW315,"*OK*")</f>
        <v>0</v>
      </c>
      <c r="CB315" s="450"/>
      <c r="CC315" s="450">
        <f>COUNTIF(AI315:AW315,"*OP*")</f>
        <v>0</v>
      </c>
    </row>
    <row r="316" spans="1:81" ht="15" customHeight="1">
      <c r="A316" s="470">
        <v>18819</v>
      </c>
      <c r="B316" s="471"/>
      <c r="C316" s="451">
        <f>T316</f>
        <v>122.87</v>
      </c>
      <c r="D316" s="471">
        <f>COUNTIF(AI316:AW316,"*OK*")</f>
        <v>0</v>
      </c>
      <c r="E316" s="471"/>
      <c r="F316" s="473" t="s">
        <v>950</v>
      </c>
      <c r="G316" s="473"/>
      <c r="H316" s="454" t="s">
        <v>451</v>
      </c>
      <c r="I316" s="474"/>
      <c r="J316" s="473"/>
      <c r="K316" s="473" t="s">
        <v>68</v>
      </c>
      <c r="L316" s="536" t="s">
        <v>445</v>
      </c>
      <c r="M316" s="536"/>
      <c r="N316" s="484" t="s">
        <v>103</v>
      </c>
      <c r="O316" s="477">
        <v>120.71</v>
      </c>
      <c r="P316" s="477">
        <v>136.68</v>
      </c>
      <c r="Q316" s="477">
        <v>114.93</v>
      </c>
      <c r="R316" s="478">
        <v>122.59</v>
      </c>
      <c r="S316" s="459">
        <v>124.235</v>
      </c>
      <c r="T316" s="469">
        <v>122.87</v>
      </c>
      <c r="U316" s="479"/>
      <c r="V316" s="480">
        <v>100</v>
      </c>
      <c r="W316" s="481"/>
      <c r="X316" s="572" t="s">
        <v>70</v>
      </c>
      <c r="Y316" s="483" t="s">
        <v>299</v>
      </c>
      <c r="Z316" s="484" t="s">
        <v>951</v>
      </c>
      <c r="AA316" s="480" t="s">
        <v>220</v>
      </c>
      <c r="AB316" s="474"/>
      <c r="AC316" s="471"/>
      <c r="AD316" s="471"/>
      <c r="AE316" s="471"/>
      <c r="AF316" s="471"/>
      <c r="AG316" s="471"/>
      <c r="AH316" s="494" t="s">
        <v>59</v>
      </c>
      <c r="AI316" s="467"/>
      <c r="AJ316" s="467"/>
      <c r="AK316" s="566"/>
      <c r="AL316" s="467"/>
      <c r="AM316" s="467"/>
      <c r="AN316" s="467"/>
      <c r="AO316" s="467"/>
      <c r="AP316" s="467"/>
      <c r="AQ316" s="467"/>
      <c r="AR316" s="467"/>
      <c r="AS316" s="467"/>
      <c r="AT316" s="467"/>
      <c r="AU316" s="467"/>
      <c r="AV316" s="467"/>
      <c r="AW316" s="467"/>
      <c r="AX316" s="467"/>
      <c r="AY316" s="486">
        <f>COUNTIF(AI316:AX316,"*OP*")</f>
        <v>0</v>
      </c>
      <c r="AZ316" s="485" t="s">
        <v>59</v>
      </c>
      <c r="BA316" s="471">
        <f>(COUNTIF(AI316:AK316,"*OK*")*3) + (COUNTIF(AL316:AN316,"*OK*")*2) + COUNTIF(AO316:AQ316,"*OK*")+COUNTIF(AZ316:AZ316,"SI")*0.5</f>
        <v>0</v>
      </c>
      <c r="BB316" s="471" t="str">
        <f>IF(BA316&lt;0.6,"Demasiado Riesgo",IF(BA316&lt;=5,"Riesgo Medio",IF(BA316&lt;=11,"Riesgo Bajo","Cliente Blindado")))</f>
        <v>Demasiado Riesgo</v>
      </c>
      <c r="BC316" s="471"/>
      <c r="BD316" s="471"/>
      <c r="BE316" s="471">
        <v>0</v>
      </c>
      <c r="BF316" s="471"/>
      <c r="BG316" s="471"/>
      <c r="BH316" s="471"/>
      <c r="BI316" s="471"/>
      <c r="BJ316" s="471"/>
      <c r="BK316" s="471"/>
      <c r="BL316" s="471"/>
      <c r="BM316" s="471"/>
      <c r="BN316" s="471"/>
      <c r="BO316" s="471"/>
      <c r="BP316" s="471"/>
      <c r="BQ316" s="471"/>
      <c r="BR316" s="471"/>
      <c r="BS316" s="471"/>
      <c r="BT316" s="471"/>
      <c r="BU316" s="471"/>
      <c r="BV316" s="471"/>
      <c r="BW316" s="471"/>
      <c r="BX316" s="471"/>
      <c r="BY316" s="471"/>
      <c r="BZ316" s="471"/>
      <c r="CA316" s="471">
        <f>COUNTIF(AI316:AW316,"*OK*")</f>
        <v>0</v>
      </c>
      <c r="CB316" s="471"/>
      <c r="CC316" s="471">
        <f>COUNTIF(AI316:AW316,"*OP*")</f>
        <v>0</v>
      </c>
    </row>
    <row r="317" spans="1:81" ht="15" customHeight="1">
      <c r="A317" s="470"/>
      <c r="B317" s="471"/>
      <c r="C317" s="451">
        <f>T317</f>
        <v>127.13</v>
      </c>
      <c r="D317" s="471">
        <f>COUNTIF(AI317:AW317,"*OK*")</f>
        <v>0</v>
      </c>
      <c r="E317" s="471"/>
      <c r="F317" s="473" t="s">
        <v>952</v>
      </c>
      <c r="G317" s="473"/>
      <c r="H317" s="454" t="s">
        <v>451</v>
      </c>
      <c r="I317" s="474"/>
      <c r="J317" s="473"/>
      <c r="K317" s="473" t="s">
        <v>68</v>
      </c>
      <c r="L317" s="536" t="s">
        <v>445</v>
      </c>
      <c r="M317" s="536"/>
      <c r="N317" s="484" t="s">
        <v>65</v>
      </c>
      <c r="O317" s="477">
        <v>136.36000000000001</v>
      </c>
      <c r="P317" s="477">
        <v>136.24</v>
      </c>
      <c r="Q317" s="477">
        <v>125.19</v>
      </c>
      <c r="R317" s="478">
        <v>126.83</v>
      </c>
      <c r="S317" s="459">
        <v>130.96250000000001</v>
      </c>
      <c r="T317" s="487">
        <v>127.13</v>
      </c>
      <c r="U317" s="479"/>
      <c r="V317" s="480">
        <v>100</v>
      </c>
      <c r="W317" s="481"/>
      <c r="X317" s="572" t="s">
        <v>70</v>
      </c>
      <c r="Y317" s="483" t="s">
        <v>233</v>
      </c>
      <c r="Z317" s="484" t="s">
        <v>953</v>
      </c>
      <c r="AA317" s="480" t="s">
        <v>59</v>
      </c>
      <c r="AB317" s="474"/>
      <c r="AC317" s="471"/>
      <c r="AD317" s="471"/>
      <c r="AE317" s="471"/>
      <c r="AF317" s="471"/>
      <c r="AG317" s="471"/>
      <c r="AH317" s="494" t="s">
        <v>59</v>
      </c>
      <c r="AI317" s="467"/>
      <c r="AJ317" s="467"/>
      <c r="AK317" s="467"/>
      <c r="AL317" s="467"/>
      <c r="AM317" s="467"/>
      <c r="AN317" s="467"/>
      <c r="AO317" s="467"/>
      <c r="AP317" s="467"/>
      <c r="AQ317" s="467"/>
      <c r="AR317" s="467"/>
      <c r="AS317" s="467"/>
      <c r="AT317" s="467"/>
      <c r="AU317" s="467"/>
      <c r="AV317" s="467"/>
      <c r="AW317" s="467"/>
      <c r="AX317" s="467"/>
      <c r="AY317" s="486">
        <f>COUNTIF(AI317:AX317,"*OP*")</f>
        <v>0</v>
      </c>
      <c r="AZ317" s="485" t="s">
        <v>59</v>
      </c>
      <c r="BA317" s="471">
        <f>(COUNTIF(AI317:AK317,"*OK*")*3) + (COUNTIF(AL317:AN317,"*OK*")*2) + COUNTIF(AO317:AQ317,"*OK*")+COUNTIF(AZ317:AZ317,"SI")*0.5</f>
        <v>0</v>
      </c>
      <c r="BB317" s="471" t="str">
        <f>IF(BA317&lt;0.6,"Demasiado Riesgo",IF(BA317&lt;=5,"Riesgo Medio",IF(BA317&lt;=11,"Riesgo Bajo","Cliente Blindado")))</f>
        <v>Demasiado Riesgo</v>
      </c>
      <c r="BC317" s="471"/>
      <c r="BD317" s="471"/>
      <c r="BE317" s="471">
        <v>0</v>
      </c>
      <c r="BF317" s="471"/>
      <c r="BG317" s="471"/>
      <c r="BH317" s="471"/>
      <c r="BI317" s="471"/>
      <c r="BJ317" s="471"/>
      <c r="BK317" s="471"/>
      <c r="BL317" s="471"/>
      <c r="BM317" s="471"/>
      <c r="BN317" s="471"/>
      <c r="BO317" s="471"/>
      <c r="BP317" s="471"/>
      <c r="BQ317" s="471"/>
      <c r="BR317" s="471"/>
      <c r="BS317" s="471"/>
      <c r="BT317" s="471"/>
      <c r="BU317" s="471"/>
      <c r="BV317" s="471"/>
      <c r="BW317" s="471"/>
      <c r="BX317" s="471"/>
      <c r="BY317" s="471"/>
      <c r="BZ317" s="471"/>
      <c r="CA317" s="471">
        <f>COUNTIF(AI317:AW317,"*OK*")</f>
        <v>0</v>
      </c>
      <c r="CB317" s="471"/>
      <c r="CC317" s="471">
        <f>COUNTIF(AI317:AW317,"*OP*")</f>
        <v>0</v>
      </c>
    </row>
    <row r="318" spans="1:81" ht="15" customHeight="1">
      <c r="A318" s="470">
        <v>35243</v>
      </c>
      <c r="B318" s="471"/>
      <c r="C318" s="451">
        <f>T318</f>
        <v>127.42</v>
      </c>
      <c r="D318" s="471">
        <f>COUNTIF(AI318:AW318,"*OK*")</f>
        <v>0</v>
      </c>
      <c r="E318" s="471"/>
      <c r="F318" s="473" t="s">
        <v>954</v>
      </c>
      <c r="G318" s="473"/>
      <c r="H318" s="454" t="s">
        <v>451</v>
      </c>
      <c r="I318" s="474"/>
      <c r="J318" s="473"/>
      <c r="K318" s="475" t="s">
        <v>68</v>
      </c>
      <c r="L318" s="536" t="s">
        <v>445</v>
      </c>
      <c r="M318" s="536"/>
      <c r="N318" s="484" t="s">
        <v>65</v>
      </c>
      <c r="O318" s="477">
        <v>84.11</v>
      </c>
      <c r="P318" s="477">
        <v>132.71</v>
      </c>
      <c r="Q318" s="477">
        <v>129.78</v>
      </c>
      <c r="R318" s="478">
        <v>147.63999999999999</v>
      </c>
      <c r="S318" s="459">
        <v>135.7621</v>
      </c>
      <c r="T318" s="487">
        <v>127.42</v>
      </c>
      <c r="U318" s="479"/>
      <c r="V318" s="480">
        <v>200</v>
      </c>
      <c r="W318" s="481"/>
      <c r="X318" s="482" t="s">
        <v>70</v>
      </c>
      <c r="Y318" s="483" t="s">
        <v>89</v>
      </c>
      <c r="Z318" s="484" t="s">
        <v>955</v>
      </c>
      <c r="AA318" s="480" t="s">
        <v>59</v>
      </c>
      <c r="AB318" s="474"/>
      <c r="AC318" s="471"/>
      <c r="AD318" s="471"/>
      <c r="AE318" s="471"/>
      <c r="AF318" s="471"/>
      <c r="AG318" s="471"/>
      <c r="AH318" s="494" t="s">
        <v>59</v>
      </c>
      <c r="AI318" s="467"/>
      <c r="AJ318" s="467"/>
      <c r="AK318" s="467"/>
      <c r="AL318" s="467"/>
      <c r="AM318" s="467"/>
      <c r="AN318" s="467"/>
      <c r="AO318" s="467"/>
      <c r="AP318" s="467"/>
      <c r="AQ318" s="467"/>
      <c r="AR318" s="467"/>
      <c r="AS318" s="467"/>
      <c r="AT318" s="467"/>
      <c r="AU318" s="467"/>
      <c r="AV318" s="467"/>
      <c r="AW318" s="467"/>
      <c r="AX318" s="467"/>
      <c r="AY318" s="486">
        <f>COUNTIF(AI318:AX318,"*OP*")</f>
        <v>0</v>
      </c>
      <c r="AZ318" s="485" t="s">
        <v>59</v>
      </c>
      <c r="BA318" s="471">
        <f>(COUNTIF(AI318:AK318,"*OK*")*3) + (COUNTIF(AL318:AN318,"*OK*")*2) + COUNTIF(AO318:AQ318,"*OK*")+COUNTIF(AZ318:AZ318,"SI")*0.5</f>
        <v>0</v>
      </c>
      <c r="BB318" s="471" t="str">
        <f>IF(BA318&lt;0.6,"Demasiado Riesgo",IF(BA318&lt;=5,"Riesgo Medio",IF(BA318&lt;=11,"Riesgo Bajo","Cliente Blindado")))</f>
        <v>Demasiado Riesgo</v>
      </c>
      <c r="BC318" s="471"/>
      <c r="BD318" s="471"/>
      <c r="BE318" s="471">
        <v>0</v>
      </c>
      <c r="BF318" s="471"/>
      <c r="BG318" s="471"/>
      <c r="BH318" s="471"/>
      <c r="BI318" s="471"/>
      <c r="BJ318" s="471"/>
      <c r="BK318" s="471"/>
      <c r="BL318" s="471"/>
      <c r="BM318" s="471"/>
      <c r="BN318" s="471"/>
      <c r="BO318" s="471"/>
      <c r="BP318" s="471"/>
      <c r="BQ318" s="471"/>
      <c r="BR318" s="471"/>
      <c r="BS318" s="471"/>
      <c r="BT318" s="471"/>
      <c r="BU318" s="471"/>
      <c r="BV318" s="471"/>
      <c r="BW318" s="471"/>
      <c r="BX318" s="471"/>
      <c r="BY318" s="471"/>
      <c r="BZ318" s="471"/>
      <c r="CA318" s="471">
        <f>COUNTIF(AI318:AW318,"*OK*")</f>
        <v>0</v>
      </c>
      <c r="CB318" s="471"/>
      <c r="CC318" s="471">
        <f>COUNTIF(AI318:AW318,"*OP*")</f>
        <v>0</v>
      </c>
    </row>
    <row r="319" spans="1:81" ht="15" customHeight="1">
      <c r="A319" s="449">
        <v>33934</v>
      </c>
      <c r="B319" s="450"/>
      <c r="C319" s="451">
        <f>T319</f>
        <v>139.99</v>
      </c>
      <c r="D319" s="450">
        <f>COUNTIF(AI319:AW319,"*OK*")</f>
        <v>0</v>
      </c>
      <c r="E319" s="450"/>
      <c r="F319" s="453" t="s">
        <v>956</v>
      </c>
      <c r="G319" s="453"/>
      <c r="H319" s="454" t="s">
        <v>451</v>
      </c>
      <c r="I319" s="454"/>
      <c r="J319" s="453"/>
      <c r="K319" s="453" t="s">
        <v>68</v>
      </c>
      <c r="L319" s="536" t="s">
        <v>445</v>
      </c>
      <c r="M319" s="536"/>
      <c r="N319" s="466" t="s">
        <v>65</v>
      </c>
      <c r="O319" s="457">
        <v>124.71</v>
      </c>
      <c r="P319" s="457">
        <v>131.55000000000001</v>
      </c>
      <c r="Q319" s="457">
        <v>128.68</v>
      </c>
      <c r="R319" s="458">
        <v>132.82</v>
      </c>
      <c r="S319" s="459">
        <v>138.0729</v>
      </c>
      <c r="T319" s="490">
        <v>139.99</v>
      </c>
      <c r="U319" s="461"/>
      <c r="V319" s="462">
        <v>200</v>
      </c>
      <c r="W319" s="463"/>
      <c r="X319" s="567" t="s">
        <v>70</v>
      </c>
      <c r="Y319" s="465" t="s">
        <v>89</v>
      </c>
      <c r="Z319" s="466" t="s">
        <v>957</v>
      </c>
      <c r="AA319" s="462" t="s">
        <v>59</v>
      </c>
      <c r="AB319" s="454"/>
      <c r="AC319" s="450"/>
      <c r="AD319" s="450"/>
      <c r="AE319" s="450"/>
      <c r="AF319" s="450"/>
      <c r="AG319" s="450"/>
      <c r="AH319" s="496" t="s">
        <v>59</v>
      </c>
      <c r="AI319" s="467"/>
      <c r="AJ319" s="467"/>
      <c r="AK319" s="467"/>
      <c r="AL319" s="467"/>
      <c r="AM319" s="467"/>
      <c r="AN319" s="467"/>
      <c r="AO319" s="467"/>
      <c r="AP319" s="467"/>
      <c r="AQ319" s="467"/>
      <c r="AR319" s="467"/>
      <c r="AS319" s="467"/>
      <c r="AT319" s="467"/>
      <c r="AU319" s="467"/>
      <c r="AV319" s="467"/>
      <c r="AW319" s="467"/>
      <c r="AX319" s="467"/>
      <c r="AY319" s="486">
        <f>COUNTIF(AI319:AX319,"*OP*")</f>
        <v>0</v>
      </c>
      <c r="AZ319" s="499" t="s">
        <v>59</v>
      </c>
      <c r="BA319" s="450">
        <f>(COUNTIF(AI319:AK319,"*OK*")*3) + (COUNTIF(AL319:AN319,"*OK*")*2) + COUNTIF(AO319:AQ319,"*OK*")+COUNTIF(AZ319:AZ319,"SI")*0.5</f>
        <v>0</v>
      </c>
      <c r="BB319" s="450" t="str">
        <f>IF(BA319&lt;0.6,"Demasiado Riesgo",IF(BA319&lt;=5,"Riesgo Medio",IF(BA319&lt;=11,"Riesgo Bajo","Cliente Blindado")))</f>
        <v>Demasiado Riesgo</v>
      </c>
      <c r="BC319" s="450"/>
      <c r="BD319" s="450"/>
      <c r="BE319" s="450">
        <v>0</v>
      </c>
      <c r="BF319" s="450"/>
      <c r="BG319" s="450"/>
      <c r="BH319" s="450"/>
      <c r="BI319" s="450"/>
      <c r="BJ319" s="450"/>
      <c r="BK319" s="450"/>
      <c r="BL319" s="450"/>
      <c r="BM319" s="450"/>
      <c r="BN319" s="450"/>
      <c r="BO319" s="450"/>
      <c r="BP319" s="450"/>
      <c r="BQ319" s="450"/>
      <c r="BR319" s="450"/>
      <c r="BS319" s="450"/>
      <c r="BT319" s="450"/>
      <c r="BU319" s="450"/>
      <c r="BV319" s="450"/>
      <c r="BW319" s="450"/>
      <c r="BX319" s="450"/>
      <c r="BY319" s="450"/>
      <c r="BZ319" s="450"/>
      <c r="CA319" s="450">
        <f>COUNTIF(AI319:AW319,"*OK*")</f>
        <v>0</v>
      </c>
      <c r="CB319" s="450"/>
      <c r="CC319" s="450">
        <f>COUNTIF(AI319:AW319,"*OP*")</f>
        <v>0</v>
      </c>
    </row>
    <row r="320" spans="1:81" ht="15" customHeight="1">
      <c r="A320" s="449">
        <v>36918</v>
      </c>
      <c r="B320" s="450"/>
      <c r="C320" s="451">
        <f>T320</f>
        <v>140.56</v>
      </c>
      <c r="D320" s="450">
        <f>COUNTIF(AI320:AW320,"*OK*")</f>
        <v>0</v>
      </c>
      <c r="E320" s="450"/>
      <c r="F320" s="453" t="s">
        <v>958</v>
      </c>
      <c r="G320" s="453"/>
      <c r="H320" s="454" t="s">
        <v>451</v>
      </c>
      <c r="I320" s="454"/>
      <c r="J320" s="453"/>
      <c r="K320" s="455" t="s">
        <v>68</v>
      </c>
      <c r="L320" s="536" t="s">
        <v>445</v>
      </c>
      <c r="M320" s="536"/>
      <c r="N320" s="466" t="s">
        <v>65</v>
      </c>
      <c r="O320" s="457"/>
      <c r="P320" s="457"/>
      <c r="Q320" s="457">
        <v>146.9</v>
      </c>
      <c r="R320" s="458">
        <v>160.75</v>
      </c>
      <c r="S320" s="459">
        <v>160.6036</v>
      </c>
      <c r="T320" s="469">
        <v>140.56</v>
      </c>
      <c r="U320" s="461"/>
      <c r="V320" s="462">
        <v>200</v>
      </c>
      <c r="W320" s="463"/>
      <c r="X320" s="567" t="s">
        <v>70</v>
      </c>
      <c r="Y320" s="465" t="s">
        <v>89</v>
      </c>
      <c r="Z320" s="466" t="s">
        <v>959</v>
      </c>
      <c r="AA320" s="462" t="s">
        <v>59</v>
      </c>
      <c r="AB320" s="454"/>
      <c r="AC320" s="450"/>
      <c r="AD320" s="450"/>
      <c r="AE320" s="450"/>
      <c r="AF320" s="450"/>
      <c r="AG320" s="450"/>
      <c r="AH320" s="496" t="s">
        <v>59</v>
      </c>
      <c r="AI320" s="467"/>
      <c r="AJ320" s="467"/>
      <c r="AK320" s="467"/>
      <c r="AL320" s="467"/>
      <c r="AM320" s="467"/>
      <c r="AN320" s="467"/>
      <c r="AO320" s="467"/>
      <c r="AP320" s="467"/>
      <c r="AQ320" s="467"/>
      <c r="AR320" s="467"/>
      <c r="AS320" s="467"/>
      <c r="AT320" s="467"/>
      <c r="AU320" s="467"/>
      <c r="AV320" s="467"/>
      <c r="AW320" s="467"/>
      <c r="AX320" s="467"/>
      <c r="AY320" s="486">
        <f>COUNTIF(AI320:AX320,"*OP*")</f>
        <v>0</v>
      </c>
      <c r="AZ320" s="499" t="s">
        <v>59</v>
      </c>
      <c r="BA320" s="450">
        <f>(COUNTIF(AI320:AK320,"*OK*")*3) + (COUNTIF(AL320:AN320,"*OK*")*2) + COUNTIF(AO320:AQ320,"*OK*")+COUNTIF(AZ320:AZ320,"SI")*0.5</f>
        <v>0</v>
      </c>
      <c r="BB320" s="450" t="str">
        <f>IF(BA320&lt;0.6,"Demasiado Riesgo",IF(BA320&lt;=5,"Riesgo Medio",IF(BA320&lt;=11,"Riesgo Bajo","Cliente Blindado")))</f>
        <v>Demasiado Riesgo</v>
      </c>
      <c r="BC320" s="450"/>
      <c r="BD320" s="450"/>
      <c r="BE320" s="450">
        <v>0</v>
      </c>
      <c r="BF320" s="450"/>
      <c r="BG320" s="450"/>
      <c r="BH320" s="450"/>
      <c r="BI320" s="450"/>
      <c r="BJ320" s="450"/>
      <c r="BK320" s="450"/>
      <c r="BL320" s="450"/>
      <c r="BM320" s="450"/>
      <c r="BN320" s="450"/>
      <c r="BO320" s="450"/>
      <c r="BP320" s="450"/>
      <c r="BQ320" s="450"/>
      <c r="BR320" s="450"/>
      <c r="BS320" s="450"/>
      <c r="BT320" s="450"/>
      <c r="BU320" s="450"/>
      <c r="BV320" s="450"/>
      <c r="BW320" s="450"/>
      <c r="BX320" s="450"/>
      <c r="BY320" s="450"/>
      <c r="BZ320" s="450"/>
      <c r="CA320" s="450">
        <f>COUNTIF(AI320:AW320,"*OK*")</f>
        <v>0</v>
      </c>
      <c r="CB320" s="450"/>
      <c r="CC320" s="450">
        <f>COUNTIF(AI320:AW320,"*OP*")</f>
        <v>0</v>
      </c>
    </row>
    <row r="321" spans="1:81" ht="15" customHeight="1">
      <c r="A321" s="470"/>
      <c r="B321" s="471"/>
      <c r="C321" s="451">
        <f>T321</f>
        <v>142.84</v>
      </c>
      <c r="D321" s="471">
        <f>COUNTIF(AI321:AW321,"*OK*")</f>
        <v>0</v>
      </c>
      <c r="E321" s="471"/>
      <c r="F321" s="473" t="s">
        <v>960</v>
      </c>
      <c r="G321" s="473"/>
      <c r="H321" s="454" t="s">
        <v>451</v>
      </c>
      <c r="I321" s="474"/>
      <c r="J321" s="473"/>
      <c r="K321" s="475" t="s">
        <v>68</v>
      </c>
      <c r="L321" s="536" t="s">
        <v>445</v>
      </c>
      <c r="M321" s="536"/>
      <c r="N321" s="484" t="s">
        <v>65</v>
      </c>
      <c r="O321" s="477"/>
      <c r="P321" s="477">
        <v>137.05000000000001</v>
      </c>
      <c r="Q321" s="477">
        <v>130.61000000000001</v>
      </c>
      <c r="R321" s="478">
        <v>145.08000000000001</v>
      </c>
      <c r="S321" s="459">
        <v>136.62860000000001</v>
      </c>
      <c r="T321" s="460">
        <v>142.84</v>
      </c>
      <c r="U321" s="479"/>
      <c r="V321" s="480">
        <v>50</v>
      </c>
      <c r="W321" s="481"/>
      <c r="X321" s="572" t="s">
        <v>70</v>
      </c>
      <c r="Y321" s="483" t="s">
        <v>71</v>
      </c>
      <c r="Z321" s="484" t="s">
        <v>961</v>
      </c>
      <c r="AA321" s="480" t="s">
        <v>59</v>
      </c>
      <c r="AB321" s="474"/>
      <c r="AC321" s="471"/>
      <c r="AD321" s="471"/>
      <c r="AE321" s="471"/>
      <c r="AF321" s="471"/>
      <c r="AG321" s="471"/>
      <c r="AH321" s="494" t="s">
        <v>59</v>
      </c>
      <c r="AI321" s="467"/>
      <c r="AJ321" s="467"/>
      <c r="AK321" s="467"/>
      <c r="AL321" s="467"/>
      <c r="AM321" s="467"/>
      <c r="AN321" s="467"/>
      <c r="AO321" s="467"/>
      <c r="AP321" s="467"/>
      <c r="AQ321" s="467"/>
      <c r="AR321" s="467"/>
      <c r="AS321" s="467"/>
      <c r="AT321" s="467"/>
      <c r="AU321" s="467"/>
      <c r="AV321" s="467"/>
      <c r="AW321" s="467"/>
      <c r="AX321" s="467"/>
      <c r="AY321" s="486">
        <f>COUNTIF(AI321:AX321,"*OP*")</f>
        <v>0</v>
      </c>
      <c r="AZ321" s="485" t="s">
        <v>59</v>
      </c>
      <c r="BA321" s="471">
        <f>(COUNTIF(AI321:AK321,"*OK*")*3) + (COUNTIF(AL321:AN321,"*OK*")*2) + COUNTIF(AO321:AQ321,"*OK*")+COUNTIF(AZ321:AZ321,"SI")*0.5</f>
        <v>0</v>
      </c>
      <c r="BB321" s="471" t="str">
        <f>IF(BA321&lt;0.6,"Demasiado Riesgo",IF(BA321&lt;=5,"Riesgo Medio",IF(BA321&lt;=11,"Riesgo Bajo","Cliente Blindado")))</f>
        <v>Demasiado Riesgo</v>
      </c>
      <c r="BC321" s="471"/>
      <c r="BD321" s="471"/>
      <c r="BE321" s="471">
        <v>0</v>
      </c>
      <c r="BF321" s="471"/>
      <c r="BG321" s="471"/>
      <c r="BH321" s="471"/>
      <c r="BI321" s="471"/>
      <c r="BJ321" s="471"/>
      <c r="BK321" s="471"/>
      <c r="BL321" s="471"/>
      <c r="BM321" s="471"/>
      <c r="BN321" s="471"/>
      <c r="BO321" s="471"/>
      <c r="BP321" s="471"/>
      <c r="BQ321" s="471"/>
      <c r="BR321" s="471"/>
      <c r="BS321" s="471"/>
      <c r="BT321" s="471"/>
      <c r="BU321" s="471"/>
      <c r="BV321" s="471"/>
      <c r="BW321" s="471"/>
      <c r="BX321" s="471"/>
      <c r="BY321" s="471"/>
      <c r="BZ321" s="471"/>
      <c r="CA321" s="471">
        <f>COUNTIF(AI321:AW321,"*OK*")</f>
        <v>0</v>
      </c>
      <c r="CB321" s="471"/>
      <c r="CC321" s="471">
        <f>COUNTIF(AI321:AW321,"*OP*")</f>
        <v>0</v>
      </c>
    </row>
    <row r="322" spans="1:81" ht="15" customHeight="1">
      <c r="A322" s="449"/>
      <c r="B322" s="450"/>
      <c r="C322" s="451">
        <f>T322</f>
        <v>145.93</v>
      </c>
      <c r="D322" s="450">
        <f>COUNTIF(AI322:AW322,"*OK*")</f>
        <v>0</v>
      </c>
      <c r="E322" s="450"/>
      <c r="F322" s="453" t="s">
        <v>962</v>
      </c>
      <c r="G322" s="453"/>
      <c r="H322" s="454" t="s">
        <v>451</v>
      </c>
      <c r="I322" s="454"/>
      <c r="J322" s="453"/>
      <c r="K322" s="455" t="s">
        <v>68</v>
      </c>
      <c r="L322" s="536" t="s">
        <v>445</v>
      </c>
      <c r="M322" s="536"/>
      <c r="N322" s="466" t="s">
        <v>65</v>
      </c>
      <c r="O322" s="457">
        <v>148.13999999999999</v>
      </c>
      <c r="P322" s="457">
        <v>148</v>
      </c>
      <c r="Q322" s="457">
        <v>141.05000000000001</v>
      </c>
      <c r="R322" s="458">
        <v>145.59</v>
      </c>
      <c r="S322" s="459">
        <v>147.5444</v>
      </c>
      <c r="T322" s="487">
        <v>145.93</v>
      </c>
      <c r="U322" s="461"/>
      <c r="V322" s="462">
        <v>100</v>
      </c>
      <c r="W322" s="463"/>
      <c r="X322" s="567" t="s">
        <v>70</v>
      </c>
      <c r="Y322" s="465" t="s">
        <v>150</v>
      </c>
      <c r="Z322" s="466" t="s">
        <v>963</v>
      </c>
      <c r="AA322" s="462" t="s">
        <v>59</v>
      </c>
      <c r="AB322" s="454"/>
      <c r="AC322" s="450"/>
      <c r="AD322" s="450"/>
      <c r="AE322" s="450"/>
      <c r="AF322" s="450"/>
      <c r="AG322" s="450"/>
      <c r="AH322" s="496" t="s">
        <v>59</v>
      </c>
      <c r="AI322" s="467"/>
      <c r="AJ322" s="467"/>
      <c r="AK322" s="467"/>
      <c r="AL322" s="467"/>
      <c r="AM322" s="467"/>
      <c r="AN322" s="467"/>
      <c r="AO322" s="467"/>
      <c r="AP322" s="467"/>
      <c r="AQ322" s="467"/>
      <c r="AR322" s="467"/>
      <c r="AS322" s="467"/>
      <c r="AT322" s="467"/>
      <c r="AU322" s="467"/>
      <c r="AV322" s="467"/>
      <c r="AW322" s="467"/>
      <c r="AX322" s="467"/>
      <c r="AY322" s="486">
        <f>COUNTIF(AI322:AX322,"*OP*")</f>
        <v>0</v>
      </c>
      <c r="AZ322" s="499" t="s">
        <v>59</v>
      </c>
      <c r="BA322" s="450">
        <f>(COUNTIF(AI322:AK322,"*OK*")*3) + (COUNTIF(AL322:AN322,"*OK*")*2) + COUNTIF(AO322:AQ322,"*OK*")+COUNTIF(AZ322:AZ322,"SI")*0.5</f>
        <v>0</v>
      </c>
      <c r="BB322" s="450" t="str">
        <f>IF(BA322&lt;0.6,"Demasiado Riesgo",IF(BA322&lt;=5,"Riesgo Medio",IF(BA322&lt;=11,"Riesgo Bajo","Cliente Blindado")))</f>
        <v>Demasiado Riesgo</v>
      </c>
      <c r="BC322" s="450"/>
      <c r="BD322" s="450"/>
      <c r="BE322" s="450">
        <v>0</v>
      </c>
      <c r="BF322" s="450"/>
      <c r="BG322" s="450"/>
      <c r="BH322" s="450"/>
      <c r="BI322" s="450"/>
      <c r="BJ322" s="450"/>
      <c r="BK322" s="450"/>
      <c r="BL322" s="450"/>
      <c r="BM322" s="450"/>
      <c r="BN322" s="450"/>
      <c r="BO322" s="450"/>
      <c r="BP322" s="450"/>
      <c r="BQ322" s="450"/>
      <c r="BR322" s="450"/>
      <c r="BS322" s="450"/>
      <c r="BT322" s="450"/>
      <c r="BU322" s="450"/>
      <c r="BV322" s="450"/>
      <c r="BW322" s="450"/>
      <c r="BX322" s="450"/>
      <c r="BY322" s="450"/>
      <c r="BZ322" s="450"/>
      <c r="CA322" s="450">
        <f>COUNTIF(AI322:AW322,"*OK*")</f>
        <v>0</v>
      </c>
      <c r="CB322" s="450"/>
      <c r="CC322" s="450">
        <f>COUNTIF(AI322:AW322,"*OP*")</f>
        <v>0</v>
      </c>
    </row>
    <row r="323" spans="1:81" ht="15" customHeight="1">
      <c r="A323" s="470">
        <v>36305</v>
      </c>
      <c r="B323" s="471"/>
      <c r="C323" s="451">
        <f>T323</f>
        <v>147.69999999999999</v>
      </c>
      <c r="D323" s="471">
        <f>COUNTIF(AI323:AW323,"*OK*")</f>
        <v>0</v>
      </c>
      <c r="E323" s="471"/>
      <c r="F323" s="472" t="s">
        <v>964</v>
      </c>
      <c r="G323" s="473"/>
      <c r="H323" s="474" t="s">
        <v>451</v>
      </c>
      <c r="I323" s="474"/>
      <c r="J323" s="473"/>
      <c r="K323" s="475" t="s">
        <v>68</v>
      </c>
      <c r="L323" s="536" t="s">
        <v>445</v>
      </c>
      <c r="M323" s="536"/>
      <c r="N323" s="484" t="s">
        <v>65</v>
      </c>
      <c r="O323" s="477"/>
      <c r="P323" s="477"/>
      <c r="Q323" s="477">
        <v>69.86</v>
      </c>
      <c r="R323" s="478">
        <v>137.94999999999999</v>
      </c>
      <c r="S323" s="459">
        <v>635.48180000000002</v>
      </c>
      <c r="T323" s="487">
        <v>147.69999999999999</v>
      </c>
      <c r="U323" s="479"/>
      <c r="V323" s="480">
        <v>100</v>
      </c>
      <c r="W323" s="481"/>
      <c r="X323" s="572" t="s">
        <v>70</v>
      </c>
      <c r="Y323" s="483" t="s">
        <v>161</v>
      </c>
      <c r="Z323" s="484" t="s">
        <v>965</v>
      </c>
      <c r="AA323" s="480" t="s">
        <v>59</v>
      </c>
      <c r="AB323" s="474"/>
      <c r="AC323" s="471"/>
      <c r="AD323" s="471"/>
      <c r="AE323" s="471"/>
      <c r="AF323" s="471"/>
      <c r="AG323" s="471"/>
      <c r="AH323" s="494" t="s">
        <v>59</v>
      </c>
      <c r="AI323" s="467"/>
      <c r="AJ323" s="467"/>
      <c r="AK323" s="467"/>
      <c r="AL323" s="467"/>
      <c r="AM323" s="467"/>
      <c r="AN323" s="467"/>
      <c r="AO323" s="467"/>
      <c r="AP323" s="467"/>
      <c r="AQ323" s="467"/>
      <c r="AR323" s="467"/>
      <c r="AS323" s="467"/>
      <c r="AT323" s="467"/>
      <c r="AU323" s="467"/>
      <c r="AV323" s="467"/>
      <c r="AW323" s="467"/>
      <c r="AX323" s="467"/>
      <c r="AY323" s="486">
        <f>COUNTIF(AI323:AX323,"*OP*")</f>
        <v>0</v>
      </c>
      <c r="AZ323" s="485" t="s">
        <v>59</v>
      </c>
      <c r="BA323" s="471">
        <f>(COUNTIF(AI323:AK323,"*OK*")*3) + (COUNTIF(AL323:AN323,"*OK*")*2) + COUNTIF(AO323:AQ323,"*OK*")+COUNTIF(AZ323:AZ323,"SI")*0.5</f>
        <v>0</v>
      </c>
      <c r="BB323" s="471" t="str">
        <f>IF(BA323&lt;0.6,"Demasiado Riesgo",IF(BA323&lt;=5,"Riesgo Medio",IF(BA323&lt;=11,"Riesgo Bajo","Cliente Blindado")))</f>
        <v>Demasiado Riesgo</v>
      </c>
      <c r="BC323" s="471"/>
      <c r="BD323" s="471"/>
      <c r="BE323" s="471">
        <v>0</v>
      </c>
      <c r="BF323" s="471"/>
      <c r="BG323" s="471"/>
      <c r="BH323" s="471"/>
      <c r="BI323" s="471"/>
      <c r="BJ323" s="471"/>
      <c r="BK323" s="471"/>
      <c r="BL323" s="471"/>
      <c r="BM323" s="471"/>
      <c r="BN323" s="471"/>
      <c r="BO323" s="471"/>
      <c r="BP323" s="471"/>
      <c r="BQ323" s="471"/>
      <c r="BR323" s="471"/>
      <c r="BS323" s="471"/>
      <c r="BT323" s="471"/>
      <c r="BU323" s="471"/>
      <c r="BV323" s="471"/>
      <c r="BW323" s="471"/>
      <c r="BX323" s="471"/>
      <c r="BY323" s="471"/>
      <c r="BZ323" s="471"/>
      <c r="CA323" s="471">
        <f>COUNTIF(AI323:AW323,"*OK*")</f>
        <v>0</v>
      </c>
      <c r="CB323" s="471"/>
      <c r="CC323" s="471">
        <f>COUNTIF(AI323:AW323,"*OP*")</f>
        <v>0</v>
      </c>
    </row>
    <row r="324" spans="1:81" ht="15" customHeight="1">
      <c r="A324" s="449"/>
      <c r="B324" s="450"/>
      <c r="C324" s="451">
        <f>T324</f>
        <v>150.94</v>
      </c>
      <c r="D324" s="450">
        <f>COUNTIF(AI324:AW324,"*OK*")</f>
        <v>0</v>
      </c>
      <c r="E324" s="450"/>
      <c r="F324" s="453" t="s">
        <v>966</v>
      </c>
      <c r="G324" s="453"/>
      <c r="H324" s="454" t="s">
        <v>451</v>
      </c>
      <c r="I324" s="454"/>
      <c r="J324" s="453"/>
      <c r="K324" s="455" t="s">
        <v>68</v>
      </c>
      <c r="L324" s="536" t="s">
        <v>445</v>
      </c>
      <c r="M324" s="536"/>
      <c r="N324" s="466" t="s">
        <v>65</v>
      </c>
      <c r="O324" s="457">
        <v>134.71</v>
      </c>
      <c r="P324" s="457">
        <v>143</v>
      </c>
      <c r="Q324" s="457">
        <v>144.29</v>
      </c>
      <c r="R324" s="458">
        <v>148.93</v>
      </c>
      <c r="S324" s="459">
        <v>161.00110000000001</v>
      </c>
      <c r="T324" s="487">
        <v>150.94</v>
      </c>
      <c r="U324" s="461"/>
      <c r="V324" s="462">
        <v>100</v>
      </c>
      <c r="W324" s="463"/>
      <c r="X324" s="567" t="s">
        <v>70</v>
      </c>
      <c r="Y324" s="465" t="s">
        <v>139</v>
      </c>
      <c r="Z324" s="466" t="s">
        <v>967</v>
      </c>
      <c r="AA324" s="462" t="s">
        <v>59</v>
      </c>
      <c r="AB324" s="454"/>
      <c r="AC324" s="450"/>
      <c r="AD324" s="450"/>
      <c r="AE324" s="450"/>
      <c r="AF324" s="450"/>
      <c r="AG324" s="450"/>
      <c r="AH324" s="496" t="s">
        <v>59</v>
      </c>
      <c r="AI324" s="467"/>
      <c r="AJ324" s="467"/>
      <c r="AK324" s="467"/>
      <c r="AL324" s="467"/>
      <c r="AM324" s="467"/>
      <c r="AN324" s="467"/>
      <c r="AO324" s="467"/>
      <c r="AP324" s="467"/>
      <c r="AQ324" s="467"/>
      <c r="AR324" s="467"/>
      <c r="AS324" s="467"/>
      <c r="AT324" s="467"/>
      <c r="AU324" s="467"/>
      <c r="AV324" s="467"/>
      <c r="AW324" s="467"/>
      <c r="AX324" s="467"/>
      <c r="AY324" s="486">
        <f>COUNTIF(AI324:AX324,"*OP*")</f>
        <v>0</v>
      </c>
      <c r="AZ324" s="499" t="s">
        <v>59</v>
      </c>
      <c r="BA324" s="450">
        <f>(COUNTIF(AI324:AK324,"*OK*")*3) + (COUNTIF(AL324:AN324,"*OK*")*2) + COUNTIF(AO324:AQ324,"*OK*")+COUNTIF(AZ324:AZ324,"SI")*0.5</f>
        <v>0</v>
      </c>
      <c r="BB324" s="450" t="str">
        <f>IF(BA324&lt;0.6,"Demasiado Riesgo",IF(BA324&lt;=5,"Riesgo Medio",IF(BA324&lt;=11,"Riesgo Bajo","Cliente Blindado")))</f>
        <v>Demasiado Riesgo</v>
      </c>
      <c r="BC324" s="450"/>
      <c r="BD324" s="450"/>
      <c r="BE324" s="450">
        <v>0</v>
      </c>
      <c r="BF324" s="450"/>
      <c r="BG324" s="450"/>
      <c r="BH324" s="450"/>
      <c r="BI324" s="450"/>
      <c r="BJ324" s="450"/>
      <c r="BK324" s="450"/>
      <c r="BL324" s="450"/>
      <c r="BM324" s="450"/>
      <c r="BN324" s="450"/>
      <c r="BO324" s="450"/>
      <c r="BP324" s="450"/>
      <c r="BQ324" s="450"/>
      <c r="BR324" s="450"/>
      <c r="BS324" s="450"/>
      <c r="BT324" s="450"/>
      <c r="BU324" s="450"/>
      <c r="BV324" s="450"/>
      <c r="BW324" s="450"/>
      <c r="BX324" s="450"/>
      <c r="BY324" s="450"/>
      <c r="BZ324" s="450"/>
      <c r="CA324" s="450">
        <f>COUNTIF(AI324:AW324,"*OK*")</f>
        <v>0</v>
      </c>
      <c r="CB324" s="450"/>
      <c r="CC324" s="450">
        <f>COUNTIF(AI324:AW324,"*OP*")</f>
        <v>0</v>
      </c>
    </row>
    <row r="325" spans="1:81" ht="15" customHeight="1">
      <c r="A325" s="470"/>
      <c r="B325" s="471"/>
      <c r="C325" s="451">
        <f>T325</f>
        <v>151.99</v>
      </c>
      <c r="D325" s="471">
        <f>COUNTIF(AM325:AX325,"OK")</f>
        <v>0</v>
      </c>
      <c r="E325" s="471"/>
      <c r="F325" s="471" t="s">
        <v>968</v>
      </c>
      <c r="G325" s="471"/>
      <c r="H325" s="454" t="s">
        <v>451</v>
      </c>
      <c r="I325" s="474"/>
      <c r="J325" s="471"/>
      <c r="K325" s="491" t="s">
        <v>68</v>
      </c>
      <c r="L325" s="536" t="s">
        <v>445</v>
      </c>
      <c r="M325" s="536"/>
      <c r="N325" s="484"/>
      <c r="O325" s="457"/>
      <c r="P325" s="457"/>
      <c r="Q325" s="457"/>
      <c r="R325" s="458"/>
      <c r="S325" s="459">
        <v>151.6491</v>
      </c>
      <c r="T325" s="593">
        <v>151.99</v>
      </c>
      <c r="U325" s="479"/>
      <c r="V325" s="480" t="s">
        <v>59</v>
      </c>
      <c r="W325" s="471"/>
      <c r="X325" s="493"/>
      <c r="Y325" s="483"/>
      <c r="Z325" s="484"/>
      <c r="AA325" s="494" t="s">
        <v>59</v>
      </c>
      <c r="AB325" s="474"/>
      <c r="AC325" s="471"/>
      <c r="AD325" s="471"/>
      <c r="AE325" s="471"/>
      <c r="AF325" s="471"/>
      <c r="AG325" s="471"/>
      <c r="AH325" s="622"/>
      <c r="AI325" s="618"/>
      <c r="AJ325" s="618"/>
      <c r="AK325" s="618"/>
      <c r="AL325" s="618"/>
      <c r="AM325" s="618"/>
      <c r="AN325" s="618"/>
      <c r="AO325" s="618"/>
      <c r="AP325" s="618"/>
      <c r="AQ325" s="618"/>
      <c r="AR325" s="618"/>
      <c r="AS325" s="618"/>
      <c r="AT325" s="618"/>
      <c r="AU325" s="618"/>
      <c r="AV325" s="618"/>
      <c r="AW325" s="618"/>
      <c r="AX325" s="618"/>
      <c r="AY325" s="619">
        <f>COUNTIF(AI325:AX325,"*OP*")</f>
        <v>0</v>
      </c>
      <c r="AZ325" s="623"/>
      <c r="BA325" s="471">
        <f>(COUNTIF(AI325:AK325,"*OK*")*3) + (COUNTIF(AL325:AN325,"*OK*")*2) + COUNTIF(AO325:AQ325,"*OK*")+COUNTIF(AZ325:AZ325,"SI")*0.5</f>
        <v>0</v>
      </c>
      <c r="BB325" s="471" t="str">
        <f>IF(BA325&lt;0.6,"Demasiado Riesgo",IF(BA325&lt;=5,"Riesgo Medio",IF(BA325&lt;=11,"Riesgo Bajo","Cliente Blindado")))</f>
        <v>Demasiado Riesgo</v>
      </c>
      <c r="BC325" s="471"/>
      <c r="BD325" s="471"/>
      <c r="BE325" s="471"/>
      <c r="BF325" s="471"/>
      <c r="BG325" s="471"/>
      <c r="BH325" s="471"/>
      <c r="BI325" s="471"/>
      <c r="BJ325" s="471"/>
      <c r="BK325" s="471"/>
      <c r="BL325" s="471"/>
      <c r="BM325" s="471"/>
      <c r="BN325" s="471"/>
      <c r="BO325" s="471"/>
      <c r="BP325" s="471"/>
      <c r="BQ325" s="471"/>
      <c r="BR325" s="471"/>
      <c r="BS325" s="471"/>
      <c r="BT325" s="471"/>
      <c r="BU325" s="471"/>
      <c r="BV325" s="471"/>
      <c r="BW325" s="471"/>
      <c r="BX325" s="471"/>
      <c r="BY325" s="471"/>
      <c r="BZ325" s="471"/>
      <c r="CA325" s="471">
        <f>COUNTIF(AI325:AW325,"*OK*")</f>
        <v>0</v>
      </c>
      <c r="CB325" s="471"/>
      <c r="CC325" s="471">
        <f>COUNTIF(AI325:AW325,"*OP*")</f>
        <v>0</v>
      </c>
    </row>
    <row r="326" spans="1:81" ht="15" customHeight="1">
      <c r="A326" s="470">
        <v>21369</v>
      </c>
      <c r="B326" s="471"/>
      <c r="C326" s="451">
        <f>T326</f>
        <v>155.6</v>
      </c>
      <c r="D326" s="471">
        <f>COUNTIF(AI326:AW326,"*OK*")</f>
        <v>0</v>
      </c>
      <c r="E326" s="471"/>
      <c r="F326" s="473" t="s">
        <v>969</v>
      </c>
      <c r="G326" s="473"/>
      <c r="H326" s="454" t="s">
        <v>451</v>
      </c>
      <c r="I326" s="474"/>
      <c r="J326" s="473"/>
      <c r="K326" s="473" t="s">
        <v>68</v>
      </c>
      <c r="L326" s="536" t="s">
        <v>445</v>
      </c>
      <c r="M326" s="536"/>
      <c r="N326" s="476" t="s">
        <v>156</v>
      </c>
      <c r="O326" s="477">
        <v>176.77</v>
      </c>
      <c r="P326" s="477">
        <v>172.85</v>
      </c>
      <c r="Q326" s="477">
        <v>157.56</v>
      </c>
      <c r="R326" s="478">
        <v>166.34</v>
      </c>
      <c r="S326" s="459"/>
      <c r="T326" s="490">
        <v>155.6</v>
      </c>
      <c r="U326" s="479"/>
      <c r="V326" s="480">
        <v>300</v>
      </c>
      <c r="W326" s="481"/>
      <c r="X326" s="572" t="s">
        <v>70</v>
      </c>
      <c r="Y326" s="483" t="s">
        <v>139</v>
      </c>
      <c r="Z326" s="484" t="s">
        <v>970</v>
      </c>
      <c r="AA326" s="480" t="s">
        <v>59</v>
      </c>
      <c r="AB326" s="474"/>
      <c r="AC326" s="471"/>
      <c r="AD326" s="471"/>
      <c r="AE326" s="471"/>
      <c r="AF326" s="471"/>
      <c r="AG326" s="471"/>
      <c r="AH326" s="494" t="s">
        <v>59</v>
      </c>
      <c r="AI326" s="467"/>
      <c r="AJ326" s="467"/>
      <c r="AK326" s="467"/>
      <c r="AL326" s="467"/>
      <c r="AM326" s="467"/>
      <c r="AN326" s="467"/>
      <c r="AO326" s="467"/>
      <c r="AP326" s="467"/>
      <c r="AQ326" s="467"/>
      <c r="AR326" s="467"/>
      <c r="AS326" s="467"/>
      <c r="AT326" s="467"/>
      <c r="AU326" s="467"/>
      <c r="AV326" s="467"/>
      <c r="AW326" s="467"/>
      <c r="AX326" s="467"/>
      <c r="AY326" s="486">
        <f>COUNTIF(AI326:AX326,"*OP*")</f>
        <v>0</v>
      </c>
      <c r="AZ326" s="485" t="s">
        <v>59</v>
      </c>
      <c r="BA326" s="471">
        <f>(COUNTIF(AI326:AK326,"*OK*")*3) + (COUNTIF(AL326:AN326,"*OK*")*2) + COUNTIF(AO326:AQ326,"*OK*")+COUNTIF(AZ326:AZ326,"SI")*0.5</f>
        <v>0</v>
      </c>
      <c r="BB326" s="471" t="str">
        <f>IF(BA326&lt;0.6,"Demasiado Riesgo",IF(BA326&lt;=5,"Riesgo Medio",IF(BA326&lt;=11,"Riesgo Bajo","Cliente Blindado")))</f>
        <v>Demasiado Riesgo</v>
      </c>
      <c r="BC326" s="471"/>
      <c r="BD326" s="471"/>
      <c r="BE326" s="471">
        <v>0</v>
      </c>
      <c r="BF326" s="471"/>
      <c r="BG326" s="471"/>
      <c r="BH326" s="471"/>
      <c r="BI326" s="471"/>
      <c r="BJ326" s="471"/>
      <c r="BK326" s="471"/>
      <c r="BL326" s="471"/>
      <c r="BM326" s="471"/>
      <c r="BN326" s="471"/>
      <c r="BO326" s="471"/>
      <c r="BP326" s="471"/>
      <c r="BQ326" s="471"/>
      <c r="BR326" s="471"/>
      <c r="BS326" s="471"/>
      <c r="BT326" s="471"/>
      <c r="BU326" s="471"/>
      <c r="BV326" s="471"/>
      <c r="BW326" s="471"/>
      <c r="BX326" s="471"/>
      <c r="BY326" s="471"/>
      <c r="BZ326" s="471"/>
      <c r="CA326" s="471">
        <f>COUNTIF(AI326:AW326,"*OK*")</f>
        <v>0</v>
      </c>
      <c r="CB326" s="471"/>
      <c r="CC326" s="471">
        <f>COUNTIF(AI326:AW326,"*OP*")</f>
        <v>0</v>
      </c>
    </row>
    <row r="327" spans="1:81" ht="15" customHeight="1">
      <c r="A327" s="449">
        <v>6902</v>
      </c>
      <c r="B327" s="450"/>
      <c r="C327" s="451">
        <f>T327</f>
        <v>156.41999999999999</v>
      </c>
      <c r="D327" s="450">
        <f>COUNTIF(AI327:AW327,"*OK*")</f>
        <v>0</v>
      </c>
      <c r="E327" s="450"/>
      <c r="F327" s="453" t="s">
        <v>971</v>
      </c>
      <c r="G327" s="453"/>
      <c r="H327" s="454" t="s">
        <v>451</v>
      </c>
      <c r="I327" s="454"/>
      <c r="J327" s="453"/>
      <c r="K327" s="453" t="s">
        <v>68</v>
      </c>
      <c r="L327" s="536" t="s">
        <v>445</v>
      </c>
      <c r="M327" s="536"/>
      <c r="N327" s="466" t="s">
        <v>117</v>
      </c>
      <c r="O327" s="457">
        <v>163.09</v>
      </c>
      <c r="P327" s="457">
        <v>158.65</v>
      </c>
      <c r="Q327" s="457">
        <v>147.1</v>
      </c>
      <c r="R327" s="458">
        <v>143.4</v>
      </c>
      <c r="S327" s="459">
        <v>141.05789999999999</v>
      </c>
      <c r="T327" s="460">
        <v>156.41999999999999</v>
      </c>
      <c r="U327" s="461"/>
      <c r="V327" s="462">
        <v>100</v>
      </c>
      <c r="W327" s="463"/>
      <c r="X327" s="567" t="s">
        <v>70</v>
      </c>
      <c r="Y327" s="465" t="s">
        <v>71</v>
      </c>
      <c r="Z327" s="466" t="s">
        <v>972</v>
      </c>
      <c r="AA327" s="462" t="s">
        <v>119</v>
      </c>
      <c r="AB327" s="454"/>
      <c r="AC327" s="450"/>
      <c r="AD327" s="450"/>
      <c r="AE327" s="450"/>
      <c r="AF327" s="450"/>
      <c r="AG327" s="450"/>
      <c r="AH327" s="496" t="s">
        <v>59</v>
      </c>
      <c r="AI327" s="467"/>
      <c r="AJ327" s="467"/>
      <c r="AK327" s="467"/>
      <c r="AL327" s="467"/>
      <c r="AM327" s="467"/>
      <c r="AN327" s="467"/>
      <c r="AO327" s="467"/>
      <c r="AP327" s="467"/>
      <c r="AQ327" s="467"/>
      <c r="AR327" s="467"/>
      <c r="AS327" s="467"/>
      <c r="AT327" s="467"/>
      <c r="AU327" s="467"/>
      <c r="AV327" s="467"/>
      <c r="AW327" s="467"/>
      <c r="AX327" s="467"/>
      <c r="AY327" s="486">
        <f>COUNTIF(AI327:AX327,"*OP*")</f>
        <v>0</v>
      </c>
      <c r="AZ327" s="499" t="s">
        <v>59</v>
      </c>
      <c r="BA327" s="450">
        <f>(COUNTIF(AI327:AK327,"*OK*")*3) + (COUNTIF(AL327:AN327,"*OK*")*2) + COUNTIF(AO327:AQ327,"*OK*")+COUNTIF(AZ327:AZ327,"SI")*0.5</f>
        <v>0</v>
      </c>
      <c r="BB327" s="450" t="str">
        <f>IF(BA327&lt;0.6,"Demasiado Riesgo",IF(BA327&lt;=5,"Riesgo Medio",IF(BA327&lt;=11,"Riesgo Bajo","Cliente Blindado")))</f>
        <v>Demasiado Riesgo</v>
      </c>
      <c r="BC327" s="450"/>
      <c r="BD327" s="450"/>
      <c r="BE327" s="450">
        <v>0</v>
      </c>
      <c r="BF327" s="450"/>
      <c r="BG327" s="450"/>
      <c r="BH327" s="450"/>
      <c r="BI327" s="450"/>
      <c r="BJ327" s="450"/>
      <c r="BK327" s="450"/>
      <c r="BL327" s="450"/>
      <c r="BM327" s="450"/>
      <c r="BN327" s="450"/>
      <c r="BO327" s="450"/>
      <c r="BP327" s="450"/>
      <c r="BQ327" s="450"/>
      <c r="BR327" s="450"/>
      <c r="BS327" s="450"/>
      <c r="BT327" s="450"/>
      <c r="BU327" s="450"/>
      <c r="BV327" s="450"/>
      <c r="BW327" s="450"/>
      <c r="BX327" s="450"/>
      <c r="BY327" s="450"/>
      <c r="BZ327" s="450"/>
      <c r="CA327" s="450">
        <f>COUNTIF(AI327:AW327,"*OK*")</f>
        <v>0</v>
      </c>
      <c r="CB327" s="450"/>
      <c r="CC327" s="450">
        <f>COUNTIF(AI327:AW327,"*OP*")</f>
        <v>0</v>
      </c>
    </row>
    <row r="328" spans="1:81" ht="15" customHeight="1">
      <c r="A328" s="470"/>
      <c r="B328" s="471"/>
      <c r="C328" s="451">
        <f>T328</f>
        <v>159.62</v>
      </c>
      <c r="D328" s="471">
        <f>COUNTIF(AI328:AW328,"*OK*")</f>
        <v>0</v>
      </c>
      <c r="E328" s="471"/>
      <c r="F328" s="473" t="s">
        <v>973</v>
      </c>
      <c r="G328" s="473"/>
      <c r="H328" s="454" t="s">
        <v>451</v>
      </c>
      <c r="I328" s="474"/>
      <c r="J328" s="473"/>
      <c r="K328" s="473" t="s">
        <v>68</v>
      </c>
      <c r="L328" s="536" t="s">
        <v>445</v>
      </c>
      <c r="M328" s="536"/>
      <c r="N328" s="484" t="s">
        <v>103</v>
      </c>
      <c r="O328" s="477">
        <v>141.36000000000001</v>
      </c>
      <c r="P328" s="477">
        <v>155.01</v>
      </c>
      <c r="Q328" s="477">
        <v>147.72</v>
      </c>
      <c r="R328" s="478">
        <v>159.25</v>
      </c>
      <c r="S328" s="459">
        <v>175.12960000000001</v>
      </c>
      <c r="T328" s="469">
        <v>159.62</v>
      </c>
      <c r="U328" s="479"/>
      <c r="V328" s="480">
        <v>50</v>
      </c>
      <c r="W328" s="481"/>
      <c r="X328" s="572" t="s">
        <v>70</v>
      </c>
      <c r="Y328" s="483" t="s">
        <v>71</v>
      </c>
      <c r="Z328" s="484" t="s">
        <v>974</v>
      </c>
      <c r="AA328" s="480" t="s">
        <v>59</v>
      </c>
      <c r="AB328" s="474"/>
      <c r="AC328" s="471"/>
      <c r="AD328" s="471"/>
      <c r="AE328" s="471"/>
      <c r="AF328" s="471"/>
      <c r="AG328" s="471"/>
      <c r="AH328" s="494" t="s">
        <v>59</v>
      </c>
      <c r="AI328" s="467"/>
      <c r="AJ328" s="467"/>
      <c r="AK328" s="467"/>
      <c r="AL328" s="467"/>
      <c r="AM328" s="467"/>
      <c r="AN328" s="467"/>
      <c r="AO328" s="467"/>
      <c r="AP328" s="467"/>
      <c r="AQ328" s="467"/>
      <c r="AR328" s="467"/>
      <c r="AS328" s="467"/>
      <c r="AT328" s="467"/>
      <c r="AU328" s="467"/>
      <c r="AV328" s="467"/>
      <c r="AW328" s="467"/>
      <c r="AX328" s="467"/>
      <c r="AY328" s="486">
        <f>COUNTIF(AI328:AX328,"*OP*")</f>
        <v>0</v>
      </c>
      <c r="AZ328" s="485" t="s">
        <v>59</v>
      </c>
      <c r="BA328" s="471">
        <f>(COUNTIF(AI328:AK328,"*OK*")*3) + (COUNTIF(AL328:AN328,"*OK*")*2) + COUNTIF(AO328:AQ328,"*OK*")+COUNTIF(AZ328:AZ328,"SI")*0.5</f>
        <v>0</v>
      </c>
      <c r="BB328" s="471" t="str">
        <f>IF(BA328&lt;0.6,"Demasiado Riesgo",IF(BA328&lt;=5,"Riesgo Medio",IF(BA328&lt;=11,"Riesgo Bajo","Cliente Blindado")))</f>
        <v>Demasiado Riesgo</v>
      </c>
      <c r="BC328" s="471"/>
      <c r="BD328" s="471"/>
      <c r="BE328" s="471">
        <v>0</v>
      </c>
      <c r="BF328" s="471"/>
      <c r="BG328" s="471"/>
      <c r="BH328" s="471"/>
      <c r="BI328" s="471"/>
      <c r="BJ328" s="471"/>
      <c r="BK328" s="471"/>
      <c r="BL328" s="471"/>
      <c r="BM328" s="471"/>
      <c r="BN328" s="471"/>
      <c r="BO328" s="471"/>
      <c r="BP328" s="471"/>
      <c r="BQ328" s="471"/>
      <c r="BR328" s="471"/>
      <c r="BS328" s="471"/>
      <c r="BT328" s="471"/>
      <c r="BU328" s="471"/>
      <c r="BV328" s="471"/>
      <c r="BW328" s="471"/>
      <c r="BX328" s="471"/>
      <c r="BY328" s="471"/>
      <c r="BZ328" s="471"/>
      <c r="CA328" s="471">
        <f>COUNTIF(AI328:AW328,"*OK*")</f>
        <v>0</v>
      </c>
      <c r="CB328" s="471"/>
      <c r="CC328" s="471">
        <f>COUNTIF(AI328:AW328,"*OP*")</f>
        <v>0</v>
      </c>
    </row>
    <row r="329" spans="1:81" ht="15" customHeight="1">
      <c r="A329" s="449">
        <v>27671</v>
      </c>
      <c r="B329" s="450"/>
      <c r="C329" s="451">
        <f>T329</f>
        <v>159.99</v>
      </c>
      <c r="D329" s="450">
        <f>COUNTIF(AI329:AW329,"*OK*")</f>
        <v>1</v>
      </c>
      <c r="E329" s="450"/>
      <c r="F329" s="453" t="s">
        <v>975</v>
      </c>
      <c r="G329" s="453"/>
      <c r="H329" s="454" t="s">
        <v>451</v>
      </c>
      <c r="I329" s="454"/>
      <c r="J329" s="453"/>
      <c r="K329" s="453" t="s">
        <v>68</v>
      </c>
      <c r="L329" s="536" t="s">
        <v>445</v>
      </c>
      <c r="M329" s="536"/>
      <c r="N329" s="466" t="s">
        <v>156</v>
      </c>
      <c r="O329" s="457">
        <v>162.41</v>
      </c>
      <c r="P329" s="457">
        <v>162.26</v>
      </c>
      <c r="Q329" s="457">
        <v>154.63</v>
      </c>
      <c r="R329" s="458">
        <v>159.61000000000001</v>
      </c>
      <c r="S329" s="459">
        <v>161.75899999999999</v>
      </c>
      <c r="T329" s="487">
        <v>159.99</v>
      </c>
      <c r="U329" s="461"/>
      <c r="V329" s="462">
        <v>300</v>
      </c>
      <c r="W329" s="463"/>
      <c r="X329" s="567" t="s">
        <v>70</v>
      </c>
      <c r="Y329" s="465" t="s">
        <v>71</v>
      </c>
      <c r="Z329" s="466" t="s">
        <v>976</v>
      </c>
      <c r="AA329" s="462" t="s">
        <v>71</v>
      </c>
      <c r="AB329" s="454"/>
      <c r="AC329" s="450"/>
      <c r="AD329" s="450"/>
      <c r="AE329" s="450"/>
      <c r="AF329" s="450"/>
      <c r="AG329" s="450"/>
      <c r="AH329" s="496" t="s">
        <v>59</v>
      </c>
      <c r="AI329" s="467"/>
      <c r="AJ329" s="467"/>
      <c r="AK329" s="565" t="s">
        <v>111</v>
      </c>
      <c r="AL329" s="467"/>
      <c r="AM329" s="467"/>
      <c r="AN329" s="467"/>
      <c r="AO329" s="467"/>
      <c r="AP329" s="467"/>
      <c r="AQ329" s="467"/>
      <c r="AR329" s="467"/>
      <c r="AS329" s="467"/>
      <c r="AT329" s="467"/>
      <c r="AU329" s="467"/>
      <c r="AV329" s="467"/>
      <c r="AW329" s="467"/>
      <c r="AX329" s="467"/>
      <c r="AY329" s="486">
        <f>COUNTIF(AI329:AX329,"*OP*")</f>
        <v>0</v>
      </c>
      <c r="AZ329" s="499" t="s">
        <v>59</v>
      </c>
      <c r="BA329" s="450">
        <f>(COUNTIF(AI329:AK329,"*OK*")*3) + (COUNTIF(AL329:AN329,"*OK*")*2) + COUNTIF(AO329:AQ329,"*OK*")+COUNTIF(AZ329:AZ329,"SI")*0.5</f>
        <v>3</v>
      </c>
      <c r="BB329" s="450" t="str">
        <f>IF(BA329&lt;0.6,"Demasiado Riesgo",IF(BA329&lt;=5,"Riesgo Medio",IF(BA329&lt;=11,"Riesgo Bajo","Cliente Blindado")))</f>
        <v>Riesgo Medio</v>
      </c>
      <c r="BC329" s="450"/>
      <c r="BD329" s="450"/>
      <c r="BE329" s="450">
        <v>0</v>
      </c>
      <c r="BF329" s="450"/>
      <c r="BG329" s="450"/>
      <c r="BH329" s="450"/>
      <c r="BI329" s="450"/>
      <c r="BJ329" s="450"/>
      <c r="BK329" s="450"/>
      <c r="BL329" s="450"/>
      <c r="BM329" s="450"/>
      <c r="BN329" s="450"/>
      <c r="BO329" s="450"/>
      <c r="BP329" s="450"/>
      <c r="BQ329" s="450"/>
      <c r="BR329" s="450"/>
      <c r="BS329" s="450"/>
      <c r="BT329" s="450"/>
      <c r="BU329" s="450"/>
      <c r="BV329" s="450"/>
      <c r="BW329" s="450"/>
      <c r="BX329" s="450"/>
      <c r="BY329" s="450"/>
      <c r="BZ329" s="450"/>
      <c r="CA329" s="450">
        <f>COUNTIF(AI329:AW329,"*OK*")</f>
        <v>1</v>
      </c>
      <c r="CB329" s="450"/>
      <c r="CC329" s="450">
        <f>COUNTIF(AI329:AW329,"*OP*")</f>
        <v>0</v>
      </c>
    </row>
    <row r="330" spans="1:81" ht="15" customHeight="1">
      <c r="A330" s="470"/>
      <c r="B330" s="471"/>
      <c r="C330" s="451">
        <f>T330</f>
        <v>165</v>
      </c>
      <c r="D330" s="471">
        <f>COUNTIF(AI330:AW330,"*OK*")</f>
        <v>0</v>
      </c>
      <c r="E330" s="471"/>
      <c r="F330" s="473" t="s">
        <v>977</v>
      </c>
      <c r="G330" s="473"/>
      <c r="H330" s="454" t="s">
        <v>451</v>
      </c>
      <c r="I330" s="474"/>
      <c r="J330" s="473"/>
      <c r="K330" s="473" t="s">
        <v>68</v>
      </c>
      <c r="L330" s="536" t="s">
        <v>445</v>
      </c>
      <c r="M330" s="536"/>
      <c r="N330" s="476" t="s">
        <v>65</v>
      </c>
      <c r="O330" s="477">
        <v>165</v>
      </c>
      <c r="P330" s="477">
        <v>165</v>
      </c>
      <c r="Q330" s="477">
        <v>165</v>
      </c>
      <c r="R330" s="478">
        <v>165</v>
      </c>
      <c r="S330" s="459">
        <v>165</v>
      </c>
      <c r="T330" s="469">
        <v>165</v>
      </c>
      <c r="U330" s="479"/>
      <c r="V330" s="480">
        <v>200</v>
      </c>
      <c r="W330" s="481"/>
      <c r="X330" s="572" t="s">
        <v>70</v>
      </c>
      <c r="Y330" s="483" t="s">
        <v>71</v>
      </c>
      <c r="Z330" s="484" t="s">
        <v>978</v>
      </c>
      <c r="AA330" s="480" t="s">
        <v>59</v>
      </c>
      <c r="AB330" s="474"/>
      <c r="AC330" s="471"/>
      <c r="AD330" s="471"/>
      <c r="AE330" s="471"/>
      <c r="AF330" s="471"/>
      <c r="AG330" s="471"/>
      <c r="AH330" s="494" t="s">
        <v>59</v>
      </c>
      <c r="AI330" s="467"/>
      <c r="AJ330" s="467"/>
      <c r="AK330" s="467"/>
      <c r="AL330" s="467"/>
      <c r="AM330" s="467"/>
      <c r="AN330" s="467"/>
      <c r="AO330" s="467"/>
      <c r="AP330" s="467"/>
      <c r="AQ330" s="467"/>
      <c r="AR330" s="467"/>
      <c r="AS330" s="467"/>
      <c r="AT330" s="467"/>
      <c r="AU330" s="467"/>
      <c r="AV330" s="467"/>
      <c r="AW330" s="467"/>
      <c r="AX330" s="467"/>
      <c r="AY330" s="486">
        <f>COUNTIF(AI330:AX330,"*OP*")</f>
        <v>0</v>
      </c>
      <c r="AZ330" s="485" t="s">
        <v>59</v>
      </c>
      <c r="BA330" s="471">
        <f>(COUNTIF(AI330:AK330,"*OK*")*3) + (COUNTIF(AL330:AN330,"*OK*")*2) + COUNTIF(AO330:AQ330,"*OK*")+COUNTIF(AZ330:AZ330,"SI")*0.5</f>
        <v>0</v>
      </c>
      <c r="BB330" s="471" t="str">
        <f>IF(BA330&lt;0.6,"Demasiado Riesgo",IF(BA330&lt;=5,"Riesgo Medio",IF(BA330&lt;=11,"Riesgo Bajo","Cliente Blindado")))</f>
        <v>Demasiado Riesgo</v>
      </c>
      <c r="BC330" s="471"/>
      <c r="BD330" s="471"/>
      <c r="BE330" s="471">
        <v>0</v>
      </c>
      <c r="BF330" s="471"/>
      <c r="BG330" s="471"/>
      <c r="BH330" s="471"/>
      <c r="BI330" s="471"/>
      <c r="BJ330" s="471"/>
      <c r="BK330" s="471"/>
      <c r="BL330" s="471"/>
      <c r="BM330" s="471"/>
      <c r="BN330" s="471"/>
      <c r="BO330" s="471"/>
      <c r="BP330" s="471"/>
      <c r="BQ330" s="471"/>
      <c r="BR330" s="471"/>
      <c r="BS330" s="471"/>
      <c r="BT330" s="471"/>
      <c r="BU330" s="471"/>
      <c r="BV330" s="471"/>
      <c r="BW330" s="471"/>
      <c r="BX330" s="471"/>
      <c r="BY330" s="471"/>
      <c r="BZ330" s="471"/>
      <c r="CA330" s="471">
        <f>COUNTIF(AI330:AW330,"*OK*")</f>
        <v>0</v>
      </c>
      <c r="CB330" s="471"/>
      <c r="CC330" s="471">
        <f>COUNTIF(AI330:AW330,"*OP*")</f>
        <v>0</v>
      </c>
    </row>
    <row r="331" spans="1:81" ht="15" customHeight="1">
      <c r="A331" s="449">
        <v>32684</v>
      </c>
      <c r="B331" s="450"/>
      <c r="C331" s="451">
        <f>T331</f>
        <v>165.9</v>
      </c>
      <c r="D331" s="450">
        <f>COUNTIF(AI331:AW331,"*OK*")</f>
        <v>0</v>
      </c>
      <c r="E331" s="450"/>
      <c r="F331" s="453" t="s">
        <v>979</v>
      </c>
      <c r="G331" s="453"/>
      <c r="H331" s="454" t="s">
        <v>451</v>
      </c>
      <c r="I331" s="454"/>
      <c r="J331" s="453"/>
      <c r="K331" s="453" t="s">
        <v>68</v>
      </c>
      <c r="L331" s="536" t="s">
        <v>445</v>
      </c>
      <c r="M331" s="536"/>
      <c r="N331" s="456" t="s">
        <v>65</v>
      </c>
      <c r="O331" s="457">
        <v>171.78</v>
      </c>
      <c r="P331" s="457">
        <v>168.26</v>
      </c>
      <c r="Q331" s="457">
        <v>166.76</v>
      </c>
      <c r="R331" s="458">
        <v>165.51</v>
      </c>
      <c r="S331" s="459">
        <v>161.02879999999999</v>
      </c>
      <c r="T331" s="460">
        <v>165.9</v>
      </c>
      <c r="U331" s="461"/>
      <c r="V331" s="462">
        <v>100</v>
      </c>
      <c r="W331" s="463"/>
      <c r="X331" s="562" t="s">
        <v>70</v>
      </c>
      <c r="Y331" s="465" t="s">
        <v>289</v>
      </c>
      <c r="Z331" s="466" t="s">
        <v>980</v>
      </c>
      <c r="AA331" s="462" t="s">
        <v>59</v>
      </c>
      <c r="AB331" s="454"/>
      <c r="AC331" s="450"/>
      <c r="AD331" s="450"/>
      <c r="AE331" s="450"/>
      <c r="AF331" s="450"/>
      <c r="AG331" s="450"/>
      <c r="AH331" s="496" t="s">
        <v>59</v>
      </c>
      <c r="AI331" s="467"/>
      <c r="AJ331" s="467"/>
      <c r="AK331" s="467"/>
      <c r="AL331" s="467"/>
      <c r="AM331" s="467"/>
      <c r="AN331" s="467"/>
      <c r="AO331" s="467"/>
      <c r="AP331" s="467"/>
      <c r="AQ331" s="467"/>
      <c r="AR331" s="467"/>
      <c r="AS331" s="467"/>
      <c r="AT331" s="467"/>
      <c r="AU331" s="467"/>
      <c r="AV331" s="467"/>
      <c r="AW331" s="467"/>
      <c r="AX331" s="467"/>
      <c r="AY331" s="486">
        <f>COUNTIF(AI331:AX331,"*OP*")</f>
        <v>0</v>
      </c>
      <c r="AZ331" s="499" t="s">
        <v>59</v>
      </c>
      <c r="BA331" s="450">
        <f>(COUNTIF(AI331:AK331,"*OK*")*3) + (COUNTIF(AL331:AN331,"*OK*")*2) + COUNTIF(AO331:AQ331,"*OK*")+COUNTIF(AZ331:AZ331,"SI")*0.5</f>
        <v>0</v>
      </c>
      <c r="BB331" s="450" t="str">
        <f>IF(BA331&lt;0.6,"Demasiado Riesgo",IF(BA331&lt;=5,"Riesgo Medio",IF(BA331&lt;=11,"Riesgo Bajo","Cliente Blindado")))</f>
        <v>Demasiado Riesgo</v>
      </c>
      <c r="BC331" s="450"/>
      <c r="BD331" s="450"/>
      <c r="BE331" s="450">
        <v>0</v>
      </c>
      <c r="BF331" s="450"/>
      <c r="BG331" s="450"/>
      <c r="BH331" s="450"/>
      <c r="BI331" s="450"/>
      <c r="BJ331" s="450"/>
      <c r="BK331" s="450"/>
      <c r="BL331" s="450"/>
      <c r="BM331" s="450"/>
      <c r="BN331" s="450"/>
      <c r="BO331" s="450"/>
      <c r="BP331" s="450"/>
      <c r="BQ331" s="450"/>
      <c r="BR331" s="450"/>
      <c r="BS331" s="450"/>
      <c r="BT331" s="450"/>
      <c r="BU331" s="450"/>
      <c r="BV331" s="450"/>
      <c r="BW331" s="450"/>
      <c r="BX331" s="450"/>
      <c r="BY331" s="450"/>
      <c r="BZ331" s="450"/>
      <c r="CA331" s="450">
        <f>COUNTIF(AI331:AW331,"*OK*")</f>
        <v>0</v>
      </c>
      <c r="CB331" s="450"/>
      <c r="CC331" s="450">
        <f>COUNTIF(AI331:AW331,"*OP*")</f>
        <v>0</v>
      </c>
    </row>
    <row r="332" spans="1:81" ht="15" customHeight="1">
      <c r="A332" s="449"/>
      <c r="B332" s="450"/>
      <c r="C332" s="451">
        <f>T332</f>
        <v>167.98</v>
      </c>
      <c r="D332" s="450">
        <f>COUNTIF(AI332:AW332,"*OK*")</f>
        <v>0</v>
      </c>
      <c r="E332" s="450"/>
      <c r="F332" s="453" t="s">
        <v>981</v>
      </c>
      <c r="G332" s="453"/>
      <c r="H332" s="454" t="s">
        <v>451</v>
      </c>
      <c r="I332" s="454"/>
      <c r="J332" s="453"/>
      <c r="K332" s="455" t="s">
        <v>68</v>
      </c>
      <c r="L332" s="536" t="s">
        <v>445</v>
      </c>
      <c r="M332" s="536"/>
      <c r="N332" s="456" t="s">
        <v>103</v>
      </c>
      <c r="O332" s="457"/>
      <c r="P332" s="457"/>
      <c r="Q332" s="457">
        <v>199.48</v>
      </c>
      <c r="R332" s="458">
        <v>177.17</v>
      </c>
      <c r="S332" s="459">
        <v>174.69970000000001</v>
      </c>
      <c r="T332" s="469">
        <v>167.98</v>
      </c>
      <c r="U332" s="461"/>
      <c r="V332" s="462">
        <v>200</v>
      </c>
      <c r="W332" s="463"/>
      <c r="X332" s="464" t="s">
        <v>982</v>
      </c>
      <c r="Y332" s="465" t="s">
        <v>80</v>
      </c>
      <c r="Z332" s="466" t="s">
        <v>983</v>
      </c>
      <c r="AA332" s="462" t="s">
        <v>59</v>
      </c>
      <c r="AB332" s="454"/>
      <c r="AC332" s="450"/>
      <c r="AD332" s="450"/>
      <c r="AE332" s="450"/>
      <c r="AF332" s="450"/>
      <c r="AG332" s="450"/>
      <c r="AH332" s="496" t="s">
        <v>59</v>
      </c>
      <c r="AI332" s="467"/>
      <c r="AJ332" s="467"/>
      <c r="AK332" s="467"/>
      <c r="AL332" s="467"/>
      <c r="AM332" s="467"/>
      <c r="AN332" s="467"/>
      <c r="AO332" s="467"/>
      <c r="AP332" s="467"/>
      <c r="AQ332" s="467"/>
      <c r="AR332" s="467"/>
      <c r="AS332" s="467"/>
      <c r="AT332" s="467"/>
      <c r="AU332" s="467"/>
      <c r="AV332" s="467"/>
      <c r="AW332" s="467"/>
      <c r="AX332" s="467"/>
      <c r="AY332" s="486">
        <f>COUNTIF(AI332:AX332,"*OP*")</f>
        <v>0</v>
      </c>
      <c r="AZ332" s="499" t="s">
        <v>59</v>
      </c>
      <c r="BA332" s="450">
        <f>(COUNTIF(AI332:AK332,"*OK*")*3) + (COUNTIF(AL332:AN332,"*OK*")*2) + COUNTIF(AO332:AQ332,"*OK*")+COUNTIF(AZ332:AZ332,"SI")*0.5</f>
        <v>0</v>
      </c>
      <c r="BB332" s="450" t="str">
        <f>IF(BA332&lt;0.6,"Demasiado Riesgo",IF(BA332&lt;=5,"Riesgo Medio",IF(BA332&lt;=11,"Riesgo Bajo","Cliente Blindado")))</f>
        <v>Demasiado Riesgo</v>
      </c>
      <c r="BC332" s="450"/>
      <c r="BD332" s="450"/>
      <c r="BE332" s="450">
        <v>0</v>
      </c>
      <c r="BF332" s="450"/>
      <c r="BG332" s="450"/>
      <c r="BH332" s="450"/>
      <c r="BI332" s="450"/>
      <c r="BJ332" s="450"/>
      <c r="BK332" s="450"/>
      <c r="BL332" s="450"/>
      <c r="BM332" s="450"/>
      <c r="BN332" s="450"/>
      <c r="BO332" s="450"/>
      <c r="BP332" s="450"/>
      <c r="BQ332" s="450"/>
      <c r="BR332" s="450"/>
      <c r="BS332" s="450"/>
      <c r="BT332" s="450"/>
      <c r="BU332" s="450"/>
      <c r="BV332" s="450"/>
      <c r="BW332" s="450"/>
      <c r="BX332" s="450"/>
      <c r="BY332" s="450"/>
      <c r="BZ332" s="450"/>
      <c r="CA332" s="450">
        <f>COUNTIF(AI332:AW332,"*OK*")</f>
        <v>0</v>
      </c>
      <c r="CB332" s="450"/>
      <c r="CC332" s="450">
        <f>COUNTIF(AI332:AW332,"*OP*")</f>
        <v>0</v>
      </c>
    </row>
    <row r="333" spans="1:81" ht="15" customHeight="1">
      <c r="A333" s="449">
        <v>18457</v>
      </c>
      <c r="B333" s="450" t="s">
        <v>984</v>
      </c>
      <c r="C333" s="451">
        <f>T333</f>
        <v>178.04</v>
      </c>
      <c r="D333" s="450">
        <f>COUNTIF(AI333:AW333,"*OK*")</f>
        <v>0</v>
      </c>
      <c r="E333" s="450"/>
      <c r="F333" s="453" t="s">
        <v>985</v>
      </c>
      <c r="G333" s="453"/>
      <c r="H333" s="454" t="s">
        <v>451</v>
      </c>
      <c r="I333" s="454"/>
      <c r="J333" s="453"/>
      <c r="K333" s="453" t="s">
        <v>68</v>
      </c>
      <c r="L333" s="536" t="s">
        <v>445</v>
      </c>
      <c r="M333" s="536"/>
      <c r="N333" s="466" t="s">
        <v>61</v>
      </c>
      <c r="O333" s="457">
        <v>178.36</v>
      </c>
      <c r="P333" s="457">
        <v>175.82</v>
      </c>
      <c r="Q333" s="457">
        <v>169.82</v>
      </c>
      <c r="R333" s="458">
        <v>156.59</v>
      </c>
      <c r="S333" s="459">
        <v>180.0147</v>
      </c>
      <c r="T333" s="487">
        <v>178.04</v>
      </c>
      <c r="U333" s="461"/>
      <c r="V333" s="462">
        <v>150</v>
      </c>
      <c r="W333" s="463"/>
      <c r="X333" s="567" t="s">
        <v>70</v>
      </c>
      <c r="Y333" s="465" t="s">
        <v>80</v>
      </c>
      <c r="Z333" s="466" t="s">
        <v>986</v>
      </c>
      <c r="AA333" s="462" t="s">
        <v>91</v>
      </c>
      <c r="AB333" s="454"/>
      <c r="AC333" s="450"/>
      <c r="AD333" s="450"/>
      <c r="AE333" s="450"/>
      <c r="AF333" s="450"/>
      <c r="AG333" s="450"/>
      <c r="AH333" s="496" t="s">
        <v>127</v>
      </c>
      <c r="AI333" s="467"/>
      <c r="AJ333" s="467"/>
      <c r="AK333" s="467"/>
      <c r="AL333" s="467"/>
      <c r="AM333" s="467"/>
      <c r="AN333" s="467"/>
      <c r="AO333" s="467"/>
      <c r="AP333" s="467"/>
      <c r="AQ333" s="467"/>
      <c r="AR333" s="467"/>
      <c r="AS333" s="467"/>
      <c r="AT333" s="467"/>
      <c r="AU333" s="467"/>
      <c r="AV333" s="467"/>
      <c r="AW333" s="467"/>
      <c r="AX333" s="467"/>
      <c r="AY333" s="486">
        <f>COUNTIF(AI333:AX333,"*OP*")</f>
        <v>0</v>
      </c>
      <c r="AZ333" s="499" t="s">
        <v>176</v>
      </c>
      <c r="BA333" s="450">
        <f>(COUNTIF(AI333:AK333,"*OK*")*3) + (COUNTIF(AL333:AN333,"*OK*")*2) + COUNTIF(AO333:AQ333,"*OK*")+COUNTIF(AZ333:AZ333,"SI")*0.5</f>
        <v>0</v>
      </c>
      <c r="BB333" s="450" t="str">
        <f>IF(BA333&lt;0.6,"Demasiado Riesgo",IF(BA333&lt;=5,"Riesgo Medio",IF(BA333&lt;=11,"Riesgo Bajo","Cliente Blindado")))</f>
        <v>Demasiado Riesgo</v>
      </c>
      <c r="BC333" s="450"/>
      <c r="BD333" s="450"/>
      <c r="BE333" s="450">
        <v>0</v>
      </c>
      <c r="BF333" s="450"/>
      <c r="BG333" s="450"/>
      <c r="BH333" s="450"/>
      <c r="BI333" s="450"/>
      <c r="BJ333" s="450"/>
      <c r="BK333" s="450"/>
      <c r="BL333" s="450"/>
      <c r="BM333" s="450"/>
      <c r="BN333" s="450"/>
      <c r="BO333" s="450"/>
      <c r="BP333" s="450"/>
      <c r="BQ333" s="450"/>
      <c r="BR333" s="450"/>
      <c r="BS333" s="450"/>
      <c r="BT333" s="450"/>
      <c r="BU333" s="450"/>
      <c r="BV333" s="450"/>
      <c r="BW333" s="450"/>
      <c r="BX333" s="450"/>
      <c r="BY333" s="450"/>
      <c r="BZ333" s="450"/>
      <c r="CA333" s="450">
        <f>COUNTIF(AI333:AW333,"*OK*")</f>
        <v>0</v>
      </c>
      <c r="CB333" s="450"/>
      <c r="CC333" s="450">
        <f>COUNTIF(AI333:AW333,"*OP*")</f>
        <v>0</v>
      </c>
    </row>
    <row r="334" spans="1:81" ht="15" customHeight="1">
      <c r="A334" s="449">
        <v>36944</v>
      </c>
      <c r="B334" s="450"/>
      <c r="C334" s="451">
        <f>T334</f>
        <v>179.41</v>
      </c>
      <c r="D334" s="450">
        <f>COUNTIF(AI334:AW334,"*OK*")</f>
        <v>0</v>
      </c>
      <c r="E334" s="450"/>
      <c r="F334" s="453" t="s">
        <v>987</v>
      </c>
      <c r="G334" s="453"/>
      <c r="H334" s="454" t="s">
        <v>451</v>
      </c>
      <c r="I334" s="454"/>
      <c r="J334" s="453"/>
      <c r="K334" s="455" t="s">
        <v>68</v>
      </c>
      <c r="L334" s="536" t="s">
        <v>445</v>
      </c>
      <c r="M334" s="536"/>
      <c r="N334" s="466" t="s">
        <v>61</v>
      </c>
      <c r="O334" s="457"/>
      <c r="P334" s="457"/>
      <c r="Q334" s="457">
        <v>237.47</v>
      </c>
      <c r="R334" s="458">
        <v>128.83000000000001</v>
      </c>
      <c r="S334" s="459">
        <v>183.71199999999999</v>
      </c>
      <c r="T334" s="487">
        <v>179.41</v>
      </c>
      <c r="U334" s="461"/>
      <c r="V334" s="462">
        <v>100</v>
      </c>
      <c r="W334" s="463"/>
      <c r="X334" s="562" t="s">
        <v>70</v>
      </c>
      <c r="Y334" s="465" t="s">
        <v>89</v>
      </c>
      <c r="Z334" s="466" t="s">
        <v>988</v>
      </c>
      <c r="AA334" s="462" t="s">
        <v>91</v>
      </c>
      <c r="AB334" s="454"/>
      <c r="AC334" s="450"/>
      <c r="AD334" s="450"/>
      <c r="AE334" s="450"/>
      <c r="AF334" s="450"/>
      <c r="AG334" s="450"/>
      <c r="AH334" s="496" t="s">
        <v>59</v>
      </c>
      <c r="AI334" s="467"/>
      <c r="AJ334" s="467"/>
      <c r="AK334" s="467"/>
      <c r="AL334" s="467"/>
      <c r="AM334" s="467"/>
      <c r="AN334" s="467"/>
      <c r="AO334" s="467"/>
      <c r="AP334" s="467"/>
      <c r="AQ334" s="467"/>
      <c r="AR334" s="467"/>
      <c r="AS334" s="467"/>
      <c r="AT334" s="467"/>
      <c r="AU334" s="467"/>
      <c r="AV334" s="467"/>
      <c r="AW334" s="467"/>
      <c r="AX334" s="467"/>
      <c r="AY334" s="486">
        <f>COUNTIF(AI334:AX334,"*OP*")</f>
        <v>0</v>
      </c>
      <c r="AZ334" s="499" t="s">
        <v>59</v>
      </c>
      <c r="BA334" s="450">
        <f>(COUNTIF(AI334:AK334,"*OK*")*3) + (COUNTIF(AL334:AN334,"*OK*")*2) + COUNTIF(AO334:AQ334,"*OK*")+COUNTIF(AZ334:AZ334,"SI")*0.5</f>
        <v>0</v>
      </c>
      <c r="BB334" s="450" t="str">
        <f>IF(BA334&lt;0.6,"Demasiado Riesgo",IF(BA334&lt;=5,"Riesgo Medio",IF(BA334&lt;=11,"Riesgo Bajo","Cliente Blindado")))</f>
        <v>Demasiado Riesgo</v>
      </c>
      <c r="BC334" s="450"/>
      <c r="BD334" s="450"/>
      <c r="BE334" s="450">
        <v>0</v>
      </c>
      <c r="BF334" s="450"/>
      <c r="BG334" s="450"/>
      <c r="BH334" s="450"/>
      <c r="BI334" s="450"/>
      <c r="BJ334" s="450"/>
      <c r="BK334" s="450"/>
      <c r="BL334" s="450"/>
      <c r="BM334" s="450"/>
      <c r="BN334" s="450"/>
      <c r="BO334" s="450"/>
      <c r="BP334" s="450"/>
      <c r="BQ334" s="450"/>
      <c r="BR334" s="450"/>
      <c r="BS334" s="450"/>
      <c r="BT334" s="450"/>
      <c r="BU334" s="450"/>
      <c r="BV334" s="450"/>
      <c r="BW334" s="450"/>
      <c r="BX334" s="450"/>
      <c r="BY334" s="450"/>
      <c r="BZ334" s="450"/>
      <c r="CA334" s="450">
        <f>COUNTIF(AI334:AW334,"*OK*")</f>
        <v>0</v>
      </c>
      <c r="CB334" s="450"/>
      <c r="CC334" s="450">
        <f>COUNTIF(AI334:AW334,"*OP*")</f>
        <v>0</v>
      </c>
    </row>
    <row r="335" spans="1:81" ht="15" customHeight="1">
      <c r="A335" s="470">
        <v>36857</v>
      </c>
      <c r="B335" s="471"/>
      <c r="C335" s="451">
        <f>T335</f>
        <v>182.84</v>
      </c>
      <c r="D335" s="471">
        <f>COUNTIF(AI335:AW335,"*OK*")</f>
        <v>0</v>
      </c>
      <c r="E335" s="471"/>
      <c r="F335" s="473" t="s">
        <v>989</v>
      </c>
      <c r="G335" s="473"/>
      <c r="H335" s="454" t="s">
        <v>451</v>
      </c>
      <c r="I335" s="474"/>
      <c r="J335" s="473"/>
      <c r="K335" s="473" t="s">
        <v>68</v>
      </c>
      <c r="L335" s="536" t="s">
        <v>445</v>
      </c>
      <c r="M335" s="536"/>
      <c r="N335" s="476" t="s">
        <v>65</v>
      </c>
      <c r="O335" s="477">
        <v>297.14999999999998</v>
      </c>
      <c r="P335" s="477">
        <v>280.54000000000002</v>
      </c>
      <c r="Q335" s="477">
        <v>308.88</v>
      </c>
      <c r="R335" s="478">
        <v>321.5</v>
      </c>
      <c r="S335" s="459">
        <v>190.6446</v>
      </c>
      <c r="T335" s="469">
        <v>182.84</v>
      </c>
      <c r="U335" s="479"/>
      <c r="V335" s="480">
        <v>500</v>
      </c>
      <c r="W335" s="481"/>
      <c r="X335" s="493" t="s">
        <v>70</v>
      </c>
      <c r="Y335" s="483" t="s">
        <v>108</v>
      </c>
      <c r="Z335" s="484" t="s">
        <v>990</v>
      </c>
      <c r="AA335" s="480" t="s">
        <v>59</v>
      </c>
      <c r="AB335" s="474"/>
      <c r="AC335" s="471"/>
      <c r="AD335" s="471"/>
      <c r="AE335" s="471"/>
      <c r="AF335" s="471"/>
      <c r="AG335" s="471"/>
      <c r="AH335" s="494" t="s">
        <v>59</v>
      </c>
      <c r="AI335" s="467"/>
      <c r="AJ335" s="467"/>
      <c r="AK335" s="467"/>
      <c r="AL335" s="467"/>
      <c r="AM335" s="467"/>
      <c r="AN335" s="467"/>
      <c r="AO335" s="467"/>
      <c r="AP335" s="467"/>
      <c r="AQ335" s="467"/>
      <c r="AR335" s="467"/>
      <c r="AS335" s="467"/>
      <c r="AT335" s="467"/>
      <c r="AU335" s="467"/>
      <c r="AV335" s="467"/>
      <c r="AW335" s="467"/>
      <c r="AX335" s="467"/>
      <c r="AY335" s="486">
        <f>COUNTIF(AI335:AX335,"*OP*")</f>
        <v>0</v>
      </c>
      <c r="AZ335" s="485" t="s">
        <v>59</v>
      </c>
      <c r="BA335" s="471">
        <f>(COUNTIF(AI335:AK335,"*OK*")*3) + (COUNTIF(AL335:AN335,"*OK*")*2) + COUNTIF(AO335:AQ335,"*OK*")+COUNTIF(AZ335:AZ335,"SI")*0.5</f>
        <v>0</v>
      </c>
      <c r="BB335" s="471" t="str">
        <f>IF(BA335&lt;0.6,"Demasiado Riesgo",IF(BA335&lt;=5,"Riesgo Medio",IF(BA335&lt;=11,"Riesgo Bajo","Cliente Blindado")))</f>
        <v>Demasiado Riesgo</v>
      </c>
      <c r="BC335" s="471"/>
      <c r="BD335" s="471"/>
      <c r="BE335" s="471">
        <v>0</v>
      </c>
      <c r="BF335" s="471"/>
      <c r="BG335" s="471"/>
      <c r="BH335" s="471"/>
      <c r="BI335" s="471"/>
      <c r="BJ335" s="471"/>
      <c r="BK335" s="471"/>
      <c r="BL335" s="471"/>
      <c r="BM335" s="471"/>
      <c r="BN335" s="471"/>
      <c r="BO335" s="471"/>
      <c r="BP335" s="471"/>
      <c r="BQ335" s="471"/>
      <c r="BR335" s="471"/>
      <c r="BS335" s="471"/>
      <c r="BT335" s="471"/>
      <c r="BU335" s="471"/>
      <c r="BV335" s="471"/>
      <c r="BW335" s="471"/>
      <c r="BX335" s="471"/>
      <c r="BY335" s="471"/>
      <c r="BZ335" s="471"/>
      <c r="CA335" s="471">
        <f>COUNTIF(AI335:AW335,"*OK*")</f>
        <v>0</v>
      </c>
      <c r="CB335" s="471"/>
      <c r="CC335" s="471">
        <f>COUNTIF(AI335:AW335,"*OP*")</f>
        <v>0</v>
      </c>
    </row>
    <row r="336" spans="1:81" ht="15" customHeight="1">
      <c r="A336" s="449">
        <v>36857</v>
      </c>
      <c r="B336" s="450"/>
      <c r="C336" s="451">
        <f>T336</f>
        <v>182.84</v>
      </c>
      <c r="D336" s="450">
        <f>COUNTIF(AI336:AW336,"*OK*")</f>
        <v>0</v>
      </c>
      <c r="E336" s="450"/>
      <c r="F336" s="453" t="s">
        <v>989</v>
      </c>
      <c r="G336" s="453"/>
      <c r="H336" s="454" t="s">
        <v>451</v>
      </c>
      <c r="I336" s="454"/>
      <c r="J336" s="453"/>
      <c r="K336" s="455" t="s">
        <v>68</v>
      </c>
      <c r="L336" s="536" t="s">
        <v>445</v>
      </c>
      <c r="M336" s="536"/>
      <c r="N336" s="456" t="s">
        <v>65</v>
      </c>
      <c r="O336" s="457"/>
      <c r="P336" s="457"/>
      <c r="Q336" s="457">
        <v>171.2</v>
      </c>
      <c r="R336" s="458">
        <v>185.26</v>
      </c>
      <c r="S336" s="459"/>
      <c r="T336" s="487">
        <v>182.84</v>
      </c>
      <c r="U336" s="461"/>
      <c r="V336" s="462">
        <v>100</v>
      </c>
      <c r="W336" s="463"/>
      <c r="X336" s="567" t="s">
        <v>70</v>
      </c>
      <c r="Y336" s="465" t="s">
        <v>71</v>
      </c>
      <c r="Z336" s="466" t="s">
        <v>991</v>
      </c>
      <c r="AA336" s="462" t="s">
        <v>59</v>
      </c>
      <c r="AB336" s="454"/>
      <c r="AC336" s="450"/>
      <c r="AD336" s="450"/>
      <c r="AE336" s="450"/>
      <c r="AF336" s="450"/>
      <c r="AG336" s="450"/>
      <c r="AH336" s="496" t="s">
        <v>59</v>
      </c>
      <c r="AI336" s="467"/>
      <c r="AJ336" s="467"/>
      <c r="AK336" s="467"/>
      <c r="AL336" s="467"/>
      <c r="AM336" s="467"/>
      <c r="AN336" s="467"/>
      <c r="AO336" s="467"/>
      <c r="AP336" s="467"/>
      <c r="AQ336" s="467"/>
      <c r="AR336" s="467"/>
      <c r="AS336" s="467"/>
      <c r="AT336" s="467"/>
      <c r="AU336" s="467"/>
      <c r="AV336" s="467"/>
      <c r="AW336" s="467"/>
      <c r="AX336" s="467"/>
      <c r="AY336" s="486">
        <f>COUNTIF(AI336:AX336,"*OP*")</f>
        <v>0</v>
      </c>
      <c r="AZ336" s="499" t="s">
        <v>59</v>
      </c>
      <c r="BA336" s="450">
        <f>(COUNTIF(AI336:AK336,"*OK*")*3) + (COUNTIF(AL336:AN336,"*OK*")*2) + COUNTIF(AO336:AQ336,"*OK*")+COUNTIF(AZ336:AZ336,"SI")*0.5</f>
        <v>0</v>
      </c>
      <c r="BB336" s="450" t="str">
        <f>IF(BA336&lt;0.6,"Demasiado Riesgo",IF(BA336&lt;=5,"Riesgo Medio",IF(BA336&lt;=11,"Riesgo Bajo","Cliente Blindado")))</f>
        <v>Demasiado Riesgo</v>
      </c>
      <c r="BC336" s="450"/>
      <c r="BD336" s="450"/>
      <c r="BE336" s="450">
        <v>0</v>
      </c>
      <c r="BF336" s="450"/>
      <c r="BG336" s="450"/>
      <c r="BH336" s="450"/>
      <c r="BI336" s="450"/>
      <c r="BJ336" s="450"/>
      <c r="BK336" s="450"/>
      <c r="BL336" s="450"/>
      <c r="BM336" s="450"/>
      <c r="BN336" s="450"/>
      <c r="BO336" s="450"/>
      <c r="BP336" s="450"/>
      <c r="BQ336" s="450"/>
      <c r="BR336" s="450"/>
      <c r="BS336" s="450"/>
      <c r="BT336" s="450"/>
      <c r="BU336" s="450"/>
      <c r="BV336" s="450"/>
      <c r="BW336" s="450"/>
      <c r="BX336" s="450"/>
      <c r="BY336" s="450"/>
      <c r="BZ336" s="450"/>
      <c r="CA336" s="450">
        <f>COUNTIF(AI336:AW336,"*OK*")</f>
        <v>0</v>
      </c>
      <c r="CB336" s="450"/>
      <c r="CC336" s="450">
        <f>COUNTIF(AI336:AW336,"*OP*")</f>
        <v>0</v>
      </c>
    </row>
    <row r="337" spans="1:81" ht="15" customHeight="1">
      <c r="A337" s="470"/>
      <c r="B337" s="471"/>
      <c r="C337" s="451">
        <f>T337</f>
        <v>184.61</v>
      </c>
      <c r="D337" s="471">
        <f>COUNTIF(AI337:AW337,"*OK*")</f>
        <v>0</v>
      </c>
      <c r="E337" s="471"/>
      <c r="F337" s="473" t="s">
        <v>992</v>
      </c>
      <c r="G337" s="473"/>
      <c r="H337" s="454" t="s">
        <v>451</v>
      </c>
      <c r="I337" s="474"/>
      <c r="J337" s="473"/>
      <c r="K337" s="473" t="s">
        <v>68</v>
      </c>
      <c r="L337" s="536" t="s">
        <v>445</v>
      </c>
      <c r="M337" s="536"/>
      <c r="N337" s="484" t="s">
        <v>65</v>
      </c>
      <c r="O337" s="477">
        <v>150.75</v>
      </c>
      <c r="P337" s="477">
        <v>170.96</v>
      </c>
      <c r="Q337" s="477">
        <v>151.28</v>
      </c>
      <c r="R337" s="478">
        <v>160.16</v>
      </c>
      <c r="S337" s="459">
        <v>174.4871</v>
      </c>
      <c r="T337" s="490">
        <v>184.61</v>
      </c>
      <c r="U337" s="479"/>
      <c r="V337" s="480">
        <v>50</v>
      </c>
      <c r="W337" s="481"/>
      <c r="X337" s="572" t="s">
        <v>70</v>
      </c>
      <c r="Y337" s="483" t="s">
        <v>71</v>
      </c>
      <c r="Z337" s="484" t="s">
        <v>993</v>
      </c>
      <c r="AA337" s="480" t="s">
        <v>59</v>
      </c>
      <c r="AB337" s="474"/>
      <c r="AC337" s="471"/>
      <c r="AD337" s="471"/>
      <c r="AE337" s="471"/>
      <c r="AF337" s="471"/>
      <c r="AG337" s="471"/>
      <c r="AH337" s="494" t="s">
        <v>59</v>
      </c>
      <c r="AI337" s="467"/>
      <c r="AJ337" s="467"/>
      <c r="AK337" s="467"/>
      <c r="AL337" s="467"/>
      <c r="AM337" s="467"/>
      <c r="AN337" s="467"/>
      <c r="AO337" s="467"/>
      <c r="AP337" s="467"/>
      <c r="AQ337" s="467"/>
      <c r="AR337" s="467"/>
      <c r="AS337" s="467"/>
      <c r="AT337" s="467"/>
      <c r="AU337" s="467"/>
      <c r="AV337" s="467"/>
      <c r="AW337" s="467"/>
      <c r="AX337" s="467"/>
      <c r="AY337" s="486">
        <f>COUNTIF(AI337:AX337,"*OP*")</f>
        <v>0</v>
      </c>
      <c r="AZ337" s="485" t="s">
        <v>59</v>
      </c>
      <c r="BA337" s="471">
        <f>(COUNTIF(AI337:AK337,"*OK*")*3) + (COUNTIF(AL337:AN337,"*OK*")*2) + COUNTIF(AO337:AQ337,"*OK*")+COUNTIF(AZ337:AZ337,"SI")*0.5</f>
        <v>0</v>
      </c>
      <c r="BB337" s="471" t="str">
        <f>IF(BA337&lt;0.6,"Demasiado Riesgo",IF(BA337&lt;=5,"Riesgo Medio",IF(BA337&lt;=11,"Riesgo Bajo","Cliente Blindado")))</f>
        <v>Demasiado Riesgo</v>
      </c>
      <c r="BC337" s="471"/>
      <c r="BD337" s="471"/>
      <c r="BE337" s="471">
        <v>0</v>
      </c>
      <c r="BF337" s="471"/>
      <c r="BG337" s="471"/>
      <c r="BH337" s="471"/>
      <c r="BI337" s="471"/>
      <c r="BJ337" s="471"/>
      <c r="BK337" s="471"/>
      <c r="BL337" s="471"/>
      <c r="BM337" s="471"/>
      <c r="BN337" s="471"/>
      <c r="BO337" s="471"/>
      <c r="BP337" s="471"/>
      <c r="BQ337" s="471"/>
      <c r="BR337" s="471"/>
      <c r="BS337" s="471"/>
      <c r="BT337" s="471"/>
      <c r="BU337" s="471"/>
      <c r="BV337" s="471"/>
      <c r="BW337" s="471"/>
      <c r="BX337" s="471"/>
      <c r="BY337" s="471"/>
      <c r="BZ337" s="471"/>
      <c r="CA337" s="471">
        <f>COUNTIF(AI337:AW337,"*OK*")</f>
        <v>0</v>
      </c>
      <c r="CB337" s="471"/>
      <c r="CC337" s="471">
        <f>COUNTIF(AI337:AW337,"*OP*")</f>
        <v>0</v>
      </c>
    </row>
    <row r="338" spans="1:81" ht="15" customHeight="1">
      <c r="A338" s="470">
        <v>36723</v>
      </c>
      <c r="B338" s="471"/>
      <c r="C338" s="451">
        <f>T338</f>
        <v>186.55</v>
      </c>
      <c r="D338" s="471">
        <f>COUNTIF(AI338:AW338,"*OK*")</f>
        <v>0</v>
      </c>
      <c r="E338" s="471"/>
      <c r="F338" s="473" t="s">
        <v>994</v>
      </c>
      <c r="G338" s="473"/>
      <c r="H338" s="454" t="s">
        <v>451</v>
      </c>
      <c r="I338" s="474"/>
      <c r="J338" s="473"/>
      <c r="K338" s="475" t="s">
        <v>68</v>
      </c>
      <c r="L338" s="536" t="s">
        <v>445</v>
      </c>
      <c r="M338" s="536"/>
      <c r="N338" s="484" t="s">
        <v>156</v>
      </c>
      <c r="O338" s="477"/>
      <c r="P338" s="477"/>
      <c r="Q338" s="477">
        <v>70.41</v>
      </c>
      <c r="R338" s="478">
        <v>76.39</v>
      </c>
      <c r="S338" s="459">
        <v>114.9644</v>
      </c>
      <c r="T338" s="460">
        <v>186.55</v>
      </c>
      <c r="U338" s="479"/>
      <c r="V338" s="480">
        <v>200</v>
      </c>
      <c r="W338" s="481"/>
      <c r="X338" s="572" t="s">
        <v>70</v>
      </c>
      <c r="Y338" s="483" t="s">
        <v>360</v>
      </c>
      <c r="Z338" s="484" t="s">
        <v>995</v>
      </c>
      <c r="AA338" s="480" t="s">
        <v>71</v>
      </c>
      <c r="AB338" s="474"/>
      <c r="AC338" s="471"/>
      <c r="AD338" s="471"/>
      <c r="AE338" s="471"/>
      <c r="AF338" s="471"/>
      <c r="AG338" s="471"/>
      <c r="AH338" s="494" t="s">
        <v>59</v>
      </c>
      <c r="AI338" s="467"/>
      <c r="AJ338" s="467"/>
      <c r="AK338" s="467"/>
      <c r="AL338" s="467"/>
      <c r="AM338" s="467"/>
      <c r="AN338" s="467"/>
      <c r="AO338" s="467"/>
      <c r="AP338" s="467"/>
      <c r="AQ338" s="467"/>
      <c r="AR338" s="467"/>
      <c r="AS338" s="467"/>
      <c r="AT338" s="467"/>
      <c r="AU338" s="467"/>
      <c r="AV338" s="467"/>
      <c r="AW338" s="467"/>
      <c r="AX338" s="467"/>
      <c r="AY338" s="486">
        <f>COUNTIF(AI338:AX338,"*OP*")</f>
        <v>0</v>
      </c>
      <c r="AZ338" s="485" t="s">
        <v>59</v>
      </c>
      <c r="BA338" s="471">
        <f>(COUNTIF(AI338:AK338,"*OK*")*3) + (COUNTIF(AL338:AN338,"*OK*")*2) + COUNTIF(AO338:AQ338,"*OK*")+COUNTIF(AZ338:AZ338,"SI")*0.5</f>
        <v>0</v>
      </c>
      <c r="BB338" s="471" t="str">
        <f>IF(BA338&lt;0.6,"Demasiado Riesgo",IF(BA338&lt;=5,"Riesgo Medio",IF(BA338&lt;=11,"Riesgo Bajo","Cliente Blindado")))</f>
        <v>Demasiado Riesgo</v>
      </c>
      <c r="BC338" s="471"/>
      <c r="BD338" s="471"/>
      <c r="BE338" s="471">
        <v>0</v>
      </c>
      <c r="BF338" s="471"/>
      <c r="BG338" s="471"/>
      <c r="BH338" s="471"/>
      <c r="BI338" s="471"/>
      <c r="BJ338" s="471"/>
      <c r="BK338" s="471"/>
      <c r="BL338" s="471"/>
      <c r="BM338" s="471"/>
      <c r="BN338" s="471"/>
      <c r="BO338" s="471"/>
      <c r="BP338" s="471"/>
      <c r="BQ338" s="471"/>
      <c r="BR338" s="471"/>
      <c r="BS338" s="471"/>
      <c r="BT338" s="471"/>
      <c r="BU338" s="471"/>
      <c r="BV338" s="471"/>
      <c r="BW338" s="471"/>
      <c r="BX338" s="471"/>
      <c r="BY338" s="471"/>
      <c r="BZ338" s="471"/>
      <c r="CA338" s="471">
        <f>COUNTIF(AI338:AW338,"*OK*")</f>
        <v>0</v>
      </c>
      <c r="CB338" s="471"/>
      <c r="CC338" s="471">
        <f>COUNTIF(AI338:AW338,"*OP*")</f>
        <v>0</v>
      </c>
    </row>
    <row r="339" spans="1:81" ht="15" customHeight="1">
      <c r="A339" s="449"/>
      <c r="B339" s="450"/>
      <c r="C339" s="451">
        <f>T339</f>
        <v>187.7</v>
      </c>
      <c r="D339" s="450">
        <f>COUNTIF(AM339:AX339,"OK")</f>
        <v>0</v>
      </c>
      <c r="E339" s="450"/>
      <c r="F339" s="450" t="s">
        <v>996</v>
      </c>
      <c r="G339" s="450"/>
      <c r="H339" s="454" t="s">
        <v>451</v>
      </c>
      <c r="I339" s="454"/>
      <c r="J339" s="450"/>
      <c r="K339" s="501" t="s">
        <v>68</v>
      </c>
      <c r="L339" s="536" t="s">
        <v>445</v>
      </c>
      <c r="M339" s="536"/>
      <c r="N339" s="466"/>
      <c r="O339" s="457"/>
      <c r="P339" s="457"/>
      <c r="Q339" s="457"/>
      <c r="R339" s="458"/>
      <c r="S339" s="459">
        <v>449.74779999999998</v>
      </c>
      <c r="T339" s="498">
        <v>187.7</v>
      </c>
      <c r="U339" s="461"/>
      <c r="V339" s="462" t="s">
        <v>59</v>
      </c>
      <c r="W339" s="450"/>
      <c r="X339" s="464"/>
      <c r="Y339" s="465"/>
      <c r="Z339" s="466"/>
      <c r="AA339" s="496" t="s">
        <v>59</v>
      </c>
      <c r="AB339" s="454"/>
      <c r="AC339" s="450"/>
      <c r="AD339" s="450"/>
      <c r="AE339" s="450"/>
      <c r="AF339" s="450"/>
      <c r="AG339" s="450"/>
      <c r="AH339" s="617"/>
      <c r="AI339" s="618"/>
      <c r="AJ339" s="618"/>
      <c r="AK339" s="618"/>
      <c r="AL339" s="618"/>
      <c r="AM339" s="618"/>
      <c r="AN339" s="618"/>
      <c r="AO339" s="618"/>
      <c r="AP339" s="618"/>
      <c r="AQ339" s="618"/>
      <c r="AR339" s="618"/>
      <c r="AS339" s="618"/>
      <c r="AT339" s="618"/>
      <c r="AU339" s="618"/>
      <c r="AV339" s="618"/>
      <c r="AW339" s="618"/>
      <c r="AX339" s="618"/>
      <c r="AY339" s="619">
        <f>COUNTIF(AI339:AX339,"*OP*")</f>
        <v>0</v>
      </c>
      <c r="AZ339" s="620"/>
      <c r="BA339" s="450">
        <f>(COUNTIF(AI339:AK339,"*OK*")*3) + (COUNTIF(AL339:AN339,"*OK*")*2) + COUNTIF(AO339:AQ339,"*OK*")+COUNTIF(AZ339:AZ339,"SI")*0.5</f>
        <v>0</v>
      </c>
      <c r="BB339" s="450" t="str">
        <f>IF(BA339&lt;0.6,"Demasiado Riesgo",IF(BA339&lt;=5,"Riesgo Medio",IF(BA339&lt;=11,"Riesgo Bajo","Cliente Blindado")))</f>
        <v>Demasiado Riesgo</v>
      </c>
      <c r="BC339" s="450"/>
      <c r="BD339" s="450"/>
      <c r="BE339" s="450"/>
      <c r="BF339" s="450"/>
      <c r="BG339" s="450"/>
      <c r="BH339" s="450"/>
      <c r="BI339" s="450"/>
      <c r="BJ339" s="450"/>
      <c r="BK339" s="450"/>
      <c r="BL339" s="450"/>
      <c r="BM339" s="450"/>
      <c r="BN339" s="450"/>
      <c r="BO339" s="450"/>
      <c r="BP339" s="450"/>
      <c r="BQ339" s="450"/>
      <c r="BR339" s="450"/>
      <c r="BS339" s="450"/>
      <c r="BT339" s="450"/>
      <c r="BU339" s="450"/>
      <c r="BV339" s="450"/>
      <c r="BW339" s="450"/>
      <c r="BX339" s="450"/>
      <c r="BY339" s="450"/>
      <c r="BZ339" s="450"/>
      <c r="CA339" s="450">
        <f>COUNTIF(AI339:AW339,"*OK*")</f>
        <v>0</v>
      </c>
      <c r="CB339" s="450"/>
      <c r="CC339" s="450">
        <f>COUNTIF(AI339:AW339,"*OP*")</f>
        <v>0</v>
      </c>
    </row>
    <row r="340" spans="1:81" ht="15" customHeight="1">
      <c r="A340" s="470">
        <v>35509</v>
      </c>
      <c r="B340" s="471"/>
      <c r="C340" s="451">
        <f>T340</f>
        <v>189.41</v>
      </c>
      <c r="D340" s="471">
        <f>COUNTIF(AI340:AW340,"*OK*")</f>
        <v>0</v>
      </c>
      <c r="E340" s="471"/>
      <c r="F340" s="473" t="s">
        <v>997</v>
      </c>
      <c r="G340" s="473"/>
      <c r="H340" s="454" t="s">
        <v>451</v>
      </c>
      <c r="I340" s="474"/>
      <c r="J340" s="473"/>
      <c r="K340" s="475" t="s">
        <v>68</v>
      </c>
      <c r="L340" s="536" t="s">
        <v>445</v>
      </c>
      <c r="M340" s="536"/>
      <c r="N340" s="476" t="s">
        <v>65</v>
      </c>
      <c r="O340" s="477">
        <v>226.22</v>
      </c>
      <c r="P340" s="477">
        <v>195.87</v>
      </c>
      <c r="Q340" s="477">
        <v>193.84</v>
      </c>
      <c r="R340" s="478">
        <v>214.91</v>
      </c>
      <c r="S340" s="459">
        <v>206.5316</v>
      </c>
      <c r="T340" s="469">
        <v>189.41</v>
      </c>
      <c r="U340" s="479"/>
      <c r="V340" s="480">
        <v>100</v>
      </c>
      <c r="W340" s="481"/>
      <c r="X340" s="572" t="s">
        <v>70</v>
      </c>
      <c r="Y340" s="483" t="s">
        <v>71</v>
      </c>
      <c r="Z340" s="484" t="s">
        <v>998</v>
      </c>
      <c r="AA340" s="480" t="s">
        <v>59</v>
      </c>
      <c r="AB340" s="474"/>
      <c r="AC340" s="471"/>
      <c r="AD340" s="471"/>
      <c r="AE340" s="471"/>
      <c r="AF340" s="471"/>
      <c r="AG340" s="471"/>
      <c r="AH340" s="494" t="s">
        <v>59</v>
      </c>
      <c r="AI340" s="467"/>
      <c r="AJ340" s="467"/>
      <c r="AK340" s="467"/>
      <c r="AL340" s="467"/>
      <c r="AM340" s="467"/>
      <c r="AN340" s="467"/>
      <c r="AO340" s="467"/>
      <c r="AP340" s="467"/>
      <c r="AQ340" s="467"/>
      <c r="AR340" s="467"/>
      <c r="AS340" s="467"/>
      <c r="AT340" s="467"/>
      <c r="AU340" s="467"/>
      <c r="AV340" s="467"/>
      <c r="AW340" s="467"/>
      <c r="AX340" s="467"/>
      <c r="AY340" s="486">
        <f>COUNTIF(AI340:AX340,"*OP*")</f>
        <v>0</v>
      </c>
      <c r="AZ340" s="485" t="s">
        <v>59</v>
      </c>
      <c r="BA340" s="471">
        <f>(COUNTIF(AI340:AK340,"*OK*")*3) + (COUNTIF(AL340:AN340,"*OK*")*2) + COUNTIF(AO340:AQ340,"*OK*")+COUNTIF(AZ340:AZ340,"SI")*0.5</f>
        <v>0</v>
      </c>
      <c r="BB340" s="471" t="str">
        <f>IF(BA340&lt;0.6,"Demasiado Riesgo",IF(BA340&lt;=5,"Riesgo Medio",IF(BA340&lt;=11,"Riesgo Bajo","Cliente Blindado")))</f>
        <v>Demasiado Riesgo</v>
      </c>
      <c r="BC340" s="471"/>
      <c r="BD340" s="471"/>
      <c r="BE340" s="471">
        <v>0</v>
      </c>
      <c r="BF340" s="471"/>
      <c r="BG340" s="471"/>
      <c r="BH340" s="471"/>
      <c r="BI340" s="471"/>
      <c r="BJ340" s="471"/>
      <c r="BK340" s="471"/>
      <c r="BL340" s="471"/>
      <c r="BM340" s="471"/>
      <c r="BN340" s="471"/>
      <c r="BO340" s="471"/>
      <c r="BP340" s="471"/>
      <c r="BQ340" s="471"/>
      <c r="BR340" s="471"/>
      <c r="BS340" s="471"/>
      <c r="BT340" s="471"/>
      <c r="BU340" s="471"/>
      <c r="BV340" s="471"/>
      <c r="BW340" s="471"/>
      <c r="BX340" s="471"/>
      <c r="BY340" s="471"/>
      <c r="BZ340" s="471"/>
      <c r="CA340" s="471">
        <f>COUNTIF(AI340:AW340,"*OK*")</f>
        <v>0</v>
      </c>
      <c r="CB340" s="471"/>
      <c r="CC340" s="471">
        <f>COUNTIF(AI340:AW340,"*OP*")</f>
        <v>0</v>
      </c>
    </row>
    <row r="341" spans="1:81" ht="15" customHeight="1">
      <c r="A341" s="470">
        <v>37191</v>
      </c>
      <c r="B341" s="471"/>
      <c r="C341" s="451">
        <f>T341</f>
        <v>190.4</v>
      </c>
      <c r="D341" s="471">
        <f>COUNTIF(AI341:AW341,"*OK*")</f>
        <v>0</v>
      </c>
      <c r="E341" s="471"/>
      <c r="F341" s="473" t="s">
        <v>999</v>
      </c>
      <c r="G341" s="473"/>
      <c r="H341" s="454" t="s">
        <v>451</v>
      </c>
      <c r="I341" s="474"/>
      <c r="J341" s="473"/>
      <c r="K341" s="475" t="s">
        <v>68</v>
      </c>
      <c r="L341" s="536" t="s">
        <v>445</v>
      </c>
      <c r="M341" s="536"/>
      <c r="N341" s="476" t="s">
        <v>135</v>
      </c>
      <c r="O341" s="477"/>
      <c r="P341" s="477"/>
      <c r="Q341" s="477">
        <v>176.82</v>
      </c>
      <c r="R341" s="478">
        <v>186.23</v>
      </c>
      <c r="S341" s="459">
        <v>188.7381</v>
      </c>
      <c r="T341" s="490">
        <v>190.4</v>
      </c>
      <c r="U341" s="479"/>
      <c r="V341" s="480">
        <v>300</v>
      </c>
      <c r="W341" s="481"/>
      <c r="X341" s="493" t="s">
        <v>251</v>
      </c>
      <c r="Y341" s="483" t="s">
        <v>108</v>
      </c>
      <c r="Z341" s="484" t="s">
        <v>1000</v>
      </c>
      <c r="AA341" s="480" t="s">
        <v>59</v>
      </c>
      <c r="AB341" s="474"/>
      <c r="AC341" s="471"/>
      <c r="AD341" s="471"/>
      <c r="AE341" s="471"/>
      <c r="AF341" s="471"/>
      <c r="AG341" s="471"/>
      <c r="AH341" s="494" t="s">
        <v>59</v>
      </c>
      <c r="AI341" s="467"/>
      <c r="AJ341" s="467"/>
      <c r="AK341" s="467"/>
      <c r="AL341" s="467"/>
      <c r="AM341" s="467"/>
      <c r="AN341" s="467"/>
      <c r="AO341" s="467"/>
      <c r="AP341" s="467"/>
      <c r="AQ341" s="467"/>
      <c r="AR341" s="467"/>
      <c r="AS341" s="467"/>
      <c r="AT341" s="467"/>
      <c r="AU341" s="467"/>
      <c r="AV341" s="467"/>
      <c r="AW341" s="467"/>
      <c r="AX341" s="467"/>
      <c r="AY341" s="486">
        <f>COUNTIF(AI341:AX341,"*OP*")</f>
        <v>0</v>
      </c>
      <c r="AZ341" s="485" t="s">
        <v>59</v>
      </c>
      <c r="BA341" s="471">
        <f>(COUNTIF(AI341:AK341,"*OK*")*3) + (COUNTIF(AL341:AN341,"*OK*")*2) + COUNTIF(AO341:AQ341,"*OK*")+COUNTIF(AZ341:AZ341,"SI")*0.5</f>
        <v>0</v>
      </c>
      <c r="BB341" s="471" t="str">
        <f>IF(BA341&lt;0.6,"Demasiado Riesgo",IF(BA341&lt;=5,"Riesgo Medio",IF(BA341&lt;=11,"Riesgo Bajo","Cliente Blindado")))</f>
        <v>Demasiado Riesgo</v>
      </c>
      <c r="BC341" s="471"/>
      <c r="BD341" s="471"/>
      <c r="BE341" s="471">
        <v>0</v>
      </c>
      <c r="BF341" s="471"/>
      <c r="BG341" s="471"/>
      <c r="BH341" s="471"/>
      <c r="BI341" s="471"/>
      <c r="BJ341" s="471"/>
      <c r="BK341" s="471"/>
      <c r="BL341" s="471"/>
      <c r="BM341" s="471"/>
      <c r="BN341" s="471"/>
      <c r="BO341" s="471"/>
      <c r="BP341" s="471"/>
      <c r="BQ341" s="471"/>
      <c r="BR341" s="471"/>
      <c r="BS341" s="471"/>
      <c r="BT341" s="471"/>
      <c r="BU341" s="471"/>
      <c r="BV341" s="471"/>
      <c r="BW341" s="471"/>
      <c r="BX341" s="471"/>
      <c r="BY341" s="471"/>
      <c r="BZ341" s="471"/>
      <c r="CA341" s="471">
        <f>COUNTIF(AI341:AW341,"*OK*")</f>
        <v>0</v>
      </c>
      <c r="CB341" s="471"/>
      <c r="CC341" s="471">
        <f>COUNTIF(AI341:AW341,"*OP*")</f>
        <v>0</v>
      </c>
    </row>
    <row r="342" spans="1:81" ht="15" customHeight="1">
      <c r="A342" s="449"/>
      <c r="B342" s="450"/>
      <c r="C342" s="451">
        <f>T342</f>
        <v>193.24</v>
      </c>
      <c r="D342" s="450">
        <f>COUNTIF(AI342:AW342,"*OK*")</f>
        <v>0</v>
      </c>
      <c r="E342" s="450"/>
      <c r="F342" s="453" t="s">
        <v>1001</v>
      </c>
      <c r="G342" s="453"/>
      <c r="H342" s="454" t="s">
        <v>451</v>
      </c>
      <c r="I342" s="454"/>
      <c r="J342" s="453" t="s">
        <v>1001</v>
      </c>
      <c r="K342" s="552" t="s">
        <v>68</v>
      </c>
      <c r="L342" s="536" t="s">
        <v>445</v>
      </c>
      <c r="M342" s="536"/>
      <c r="N342" s="456" t="s">
        <v>65</v>
      </c>
      <c r="O342" s="457">
        <v>140.02000000000001</v>
      </c>
      <c r="P342" s="457">
        <v>183.7</v>
      </c>
      <c r="Q342" s="457">
        <v>185.12</v>
      </c>
      <c r="R342" s="458">
        <v>186.29</v>
      </c>
      <c r="S342" s="459">
        <v>186.83160000000001</v>
      </c>
      <c r="T342" s="460">
        <v>193.24</v>
      </c>
      <c r="U342" s="461"/>
      <c r="V342" s="462">
        <v>150</v>
      </c>
      <c r="W342" s="463"/>
      <c r="X342" s="567" t="s">
        <v>70</v>
      </c>
      <c r="Y342" s="465" t="s">
        <v>139</v>
      </c>
      <c r="Z342" s="466" t="s">
        <v>1002</v>
      </c>
      <c r="AA342" s="462" t="s">
        <v>59</v>
      </c>
      <c r="AB342" s="454" t="s">
        <v>84</v>
      </c>
      <c r="AC342" s="450"/>
      <c r="AD342" s="450"/>
      <c r="AE342" s="450"/>
      <c r="AF342" s="450"/>
      <c r="AG342" s="450"/>
      <c r="AH342" s="496" t="s">
        <v>59</v>
      </c>
      <c r="AI342" s="467"/>
      <c r="AJ342" s="467"/>
      <c r="AK342" s="467"/>
      <c r="AL342" s="467"/>
      <c r="AM342" s="467"/>
      <c r="AN342" s="467"/>
      <c r="AO342" s="467"/>
      <c r="AP342" s="467"/>
      <c r="AQ342" s="467"/>
      <c r="AR342" s="467"/>
      <c r="AS342" s="467"/>
      <c r="AT342" s="467"/>
      <c r="AU342" s="467"/>
      <c r="AV342" s="467"/>
      <c r="AW342" s="467"/>
      <c r="AX342" s="467"/>
      <c r="AY342" s="486">
        <f>COUNTIF(AI342:AX342,"*OP*")</f>
        <v>0</v>
      </c>
      <c r="AZ342" s="499" t="s">
        <v>59</v>
      </c>
      <c r="BA342" s="450">
        <f>(COUNTIF(AI342:AK342,"*OK*")*3) + (COUNTIF(AL342:AN342,"*OK*")*2) + COUNTIF(AO342:AQ342,"*OK*")+COUNTIF(AZ342:AZ342,"SI")*0.5</f>
        <v>0</v>
      </c>
      <c r="BB342" s="450" t="str">
        <f>IF(BA342&lt;0.6,"Demasiado Riesgo",IF(BA342&lt;=5,"Riesgo Medio",IF(BA342&lt;=11,"Riesgo Bajo","Cliente Blindado")))</f>
        <v>Demasiado Riesgo</v>
      </c>
      <c r="BC342" s="450"/>
      <c r="BD342" s="450"/>
      <c r="BE342" s="450">
        <v>0</v>
      </c>
      <c r="BF342" s="450"/>
      <c r="BG342" s="450"/>
      <c r="BH342" s="450"/>
      <c r="BI342" s="450"/>
      <c r="BJ342" s="450"/>
      <c r="BK342" s="450"/>
      <c r="BL342" s="450"/>
      <c r="BM342" s="450"/>
      <c r="BN342" s="450"/>
      <c r="BO342" s="450"/>
      <c r="BP342" s="450"/>
      <c r="BQ342" s="450"/>
      <c r="BR342" s="450"/>
      <c r="BS342" s="450"/>
      <c r="BT342" s="450"/>
      <c r="BU342" s="450"/>
      <c r="BV342" s="450"/>
      <c r="BW342" s="450"/>
      <c r="BX342" s="450"/>
      <c r="BY342" s="450"/>
      <c r="BZ342" s="450"/>
      <c r="CA342" s="450">
        <f>COUNTIF(AI342:AW342,"*OK*")</f>
        <v>0</v>
      </c>
      <c r="CB342" s="450"/>
      <c r="CC342" s="450">
        <f>COUNTIF(AI342:AW342,"*OP*")</f>
        <v>0</v>
      </c>
    </row>
    <row r="343" spans="1:81" ht="15" customHeight="1">
      <c r="A343" s="449">
        <v>27131</v>
      </c>
      <c r="B343" s="450"/>
      <c r="C343" s="451">
        <f>T343</f>
        <v>195.5</v>
      </c>
      <c r="D343" s="450">
        <f>COUNTIF(AI343:AW343,"*OK*")</f>
        <v>0</v>
      </c>
      <c r="E343" s="450"/>
      <c r="F343" s="453" t="s">
        <v>1003</v>
      </c>
      <c r="G343" s="453"/>
      <c r="H343" s="454" t="s">
        <v>451</v>
      </c>
      <c r="I343" s="454"/>
      <c r="J343" s="453"/>
      <c r="K343" s="453" t="s">
        <v>68</v>
      </c>
      <c r="L343" s="536" t="s">
        <v>445</v>
      </c>
      <c r="M343" s="536"/>
      <c r="N343" s="456" t="s">
        <v>488</v>
      </c>
      <c r="O343" s="457">
        <v>216.51</v>
      </c>
      <c r="P343" s="457">
        <v>194.68</v>
      </c>
      <c r="Q343" s="457">
        <v>171.78</v>
      </c>
      <c r="R343" s="458">
        <v>173.76</v>
      </c>
      <c r="S343" s="459">
        <v>183.29089999999999</v>
      </c>
      <c r="T343" s="460">
        <v>195.5</v>
      </c>
      <c r="U343" s="461"/>
      <c r="V343" s="462">
        <v>200</v>
      </c>
      <c r="W343" s="463"/>
      <c r="X343" s="567" t="s">
        <v>70</v>
      </c>
      <c r="Y343" s="465" t="s">
        <v>89</v>
      </c>
      <c r="Z343" s="466" t="s">
        <v>1004</v>
      </c>
      <c r="AA343" s="462" t="s">
        <v>362</v>
      </c>
      <c r="AB343" s="454"/>
      <c r="AC343" s="450"/>
      <c r="AD343" s="450"/>
      <c r="AE343" s="450"/>
      <c r="AF343" s="450"/>
      <c r="AG343" s="450"/>
      <c r="AH343" s="496" t="s">
        <v>59</v>
      </c>
      <c r="AI343" s="467"/>
      <c r="AJ343" s="467"/>
      <c r="AK343" s="467"/>
      <c r="AL343" s="467"/>
      <c r="AM343" s="467"/>
      <c r="AN343" s="467"/>
      <c r="AO343" s="467"/>
      <c r="AP343" s="467"/>
      <c r="AQ343" s="467"/>
      <c r="AR343" s="467"/>
      <c r="AS343" s="467"/>
      <c r="AT343" s="467"/>
      <c r="AU343" s="467"/>
      <c r="AV343" s="467"/>
      <c r="AW343" s="467"/>
      <c r="AX343" s="467"/>
      <c r="AY343" s="486">
        <f>COUNTIF(AI343:AX343,"*OP*")</f>
        <v>0</v>
      </c>
      <c r="AZ343" s="499" t="s">
        <v>59</v>
      </c>
      <c r="BA343" s="450">
        <f>(COUNTIF(AI343:AK343,"*OK*")*3) + (COUNTIF(AL343:AN343,"*OK*")*2) + COUNTIF(AO343:AQ343,"*OK*")+COUNTIF(AZ343:AZ343,"SI")*0.5</f>
        <v>0</v>
      </c>
      <c r="BB343" s="450" t="str">
        <f>IF(BA343&lt;0.6,"Demasiado Riesgo",IF(BA343&lt;=5,"Riesgo Medio",IF(BA343&lt;=11,"Riesgo Bajo","Cliente Blindado")))</f>
        <v>Demasiado Riesgo</v>
      </c>
      <c r="BC343" s="450"/>
      <c r="BD343" s="450"/>
      <c r="BE343" s="450">
        <v>0</v>
      </c>
      <c r="BF343" s="450"/>
      <c r="BG343" s="450"/>
      <c r="BH343" s="450"/>
      <c r="BI343" s="450"/>
      <c r="BJ343" s="450"/>
      <c r="BK343" s="450"/>
      <c r="BL343" s="450"/>
      <c r="BM343" s="450"/>
      <c r="BN343" s="450"/>
      <c r="BO343" s="450"/>
      <c r="BP343" s="450"/>
      <c r="BQ343" s="450"/>
      <c r="BR343" s="450"/>
      <c r="BS343" s="450"/>
      <c r="BT343" s="450"/>
      <c r="BU343" s="450"/>
      <c r="BV343" s="450"/>
      <c r="BW343" s="450"/>
      <c r="BX343" s="450"/>
      <c r="BY343" s="450"/>
      <c r="BZ343" s="450"/>
      <c r="CA343" s="450">
        <f>COUNTIF(AI343:AW343,"*OK*")</f>
        <v>0</v>
      </c>
      <c r="CB343" s="450"/>
      <c r="CC343" s="450">
        <f>COUNTIF(AI343:AW343,"*OP*")</f>
        <v>0</v>
      </c>
    </row>
    <row r="344" spans="1:81" ht="15" customHeight="1">
      <c r="A344" s="470">
        <v>36821</v>
      </c>
      <c r="B344" s="471"/>
      <c r="C344" s="451">
        <f>T344</f>
        <v>196.98480000000001</v>
      </c>
      <c r="D344" s="471">
        <f>COUNTIF(AM344:AX344,"OK")</f>
        <v>0</v>
      </c>
      <c r="E344" s="471"/>
      <c r="F344" s="536" t="s">
        <v>1005</v>
      </c>
      <c r="G344" s="536" t="s">
        <v>59</v>
      </c>
      <c r="H344" s="474" t="s">
        <v>451</v>
      </c>
      <c r="I344" s="474"/>
      <c r="J344" s="536" t="s">
        <v>59</v>
      </c>
      <c r="K344" s="536" t="s">
        <v>59</v>
      </c>
      <c r="L344" s="536" t="s">
        <v>445</v>
      </c>
      <c r="M344" s="536"/>
      <c r="N344" s="484" t="s">
        <v>65</v>
      </c>
      <c r="O344" s="537">
        <v>172.61</v>
      </c>
      <c r="P344" s="537">
        <v>182.96</v>
      </c>
      <c r="Q344" s="537">
        <v>182.38</v>
      </c>
      <c r="R344" s="538">
        <v>179.98</v>
      </c>
      <c r="S344" s="539">
        <v>203.36170000000001</v>
      </c>
      <c r="T344" s="547">
        <v>196.98480000000001</v>
      </c>
      <c r="U344" s="479"/>
      <c r="V344" s="480" t="s">
        <v>59</v>
      </c>
      <c r="W344" s="471"/>
      <c r="X344" s="493"/>
      <c r="Y344" s="483"/>
      <c r="Z344" s="484"/>
      <c r="AA344" s="494" t="s">
        <v>59</v>
      </c>
      <c r="AB344" s="474"/>
      <c r="AC344" s="471"/>
      <c r="AD344" s="471"/>
      <c r="AE344" s="471"/>
      <c r="AF344" s="471"/>
      <c r="AG344" s="471"/>
      <c r="AH344" s="494" t="s">
        <v>59</v>
      </c>
      <c r="AI344" s="467"/>
      <c r="AJ344" s="467"/>
      <c r="AK344" s="467"/>
      <c r="AL344" s="467"/>
      <c r="AM344" s="467"/>
      <c r="AN344" s="467"/>
      <c r="AO344" s="467"/>
      <c r="AP344" s="467"/>
      <c r="AQ344" s="467"/>
      <c r="AR344" s="467"/>
      <c r="AS344" s="467"/>
      <c r="AT344" s="467"/>
      <c r="AU344" s="467"/>
      <c r="AV344" s="467"/>
      <c r="AW344" s="467"/>
      <c r="AX344" s="467"/>
      <c r="AY344" s="486">
        <f>COUNTIF(AI344:AX344,"*OP*")</f>
        <v>0</v>
      </c>
      <c r="AZ344" s="485" t="s">
        <v>59</v>
      </c>
      <c r="BA344" s="471">
        <f>(COUNTIF(AI344:AK344,"*OK*")*3) + (COUNTIF(AL344:AN344,"*OK*")*2) + COUNTIF(AO344:AQ344,"*OK*")+COUNTIF(AZ344:AZ344,"SI")*0.5</f>
        <v>0</v>
      </c>
      <c r="BB344" s="471" t="str">
        <f>IF(BA344&lt;0.6,"Demasiado Riesgo",IF(BA344&lt;=5,"Riesgo Medio",IF(BA344&lt;=11,"Riesgo Bajo","Cliente Blindado")))</f>
        <v>Demasiado Riesgo</v>
      </c>
      <c r="BC344" s="471"/>
      <c r="BD344" s="471"/>
      <c r="BE344" s="471">
        <v>0</v>
      </c>
      <c r="BF344" s="471"/>
      <c r="BG344" s="471"/>
      <c r="BH344" s="471"/>
      <c r="BI344" s="471"/>
      <c r="BJ344" s="471"/>
      <c r="BK344" s="471"/>
      <c r="BL344" s="471"/>
      <c r="BM344" s="471"/>
      <c r="BN344" s="471"/>
      <c r="BO344" s="471"/>
      <c r="BP344" s="471"/>
      <c r="BQ344" s="471"/>
      <c r="BR344" s="471"/>
      <c r="BS344" s="471"/>
      <c r="BT344" s="471"/>
      <c r="BU344" s="471"/>
      <c r="BV344" s="471"/>
      <c r="BW344" s="471"/>
      <c r="BX344" s="471"/>
      <c r="BY344" s="471"/>
      <c r="BZ344" s="471"/>
      <c r="CA344" s="471">
        <f>COUNTIF(AI344:AW344,"*OK*")</f>
        <v>0</v>
      </c>
      <c r="CB344" s="471"/>
      <c r="CC344" s="471">
        <f>COUNTIF(AI344:AW344,"*OP*")</f>
        <v>0</v>
      </c>
    </row>
    <row r="345" spans="1:81" ht="15" customHeight="1">
      <c r="A345" s="470"/>
      <c r="B345" s="471"/>
      <c r="C345" s="451">
        <f>T345</f>
        <v>217.76</v>
      </c>
      <c r="D345" s="471">
        <f>COUNTIF(AM345:AX345,"OK")</f>
        <v>0</v>
      </c>
      <c r="E345" s="471"/>
      <c r="F345" s="471" t="s">
        <v>1006</v>
      </c>
      <c r="G345" s="471"/>
      <c r="H345" s="454" t="s">
        <v>451</v>
      </c>
      <c r="I345" s="474"/>
      <c r="J345" s="471"/>
      <c r="K345" s="491" t="s">
        <v>68</v>
      </c>
      <c r="L345" s="536" t="s">
        <v>445</v>
      </c>
      <c r="M345" s="536"/>
      <c r="N345" s="484"/>
      <c r="O345" s="457"/>
      <c r="P345" s="457"/>
      <c r="Q345" s="457"/>
      <c r="R345" s="458"/>
      <c r="S345" s="459">
        <v>259.03390000000002</v>
      </c>
      <c r="T345" s="498">
        <v>217.76</v>
      </c>
      <c r="U345" s="479"/>
      <c r="V345" s="480" t="s">
        <v>59</v>
      </c>
      <c r="W345" s="471"/>
      <c r="X345" s="493"/>
      <c r="Y345" s="483"/>
      <c r="Z345" s="484"/>
      <c r="AA345" s="494" t="s">
        <v>59</v>
      </c>
      <c r="AB345" s="474"/>
      <c r="AC345" s="471"/>
      <c r="AD345" s="471"/>
      <c r="AE345" s="471"/>
      <c r="AF345" s="471"/>
      <c r="AG345" s="471"/>
      <c r="AH345" s="494"/>
      <c r="AI345" s="467"/>
      <c r="AJ345" s="467"/>
      <c r="AK345" s="467"/>
      <c r="AL345" s="467"/>
      <c r="AM345" s="467"/>
      <c r="AN345" s="467"/>
      <c r="AO345" s="467"/>
      <c r="AP345" s="467"/>
      <c r="AQ345" s="467"/>
      <c r="AR345" s="467"/>
      <c r="AS345" s="467"/>
      <c r="AT345" s="467"/>
      <c r="AU345" s="467"/>
      <c r="AV345" s="467"/>
      <c r="AW345" s="467"/>
      <c r="AX345" s="467"/>
      <c r="AY345" s="486">
        <f>COUNTIF(AI345:AX345,"*OP*")</f>
        <v>0</v>
      </c>
      <c r="AZ345" s="485" t="s">
        <v>59</v>
      </c>
      <c r="BA345" s="471">
        <f>(COUNTIF(AI345:AK345,"*OK*")*3) + (COUNTIF(AL345:AN345,"*OK*")*2) + COUNTIF(AO345:AQ345,"*OK*")+COUNTIF(AZ345:AZ345,"SI")*0.5</f>
        <v>0</v>
      </c>
      <c r="BB345" s="471" t="str">
        <f>IF(BA345&lt;0.6,"Demasiado Riesgo",IF(BA345&lt;=5,"Riesgo Medio",IF(BA345&lt;=11,"Riesgo Bajo","Cliente Blindado")))</f>
        <v>Demasiado Riesgo</v>
      </c>
      <c r="BC345" s="471"/>
      <c r="BD345" s="471"/>
      <c r="BE345" s="471"/>
      <c r="BF345" s="471"/>
      <c r="BG345" s="471"/>
      <c r="BH345" s="471"/>
      <c r="BI345" s="471"/>
      <c r="BJ345" s="471"/>
      <c r="BK345" s="471"/>
      <c r="BL345" s="471"/>
      <c r="BM345" s="471"/>
      <c r="BN345" s="471"/>
      <c r="BO345" s="471"/>
      <c r="BP345" s="471"/>
      <c r="BQ345" s="471"/>
      <c r="BR345" s="471"/>
      <c r="BS345" s="471"/>
      <c r="BT345" s="471"/>
      <c r="BU345" s="471"/>
      <c r="BV345" s="471"/>
      <c r="BW345" s="471"/>
      <c r="BX345" s="471"/>
      <c r="BY345" s="471"/>
      <c r="BZ345" s="471"/>
      <c r="CA345" s="471">
        <f>COUNTIF(AI345:AW345,"*OK*")</f>
        <v>0</v>
      </c>
      <c r="CB345" s="471"/>
      <c r="CC345" s="471">
        <f>COUNTIF(AI345:AW345,"*OP*")</f>
        <v>0</v>
      </c>
    </row>
    <row r="346" spans="1:81" ht="15" customHeight="1">
      <c r="A346" s="449"/>
      <c r="B346" s="450"/>
      <c r="C346" s="451">
        <f>T346</f>
        <v>222.3</v>
      </c>
      <c r="D346" s="450">
        <f>COUNTIF(AI346:AW346,"*OK*")</f>
        <v>0</v>
      </c>
      <c r="E346" s="450"/>
      <c r="F346" s="453" t="s">
        <v>1007</v>
      </c>
      <c r="G346" s="453"/>
      <c r="H346" s="454" t="s">
        <v>451</v>
      </c>
      <c r="I346" s="454"/>
      <c r="J346" s="453"/>
      <c r="K346" s="453" t="s">
        <v>68</v>
      </c>
      <c r="L346" s="536" t="s">
        <v>445</v>
      </c>
      <c r="M346" s="536"/>
      <c r="N346" s="456" t="s">
        <v>65</v>
      </c>
      <c r="O346" s="457">
        <v>185.26</v>
      </c>
      <c r="P346" s="457">
        <v>185.09</v>
      </c>
      <c r="Q346" s="457">
        <v>192.42</v>
      </c>
      <c r="R346" s="458">
        <v>208.54</v>
      </c>
      <c r="S346" s="459">
        <v>224.76929999999999</v>
      </c>
      <c r="T346" s="487">
        <v>222.3</v>
      </c>
      <c r="U346" s="461"/>
      <c r="V346" s="462">
        <v>100</v>
      </c>
      <c r="W346" s="463"/>
      <c r="X346" s="567" t="s">
        <v>70</v>
      </c>
      <c r="Y346" s="465" t="s">
        <v>150</v>
      </c>
      <c r="Z346" s="466" t="s">
        <v>1008</v>
      </c>
      <c r="AA346" s="462" t="s">
        <v>59</v>
      </c>
      <c r="AB346" s="454"/>
      <c r="AC346" s="450"/>
      <c r="AD346" s="450"/>
      <c r="AE346" s="450"/>
      <c r="AF346" s="450"/>
      <c r="AG346" s="450"/>
      <c r="AH346" s="496" t="s">
        <v>59</v>
      </c>
      <c r="AI346" s="467"/>
      <c r="AJ346" s="467"/>
      <c r="AK346" s="467"/>
      <c r="AL346" s="467"/>
      <c r="AM346" s="467"/>
      <c r="AN346" s="467"/>
      <c r="AO346" s="467"/>
      <c r="AP346" s="467"/>
      <c r="AQ346" s="467"/>
      <c r="AR346" s="467"/>
      <c r="AS346" s="467"/>
      <c r="AT346" s="467"/>
      <c r="AU346" s="467"/>
      <c r="AV346" s="467"/>
      <c r="AW346" s="467"/>
      <c r="AX346" s="467"/>
      <c r="AY346" s="486">
        <f>COUNTIF(AI346:AX346,"*OP*")</f>
        <v>0</v>
      </c>
      <c r="AZ346" s="499" t="s">
        <v>59</v>
      </c>
      <c r="BA346" s="450">
        <f>(COUNTIF(AI346:AK346,"*OK*")*3) + (COUNTIF(AL346:AN346,"*OK*")*2) + COUNTIF(AO346:AQ346,"*OK*")+COUNTIF(AZ346:AZ346,"SI")*0.5</f>
        <v>0</v>
      </c>
      <c r="BB346" s="450" t="str">
        <f>IF(BA346&lt;0.6,"Demasiado Riesgo",IF(BA346&lt;=5,"Riesgo Medio",IF(BA346&lt;=11,"Riesgo Bajo","Cliente Blindado")))</f>
        <v>Demasiado Riesgo</v>
      </c>
      <c r="BC346" s="450"/>
      <c r="BD346" s="450"/>
      <c r="BE346" s="450">
        <v>0</v>
      </c>
      <c r="BF346" s="450"/>
      <c r="BG346" s="450"/>
      <c r="BH346" s="450"/>
      <c r="BI346" s="450"/>
      <c r="BJ346" s="450"/>
      <c r="BK346" s="450"/>
      <c r="BL346" s="450"/>
      <c r="BM346" s="450"/>
      <c r="BN346" s="450"/>
      <c r="BO346" s="450"/>
      <c r="BP346" s="450"/>
      <c r="BQ346" s="450"/>
      <c r="BR346" s="450"/>
      <c r="BS346" s="450"/>
      <c r="BT346" s="450"/>
      <c r="BU346" s="450"/>
      <c r="BV346" s="450"/>
      <c r="BW346" s="450"/>
      <c r="BX346" s="450"/>
      <c r="BY346" s="450"/>
      <c r="BZ346" s="450"/>
      <c r="CA346" s="450">
        <f>COUNTIF(AI346:AW346,"*OK*")</f>
        <v>0</v>
      </c>
      <c r="CB346" s="450"/>
      <c r="CC346" s="450">
        <f>COUNTIF(AI346:AW346,"*OP*")</f>
        <v>0</v>
      </c>
    </row>
    <row r="347" spans="1:81" ht="15" customHeight="1">
      <c r="A347" s="449">
        <v>37083</v>
      </c>
      <c r="B347" s="450"/>
      <c r="C347" s="451">
        <f>T347</f>
        <v>222.84</v>
      </c>
      <c r="D347" s="450">
        <f>COUNTIF(AI347:AW347,"*OK*")</f>
        <v>0</v>
      </c>
      <c r="E347" s="450"/>
      <c r="F347" s="453" t="s">
        <v>1009</v>
      </c>
      <c r="G347" s="453"/>
      <c r="H347" s="454" t="s">
        <v>451</v>
      </c>
      <c r="I347" s="454"/>
      <c r="J347" s="453"/>
      <c r="K347" s="455" t="s">
        <v>68</v>
      </c>
      <c r="L347" s="536" t="s">
        <v>445</v>
      </c>
      <c r="M347" s="536"/>
      <c r="N347" s="456" t="s">
        <v>156</v>
      </c>
      <c r="O347" s="457"/>
      <c r="P347" s="457"/>
      <c r="Q347" s="457">
        <v>215.38</v>
      </c>
      <c r="R347" s="458">
        <v>228.02</v>
      </c>
      <c r="S347" s="459">
        <v>254.19280000000001</v>
      </c>
      <c r="T347" s="469">
        <v>222.84</v>
      </c>
      <c r="U347" s="461"/>
      <c r="V347" s="462">
        <v>200</v>
      </c>
      <c r="W347" s="463"/>
      <c r="X347" s="567" t="s">
        <v>70</v>
      </c>
      <c r="Y347" s="465" t="s">
        <v>80</v>
      </c>
      <c r="Z347" s="466" t="s">
        <v>1010</v>
      </c>
      <c r="AA347" s="462" t="s">
        <v>59</v>
      </c>
      <c r="AB347" s="454"/>
      <c r="AC347" s="450"/>
      <c r="AD347" s="450"/>
      <c r="AE347" s="450"/>
      <c r="AF347" s="450"/>
      <c r="AG347" s="450"/>
      <c r="AH347" s="496" t="s">
        <v>59</v>
      </c>
      <c r="AI347" s="467"/>
      <c r="AJ347" s="467"/>
      <c r="AK347" s="467"/>
      <c r="AL347" s="467"/>
      <c r="AM347" s="467"/>
      <c r="AN347" s="467"/>
      <c r="AO347" s="467"/>
      <c r="AP347" s="467"/>
      <c r="AQ347" s="467"/>
      <c r="AR347" s="467"/>
      <c r="AS347" s="467"/>
      <c r="AT347" s="467"/>
      <c r="AU347" s="467"/>
      <c r="AV347" s="467"/>
      <c r="AW347" s="467"/>
      <c r="AX347" s="467"/>
      <c r="AY347" s="486">
        <f>COUNTIF(AI347:AX347,"*OP*")</f>
        <v>0</v>
      </c>
      <c r="AZ347" s="499" t="s">
        <v>59</v>
      </c>
      <c r="BA347" s="450">
        <f>(COUNTIF(AI347:AK347,"*OK*")*3) + (COUNTIF(AL347:AN347,"*OK*")*2) + COUNTIF(AO347:AQ347,"*OK*")+COUNTIF(AZ347:AZ347,"SI")*0.5</f>
        <v>0</v>
      </c>
      <c r="BB347" s="450" t="str">
        <f>IF(BA347&lt;0.6,"Demasiado Riesgo",IF(BA347&lt;=5,"Riesgo Medio",IF(BA347&lt;=11,"Riesgo Bajo","Cliente Blindado")))</f>
        <v>Demasiado Riesgo</v>
      </c>
      <c r="BC347" s="450"/>
      <c r="BD347" s="450"/>
      <c r="BE347" s="450">
        <v>0</v>
      </c>
      <c r="BF347" s="450"/>
      <c r="BG347" s="450"/>
      <c r="BH347" s="450"/>
      <c r="BI347" s="450"/>
      <c r="BJ347" s="450"/>
      <c r="BK347" s="450"/>
      <c r="BL347" s="450"/>
      <c r="BM347" s="450"/>
      <c r="BN347" s="450"/>
      <c r="BO347" s="450"/>
      <c r="BP347" s="450"/>
      <c r="BQ347" s="450"/>
      <c r="BR347" s="450"/>
      <c r="BS347" s="450"/>
      <c r="BT347" s="450"/>
      <c r="BU347" s="450"/>
      <c r="BV347" s="450"/>
      <c r="BW347" s="450"/>
      <c r="BX347" s="450"/>
      <c r="BY347" s="450"/>
      <c r="BZ347" s="450"/>
      <c r="CA347" s="450">
        <f>COUNTIF(AI347:AW347,"*OK*")</f>
        <v>0</v>
      </c>
      <c r="CB347" s="450"/>
      <c r="CC347" s="450">
        <f>COUNTIF(AI347:AW347,"*OP*")</f>
        <v>0</v>
      </c>
    </row>
    <row r="348" spans="1:81" ht="15" customHeight="1">
      <c r="A348" s="470">
        <v>36040</v>
      </c>
      <c r="B348" s="471"/>
      <c r="C348" s="451">
        <f>T348</f>
        <v>225.69</v>
      </c>
      <c r="D348" s="471">
        <f>COUNTIF(AI348:AW348,"*OK*")</f>
        <v>0</v>
      </c>
      <c r="E348" s="471"/>
      <c r="F348" s="473" t="s">
        <v>1011</v>
      </c>
      <c r="G348" s="473"/>
      <c r="H348" s="454" t="s">
        <v>451</v>
      </c>
      <c r="I348" s="474"/>
      <c r="J348" s="473"/>
      <c r="K348" s="475" t="s">
        <v>68</v>
      </c>
      <c r="L348" s="536" t="s">
        <v>445</v>
      </c>
      <c r="M348" s="536"/>
      <c r="N348" s="476" t="s">
        <v>65</v>
      </c>
      <c r="O348" s="477"/>
      <c r="P348" s="477">
        <v>283.95999999999998</v>
      </c>
      <c r="Q348" s="477">
        <v>204.34</v>
      </c>
      <c r="R348" s="478">
        <v>208.06</v>
      </c>
      <c r="S348" s="459">
        <v>213.75299999999999</v>
      </c>
      <c r="T348" s="490">
        <v>225.69</v>
      </c>
      <c r="U348" s="479"/>
      <c r="V348" s="480">
        <v>100</v>
      </c>
      <c r="W348" s="481"/>
      <c r="X348" s="572" t="s">
        <v>70</v>
      </c>
      <c r="Y348" s="483" t="s">
        <v>71</v>
      </c>
      <c r="Z348" s="484" t="s">
        <v>1012</v>
      </c>
      <c r="AA348" s="480" t="s">
        <v>59</v>
      </c>
      <c r="AB348" s="474"/>
      <c r="AC348" s="471"/>
      <c r="AD348" s="471"/>
      <c r="AE348" s="471"/>
      <c r="AF348" s="471"/>
      <c r="AG348" s="471"/>
      <c r="AH348" s="494" t="s">
        <v>59</v>
      </c>
      <c r="AI348" s="467"/>
      <c r="AJ348" s="467"/>
      <c r="AK348" s="467"/>
      <c r="AL348" s="467"/>
      <c r="AM348" s="467"/>
      <c r="AN348" s="467"/>
      <c r="AO348" s="467"/>
      <c r="AP348" s="467"/>
      <c r="AQ348" s="467"/>
      <c r="AR348" s="467"/>
      <c r="AS348" s="467"/>
      <c r="AT348" s="467"/>
      <c r="AU348" s="467"/>
      <c r="AV348" s="467"/>
      <c r="AW348" s="467"/>
      <c r="AX348" s="467"/>
      <c r="AY348" s="486">
        <f>COUNTIF(AI348:AX348,"*OP*")</f>
        <v>0</v>
      </c>
      <c r="AZ348" s="485" t="s">
        <v>59</v>
      </c>
      <c r="BA348" s="471">
        <f>(COUNTIF(AI348:AK348,"*OK*")*3) + (COUNTIF(AL348:AN348,"*OK*")*2) + COUNTIF(AO348:AQ348,"*OK*")+COUNTIF(AZ348:AZ348,"SI")*0.5</f>
        <v>0</v>
      </c>
      <c r="BB348" s="471" t="str">
        <f>IF(BA348&lt;0.6,"Demasiado Riesgo",IF(BA348&lt;=5,"Riesgo Medio",IF(BA348&lt;=11,"Riesgo Bajo","Cliente Blindado")))</f>
        <v>Demasiado Riesgo</v>
      </c>
      <c r="BC348" s="471"/>
      <c r="BD348" s="471"/>
      <c r="BE348" s="471">
        <v>0</v>
      </c>
      <c r="BF348" s="471"/>
      <c r="BG348" s="471"/>
      <c r="BH348" s="471"/>
      <c r="BI348" s="471"/>
      <c r="BJ348" s="471"/>
      <c r="BK348" s="471"/>
      <c r="BL348" s="471"/>
      <c r="BM348" s="471"/>
      <c r="BN348" s="471"/>
      <c r="BO348" s="471"/>
      <c r="BP348" s="471"/>
      <c r="BQ348" s="471"/>
      <c r="BR348" s="471"/>
      <c r="BS348" s="471"/>
      <c r="BT348" s="471"/>
      <c r="BU348" s="471"/>
      <c r="BV348" s="471"/>
      <c r="BW348" s="471"/>
      <c r="BX348" s="471"/>
      <c r="BY348" s="471"/>
      <c r="BZ348" s="471"/>
      <c r="CA348" s="471">
        <f>COUNTIF(AI348:AW348,"*OK*")</f>
        <v>0</v>
      </c>
      <c r="CB348" s="471"/>
      <c r="CC348" s="471">
        <f>COUNTIF(AI348:AW348,"*OP*")</f>
        <v>0</v>
      </c>
    </row>
    <row r="349" spans="1:81" ht="15" customHeight="1">
      <c r="A349" s="449"/>
      <c r="B349" s="450"/>
      <c r="C349" s="451">
        <f>T349</f>
        <v>237.12</v>
      </c>
      <c r="D349" s="450">
        <f>COUNTIF(AM349:AX349,"OK")</f>
        <v>0</v>
      </c>
      <c r="E349" s="450"/>
      <c r="F349" s="450" t="s">
        <v>1013</v>
      </c>
      <c r="G349" s="450"/>
      <c r="H349" s="454" t="s">
        <v>451</v>
      </c>
      <c r="I349" s="454"/>
      <c r="J349" s="450"/>
      <c r="K349" s="501" t="s">
        <v>68</v>
      </c>
      <c r="L349" s="536" t="s">
        <v>445</v>
      </c>
      <c r="M349" s="536"/>
      <c r="N349" s="466"/>
      <c r="O349" s="457"/>
      <c r="P349" s="457"/>
      <c r="Q349" s="457"/>
      <c r="R349" s="458"/>
      <c r="S349" s="459">
        <v>251.30420000000001</v>
      </c>
      <c r="T349" s="498">
        <v>237.12</v>
      </c>
      <c r="U349" s="461"/>
      <c r="V349" s="462" t="s">
        <v>59</v>
      </c>
      <c r="W349" s="450"/>
      <c r="X349" s="464"/>
      <c r="Y349" s="465"/>
      <c r="Z349" s="466"/>
      <c r="AA349" s="496" t="s">
        <v>59</v>
      </c>
      <c r="AB349" s="454"/>
      <c r="AC349" s="450"/>
      <c r="AD349" s="450"/>
      <c r="AE349" s="450"/>
      <c r="AF349" s="450"/>
      <c r="AG349" s="450"/>
      <c r="AH349" s="617"/>
      <c r="AI349" s="618"/>
      <c r="AJ349" s="618"/>
      <c r="AK349" s="618"/>
      <c r="AL349" s="618"/>
      <c r="AM349" s="618"/>
      <c r="AN349" s="618"/>
      <c r="AO349" s="618"/>
      <c r="AP349" s="618"/>
      <c r="AQ349" s="618"/>
      <c r="AR349" s="618"/>
      <c r="AS349" s="618"/>
      <c r="AT349" s="618"/>
      <c r="AU349" s="618"/>
      <c r="AV349" s="618"/>
      <c r="AW349" s="618"/>
      <c r="AX349" s="618"/>
      <c r="AY349" s="619">
        <f>COUNTIF(AI349:AX349,"*OP*")</f>
        <v>0</v>
      </c>
      <c r="AZ349" s="620"/>
      <c r="BA349" s="450">
        <f>(COUNTIF(AI349:AK349,"*OK*")*3) + (COUNTIF(AL349:AN349,"*OK*")*2) + COUNTIF(AO349:AQ349,"*OK*")+COUNTIF(AZ349:AZ349,"SI")*0.5</f>
        <v>0</v>
      </c>
      <c r="BB349" s="450" t="str">
        <f>IF(BA349&lt;0.6,"Demasiado Riesgo",IF(BA349&lt;=5,"Riesgo Medio",IF(BA349&lt;=11,"Riesgo Bajo","Cliente Blindado")))</f>
        <v>Demasiado Riesgo</v>
      </c>
      <c r="BC349" s="450"/>
      <c r="BD349" s="450"/>
      <c r="BE349" s="450"/>
      <c r="BF349" s="450"/>
      <c r="BG349" s="450"/>
      <c r="BH349" s="450"/>
      <c r="BI349" s="450"/>
      <c r="BJ349" s="450"/>
      <c r="BK349" s="450"/>
      <c r="BL349" s="450"/>
      <c r="BM349" s="450"/>
      <c r="BN349" s="450"/>
      <c r="BO349" s="450"/>
      <c r="BP349" s="450"/>
      <c r="BQ349" s="450"/>
      <c r="BR349" s="450"/>
      <c r="BS349" s="450"/>
      <c r="BT349" s="450"/>
      <c r="BU349" s="450"/>
      <c r="BV349" s="450"/>
      <c r="BW349" s="450"/>
      <c r="BX349" s="450"/>
      <c r="BY349" s="450"/>
      <c r="BZ349" s="450"/>
      <c r="CA349" s="450">
        <f>COUNTIF(AI349:AW349,"*OK*")</f>
        <v>0</v>
      </c>
      <c r="CB349" s="450"/>
      <c r="CC349" s="450"/>
    </row>
    <row r="350" spans="1:81" ht="15" customHeight="1">
      <c r="A350" s="470">
        <v>31187</v>
      </c>
      <c r="B350" s="471"/>
      <c r="C350" s="451">
        <f>T350</f>
        <v>241.71</v>
      </c>
      <c r="D350" s="471">
        <f>COUNTIF(AI350:AW350,"*OK*")</f>
        <v>0</v>
      </c>
      <c r="E350" s="471"/>
      <c r="F350" s="473" t="s">
        <v>1014</v>
      </c>
      <c r="G350" s="473"/>
      <c r="H350" s="454" t="s">
        <v>451</v>
      </c>
      <c r="I350" s="474"/>
      <c r="J350" s="473"/>
      <c r="K350" s="473" t="s">
        <v>68</v>
      </c>
      <c r="L350" s="536" t="s">
        <v>445</v>
      </c>
      <c r="M350" s="536"/>
      <c r="N350" s="476" t="s">
        <v>156</v>
      </c>
      <c r="O350" s="477">
        <v>212.9</v>
      </c>
      <c r="P350" s="477">
        <v>259.57</v>
      </c>
      <c r="Q350" s="477">
        <v>257.67</v>
      </c>
      <c r="R350" s="478">
        <v>276.61</v>
      </c>
      <c r="S350" s="459">
        <v>283.9212</v>
      </c>
      <c r="T350" s="469">
        <v>241.71</v>
      </c>
      <c r="U350" s="479"/>
      <c r="V350" s="480">
        <v>200</v>
      </c>
      <c r="W350" s="481"/>
      <c r="X350" s="572" t="s">
        <v>70</v>
      </c>
      <c r="Y350" s="483" t="s">
        <v>71</v>
      </c>
      <c r="Z350" s="484" t="s">
        <v>1015</v>
      </c>
      <c r="AA350" s="480" t="s">
        <v>59</v>
      </c>
      <c r="AB350" s="474"/>
      <c r="AC350" s="471"/>
      <c r="AD350" s="471"/>
      <c r="AE350" s="471"/>
      <c r="AF350" s="471"/>
      <c r="AG350" s="471"/>
      <c r="AH350" s="494" t="s">
        <v>59</v>
      </c>
      <c r="AI350" s="467"/>
      <c r="AJ350" s="467"/>
      <c r="AK350" s="467"/>
      <c r="AL350" s="467"/>
      <c r="AM350" s="467"/>
      <c r="AN350" s="467"/>
      <c r="AO350" s="467"/>
      <c r="AP350" s="467"/>
      <c r="AQ350" s="467"/>
      <c r="AR350" s="467"/>
      <c r="AS350" s="467"/>
      <c r="AT350" s="467"/>
      <c r="AU350" s="467"/>
      <c r="AV350" s="467"/>
      <c r="AW350" s="467"/>
      <c r="AX350" s="467"/>
      <c r="AY350" s="486">
        <f>COUNTIF(AI350:AX350,"*OP*")</f>
        <v>0</v>
      </c>
      <c r="AZ350" s="485" t="s">
        <v>59</v>
      </c>
      <c r="BA350" s="471">
        <f>(COUNTIF(AI350:AK350,"*OK*")*3) + (COUNTIF(AL350:AN350,"*OK*")*2) + COUNTIF(AO350:AQ350,"*OK*")+COUNTIF(AZ350:AZ350,"SI")*0.5</f>
        <v>0</v>
      </c>
      <c r="BB350" s="471" t="str">
        <f>IF(BA350&lt;0.6,"Demasiado Riesgo",IF(BA350&lt;=5,"Riesgo Medio",IF(BA350&lt;=11,"Riesgo Bajo","Cliente Blindado")))</f>
        <v>Demasiado Riesgo</v>
      </c>
      <c r="BC350" s="471"/>
      <c r="BD350" s="471"/>
      <c r="BE350" s="471">
        <v>0</v>
      </c>
      <c r="BF350" s="471"/>
      <c r="BG350" s="471"/>
      <c r="BH350" s="471"/>
      <c r="BI350" s="471"/>
      <c r="BJ350" s="471"/>
      <c r="BK350" s="471"/>
      <c r="BL350" s="471"/>
      <c r="BM350" s="471"/>
      <c r="BN350" s="471"/>
      <c r="BO350" s="471"/>
      <c r="BP350" s="471"/>
      <c r="BQ350" s="471"/>
      <c r="BR350" s="471"/>
      <c r="BS350" s="471"/>
      <c r="BT350" s="471"/>
      <c r="BU350" s="471"/>
      <c r="BV350" s="471"/>
      <c r="BW350" s="471"/>
      <c r="BX350" s="471"/>
      <c r="BY350" s="471"/>
      <c r="BZ350" s="471"/>
      <c r="CA350" s="471">
        <f>COUNTIF(AI350:AW350,"*OK*")</f>
        <v>0</v>
      </c>
      <c r="CB350" s="471"/>
      <c r="CC350" s="471">
        <f>COUNTIF(AI350:AW350,"*OP*")</f>
        <v>0</v>
      </c>
    </row>
    <row r="351" spans="1:81" ht="15" customHeight="1">
      <c r="A351" s="470">
        <v>34072</v>
      </c>
      <c r="B351" s="471"/>
      <c r="C351" s="451">
        <f>T351</f>
        <v>248.55</v>
      </c>
      <c r="D351" s="471">
        <f>COUNTIF(AI351:AW351,"*OK*")</f>
        <v>0</v>
      </c>
      <c r="E351" s="471"/>
      <c r="F351" s="473" t="s">
        <v>1016</v>
      </c>
      <c r="G351" s="473"/>
      <c r="H351" s="454" t="s">
        <v>451</v>
      </c>
      <c r="I351" s="474"/>
      <c r="J351" s="473"/>
      <c r="K351" s="473" t="s">
        <v>68</v>
      </c>
      <c r="L351" s="536" t="s">
        <v>445</v>
      </c>
      <c r="M351" s="536"/>
      <c r="N351" s="476" t="s">
        <v>237</v>
      </c>
      <c r="O351" s="477">
        <v>223.32</v>
      </c>
      <c r="P351" s="477">
        <v>182.55</v>
      </c>
      <c r="Q351" s="477">
        <v>179.49</v>
      </c>
      <c r="R351" s="478">
        <v>199.51</v>
      </c>
      <c r="S351" s="459">
        <v>245.52709999999999</v>
      </c>
      <c r="T351" s="460">
        <v>248.55</v>
      </c>
      <c r="U351" s="479"/>
      <c r="V351" s="480">
        <v>200</v>
      </c>
      <c r="W351" s="481"/>
      <c r="X351" s="482" t="s">
        <v>70</v>
      </c>
      <c r="Y351" s="483" t="s">
        <v>161</v>
      </c>
      <c r="Z351" s="484" t="s">
        <v>1017</v>
      </c>
      <c r="AA351" s="480" t="s">
        <v>59</v>
      </c>
      <c r="AB351" s="474"/>
      <c r="AC351" s="471"/>
      <c r="AD351" s="471"/>
      <c r="AE351" s="471"/>
      <c r="AF351" s="471"/>
      <c r="AG351" s="471"/>
      <c r="AH351" s="494" t="s">
        <v>59</v>
      </c>
      <c r="AI351" s="467"/>
      <c r="AJ351" s="467"/>
      <c r="AK351" s="467"/>
      <c r="AL351" s="467"/>
      <c r="AM351" s="467"/>
      <c r="AN351" s="467"/>
      <c r="AO351" s="467"/>
      <c r="AP351" s="467"/>
      <c r="AQ351" s="467"/>
      <c r="AR351" s="467"/>
      <c r="AS351" s="467"/>
      <c r="AT351" s="467"/>
      <c r="AU351" s="467"/>
      <c r="AV351" s="467"/>
      <c r="AW351" s="467"/>
      <c r="AX351" s="467"/>
      <c r="AY351" s="486">
        <f>COUNTIF(AI351:AX351,"*OP*")</f>
        <v>0</v>
      </c>
      <c r="AZ351" s="485" t="s">
        <v>127</v>
      </c>
      <c r="BA351" s="471">
        <f>(COUNTIF(AI351:AK351,"*OK*")*3) + (COUNTIF(AL351:AN351,"*OK*")*2) + COUNTIF(AO351:AQ351,"*OK*")+COUNTIF(AZ351:AZ351,"SI")*0.5</f>
        <v>0.5</v>
      </c>
      <c r="BB351" s="471" t="str">
        <f>IF(BA351&lt;0.6,"Demasiado Riesgo",IF(BA351&lt;=5,"Riesgo Medio",IF(BA351&lt;=11,"Riesgo Bajo","Cliente Blindado")))</f>
        <v>Demasiado Riesgo</v>
      </c>
      <c r="BC351" s="471"/>
      <c r="BD351" s="471"/>
      <c r="BE351" s="471">
        <v>0</v>
      </c>
      <c r="BF351" s="471"/>
      <c r="BG351" s="471"/>
      <c r="BH351" s="471"/>
      <c r="BI351" s="471"/>
      <c r="BJ351" s="471"/>
      <c r="BK351" s="471"/>
      <c r="BL351" s="471"/>
      <c r="BM351" s="471"/>
      <c r="BN351" s="471"/>
      <c r="BO351" s="471"/>
      <c r="BP351" s="471"/>
      <c r="BQ351" s="471"/>
      <c r="BR351" s="471"/>
      <c r="BS351" s="471"/>
      <c r="BT351" s="471"/>
      <c r="BU351" s="471"/>
      <c r="BV351" s="471"/>
      <c r="BW351" s="471"/>
      <c r="BX351" s="471"/>
      <c r="BY351" s="471"/>
      <c r="BZ351" s="471"/>
      <c r="CA351" s="471">
        <f>COUNTIF(AI351:AW351,"*OK*")</f>
        <v>0</v>
      </c>
      <c r="CB351" s="471"/>
      <c r="CC351" s="471">
        <f>COUNTIF(AI351:AW351,"*OP*")</f>
        <v>0</v>
      </c>
    </row>
    <row r="352" spans="1:81" ht="15" customHeight="1">
      <c r="A352" s="449">
        <v>32544</v>
      </c>
      <c r="B352" s="450"/>
      <c r="C352" s="451">
        <f>T352</f>
        <v>257.7</v>
      </c>
      <c r="D352" s="450">
        <f>COUNTIF(AI352:AW352,"*OK*")</f>
        <v>0</v>
      </c>
      <c r="E352" s="450"/>
      <c r="F352" s="453" t="s">
        <v>1018</v>
      </c>
      <c r="G352" s="453"/>
      <c r="H352" s="454" t="s">
        <v>451</v>
      </c>
      <c r="I352" s="454"/>
      <c r="J352" s="453"/>
      <c r="K352" s="453" t="s">
        <v>68</v>
      </c>
      <c r="L352" s="536" t="s">
        <v>445</v>
      </c>
      <c r="M352" s="536"/>
      <c r="N352" s="456" t="s">
        <v>500</v>
      </c>
      <c r="O352" s="457">
        <v>246.57</v>
      </c>
      <c r="P352" s="457">
        <v>255.35</v>
      </c>
      <c r="Q352" s="457">
        <v>251.94</v>
      </c>
      <c r="R352" s="458">
        <v>283.69</v>
      </c>
      <c r="S352" s="459">
        <v>260.55220000000003</v>
      </c>
      <c r="T352" s="469">
        <v>257.7</v>
      </c>
      <c r="U352" s="461"/>
      <c r="V352" s="462">
        <v>300</v>
      </c>
      <c r="W352" s="463"/>
      <c r="X352" s="567" t="s">
        <v>70</v>
      </c>
      <c r="Y352" s="465" t="s">
        <v>241</v>
      </c>
      <c r="Z352" s="466" t="s">
        <v>1019</v>
      </c>
      <c r="AA352" s="462" t="s">
        <v>241</v>
      </c>
      <c r="AB352" s="454"/>
      <c r="AC352" s="450"/>
      <c r="AD352" s="450"/>
      <c r="AE352" s="450"/>
      <c r="AF352" s="450"/>
      <c r="AG352" s="450"/>
      <c r="AH352" s="496" t="s">
        <v>59</v>
      </c>
      <c r="AI352" s="467"/>
      <c r="AJ352" s="467"/>
      <c r="AK352" s="467"/>
      <c r="AL352" s="467"/>
      <c r="AM352" s="467"/>
      <c r="AN352" s="467"/>
      <c r="AO352" s="467"/>
      <c r="AP352" s="467"/>
      <c r="AQ352" s="467"/>
      <c r="AR352" s="467"/>
      <c r="AS352" s="467"/>
      <c r="AT352" s="467"/>
      <c r="AU352" s="467"/>
      <c r="AV352" s="467"/>
      <c r="AW352" s="467"/>
      <c r="AX352" s="467"/>
      <c r="AY352" s="486">
        <f>COUNTIF(AI352:AX352,"*OP*")</f>
        <v>0</v>
      </c>
      <c r="AZ352" s="499" t="s">
        <v>59</v>
      </c>
      <c r="BA352" s="450">
        <f>(COUNTIF(AI352:AK352,"*OK*")*3) + (COUNTIF(AL352:AN352,"*OK*")*2) + COUNTIF(AO352:AQ352,"*OK*")+COUNTIF(AZ352:AZ352,"SI")*0.5</f>
        <v>0</v>
      </c>
      <c r="BB352" s="450" t="str">
        <f>IF(BA352&lt;0.6,"Demasiado Riesgo",IF(BA352&lt;=5,"Riesgo Medio",IF(BA352&lt;=11,"Riesgo Bajo","Cliente Blindado")))</f>
        <v>Demasiado Riesgo</v>
      </c>
      <c r="BC352" s="450"/>
      <c r="BD352" s="450"/>
      <c r="BE352" s="450">
        <v>0</v>
      </c>
      <c r="BF352" s="450"/>
      <c r="BG352" s="450"/>
      <c r="BH352" s="450"/>
      <c r="BI352" s="450"/>
      <c r="BJ352" s="450"/>
      <c r="BK352" s="450"/>
      <c r="BL352" s="450"/>
      <c r="BM352" s="450"/>
      <c r="BN352" s="450"/>
      <c r="BO352" s="450"/>
      <c r="BP352" s="450"/>
      <c r="BQ352" s="450"/>
      <c r="BR352" s="450"/>
      <c r="BS352" s="450"/>
      <c r="BT352" s="450"/>
      <c r="BU352" s="450"/>
      <c r="BV352" s="450"/>
      <c r="BW352" s="450"/>
      <c r="BX352" s="450"/>
      <c r="BY352" s="450"/>
      <c r="BZ352" s="450"/>
      <c r="CA352" s="450">
        <f>COUNTIF(AI352:AW352,"*OK*")</f>
        <v>0</v>
      </c>
      <c r="CB352" s="450"/>
      <c r="CC352" s="450">
        <f>COUNTIF(AI352:AW352,"*OP*")</f>
        <v>0</v>
      </c>
    </row>
    <row r="353" spans="1:81" ht="15" customHeight="1">
      <c r="A353" s="470"/>
      <c r="B353" s="471"/>
      <c r="C353" s="451">
        <f>T353</f>
        <v>261.3</v>
      </c>
      <c r="D353" s="471">
        <f>COUNTIF(AI353:AW353,"*OK*")</f>
        <v>0</v>
      </c>
      <c r="E353" s="471"/>
      <c r="F353" s="473" t="s">
        <v>1020</v>
      </c>
      <c r="G353" s="473"/>
      <c r="H353" s="454" t="s">
        <v>451</v>
      </c>
      <c r="I353" s="474"/>
      <c r="J353" s="473"/>
      <c r="K353" s="475" t="s">
        <v>68</v>
      </c>
      <c r="L353" s="536" t="s">
        <v>445</v>
      </c>
      <c r="M353" s="536"/>
      <c r="N353" s="476" t="s">
        <v>65</v>
      </c>
      <c r="O353" s="477">
        <v>237.12</v>
      </c>
      <c r="P353" s="477">
        <v>238.7</v>
      </c>
      <c r="Q353" s="477">
        <v>247.26</v>
      </c>
      <c r="R353" s="478">
        <v>238.68</v>
      </c>
      <c r="S353" s="459">
        <v>237.12</v>
      </c>
      <c r="T353" s="460">
        <v>261.3</v>
      </c>
      <c r="U353" s="479"/>
      <c r="V353" s="480">
        <v>200</v>
      </c>
      <c r="W353" s="481"/>
      <c r="X353" s="572" t="s">
        <v>70</v>
      </c>
      <c r="Y353" s="483" t="s">
        <v>139</v>
      </c>
      <c r="Z353" s="484" t="s">
        <v>1021</v>
      </c>
      <c r="AA353" s="480" t="s">
        <v>59</v>
      </c>
      <c r="AB353" s="474"/>
      <c r="AC353" s="471"/>
      <c r="AD353" s="471"/>
      <c r="AE353" s="471"/>
      <c r="AF353" s="471"/>
      <c r="AG353" s="471"/>
      <c r="AH353" s="494" t="s">
        <v>59</v>
      </c>
      <c r="AI353" s="467"/>
      <c r="AJ353" s="467"/>
      <c r="AK353" s="467"/>
      <c r="AL353" s="467"/>
      <c r="AM353" s="467"/>
      <c r="AN353" s="467"/>
      <c r="AO353" s="467"/>
      <c r="AP353" s="467"/>
      <c r="AQ353" s="467"/>
      <c r="AR353" s="467"/>
      <c r="AS353" s="467"/>
      <c r="AT353" s="467"/>
      <c r="AU353" s="467"/>
      <c r="AV353" s="467"/>
      <c r="AW353" s="467"/>
      <c r="AX353" s="467"/>
      <c r="AY353" s="486">
        <f>COUNTIF(AI353:AX353,"*OP*")</f>
        <v>0</v>
      </c>
      <c r="AZ353" s="485" t="s">
        <v>59</v>
      </c>
      <c r="BA353" s="471">
        <f>(COUNTIF(AI353:AK353,"*OK*")*3) + (COUNTIF(AL353:AN353,"*OK*")*2) + COUNTIF(AO353:AQ353,"*OK*")+COUNTIF(AZ353:AZ353,"SI")*0.5</f>
        <v>0</v>
      </c>
      <c r="BB353" s="471" t="str">
        <f>IF(BA353&lt;0.6,"Demasiado Riesgo",IF(BA353&lt;=5,"Riesgo Medio",IF(BA353&lt;=11,"Riesgo Bajo","Cliente Blindado")))</f>
        <v>Demasiado Riesgo</v>
      </c>
      <c r="BC353" s="471"/>
      <c r="BD353" s="471"/>
      <c r="BE353" s="471">
        <v>0</v>
      </c>
      <c r="BF353" s="471"/>
      <c r="BG353" s="471"/>
      <c r="BH353" s="471"/>
      <c r="BI353" s="471"/>
      <c r="BJ353" s="471"/>
      <c r="BK353" s="471"/>
      <c r="BL353" s="471"/>
      <c r="BM353" s="471"/>
      <c r="BN353" s="471"/>
      <c r="BO353" s="471"/>
      <c r="BP353" s="471"/>
      <c r="BQ353" s="471"/>
      <c r="BR353" s="471"/>
      <c r="BS353" s="471"/>
      <c r="BT353" s="471"/>
      <c r="BU353" s="471"/>
      <c r="BV353" s="471"/>
      <c r="BW353" s="471"/>
      <c r="BX353" s="471"/>
      <c r="BY353" s="471"/>
      <c r="BZ353" s="471"/>
      <c r="CA353" s="471">
        <f>COUNTIF(AI353:AW353,"*OK*")</f>
        <v>0</v>
      </c>
      <c r="CB353" s="471"/>
      <c r="CC353" s="471">
        <f>COUNTIF(AI353:AW353,"*OP*")</f>
        <v>0</v>
      </c>
    </row>
    <row r="354" spans="1:81" ht="15" customHeight="1">
      <c r="A354" s="449">
        <v>32765</v>
      </c>
      <c r="B354" s="450"/>
      <c r="C354" s="451">
        <f>T354</f>
        <v>266.58</v>
      </c>
      <c r="D354" s="450">
        <f>COUNTIF(AI354:AW354,"*OK*")</f>
        <v>0</v>
      </c>
      <c r="E354" s="450"/>
      <c r="F354" s="453" t="s">
        <v>1022</v>
      </c>
      <c r="G354" s="453"/>
      <c r="H354" s="454" t="s">
        <v>451</v>
      </c>
      <c r="I354" s="454"/>
      <c r="J354" s="453"/>
      <c r="K354" s="453" t="s">
        <v>68</v>
      </c>
      <c r="L354" s="536" t="s">
        <v>445</v>
      </c>
      <c r="M354" s="536"/>
      <c r="N354" s="466" t="s">
        <v>237</v>
      </c>
      <c r="O354" s="457">
        <v>96.22</v>
      </c>
      <c r="P354" s="457">
        <v>75.099999999999994</v>
      </c>
      <c r="Q354" s="457">
        <v>65.849999999999994</v>
      </c>
      <c r="R354" s="458">
        <v>141.84</v>
      </c>
      <c r="S354" s="459">
        <v>239.5882</v>
      </c>
      <c r="T354" s="490">
        <v>266.58</v>
      </c>
      <c r="U354" s="461"/>
      <c r="V354" s="462">
        <v>100</v>
      </c>
      <c r="W354" s="463"/>
      <c r="X354" s="567" t="s">
        <v>70</v>
      </c>
      <c r="Y354" s="465" t="s">
        <v>161</v>
      </c>
      <c r="Z354" s="466" t="s">
        <v>1023</v>
      </c>
      <c r="AA354" s="462" t="s">
        <v>161</v>
      </c>
      <c r="AB354" s="454"/>
      <c r="AC354" s="450"/>
      <c r="AD354" s="450"/>
      <c r="AE354" s="450"/>
      <c r="AF354" s="450"/>
      <c r="AG354" s="450"/>
      <c r="AH354" s="496" t="s">
        <v>59</v>
      </c>
      <c r="AI354" s="467"/>
      <c r="AJ354" s="467"/>
      <c r="AK354" s="467"/>
      <c r="AL354" s="467"/>
      <c r="AM354" s="467"/>
      <c r="AN354" s="467"/>
      <c r="AO354" s="467"/>
      <c r="AP354" s="467"/>
      <c r="AQ354" s="467"/>
      <c r="AR354" s="467"/>
      <c r="AS354" s="467"/>
      <c r="AT354" s="467"/>
      <c r="AU354" s="467"/>
      <c r="AV354" s="467"/>
      <c r="AW354" s="467"/>
      <c r="AX354" s="467"/>
      <c r="AY354" s="486">
        <f>COUNTIF(AI354:AX354,"*OP*")</f>
        <v>0</v>
      </c>
      <c r="AZ354" s="499" t="s">
        <v>59</v>
      </c>
      <c r="BA354" s="450">
        <f>(COUNTIF(AI354:AK354,"*OK*")*3) + (COUNTIF(AL354:AN354,"*OK*")*2) + COUNTIF(AO354:AQ354,"*OK*")+COUNTIF(AZ354:AZ354,"SI")*0.5</f>
        <v>0</v>
      </c>
      <c r="BB354" s="450" t="str">
        <f>IF(BA354&lt;0.6,"Demasiado Riesgo",IF(BA354&lt;=5,"Riesgo Medio",IF(BA354&lt;=11,"Riesgo Bajo","Cliente Blindado")))</f>
        <v>Demasiado Riesgo</v>
      </c>
      <c r="BC354" s="450"/>
      <c r="BD354" s="450"/>
      <c r="BE354" s="450">
        <v>0</v>
      </c>
      <c r="BF354" s="450"/>
      <c r="BG354" s="450"/>
      <c r="BH354" s="450"/>
      <c r="BI354" s="450"/>
      <c r="BJ354" s="450"/>
      <c r="BK354" s="450"/>
      <c r="BL354" s="450"/>
      <c r="BM354" s="450"/>
      <c r="BN354" s="450"/>
      <c r="BO354" s="450"/>
      <c r="BP354" s="450"/>
      <c r="BQ354" s="450"/>
      <c r="BR354" s="450"/>
      <c r="BS354" s="450"/>
      <c r="BT354" s="450"/>
      <c r="BU354" s="450"/>
      <c r="BV354" s="450"/>
      <c r="BW354" s="450"/>
      <c r="BX354" s="450"/>
      <c r="BY354" s="450"/>
      <c r="BZ354" s="450"/>
      <c r="CA354" s="450">
        <f>COUNTIF(AI354:AW354,"*OK*")</f>
        <v>0</v>
      </c>
      <c r="CB354" s="450"/>
      <c r="CC354" s="450">
        <f>COUNTIF(AI354:AW354,"*OP*")</f>
        <v>0</v>
      </c>
    </row>
    <row r="355" spans="1:81" ht="15" customHeight="1">
      <c r="A355" s="470"/>
      <c r="B355" s="471"/>
      <c r="C355" s="451">
        <f>T355</f>
        <v>269.79000000000002</v>
      </c>
      <c r="D355" s="471">
        <f>COUNTIF(AI355:AW355,"*OK*")</f>
        <v>0</v>
      </c>
      <c r="E355" s="471"/>
      <c r="F355" s="473" t="s">
        <v>1024</v>
      </c>
      <c r="G355" s="473"/>
      <c r="H355" s="454" t="s">
        <v>451</v>
      </c>
      <c r="I355" s="474"/>
      <c r="J355" s="473"/>
      <c r="K355" s="473" t="s">
        <v>68</v>
      </c>
      <c r="L355" s="536" t="s">
        <v>445</v>
      </c>
      <c r="M355" s="536"/>
      <c r="N355" s="476" t="s">
        <v>65</v>
      </c>
      <c r="O355" s="477">
        <v>160.09</v>
      </c>
      <c r="P355" s="477">
        <v>159.94</v>
      </c>
      <c r="Q355" s="477">
        <v>178.88</v>
      </c>
      <c r="R355" s="478">
        <v>183.34</v>
      </c>
      <c r="S355" s="459">
        <v>202.9348</v>
      </c>
      <c r="T355" s="490">
        <v>269.79000000000002</v>
      </c>
      <c r="U355" s="479"/>
      <c r="V355" s="480">
        <v>300</v>
      </c>
      <c r="W355" s="481"/>
      <c r="X355" s="482" t="s">
        <v>70</v>
      </c>
      <c r="Y355" s="483" t="s">
        <v>95</v>
      </c>
      <c r="Z355" s="484" t="s">
        <v>1025</v>
      </c>
      <c r="AA355" s="480" t="s">
        <v>59</v>
      </c>
      <c r="AB355" s="474"/>
      <c r="AC355" s="471"/>
      <c r="AD355" s="471"/>
      <c r="AE355" s="471"/>
      <c r="AF355" s="471"/>
      <c r="AG355" s="471"/>
      <c r="AH355" s="494" t="s">
        <v>59</v>
      </c>
      <c r="AI355" s="467"/>
      <c r="AJ355" s="467"/>
      <c r="AK355" s="467"/>
      <c r="AL355" s="467"/>
      <c r="AM355" s="467"/>
      <c r="AN355" s="467"/>
      <c r="AO355" s="467"/>
      <c r="AP355" s="467"/>
      <c r="AQ355" s="467"/>
      <c r="AR355" s="467"/>
      <c r="AS355" s="467"/>
      <c r="AT355" s="467"/>
      <c r="AU355" s="467"/>
      <c r="AV355" s="467"/>
      <c r="AW355" s="467"/>
      <c r="AX355" s="467"/>
      <c r="AY355" s="486">
        <f>COUNTIF(AI355:AX355,"*OP*")</f>
        <v>0</v>
      </c>
      <c r="AZ355" s="485" t="s">
        <v>59</v>
      </c>
      <c r="BA355" s="471">
        <f>(COUNTIF(AI355:AK355,"*OK*")*3) + (COUNTIF(AL355:AN355,"*OK*")*2) + COUNTIF(AO355:AQ355,"*OK*")+COUNTIF(AZ355:AZ355,"SI")*0.5</f>
        <v>0</v>
      </c>
      <c r="BB355" s="471" t="str">
        <f>IF(BA355&lt;0.6,"Demasiado Riesgo",IF(BA355&lt;=5,"Riesgo Medio",IF(BA355&lt;=11,"Riesgo Bajo","Cliente Blindado")))</f>
        <v>Demasiado Riesgo</v>
      </c>
      <c r="BC355" s="471"/>
      <c r="BD355" s="471"/>
      <c r="BE355" s="471">
        <v>0</v>
      </c>
      <c r="BF355" s="471"/>
      <c r="BG355" s="471"/>
      <c r="BH355" s="471"/>
      <c r="BI355" s="471"/>
      <c r="BJ355" s="471"/>
      <c r="BK355" s="471"/>
      <c r="BL355" s="471"/>
      <c r="BM355" s="471"/>
      <c r="BN355" s="471"/>
      <c r="BO355" s="471"/>
      <c r="BP355" s="471"/>
      <c r="BQ355" s="471"/>
      <c r="BR355" s="471"/>
      <c r="BS355" s="471"/>
      <c r="BT355" s="471"/>
      <c r="BU355" s="471"/>
      <c r="BV355" s="471"/>
      <c r="BW355" s="471"/>
      <c r="BX355" s="471"/>
      <c r="BY355" s="471"/>
      <c r="BZ355" s="471"/>
      <c r="CA355" s="471">
        <f>COUNTIF(AI355:AW355,"*OK*")</f>
        <v>0</v>
      </c>
      <c r="CB355" s="471"/>
      <c r="CC355" s="471">
        <f>COUNTIF(AI355:AW355,"*OP*")</f>
        <v>0</v>
      </c>
    </row>
    <row r="356" spans="1:81" ht="15" customHeight="1">
      <c r="A356" s="449">
        <v>35975</v>
      </c>
      <c r="B356" s="450"/>
      <c r="C356" s="451">
        <f>T356</f>
        <v>273.12</v>
      </c>
      <c r="D356" s="450">
        <f>COUNTIF(AI356:AW356,"*OK*")</f>
        <v>0</v>
      </c>
      <c r="E356" s="450"/>
      <c r="F356" s="453" t="s">
        <v>1026</v>
      </c>
      <c r="G356" s="453"/>
      <c r="H356" s="454" t="s">
        <v>451</v>
      </c>
      <c r="I356" s="454"/>
      <c r="J356" s="453"/>
      <c r="K356" s="455" t="s">
        <v>68</v>
      </c>
      <c r="L356" s="536" t="s">
        <v>445</v>
      </c>
      <c r="M356" s="536"/>
      <c r="N356" s="456" t="s">
        <v>65</v>
      </c>
      <c r="O356" s="457"/>
      <c r="P356" s="457">
        <v>272.37</v>
      </c>
      <c r="Q356" s="457">
        <v>270.61</v>
      </c>
      <c r="R356" s="458">
        <v>270.2</v>
      </c>
      <c r="S356" s="459">
        <v>278.45659999999998</v>
      </c>
      <c r="T356" s="487">
        <v>273.12</v>
      </c>
      <c r="U356" s="461"/>
      <c r="V356" s="462">
        <v>150</v>
      </c>
      <c r="W356" s="463"/>
      <c r="X356" s="562" t="s">
        <v>70</v>
      </c>
      <c r="Y356" s="465" t="s">
        <v>80</v>
      </c>
      <c r="Z356" s="466" t="s">
        <v>1027</v>
      </c>
      <c r="AA356" s="462" t="s">
        <v>59</v>
      </c>
      <c r="AB356" s="454"/>
      <c r="AC356" s="450"/>
      <c r="AD356" s="450"/>
      <c r="AE356" s="450"/>
      <c r="AF356" s="450"/>
      <c r="AG356" s="450"/>
      <c r="AH356" s="496" t="s">
        <v>59</v>
      </c>
      <c r="AI356" s="467"/>
      <c r="AJ356" s="467"/>
      <c r="AK356" s="467"/>
      <c r="AL356" s="467"/>
      <c r="AM356" s="467"/>
      <c r="AN356" s="467"/>
      <c r="AO356" s="467"/>
      <c r="AP356" s="467"/>
      <c r="AQ356" s="467"/>
      <c r="AR356" s="467"/>
      <c r="AS356" s="467"/>
      <c r="AT356" s="467"/>
      <c r="AU356" s="467"/>
      <c r="AV356" s="467"/>
      <c r="AW356" s="467"/>
      <c r="AX356" s="467"/>
      <c r="AY356" s="486">
        <f>COUNTIF(AI356:AX356,"*OP*")</f>
        <v>0</v>
      </c>
      <c r="AZ356" s="499" t="s">
        <v>59</v>
      </c>
      <c r="BA356" s="450">
        <f>(COUNTIF(AI356:AK356,"*OK*")*3) + (COUNTIF(AL356:AN356,"*OK*")*2) + COUNTIF(AO356:AQ356,"*OK*")+COUNTIF(AZ356:AZ356,"SI")*0.5</f>
        <v>0</v>
      </c>
      <c r="BB356" s="450" t="str">
        <f>IF(BA356&lt;0.6,"Demasiado Riesgo",IF(BA356&lt;=5,"Riesgo Medio",IF(BA356&lt;=11,"Riesgo Bajo","Cliente Blindado")))</f>
        <v>Demasiado Riesgo</v>
      </c>
      <c r="BC356" s="450"/>
      <c r="BD356" s="450"/>
      <c r="BE356" s="450">
        <v>0</v>
      </c>
      <c r="BF356" s="450"/>
      <c r="BG356" s="450"/>
      <c r="BH356" s="450"/>
      <c r="BI356" s="450"/>
      <c r="BJ356" s="450"/>
      <c r="BK356" s="450"/>
      <c r="BL356" s="450"/>
      <c r="BM356" s="450"/>
      <c r="BN356" s="450"/>
      <c r="BO356" s="450"/>
      <c r="BP356" s="450"/>
      <c r="BQ356" s="450"/>
      <c r="BR356" s="450"/>
      <c r="BS356" s="450"/>
      <c r="BT356" s="450"/>
      <c r="BU356" s="450"/>
      <c r="BV356" s="450"/>
      <c r="BW356" s="450"/>
      <c r="BX356" s="450"/>
      <c r="BY356" s="450"/>
      <c r="BZ356" s="450"/>
      <c r="CA356" s="450">
        <f>COUNTIF(AI356:AW356,"*OK*")</f>
        <v>0</v>
      </c>
      <c r="CB356" s="450"/>
      <c r="CC356" s="450">
        <f>COUNTIF(AI356:AW356,"*OP*")</f>
        <v>0</v>
      </c>
    </row>
    <row r="357" spans="1:81" ht="15" customHeight="1">
      <c r="A357" s="449"/>
      <c r="B357" s="450"/>
      <c r="C357" s="451">
        <f>T357</f>
        <v>278.83</v>
      </c>
      <c r="D357" s="450">
        <f>COUNTIF(AM357:AX357,"OK")</f>
        <v>0</v>
      </c>
      <c r="E357" s="450"/>
      <c r="F357" s="450" t="s">
        <v>1028</v>
      </c>
      <c r="G357" s="450"/>
      <c r="H357" s="454" t="s">
        <v>451</v>
      </c>
      <c r="I357" s="454"/>
      <c r="J357" s="450"/>
      <c r="K357" s="501" t="s">
        <v>68</v>
      </c>
      <c r="L357" s="536" t="s">
        <v>445</v>
      </c>
      <c r="M357" s="536"/>
      <c r="N357" s="466"/>
      <c r="O357" s="457"/>
      <c r="P357" s="457"/>
      <c r="Q357" s="457"/>
      <c r="R357" s="458">
        <v>262.21879999999999</v>
      </c>
      <c r="S357" s="459">
        <v>295.78789999999998</v>
      </c>
      <c r="T357" s="547">
        <v>278.83</v>
      </c>
      <c r="U357" s="461"/>
      <c r="V357" s="462" t="s">
        <v>59</v>
      </c>
      <c r="W357" s="450"/>
      <c r="X357" s="465"/>
      <c r="Y357" s="465"/>
      <c r="Z357" s="466"/>
      <c r="AA357" s="496" t="s">
        <v>59</v>
      </c>
      <c r="AB357" s="454"/>
      <c r="AC357" s="450"/>
      <c r="AD357" s="450"/>
      <c r="AE357" s="450"/>
      <c r="AF357" s="450"/>
      <c r="AG357" s="450"/>
      <c r="AH357" s="617"/>
      <c r="AI357" s="618"/>
      <c r="AJ357" s="618"/>
      <c r="AK357" s="618"/>
      <c r="AL357" s="618"/>
      <c r="AM357" s="618"/>
      <c r="AN357" s="618"/>
      <c r="AO357" s="618"/>
      <c r="AP357" s="618"/>
      <c r="AQ357" s="618"/>
      <c r="AR357" s="618"/>
      <c r="AS357" s="618"/>
      <c r="AT357" s="618"/>
      <c r="AU357" s="618"/>
      <c r="AV357" s="618"/>
      <c r="AW357" s="618"/>
      <c r="AX357" s="618"/>
      <c r="AY357" s="619">
        <f>COUNTIF(AI357:AX357,"*OP*")</f>
        <v>0</v>
      </c>
      <c r="AZ357" s="620"/>
      <c r="BA357" s="450">
        <f>(COUNTIF(AI357:AK357,"*OK*")*3) + (COUNTIF(AL357:AN357,"*OK*")*2) + COUNTIF(AO357:AQ357,"*OK*")+COUNTIF(AZ357:AZ357,"SI")*0.5</f>
        <v>0</v>
      </c>
      <c r="BB357" s="450" t="str">
        <f>IF(BA357&lt;0.6,"Demasiado Riesgo",IF(BA357&lt;=5,"Riesgo Medio",IF(BA357&lt;=11,"Riesgo Bajo","Cliente Blindado")))</f>
        <v>Demasiado Riesgo</v>
      </c>
      <c r="BC357" s="450"/>
      <c r="BD357" s="450"/>
      <c r="BE357" s="450"/>
      <c r="BF357" s="450"/>
      <c r="BG357" s="450"/>
      <c r="BH357" s="450"/>
      <c r="BI357" s="450"/>
      <c r="BJ357" s="450"/>
      <c r="BK357" s="450"/>
      <c r="BL357" s="450"/>
      <c r="BM357" s="450"/>
      <c r="BN357" s="450"/>
      <c r="BO357" s="450"/>
      <c r="BP357" s="450"/>
      <c r="BQ357" s="450"/>
      <c r="BR357" s="450"/>
      <c r="BS357" s="450"/>
      <c r="BT357" s="450"/>
      <c r="BU357" s="450"/>
      <c r="BV357" s="450"/>
      <c r="BW357" s="450"/>
      <c r="BX357" s="450"/>
      <c r="BY357" s="450"/>
      <c r="BZ357" s="450"/>
      <c r="CA357" s="450">
        <f>COUNTIF(AI357:AW357,"*OK*")</f>
        <v>0</v>
      </c>
    </row>
    <row r="358" spans="1:81" ht="15" customHeight="1">
      <c r="A358" s="470"/>
      <c r="B358" s="471"/>
      <c r="C358" s="451">
        <f>T358</f>
        <v>289.97000000000003</v>
      </c>
      <c r="D358" s="471">
        <f>COUNTIF(AM358:AX358,"OK")</f>
        <v>0</v>
      </c>
      <c r="E358" s="471"/>
      <c r="F358" s="471" t="s">
        <v>1029</v>
      </c>
      <c r="G358" s="471"/>
      <c r="H358" s="454" t="s">
        <v>451</v>
      </c>
      <c r="I358" s="474"/>
      <c r="J358" s="471"/>
      <c r="K358" s="491" t="s">
        <v>68</v>
      </c>
      <c r="L358" s="536" t="s">
        <v>445</v>
      </c>
      <c r="M358" s="536"/>
      <c r="N358" s="484"/>
      <c r="O358" s="457"/>
      <c r="P358" s="457"/>
      <c r="Q358" s="457"/>
      <c r="R358" s="458"/>
      <c r="S358" s="459">
        <v>293.18819999999999</v>
      </c>
      <c r="T358" s="498">
        <v>289.97000000000003</v>
      </c>
      <c r="U358" s="479"/>
      <c r="V358" s="480" t="s">
        <v>59</v>
      </c>
      <c r="W358" s="471"/>
      <c r="X358" s="483"/>
      <c r="Y358" s="483"/>
      <c r="Z358" s="484"/>
      <c r="AA358" s="494" t="s">
        <v>59</v>
      </c>
      <c r="AB358" s="474"/>
      <c r="AC358" s="471"/>
      <c r="AD358" s="471"/>
      <c r="AE358" s="471"/>
      <c r="AF358" s="471"/>
      <c r="AG358" s="471"/>
      <c r="AH358" s="624"/>
      <c r="AI358" s="467"/>
      <c r="AJ358" s="467"/>
      <c r="AK358" s="467"/>
      <c r="AL358" s="467"/>
      <c r="AM358" s="467"/>
      <c r="AN358" s="467"/>
      <c r="AO358" s="467"/>
      <c r="AP358" s="467"/>
      <c r="AQ358" s="467"/>
      <c r="AR358" s="467"/>
      <c r="AS358" s="467"/>
      <c r="AT358" s="467"/>
      <c r="AU358" s="467"/>
      <c r="AV358" s="467"/>
      <c r="AW358" s="467"/>
      <c r="AX358" s="467"/>
      <c r="AY358" s="486">
        <f>COUNTIF(AI358:AX358,"*OP*")</f>
        <v>0</v>
      </c>
      <c r="AZ358" s="485" t="s">
        <v>59</v>
      </c>
      <c r="BA358" s="471">
        <f>(COUNTIF(AI358:AK358,"*OK*")*3) + (COUNTIF(AL358:AN358,"*OK*")*2) + COUNTIF(AO358:AQ358,"*OK*")+COUNTIF(AZ358:AZ358,"SI")*0.5</f>
        <v>0</v>
      </c>
      <c r="BB358" s="471" t="str">
        <f>IF(BA358&lt;0.6,"Demasiado Riesgo",IF(BA358&lt;=5,"Riesgo Medio",IF(BA358&lt;=11,"Riesgo Bajo","Cliente Blindado")))</f>
        <v>Demasiado Riesgo</v>
      </c>
      <c r="BC358" s="471"/>
      <c r="BD358" s="471"/>
      <c r="BE358" s="471"/>
      <c r="BF358" s="471"/>
      <c r="BG358" s="471"/>
      <c r="BH358" s="471"/>
      <c r="BI358" s="471"/>
      <c r="BJ358" s="471"/>
      <c r="BK358" s="471"/>
      <c r="BL358" s="471"/>
      <c r="BM358" s="471"/>
      <c r="BN358" s="471"/>
      <c r="BO358" s="471"/>
      <c r="BP358" s="471"/>
      <c r="BQ358" s="471"/>
      <c r="BR358" s="471"/>
      <c r="BS358" s="471"/>
      <c r="BT358" s="471"/>
      <c r="BU358" s="471"/>
      <c r="BV358" s="471"/>
      <c r="BW358" s="471"/>
      <c r="BX358" s="471"/>
      <c r="BY358" s="471"/>
      <c r="BZ358" s="471"/>
      <c r="CA358" s="471">
        <f>COUNTIF(AI358:AW358,"*OK*")</f>
        <v>0</v>
      </c>
      <c r="CB358" s="471"/>
      <c r="CC358" s="471">
        <f>COUNTIF(AI358:AW358,"*OP*")</f>
        <v>0</v>
      </c>
    </row>
    <row r="359" spans="1:81" ht="15" customHeight="1">
      <c r="A359" s="449"/>
      <c r="B359" s="450"/>
      <c r="C359" s="451">
        <f>T359</f>
        <v>302.83</v>
      </c>
      <c r="D359" s="450">
        <f>COUNTIF(AM359:AX359,"OK")</f>
        <v>0</v>
      </c>
      <c r="E359" s="450"/>
      <c r="F359" s="450" t="s">
        <v>1030</v>
      </c>
      <c r="G359" s="450"/>
      <c r="H359" s="454" t="s">
        <v>441</v>
      </c>
      <c r="I359" s="454"/>
      <c r="J359" s="450"/>
      <c r="K359" s="501" t="s">
        <v>1031</v>
      </c>
      <c r="L359" s="453" t="s">
        <v>461</v>
      </c>
      <c r="M359" s="471"/>
      <c r="N359" s="466"/>
      <c r="O359" s="457"/>
      <c r="P359" s="457"/>
      <c r="Q359" s="457"/>
      <c r="R359" s="458"/>
      <c r="S359" s="459">
        <v>577.71079999999995</v>
      </c>
      <c r="T359" s="593">
        <v>302.83</v>
      </c>
      <c r="U359" s="461"/>
      <c r="V359" s="462" t="s">
        <v>59</v>
      </c>
      <c r="W359" s="450"/>
      <c r="X359" s="465"/>
      <c r="Y359" s="465"/>
      <c r="Z359" s="466"/>
      <c r="AA359" s="496" t="s">
        <v>59</v>
      </c>
      <c r="AB359" s="454"/>
      <c r="AC359" s="450"/>
      <c r="AD359" s="450"/>
      <c r="AE359" s="450"/>
      <c r="AF359" s="450"/>
      <c r="AG359" s="450"/>
      <c r="AH359" s="496"/>
      <c r="AI359" s="467"/>
      <c r="AJ359" s="467"/>
      <c r="AK359" s="467"/>
      <c r="AL359" s="467"/>
      <c r="AM359" s="467"/>
      <c r="AN359" s="467"/>
      <c r="AO359" s="467"/>
      <c r="AP359" s="467"/>
      <c r="AQ359" s="467"/>
      <c r="AR359" s="467"/>
      <c r="AS359" s="467"/>
      <c r="AT359" s="467"/>
      <c r="AU359" s="467"/>
      <c r="AV359" s="467"/>
      <c r="AW359" s="467"/>
      <c r="AX359" s="467"/>
      <c r="AY359" s="486">
        <f>COUNTIF(AI359:AX359,"*OP*")</f>
        <v>0</v>
      </c>
      <c r="AZ359" s="499" t="s">
        <v>59</v>
      </c>
      <c r="BA359" s="450">
        <f>(COUNTIF(AI359:AK359,"*OK*")*3) + (COUNTIF(AL359:AN359,"*OK*")*2) + COUNTIF(AO359:AQ359,"*OK*")+COUNTIF(AZ359:AZ359,"SI")*0.5</f>
        <v>0</v>
      </c>
      <c r="BB359" s="450" t="str">
        <f>IF(BA359&lt;0.6,"Demasiado Riesgo",IF(BA359&lt;=5,"Riesgo Medio",IF(BA359&lt;=11,"Riesgo Bajo","Cliente Blindado")))</f>
        <v>Demasiado Riesgo</v>
      </c>
      <c r="BC359" s="450"/>
      <c r="BD359" s="450"/>
      <c r="BE359" s="450"/>
      <c r="BF359" s="450"/>
      <c r="BG359" s="450"/>
      <c r="BH359" s="450"/>
      <c r="BI359" s="450"/>
      <c r="BJ359" s="450"/>
      <c r="BK359" s="450"/>
      <c r="BL359" s="450"/>
      <c r="BM359" s="450"/>
      <c r="BN359" s="450"/>
      <c r="BO359" s="450"/>
      <c r="BP359" s="450"/>
      <c r="BQ359" s="450"/>
      <c r="BR359" s="450"/>
      <c r="BS359" s="450"/>
      <c r="BT359" s="450"/>
      <c r="BU359" s="450"/>
      <c r="BV359" s="450"/>
      <c r="BW359" s="450"/>
      <c r="BX359" s="450"/>
      <c r="BY359" s="450"/>
      <c r="BZ359" s="450"/>
      <c r="CA359" s="450">
        <f>COUNTIF(AI359:AW359,"*OK*")</f>
        <v>0</v>
      </c>
      <c r="CB359" s="450"/>
      <c r="CC359" s="450">
        <f>COUNTIF(AI359:AW359,"*OP*")</f>
        <v>0</v>
      </c>
    </row>
    <row r="360" spans="1:81" ht="15" customHeight="1">
      <c r="A360" s="449"/>
      <c r="B360" s="450"/>
      <c r="C360" s="451">
        <f>T360</f>
        <v>303.45999999999998</v>
      </c>
      <c r="D360" s="450">
        <f>COUNTIF(AM360:AX360,"OK")</f>
        <v>0</v>
      </c>
      <c r="E360" s="450"/>
      <c r="F360" s="450" t="s">
        <v>1032</v>
      </c>
      <c r="G360" s="450"/>
      <c r="H360" s="454" t="s">
        <v>451</v>
      </c>
      <c r="I360" s="454"/>
      <c r="J360" s="450"/>
      <c r="K360" s="501" t="s">
        <v>68</v>
      </c>
      <c r="L360" s="536" t="s">
        <v>445</v>
      </c>
      <c r="M360" s="536"/>
      <c r="N360" s="466"/>
      <c r="O360" s="457"/>
      <c r="P360" s="457"/>
      <c r="Q360" s="457"/>
      <c r="R360" s="458">
        <v>321.5</v>
      </c>
      <c r="S360" s="459">
        <v>301.39170000000001</v>
      </c>
      <c r="T360" s="492">
        <v>303.45999999999998</v>
      </c>
      <c r="U360" s="461"/>
      <c r="V360" s="462" t="s">
        <v>59</v>
      </c>
      <c r="W360" s="450"/>
      <c r="X360" s="465"/>
      <c r="Y360" s="465"/>
      <c r="Z360" s="466"/>
      <c r="AA360" s="496" t="s">
        <v>59</v>
      </c>
      <c r="AB360" s="454"/>
      <c r="AC360" s="450"/>
      <c r="AD360" s="450"/>
      <c r="AE360" s="450"/>
      <c r="AF360" s="450"/>
      <c r="AG360" s="450"/>
      <c r="AH360" s="496"/>
      <c r="AI360" s="467"/>
      <c r="AJ360" s="467"/>
      <c r="AK360" s="467"/>
      <c r="AL360" s="467"/>
      <c r="AM360" s="467"/>
      <c r="AN360" s="467"/>
      <c r="AO360" s="467"/>
      <c r="AP360" s="467"/>
      <c r="AQ360" s="467"/>
      <c r="AR360" s="467"/>
      <c r="AS360" s="467"/>
      <c r="AT360" s="467"/>
      <c r="AU360" s="467"/>
      <c r="AV360" s="467"/>
      <c r="AW360" s="467"/>
      <c r="AX360" s="467"/>
      <c r="AY360" s="486">
        <f>COUNTIF(AI360:AX360,"*OP*")</f>
        <v>0</v>
      </c>
      <c r="AZ360" s="499" t="s">
        <v>59</v>
      </c>
      <c r="BA360" s="450">
        <f>(COUNTIF(AI360:AK360,"*OK*")*3) + (COUNTIF(AL360:AN360,"*OK*")*2) + COUNTIF(AO360:AQ360,"*OK*")+COUNTIF(AZ360:AZ360,"SI")*0.5</f>
        <v>0</v>
      </c>
      <c r="BB360" s="450" t="str">
        <f>IF(BA360&lt;0.6,"Demasiado Riesgo",IF(BA360&lt;=5,"Riesgo Medio",IF(BA360&lt;=11,"Riesgo Bajo","Cliente Blindado")))</f>
        <v>Demasiado Riesgo</v>
      </c>
      <c r="BC360" s="450"/>
      <c r="BD360" s="450"/>
      <c r="BE360" s="450"/>
      <c r="BF360" s="450"/>
      <c r="BG360" s="450"/>
      <c r="BH360" s="450"/>
      <c r="BI360" s="450"/>
      <c r="BJ360" s="450"/>
      <c r="BK360" s="450"/>
      <c r="BL360" s="450"/>
      <c r="BM360" s="450"/>
      <c r="BN360" s="450"/>
      <c r="BO360" s="450"/>
      <c r="BP360" s="450"/>
      <c r="BQ360" s="450"/>
      <c r="BR360" s="450"/>
      <c r="BS360" s="450"/>
      <c r="BT360" s="450"/>
      <c r="BU360" s="450"/>
      <c r="BV360" s="450"/>
      <c r="BW360" s="450"/>
      <c r="BX360" s="450"/>
      <c r="BY360" s="450"/>
      <c r="BZ360" s="450"/>
      <c r="CA360" s="450">
        <f>COUNTIF(AI360:AW360,"*OK*")</f>
        <v>0</v>
      </c>
      <c r="CB360" s="450"/>
      <c r="CC360" s="450">
        <f>COUNTIF(AI360:AW360,"*OP*")</f>
        <v>0</v>
      </c>
    </row>
    <row r="361" spans="1:81" ht="15" customHeight="1">
      <c r="A361" s="563">
        <v>30860</v>
      </c>
      <c r="B361" s="536"/>
      <c r="C361" s="451">
        <f>T361</f>
        <v>310</v>
      </c>
      <c r="D361" s="471">
        <f>COUNTIF(AI361:AW361,"*OK*")</f>
        <v>0</v>
      </c>
      <c r="E361" s="471"/>
      <c r="F361" s="473" t="s">
        <v>1033</v>
      </c>
      <c r="G361" s="473"/>
      <c r="H361" s="454" t="s">
        <v>451</v>
      </c>
      <c r="I361" s="474"/>
      <c r="J361" s="473"/>
      <c r="K361" s="564" t="s">
        <v>68</v>
      </c>
      <c r="L361" s="536" t="s">
        <v>445</v>
      </c>
      <c r="M361" s="536"/>
      <c r="N361" s="476" t="s">
        <v>156</v>
      </c>
      <c r="O361" s="477">
        <v>302</v>
      </c>
      <c r="P361" s="477">
        <v>298</v>
      </c>
      <c r="Q361" s="477">
        <v>318</v>
      </c>
      <c r="R361" s="478">
        <v>308</v>
      </c>
      <c r="S361" s="459">
        <v>310</v>
      </c>
      <c r="T361" s="469">
        <v>310</v>
      </c>
      <c r="U361" s="479"/>
      <c r="V361" s="480">
        <v>400</v>
      </c>
      <c r="W361" s="481"/>
      <c r="X361" s="483" t="s">
        <v>70</v>
      </c>
      <c r="Y361" s="483" t="s">
        <v>139</v>
      </c>
      <c r="Z361" s="484" t="s">
        <v>1034</v>
      </c>
      <c r="AA361" s="480" t="s">
        <v>59</v>
      </c>
      <c r="AB361" s="474"/>
      <c r="AC361" s="471"/>
      <c r="AD361" s="471"/>
      <c r="AE361" s="471"/>
      <c r="AF361" s="471"/>
      <c r="AG361" s="471"/>
      <c r="AH361" s="484" t="s">
        <v>59</v>
      </c>
      <c r="AI361" s="467"/>
      <c r="AJ361" s="467"/>
      <c r="AK361" s="467"/>
      <c r="AL361" s="467"/>
      <c r="AM361" s="467"/>
      <c r="AN361" s="566"/>
      <c r="AO361" s="467"/>
      <c r="AP361" s="467"/>
      <c r="AQ361" s="467"/>
      <c r="AR361" s="467"/>
      <c r="AS361" s="467"/>
      <c r="AT361" s="467"/>
      <c r="AU361" s="467"/>
      <c r="AV361" s="467"/>
      <c r="AW361" s="467"/>
      <c r="AX361" s="467"/>
      <c r="AY361" s="468">
        <f>COUNTIF(AI361:AX361,"*OP*")</f>
        <v>0</v>
      </c>
      <c r="AZ361" s="484" t="s">
        <v>59</v>
      </c>
      <c r="BA361" s="471">
        <f>(COUNTIF(AI361:AK361,"*OK*")*3) + (COUNTIF(AL361:AN361,"*OK*")*2) + COUNTIF(AO361:AQ361,"*OK*")+COUNTIF(AZ361:AZ361,"SI")*0.5</f>
        <v>0</v>
      </c>
      <c r="BB361" s="471" t="str">
        <f>IF(BA361&lt;0.6,"Demasiado Riesgo",IF(BA361&lt;=5,"Riesgo Medio",IF(BA361&lt;=11,"Riesgo Bajo","Cliente Blindado")))</f>
        <v>Demasiado Riesgo</v>
      </c>
      <c r="BC361" s="471"/>
      <c r="BD361" s="471"/>
      <c r="BE361" s="471">
        <v>0</v>
      </c>
      <c r="BF361" s="471"/>
      <c r="BG361" s="471"/>
      <c r="BH361" s="471"/>
      <c r="BI361" s="471"/>
      <c r="BJ361" s="471"/>
      <c r="BK361" s="471"/>
      <c r="BL361" s="471"/>
      <c r="BM361" s="471"/>
      <c r="BN361" s="471"/>
      <c r="BO361" s="471"/>
      <c r="BP361" s="471"/>
      <c r="BQ361" s="471"/>
      <c r="BR361" s="471"/>
      <c r="BS361" s="471"/>
      <c r="BT361" s="471"/>
      <c r="BU361" s="471"/>
      <c r="BV361" s="471"/>
      <c r="BW361" s="471"/>
      <c r="BX361" s="471"/>
      <c r="BY361" s="471"/>
      <c r="BZ361" s="471"/>
      <c r="CA361" s="471">
        <f>COUNTIF(AI361:AW361,"*OK*")</f>
        <v>0</v>
      </c>
      <c r="CB361" s="471"/>
      <c r="CC361" s="471">
        <f>COUNTIF(AI361:AW361,"*OP*")</f>
        <v>0</v>
      </c>
    </row>
    <row r="362" spans="1:81" ht="15" customHeight="1">
      <c r="A362" s="449">
        <v>17845</v>
      </c>
      <c r="B362" s="450"/>
      <c r="C362" s="451">
        <f>T362</f>
        <v>318.02999999999997</v>
      </c>
      <c r="D362" s="450">
        <f>COUNTIF(AI362:AW362,"*OK*")</f>
        <v>0</v>
      </c>
      <c r="E362" s="450"/>
      <c r="F362" s="453" t="s">
        <v>1035</v>
      </c>
      <c r="G362" s="453"/>
      <c r="H362" s="454" t="s">
        <v>451</v>
      </c>
      <c r="I362" s="454"/>
      <c r="J362" s="453"/>
      <c r="K362" s="453" t="s">
        <v>68</v>
      </c>
      <c r="L362" s="536" t="s">
        <v>445</v>
      </c>
      <c r="M362" s="536"/>
      <c r="N362" s="456" t="s">
        <v>61</v>
      </c>
      <c r="O362" s="457">
        <v>213.94</v>
      </c>
      <c r="P362" s="457">
        <v>283.69</v>
      </c>
      <c r="Q362" s="457">
        <v>296.27999999999997</v>
      </c>
      <c r="R362" s="458">
        <v>313.45999999999998</v>
      </c>
      <c r="S362" s="459">
        <v>317.67849999999999</v>
      </c>
      <c r="T362" s="490">
        <v>318.02999999999997</v>
      </c>
      <c r="U362" s="461"/>
      <c r="V362" s="462">
        <v>150</v>
      </c>
      <c r="W362" s="463"/>
      <c r="X362" s="465" t="s">
        <v>245</v>
      </c>
      <c r="Y362" s="465" t="s">
        <v>80</v>
      </c>
      <c r="Z362" s="466" t="s">
        <v>1036</v>
      </c>
      <c r="AA362" s="462" t="s">
        <v>59</v>
      </c>
      <c r="AB362" s="454"/>
      <c r="AC362" s="450"/>
      <c r="AD362" s="450"/>
      <c r="AE362" s="450"/>
      <c r="AF362" s="450"/>
      <c r="AG362" s="450"/>
      <c r="AH362" s="466" t="s">
        <v>59</v>
      </c>
      <c r="AI362" s="467"/>
      <c r="AJ362" s="467"/>
      <c r="AK362" s="467"/>
      <c r="AL362" s="467"/>
      <c r="AM362" s="467"/>
      <c r="AN362" s="467"/>
      <c r="AO362" s="467"/>
      <c r="AP362" s="566"/>
      <c r="AQ362" s="467"/>
      <c r="AR362" s="467"/>
      <c r="AS362" s="467"/>
      <c r="AT362" s="467"/>
      <c r="AU362" s="467"/>
      <c r="AV362" s="467"/>
      <c r="AW362" s="467"/>
      <c r="AX362" s="467"/>
      <c r="AY362" s="468">
        <f>COUNTIF(AI362:AX362,"*OP*")</f>
        <v>0</v>
      </c>
      <c r="AZ362" s="466" t="s">
        <v>59</v>
      </c>
      <c r="BA362" s="450">
        <f>(COUNTIF(AI362:AK362,"*OK*")*3) + (COUNTIF(AL362:AN362,"*OK*")*2) + COUNTIF(AO362:AQ362,"*OK*")+COUNTIF(AZ362:AZ362,"SI")*0.5</f>
        <v>0</v>
      </c>
      <c r="BB362" s="450" t="str">
        <f>IF(BA362&lt;0.6,"Demasiado Riesgo",IF(BA362&lt;=5,"Riesgo Medio",IF(BA362&lt;=11,"Riesgo Bajo","Cliente Blindado")))</f>
        <v>Demasiado Riesgo</v>
      </c>
      <c r="BC362" s="450"/>
      <c r="BD362" s="450"/>
      <c r="BE362" s="450">
        <v>0</v>
      </c>
      <c r="BF362" s="450"/>
      <c r="BG362" s="450"/>
      <c r="BH362" s="450"/>
      <c r="BI362" s="450"/>
      <c r="BJ362" s="450"/>
      <c r="BK362" s="450"/>
      <c r="BL362" s="450"/>
      <c r="BM362" s="450"/>
      <c r="BN362" s="450"/>
      <c r="BO362" s="450"/>
      <c r="BP362" s="450"/>
      <c r="BQ362" s="450"/>
      <c r="BR362" s="450"/>
      <c r="BS362" s="450"/>
      <c r="BT362" s="450"/>
      <c r="BU362" s="450"/>
      <c r="BV362" s="450"/>
      <c r="BW362" s="450"/>
      <c r="BX362" s="450"/>
      <c r="BY362" s="450"/>
      <c r="BZ362" s="450"/>
      <c r="CA362" s="450">
        <f>COUNTIF(AI362:AW362,"*OK*")</f>
        <v>0</v>
      </c>
      <c r="CB362" s="450"/>
      <c r="CC362" s="450">
        <f>COUNTIF(AI362:AW362,"*OP*")</f>
        <v>0</v>
      </c>
    </row>
    <row r="363" spans="1:81" ht="15" customHeight="1">
      <c r="A363" s="449">
        <v>36200</v>
      </c>
      <c r="B363" s="450"/>
      <c r="C363" s="451">
        <f>T363</f>
        <v>324.94</v>
      </c>
      <c r="D363" s="450">
        <f>COUNTIF(AI363:AW363,"*OK*")</f>
        <v>0</v>
      </c>
      <c r="E363" s="450"/>
      <c r="F363" s="453" t="s">
        <v>1037</v>
      </c>
      <c r="G363" s="453"/>
      <c r="H363" s="454" t="s">
        <v>451</v>
      </c>
      <c r="I363" s="454"/>
      <c r="J363" s="453"/>
      <c r="K363" s="455" t="s">
        <v>68</v>
      </c>
      <c r="L363" s="536" t="s">
        <v>445</v>
      </c>
      <c r="M363" s="536"/>
      <c r="N363" s="456" t="s">
        <v>156</v>
      </c>
      <c r="O363" s="457"/>
      <c r="P363" s="457"/>
      <c r="Q363" s="457">
        <v>24.3</v>
      </c>
      <c r="R363" s="458">
        <v>25.08</v>
      </c>
      <c r="S363" s="459">
        <v>896.02940000000001</v>
      </c>
      <c r="T363" s="487">
        <v>324.94</v>
      </c>
      <c r="U363" s="461"/>
      <c r="V363" s="462">
        <v>50</v>
      </c>
      <c r="W363" s="463"/>
      <c r="X363" s="562" t="s">
        <v>70</v>
      </c>
      <c r="Y363" s="465" t="s">
        <v>71</v>
      </c>
      <c r="Z363" s="466" t="s">
        <v>1038</v>
      </c>
      <c r="AA363" s="462" t="s">
        <v>71</v>
      </c>
      <c r="AB363" s="454"/>
      <c r="AC363" s="450"/>
      <c r="AD363" s="450"/>
      <c r="AE363" s="450"/>
      <c r="AF363" s="450"/>
      <c r="AG363" s="450"/>
      <c r="AH363" s="466" t="s">
        <v>59</v>
      </c>
      <c r="AI363" s="467"/>
      <c r="AJ363" s="467"/>
      <c r="AK363" s="566"/>
      <c r="AL363" s="467"/>
      <c r="AM363" s="467"/>
      <c r="AN363" s="467"/>
      <c r="AO363" s="467"/>
      <c r="AP363" s="467"/>
      <c r="AQ363" s="467"/>
      <c r="AR363" s="467"/>
      <c r="AS363" s="467"/>
      <c r="AT363" s="467"/>
      <c r="AU363" s="467"/>
      <c r="AV363" s="467"/>
      <c r="AW363" s="467"/>
      <c r="AX363" s="467"/>
      <c r="AY363" s="468">
        <f>COUNTIF(AI363:AX363,"*OP*")</f>
        <v>0</v>
      </c>
      <c r="AZ363" s="466" t="s">
        <v>59</v>
      </c>
      <c r="BA363" s="450">
        <f>(COUNTIF(AI363:AK363,"*OK*")*3) + (COUNTIF(AL363:AN363,"*OK*")*2) + COUNTIF(AO363:AQ363,"*OK*")+COUNTIF(AZ363:AZ363,"SI")*0.5</f>
        <v>0</v>
      </c>
      <c r="BB363" s="450" t="str">
        <f>IF(BA363&lt;0.6,"Demasiado Riesgo",IF(BA363&lt;=5,"Riesgo Medio",IF(BA363&lt;=11,"Riesgo Bajo","Cliente Blindado")))</f>
        <v>Demasiado Riesgo</v>
      </c>
      <c r="BC363" s="450"/>
      <c r="BD363" s="450"/>
      <c r="BE363" s="450">
        <v>0</v>
      </c>
      <c r="BF363" s="450"/>
      <c r="BG363" s="450"/>
      <c r="BH363" s="450"/>
      <c r="BI363" s="450"/>
      <c r="BJ363" s="450"/>
      <c r="BK363" s="450"/>
      <c r="BL363" s="450"/>
      <c r="BM363" s="450"/>
      <c r="BN363" s="450"/>
      <c r="BO363" s="450"/>
      <c r="BP363" s="450"/>
      <c r="BQ363" s="450"/>
      <c r="BR363" s="450"/>
      <c r="BS363" s="450"/>
      <c r="BT363" s="450"/>
      <c r="BU363" s="450"/>
      <c r="BV363" s="450"/>
      <c r="BW363" s="450"/>
      <c r="BX363" s="450"/>
      <c r="BY363" s="450"/>
      <c r="BZ363" s="450"/>
      <c r="CA363" s="450">
        <f>COUNTIF(AI363:AW363,"*OK*")</f>
        <v>0</v>
      </c>
      <c r="CB363" s="450"/>
      <c r="CC363" s="450">
        <f>COUNTIF(AI363:AW363,"*OP*")</f>
        <v>0</v>
      </c>
    </row>
    <row r="364" spans="1:81" ht="15" customHeight="1">
      <c r="A364" s="449"/>
      <c r="B364" s="450"/>
      <c r="C364" s="451">
        <f>T364</f>
        <v>341.8</v>
      </c>
      <c r="D364" s="450">
        <f>COUNTIF(AI364:AW364,"*OK*")</f>
        <v>0</v>
      </c>
      <c r="E364" s="450"/>
      <c r="F364" s="453" t="s">
        <v>1039</v>
      </c>
      <c r="G364" s="453"/>
      <c r="H364" s="454" t="s">
        <v>451</v>
      </c>
      <c r="I364" s="454"/>
      <c r="J364" s="453"/>
      <c r="K364" s="455" t="s">
        <v>68</v>
      </c>
      <c r="L364" s="536" t="s">
        <v>445</v>
      </c>
      <c r="M364" s="536"/>
      <c r="N364" s="456" t="s">
        <v>65</v>
      </c>
      <c r="O364" s="457"/>
      <c r="P364" s="457"/>
      <c r="Q364" s="457">
        <v>300.98</v>
      </c>
      <c r="R364" s="458">
        <v>329.03</v>
      </c>
      <c r="S364" s="459">
        <v>346.39530000000002</v>
      </c>
      <c r="T364" s="469">
        <v>341.8</v>
      </c>
      <c r="U364" s="461"/>
      <c r="V364" s="462">
        <v>50</v>
      </c>
      <c r="W364" s="463"/>
      <c r="X364" s="562" t="s">
        <v>70</v>
      </c>
      <c r="Y364" s="465" t="s">
        <v>71</v>
      </c>
      <c r="Z364" s="466" t="s">
        <v>1040</v>
      </c>
      <c r="AA364" s="462" t="s">
        <v>59</v>
      </c>
      <c r="AB364" s="454"/>
      <c r="AC364" s="450"/>
      <c r="AD364" s="450"/>
      <c r="AE364" s="450"/>
      <c r="AF364" s="450"/>
      <c r="AG364" s="450"/>
      <c r="AH364" s="499" t="s">
        <v>59</v>
      </c>
      <c r="AI364" s="467"/>
      <c r="AJ364" s="467"/>
      <c r="AK364" s="467"/>
      <c r="AL364" s="467"/>
      <c r="AM364" s="467"/>
      <c r="AN364" s="467"/>
      <c r="AO364" s="467"/>
      <c r="AP364" s="467"/>
      <c r="AQ364" s="467"/>
      <c r="AR364" s="467"/>
      <c r="AS364" s="467"/>
      <c r="AT364" s="467"/>
      <c r="AU364" s="467"/>
      <c r="AV364" s="467"/>
      <c r="AW364" s="467"/>
      <c r="AX364" s="467"/>
      <c r="AY364" s="486">
        <f>COUNTIF(AI364:AX364,"*OP*")</f>
        <v>0</v>
      </c>
      <c r="AZ364" s="499" t="s">
        <v>59</v>
      </c>
      <c r="BA364" s="450">
        <f>(COUNTIF(AI364:AK364,"*OK*")*3) + (COUNTIF(AL364:AN364,"*OK*")*2) + COUNTIF(AO364:AQ364,"*OK*")+COUNTIF(AZ364:AZ364,"SI")*0.5</f>
        <v>0</v>
      </c>
      <c r="BB364" s="450" t="str">
        <f>IF(BA364&lt;0.6,"Demasiado Riesgo",IF(BA364&lt;=5,"Riesgo Medio",IF(BA364&lt;=11,"Riesgo Bajo","Cliente Blindado")))</f>
        <v>Demasiado Riesgo</v>
      </c>
      <c r="BC364" s="450"/>
      <c r="BD364" s="450"/>
      <c r="BE364" s="450">
        <v>0</v>
      </c>
      <c r="BF364" s="450"/>
      <c r="BG364" s="450"/>
      <c r="BH364" s="450"/>
      <c r="BI364" s="450"/>
      <c r="BJ364" s="450"/>
      <c r="BK364" s="450"/>
      <c r="BL364" s="450"/>
      <c r="BM364" s="450"/>
      <c r="BN364" s="450"/>
      <c r="BO364" s="450"/>
      <c r="BP364" s="450"/>
      <c r="BQ364" s="450"/>
      <c r="BR364" s="450"/>
      <c r="BS364" s="450"/>
      <c r="BT364" s="450"/>
      <c r="BU364" s="450"/>
      <c r="BV364" s="450"/>
      <c r="BW364" s="450"/>
      <c r="BX364" s="450"/>
      <c r="BY364" s="450"/>
      <c r="BZ364" s="450"/>
      <c r="CA364" s="450">
        <f>COUNTIF(AI364:AW364,"*OK*")</f>
        <v>0</v>
      </c>
      <c r="CB364" s="450"/>
      <c r="CC364" s="450">
        <f>COUNTIF(AI364:AW364,"*OP*")</f>
        <v>0</v>
      </c>
    </row>
    <row r="365" spans="1:81" ht="15" customHeight="1">
      <c r="A365" s="470"/>
      <c r="B365" s="471"/>
      <c r="C365" s="451">
        <f>T365</f>
        <v>354.05</v>
      </c>
      <c r="D365" s="471">
        <f>COUNTIF(AI365:AW365,"*OK*")</f>
        <v>0</v>
      </c>
      <c r="E365" s="471"/>
      <c r="F365" s="473" t="s">
        <v>1041</v>
      </c>
      <c r="G365" s="473"/>
      <c r="H365" s="454" t="s">
        <v>451</v>
      </c>
      <c r="I365" s="474"/>
      <c r="J365" s="473"/>
      <c r="K365" s="475" t="s">
        <v>68</v>
      </c>
      <c r="L365" s="536" t="s">
        <v>445</v>
      </c>
      <c r="M365" s="536"/>
      <c r="N365" s="476" t="s">
        <v>103</v>
      </c>
      <c r="O365" s="477">
        <v>359.42</v>
      </c>
      <c r="P365" s="477">
        <v>359.09</v>
      </c>
      <c r="Q365" s="477">
        <v>342.21</v>
      </c>
      <c r="R365" s="478">
        <v>353.23</v>
      </c>
      <c r="S365" s="459">
        <v>357.9785</v>
      </c>
      <c r="T365" s="487">
        <v>354.05</v>
      </c>
      <c r="U365" s="479"/>
      <c r="V365" s="480">
        <v>200</v>
      </c>
      <c r="W365" s="481"/>
      <c r="X365" s="483" t="s">
        <v>70</v>
      </c>
      <c r="Y365" s="483" t="s">
        <v>150</v>
      </c>
      <c r="Z365" s="484" t="s">
        <v>1042</v>
      </c>
      <c r="AA365" s="480" t="s">
        <v>59</v>
      </c>
      <c r="AB365" s="474"/>
      <c r="AC365" s="471"/>
      <c r="AD365" s="471"/>
      <c r="AE365" s="471"/>
      <c r="AF365" s="471"/>
      <c r="AG365" s="471"/>
      <c r="AH365" s="494" t="s">
        <v>59</v>
      </c>
      <c r="AI365" s="467"/>
      <c r="AJ365" s="467"/>
      <c r="AK365" s="467"/>
      <c r="AL365" s="467"/>
      <c r="AM365" s="467"/>
      <c r="AN365" s="467"/>
      <c r="AO365" s="467"/>
      <c r="AP365" s="467"/>
      <c r="AQ365" s="467"/>
      <c r="AR365" s="467"/>
      <c r="AS365" s="467"/>
      <c r="AT365" s="467"/>
      <c r="AU365" s="467"/>
      <c r="AV365" s="467"/>
      <c r="AW365" s="467"/>
      <c r="AX365" s="467"/>
      <c r="AY365" s="486">
        <f>COUNTIF(AI365:AX365,"*OP*")</f>
        <v>0</v>
      </c>
      <c r="AZ365" s="485" t="s">
        <v>59</v>
      </c>
      <c r="BA365" s="471">
        <f>(COUNTIF(AI365:AK365,"*OK*")*3) + (COUNTIF(AL365:AN365,"*OK*")*2) + COUNTIF(AO365:AQ365,"*OK*")+COUNTIF(AZ365:AZ365,"SI")*0.5</f>
        <v>0</v>
      </c>
      <c r="BB365" s="471" t="str">
        <f>IF(BA365&lt;0.6,"Demasiado Riesgo",IF(BA365&lt;=5,"Riesgo Medio",IF(BA365&lt;=11,"Riesgo Bajo","Cliente Blindado")))</f>
        <v>Demasiado Riesgo</v>
      </c>
      <c r="BC365" s="471"/>
      <c r="BD365" s="471"/>
      <c r="BE365" s="471">
        <v>0</v>
      </c>
      <c r="BF365" s="471"/>
      <c r="BG365" s="471"/>
      <c r="BH365" s="471"/>
      <c r="BI365" s="471"/>
      <c r="BJ365" s="471"/>
      <c r="BK365" s="471"/>
      <c r="BL365" s="471"/>
      <c r="BM365" s="471"/>
      <c r="BN365" s="471"/>
      <c r="BO365" s="471"/>
      <c r="BP365" s="471"/>
      <c r="BQ365" s="471"/>
      <c r="BR365" s="471"/>
      <c r="BS365" s="471"/>
      <c r="BT365" s="471"/>
      <c r="BU365" s="471"/>
      <c r="BV365" s="471"/>
      <c r="BW365" s="471"/>
      <c r="BX365" s="471"/>
      <c r="BY365" s="471"/>
      <c r="BZ365" s="471"/>
      <c r="CA365" s="471">
        <f>COUNTIF(AI365:AW365,"*OK*")</f>
        <v>0</v>
      </c>
      <c r="CB365" s="471"/>
      <c r="CC365" s="471">
        <f>COUNTIF(AI365:AW365,"*OP*")</f>
        <v>0</v>
      </c>
    </row>
    <row r="366" spans="1:81" ht="15" customHeight="1">
      <c r="A366" s="449">
        <v>36039</v>
      </c>
      <c r="B366" s="450"/>
      <c r="C366" s="451">
        <f>T366</f>
        <v>363.4</v>
      </c>
      <c r="D366" s="450">
        <f>COUNTIF(AI366:AW366,"*OK*")</f>
        <v>0</v>
      </c>
      <c r="E366" s="450"/>
      <c r="F366" s="453" t="s">
        <v>1043</v>
      </c>
      <c r="G366" s="453"/>
      <c r="H366" s="454" t="s">
        <v>451</v>
      </c>
      <c r="I366" s="454"/>
      <c r="J366" s="453"/>
      <c r="K366" s="455" t="s">
        <v>68</v>
      </c>
      <c r="L366" s="536" t="s">
        <v>445</v>
      </c>
      <c r="M366" s="536"/>
      <c r="N366" s="456" t="s">
        <v>65</v>
      </c>
      <c r="O366" s="457"/>
      <c r="P366" s="457">
        <v>368.57</v>
      </c>
      <c r="Q366" s="457">
        <v>347.93</v>
      </c>
      <c r="R366" s="458">
        <v>362.55</v>
      </c>
      <c r="S366" s="459">
        <v>367.42399999999998</v>
      </c>
      <c r="T366" s="469">
        <v>363.4</v>
      </c>
      <c r="U366" s="461"/>
      <c r="V366" s="462">
        <v>150</v>
      </c>
      <c r="W366" s="463"/>
      <c r="X366" s="465" t="s">
        <v>70</v>
      </c>
      <c r="Y366" s="465" t="s">
        <v>71</v>
      </c>
      <c r="Z366" s="466" t="s">
        <v>1044</v>
      </c>
      <c r="AA366" s="462" t="s">
        <v>59</v>
      </c>
      <c r="AB366" s="454"/>
      <c r="AC366" s="450"/>
      <c r="AD366" s="450"/>
      <c r="AE366" s="450"/>
      <c r="AF366" s="450"/>
      <c r="AG366" s="450"/>
      <c r="AH366" s="496" t="s">
        <v>59</v>
      </c>
      <c r="AI366" s="467"/>
      <c r="AJ366" s="467"/>
      <c r="AK366" s="467"/>
      <c r="AL366" s="467"/>
      <c r="AM366" s="467"/>
      <c r="AN366" s="467"/>
      <c r="AO366" s="467"/>
      <c r="AP366" s="467"/>
      <c r="AQ366" s="467"/>
      <c r="AR366" s="467"/>
      <c r="AS366" s="467"/>
      <c r="AT366" s="467"/>
      <c r="AU366" s="467"/>
      <c r="AV366" s="467"/>
      <c r="AW366" s="467"/>
      <c r="AX366" s="467"/>
      <c r="AY366" s="486">
        <f>COUNTIF(AI366:AX366,"*OP*")</f>
        <v>0</v>
      </c>
      <c r="AZ366" s="499" t="s">
        <v>59</v>
      </c>
      <c r="BA366" s="450">
        <f>(COUNTIF(AI366:AK366,"*OK*")*3) + (COUNTIF(AL366:AN366,"*OK*")*2) + COUNTIF(AO366:AQ366,"*OK*")+COUNTIF(AZ366:AZ366,"SI")*0.5</f>
        <v>0</v>
      </c>
      <c r="BB366" s="450" t="str">
        <f>IF(BA366&lt;0.6,"Demasiado Riesgo",IF(BA366&lt;=5,"Riesgo Medio",IF(BA366&lt;=11,"Riesgo Bajo","Cliente Blindado")))</f>
        <v>Demasiado Riesgo</v>
      </c>
      <c r="BC366" s="450"/>
      <c r="BD366" s="450"/>
      <c r="BE366" s="450">
        <v>0</v>
      </c>
      <c r="BF366" s="450"/>
      <c r="BG366" s="450"/>
      <c r="BH366" s="450"/>
      <c r="BI366" s="450"/>
      <c r="BJ366" s="450"/>
      <c r="BK366" s="450"/>
      <c r="BL366" s="450"/>
      <c r="BM366" s="450"/>
      <c r="BN366" s="450"/>
      <c r="BO366" s="450"/>
      <c r="BP366" s="450"/>
      <c r="BQ366" s="450"/>
      <c r="BR366" s="450"/>
      <c r="BS366" s="450"/>
      <c r="BT366" s="450"/>
      <c r="BU366" s="450"/>
      <c r="BV366" s="450"/>
      <c r="BW366" s="450"/>
      <c r="BX366" s="450"/>
      <c r="BY366" s="450"/>
      <c r="BZ366" s="450"/>
      <c r="CA366" s="450">
        <f>COUNTIF(AI366:AW366,"*OK*")</f>
        <v>0</v>
      </c>
      <c r="CB366" s="450"/>
      <c r="CC366" s="450">
        <f>COUNTIF(AI366:AW366,"*OP*")</f>
        <v>0</v>
      </c>
    </row>
    <row r="367" spans="1:81" ht="15" customHeight="1">
      <c r="A367" s="470">
        <v>29844</v>
      </c>
      <c r="B367" s="471"/>
      <c r="C367" s="451">
        <f>T367</f>
        <v>371.97</v>
      </c>
      <c r="D367" s="471">
        <f>COUNTIF(AI367:AW367,"*OK*")</f>
        <v>0</v>
      </c>
      <c r="E367" s="471"/>
      <c r="F367" s="473" t="s">
        <v>1045</v>
      </c>
      <c r="G367" s="473"/>
      <c r="H367" s="454" t="s">
        <v>451</v>
      </c>
      <c r="I367" s="474"/>
      <c r="J367" s="473"/>
      <c r="K367" s="473" t="s">
        <v>68</v>
      </c>
      <c r="L367" s="536" t="s">
        <v>445</v>
      </c>
      <c r="M367" s="536"/>
      <c r="N367" s="476" t="s">
        <v>65</v>
      </c>
      <c r="O367" s="477">
        <v>324.77999999999997</v>
      </c>
      <c r="P367" s="477">
        <v>324.52</v>
      </c>
      <c r="Q367" s="477">
        <v>315.89</v>
      </c>
      <c r="R367" s="478">
        <v>365.11</v>
      </c>
      <c r="S367" s="459">
        <v>374.0677</v>
      </c>
      <c r="T367" s="487">
        <v>371.97</v>
      </c>
      <c r="U367" s="479"/>
      <c r="V367" s="480">
        <v>150</v>
      </c>
      <c r="W367" s="481"/>
      <c r="X367" s="483" t="s">
        <v>70</v>
      </c>
      <c r="Y367" s="483" t="s">
        <v>161</v>
      </c>
      <c r="Z367" s="484" t="s">
        <v>1046</v>
      </c>
      <c r="AA367" s="480" t="s">
        <v>59</v>
      </c>
      <c r="AB367" s="474"/>
      <c r="AC367" s="471"/>
      <c r="AD367" s="471"/>
      <c r="AE367" s="471"/>
      <c r="AF367" s="471"/>
      <c r="AG367" s="471"/>
      <c r="AH367" s="484" t="s">
        <v>59</v>
      </c>
      <c r="AI367" s="467"/>
      <c r="AJ367" s="467"/>
      <c r="AK367" s="467"/>
      <c r="AL367" s="467"/>
      <c r="AM367" s="467"/>
      <c r="AN367" s="467"/>
      <c r="AO367" s="566"/>
      <c r="AP367" s="467"/>
      <c r="AQ367" s="467"/>
      <c r="AR367" s="467"/>
      <c r="AS367" s="467"/>
      <c r="AT367" s="467"/>
      <c r="AU367" s="467"/>
      <c r="AV367" s="467"/>
      <c r="AW367" s="467"/>
      <c r="AX367" s="467"/>
      <c r="AY367" s="468">
        <f>COUNTIF(AI367:AX367,"*OP*")</f>
        <v>0</v>
      </c>
      <c r="AZ367" s="484" t="s">
        <v>59</v>
      </c>
      <c r="BA367" s="471">
        <f>(COUNTIF(AI367:AK367,"*OK*")*3) + (COUNTIF(AL367:AN367,"*OK*")*2) + COUNTIF(AO367:AQ367,"*OK*")+COUNTIF(AZ367:AZ367,"SI")*0.5</f>
        <v>0</v>
      </c>
      <c r="BB367" s="471" t="str">
        <f>IF(BA367&lt;0.6,"Demasiado Riesgo",IF(BA367&lt;=5,"Riesgo Medio",IF(BA367&lt;=11,"Riesgo Bajo","Cliente Blindado")))</f>
        <v>Demasiado Riesgo</v>
      </c>
      <c r="BC367" s="471"/>
      <c r="BD367" s="471"/>
      <c r="BE367" s="471">
        <v>0</v>
      </c>
      <c r="BF367" s="471"/>
      <c r="BG367" s="471"/>
      <c r="BH367" s="471"/>
      <c r="BI367" s="471"/>
      <c r="BJ367" s="471"/>
      <c r="BK367" s="471"/>
      <c r="BL367" s="471"/>
      <c r="BM367" s="471"/>
      <c r="BN367" s="471"/>
      <c r="BO367" s="471"/>
      <c r="BP367" s="471"/>
      <c r="BQ367" s="471"/>
      <c r="BR367" s="471"/>
      <c r="BS367" s="471"/>
      <c r="BT367" s="471"/>
      <c r="BU367" s="471"/>
      <c r="BV367" s="471"/>
      <c r="BW367" s="471"/>
      <c r="BX367" s="471"/>
      <c r="BY367" s="471"/>
      <c r="BZ367" s="471"/>
      <c r="CA367" s="471">
        <f>COUNTIF(AI367:AW367,"*OK*")</f>
        <v>0</v>
      </c>
      <c r="CB367" s="471"/>
      <c r="CC367" s="471">
        <f>COUNTIF(AI367:AW367,"*OP*")</f>
        <v>0</v>
      </c>
    </row>
    <row r="368" spans="1:81" ht="15" customHeight="1">
      <c r="A368" s="449">
        <v>36619</v>
      </c>
      <c r="B368" s="450"/>
      <c r="C368" s="451">
        <f>T368</f>
        <v>406.82</v>
      </c>
      <c r="D368" s="450">
        <f>COUNTIF(AI368:AW368,"*OK*")</f>
        <v>0</v>
      </c>
      <c r="E368" s="450"/>
      <c r="F368" s="453" t="s">
        <v>1047</v>
      </c>
      <c r="G368" s="453"/>
      <c r="H368" s="454"/>
      <c r="I368" s="454"/>
      <c r="J368" s="453"/>
      <c r="K368" s="455" t="s">
        <v>68</v>
      </c>
      <c r="L368" s="453" t="s">
        <v>461</v>
      </c>
      <c r="M368" s="453"/>
      <c r="N368" s="466" t="s">
        <v>65</v>
      </c>
      <c r="O368" s="457"/>
      <c r="P368" s="457"/>
      <c r="Q368" s="457">
        <v>57.99</v>
      </c>
      <c r="R368" s="458">
        <v>59.85</v>
      </c>
      <c r="S368" s="459">
        <v>60.659599999999998</v>
      </c>
      <c r="T368" s="460">
        <v>406.82</v>
      </c>
      <c r="U368" s="461"/>
      <c r="V368" s="462">
        <v>50</v>
      </c>
      <c r="W368" s="463"/>
      <c r="X368" s="562" t="s">
        <v>70</v>
      </c>
      <c r="Y368" s="465" t="s">
        <v>150</v>
      </c>
      <c r="Z368" s="466" t="s">
        <v>1048</v>
      </c>
      <c r="AA368" s="462" t="s">
        <v>59</v>
      </c>
      <c r="AB368" s="454"/>
      <c r="AC368" s="450"/>
      <c r="AD368" s="450"/>
      <c r="AE368" s="450"/>
      <c r="AF368" s="450"/>
      <c r="AG368" s="450"/>
      <c r="AH368" s="499" t="s">
        <v>59</v>
      </c>
      <c r="AI368" s="467"/>
      <c r="AJ368" s="467"/>
      <c r="AK368" s="467"/>
      <c r="AL368" s="467"/>
      <c r="AM368" s="467"/>
      <c r="AN368" s="467"/>
      <c r="AO368" s="467"/>
      <c r="AP368" s="467"/>
      <c r="AQ368" s="467"/>
      <c r="AR368" s="467"/>
      <c r="AS368" s="467"/>
      <c r="AT368" s="467"/>
      <c r="AU368" s="467"/>
      <c r="AV368" s="467"/>
      <c r="AW368" s="467"/>
      <c r="AX368" s="467"/>
      <c r="AY368" s="486">
        <f>COUNTIF(AI368:AX368,"*OP*")</f>
        <v>0</v>
      </c>
      <c r="AZ368" s="499" t="s">
        <v>59</v>
      </c>
      <c r="BA368" s="450">
        <f>(COUNTIF(AI368:AK368,"*OK*")*3) + (COUNTIF(AL368:AN368,"*OK*")*2) + COUNTIF(AO368:AQ368,"*OK*")+COUNTIF(AZ368:AZ368,"SI")*0.5</f>
        <v>0</v>
      </c>
      <c r="BB368" s="450" t="str">
        <f>IF(BA368&lt;0.6,"Demasiado Riesgo",IF(BA368&lt;=5,"Riesgo Medio",IF(BA368&lt;=11,"Riesgo Bajo","Cliente Blindado")))</f>
        <v>Demasiado Riesgo</v>
      </c>
      <c r="BC368" s="450"/>
      <c r="BD368" s="450"/>
      <c r="BE368" s="450">
        <v>0</v>
      </c>
      <c r="BF368" s="450"/>
      <c r="BG368" s="450"/>
      <c r="BH368" s="450"/>
      <c r="BI368" s="450"/>
      <c r="BJ368" s="450"/>
      <c r="BK368" s="450"/>
      <c r="BL368" s="450"/>
      <c r="BM368" s="450"/>
      <c r="BN368" s="450"/>
      <c r="BO368" s="450"/>
      <c r="BP368" s="450"/>
      <c r="BQ368" s="450"/>
      <c r="BR368" s="450"/>
      <c r="BS368" s="450"/>
      <c r="BT368" s="450"/>
      <c r="BU368" s="450"/>
      <c r="BV368" s="450"/>
      <c r="BW368" s="450"/>
      <c r="BX368" s="450"/>
      <c r="BY368" s="450"/>
      <c r="BZ368" s="450"/>
      <c r="CA368" s="450">
        <f>COUNTIF(AI368:AW368,"*OK*")</f>
        <v>0</v>
      </c>
      <c r="CB368" s="450"/>
      <c r="CC368" s="450">
        <f>COUNTIF(AI368:AW368,"*OP*")</f>
        <v>0</v>
      </c>
    </row>
    <row r="369" spans="1:81" ht="15" customHeight="1">
      <c r="A369" s="470"/>
      <c r="B369" s="471"/>
      <c r="C369" s="451">
        <f>T369</f>
        <v>423.39</v>
      </c>
      <c r="D369" s="471">
        <f>COUNTIF(AM369:AX369,"OK")</f>
        <v>0</v>
      </c>
      <c r="E369" s="471"/>
      <c r="F369" s="471" t="s">
        <v>1049</v>
      </c>
      <c r="G369" s="471"/>
      <c r="H369" s="454" t="s">
        <v>451</v>
      </c>
      <c r="I369" s="474"/>
      <c r="J369" s="471"/>
      <c r="K369" s="491" t="s">
        <v>68</v>
      </c>
      <c r="L369" s="536" t="s">
        <v>445</v>
      </c>
      <c r="M369" s="536"/>
      <c r="N369" s="484"/>
      <c r="O369" s="457"/>
      <c r="P369" s="457"/>
      <c r="Q369" s="457"/>
      <c r="R369" s="458"/>
      <c r="S369" s="459">
        <v>401.7978</v>
      </c>
      <c r="T369" s="593">
        <v>423.39</v>
      </c>
      <c r="U369" s="479"/>
      <c r="V369" s="480" t="s">
        <v>59</v>
      </c>
      <c r="W369" s="471"/>
      <c r="X369" s="483"/>
      <c r="Y369" s="483"/>
      <c r="Z369" s="484"/>
      <c r="AA369" s="494" t="s">
        <v>59</v>
      </c>
      <c r="AB369" s="474"/>
      <c r="AC369" s="471"/>
      <c r="AD369" s="471"/>
      <c r="AE369" s="471"/>
      <c r="AF369" s="471"/>
      <c r="AG369" s="471"/>
      <c r="AH369" s="622"/>
      <c r="AI369" s="618"/>
      <c r="AJ369" s="618"/>
      <c r="AK369" s="618"/>
      <c r="AL369" s="618"/>
      <c r="AM369" s="618"/>
      <c r="AN369" s="618"/>
      <c r="AO369" s="618"/>
      <c r="AP369" s="618"/>
      <c r="AQ369" s="618"/>
      <c r="AR369" s="618"/>
      <c r="AS369" s="618"/>
      <c r="AT369" s="618"/>
      <c r="AU369" s="618"/>
      <c r="AV369" s="618"/>
      <c r="AW369" s="618"/>
      <c r="AX369" s="618"/>
      <c r="AY369" s="619">
        <f>COUNTIF(AI369:AX369,"*OP*")</f>
        <v>0</v>
      </c>
      <c r="AZ369" s="623"/>
      <c r="BA369" s="471">
        <f>(COUNTIF(AI369:AK369,"*OK*")*3) + (COUNTIF(AL369:AN369,"*OK*")*2) + COUNTIF(AO369:AQ369,"*OK*")+COUNTIF(AZ369:AZ369,"SI")*0.5</f>
        <v>0</v>
      </c>
      <c r="BB369" s="471" t="str">
        <f>IF(BA369&lt;0.6,"Demasiado Riesgo",IF(BA369&lt;=5,"Riesgo Medio",IF(BA369&lt;=11,"Riesgo Bajo","Cliente Blindado")))</f>
        <v>Demasiado Riesgo</v>
      </c>
      <c r="BC369" s="471"/>
      <c r="BD369" s="471"/>
      <c r="BE369" s="471"/>
      <c r="BF369" s="471"/>
      <c r="BG369" s="471"/>
      <c r="BH369" s="471"/>
      <c r="BI369" s="471"/>
      <c r="BJ369" s="471"/>
      <c r="BK369" s="471"/>
      <c r="BL369" s="471"/>
      <c r="BM369" s="471"/>
      <c r="BN369" s="471"/>
      <c r="BO369" s="471"/>
      <c r="BP369" s="471"/>
      <c r="BQ369" s="471"/>
      <c r="BR369" s="471"/>
      <c r="BS369" s="471"/>
      <c r="BT369" s="471"/>
      <c r="BU369" s="471"/>
      <c r="BV369" s="471"/>
      <c r="BW369" s="471"/>
      <c r="BX369" s="471"/>
      <c r="BY369" s="471"/>
      <c r="BZ369" s="471"/>
      <c r="CA369" s="471">
        <f>COUNTIF(AI369:AW369,"*OK*")</f>
        <v>0</v>
      </c>
      <c r="CB369" s="471"/>
      <c r="CC369" s="471">
        <f>COUNTIF(AI369:AW369,"*OP*")</f>
        <v>0</v>
      </c>
    </row>
    <row r="370" spans="1:81" ht="15" customHeight="1">
      <c r="A370" s="470"/>
      <c r="B370" s="471"/>
      <c r="C370" s="451">
        <f>T370</f>
        <v>517.77</v>
      </c>
      <c r="D370" s="471">
        <f>COUNTIF(AI370:AW370,"*OK*")</f>
        <v>0</v>
      </c>
      <c r="E370" s="471"/>
      <c r="F370" s="473" t="s">
        <v>1050</v>
      </c>
      <c r="G370" s="473"/>
      <c r="H370" s="474"/>
      <c r="I370" s="474"/>
      <c r="J370" s="473"/>
      <c r="K370" s="475" t="s">
        <v>79</v>
      </c>
      <c r="L370" s="453" t="s">
        <v>461</v>
      </c>
      <c r="M370" s="473"/>
      <c r="N370" s="476" t="s">
        <v>65</v>
      </c>
      <c r="O370" s="477">
        <v>525.62</v>
      </c>
      <c r="P370" s="477">
        <v>525.14</v>
      </c>
      <c r="Q370" s="477">
        <v>500.45</v>
      </c>
      <c r="R370" s="478">
        <v>516.55999999999995</v>
      </c>
      <c r="S370" s="459">
        <v>523.51110000000006</v>
      </c>
      <c r="T370" s="487">
        <v>517.77</v>
      </c>
      <c r="U370" s="479"/>
      <c r="V370" s="480">
        <v>300</v>
      </c>
      <c r="W370" s="481"/>
      <c r="X370" s="483" t="s">
        <v>70</v>
      </c>
      <c r="Y370" s="483" t="s">
        <v>139</v>
      </c>
      <c r="Z370" s="484" t="s">
        <v>1051</v>
      </c>
      <c r="AA370" s="480" t="s">
        <v>59</v>
      </c>
      <c r="AB370" s="474"/>
      <c r="AC370" s="471"/>
      <c r="AD370" s="471"/>
      <c r="AE370" s="471"/>
      <c r="AF370" s="471"/>
      <c r="AG370" s="471"/>
      <c r="AH370" s="494" t="s">
        <v>59</v>
      </c>
      <c r="AI370" s="467"/>
      <c r="AJ370" s="467"/>
      <c r="AK370" s="467"/>
      <c r="AL370" s="467"/>
      <c r="AM370" s="467"/>
      <c r="AN370" s="467"/>
      <c r="AO370" s="467"/>
      <c r="AP370" s="467"/>
      <c r="AQ370" s="467"/>
      <c r="AR370" s="467"/>
      <c r="AS370" s="467"/>
      <c r="AT370" s="467"/>
      <c r="AU370" s="467"/>
      <c r="AV370" s="467"/>
      <c r="AW370" s="467"/>
      <c r="AX370" s="467"/>
      <c r="AY370" s="486">
        <f>COUNTIF(AI370:AX370,"*OP*")</f>
        <v>0</v>
      </c>
      <c r="AZ370" s="485" t="s">
        <v>59</v>
      </c>
      <c r="BA370" s="471">
        <f>(COUNTIF(AI370:AK370,"*OK*")*3) + (COUNTIF(AL370:AN370,"*OK*")*2) + COUNTIF(AO370:AQ370,"*OK*")+COUNTIF(AZ370:AZ370,"SI")*0.5</f>
        <v>0</v>
      </c>
      <c r="BB370" s="471" t="str">
        <f>IF(BA370&lt;0.6,"Demasiado Riesgo",IF(BA370&lt;=5,"Riesgo Medio",IF(BA370&lt;=11,"Riesgo Bajo","Cliente Blindado")))</f>
        <v>Demasiado Riesgo</v>
      </c>
      <c r="BC370" s="471"/>
      <c r="BD370" s="471"/>
      <c r="BE370" s="471">
        <v>0</v>
      </c>
      <c r="BF370" s="471"/>
      <c r="BG370" s="471"/>
      <c r="BH370" s="471"/>
      <c r="BI370" s="471"/>
      <c r="BJ370" s="471"/>
      <c r="BK370" s="471"/>
      <c r="BL370" s="471"/>
      <c r="BM370" s="471"/>
      <c r="BN370" s="471"/>
      <c r="BO370" s="471"/>
      <c r="BP370" s="471"/>
      <c r="BQ370" s="471"/>
      <c r="BR370" s="471"/>
      <c r="BS370" s="471"/>
      <c r="BT370" s="471"/>
      <c r="BU370" s="471"/>
      <c r="BV370" s="471"/>
      <c r="BW370" s="471"/>
      <c r="BX370" s="471"/>
      <c r="BY370" s="471"/>
      <c r="BZ370" s="471"/>
      <c r="CA370" s="471">
        <f>COUNTIF(AI370:AW370,"*OK*")</f>
        <v>0</v>
      </c>
      <c r="CB370" s="471"/>
      <c r="CC370" s="471">
        <f>COUNTIF(AI370:AW370,"*OP*")</f>
        <v>0</v>
      </c>
    </row>
    <row r="371" spans="1:81" ht="15" customHeight="1">
      <c r="A371" s="449"/>
      <c r="B371" s="450"/>
      <c r="C371" s="451">
        <f>T371</f>
        <v>794.5</v>
      </c>
      <c r="D371" s="450">
        <f>COUNTIF(AM371:AX371,"OK")</f>
        <v>0</v>
      </c>
      <c r="E371" s="450"/>
      <c r="F371" s="450" t="s">
        <v>1052</v>
      </c>
      <c r="G371" s="450"/>
      <c r="H371" s="454" t="s">
        <v>441</v>
      </c>
      <c r="I371" s="454"/>
      <c r="J371" s="450"/>
      <c r="K371" s="501" t="s">
        <v>1031</v>
      </c>
      <c r="L371" s="453" t="s">
        <v>461</v>
      </c>
      <c r="M371" s="471"/>
      <c r="N371" s="466"/>
      <c r="O371" s="457"/>
      <c r="P371" s="457"/>
      <c r="Q371" s="457"/>
      <c r="R371" s="458"/>
      <c r="S371" s="459">
        <v>759.11189999999999</v>
      </c>
      <c r="T371" s="492">
        <v>794.5</v>
      </c>
      <c r="U371" s="461"/>
      <c r="V371" s="462" t="s">
        <v>59</v>
      </c>
      <c r="W371" s="450"/>
      <c r="X371" s="465"/>
      <c r="Y371" s="465"/>
      <c r="Z371" s="466"/>
      <c r="AA371" s="496" t="s">
        <v>59</v>
      </c>
      <c r="AB371" s="454"/>
      <c r="AC371" s="450"/>
      <c r="AD371" s="450"/>
      <c r="AE371" s="450"/>
      <c r="AF371" s="450"/>
      <c r="AG371" s="450"/>
      <c r="AH371" s="625"/>
      <c r="AI371" s="618"/>
      <c r="AJ371" s="618"/>
      <c r="AK371" s="618"/>
      <c r="AL371" s="618"/>
      <c r="AM371" s="618"/>
      <c r="AN371" s="618"/>
      <c r="AO371" s="618"/>
      <c r="AP371" s="581"/>
      <c r="AQ371" s="618"/>
      <c r="AR371" s="618"/>
      <c r="AS371" s="618"/>
      <c r="AT371" s="618"/>
      <c r="AU371" s="618"/>
      <c r="AV371" s="618"/>
      <c r="AW371" s="618"/>
      <c r="AX371" s="618"/>
      <c r="AY371" s="411">
        <f>COUNTIF(AI371:AX371,"*OP*")</f>
        <v>0</v>
      </c>
      <c r="AZ371" s="625"/>
      <c r="BA371" s="450">
        <f>(COUNTIF(AI371:AK371,"*OK*")*3) + (COUNTIF(AL371:AN371,"*OK*")*2) + COUNTIF(AO371:AQ371,"*OK*")+COUNTIF(AZ371:AZ371,"SI")*0.5</f>
        <v>0</v>
      </c>
      <c r="BB371" s="450" t="str">
        <f>IF(BA371&lt;0.6,"Demasiado Riesgo",IF(BA371&lt;=5,"Riesgo Medio",IF(BA371&lt;=11,"Riesgo Bajo","Cliente Blindado")))</f>
        <v>Demasiado Riesgo</v>
      </c>
      <c r="BC371" s="450"/>
      <c r="BD371" s="450"/>
      <c r="BE371" s="450"/>
      <c r="BF371" s="450"/>
      <c r="BG371" s="450"/>
      <c r="BH371" s="450"/>
      <c r="BI371" s="450"/>
      <c r="BJ371" s="450"/>
      <c r="BK371" s="450"/>
      <c r="BL371" s="450"/>
      <c r="BM371" s="450"/>
      <c r="BN371" s="450"/>
      <c r="BO371" s="450"/>
      <c r="BP371" s="450"/>
      <c r="BQ371" s="450"/>
      <c r="BR371" s="450"/>
      <c r="BS371" s="450"/>
      <c r="BT371" s="450"/>
      <c r="BU371" s="450"/>
      <c r="BV371" s="450"/>
      <c r="BW371" s="450"/>
      <c r="BX371" s="450"/>
      <c r="BY371" s="450"/>
      <c r="BZ371" s="450"/>
      <c r="CA371" s="450">
        <f>COUNTIF(AI371:AW371,"*OK*")</f>
        <v>0</v>
      </c>
      <c r="CB371" s="450"/>
      <c r="CC371" s="450"/>
    </row>
    <row r="372" spans="1:81" ht="15" customHeight="1">
      <c r="A372" s="449">
        <v>34609</v>
      </c>
      <c r="B372" s="450"/>
      <c r="C372" s="451">
        <f>T372</f>
        <v>1051.33</v>
      </c>
      <c r="D372" s="450">
        <f>COUNTIF(AM372:AX372,"OK")</f>
        <v>0</v>
      </c>
      <c r="E372" s="450"/>
      <c r="F372" s="450" t="s">
        <v>1053</v>
      </c>
      <c r="G372" s="450"/>
      <c r="H372" s="454" t="s">
        <v>441</v>
      </c>
      <c r="I372" s="454"/>
      <c r="J372" s="450"/>
      <c r="K372" s="501" t="s">
        <v>1031</v>
      </c>
      <c r="L372" s="453" t="s">
        <v>461</v>
      </c>
      <c r="M372" s="471"/>
      <c r="N372" s="466"/>
      <c r="O372" s="457"/>
      <c r="P372" s="457"/>
      <c r="Q372" s="457"/>
      <c r="R372" s="458"/>
      <c r="S372" s="459">
        <v>1035.2577000000001</v>
      </c>
      <c r="T372" s="593">
        <v>1051.33</v>
      </c>
      <c r="U372" s="461"/>
      <c r="V372" s="462" t="s">
        <v>59</v>
      </c>
      <c r="W372" s="450"/>
      <c r="X372" s="465"/>
      <c r="Y372" s="465"/>
      <c r="Z372" s="466"/>
      <c r="AA372" s="496" t="s">
        <v>59</v>
      </c>
      <c r="AB372" s="454"/>
      <c r="AC372" s="450"/>
      <c r="AD372" s="450"/>
      <c r="AE372" s="450"/>
      <c r="AF372" s="450"/>
      <c r="AG372" s="450"/>
      <c r="AH372" s="466"/>
      <c r="AI372" s="467"/>
      <c r="AJ372" s="467"/>
      <c r="AK372" s="566"/>
      <c r="AL372" s="467"/>
      <c r="AM372" s="467"/>
      <c r="AN372" s="467"/>
      <c r="AO372" s="467"/>
      <c r="AP372" s="467"/>
      <c r="AQ372" s="467"/>
      <c r="AR372" s="467"/>
      <c r="AS372" s="467"/>
      <c r="AT372" s="467"/>
      <c r="AU372" s="467"/>
      <c r="AV372" s="467"/>
      <c r="AW372" s="467"/>
      <c r="AX372" s="467"/>
      <c r="AY372" s="468">
        <f>COUNTIF(AI372:AX372,"*OP*")</f>
        <v>0</v>
      </c>
      <c r="AZ372" s="466" t="s">
        <v>59</v>
      </c>
      <c r="BA372" s="450">
        <f>(COUNTIF(AI372:AK372,"*OK*")*3) + (COUNTIF(AL372:AN372,"*OK*")*2) + COUNTIF(AO372:AQ372,"*OK*")+COUNTIF(AZ372:AZ372,"SI")*0.5</f>
        <v>0</v>
      </c>
      <c r="BB372" s="450" t="str">
        <f>IF(BA372&lt;0.6,"Demasiado Riesgo",IF(BA372&lt;=5,"Riesgo Medio",IF(BA372&lt;=11,"Riesgo Bajo","Cliente Blindado")))</f>
        <v>Demasiado Riesgo</v>
      </c>
      <c r="BC372" s="450"/>
      <c r="BD372" s="450"/>
      <c r="BE372" s="450"/>
      <c r="BF372" s="450"/>
      <c r="BG372" s="450"/>
      <c r="BH372" s="450"/>
      <c r="BI372" s="450"/>
      <c r="BJ372" s="450"/>
      <c r="BK372" s="450"/>
      <c r="BL372" s="450"/>
      <c r="BM372" s="450"/>
      <c r="BN372" s="450"/>
      <c r="BO372" s="450"/>
      <c r="BP372" s="450"/>
      <c r="BQ372" s="450"/>
      <c r="BR372" s="450"/>
      <c r="BS372" s="450"/>
      <c r="BT372" s="450"/>
      <c r="BU372" s="450"/>
      <c r="BV372" s="450"/>
      <c r="BW372" s="450"/>
      <c r="BX372" s="450"/>
      <c r="BY372" s="450"/>
      <c r="BZ372" s="450"/>
      <c r="CA372" s="450">
        <f>COUNTIF(AI372:AW372,"*OK*")</f>
        <v>0</v>
      </c>
      <c r="CB372" s="450"/>
      <c r="CC372" s="450">
        <f>COUNTIF(AI372:AW372,"*OP*")</f>
        <v>0</v>
      </c>
    </row>
    <row r="373" spans="1:81" ht="15" customHeight="1">
      <c r="A373" s="470">
        <v>37760</v>
      </c>
      <c r="B373" s="471"/>
      <c r="C373" s="451">
        <f>T373</f>
        <v>3625.38</v>
      </c>
      <c r="D373" s="471">
        <f>COUNTIF(AM373:AX373,"OK")</f>
        <v>0</v>
      </c>
      <c r="E373" s="471"/>
      <c r="F373" s="471" t="s">
        <v>1054</v>
      </c>
      <c r="G373" s="471"/>
      <c r="H373" s="474" t="s">
        <v>1055</v>
      </c>
      <c r="I373" s="474"/>
      <c r="J373" s="471"/>
      <c r="K373" s="491" t="s">
        <v>1031</v>
      </c>
      <c r="L373" s="453" t="s">
        <v>461</v>
      </c>
      <c r="M373" s="471"/>
      <c r="N373" s="484"/>
      <c r="O373" s="457"/>
      <c r="P373" s="457"/>
      <c r="Q373" s="457"/>
      <c r="R373" s="458"/>
      <c r="S373" s="459">
        <v>2975.2103999999999</v>
      </c>
      <c r="T373" s="593">
        <v>3625.38</v>
      </c>
      <c r="U373" s="479"/>
      <c r="V373" s="480" t="s">
        <v>59</v>
      </c>
      <c r="W373" s="471"/>
      <c r="X373" s="483"/>
      <c r="Y373" s="483"/>
      <c r="Z373" s="484"/>
      <c r="AA373" s="494" t="s">
        <v>59</v>
      </c>
      <c r="AB373" s="474"/>
      <c r="AC373" s="471"/>
      <c r="AD373" s="471"/>
      <c r="AE373" s="471"/>
      <c r="AF373" s="471"/>
      <c r="AG373" s="471"/>
      <c r="AH373" s="623"/>
      <c r="AI373" s="618"/>
      <c r="AJ373" s="618"/>
      <c r="AK373" s="618"/>
      <c r="AL373" s="618"/>
      <c r="AM373" s="618"/>
      <c r="AN373" s="618"/>
      <c r="AO373" s="618"/>
      <c r="AP373" s="618"/>
      <c r="AQ373" s="618"/>
      <c r="AR373" s="618"/>
      <c r="AS373" s="618"/>
      <c r="AT373" s="618"/>
      <c r="AU373" s="618"/>
      <c r="AV373" s="618"/>
      <c r="AW373" s="618"/>
      <c r="AX373" s="618"/>
      <c r="AY373" s="619">
        <f>COUNTIF(AI373:AX373,"*OP*")</f>
        <v>0</v>
      </c>
      <c r="AZ373" s="623"/>
      <c r="BA373" s="471">
        <f>(COUNTIF(AI373:AK373,"*OK*")*3) + (COUNTIF(AL373:AN373,"*OK*")*2) + COUNTIF(AO373:AQ373,"*OK*")+COUNTIF(AZ373:AZ373,"SI")*0.5</f>
        <v>0</v>
      </c>
      <c r="BB373" s="471" t="str">
        <f>IF(BA373&lt;0.6,"Demasiado Riesgo",IF(BA373&lt;=5,"Riesgo Medio",IF(BA373&lt;=11,"Riesgo Bajo","Cliente Blindado")))</f>
        <v>Demasiado Riesgo</v>
      </c>
      <c r="BC373" s="471"/>
      <c r="BD373" s="471"/>
      <c r="BE373" s="471"/>
      <c r="BF373" s="471"/>
      <c r="BG373" s="471"/>
      <c r="BH373" s="471"/>
      <c r="BI373" s="471"/>
      <c r="BJ373" s="471"/>
      <c r="BK373" s="471"/>
      <c r="BL373" s="471"/>
      <c r="BM373" s="471"/>
      <c r="BN373" s="471"/>
      <c r="BO373" s="471"/>
      <c r="BP373" s="471"/>
      <c r="BQ373" s="471"/>
      <c r="BR373" s="471"/>
      <c r="BS373" s="471"/>
      <c r="BT373" s="471"/>
      <c r="BU373" s="471"/>
      <c r="BV373" s="471"/>
      <c r="BW373" s="471"/>
      <c r="BX373" s="471"/>
      <c r="BY373" s="471"/>
      <c r="BZ373" s="471"/>
      <c r="CA373" s="471">
        <f>COUNTIF(AI373:AW373,"*OK*")</f>
        <v>0</v>
      </c>
      <c r="CB373" s="471"/>
      <c r="CC373" s="471"/>
    </row>
    <row r="374" spans="1:81" ht="15" customHeight="1">
      <c r="A374" s="449"/>
      <c r="B374" s="450"/>
      <c r="C374" s="451" t="str">
        <f>T374</f>
        <v> </v>
      </c>
      <c r="D374" s="450">
        <f>COUNTIF(AM374:AX374,"OK")</f>
        <v>0</v>
      </c>
      <c r="E374" s="450"/>
      <c r="F374" s="495" t="s">
        <v>1056</v>
      </c>
      <c r="G374" s="489" t="s">
        <v>59</v>
      </c>
      <c r="H374" s="474" t="s">
        <v>451</v>
      </c>
      <c r="I374" s="474"/>
      <c r="J374" s="489" t="s">
        <v>1057</v>
      </c>
      <c r="K374" s="489" t="s">
        <v>59</v>
      </c>
      <c r="L374" s="536" t="s">
        <v>445</v>
      </c>
      <c r="M374" s="536"/>
      <c r="N374" s="466" t="s">
        <v>103</v>
      </c>
      <c r="O374" s="545" t="s">
        <v>59</v>
      </c>
      <c r="P374" s="545"/>
      <c r="Q374" s="545" t="s">
        <v>59</v>
      </c>
      <c r="R374" s="546">
        <v>101.52</v>
      </c>
      <c r="S374" s="539">
        <v>101.0416</v>
      </c>
      <c r="T374" s="498" t="s">
        <v>59</v>
      </c>
      <c r="U374" s="461"/>
      <c r="V374" s="462" t="s">
        <v>59</v>
      </c>
      <c r="W374" s="450"/>
      <c r="X374" s="465"/>
      <c r="Y374" s="465"/>
      <c r="Z374" s="466"/>
      <c r="AA374" s="496" t="s">
        <v>59</v>
      </c>
      <c r="AB374" s="454"/>
      <c r="AC374" s="450"/>
      <c r="AD374" s="450"/>
      <c r="AE374" s="450"/>
      <c r="AF374" s="450"/>
      <c r="AG374" s="450"/>
      <c r="AH374" s="496" t="s">
        <v>59</v>
      </c>
      <c r="AI374" s="467"/>
      <c r="AJ374" s="467"/>
      <c r="AK374" s="467"/>
      <c r="AL374" s="467"/>
      <c r="AM374" s="467"/>
      <c r="AN374" s="467"/>
      <c r="AO374" s="467"/>
      <c r="AP374" s="467"/>
      <c r="AQ374" s="467"/>
      <c r="AR374" s="467"/>
      <c r="AS374" s="467"/>
      <c r="AT374" s="467"/>
      <c r="AU374" s="467"/>
      <c r="AV374" s="467"/>
      <c r="AW374" s="467"/>
      <c r="AX374" s="467"/>
      <c r="AY374" s="486">
        <f>COUNTIF(AI374:AX374,"*OP*")</f>
        <v>0</v>
      </c>
      <c r="AZ374" s="499" t="s">
        <v>59</v>
      </c>
      <c r="BA374" s="450">
        <f>(COUNTIF(AI374:AK374,"*OK*")*3) + (COUNTIF(AL374:AN374,"*OK*")*2) + COUNTIF(AO374:AQ374,"*OK*")+COUNTIF(AZ374:AZ374,"SI")*0.5</f>
        <v>0</v>
      </c>
      <c r="BB374" s="450" t="str">
        <f>IF(BA374&lt;0.6,"Demasiado Riesgo",IF(BA374&lt;=5,"Riesgo Medio",IF(BA374&lt;=11,"Riesgo Bajo","Cliente Blindado")))</f>
        <v>Demasiado Riesgo</v>
      </c>
      <c r="BC374" s="450"/>
      <c r="BD374" s="450"/>
      <c r="BE374" s="450">
        <v>0</v>
      </c>
      <c r="BF374" s="450"/>
      <c r="BG374" s="450"/>
      <c r="BH374" s="450"/>
      <c r="BI374" s="450"/>
      <c r="BJ374" s="450"/>
      <c r="BK374" s="450"/>
      <c r="BL374" s="450"/>
      <c r="BM374" s="450"/>
      <c r="BN374" s="450"/>
      <c r="BO374" s="450"/>
      <c r="BP374" s="450"/>
      <c r="BQ374" s="450"/>
      <c r="BR374" s="450"/>
      <c r="BS374" s="450"/>
      <c r="BT374" s="450"/>
      <c r="BU374" s="450"/>
      <c r="BV374" s="450"/>
      <c r="BW374" s="450"/>
      <c r="BX374" s="450"/>
      <c r="BY374" s="450"/>
      <c r="BZ374" s="450"/>
      <c r="CA374" s="450">
        <f>COUNTIF(AI374:AW374,"*OK*")</f>
        <v>0</v>
      </c>
      <c r="CB374" s="450"/>
      <c r="CC374" s="450">
        <f>COUNTIF(AI374:AW374,"*OP*")</f>
        <v>0</v>
      </c>
    </row>
    <row r="375" spans="1:81" ht="15" customHeight="1">
      <c r="A375" s="449"/>
      <c r="B375" s="450"/>
      <c r="C375" s="451" t="str">
        <f>T375</f>
        <v> </v>
      </c>
      <c r="D375" s="450">
        <f>COUNTIF(AI375:AW375,"*OK*")</f>
        <v>0</v>
      </c>
      <c r="E375" s="450"/>
      <c r="F375" s="453" t="s">
        <v>1058</v>
      </c>
      <c r="G375" s="453"/>
      <c r="H375" s="454"/>
      <c r="I375" s="454"/>
      <c r="J375" s="453"/>
      <c r="K375" s="455" t="s">
        <v>68</v>
      </c>
      <c r="L375" s="453" t="s">
        <v>461</v>
      </c>
      <c r="M375" s="453"/>
      <c r="N375" s="456" t="s">
        <v>65</v>
      </c>
      <c r="O375" s="457">
        <v>71.63</v>
      </c>
      <c r="P375" s="457">
        <v>79.099999999999994</v>
      </c>
      <c r="Q375" s="457">
        <v>75.38</v>
      </c>
      <c r="R375" s="458" t="s">
        <v>59</v>
      </c>
      <c r="S375" s="459">
        <v>0</v>
      </c>
      <c r="T375" s="469" t="s">
        <v>59</v>
      </c>
      <c r="U375" s="461"/>
      <c r="V375" s="462">
        <v>100</v>
      </c>
      <c r="W375" s="463"/>
      <c r="X375" s="562" t="s">
        <v>70</v>
      </c>
      <c r="Y375" s="465" t="s">
        <v>71</v>
      </c>
      <c r="Z375" s="466" t="s">
        <v>1059</v>
      </c>
      <c r="AA375" s="462" t="s">
        <v>59</v>
      </c>
      <c r="AB375" s="454"/>
      <c r="AC375" s="450"/>
      <c r="AD375" s="450"/>
      <c r="AE375" s="450"/>
      <c r="AF375" s="450"/>
      <c r="AG375" s="450"/>
      <c r="AH375" s="496" t="s">
        <v>59</v>
      </c>
      <c r="AI375" s="467"/>
      <c r="AJ375" s="467"/>
      <c r="AK375" s="467"/>
      <c r="AL375" s="467"/>
      <c r="AM375" s="467"/>
      <c r="AN375" s="467"/>
      <c r="AO375" s="467"/>
      <c r="AP375" s="467"/>
      <c r="AQ375" s="467"/>
      <c r="AR375" s="467"/>
      <c r="AS375" s="467"/>
      <c r="AT375" s="467"/>
      <c r="AU375" s="467"/>
      <c r="AV375" s="467"/>
      <c r="AW375" s="467"/>
      <c r="AX375" s="467"/>
      <c r="AY375" s="486">
        <f>COUNTIF(AI375:AX375,"*OP*")</f>
        <v>0</v>
      </c>
      <c r="AZ375" s="499" t="s">
        <v>59</v>
      </c>
      <c r="BA375" s="450">
        <f>(COUNTIF(AI375:AK375,"*OK*")*3) + (COUNTIF(AL375:AN375,"*OK*")*2) + COUNTIF(AO375:AQ375,"*OK*")+COUNTIF(AZ375:AZ375,"SI")*0.5</f>
        <v>0</v>
      </c>
      <c r="BB375" s="450" t="str">
        <f>IF(BA375&lt;0.6,"Demasiado Riesgo",IF(BA375&lt;=5,"Riesgo Medio",IF(BA375&lt;=11,"Riesgo Bajo","Cliente Blindado")))</f>
        <v>Demasiado Riesgo</v>
      </c>
      <c r="BC375" s="450"/>
      <c r="BD375" s="450"/>
      <c r="BE375" s="450">
        <v>0</v>
      </c>
      <c r="BF375" s="450"/>
      <c r="BG375" s="450"/>
      <c r="BH375" s="450"/>
      <c r="BI375" s="450"/>
      <c r="BJ375" s="450"/>
      <c r="BK375" s="450"/>
      <c r="BL375" s="450"/>
      <c r="BM375" s="450"/>
      <c r="BN375" s="450"/>
      <c r="BO375" s="450"/>
      <c r="BP375" s="450"/>
      <c r="BQ375" s="450"/>
      <c r="BR375" s="450"/>
      <c r="BS375" s="450"/>
      <c r="BT375" s="450"/>
      <c r="BU375" s="450"/>
      <c r="BV375" s="450"/>
      <c r="BW375" s="450"/>
      <c r="BX375" s="450"/>
      <c r="BY375" s="450"/>
      <c r="BZ375" s="450"/>
      <c r="CA375" s="450">
        <f>COUNTIF(AI375:AW375,"*OK*")</f>
        <v>0</v>
      </c>
      <c r="CB375" s="450"/>
      <c r="CC375" s="450">
        <f>COUNTIF(AI375:AW375,"*OP*")</f>
        <v>0</v>
      </c>
    </row>
    <row r="376" spans="1:81" ht="15" customHeight="1">
      <c r="A376" s="470"/>
      <c r="B376" s="471"/>
      <c r="C376" s="451" t="str">
        <f>T376</f>
        <v> </v>
      </c>
      <c r="D376" s="471">
        <f>COUNTIF(AI376:AW376,"*OK*")</f>
        <v>0</v>
      </c>
      <c r="E376" s="471"/>
      <c r="F376" s="473" t="s">
        <v>1060</v>
      </c>
      <c r="G376" s="473"/>
      <c r="H376" s="474"/>
      <c r="I376" s="474"/>
      <c r="J376" s="473"/>
      <c r="K376" s="473" t="s">
        <v>68</v>
      </c>
      <c r="L376" s="453" t="s">
        <v>461</v>
      </c>
      <c r="M376" s="473"/>
      <c r="N376" s="476" t="s">
        <v>65</v>
      </c>
      <c r="O376" s="477">
        <v>81.19</v>
      </c>
      <c r="P376" s="477">
        <v>81.11</v>
      </c>
      <c r="Q376" s="477">
        <v>74.44</v>
      </c>
      <c r="R376" s="478" t="s">
        <v>59</v>
      </c>
      <c r="S376" s="459">
        <v>0</v>
      </c>
      <c r="T376" s="487" t="s">
        <v>59</v>
      </c>
      <c r="U376" s="479"/>
      <c r="V376" s="480">
        <v>150</v>
      </c>
      <c r="W376" s="481"/>
      <c r="X376" s="482" t="s">
        <v>70</v>
      </c>
      <c r="Y376" s="483" t="s">
        <v>241</v>
      </c>
      <c r="Z376" s="484" t="s">
        <v>1061</v>
      </c>
      <c r="AA376" s="480" t="s">
        <v>59</v>
      </c>
      <c r="AB376" s="474"/>
      <c r="AC376" s="471"/>
      <c r="AD376" s="471"/>
      <c r="AE376" s="471"/>
      <c r="AF376" s="471"/>
      <c r="AG376" s="471"/>
      <c r="AH376" s="484" t="s">
        <v>59</v>
      </c>
      <c r="AI376" s="467"/>
      <c r="AJ376" s="467"/>
      <c r="AK376" s="566"/>
      <c r="AL376" s="467"/>
      <c r="AM376" s="467"/>
      <c r="AN376" s="467"/>
      <c r="AO376" s="566"/>
      <c r="AP376" s="566"/>
      <c r="AQ376" s="467"/>
      <c r="AR376" s="467"/>
      <c r="AS376" s="467"/>
      <c r="AT376" s="467"/>
      <c r="AU376" s="467"/>
      <c r="AV376" s="467"/>
      <c r="AW376" s="467"/>
      <c r="AX376" s="467"/>
      <c r="AY376" s="468">
        <f>COUNTIF(AI376:AX376,"*OP*")</f>
        <v>0</v>
      </c>
      <c r="AZ376" s="484" t="s">
        <v>59</v>
      </c>
      <c r="BA376" s="471">
        <f>(COUNTIF(AI376:AK376,"*OK*")*3) + (COUNTIF(AL376:AN376,"*OK*")*2) + COUNTIF(AO376:AQ376,"*OK*")+COUNTIF(AZ376:AZ376,"SI")*0.5</f>
        <v>0</v>
      </c>
      <c r="BB376" s="471" t="str">
        <f>IF(BA376&lt;0.6,"Demasiado Riesgo",IF(BA376&lt;=5,"Riesgo Medio",IF(BA376&lt;=11,"Riesgo Bajo","Cliente Blindado")))</f>
        <v>Demasiado Riesgo</v>
      </c>
      <c r="BC376" s="471"/>
      <c r="BD376" s="471"/>
      <c r="BE376" s="471">
        <v>0</v>
      </c>
      <c r="BF376" s="471"/>
      <c r="BG376" s="471"/>
      <c r="BH376" s="471"/>
      <c r="BI376" s="471"/>
      <c r="BJ376" s="471"/>
      <c r="BK376" s="471"/>
      <c r="BL376" s="471"/>
      <c r="BM376" s="471"/>
      <c r="BN376" s="471"/>
      <c r="BO376" s="471"/>
      <c r="BP376" s="471"/>
      <c r="BQ376" s="471"/>
      <c r="BR376" s="471"/>
      <c r="BS376" s="471"/>
      <c r="BT376" s="471"/>
      <c r="BU376" s="471"/>
      <c r="BV376" s="471"/>
      <c r="BW376" s="471"/>
      <c r="BX376" s="471"/>
      <c r="BY376" s="471"/>
      <c r="BZ376" s="471"/>
      <c r="CA376" s="471">
        <f>COUNTIF(AI376:AW376,"*OK*")</f>
        <v>0</v>
      </c>
      <c r="CB376" s="471"/>
      <c r="CC376" s="471">
        <f>COUNTIF(AI376:AW376,"*OP*")</f>
        <v>0</v>
      </c>
    </row>
    <row r="377" spans="1:81" ht="15" customHeight="1">
      <c r="A377" s="470"/>
      <c r="B377" s="471"/>
      <c r="C377" s="451" t="str">
        <f>T377</f>
        <v> </v>
      </c>
      <c r="D377" s="471">
        <f>COUNTIF(AI377:AW377,"*OK*")</f>
        <v>0</v>
      </c>
      <c r="E377" s="471"/>
      <c r="F377" s="473" t="s">
        <v>1062</v>
      </c>
      <c r="G377" s="473"/>
      <c r="H377" s="474"/>
      <c r="I377" s="474"/>
      <c r="J377" s="473"/>
      <c r="K377" s="473" t="s">
        <v>68</v>
      </c>
      <c r="L377" s="453" t="s">
        <v>461</v>
      </c>
      <c r="M377" s="473"/>
      <c r="N377" s="476" t="s">
        <v>191</v>
      </c>
      <c r="O377" s="477">
        <v>53.94</v>
      </c>
      <c r="P377" s="477">
        <v>82.58</v>
      </c>
      <c r="Q377" s="477">
        <v>63.79</v>
      </c>
      <c r="R377" s="478" t="s">
        <v>59</v>
      </c>
      <c r="S377" s="459">
        <v>0</v>
      </c>
      <c r="T377" s="487" t="s">
        <v>59</v>
      </c>
      <c r="U377" s="479"/>
      <c r="V377" s="480">
        <v>100</v>
      </c>
      <c r="W377" s="481"/>
      <c r="X377" s="482" t="s">
        <v>70</v>
      </c>
      <c r="Y377" s="483" t="s">
        <v>71</v>
      </c>
      <c r="Z377" s="484" t="s">
        <v>1063</v>
      </c>
      <c r="AA377" s="480" t="s">
        <v>132</v>
      </c>
      <c r="AB377" s="474"/>
      <c r="AC377" s="471"/>
      <c r="AD377" s="471"/>
      <c r="AE377" s="471"/>
      <c r="AF377" s="471"/>
      <c r="AG377" s="471"/>
      <c r="AH377" s="485" t="s">
        <v>59</v>
      </c>
      <c r="AI377" s="467"/>
      <c r="AJ377" s="467"/>
      <c r="AK377" s="467"/>
      <c r="AL377" s="467"/>
      <c r="AM377" s="467"/>
      <c r="AN377" s="467"/>
      <c r="AO377" s="467"/>
      <c r="AP377" s="467"/>
      <c r="AQ377" s="467"/>
      <c r="AR377" s="467"/>
      <c r="AS377" s="467"/>
      <c r="AT377" s="467"/>
      <c r="AU377" s="467"/>
      <c r="AV377" s="467"/>
      <c r="AW377" s="467"/>
      <c r="AX377" s="467"/>
      <c r="AY377" s="486">
        <f>COUNTIF(AI377:AX377,"*OP*")</f>
        <v>0</v>
      </c>
      <c r="AZ377" s="485" t="s">
        <v>59</v>
      </c>
      <c r="BA377" s="471">
        <f>(COUNTIF(AI377:AK377,"*OK*")*3) + (COUNTIF(AL377:AN377,"*OK*")*2) + COUNTIF(AO377:AQ377,"*OK*")+COUNTIF(AZ377:AZ377,"SI")*0.5</f>
        <v>0</v>
      </c>
      <c r="BB377" s="471" t="str">
        <f>IF(BA377&lt;0.6,"Demasiado Riesgo",IF(BA377&lt;=5,"Riesgo Medio",IF(BA377&lt;=11,"Riesgo Bajo","Cliente Blindado")))</f>
        <v>Demasiado Riesgo</v>
      </c>
      <c r="BC377" s="471"/>
      <c r="BD377" s="471"/>
      <c r="BE377" s="471">
        <v>0</v>
      </c>
      <c r="BF377" s="471"/>
      <c r="BG377" s="471"/>
      <c r="BH377" s="471"/>
      <c r="BI377" s="471"/>
      <c r="BJ377" s="471"/>
      <c r="BK377" s="471"/>
      <c r="BL377" s="471"/>
      <c r="BM377" s="471"/>
      <c r="BN377" s="471"/>
      <c r="BO377" s="471"/>
      <c r="BP377" s="471"/>
      <c r="BQ377" s="471"/>
      <c r="BR377" s="471"/>
      <c r="BS377" s="471"/>
      <c r="BT377" s="471"/>
      <c r="BU377" s="471"/>
      <c r="BV377" s="471"/>
      <c r="BW377" s="471"/>
      <c r="BX377" s="471"/>
      <c r="BY377" s="471"/>
      <c r="BZ377" s="471"/>
      <c r="CA377" s="471">
        <f>COUNTIF(AI377:AW377,"*OK*")</f>
        <v>0</v>
      </c>
      <c r="CB377" s="471"/>
      <c r="CC377" s="471">
        <f>COUNTIF(AI377:AW377,"*OP*")</f>
        <v>0</v>
      </c>
    </row>
    <row r="378" spans="1:81" ht="15" customHeight="1">
      <c r="A378" s="449"/>
      <c r="B378" s="450"/>
      <c r="C378" s="451" t="str">
        <f>T378</f>
        <v> </v>
      </c>
      <c r="D378" s="450">
        <f>COUNTIF(AI378:AW378,"*OK*")</f>
        <v>0</v>
      </c>
      <c r="E378" s="450"/>
      <c r="F378" s="453" t="s">
        <v>1064</v>
      </c>
      <c r="G378" s="453"/>
      <c r="H378" s="454"/>
      <c r="I378" s="454"/>
      <c r="J378" s="453"/>
      <c r="K378" s="453" t="s">
        <v>68</v>
      </c>
      <c r="L378" s="453" t="s">
        <v>461</v>
      </c>
      <c r="M378" s="453"/>
      <c r="N378" s="456" t="s">
        <v>156</v>
      </c>
      <c r="O378" s="457">
        <v>79.39</v>
      </c>
      <c r="P378" s="457">
        <v>68.5</v>
      </c>
      <c r="Q378" s="457">
        <v>58.41</v>
      </c>
      <c r="R378" s="458" t="s">
        <v>59</v>
      </c>
      <c r="S378" s="459">
        <v>0</v>
      </c>
      <c r="T378" s="469" t="s">
        <v>59</v>
      </c>
      <c r="U378" s="461"/>
      <c r="V378" s="462">
        <v>200</v>
      </c>
      <c r="W378" s="463"/>
      <c r="X378" s="562" t="s">
        <v>70</v>
      </c>
      <c r="Y378" s="465" t="s">
        <v>71</v>
      </c>
      <c r="Z378" s="466" t="s">
        <v>1065</v>
      </c>
      <c r="AA378" s="462" t="s">
        <v>71</v>
      </c>
      <c r="AB378" s="454"/>
      <c r="AC378" s="450"/>
      <c r="AD378" s="450"/>
      <c r="AE378" s="450"/>
      <c r="AF378" s="450"/>
      <c r="AG378" s="450"/>
      <c r="AH378" s="496" t="s">
        <v>59</v>
      </c>
      <c r="AI378" s="467"/>
      <c r="AJ378" s="467"/>
      <c r="AK378" s="467"/>
      <c r="AL378" s="467"/>
      <c r="AM378" s="467"/>
      <c r="AN378" s="467"/>
      <c r="AO378" s="467"/>
      <c r="AP378" s="467"/>
      <c r="AQ378" s="467"/>
      <c r="AR378" s="467"/>
      <c r="AS378" s="467"/>
      <c r="AT378" s="467"/>
      <c r="AU378" s="467"/>
      <c r="AV378" s="467"/>
      <c r="AW378" s="467"/>
      <c r="AX378" s="467"/>
      <c r="AY378" s="486">
        <f>COUNTIF(AI378:AX378,"*OP*")</f>
        <v>0</v>
      </c>
      <c r="AZ378" s="499" t="s">
        <v>59</v>
      </c>
      <c r="BA378" s="450">
        <f>(COUNTIF(AI378:AK378,"*OK*")*3) + (COUNTIF(AL378:AN378,"*OK*")*2) + COUNTIF(AO378:AQ378,"*OK*")+COUNTIF(AZ378:AZ378,"SI")*0.5</f>
        <v>0</v>
      </c>
      <c r="BB378" s="450" t="str">
        <f>IF(BA378&lt;0.6,"Demasiado Riesgo",IF(BA378&lt;=5,"Riesgo Medio",IF(BA378&lt;=11,"Riesgo Bajo","Cliente Blindado")))</f>
        <v>Demasiado Riesgo</v>
      </c>
      <c r="BC378" s="450"/>
      <c r="BD378" s="450"/>
      <c r="BE378" s="450">
        <v>0</v>
      </c>
      <c r="BF378" s="450"/>
      <c r="BG378" s="450"/>
      <c r="BH378" s="450"/>
      <c r="BI378" s="450"/>
      <c r="BJ378" s="450"/>
      <c r="BK378" s="450"/>
      <c r="BL378" s="450"/>
      <c r="BM378" s="450"/>
      <c r="BN378" s="450"/>
      <c r="BO378" s="450"/>
      <c r="BP378" s="450"/>
      <c r="BQ378" s="450"/>
      <c r="BR378" s="450"/>
      <c r="BS378" s="450"/>
      <c r="BT378" s="450"/>
      <c r="BU378" s="450"/>
      <c r="BV378" s="450"/>
      <c r="BW378" s="450"/>
      <c r="BX378" s="450"/>
      <c r="BY378" s="450"/>
      <c r="BZ378" s="450"/>
      <c r="CA378" s="450">
        <f>COUNTIF(AI378:AW378,"*OK*")</f>
        <v>0</v>
      </c>
      <c r="CB378" s="450"/>
      <c r="CC378" s="450">
        <f>COUNTIF(AI378:AW378,"*OP*")</f>
        <v>0</v>
      </c>
    </row>
    <row r="379" spans="1:81" ht="15" customHeight="1">
      <c r="A379" s="470">
        <v>33043</v>
      </c>
      <c r="B379" s="471"/>
      <c r="C379" s="451" t="str">
        <f>T379</f>
        <v> </v>
      </c>
      <c r="D379" s="471">
        <f>COUNTIF(AI379:AW379,"*OK*")</f>
        <v>0</v>
      </c>
      <c r="E379" s="471"/>
      <c r="F379" s="473" t="s">
        <v>1066</v>
      </c>
      <c r="G379" s="473"/>
      <c r="H379" s="474"/>
      <c r="I379" s="474"/>
      <c r="J379" s="473"/>
      <c r="K379" s="473" t="s">
        <v>68</v>
      </c>
      <c r="L379" s="453" t="s">
        <v>461</v>
      </c>
      <c r="M379" s="473"/>
      <c r="N379" s="476" t="s">
        <v>156</v>
      </c>
      <c r="O379" s="477">
        <v>56.55</v>
      </c>
      <c r="P379" s="477">
        <v>56.5</v>
      </c>
      <c r="Q379" s="477">
        <v>53.85</v>
      </c>
      <c r="R379" s="478" t="s">
        <v>59</v>
      </c>
      <c r="S379" s="459">
        <v>0</v>
      </c>
      <c r="T379" s="487" t="s">
        <v>59</v>
      </c>
      <c r="U379" s="479"/>
      <c r="V379" s="480">
        <v>100</v>
      </c>
      <c r="W379" s="481"/>
      <c r="X379" s="482" t="s">
        <v>70</v>
      </c>
      <c r="Y379" s="483" t="s">
        <v>139</v>
      </c>
      <c r="Z379" s="484" t="s">
        <v>1067</v>
      </c>
      <c r="AA379" s="480" t="s">
        <v>59</v>
      </c>
      <c r="AB379" s="474"/>
      <c r="AC379" s="471"/>
      <c r="AD379" s="471"/>
      <c r="AE379" s="471"/>
      <c r="AF379" s="471"/>
      <c r="AG379" s="471"/>
      <c r="AH379" s="484" t="s">
        <v>59</v>
      </c>
      <c r="AI379" s="467"/>
      <c r="AJ379" s="467"/>
      <c r="AK379" s="467"/>
      <c r="AL379" s="467"/>
      <c r="AM379" s="467"/>
      <c r="AN379" s="467"/>
      <c r="AO379" s="566"/>
      <c r="AP379" s="467"/>
      <c r="AQ379" s="467"/>
      <c r="AR379" s="467"/>
      <c r="AS379" s="467"/>
      <c r="AT379" s="467"/>
      <c r="AU379" s="467"/>
      <c r="AV379" s="467"/>
      <c r="AW379" s="467"/>
      <c r="AX379" s="467"/>
      <c r="AY379" s="468">
        <f>COUNTIF(AI379:AX379,"*OP*")</f>
        <v>0</v>
      </c>
      <c r="AZ379" s="484" t="s">
        <v>59</v>
      </c>
      <c r="BA379" s="471">
        <f>(COUNTIF(AI379:AK379,"*OK*")*3) + (COUNTIF(AL379:AN379,"*OK*")*2) + COUNTIF(AO379:AQ379,"*OK*")+COUNTIF(AZ379:AZ379,"SI")*0.5</f>
        <v>0</v>
      </c>
      <c r="BB379" s="471" t="str">
        <f>IF(BA379&lt;0.6,"Demasiado Riesgo",IF(BA379&lt;=5,"Riesgo Medio",IF(BA379&lt;=11,"Riesgo Bajo","Cliente Blindado")))</f>
        <v>Demasiado Riesgo</v>
      </c>
      <c r="BC379" s="471"/>
      <c r="BD379" s="471"/>
      <c r="BE379" s="471">
        <v>0</v>
      </c>
      <c r="BF379" s="471"/>
      <c r="BG379" s="471"/>
      <c r="BH379" s="471"/>
      <c r="BI379" s="471"/>
      <c r="BJ379" s="471"/>
      <c r="BK379" s="471"/>
      <c r="BL379" s="471"/>
      <c r="BM379" s="471"/>
      <c r="BN379" s="471"/>
      <c r="BO379" s="471"/>
      <c r="BP379" s="471"/>
      <c r="BQ379" s="471"/>
      <c r="BR379" s="471"/>
      <c r="BS379" s="471"/>
      <c r="BT379" s="471"/>
      <c r="BU379" s="471"/>
      <c r="BV379" s="471"/>
      <c r="BW379" s="471"/>
      <c r="BX379" s="471"/>
      <c r="BY379" s="471"/>
      <c r="BZ379" s="471"/>
      <c r="CA379" s="471">
        <f>COUNTIF(AI379:AW379,"*OK*")</f>
        <v>0</v>
      </c>
      <c r="CB379" s="471"/>
      <c r="CC379" s="471">
        <f>COUNTIF(AI379:AW379,"*OP*")</f>
        <v>0</v>
      </c>
    </row>
    <row r="380" spans="1:81" ht="15" customHeight="1">
      <c r="A380" s="449">
        <v>35832</v>
      </c>
      <c r="B380" s="450"/>
      <c r="C380" s="451" t="str">
        <f>T380</f>
        <v> </v>
      </c>
      <c r="D380" s="450">
        <f>COUNTIF(AI380:AW380,"*OK*")</f>
        <v>0</v>
      </c>
      <c r="E380" s="450"/>
      <c r="F380" s="452" t="s">
        <v>1068</v>
      </c>
      <c r="G380" s="453"/>
      <c r="H380" s="454"/>
      <c r="I380" s="454"/>
      <c r="J380" s="453" t="s">
        <v>1001</v>
      </c>
      <c r="K380" s="552" t="s">
        <v>68</v>
      </c>
      <c r="L380" s="453" t="s">
        <v>461</v>
      </c>
      <c r="M380" s="568"/>
      <c r="N380" s="456" t="s">
        <v>61</v>
      </c>
      <c r="O380" s="612"/>
      <c r="P380" s="612">
        <v>43</v>
      </c>
      <c r="Q380" s="612">
        <v>47</v>
      </c>
      <c r="R380" s="458" t="s">
        <v>59</v>
      </c>
      <c r="S380" s="459"/>
      <c r="T380" s="469" t="s">
        <v>59</v>
      </c>
      <c r="U380" s="461">
        <v>47</v>
      </c>
      <c r="V380" s="462">
        <v>100</v>
      </c>
      <c r="W380" s="463"/>
      <c r="X380" s="562" t="s">
        <v>70</v>
      </c>
      <c r="Y380" s="465" t="s">
        <v>80</v>
      </c>
      <c r="Z380" s="466" t="s">
        <v>1069</v>
      </c>
      <c r="AA380" s="462" t="s">
        <v>59</v>
      </c>
      <c r="AB380" s="454" t="s">
        <v>84</v>
      </c>
      <c r="AC380" s="450"/>
      <c r="AD380" s="450"/>
      <c r="AE380" s="450"/>
      <c r="AF380" s="450"/>
      <c r="AG380" s="450"/>
      <c r="AH380" s="466" t="s">
        <v>59</v>
      </c>
      <c r="AI380" s="467"/>
      <c r="AJ380" s="467"/>
      <c r="AK380" s="467"/>
      <c r="AL380" s="467"/>
      <c r="AM380" s="467"/>
      <c r="AN380" s="467"/>
      <c r="AO380" s="566"/>
      <c r="AP380" s="467"/>
      <c r="AQ380" s="467"/>
      <c r="AR380" s="467"/>
      <c r="AS380" s="467"/>
      <c r="AT380" s="467"/>
      <c r="AU380" s="467"/>
      <c r="AV380" s="467"/>
      <c r="AW380" s="467"/>
      <c r="AX380" s="467"/>
      <c r="AY380" s="468">
        <f>COUNTIF(AI380:AX380,"*OP*")</f>
        <v>0</v>
      </c>
      <c r="AZ380" s="466" t="s">
        <v>59</v>
      </c>
      <c r="BA380" s="450">
        <f>(COUNTIF(AI380:AK380,"*OK*")*3) + (COUNTIF(AL380:AN380,"*OK*")*2) + COUNTIF(AO380:AQ380,"*OK*")+COUNTIF(AZ380:AZ380,"SI")*0.5</f>
        <v>0</v>
      </c>
      <c r="BB380" s="450" t="str">
        <f>IF(BA380&lt;0.6,"Demasiado Riesgo",IF(BA380&lt;=5,"Riesgo Medio",IF(BA380&lt;=11,"Riesgo Bajo","Cliente Blindado")))</f>
        <v>Demasiado Riesgo</v>
      </c>
      <c r="BC380" s="450"/>
      <c r="BD380" s="450"/>
      <c r="BE380" s="450">
        <v>0</v>
      </c>
      <c r="BF380" s="450"/>
      <c r="BG380" s="450"/>
      <c r="BH380" s="450"/>
      <c r="BI380" s="450"/>
      <c r="BJ380" s="450"/>
      <c r="BK380" s="450"/>
      <c r="BL380" s="450"/>
      <c r="BM380" s="450"/>
      <c r="BN380" s="450"/>
      <c r="BO380" s="450"/>
      <c r="BP380" s="450"/>
      <c r="BQ380" s="450"/>
      <c r="BR380" s="450"/>
      <c r="BS380" s="450"/>
      <c r="BT380" s="450"/>
      <c r="BU380" s="450"/>
      <c r="BV380" s="450"/>
      <c r="BW380" s="450"/>
      <c r="BX380" s="450"/>
      <c r="BY380" s="450"/>
      <c r="BZ380" s="450"/>
      <c r="CA380" s="450">
        <f>COUNTIF(AI380:AW380,"*OK*")</f>
        <v>0</v>
      </c>
      <c r="CB380" s="450"/>
      <c r="CC380" s="450">
        <f>COUNTIF(AI380:AW380,"*OP*")</f>
        <v>0</v>
      </c>
    </row>
    <row r="381" spans="1:81" ht="15" customHeight="1">
      <c r="A381" s="449"/>
      <c r="B381" s="450"/>
      <c r="C381" s="451" t="str">
        <f>T381</f>
        <v> </v>
      </c>
      <c r="D381" s="450">
        <f>COUNTIF(AI381:AW381,"*OK*")</f>
        <v>0</v>
      </c>
      <c r="E381" s="450"/>
      <c r="F381" s="453" t="s">
        <v>1070</v>
      </c>
      <c r="G381" s="453"/>
      <c r="H381" s="454"/>
      <c r="I381" s="454"/>
      <c r="J381" s="453"/>
      <c r="K381" s="552" t="s">
        <v>68</v>
      </c>
      <c r="L381" s="453" t="s">
        <v>461</v>
      </c>
      <c r="M381" s="453"/>
      <c r="N381" s="456" t="s">
        <v>156</v>
      </c>
      <c r="O381" s="457">
        <v>35.19</v>
      </c>
      <c r="P381" s="457">
        <v>39.06</v>
      </c>
      <c r="Q381" s="457"/>
      <c r="R381" s="626" t="s">
        <v>59</v>
      </c>
      <c r="S381" s="459">
        <v>0</v>
      </c>
      <c r="T381" s="627" t="s">
        <v>59</v>
      </c>
      <c r="U381" s="461"/>
      <c r="V381" s="462">
        <v>50</v>
      </c>
      <c r="W381" s="463"/>
      <c r="X381" s="562" t="s">
        <v>70</v>
      </c>
      <c r="Y381" s="465" t="s">
        <v>71</v>
      </c>
      <c r="Z381" s="466" t="s">
        <v>1071</v>
      </c>
      <c r="AA381" s="462" t="s">
        <v>59</v>
      </c>
      <c r="AB381" s="454" t="s">
        <v>137</v>
      </c>
      <c r="AC381" s="450"/>
      <c r="AD381" s="450"/>
      <c r="AE381" s="450"/>
      <c r="AF381" s="450"/>
      <c r="AG381" s="450"/>
      <c r="AH381" s="466" t="s">
        <v>59</v>
      </c>
      <c r="AI381" s="486"/>
      <c r="AJ381" s="486"/>
      <c r="AK381" s="468"/>
      <c r="AL381" s="486"/>
      <c r="AM381" s="468"/>
      <c r="AN381" s="486"/>
      <c r="AO381" s="486"/>
      <c r="AP381" s="468"/>
      <c r="AQ381" s="486"/>
      <c r="AR381" s="486"/>
      <c r="AS381" s="486"/>
      <c r="AT381" s="486"/>
      <c r="AU381" s="486"/>
      <c r="AV381" s="486"/>
      <c r="AW381" s="486"/>
      <c r="AX381" s="486"/>
      <c r="AY381" s="468">
        <f>COUNTIF(AI381:AX381,"*OP*")</f>
        <v>0</v>
      </c>
      <c r="AZ381" s="466" t="s">
        <v>59</v>
      </c>
      <c r="BA381" s="450">
        <f>(COUNTIF(AI381:AK381,"*OK*")*3) + (COUNTIF(AL381:AN381,"*OK*")*2) + COUNTIF(AO381:AQ381,"*OK*")+COUNTIF(AZ381:AZ381,"SI")*0.5</f>
        <v>0</v>
      </c>
      <c r="BB381" s="450" t="str">
        <f>IF(BA381&lt;0.6,"Demasiado Riesgo",IF(BA381&lt;=5,"Riesgo Medio",IF(BA381&lt;=11,"Riesgo Bajo","Cliente Blindado")))</f>
        <v>Demasiado Riesgo</v>
      </c>
      <c r="BC381" s="450"/>
      <c r="BD381" s="450"/>
      <c r="BE381" s="450">
        <v>0</v>
      </c>
      <c r="BF381" s="450"/>
      <c r="BG381" s="450"/>
      <c r="BH381" s="450"/>
      <c r="BI381" s="450"/>
      <c r="BJ381" s="450"/>
      <c r="BK381" s="450"/>
      <c r="BL381" s="450"/>
      <c r="BM381" s="450"/>
      <c r="BN381" s="450"/>
      <c r="BO381" s="450"/>
      <c r="BP381" s="450"/>
      <c r="BQ381" s="450"/>
      <c r="BR381" s="450"/>
      <c r="BS381" s="450"/>
      <c r="BT381" s="450"/>
      <c r="BU381" s="450"/>
      <c r="BV381" s="450"/>
      <c r="BW381" s="450"/>
      <c r="BX381" s="450"/>
      <c r="BY381" s="450"/>
      <c r="BZ381" s="450"/>
      <c r="CA381" s="450">
        <f>COUNTIF(AI381:AW381,"*OK*")</f>
        <v>0</v>
      </c>
      <c r="CB381" s="450"/>
      <c r="CC381" s="450">
        <f>COUNTIF(AI381:AW381,"*OP*")</f>
        <v>0</v>
      </c>
    </row>
    <row r="382" spans="1:81" ht="15" customHeight="1">
      <c r="A382" s="449"/>
      <c r="B382" s="450"/>
      <c r="C382" s="451" t="str">
        <f>T382</f>
        <v> </v>
      </c>
      <c r="D382" s="450">
        <f>COUNTIF(AI382:AW382,"*OK*")</f>
        <v>0</v>
      </c>
      <c r="E382" s="450"/>
      <c r="F382" s="628" t="s">
        <v>1072</v>
      </c>
      <c r="G382" s="453"/>
      <c r="H382" s="454" t="s">
        <v>451</v>
      </c>
      <c r="I382" s="454"/>
      <c r="J382" s="453" t="s">
        <v>1073</v>
      </c>
      <c r="K382" s="455" t="s">
        <v>68</v>
      </c>
      <c r="L382" s="536" t="s">
        <v>445</v>
      </c>
      <c r="M382" s="536"/>
      <c r="N382" s="456" t="s">
        <v>65</v>
      </c>
      <c r="O382" s="457"/>
      <c r="P382" s="457">
        <v>141.97999999999999</v>
      </c>
      <c r="Q382" s="457">
        <v>267.85000000000002</v>
      </c>
      <c r="R382" s="458">
        <v>513.04</v>
      </c>
      <c r="S382" s="459">
        <v>538.42639999999994</v>
      </c>
      <c r="T382" s="469" t="s">
        <v>59</v>
      </c>
      <c r="U382" s="461"/>
      <c r="V382" s="462">
        <v>100</v>
      </c>
      <c r="W382" s="463"/>
      <c r="X382" s="562" t="s">
        <v>70</v>
      </c>
      <c r="Y382" s="465" t="s">
        <v>71</v>
      </c>
      <c r="Z382" s="466" t="s">
        <v>1074</v>
      </c>
      <c r="AA382" s="462" t="s">
        <v>59</v>
      </c>
      <c r="AB382" s="454"/>
      <c r="AC382" s="450"/>
      <c r="AD382" s="450"/>
      <c r="AE382" s="450"/>
      <c r="AF382" s="450"/>
      <c r="AG382" s="450"/>
      <c r="AH382" s="499" t="s">
        <v>59</v>
      </c>
      <c r="AI382" s="486"/>
      <c r="AJ382" s="486"/>
      <c r="AK382" s="486"/>
      <c r="AL382" s="486"/>
      <c r="AM382" s="486"/>
      <c r="AN382" s="486"/>
      <c r="AO382" s="486"/>
      <c r="AP382" s="486"/>
      <c r="AQ382" s="486"/>
      <c r="AR382" s="486"/>
      <c r="AS382" s="486"/>
      <c r="AT382" s="486"/>
      <c r="AU382" s="486"/>
      <c r="AV382" s="486"/>
      <c r="AW382" s="486"/>
      <c r="AX382" s="486"/>
      <c r="AY382" s="486">
        <f>COUNTIF(AI382:AX382,"*OP*")</f>
        <v>0</v>
      </c>
      <c r="AZ382" s="499" t="s">
        <v>59</v>
      </c>
      <c r="BA382" s="450">
        <f>(COUNTIF(AI382:AK382,"*OK*")*3) + (COUNTIF(AL382:AN382,"*OK*")*2) + COUNTIF(AO382:AQ382,"*OK*")+COUNTIF(AZ382:AZ382,"SI")*0.5</f>
        <v>0</v>
      </c>
      <c r="BB382" s="450" t="str">
        <f>IF(BA382&lt;0.6,"Demasiado Riesgo",IF(BA382&lt;=5,"Riesgo Medio",IF(BA382&lt;=11,"Riesgo Bajo","Cliente Blindado")))</f>
        <v>Demasiado Riesgo</v>
      </c>
      <c r="BC382" s="450"/>
      <c r="BD382" s="450"/>
      <c r="BE382" s="450">
        <v>0</v>
      </c>
      <c r="BF382" s="450"/>
      <c r="BG382" s="450"/>
      <c r="BH382" s="450"/>
      <c r="BI382" s="450"/>
      <c r="BJ382" s="450"/>
      <c r="BK382" s="450"/>
      <c r="BL382" s="450"/>
      <c r="BM382" s="450"/>
      <c r="BN382" s="450"/>
      <c r="BO382" s="450"/>
      <c r="BP382" s="450"/>
      <c r="BQ382" s="450"/>
      <c r="BR382" s="450"/>
      <c r="BS382" s="450"/>
      <c r="BT382" s="450"/>
      <c r="BU382" s="450"/>
      <c r="BV382" s="450"/>
      <c r="BW382" s="450"/>
      <c r="BX382" s="450"/>
      <c r="BY382" s="450"/>
      <c r="BZ382" s="450"/>
      <c r="CA382" s="450">
        <f>COUNTIF(AI382:AW382,"*OK*")</f>
        <v>0</v>
      </c>
      <c r="CB382" s="450"/>
      <c r="CC382" s="450">
        <f>COUNTIF(AI382:AW382,"*OP*")</f>
        <v>0</v>
      </c>
    </row>
    <row r="383" spans="1:81" ht="15" customHeight="1">
      <c r="A383" s="470"/>
      <c r="B383" s="471"/>
      <c r="C383" s="451" t="str">
        <f>T383</f>
        <v> </v>
      </c>
      <c r="D383" s="471">
        <f>COUNTIF(AI383:AW383,"*OK*")</f>
        <v>0</v>
      </c>
      <c r="E383" s="471"/>
      <c r="F383" s="473" t="s">
        <v>1075</v>
      </c>
      <c r="G383" s="473"/>
      <c r="H383" s="474"/>
      <c r="I383" s="474"/>
      <c r="J383" s="473"/>
      <c r="K383" s="473" t="s">
        <v>68</v>
      </c>
      <c r="L383" s="453" t="s">
        <v>461</v>
      </c>
      <c r="M383" s="473"/>
      <c r="N383" s="476" t="s">
        <v>65</v>
      </c>
      <c r="O383" s="477"/>
      <c r="P383" s="477">
        <v>184.57</v>
      </c>
      <c r="Q383" s="477">
        <v>140</v>
      </c>
      <c r="R383" s="478">
        <v>174.15</v>
      </c>
      <c r="S383" s="459">
        <v>3.7551000000000001</v>
      </c>
      <c r="T383" s="487" t="s">
        <v>59</v>
      </c>
      <c r="U383" s="479"/>
      <c r="V383" s="480">
        <v>50</v>
      </c>
      <c r="W383" s="481"/>
      <c r="X383" s="482" t="s">
        <v>70</v>
      </c>
      <c r="Y383" s="483" t="s">
        <v>71</v>
      </c>
      <c r="Z383" s="484" t="s">
        <v>1076</v>
      </c>
      <c r="AA383" s="480" t="s">
        <v>59</v>
      </c>
      <c r="AB383" s="474"/>
      <c r="AC383" s="471"/>
      <c r="AD383" s="471"/>
      <c r="AE383" s="471"/>
      <c r="AF383" s="471"/>
      <c r="AG383" s="471"/>
      <c r="AH383" s="494" t="s">
        <v>59</v>
      </c>
      <c r="AI383" s="467"/>
      <c r="AJ383" s="467"/>
      <c r="AK383" s="467"/>
      <c r="AL383" s="467"/>
      <c r="AM383" s="467"/>
      <c r="AN383" s="467"/>
      <c r="AO383" s="467"/>
      <c r="AP383" s="467"/>
      <c r="AQ383" s="467"/>
      <c r="AR383" s="467"/>
      <c r="AS383" s="467"/>
      <c r="AT383" s="467"/>
      <c r="AU383" s="467"/>
      <c r="AV383" s="467"/>
      <c r="AW383" s="467"/>
      <c r="AX383" s="467"/>
      <c r="AY383" s="486">
        <f>COUNTIF(AI383:AX383,"*OP*")</f>
        <v>0</v>
      </c>
      <c r="AZ383" s="485" t="s">
        <v>59</v>
      </c>
      <c r="BA383" s="471">
        <f>(COUNTIF(AI383:AK383,"*OK*")*3) + (COUNTIF(AL383:AN383,"*OK*")*2) + COUNTIF(AO383:AQ383,"*OK*")+COUNTIF(AZ383:AZ383,"SI")*0.5</f>
        <v>0</v>
      </c>
      <c r="BB383" s="471" t="str">
        <f>IF(BA383&lt;0.6,"Demasiado Riesgo",IF(BA383&lt;=5,"Riesgo Medio",IF(BA383&lt;=11,"Riesgo Bajo","Cliente Blindado")))</f>
        <v>Demasiado Riesgo</v>
      </c>
      <c r="BC383" s="471"/>
      <c r="BD383" s="471"/>
      <c r="BE383" s="471">
        <v>0</v>
      </c>
      <c r="BF383" s="471"/>
      <c r="BG383" s="471"/>
      <c r="BH383" s="471"/>
      <c r="BI383" s="471"/>
      <c r="BJ383" s="471"/>
      <c r="BK383" s="471"/>
      <c r="BL383" s="471"/>
      <c r="BM383" s="471"/>
      <c r="BN383" s="471"/>
      <c r="BO383" s="471"/>
      <c r="BP383" s="471"/>
      <c r="BQ383" s="471"/>
      <c r="BR383" s="471"/>
      <c r="BS383" s="471"/>
      <c r="BT383" s="471"/>
      <c r="BU383" s="471"/>
      <c r="BV383" s="471"/>
      <c r="BW383" s="471"/>
      <c r="BX383" s="471"/>
      <c r="BY383" s="471"/>
      <c r="BZ383" s="471"/>
      <c r="CA383" s="471">
        <f>COUNTIF(AI383:AW383,"*OK*")</f>
        <v>0</v>
      </c>
      <c r="CB383" s="471"/>
      <c r="CC383" s="471">
        <f>COUNTIF(AI383:AW383,"*OP*")</f>
        <v>0</v>
      </c>
    </row>
    <row r="384" spans="1:81" ht="15" customHeight="1">
      <c r="A384" s="470"/>
      <c r="B384" s="471"/>
      <c r="C384" s="451" t="str">
        <f>T384</f>
        <v> </v>
      </c>
      <c r="D384" s="471">
        <f>COUNTIF(AI384:AW384,"*OK*")</f>
        <v>0</v>
      </c>
      <c r="E384" s="471"/>
      <c r="F384" s="473" t="s">
        <v>1077</v>
      </c>
      <c r="G384" s="473"/>
      <c r="H384" s="454" t="s">
        <v>451</v>
      </c>
      <c r="I384" s="474"/>
      <c r="J384" s="473"/>
      <c r="K384" s="475" t="s">
        <v>68</v>
      </c>
      <c r="L384" s="536" t="s">
        <v>445</v>
      </c>
      <c r="M384" s="536"/>
      <c r="N384" s="484" t="s">
        <v>282</v>
      </c>
      <c r="O384" s="477">
        <v>145.01</v>
      </c>
      <c r="P384" s="477">
        <v>144.88</v>
      </c>
      <c r="Q384" s="477">
        <v>138.07</v>
      </c>
      <c r="R384" s="478">
        <v>142.51</v>
      </c>
      <c r="S384" s="459">
        <v>0</v>
      </c>
      <c r="T384" s="487" t="s">
        <v>59</v>
      </c>
      <c r="U384" s="479"/>
      <c r="V384" s="480">
        <v>150</v>
      </c>
      <c r="W384" s="481"/>
      <c r="X384" s="493" t="s">
        <v>229</v>
      </c>
      <c r="Y384" s="483" t="s">
        <v>80</v>
      </c>
      <c r="Z384" s="484" t="s">
        <v>1078</v>
      </c>
      <c r="AA384" s="480" t="s">
        <v>59</v>
      </c>
      <c r="AB384" s="474"/>
      <c r="AC384" s="471"/>
      <c r="AD384" s="471"/>
      <c r="AE384" s="471"/>
      <c r="AF384" s="471"/>
      <c r="AG384" s="471"/>
      <c r="AH384" s="484" t="s">
        <v>59</v>
      </c>
      <c r="AI384" s="467"/>
      <c r="AJ384" s="467"/>
      <c r="AK384" s="566"/>
      <c r="AL384" s="467"/>
      <c r="AM384" s="566"/>
      <c r="AN384" s="467"/>
      <c r="AO384" s="467"/>
      <c r="AP384" s="467"/>
      <c r="AQ384" s="467"/>
      <c r="AR384" s="467"/>
      <c r="AS384" s="467"/>
      <c r="AT384" s="467"/>
      <c r="AU384" s="467"/>
      <c r="AV384" s="467"/>
      <c r="AW384" s="467"/>
      <c r="AX384" s="467"/>
      <c r="AY384" s="468">
        <f>COUNTIF(AI384:AX384,"*OP*")</f>
        <v>0</v>
      </c>
      <c r="AZ384" s="484" t="s">
        <v>59</v>
      </c>
      <c r="BA384" s="471">
        <f>(COUNTIF(AI384:AK384,"*OK*")*3) + (COUNTIF(AL384:AN384,"*OK*")*2) + COUNTIF(AO384:AQ384,"*OK*")+COUNTIF(AZ384:AZ384,"SI")*0.5</f>
        <v>0</v>
      </c>
      <c r="BB384" s="471" t="str">
        <f>IF(BA384&lt;0.6,"Demasiado Riesgo",IF(BA384&lt;=5,"Riesgo Medio",IF(BA384&lt;=11,"Riesgo Bajo","Cliente Blindado")))</f>
        <v>Demasiado Riesgo</v>
      </c>
      <c r="BC384" s="471"/>
      <c r="BD384" s="471"/>
      <c r="BE384" s="471">
        <v>0</v>
      </c>
      <c r="BF384" s="471"/>
      <c r="BG384" s="471"/>
      <c r="BH384" s="471"/>
      <c r="BI384" s="471"/>
      <c r="BJ384" s="471"/>
      <c r="BK384" s="471"/>
      <c r="BL384" s="471"/>
      <c r="BM384" s="471"/>
      <c r="BN384" s="471"/>
      <c r="BO384" s="471"/>
      <c r="BP384" s="471"/>
      <c r="BQ384" s="471"/>
      <c r="BR384" s="471"/>
      <c r="BS384" s="471"/>
      <c r="BT384" s="471"/>
      <c r="BU384" s="471"/>
      <c r="BV384" s="471"/>
      <c r="BW384" s="471"/>
      <c r="BX384" s="471"/>
      <c r="BY384" s="471"/>
      <c r="BZ384" s="471"/>
      <c r="CA384" s="471">
        <f>COUNTIF(AI384:AW384,"*OK*")</f>
        <v>0</v>
      </c>
      <c r="CB384" s="471"/>
      <c r="CC384" s="471">
        <f>COUNTIF(AI384:AW384,"*OP*")</f>
        <v>0</v>
      </c>
    </row>
    <row r="385" spans="1:81" ht="15" customHeight="1">
      <c r="A385" s="449">
        <v>32375</v>
      </c>
      <c r="B385" s="450"/>
      <c r="C385" s="451" t="str">
        <f>T385</f>
        <v> </v>
      </c>
      <c r="D385" s="450">
        <f>COUNTIF(AI385:AW385,"*OK*")</f>
        <v>0</v>
      </c>
      <c r="E385" s="450"/>
      <c r="F385" s="453" t="s">
        <v>1079</v>
      </c>
      <c r="G385" s="453"/>
      <c r="H385" s="454"/>
      <c r="I385" s="454"/>
      <c r="J385" s="453"/>
      <c r="K385" s="453" t="s">
        <v>68</v>
      </c>
      <c r="L385" s="453" t="s">
        <v>461</v>
      </c>
      <c r="M385" s="453"/>
      <c r="N385" s="466" t="s">
        <v>156</v>
      </c>
      <c r="O385" s="457">
        <v>58.64</v>
      </c>
      <c r="P385" s="457">
        <v>62.49</v>
      </c>
      <c r="Q385" s="457">
        <v>74.45</v>
      </c>
      <c r="R385" s="458">
        <v>73</v>
      </c>
      <c r="S385" s="459">
        <v>73.9816</v>
      </c>
      <c r="T385" s="469" t="s">
        <v>59</v>
      </c>
      <c r="U385" s="461"/>
      <c r="V385" s="462">
        <v>100</v>
      </c>
      <c r="W385" s="463"/>
      <c r="X385" s="562" t="s">
        <v>70</v>
      </c>
      <c r="Y385" s="465" t="s">
        <v>241</v>
      </c>
      <c r="Z385" s="466" t="s">
        <v>1080</v>
      </c>
      <c r="AA385" s="462" t="s">
        <v>59</v>
      </c>
      <c r="AB385" s="454"/>
      <c r="AC385" s="450"/>
      <c r="AD385" s="450"/>
      <c r="AE385" s="450"/>
      <c r="AF385" s="450"/>
      <c r="AG385" s="450"/>
      <c r="AH385" s="466" t="s">
        <v>59</v>
      </c>
      <c r="AI385" s="467"/>
      <c r="AJ385" s="467"/>
      <c r="AK385" s="467"/>
      <c r="AL385" s="467"/>
      <c r="AM385" s="467"/>
      <c r="AN385" s="467"/>
      <c r="AO385" s="467"/>
      <c r="AP385" s="566"/>
      <c r="AQ385" s="467"/>
      <c r="AR385" s="467"/>
      <c r="AS385" s="467"/>
      <c r="AT385" s="467"/>
      <c r="AU385" s="467"/>
      <c r="AV385" s="467"/>
      <c r="AW385" s="467"/>
      <c r="AX385" s="467"/>
      <c r="AY385" s="468">
        <f>COUNTIF(AI385:AX385,"*OP*")</f>
        <v>0</v>
      </c>
      <c r="AZ385" s="466" t="s">
        <v>59</v>
      </c>
      <c r="BA385" s="450">
        <f>(COUNTIF(AI385:AK385,"*OK*")*3) + (COUNTIF(AL385:AN385,"*OK*")*2) + COUNTIF(AO385:AQ385,"*OK*")+COUNTIF(AZ385:AZ385,"SI")*0.5</f>
        <v>0</v>
      </c>
      <c r="BB385" s="450" t="str">
        <f>IF(BA385&lt;0.6,"Demasiado Riesgo",IF(BA385&lt;=5,"Riesgo Medio",IF(BA385&lt;=11,"Riesgo Bajo","Cliente Blindado")))</f>
        <v>Demasiado Riesgo</v>
      </c>
      <c r="BC385" s="450"/>
      <c r="BD385" s="450"/>
      <c r="BE385" s="450">
        <v>0</v>
      </c>
      <c r="BF385" s="450"/>
      <c r="BG385" s="450"/>
      <c r="BH385" s="450"/>
      <c r="BI385" s="450"/>
      <c r="BJ385" s="450"/>
      <c r="BK385" s="450"/>
      <c r="BL385" s="450"/>
      <c r="BM385" s="450"/>
      <c r="BN385" s="450"/>
      <c r="BO385" s="450"/>
      <c r="BP385" s="450"/>
      <c r="BQ385" s="450"/>
      <c r="BR385" s="450"/>
      <c r="BS385" s="450"/>
      <c r="BT385" s="450"/>
      <c r="BU385" s="450"/>
      <c r="BV385" s="450"/>
      <c r="BW385" s="450"/>
      <c r="BX385" s="450"/>
      <c r="BY385" s="450"/>
      <c r="BZ385" s="450"/>
      <c r="CA385" s="450">
        <f>COUNTIF(AI385:AW385,"*OK*")</f>
        <v>0</v>
      </c>
      <c r="CB385" s="450"/>
      <c r="CC385" s="450">
        <f>COUNTIF(AI385:AW385,"*OP*")</f>
        <v>0</v>
      </c>
    </row>
    <row r="386" spans="1:81" ht="15" customHeight="1">
      <c r="A386" s="449"/>
      <c r="B386" s="450"/>
      <c r="C386" s="451" t="str">
        <f>T386</f>
        <v> </v>
      </c>
      <c r="D386" s="450">
        <f>COUNTIF(AI386:AW386,"*OK*")</f>
        <v>0</v>
      </c>
      <c r="E386" s="450"/>
      <c r="F386" s="453" t="s">
        <v>1081</v>
      </c>
      <c r="G386" s="453"/>
      <c r="H386" s="454"/>
      <c r="I386" s="454"/>
      <c r="J386" s="453"/>
      <c r="K386" s="455" t="s">
        <v>68</v>
      </c>
      <c r="L386" s="453" t="s">
        <v>461</v>
      </c>
      <c r="M386" s="453"/>
      <c r="N386" s="466" t="s">
        <v>65</v>
      </c>
      <c r="O386" s="457">
        <v>56.55</v>
      </c>
      <c r="P386" s="457">
        <v>56.5</v>
      </c>
      <c r="Q386" s="457">
        <v>53.85</v>
      </c>
      <c r="R386" s="458">
        <v>55.58</v>
      </c>
      <c r="S386" s="459">
        <v>0</v>
      </c>
      <c r="T386" s="469" t="s">
        <v>59</v>
      </c>
      <c r="U386" s="461"/>
      <c r="V386" s="462">
        <v>50</v>
      </c>
      <c r="W386" s="463"/>
      <c r="X386" s="562" t="s">
        <v>70</v>
      </c>
      <c r="Y386" s="465" t="s">
        <v>71</v>
      </c>
      <c r="Z386" s="466" t="s">
        <v>800</v>
      </c>
      <c r="AA386" s="462" t="s">
        <v>59</v>
      </c>
      <c r="AB386" s="454"/>
      <c r="AC386" s="450"/>
      <c r="AD386" s="450"/>
      <c r="AE386" s="450"/>
      <c r="AF386" s="450"/>
      <c r="AG386" s="450"/>
      <c r="AH386" s="466" t="s">
        <v>59</v>
      </c>
      <c r="AI386" s="467"/>
      <c r="AJ386" s="467"/>
      <c r="AK386" s="467"/>
      <c r="AL386" s="467"/>
      <c r="AM386" s="467"/>
      <c r="AN386" s="467"/>
      <c r="AO386" s="566"/>
      <c r="AP386" s="467"/>
      <c r="AQ386" s="467"/>
      <c r="AR386" s="467"/>
      <c r="AS386" s="467"/>
      <c r="AT386" s="467"/>
      <c r="AU386" s="467"/>
      <c r="AV386" s="467"/>
      <c r="AW386" s="467"/>
      <c r="AX386" s="467"/>
      <c r="AY386" s="468">
        <f>COUNTIF(AI386:AX386,"*OP*")</f>
        <v>0</v>
      </c>
      <c r="AZ386" s="466" t="s">
        <v>59</v>
      </c>
      <c r="BA386" s="450">
        <f>(COUNTIF(AI386:AK386,"*OK*")*3) + (COUNTIF(AL386:AN386,"*OK*")*2) + COUNTIF(AO386:AQ386,"*OK*")+COUNTIF(AZ386:AZ386,"SI")*0.5</f>
        <v>0</v>
      </c>
      <c r="BB386" s="450" t="str">
        <f>IF(BA386&lt;0.6,"Demasiado Riesgo",IF(BA386&lt;=5,"Riesgo Medio",IF(BA386&lt;=11,"Riesgo Bajo","Cliente Blindado")))</f>
        <v>Demasiado Riesgo</v>
      </c>
      <c r="BC386" s="450"/>
      <c r="BD386" s="450"/>
      <c r="BE386" s="450">
        <v>0</v>
      </c>
      <c r="BF386" s="450"/>
      <c r="BG386" s="450"/>
      <c r="BH386" s="450"/>
      <c r="BI386" s="450"/>
      <c r="BJ386" s="450"/>
      <c r="BK386" s="450"/>
      <c r="BL386" s="450"/>
      <c r="BM386" s="450"/>
      <c r="BN386" s="450"/>
      <c r="BO386" s="450"/>
      <c r="BP386" s="450"/>
      <c r="BQ386" s="450"/>
      <c r="BR386" s="450"/>
      <c r="BS386" s="450"/>
      <c r="BT386" s="450"/>
      <c r="BU386" s="450"/>
      <c r="BV386" s="450"/>
      <c r="BW386" s="450"/>
      <c r="BX386" s="450"/>
      <c r="BY386" s="450"/>
      <c r="BZ386" s="450"/>
      <c r="CA386" s="450">
        <f>COUNTIF(AI386:AW386,"*OK*")</f>
        <v>0</v>
      </c>
      <c r="CB386" s="450"/>
      <c r="CC386" s="450">
        <f>COUNTIF(AI386:AW386,"*OP*")</f>
        <v>0</v>
      </c>
    </row>
    <row r="387" spans="1:81" ht="15" customHeight="1">
      <c r="A387" s="470">
        <v>33070</v>
      </c>
      <c r="B387" s="471"/>
      <c r="C387" s="451" t="str">
        <f>T387</f>
        <v> </v>
      </c>
      <c r="D387" s="471">
        <f>COUNTIF(AI387:AW387,"*OK*")</f>
        <v>0</v>
      </c>
      <c r="E387" s="471"/>
      <c r="F387" s="473" t="s">
        <v>1082</v>
      </c>
      <c r="G387" s="473"/>
      <c r="H387" s="474"/>
      <c r="I387" s="474"/>
      <c r="J387" s="473"/>
      <c r="K387" s="473" t="s">
        <v>68</v>
      </c>
      <c r="L387" s="453" t="s">
        <v>461</v>
      </c>
      <c r="M387" s="473"/>
      <c r="N387" s="484" t="s">
        <v>103</v>
      </c>
      <c r="O387" s="477">
        <v>51.12</v>
      </c>
      <c r="P387" s="477">
        <v>51.08</v>
      </c>
      <c r="Q387" s="477">
        <v>48.68</v>
      </c>
      <c r="R387" s="478">
        <v>50.24</v>
      </c>
      <c r="S387" s="459">
        <v>50.919400000000003</v>
      </c>
      <c r="T387" s="487" t="s">
        <v>59</v>
      </c>
      <c r="U387" s="479"/>
      <c r="V387" s="480">
        <v>50</v>
      </c>
      <c r="W387" s="481"/>
      <c r="X387" s="482" t="s">
        <v>70</v>
      </c>
      <c r="Y387" s="483" t="s">
        <v>80</v>
      </c>
      <c r="Z387" s="484" t="s">
        <v>1083</v>
      </c>
      <c r="AA387" s="480" t="s">
        <v>59</v>
      </c>
      <c r="AB387" s="474"/>
      <c r="AC387" s="471"/>
      <c r="AD387" s="471"/>
      <c r="AE387" s="471"/>
      <c r="AF387" s="471"/>
      <c r="AG387" s="471"/>
      <c r="AH387" s="485" t="s">
        <v>59</v>
      </c>
      <c r="AI387" s="467"/>
      <c r="AJ387" s="467"/>
      <c r="AK387" s="467"/>
      <c r="AL387" s="566"/>
      <c r="AM387" s="467"/>
      <c r="AN387" s="467"/>
      <c r="AO387" s="467"/>
      <c r="AP387" s="467"/>
      <c r="AQ387" s="467"/>
      <c r="AR387" s="467"/>
      <c r="AS387" s="467"/>
      <c r="AT387" s="467"/>
      <c r="AU387" s="467"/>
      <c r="AV387" s="467"/>
      <c r="AW387" s="467"/>
      <c r="AX387" s="467"/>
      <c r="AY387" s="486">
        <f>COUNTIF(AI387:AX387,"*OP*")</f>
        <v>0</v>
      </c>
      <c r="AZ387" s="485" t="s">
        <v>59</v>
      </c>
      <c r="BA387" s="471">
        <f>(COUNTIF(AI387:AK387,"*OK*")*3) + (COUNTIF(AL387:AN387,"*OK*")*2) + COUNTIF(AO387:AQ387,"*OK*")+COUNTIF(AZ387:AZ387,"SI")*0.5</f>
        <v>0</v>
      </c>
      <c r="BB387" s="471" t="str">
        <f>IF(BA387&lt;0.6,"Demasiado Riesgo",IF(BA387&lt;=5,"Riesgo Medio",IF(BA387&lt;=11,"Riesgo Bajo","Cliente Blindado")))</f>
        <v>Demasiado Riesgo</v>
      </c>
      <c r="BC387" s="471"/>
      <c r="BD387" s="471"/>
      <c r="BE387" s="471">
        <v>0</v>
      </c>
      <c r="BF387" s="471"/>
      <c r="BG387" s="471"/>
      <c r="BH387" s="471"/>
      <c r="BI387" s="471"/>
      <c r="BJ387" s="471"/>
      <c r="BK387" s="471"/>
      <c r="BL387" s="471"/>
      <c r="BM387" s="471"/>
      <c r="BN387" s="471"/>
      <c r="BO387" s="471"/>
      <c r="BP387" s="471"/>
      <c r="BQ387" s="471"/>
      <c r="BR387" s="471"/>
      <c r="BS387" s="471"/>
      <c r="BT387" s="471"/>
      <c r="BU387" s="471"/>
      <c r="BV387" s="471"/>
      <c r="BW387" s="471"/>
      <c r="BX387" s="471"/>
      <c r="BY387" s="471"/>
      <c r="BZ387" s="471"/>
      <c r="CA387" s="471">
        <f>COUNTIF(AI387:AW387,"*OK*")</f>
        <v>0</v>
      </c>
      <c r="CB387" s="471"/>
      <c r="CC387" s="471">
        <f>COUNTIF(AI387:AW387,"*OP*")</f>
        <v>0</v>
      </c>
    </row>
    <row r="388" spans="1:81" ht="15" customHeight="1">
      <c r="A388" s="449"/>
      <c r="B388" s="450"/>
      <c r="C388" s="451" t="str">
        <f>T388</f>
        <v> </v>
      </c>
      <c r="D388" s="450">
        <f>COUNTIF(AI388:AW388,"*OK*")</f>
        <v>0</v>
      </c>
      <c r="E388" s="450"/>
      <c r="F388" s="453" t="s">
        <v>1084</v>
      </c>
      <c r="G388" s="453"/>
      <c r="H388" s="454"/>
      <c r="I388" s="454"/>
      <c r="J388" s="453"/>
      <c r="K388" s="453" t="s">
        <v>68</v>
      </c>
      <c r="L388" s="453" t="s">
        <v>461</v>
      </c>
      <c r="M388" s="453"/>
      <c r="N388" s="466" t="s">
        <v>103</v>
      </c>
      <c r="O388" s="457">
        <v>50.32</v>
      </c>
      <c r="P388" s="457">
        <v>50.27</v>
      </c>
      <c r="Q388" s="457">
        <v>47.91</v>
      </c>
      <c r="R388" s="458">
        <v>49.45</v>
      </c>
      <c r="S388" s="459">
        <v>50.113500000000002</v>
      </c>
      <c r="T388" s="469" t="s">
        <v>59</v>
      </c>
      <c r="U388" s="461"/>
      <c r="V388" s="462">
        <v>200</v>
      </c>
      <c r="W388" s="463"/>
      <c r="X388" s="562" t="s">
        <v>70</v>
      </c>
      <c r="Y388" s="465" t="s">
        <v>299</v>
      </c>
      <c r="Z388" s="466" t="s">
        <v>1085</v>
      </c>
      <c r="AA388" s="462" t="s">
        <v>220</v>
      </c>
      <c r="AB388" s="454"/>
      <c r="AC388" s="450"/>
      <c r="AD388" s="450"/>
      <c r="AE388" s="450"/>
      <c r="AF388" s="450"/>
      <c r="AG388" s="450"/>
      <c r="AH388" s="466" t="s">
        <v>59</v>
      </c>
      <c r="AI388" s="467"/>
      <c r="AJ388" s="467"/>
      <c r="AK388" s="467"/>
      <c r="AL388" s="467"/>
      <c r="AM388" s="566"/>
      <c r="AN388" s="467"/>
      <c r="AO388" s="467"/>
      <c r="AP388" s="467"/>
      <c r="AQ388" s="467"/>
      <c r="AR388" s="467"/>
      <c r="AS388" s="467"/>
      <c r="AT388" s="467"/>
      <c r="AU388" s="467"/>
      <c r="AV388" s="467"/>
      <c r="AW388" s="467"/>
      <c r="AX388" s="467"/>
      <c r="AY388" s="468">
        <f>COUNTIF(AI388:AX388,"*OP*")</f>
        <v>0</v>
      </c>
      <c r="AZ388" s="466" t="s">
        <v>59</v>
      </c>
      <c r="BA388" s="450">
        <f>(COUNTIF(AI388:AK388,"*OK*")*3) + (COUNTIF(AL388:AN388,"*OK*")*2) + COUNTIF(AO388:AQ388,"*OK*")+COUNTIF(AZ388:AZ388,"SI")*0.5</f>
        <v>0</v>
      </c>
      <c r="BB388" s="450" t="str">
        <f>IF(BA388&lt;0.6,"Demasiado Riesgo",IF(BA388&lt;=5,"Riesgo Medio",IF(BA388&lt;=11,"Riesgo Bajo","Cliente Blindado")))</f>
        <v>Demasiado Riesgo</v>
      </c>
      <c r="BC388" s="450"/>
      <c r="BD388" s="450"/>
      <c r="BE388" s="450">
        <v>0</v>
      </c>
      <c r="BF388" s="450"/>
      <c r="BG388" s="450"/>
      <c r="BH388" s="450"/>
      <c r="BI388" s="450"/>
      <c r="BJ388" s="450"/>
      <c r="BK388" s="450"/>
      <c r="BL388" s="450"/>
      <c r="BM388" s="450"/>
      <c r="BN388" s="450"/>
      <c r="BO388" s="450"/>
      <c r="BP388" s="450"/>
      <c r="BQ388" s="450"/>
      <c r="BR388" s="450"/>
      <c r="BS388" s="450"/>
      <c r="BT388" s="450"/>
      <c r="BU388" s="450"/>
      <c r="BV388" s="450"/>
      <c r="BW388" s="450"/>
      <c r="BX388" s="450"/>
      <c r="BY388" s="450"/>
      <c r="BZ388" s="450"/>
      <c r="CA388" s="450">
        <f>COUNTIF(AI388:AW388,"*OK*")</f>
        <v>0</v>
      </c>
      <c r="CB388" s="450"/>
      <c r="CC388" s="450">
        <f>COUNTIF(AI388:AW388,"*OP*")</f>
        <v>0</v>
      </c>
    </row>
    <row r="389" spans="1:81" ht="15" customHeight="1">
      <c r="A389" s="470"/>
      <c r="B389" s="471"/>
      <c r="C389" s="451" t="str">
        <f>T389</f>
        <v> </v>
      </c>
      <c r="D389" s="471">
        <f>COUNTIF(AI389:AW389,"*OK*")</f>
        <v>0</v>
      </c>
      <c r="E389" s="471"/>
      <c r="F389" s="473" t="s">
        <v>1086</v>
      </c>
      <c r="G389" s="473"/>
      <c r="H389" s="474"/>
      <c r="I389" s="474"/>
      <c r="J389" s="473"/>
      <c r="K389" s="473" t="s">
        <v>68</v>
      </c>
      <c r="L389" s="453" t="s">
        <v>461</v>
      </c>
      <c r="M389" s="473"/>
      <c r="N389" s="484" t="s">
        <v>65</v>
      </c>
      <c r="O389" s="477">
        <v>45.47</v>
      </c>
      <c r="P389" s="477">
        <v>45.42</v>
      </c>
      <c r="Q389" s="477">
        <v>43.29</v>
      </c>
      <c r="R389" s="478">
        <v>44.68</v>
      </c>
      <c r="S389" s="459">
        <v>0</v>
      </c>
      <c r="T389" s="487" t="s">
        <v>59</v>
      </c>
      <c r="U389" s="479"/>
      <c r="V389" s="480">
        <v>50</v>
      </c>
      <c r="W389" s="481"/>
      <c r="X389" s="483" t="s">
        <v>380</v>
      </c>
      <c r="Y389" s="483" t="s">
        <v>71</v>
      </c>
      <c r="Z389" s="484" t="s">
        <v>74</v>
      </c>
      <c r="AA389" s="480" t="s">
        <v>59</v>
      </c>
      <c r="AB389" s="474"/>
      <c r="AC389" s="471"/>
      <c r="AD389" s="471"/>
      <c r="AE389" s="471"/>
      <c r="AF389" s="471"/>
      <c r="AG389" s="471"/>
      <c r="AH389" s="484" t="s">
        <v>59</v>
      </c>
      <c r="AI389" s="467"/>
      <c r="AJ389" s="467"/>
      <c r="AK389" s="467"/>
      <c r="AL389" s="467"/>
      <c r="AM389" s="467"/>
      <c r="AN389" s="566"/>
      <c r="AO389" s="467"/>
      <c r="AP389" s="467"/>
      <c r="AQ389" s="467"/>
      <c r="AR389" s="467"/>
      <c r="AS389" s="467"/>
      <c r="AT389" s="467"/>
      <c r="AU389" s="467"/>
      <c r="AV389" s="467"/>
      <c r="AW389" s="467"/>
      <c r="AX389" s="467"/>
      <c r="AY389" s="468">
        <f>COUNTIF(AI389:AX389,"*OP*")</f>
        <v>0</v>
      </c>
      <c r="AZ389" s="484" t="s">
        <v>59</v>
      </c>
      <c r="BA389" s="471">
        <f>(COUNTIF(AI389:AK389,"*OK*")*3) + (COUNTIF(AL389:AN389,"*OK*")*2) + COUNTIF(AO389:AQ389,"*OK*")+COUNTIF(AZ389:AZ389,"SI")*0.5</f>
        <v>0</v>
      </c>
      <c r="BB389" s="471" t="str">
        <f>IF(BA389&lt;0.6,"Demasiado Riesgo",IF(BA389&lt;=5,"Riesgo Medio",IF(BA389&lt;=11,"Riesgo Bajo","Cliente Blindado")))</f>
        <v>Demasiado Riesgo</v>
      </c>
      <c r="BC389" s="471"/>
      <c r="BD389" s="471"/>
      <c r="BE389" s="471">
        <v>0</v>
      </c>
      <c r="BF389" s="471"/>
      <c r="BG389" s="471"/>
      <c r="BH389" s="471"/>
      <c r="BI389" s="471"/>
      <c r="BJ389" s="471"/>
      <c r="BK389" s="471"/>
      <c r="BL389" s="471"/>
      <c r="BM389" s="471"/>
      <c r="BN389" s="471"/>
      <c r="BO389" s="471"/>
      <c r="BP389" s="471"/>
      <c r="BQ389" s="471"/>
      <c r="BR389" s="471"/>
      <c r="BS389" s="471"/>
      <c r="BT389" s="471"/>
      <c r="BU389" s="471"/>
      <c r="BV389" s="471"/>
      <c r="BW389" s="471"/>
      <c r="BX389" s="471"/>
      <c r="BY389" s="471"/>
      <c r="BZ389" s="471"/>
      <c r="CA389" s="471">
        <f>COUNTIF(AI389:AW389,"*OK*")</f>
        <v>0</v>
      </c>
      <c r="CB389" s="471"/>
      <c r="CC389" s="471">
        <f>COUNTIF(AI389:AW389,"*OP*")</f>
        <v>0</v>
      </c>
    </row>
    <row r="390" spans="1:81" ht="15" customHeight="1">
      <c r="A390" s="449">
        <v>32806</v>
      </c>
      <c r="B390" s="450"/>
      <c r="C390" s="451" t="str">
        <f>T390</f>
        <v> </v>
      </c>
      <c r="D390" s="450">
        <f>COUNTIF(AI390:AW390,"*OK*")</f>
        <v>0</v>
      </c>
      <c r="E390" s="450"/>
      <c r="F390" s="453" t="s">
        <v>1087</v>
      </c>
      <c r="G390" s="453"/>
      <c r="H390" s="454"/>
      <c r="I390" s="454"/>
      <c r="J390" s="453"/>
      <c r="K390" s="453" t="s">
        <v>68</v>
      </c>
      <c r="L390" s="453" t="s">
        <v>461</v>
      </c>
      <c r="M390" s="453"/>
      <c r="N390" s="466" t="s">
        <v>103</v>
      </c>
      <c r="O390" s="457"/>
      <c r="P390" s="457">
        <v>39.659999999999997</v>
      </c>
      <c r="Q390" s="457">
        <v>37.79</v>
      </c>
      <c r="R390" s="458">
        <v>39.01</v>
      </c>
      <c r="S390" s="459">
        <v>0</v>
      </c>
      <c r="T390" s="469" t="s">
        <v>59</v>
      </c>
      <c r="U390" s="461"/>
      <c r="V390" s="462">
        <v>50</v>
      </c>
      <c r="W390" s="463"/>
      <c r="X390" s="562" t="s">
        <v>70</v>
      </c>
      <c r="Y390" s="465" t="s">
        <v>80</v>
      </c>
      <c r="Z390" s="466" t="s">
        <v>1088</v>
      </c>
      <c r="AA390" s="462" t="s">
        <v>220</v>
      </c>
      <c r="AB390" s="454"/>
      <c r="AC390" s="450"/>
      <c r="AD390" s="450"/>
      <c r="AE390" s="450"/>
      <c r="AF390" s="450"/>
      <c r="AG390" s="450"/>
      <c r="AH390" s="499" t="s">
        <v>59</v>
      </c>
      <c r="AI390" s="467"/>
      <c r="AJ390" s="467"/>
      <c r="AK390" s="467"/>
      <c r="AL390" s="467"/>
      <c r="AM390" s="467"/>
      <c r="AN390" s="467"/>
      <c r="AO390" s="467"/>
      <c r="AP390" s="467"/>
      <c r="AQ390" s="467"/>
      <c r="AR390" s="467"/>
      <c r="AS390" s="467"/>
      <c r="AT390" s="467"/>
      <c r="AU390" s="467"/>
      <c r="AV390" s="467"/>
      <c r="AW390" s="467"/>
      <c r="AX390" s="467"/>
      <c r="AY390" s="486">
        <f>COUNTIF(AI390:AX390,"*OP*")</f>
        <v>0</v>
      </c>
      <c r="AZ390" s="499" t="s">
        <v>59</v>
      </c>
      <c r="BA390" s="450">
        <f>(COUNTIF(AI390:AK390,"*OK*")*3) + (COUNTIF(AL390:AN390,"*OK*")*2) + COUNTIF(AO390:AQ390,"*OK*")+COUNTIF(AZ390:AZ390,"SI")*0.5</f>
        <v>0</v>
      </c>
      <c r="BB390" s="450" t="str">
        <f>IF(BA390&lt;0.6,"Demasiado Riesgo",IF(BA390&lt;=5,"Riesgo Medio",IF(BA390&lt;=11,"Riesgo Bajo","Cliente Blindado")))</f>
        <v>Demasiado Riesgo</v>
      </c>
      <c r="BC390" s="450"/>
      <c r="BD390" s="450"/>
      <c r="BE390" s="450">
        <v>0</v>
      </c>
      <c r="BF390" s="450"/>
      <c r="BG390" s="450"/>
      <c r="BH390" s="450"/>
      <c r="BI390" s="450"/>
      <c r="BJ390" s="450"/>
      <c r="BK390" s="450"/>
      <c r="BL390" s="450"/>
      <c r="BM390" s="450"/>
      <c r="BN390" s="450"/>
      <c r="BO390" s="450"/>
      <c r="BP390" s="450"/>
      <c r="BQ390" s="450"/>
      <c r="BR390" s="450"/>
      <c r="BS390" s="450"/>
      <c r="BT390" s="450"/>
      <c r="BU390" s="450"/>
      <c r="BV390" s="450"/>
      <c r="BW390" s="450"/>
      <c r="BX390" s="450"/>
      <c r="BY390" s="450"/>
      <c r="BZ390" s="450"/>
      <c r="CA390" s="450">
        <f>COUNTIF(AI390:AW390,"*OK*")</f>
        <v>0</v>
      </c>
      <c r="CB390" s="450"/>
      <c r="CC390" s="450">
        <f>COUNTIF(AI390:AW390,"*OP*")</f>
        <v>0</v>
      </c>
    </row>
    <row r="391" spans="1:81" ht="15" customHeight="1">
      <c r="A391" s="470"/>
      <c r="B391" s="471"/>
      <c r="C391" s="451" t="str">
        <f>T391</f>
        <v> </v>
      </c>
      <c r="D391" s="471">
        <f>COUNTIF(AI391:AW391,"*OK*")</f>
        <v>0</v>
      </c>
      <c r="E391" s="471"/>
      <c r="F391" s="473" t="s">
        <v>1089</v>
      </c>
      <c r="G391" s="473"/>
      <c r="H391" s="474"/>
      <c r="I391" s="474"/>
      <c r="J391" s="473"/>
      <c r="K391" s="473" t="s">
        <v>68</v>
      </c>
      <c r="L391" s="453" t="s">
        <v>461</v>
      </c>
      <c r="M391" s="473"/>
      <c r="N391" s="484" t="s">
        <v>65</v>
      </c>
      <c r="O391" s="477">
        <v>88.98</v>
      </c>
      <c r="P391" s="477">
        <v>84.99</v>
      </c>
      <c r="Q391" s="477">
        <v>84.72</v>
      </c>
      <c r="R391" s="478">
        <v>30.73</v>
      </c>
      <c r="S391" s="459">
        <v>0</v>
      </c>
      <c r="T391" s="487" t="s">
        <v>59</v>
      </c>
      <c r="U391" s="479"/>
      <c r="V391" s="480">
        <v>100</v>
      </c>
      <c r="W391" s="481"/>
      <c r="X391" s="482" t="s">
        <v>70</v>
      </c>
      <c r="Y391" s="483" t="s">
        <v>89</v>
      </c>
      <c r="Z391" s="484" t="s">
        <v>1090</v>
      </c>
      <c r="AA391" s="480" t="s">
        <v>59</v>
      </c>
      <c r="AB391" s="474"/>
      <c r="AC391" s="471"/>
      <c r="AD391" s="471"/>
      <c r="AE391" s="471"/>
      <c r="AF391" s="471"/>
      <c r="AG391" s="471"/>
      <c r="AH391" s="494" t="s">
        <v>59</v>
      </c>
      <c r="AI391" s="467"/>
      <c r="AJ391" s="467"/>
      <c r="AK391" s="467"/>
      <c r="AL391" s="467"/>
      <c r="AM391" s="467"/>
      <c r="AN391" s="467"/>
      <c r="AO391" s="467"/>
      <c r="AP391" s="467"/>
      <c r="AQ391" s="467"/>
      <c r="AR391" s="467"/>
      <c r="AS391" s="467"/>
      <c r="AT391" s="467"/>
      <c r="AU391" s="467"/>
      <c r="AV391" s="467"/>
      <c r="AW391" s="467"/>
      <c r="AX391" s="467"/>
      <c r="AY391" s="486">
        <f>COUNTIF(AI391:AX391,"*OP*")</f>
        <v>0</v>
      </c>
      <c r="AZ391" s="485" t="s">
        <v>59</v>
      </c>
      <c r="BA391" s="471">
        <f>(COUNTIF(AI391:AK391,"*OK*")*3) + (COUNTIF(AL391:AN391,"*OK*")*2) + COUNTIF(AO391:AQ391,"*OK*")+COUNTIF(AZ391:AZ391,"SI")*0.5</f>
        <v>0</v>
      </c>
      <c r="BB391" s="471" t="str">
        <f>IF(BA391&lt;0.6,"Demasiado Riesgo",IF(BA391&lt;=5,"Riesgo Medio",IF(BA391&lt;=11,"Riesgo Bajo","Cliente Blindado")))</f>
        <v>Demasiado Riesgo</v>
      </c>
      <c r="BC391" s="471"/>
      <c r="BD391" s="471"/>
      <c r="BE391" s="471">
        <v>0</v>
      </c>
      <c r="BF391" s="471"/>
      <c r="BG391" s="471"/>
      <c r="BH391" s="471"/>
      <c r="BI391" s="471"/>
      <c r="BJ391" s="471"/>
      <c r="BK391" s="471"/>
      <c r="BL391" s="471"/>
      <c r="BM391" s="471"/>
      <c r="BN391" s="471"/>
      <c r="BO391" s="471"/>
      <c r="BP391" s="471"/>
      <c r="BQ391" s="471"/>
      <c r="BR391" s="471"/>
      <c r="BS391" s="471"/>
      <c r="BT391" s="471"/>
      <c r="BU391" s="471"/>
      <c r="BV391" s="471"/>
      <c r="BW391" s="471"/>
      <c r="BX391" s="471"/>
      <c r="BY391" s="471"/>
      <c r="BZ391" s="471"/>
      <c r="CA391" s="471">
        <f>COUNTIF(AI391:AW391,"*OK*")</f>
        <v>0</v>
      </c>
      <c r="CB391" s="471"/>
      <c r="CC391" s="471">
        <f>COUNTIF(AI391:AW391,"*OP*")</f>
        <v>0</v>
      </c>
    </row>
    <row r="392" spans="1:81" ht="15" customHeight="1">
      <c r="A392" s="449"/>
      <c r="B392" s="450"/>
      <c r="C392" s="451" t="str">
        <f>T392</f>
        <v> </v>
      </c>
      <c r="D392" s="450">
        <f>COUNTIF(AI392:AW392,"*OK*")</f>
        <v>0</v>
      </c>
      <c r="E392" s="450"/>
      <c r="F392" s="453" t="s">
        <v>1091</v>
      </c>
      <c r="G392" s="453"/>
      <c r="H392" s="454"/>
      <c r="I392" s="454"/>
      <c r="J392" s="453"/>
      <c r="K392" s="455" t="s">
        <v>68</v>
      </c>
      <c r="L392" s="453" t="s">
        <v>461</v>
      </c>
      <c r="M392" s="453"/>
      <c r="N392" s="466" t="s">
        <v>237</v>
      </c>
      <c r="O392" s="457">
        <v>26.39</v>
      </c>
      <c r="P392" s="457">
        <v>26.37</v>
      </c>
      <c r="Q392" s="457">
        <v>28.72</v>
      </c>
      <c r="R392" s="458">
        <v>29.64</v>
      </c>
      <c r="S392" s="459">
        <v>0</v>
      </c>
      <c r="T392" s="469" t="s">
        <v>59</v>
      </c>
      <c r="U392" s="461"/>
      <c r="V392" s="462">
        <v>100</v>
      </c>
      <c r="W392" s="463"/>
      <c r="X392" s="562" t="s">
        <v>70</v>
      </c>
      <c r="Y392" s="465" t="s">
        <v>161</v>
      </c>
      <c r="Z392" s="466" t="s">
        <v>1092</v>
      </c>
      <c r="AA392" s="462" t="s">
        <v>161</v>
      </c>
      <c r="AB392" s="454"/>
      <c r="AC392" s="450"/>
      <c r="AD392" s="450"/>
      <c r="AE392" s="450"/>
      <c r="AF392" s="450"/>
      <c r="AG392" s="450"/>
      <c r="AH392" s="496" t="s">
        <v>59</v>
      </c>
      <c r="AI392" s="467"/>
      <c r="AJ392" s="467"/>
      <c r="AK392" s="467"/>
      <c r="AL392" s="467"/>
      <c r="AM392" s="467"/>
      <c r="AN392" s="467"/>
      <c r="AO392" s="467"/>
      <c r="AP392" s="467"/>
      <c r="AQ392" s="467"/>
      <c r="AR392" s="467"/>
      <c r="AS392" s="467"/>
      <c r="AT392" s="467"/>
      <c r="AU392" s="467"/>
      <c r="AV392" s="467"/>
      <c r="AW392" s="467"/>
      <c r="AX392" s="467"/>
      <c r="AY392" s="486">
        <f>COUNTIF(AI392:AX392,"*OP*")</f>
        <v>0</v>
      </c>
      <c r="AZ392" s="499" t="s">
        <v>59</v>
      </c>
      <c r="BA392" s="450">
        <f>(COUNTIF(AI392:AK392,"*OK*")*3) + (COUNTIF(AL392:AN392,"*OK*")*2) + COUNTIF(AO392:AQ392,"*OK*")+COUNTIF(AZ392:AZ392,"SI")*0.5</f>
        <v>0</v>
      </c>
      <c r="BB392" s="450" t="str">
        <f>IF(BA392&lt;0.6,"Demasiado Riesgo",IF(BA392&lt;=5,"Riesgo Medio",IF(BA392&lt;=11,"Riesgo Bajo","Cliente Blindado")))</f>
        <v>Demasiado Riesgo</v>
      </c>
      <c r="BC392" s="450"/>
      <c r="BD392" s="450"/>
      <c r="BE392" s="450">
        <v>0</v>
      </c>
      <c r="BF392" s="450"/>
      <c r="BG392" s="450"/>
      <c r="BH392" s="450"/>
      <c r="BI392" s="450"/>
      <c r="BJ392" s="450"/>
      <c r="BK392" s="450"/>
      <c r="BL392" s="450"/>
      <c r="BM392" s="450"/>
      <c r="BN392" s="450"/>
      <c r="BO392" s="450"/>
      <c r="BP392" s="450"/>
      <c r="BQ392" s="450"/>
      <c r="BR392" s="450"/>
      <c r="BS392" s="450"/>
      <c r="BT392" s="450"/>
      <c r="BU392" s="450"/>
      <c r="BV392" s="450"/>
      <c r="BW392" s="450"/>
      <c r="BX392" s="450"/>
      <c r="BY392" s="450"/>
      <c r="BZ392" s="450"/>
      <c r="CA392" s="450">
        <f>COUNTIF(AI392:AW392,"*OK*")</f>
        <v>0</v>
      </c>
      <c r="CB392" s="450"/>
      <c r="CC392" s="450">
        <f>COUNTIF(AI392:AW392,"*OP*")</f>
        <v>0</v>
      </c>
    </row>
    <row r="393" spans="1:81" ht="15" customHeight="1">
      <c r="A393" s="470"/>
      <c r="B393" s="471"/>
      <c r="C393" s="451" t="str">
        <f>T393</f>
        <v> </v>
      </c>
      <c r="D393" s="471">
        <f>COUNTIF(AI393:AW393,"*OK*")</f>
        <v>0</v>
      </c>
      <c r="E393" s="471"/>
      <c r="F393" s="473" t="s">
        <v>1093</v>
      </c>
      <c r="G393" s="473"/>
      <c r="H393" s="474"/>
      <c r="I393" s="474"/>
      <c r="J393" s="473"/>
      <c r="K393" s="556" t="s">
        <v>68</v>
      </c>
      <c r="L393" s="453" t="s">
        <v>461</v>
      </c>
      <c r="M393" s="473"/>
      <c r="N393" s="484" t="s">
        <v>156</v>
      </c>
      <c r="O393" s="477">
        <v>37.89</v>
      </c>
      <c r="P393" s="477">
        <v>33.65</v>
      </c>
      <c r="Q393" s="477">
        <v>28.06</v>
      </c>
      <c r="R393" s="478">
        <v>24.8</v>
      </c>
      <c r="S393" s="459">
        <v>0</v>
      </c>
      <c r="T393" s="487" t="s">
        <v>59</v>
      </c>
      <c r="U393" s="479"/>
      <c r="V393" s="480">
        <v>50</v>
      </c>
      <c r="W393" s="481"/>
      <c r="X393" s="482" t="s">
        <v>70</v>
      </c>
      <c r="Y393" s="483" t="s">
        <v>161</v>
      </c>
      <c r="Z393" s="484" t="s">
        <v>1094</v>
      </c>
      <c r="AA393" s="480" t="s">
        <v>71</v>
      </c>
      <c r="AB393" s="474"/>
      <c r="AC393" s="471"/>
      <c r="AD393" s="471"/>
      <c r="AE393" s="471"/>
      <c r="AF393" s="471"/>
      <c r="AG393" s="471"/>
      <c r="AH393" s="484" t="s">
        <v>59</v>
      </c>
      <c r="AI393" s="467"/>
      <c r="AJ393" s="467"/>
      <c r="AK393" s="566"/>
      <c r="AL393" s="467"/>
      <c r="AM393" s="467"/>
      <c r="AN393" s="467"/>
      <c r="AO393" s="566"/>
      <c r="AP393" s="566"/>
      <c r="AQ393" s="467"/>
      <c r="AR393" s="467"/>
      <c r="AS393" s="467"/>
      <c r="AT393" s="467"/>
      <c r="AU393" s="467"/>
      <c r="AV393" s="467"/>
      <c r="AW393" s="467"/>
      <c r="AX393" s="467"/>
      <c r="AY393" s="468">
        <f>COUNTIF(AI393:AX393,"*OP*")</f>
        <v>0</v>
      </c>
      <c r="AZ393" s="484" t="s">
        <v>59</v>
      </c>
      <c r="BA393" s="471">
        <f>(COUNTIF(AI393:AK393,"*OK*")*3) + (COUNTIF(AL393:AN393,"*OK*")*2) + COUNTIF(AO393:AQ393,"*OK*")+COUNTIF(AZ393:AZ393,"SI")*0.5</f>
        <v>0</v>
      </c>
      <c r="BB393" s="471" t="str">
        <f>IF(BA393&lt;0.6,"Demasiado Riesgo",IF(BA393&lt;=5,"Riesgo Medio",IF(BA393&lt;=11,"Riesgo Bajo","Cliente Blindado")))</f>
        <v>Demasiado Riesgo</v>
      </c>
      <c r="BC393" s="471"/>
      <c r="BD393" s="471"/>
      <c r="BE393" s="471">
        <v>0</v>
      </c>
      <c r="BF393" s="471"/>
      <c r="BG393" s="471"/>
      <c r="BH393" s="471"/>
      <c r="BI393" s="471"/>
      <c r="BJ393" s="471"/>
      <c r="BK393" s="471"/>
      <c r="BL393" s="471"/>
      <c r="BM393" s="471"/>
      <c r="BN393" s="471"/>
      <c r="BO393" s="471"/>
      <c r="BP393" s="471"/>
      <c r="BQ393" s="471"/>
      <c r="BR393" s="471"/>
      <c r="BS393" s="471"/>
      <c r="BT393" s="471"/>
      <c r="BU393" s="471"/>
      <c r="BV393" s="471"/>
      <c r="BW393" s="471"/>
      <c r="BX393" s="471"/>
      <c r="BY393" s="471"/>
      <c r="BZ393" s="471"/>
      <c r="CA393" s="471">
        <f>COUNTIF(AI393:AW393,"*OK*")</f>
        <v>0</v>
      </c>
      <c r="CB393" s="471"/>
      <c r="CC393" s="471">
        <f>COUNTIF(AI393:AW393,"*OP*")</f>
        <v>0</v>
      </c>
    </row>
    <row r="394" spans="1:81" ht="15" customHeight="1">
      <c r="A394" s="449"/>
      <c r="B394" s="450"/>
      <c r="C394" s="451" t="str">
        <f>T394</f>
        <v> </v>
      </c>
      <c r="D394" s="450">
        <f>COUNTIF(AI394:AW394,"*OK*")</f>
        <v>0</v>
      </c>
      <c r="E394" s="450"/>
      <c r="F394" s="453" t="s">
        <v>1095</v>
      </c>
      <c r="G394" s="453"/>
      <c r="H394" s="454"/>
      <c r="I394" s="454"/>
      <c r="J394" s="453"/>
      <c r="K394" s="552" t="s">
        <v>68</v>
      </c>
      <c r="L394" s="453" t="s">
        <v>461</v>
      </c>
      <c r="M394" s="453"/>
      <c r="N394" s="466" t="s">
        <v>65</v>
      </c>
      <c r="O394" s="457">
        <v>18.04</v>
      </c>
      <c r="P394" s="457">
        <v>18.03</v>
      </c>
      <c r="Q394" s="457">
        <v>17.18</v>
      </c>
      <c r="R394" s="458">
        <v>17.73</v>
      </c>
      <c r="S394" s="459">
        <v>0</v>
      </c>
      <c r="T394" s="469" t="s">
        <v>59</v>
      </c>
      <c r="U394" s="461"/>
      <c r="V394" s="462">
        <v>50</v>
      </c>
      <c r="W394" s="463"/>
      <c r="X394" s="562" t="s">
        <v>70</v>
      </c>
      <c r="Y394" s="465" t="s">
        <v>150</v>
      </c>
      <c r="Z394" s="466" t="s">
        <v>1096</v>
      </c>
      <c r="AA394" s="462" t="s">
        <v>59</v>
      </c>
      <c r="AB394" s="454"/>
      <c r="AC394" s="450"/>
      <c r="AD394" s="450"/>
      <c r="AE394" s="450"/>
      <c r="AF394" s="450"/>
      <c r="AG394" s="450"/>
      <c r="AH394" s="499" t="s">
        <v>59</v>
      </c>
      <c r="AI394" s="467"/>
      <c r="AJ394" s="467"/>
      <c r="AK394" s="467"/>
      <c r="AL394" s="467"/>
      <c r="AM394" s="467"/>
      <c r="AN394" s="467"/>
      <c r="AO394" s="467"/>
      <c r="AP394" s="467"/>
      <c r="AQ394" s="467"/>
      <c r="AR394" s="467"/>
      <c r="AS394" s="467"/>
      <c r="AT394" s="467"/>
      <c r="AU394" s="467"/>
      <c r="AV394" s="467"/>
      <c r="AW394" s="467"/>
      <c r="AX394" s="467"/>
      <c r="AY394" s="486">
        <f>COUNTIF(AI394:AX394,"*OP*")</f>
        <v>0</v>
      </c>
      <c r="AZ394" s="499" t="s">
        <v>59</v>
      </c>
      <c r="BA394" s="450">
        <f>(COUNTIF(AI394:AK394,"*OK*")*3) + (COUNTIF(AL394:AN394,"*OK*")*2) + COUNTIF(AO394:AQ394,"*OK*")+COUNTIF(AZ394:AZ394,"SI")*0.5</f>
        <v>0</v>
      </c>
      <c r="BB394" s="450" t="str">
        <f>IF(BA394&lt;0.6,"Demasiado Riesgo",IF(BA394&lt;=5,"Riesgo Medio",IF(BA394&lt;=11,"Riesgo Bajo","Cliente Blindado")))</f>
        <v>Demasiado Riesgo</v>
      </c>
      <c r="BC394" s="450"/>
      <c r="BD394" s="450"/>
      <c r="BE394" s="450">
        <v>0</v>
      </c>
      <c r="BF394" s="450"/>
      <c r="BG394" s="450"/>
      <c r="BH394" s="450"/>
      <c r="BI394" s="450"/>
      <c r="BJ394" s="450"/>
      <c r="BK394" s="450"/>
      <c r="BL394" s="450"/>
      <c r="BM394" s="450"/>
      <c r="BN394" s="450"/>
      <c r="BO394" s="450"/>
      <c r="BP394" s="450"/>
      <c r="BQ394" s="450"/>
      <c r="BR394" s="450"/>
      <c r="BS394" s="450"/>
      <c r="BT394" s="450"/>
      <c r="BU394" s="450"/>
      <c r="BV394" s="450"/>
      <c r="BW394" s="450"/>
      <c r="BX394" s="450"/>
      <c r="BY394" s="450"/>
      <c r="BZ394" s="450"/>
      <c r="CA394" s="450">
        <f>COUNTIF(AI394:AW394,"*OK*")</f>
        <v>0</v>
      </c>
      <c r="CB394" s="450"/>
      <c r="CC394" s="450">
        <f>COUNTIF(AI394:AW394,"*OP*")</f>
        <v>0</v>
      </c>
    </row>
    <row r="395" spans="1:81" ht="15" customHeight="1">
      <c r="A395" s="470"/>
      <c r="B395" s="471"/>
      <c r="C395" s="451" t="str">
        <f>T395</f>
        <v> </v>
      </c>
      <c r="D395" s="471">
        <f>COUNTIF(AM395:AX395,"OK")</f>
        <v>0</v>
      </c>
      <c r="E395" s="471"/>
      <c r="F395" s="471" t="s">
        <v>1097</v>
      </c>
      <c r="G395" s="471"/>
      <c r="H395" s="474"/>
      <c r="I395" s="474"/>
      <c r="J395" s="471"/>
      <c r="K395" s="491" t="s">
        <v>68</v>
      </c>
      <c r="L395" s="453" t="s">
        <v>461</v>
      </c>
      <c r="M395" s="471"/>
      <c r="N395" s="484"/>
      <c r="O395" s="457"/>
      <c r="P395" s="457"/>
      <c r="Q395" s="457"/>
      <c r="R395" s="458">
        <v>53.31</v>
      </c>
      <c r="S395" s="459">
        <v>0</v>
      </c>
      <c r="T395" s="614" t="s">
        <v>59</v>
      </c>
      <c r="U395" s="479"/>
      <c r="V395" s="480" t="s">
        <v>59</v>
      </c>
      <c r="W395" s="471"/>
      <c r="X395" s="493"/>
      <c r="Y395" s="483"/>
      <c r="Z395" s="484"/>
      <c r="AA395" s="494" t="s">
        <v>59</v>
      </c>
      <c r="AB395" s="474"/>
      <c r="AC395" s="471"/>
      <c r="AD395" s="471"/>
      <c r="AE395" s="471"/>
      <c r="AF395" s="471"/>
      <c r="AG395" s="471"/>
      <c r="AH395" s="494"/>
      <c r="AI395" s="467"/>
      <c r="AJ395" s="467"/>
      <c r="AK395" s="467"/>
      <c r="AL395" s="467"/>
      <c r="AM395" s="467"/>
      <c r="AN395" s="467"/>
      <c r="AO395" s="467"/>
      <c r="AP395" s="467"/>
      <c r="AQ395" s="467"/>
      <c r="AR395" s="467"/>
      <c r="AS395" s="467"/>
      <c r="AT395" s="467"/>
      <c r="AU395" s="467"/>
      <c r="AV395" s="467"/>
      <c r="AW395" s="467"/>
      <c r="AX395" s="467"/>
      <c r="AY395" s="486">
        <f>COUNTIF(AI395:AX395,"*OP*")</f>
        <v>0</v>
      </c>
      <c r="AZ395" s="485" t="s">
        <v>59</v>
      </c>
      <c r="BA395" s="471">
        <f>(COUNTIF(AI395:AK395,"*OK*")*3) + (COUNTIF(AL395:AN395,"*OK*")*2) + COUNTIF(AO395:AQ395,"*OK*")+COUNTIF(AZ395:AZ395,"SI")*0.5</f>
        <v>0</v>
      </c>
      <c r="BB395" s="471" t="str">
        <f>IF(BA395&lt;0.6,"Demasiado Riesgo",IF(BA395&lt;=5,"Riesgo Medio",IF(BA395&lt;=11,"Riesgo Bajo","Cliente Blindado")))</f>
        <v>Demasiado Riesgo</v>
      </c>
      <c r="BC395" s="471"/>
      <c r="BD395" s="471"/>
      <c r="BE395" s="471"/>
      <c r="BF395" s="471"/>
      <c r="BG395" s="471"/>
      <c r="BH395" s="471"/>
      <c r="BI395" s="471"/>
      <c r="BJ395" s="471"/>
      <c r="BK395" s="471"/>
      <c r="BL395" s="471"/>
      <c r="BM395" s="471"/>
      <c r="BN395" s="471"/>
      <c r="BO395" s="471"/>
      <c r="BP395" s="471"/>
      <c r="BQ395" s="471"/>
      <c r="BR395" s="471"/>
      <c r="BS395" s="471"/>
      <c r="BT395" s="471"/>
      <c r="BU395" s="471"/>
      <c r="BV395" s="471"/>
      <c r="BW395" s="471"/>
      <c r="BX395" s="471"/>
      <c r="BY395" s="471"/>
      <c r="BZ395" s="471"/>
      <c r="CA395" s="471">
        <f>COUNTIF(AI395:AW395,"*OK*")</f>
        <v>0</v>
      </c>
      <c r="CB395" s="471"/>
      <c r="CC395" s="471">
        <f>COUNTIF(AI395:AW395,"*OP*")</f>
        <v>0</v>
      </c>
    </row>
    <row r="396" spans="1:81" ht="15" customHeight="1">
      <c r="A396" s="470"/>
      <c r="B396" s="471"/>
      <c r="C396" s="451" t="str">
        <f>T396</f>
        <v> </v>
      </c>
      <c r="D396" s="471">
        <f>COUNTIF(AM396:AX396,"OK")</f>
        <v>0</v>
      </c>
      <c r="E396" s="471"/>
      <c r="F396" s="471" t="s">
        <v>1098</v>
      </c>
      <c r="G396" s="471"/>
      <c r="H396" s="474"/>
      <c r="I396" s="474"/>
      <c r="J396" s="471"/>
      <c r="K396" s="491" t="s">
        <v>68</v>
      </c>
      <c r="L396" s="453" t="s">
        <v>461</v>
      </c>
      <c r="M396" s="471"/>
      <c r="N396" s="484"/>
      <c r="O396" s="457"/>
      <c r="P396" s="457"/>
      <c r="Q396" s="457"/>
      <c r="R396" s="458">
        <v>3.42</v>
      </c>
      <c r="S396" s="459">
        <v>3.4662999999999999</v>
      </c>
      <c r="T396" s="498" t="s">
        <v>59</v>
      </c>
      <c r="U396" s="479"/>
      <c r="V396" s="480" t="s">
        <v>59</v>
      </c>
      <c r="W396" s="471"/>
      <c r="X396" s="483"/>
      <c r="Y396" s="483"/>
      <c r="Z396" s="484"/>
      <c r="AA396" s="494" t="s">
        <v>59</v>
      </c>
      <c r="AB396" s="474"/>
      <c r="AC396" s="471"/>
      <c r="AD396" s="471"/>
      <c r="AE396" s="471"/>
      <c r="AF396" s="471"/>
      <c r="AG396" s="471"/>
      <c r="AH396" s="494"/>
      <c r="AI396" s="467"/>
      <c r="AJ396" s="467"/>
      <c r="AK396" s="467"/>
      <c r="AL396" s="467"/>
      <c r="AM396" s="467"/>
      <c r="AN396" s="467"/>
      <c r="AO396" s="467"/>
      <c r="AP396" s="467"/>
      <c r="AQ396" s="467"/>
      <c r="AR396" s="467"/>
      <c r="AS396" s="467"/>
      <c r="AT396" s="467"/>
      <c r="AU396" s="467"/>
      <c r="AV396" s="467"/>
      <c r="AW396" s="467"/>
      <c r="AX396" s="467"/>
      <c r="AY396" s="486">
        <f>COUNTIF(AI396:AX396,"*OP*")</f>
        <v>0</v>
      </c>
      <c r="AZ396" s="485" t="s">
        <v>59</v>
      </c>
      <c r="BA396" s="471">
        <f>(COUNTIF(AI396:AK396,"*OK*")*3) + (COUNTIF(AL396:AN396,"*OK*")*2) + COUNTIF(AO396:AQ396,"*OK*")+COUNTIF(AZ396:AZ396,"SI")*0.5</f>
        <v>0</v>
      </c>
      <c r="BB396" s="471" t="str">
        <f>IF(BA396&lt;0.6,"Demasiado Riesgo",IF(BA396&lt;=5,"Riesgo Medio",IF(BA396&lt;=11,"Riesgo Bajo","Cliente Blindado")))</f>
        <v>Demasiado Riesgo</v>
      </c>
      <c r="BC396" s="471"/>
      <c r="BD396" s="471"/>
      <c r="BE396" s="471"/>
      <c r="BF396" s="471"/>
      <c r="BG396" s="471"/>
      <c r="BH396" s="471"/>
      <c r="BI396" s="471"/>
      <c r="BJ396" s="471"/>
      <c r="BK396" s="471"/>
      <c r="BL396" s="471"/>
      <c r="BM396" s="471"/>
      <c r="BN396" s="471"/>
      <c r="BO396" s="471"/>
      <c r="BP396" s="471"/>
      <c r="BQ396" s="471"/>
      <c r="BR396" s="471"/>
      <c r="BS396" s="471"/>
      <c r="BT396" s="471"/>
      <c r="BU396" s="471"/>
      <c r="BV396" s="471"/>
      <c r="BW396" s="471"/>
      <c r="BX396" s="471"/>
      <c r="BY396" s="471"/>
      <c r="BZ396" s="471"/>
      <c r="CA396" s="471">
        <f>COUNTIF(AI396:AW396,"*OK*")</f>
        <v>0</v>
      </c>
      <c r="CB396" s="471"/>
      <c r="CC396" s="471">
        <f>COUNTIF(AI396:AW396,"*OP*")</f>
        <v>0</v>
      </c>
    </row>
    <row r="397" spans="1:81" ht="15" customHeight="1">
      <c r="A397" s="470">
        <v>24372</v>
      </c>
      <c r="B397" s="471"/>
      <c r="C397" s="451">
        <f>T397</f>
        <v>33.590000000000003</v>
      </c>
      <c r="D397" s="471">
        <f>COUNTIF(AI397:AW397,"*OK*")</f>
        <v>0</v>
      </c>
      <c r="E397" s="471"/>
      <c r="F397" s="473" t="s">
        <v>1099</v>
      </c>
      <c r="G397" s="473"/>
      <c r="H397" s="481"/>
      <c r="I397" s="481"/>
      <c r="J397" s="473"/>
      <c r="K397" s="475" t="s">
        <v>68</v>
      </c>
      <c r="L397" s="473" t="s">
        <v>442</v>
      </c>
      <c r="M397" s="473"/>
      <c r="N397" s="484" t="s">
        <v>65</v>
      </c>
      <c r="O397" s="477">
        <v>296.22000000000003</v>
      </c>
      <c r="P397" s="477">
        <v>245.91</v>
      </c>
      <c r="Q397" s="477">
        <v>197.83</v>
      </c>
      <c r="R397" s="478">
        <v>116.24</v>
      </c>
      <c r="S397" s="459">
        <v>41.3889</v>
      </c>
      <c r="T397" s="487">
        <v>33.590000000000003</v>
      </c>
      <c r="U397" s="479"/>
      <c r="V397" s="480">
        <v>100</v>
      </c>
      <c r="W397" s="481"/>
      <c r="X397" s="482" t="s">
        <v>70</v>
      </c>
      <c r="Y397" s="483" t="s">
        <v>71</v>
      </c>
      <c r="Z397" s="484" t="s">
        <v>1100</v>
      </c>
      <c r="AA397" s="480" t="s">
        <v>59</v>
      </c>
      <c r="AB397" s="481" t="s">
        <v>84</v>
      </c>
      <c r="AC397" s="471"/>
      <c r="AD397" s="471" t="s">
        <v>1101</v>
      </c>
      <c r="AE397" s="471"/>
      <c r="AF397" s="471"/>
      <c r="AG397" s="471"/>
      <c r="AH397" s="494"/>
      <c r="AI397" s="467"/>
      <c r="AJ397" s="467"/>
      <c r="AK397" s="467"/>
      <c r="AL397" s="467"/>
      <c r="AM397" s="467"/>
      <c r="AN397" s="467"/>
      <c r="AO397" s="467"/>
      <c r="AP397" s="467"/>
      <c r="AQ397" s="467"/>
      <c r="AR397" s="467"/>
      <c r="AS397" s="467"/>
      <c r="AT397" s="467"/>
      <c r="AU397" s="467"/>
      <c r="AV397" s="467"/>
      <c r="AW397" s="467"/>
      <c r="AX397" s="467"/>
      <c r="AY397" s="486">
        <f>COUNTIF(AI397:AX397,"*OP*")</f>
        <v>0</v>
      </c>
      <c r="AZ397" s="485" t="s">
        <v>59</v>
      </c>
      <c r="BA397" s="471">
        <f>(COUNTIF(AI397:AK397,"*OK*")*3) + (COUNTIF(AL397:AN397,"*OK*")*2) + COUNTIF(AO397:AQ397,"*OK*")+COUNTIF(AZ397:AZ397,"SI")*0.5</f>
        <v>0</v>
      </c>
      <c r="BB397" s="471" t="str">
        <f>IF(BA397&lt;0.6,"Demasiado Riesgo",IF(BA397&lt;=5,"Riesgo Medio",IF(BA397&lt;=11,"Riesgo Bajo","Cliente Blindado")))</f>
        <v>Demasiado Riesgo</v>
      </c>
      <c r="BC397" s="471"/>
      <c r="BD397" s="471"/>
      <c r="BE397" s="471">
        <v>0</v>
      </c>
      <c r="BF397" s="471"/>
      <c r="BG397" s="471"/>
      <c r="BH397" s="471"/>
      <c r="BI397" s="471"/>
      <c r="BJ397" s="471"/>
      <c r="BK397" s="471"/>
      <c r="BL397" s="471"/>
      <c r="BM397" s="471"/>
      <c r="BN397" s="471"/>
      <c r="BO397" s="471"/>
      <c r="BP397" s="471"/>
      <c r="BQ397" s="471"/>
      <c r="BR397" s="471"/>
      <c r="BS397" s="471"/>
      <c r="BT397" s="471"/>
      <c r="BU397" s="471"/>
      <c r="BV397" s="471"/>
      <c r="BW397" s="471"/>
      <c r="BX397" s="471"/>
      <c r="BY397" s="471"/>
      <c r="BZ397" s="471"/>
      <c r="CA397" s="471">
        <f>COUNTIF(AI397:AW397,"*OK*")</f>
        <v>0</v>
      </c>
      <c r="CB397" s="471"/>
      <c r="CC397" s="471">
        <f>COUNTIF(AI397:AW397,"*OP*")</f>
        <v>0</v>
      </c>
    </row>
    <row r="398" spans="1:81" ht="15" customHeight="1">
      <c r="A398" s="470">
        <v>23927</v>
      </c>
      <c r="B398" s="471"/>
      <c r="C398" s="451">
        <f>T398</f>
        <v>44.51</v>
      </c>
      <c r="D398" s="471">
        <f>COUNTIF(AI398:AW398,"*OK*")</f>
        <v>0</v>
      </c>
      <c r="E398" s="471"/>
      <c r="F398" s="473" t="s">
        <v>1102</v>
      </c>
      <c r="G398" s="473" t="s">
        <v>1103</v>
      </c>
      <c r="H398" s="481"/>
      <c r="I398" s="481"/>
      <c r="J398" s="473"/>
      <c r="K398" s="556" t="s">
        <v>79</v>
      </c>
      <c r="L398" s="473" t="s">
        <v>442</v>
      </c>
      <c r="M398" s="473"/>
      <c r="N398" s="484" t="s">
        <v>65</v>
      </c>
      <c r="O398" s="477">
        <v>668.21</v>
      </c>
      <c r="P398" s="477">
        <v>667.59</v>
      </c>
      <c r="Q398" s="477">
        <v>636.21</v>
      </c>
      <c r="R398" s="478">
        <v>656.69</v>
      </c>
      <c r="S398" s="459">
        <v>0</v>
      </c>
      <c r="T398" s="487">
        <v>44.51</v>
      </c>
      <c r="U398" s="479"/>
      <c r="V398" s="480">
        <v>150</v>
      </c>
      <c r="W398" s="481"/>
      <c r="X398" s="483" t="s">
        <v>70</v>
      </c>
      <c r="Y398" s="483" t="s">
        <v>241</v>
      </c>
      <c r="Z398" s="484" t="s">
        <v>1104</v>
      </c>
      <c r="AA398" s="480" t="s">
        <v>59</v>
      </c>
      <c r="AB398" s="481" t="s">
        <v>92</v>
      </c>
      <c r="AC398" s="471"/>
      <c r="AD398" s="471" t="s">
        <v>1101</v>
      </c>
      <c r="AE398" s="471"/>
      <c r="AF398" s="471"/>
      <c r="AG398" s="471"/>
      <c r="AH398" s="494" t="s">
        <v>59</v>
      </c>
      <c r="AI398" s="467"/>
      <c r="AJ398" s="467"/>
      <c r="AK398" s="467"/>
      <c r="AL398" s="467"/>
      <c r="AM398" s="467"/>
      <c r="AN398" s="467"/>
      <c r="AO398" s="467"/>
      <c r="AP398" s="467"/>
      <c r="AQ398" s="467"/>
      <c r="AR398" s="467"/>
      <c r="AS398" s="467"/>
      <c r="AT398" s="467"/>
      <c r="AU398" s="467"/>
      <c r="AV398" s="467"/>
      <c r="AW398" s="467"/>
      <c r="AX398" s="467"/>
      <c r="AY398" s="486">
        <f>COUNTIF(AI398:AX398,"*OP*")</f>
        <v>0</v>
      </c>
      <c r="AZ398" s="485" t="s">
        <v>59</v>
      </c>
      <c r="BA398" s="471">
        <f>(COUNTIF(AI398:AK398,"*OK*")*3) + (COUNTIF(AL398:AN398,"*OK*")*2) + COUNTIF(AO398:AQ398,"*OK*")+COUNTIF(AZ398:AZ398,"SI")*0.5</f>
        <v>0</v>
      </c>
      <c r="BB398" s="471" t="str">
        <f>IF(BA398&lt;0.6,"Demasiado Riesgo",IF(BA398&lt;=5,"Riesgo Medio",IF(BA398&lt;=11,"Riesgo Bajo","Cliente Blindado")))</f>
        <v>Demasiado Riesgo</v>
      </c>
      <c r="BC398" s="471"/>
      <c r="BD398" s="471"/>
      <c r="BE398" s="471">
        <v>0</v>
      </c>
      <c r="BF398" s="471"/>
      <c r="BG398" s="471"/>
      <c r="BH398" s="471"/>
      <c r="BI398" s="471"/>
      <c r="BJ398" s="471"/>
      <c r="BK398" s="471"/>
      <c r="BL398" s="471"/>
      <c r="BM398" s="471"/>
      <c r="BN398" s="471"/>
      <c r="BO398" s="471"/>
      <c r="BP398" s="471"/>
      <c r="BQ398" s="471"/>
      <c r="BR398" s="471"/>
      <c r="BS398" s="471"/>
      <c r="BT398" s="471"/>
      <c r="BU398" s="471"/>
      <c r="BV398" s="471"/>
      <c r="BW398" s="471"/>
      <c r="BX398" s="471"/>
      <c r="BY398" s="471"/>
      <c r="BZ398" s="471"/>
      <c r="CA398" s="471">
        <f>COUNTIF(AI398:AW398,"*OK*")</f>
        <v>0</v>
      </c>
      <c r="CB398" s="471"/>
      <c r="CC398" s="471">
        <f>COUNTIF(AI398:AW398,"*OP*")</f>
        <v>0</v>
      </c>
    </row>
    <row r="399" spans="1:81" ht="15" customHeight="1">
      <c r="A399" s="449">
        <v>18595</v>
      </c>
      <c r="B399" s="450"/>
      <c r="C399" s="451">
        <f>T399</f>
        <v>104.72</v>
      </c>
      <c r="D399" s="450">
        <f>COUNTIF(AI399:AW399,"*OK*")</f>
        <v>0</v>
      </c>
      <c r="E399" s="450"/>
      <c r="F399" s="453" t="s">
        <v>1105</v>
      </c>
      <c r="G399" s="453" t="s">
        <v>1106</v>
      </c>
      <c r="H399" s="463"/>
      <c r="I399" s="463"/>
      <c r="J399" s="453"/>
      <c r="K399" s="552" t="s">
        <v>79</v>
      </c>
      <c r="L399" s="453" t="s">
        <v>442</v>
      </c>
      <c r="M399" s="453"/>
      <c r="N399" s="466" t="s">
        <v>237</v>
      </c>
      <c r="O399" s="457">
        <v>128.37</v>
      </c>
      <c r="P399" s="457">
        <v>120.24</v>
      </c>
      <c r="Q399" s="457">
        <v>110.76</v>
      </c>
      <c r="R399" s="458">
        <v>108.42</v>
      </c>
      <c r="S399" s="459">
        <v>105.8794</v>
      </c>
      <c r="T399" s="469">
        <v>104.72</v>
      </c>
      <c r="U399" s="461"/>
      <c r="V399" s="462">
        <v>100</v>
      </c>
      <c r="W399" s="463"/>
      <c r="X399" s="562" t="s">
        <v>70</v>
      </c>
      <c r="Y399" s="465" t="s">
        <v>71</v>
      </c>
      <c r="Z399" s="466" t="s">
        <v>1107</v>
      </c>
      <c r="AA399" s="462" t="s">
        <v>59</v>
      </c>
      <c r="AB399" s="463" t="s">
        <v>97</v>
      </c>
      <c r="AC399" s="450"/>
      <c r="AD399" s="450" t="s">
        <v>1108</v>
      </c>
      <c r="AE399" s="450"/>
      <c r="AF399" s="450"/>
      <c r="AG399" s="450" t="s">
        <v>1109</v>
      </c>
      <c r="AH399" s="496"/>
      <c r="AI399" s="467"/>
      <c r="AJ399" s="467"/>
      <c r="AK399" s="467"/>
      <c r="AL399" s="467"/>
      <c r="AM399" s="467"/>
      <c r="AN399" s="467"/>
      <c r="AO399" s="467"/>
      <c r="AP399" s="467"/>
      <c r="AQ399" s="467"/>
      <c r="AR399" s="467"/>
      <c r="AS399" s="467"/>
      <c r="AT399" s="467"/>
      <c r="AU399" s="467"/>
      <c r="AV399" s="467"/>
      <c r="AW399" s="467"/>
      <c r="AX399" s="467" t="s">
        <v>1110</v>
      </c>
      <c r="AY399" s="486">
        <f>COUNTIF(AI399:AX399,"*OP*")</f>
        <v>1</v>
      </c>
      <c r="AZ399" s="499" t="s">
        <v>59</v>
      </c>
      <c r="BA399" s="450">
        <f>(COUNTIF(AI399:AK399,"*OK*")*3) + (COUNTIF(AL399:AN399,"*OK*")*2) + COUNTIF(AO399:AQ399,"*OK*")+COUNTIF(AZ399:AZ399,"SI")*0.5</f>
        <v>0</v>
      </c>
      <c r="BB399" s="450" t="str">
        <f>IF(BA399&lt;0.6,"Demasiado Riesgo",IF(BA399&lt;=5,"Riesgo Medio",IF(BA399&lt;=11,"Riesgo Bajo","Cliente Blindado")))</f>
        <v>Demasiado Riesgo</v>
      </c>
      <c r="BC399" s="450"/>
      <c r="BD399" s="450"/>
      <c r="BE399" s="450">
        <v>0</v>
      </c>
      <c r="BF399" s="450"/>
      <c r="BG399" s="450"/>
      <c r="BH399" s="450"/>
      <c r="BI399" s="450"/>
      <c r="BJ399" s="450"/>
      <c r="BK399" s="450"/>
      <c r="BL399" s="450"/>
      <c r="BM399" s="450"/>
      <c r="BN399" s="450"/>
      <c r="BO399" s="450"/>
      <c r="BP399" s="450"/>
      <c r="BQ399" s="450"/>
      <c r="BR399" s="450"/>
      <c r="BS399" s="450"/>
      <c r="BT399" s="450"/>
      <c r="BU399" s="450"/>
      <c r="BV399" s="450"/>
      <c r="BW399" s="450"/>
      <c r="BX399" s="450"/>
      <c r="BY399" s="450"/>
      <c r="BZ399" s="450"/>
      <c r="CA399" s="450">
        <f>COUNTIF(AI399:AW399,"*OK*")</f>
        <v>0</v>
      </c>
      <c r="CB399" s="450"/>
      <c r="CC399" s="450">
        <f>COUNTIF(AI399:AW399,"*OP*")</f>
        <v>0</v>
      </c>
    </row>
    <row r="400" spans="1:81" ht="15" customHeight="1">
      <c r="A400" s="563"/>
      <c r="B400" s="536"/>
      <c r="C400" s="451">
        <f>T400</f>
        <v>111.19</v>
      </c>
      <c r="D400" s="471">
        <f>COUNTIF(AI400:AW400,"*OK*")</f>
        <v>0</v>
      </c>
      <c r="E400" s="471"/>
      <c r="F400" s="473" t="s">
        <v>1111</v>
      </c>
      <c r="G400" s="473" t="s">
        <v>1112</v>
      </c>
      <c r="H400" s="481"/>
      <c r="I400" s="481"/>
      <c r="J400" s="473"/>
      <c r="K400" s="556" t="s">
        <v>79</v>
      </c>
      <c r="L400" s="473" t="s">
        <v>442</v>
      </c>
      <c r="M400" s="473"/>
      <c r="N400" s="484" t="s">
        <v>65</v>
      </c>
      <c r="O400" s="477">
        <v>119.37</v>
      </c>
      <c r="P400" s="477">
        <v>119.26</v>
      </c>
      <c r="Q400" s="477">
        <v>109.02</v>
      </c>
      <c r="R400" s="478">
        <v>117.31</v>
      </c>
      <c r="S400" s="459">
        <v>111.61369999999999</v>
      </c>
      <c r="T400" s="487">
        <v>111.19</v>
      </c>
      <c r="U400" s="479"/>
      <c r="V400" s="480">
        <v>100</v>
      </c>
      <c r="W400" s="481"/>
      <c r="X400" s="493" t="s">
        <v>100</v>
      </c>
      <c r="Y400" s="483" t="s">
        <v>71</v>
      </c>
      <c r="Z400" s="484" t="s">
        <v>1113</v>
      </c>
      <c r="AA400" s="480" t="s">
        <v>59</v>
      </c>
      <c r="AB400" s="481" t="s">
        <v>92</v>
      </c>
      <c r="AC400" s="471"/>
      <c r="AD400" s="471" t="s">
        <v>1114</v>
      </c>
      <c r="AE400" s="471"/>
      <c r="AF400" s="471"/>
      <c r="AG400" s="471"/>
      <c r="AH400" s="494" t="s">
        <v>59</v>
      </c>
      <c r="AI400" s="467"/>
      <c r="AJ400" s="467"/>
      <c r="AK400" s="467"/>
      <c r="AL400" s="467"/>
      <c r="AM400" s="467"/>
      <c r="AN400" s="467"/>
      <c r="AO400" s="467"/>
      <c r="AP400" s="467"/>
      <c r="AQ400" s="467"/>
      <c r="AR400" s="467"/>
      <c r="AS400" s="467"/>
      <c r="AT400" s="467"/>
      <c r="AU400" s="467"/>
      <c r="AV400" s="467"/>
      <c r="AW400" s="467"/>
      <c r="AX400" s="467"/>
      <c r="AY400" s="486">
        <f>COUNTIF(AI400:AX400,"*OP*")</f>
        <v>0</v>
      </c>
      <c r="AZ400" s="485" t="s">
        <v>59</v>
      </c>
      <c r="BA400" s="471">
        <f>(COUNTIF(AI400:AK400,"*OK*")*3) + (COUNTIF(AL400:AN400,"*OK*")*2) + COUNTIF(AO400:AQ400,"*OK*")+COUNTIF(AZ400:AZ400,"SI")*0.5</f>
        <v>0</v>
      </c>
      <c r="BB400" s="471" t="str">
        <f>IF(BA400&lt;0.6,"Demasiado Riesgo",IF(BA400&lt;=5,"Riesgo Medio",IF(BA400&lt;=11,"Riesgo Bajo","Cliente Blindado")))</f>
        <v>Demasiado Riesgo</v>
      </c>
      <c r="BC400" s="471"/>
      <c r="BD400" s="471"/>
      <c r="BE400" s="471">
        <v>0</v>
      </c>
      <c r="BF400" s="471"/>
      <c r="BG400" s="471"/>
      <c r="BH400" s="471"/>
      <c r="BI400" s="471"/>
      <c r="BJ400" s="471"/>
      <c r="BK400" s="471"/>
      <c r="BL400" s="471"/>
      <c r="BM400" s="471"/>
      <c r="BN400" s="471"/>
      <c r="BO400" s="471"/>
      <c r="BP400" s="471"/>
      <c r="BQ400" s="471"/>
      <c r="BR400" s="471"/>
      <c r="BS400" s="471"/>
      <c r="BT400" s="471"/>
      <c r="BU400" s="471"/>
      <c r="BV400" s="471"/>
      <c r="BW400" s="471"/>
      <c r="BX400" s="471"/>
      <c r="BY400" s="471"/>
      <c r="BZ400" s="471"/>
      <c r="CA400" s="471">
        <f>COUNTIF(AI400:AW400,"*OK*")</f>
        <v>0</v>
      </c>
      <c r="CB400" s="471"/>
      <c r="CC400" s="471">
        <f>COUNTIF(AI400:AW400,"*OP*")</f>
        <v>0</v>
      </c>
    </row>
    <row r="401" spans="1:81" ht="15" customHeight="1">
      <c r="A401" s="449"/>
      <c r="B401" s="450"/>
      <c r="C401" s="451">
        <f>T401</f>
        <v>123.42</v>
      </c>
      <c r="D401" s="450">
        <f>COUNTIF(AI401:AW401,"*OK*")</f>
        <v>0</v>
      </c>
      <c r="E401" s="450" t="s">
        <v>1115</v>
      </c>
      <c r="F401" s="453" t="s">
        <v>1116</v>
      </c>
      <c r="G401" s="453" t="s">
        <v>1117</v>
      </c>
      <c r="H401" s="463"/>
      <c r="I401" s="463"/>
      <c r="J401" s="453"/>
      <c r="K401" s="552" t="s">
        <v>79</v>
      </c>
      <c r="L401" s="453" t="s">
        <v>442</v>
      </c>
      <c r="M401" s="453"/>
      <c r="N401" s="466" t="s">
        <v>65</v>
      </c>
      <c r="O401" s="457">
        <v>116.01</v>
      </c>
      <c r="P401" s="457">
        <v>115.9</v>
      </c>
      <c r="Q401" s="457">
        <v>114.87</v>
      </c>
      <c r="R401" s="458">
        <v>118.57</v>
      </c>
      <c r="S401" s="459">
        <v>122.4747</v>
      </c>
      <c r="T401" s="460">
        <v>123.42</v>
      </c>
      <c r="U401" s="461"/>
      <c r="V401" s="462">
        <v>200</v>
      </c>
      <c r="W401" s="463"/>
      <c r="X401" s="567" t="s">
        <v>70</v>
      </c>
      <c r="Y401" s="465" t="s">
        <v>360</v>
      </c>
      <c r="Z401" s="466" t="s">
        <v>1118</v>
      </c>
      <c r="AA401" s="462" t="s">
        <v>59</v>
      </c>
      <c r="AB401" s="463" t="s">
        <v>92</v>
      </c>
      <c r="AC401" s="450"/>
      <c r="AD401" s="450" t="s">
        <v>1114</v>
      </c>
      <c r="AE401" s="450"/>
      <c r="AF401" s="450"/>
      <c r="AG401" s="450"/>
      <c r="AH401" s="496"/>
      <c r="AI401" s="467"/>
      <c r="AJ401" s="467"/>
      <c r="AK401" s="467"/>
      <c r="AL401" s="467"/>
      <c r="AM401" s="467"/>
      <c r="AN401" s="467"/>
      <c r="AO401" s="467"/>
      <c r="AP401" s="467"/>
      <c r="AQ401" s="467"/>
      <c r="AR401" s="467"/>
      <c r="AS401" s="467"/>
      <c r="AT401" s="467"/>
      <c r="AU401" s="467"/>
      <c r="AV401" s="467"/>
      <c r="AW401" s="467"/>
      <c r="AX401" s="467"/>
      <c r="AY401" s="486">
        <f>COUNTIF(AI401:AX401,"*OP*")</f>
        <v>0</v>
      </c>
      <c r="AZ401" s="499" t="s">
        <v>59</v>
      </c>
      <c r="BA401" s="450">
        <f>(COUNTIF(AI401:AK401,"*OK*")*3) + (COUNTIF(AL401:AN401,"*OK*")*2) + COUNTIF(AO401:AQ401,"*OK*")+COUNTIF(AZ401:AZ401,"SI")*0.5</f>
        <v>0</v>
      </c>
      <c r="BB401" s="450" t="str">
        <f>IF(BA401&lt;0.6,"Demasiado Riesgo",IF(BA401&lt;=5,"Riesgo Medio",IF(BA401&lt;=11,"Riesgo Bajo","Cliente Blindado")))</f>
        <v>Demasiado Riesgo</v>
      </c>
      <c r="BC401" s="450"/>
      <c r="BD401" s="450"/>
      <c r="BE401" s="450">
        <v>0</v>
      </c>
      <c r="BF401" s="450"/>
      <c r="BG401" s="450"/>
      <c r="BH401" s="450"/>
      <c r="BI401" s="450"/>
      <c r="BJ401" s="450"/>
      <c r="BK401" s="450"/>
      <c r="BL401" s="450"/>
      <c r="BM401" s="450"/>
      <c r="BN401" s="450"/>
      <c r="BO401" s="450"/>
      <c r="BP401" s="450"/>
      <c r="BQ401" s="450"/>
      <c r="BR401" s="450"/>
      <c r="BS401" s="450"/>
      <c r="BT401" s="450"/>
      <c r="BU401" s="450"/>
      <c r="BV401" s="450"/>
      <c r="BW401" s="450"/>
      <c r="BX401" s="450"/>
      <c r="BY401" s="450"/>
      <c r="BZ401" s="450"/>
      <c r="CA401" s="450">
        <f>COUNTIF(AI401:AW401,"*OK*")</f>
        <v>0</v>
      </c>
      <c r="CB401" s="450"/>
      <c r="CC401" s="450">
        <f>COUNTIF(AI401:AW401,"*OP*")</f>
        <v>0</v>
      </c>
    </row>
    <row r="402" spans="1:81" ht="15" customHeight="1">
      <c r="A402" s="449"/>
      <c r="B402" s="450"/>
      <c r="C402" s="451">
        <f>T402</f>
        <v>128.79</v>
      </c>
      <c r="D402" s="450">
        <f>COUNTIF(AI402:AW402,"*OK*")</f>
        <v>0</v>
      </c>
      <c r="E402" s="450"/>
      <c r="F402" s="453" t="s">
        <v>1119</v>
      </c>
      <c r="G402" s="453" t="s">
        <v>1112</v>
      </c>
      <c r="H402" s="463"/>
      <c r="I402" s="463"/>
      <c r="J402" s="453"/>
      <c r="K402" s="552" t="s">
        <v>79</v>
      </c>
      <c r="L402" s="453" t="s">
        <v>442</v>
      </c>
      <c r="M402" s="453"/>
      <c r="N402" s="466" t="s">
        <v>65</v>
      </c>
      <c r="O402" s="457">
        <v>123.43</v>
      </c>
      <c r="P402" s="457">
        <v>135.49</v>
      </c>
      <c r="Q402" s="457">
        <v>141.49</v>
      </c>
      <c r="R402" s="458">
        <v>153.22999999999999</v>
      </c>
      <c r="S402" s="459">
        <v>135.8776</v>
      </c>
      <c r="T402" s="469">
        <v>128.79</v>
      </c>
      <c r="U402" s="461"/>
      <c r="V402" s="462">
        <v>100</v>
      </c>
      <c r="W402" s="463"/>
      <c r="X402" s="562" t="s">
        <v>70</v>
      </c>
      <c r="Y402" s="465" t="s">
        <v>71</v>
      </c>
      <c r="Z402" s="466" t="s">
        <v>1120</v>
      </c>
      <c r="AA402" s="462" t="s">
        <v>59</v>
      </c>
      <c r="AB402" s="463" t="s">
        <v>92</v>
      </c>
      <c r="AC402" s="450"/>
      <c r="AD402" s="450" t="s">
        <v>1114</v>
      </c>
      <c r="AE402" s="450"/>
      <c r="AF402" s="450"/>
      <c r="AG402" s="450"/>
      <c r="AH402" s="496" t="s">
        <v>59</v>
      </c>
      <c r="AI402" s="467"/>
      <c r="AJ402" s="467"/>
      <c r="AK402" s="467"/>
      <c r="AL402" s="467"/>
      <c r="AM402" s="467"/>
      <c r="AN402" s="467"/>
      <c r="AO402" s="467"/>
      <c r="AP402" s="467"/>
      <c r="AQ402" s="467"/>
      <c r="AR402" s="467"/>
      <c r="AS402" s="467"/>
      <c r="AT402" s="467"/>
      <c r="AU402" s="467"/>
      <c r="AV402" s="467"/>
      <c r="AW402" s="467"/>
      <c r="AX402" s="467"/>
      <c r="AY402" s="486">
        <f>COUNTIF(AI402:AX402,"*OP*")</f>
        <v>0</v>
      </c>
      <c r="AZ402" s="499" t="s">
        <v>59</v>
      </c>
      <c r="BA402" s="450">
        <f>(COUNTIF(AI402:AK402,"*OK*")*3) + (COUNTIF(AL402:AN402,"*OK*")*2) + COUNTIF(AO402:AQ402,"*OK*")+COUNTIF(AZ402:AZ402,"SI")*0.5</f>
        <v>0</v>
      </c>
      <c r="BB402" s="450" t="str">
        <f>IF(BA402&lt;0.6,"Demasiado Riesgo",IF(BA402&lt;=5,"Riesgo Medio",IF(BA402&lt;=11,"Riesgo Bajo","Cliente Blindado")))</f>
        <v>Demasiado Riesgo</v>
      </c>
      <c r="BC402" s="450"/>
      <c r="BD402" s="450"/>
      <c r="BE402" s="450">
        <v>0</v>
      </c>
      <c r="BF402" s="450"/>
      <c r="BG402" s="450"/>
      <c r="BH402" s="450"/>
      <c r="BI402" s="450"/>
      <c r="BJ402" s="450"/>
      <c r="BK402" s="450"/>
      <c r="BL402" s="450"/>
      <c r="BM402" s="450"/>
      <c r="BN402" s="450"/>
      <c r="BO402" s="450"/>
      <c r="BP402" s="450"/>
      <c r="BQ402" s="450"/>
      <c r="BR402" s="450"/>
      <c r="BS402" s="450"/>
      <c r="BT402" s="450"/>
      <c r="BU402" s="450"/>
      <c r="BV402" s="450"/>
      <c r="BW402" s="450"/>
      <c r="BX402" s="450"/>
      <c r="BY402" s="450"/>
      <c r="BZ402" s="450"/>
      <c r="CA402" s="450">
        <f>COUNTIF(AI402:AW402,"*OK*")</f>
        <v>0</v>
      </c>
      <c r="CB402" s="450"/>
      <c r="CC402" s="450">
        <f>COUNTIF(AI402:AW402,"*OP*")</f>
        <v>0</v>
      </c>
    </row>
    <row r="403" spans="1:81" ht="15" customHeight="1">
      <c r="A403" s="470"/>
      <c r="B403" s="471"/>
      <c r="C403" s="451">
        <f>T403</f>
        <v>130.27000000000001</v>
      </c>
      <c r="D403" s="471">
        <f>COUNTIF(AI403:AW403,"*OK*")</f>
        <v>0</v>
      </c>
      <c r="E403" s="471" t="s">
        <v>1115</v>
      </c>
      <c r="F403" s="473" t="s">
        <v>1121</v>
      </c>
      <c r="G403" s="473" t="s">
        <v>1117</v>
      </c>
      <c r="H403" s="481"/>
      <c r="I403" s="481"/>
      <c r="J403" s="473"/>
      <c r="K403" s="556" t="s">
        <v>79</v>
      </c>
      <c r="L403" s="473" t="s">
        <v>442</v>
      </c>
      <c r="M403" s="473"/>
      <c r="N403" s="484" t="s">
        <v>65</v>
      </c>
      <c r="O403" s="477">
        <v>127.61</v>
      </c>
      <c r="P403" s="477">
        <v>127.49</v>
      </c>
      <c r="Q403" s="477">
        <v>121.5</v>
      </c>
      <c r="R403" s="478">
        <v>125.41</v>
      </c>
      <c r="S403" s="459">
        <v>129.40719999999999</v>
      </c>
      <c r="T403" s="490">
        <v>130.27000000000001</v>
      </c>
      <c r="U403" s="479"/>
      <c r="V403" s="480">
        <v>500</v>
      </c>
      <c r="W403" s="481"/>
      <c r="X403" s="493" t="s">
        <v>251</v>
      </c>
      <c r="Y403" s="483" t="s">
        <v>108</v>
      </c>
      <c r="Z403" s="484" t="s">
        <v>1122</v>
      </c>
      <c r="AA403" s="480" t="s">
        <v>59</v>
      </c>
      <c r="AB403" s="481" t="s">
        <v>92</v>
      </c>
      <c r="AC403" s="471"/>
      <c r="AD403" s="471" t="s">
        <v>1114</v>
      </c>
      <c r="AE403" s="471"/>
      <c r="AF403" s="471"/>
      <c r="AG403" s="471"/>
      <c r="AH403" s="494"/>
      <c r="AI403" s="467"/>
      <c r="AJ403" s="467"/>
      <c r="AK403" s="467"/>
      <c r="AL403" s="467"/>
      <c r="AM403" s="467"/>
      <c r="AN403" s="467"/>
      <c r="AO403" s="467"/>
      <c r="AP403" s="467"/>
      <c r="AQ403" s="467"/>
      <c r="AR403" s="467"/>
      <c r="AS403" s="467"/>
      <c r="AT403" s="467"/>
      <c r="AU403" s="467"/>
      <c r="AV403" s="467"/>
      <c r="AW403" s="467"/>
      <c r="AX403" s="467"/>
      <c r="AY403" s="486">
        <f>COUNTIF(AI403:AX403,"*OP*")</f>
        <v>0</v>
      </c>
      <c r="AZ403" s="485" t="s">
        <v>59</v>
      </c>
      <c r="BA403" s="471">
        <f>(COUNTIF(AI403:AK403,"*OK*")*3) + (COUNTIF(AL403:AN403,"*OK*")*2) + COUNTIF(AO403:AQ403,"*OK*")+COUNTIF(AZ403:AZ403,"SI")*0.5</f>
        <v>0</v>
      </c>
      <c r="BB403" s="471" t="str">
        <f>IF(BA403&lt;0.6,"Demasiado Riesgo",IF(BA403&lt;=5,"Riesgo Medio",IF(BA403&lt;=11,"Riesgo Bajo","Cliente Blindado")))</f>
        <v>Demasiado Riesgo</v>
      </c>
      <c r="BC403" s="471"/>
      <c r="BD403" s="471"/>
      <c r="BE403" s="471">
        <v>0</v>
      </c>
      <c r="BF403" s="471"/>
      <c r="BG403" s="471"/>
      <c r="BH403" s="471"/>
      <c r="BI403" s="471"/>
      <c r="BJ403" s="471"/>
      <c r="BK403" s="471"/>
      <c r="BL403" s="471"/>
      <c r="BM403" s="471"/>
      <c r="BN403" s="471"/>
      <c r="BO403" s="471"/>
      <c r="BP403" s="471"/>
      <c r="BQ403" s="471"/>
      <c r="BR403" s="471"/>
      <c r="BS403" s="471"/>
      <c r="BT403" s="471"/>
      <c r="BU403" s="471"/>
      <c r="BV403" s="471"/>
      <c r="BW403" s="471"/>
      <c r="BX403" s="471"/>
      <c r="BY403" s="471"/>
      <c r="BZ403" s="471"/>
      <c r="CA403" s="471">
        <f>COUNTIF(AI403:AW403,"*OK*")</f>
        <v>0</v>
      </c>
      <c r="CB403" s="471"/>
      <c r="CC403" s="471">
        <f>COUNTIF(AI403:AW403,"*OP*")</f>
        <v>0</v>
      </c>
    </row>
    <row r="404" spans="1:81" ht="15" customHeight="1">
      <c r="A404" s="449"/>
      <c r="B404" s="450"/>
      <c r="C404" s="451">
        <f>T404</f>
        <v>131.99</v>
      </c>
      <c r="D404" s="450">
        <f>COUNTIF(AI404:AW404,"*OK*")</f>
        <v>0</v>
      </c>
      <c r="E404" s="450"/>
      <c r="F404" s="453" t="s">
        <v>1123</v>
      </c>
      <c r="G404" s="453" t="s">
        <v>1112</v>
      </c>
      <c r="H404" s="463"/>
      <c r="I404" s="463"/>
      <c r="J404" s="453"/>
      <c r="K404" s="552" t="s">
        <v>79</v>
      </c>
      <c r="L404" s="453" t="s">
        <v>442</v>
      </c>
      <c r="M404" s="453"/>
      <c r="N404" s="466" t="s">
        <v>65</v>
      </c>
      <c r="O404" s="457">
        <v>133.99</v>
      </c>
      <c r="P404" s="457">
        <v>143.6</v>
      </c>
      <c r="Q404" s="457">
        <v>133.76</v>
      </c>
      <c r="R404" s="458">
        <v>142.05000000000001</v>
      </c>
      <c r="S404" s="459">
        <v>135.06880000000001</v>
      </c>
      <c r="T404" s="469">
        <v>131.99</v>
      </c>
      <c r="U404" s="461"/>
      <c r="V404" s="462">
        <v>100</v>
      </c>
      <c r="W404" s="463"/>
      <c r="X404" s="464" t="s">
        <v>484</v>
      </c>
      <c r="Y404" s="465" t="s">
        <v>150</v>
      </c>
      <c r="Z404" s="466" t="s">
        <v>1124</v>
      </c>
      <c r="AA404" s="462" t="s">
        <v>59</v>
      </c>
      <c r="AB404" s="463" t="s">
        <v>92</v>
      </c>
      <c r="AC404" s="450"/>
      <c r="AD404" s="450" t="s">
        <v>1114</v>
      </c>
      <c r="AE404" s="450"/>
      <c r="AF404" s="450"/>
      <c r="AG404" s="450"/>
      <c r="AH404" s="496" t="s">
        <v>59</v>
      </c>
      <c r="AI404" s="467"/>
      <c r="AJ404" s="467"/>
      <c r="AK404" s="467"/>
      <c r="AL404" s="467"/>
      <c r="AM404" s="467"/>
      <c r="AN404" s="467"/>
      <c r="AO404" s="467"/>
      <c r="AP404" s="467"/>
      <c r="AQ404" s="467"/>
      <c r="AR404" s="467"/>
      <c r="AS404" s="467"/>
      <c r="AT404" s="467"/>
      <c r="AU404" s="467"/>
      <c r="AV404" s="467"/>
      <c r="AW404" s="467"/>
      <c r="AX404" s="467"/>
      <c r="AY404" s="486">
        <f>COUNTIF(AI404:AX404,"*OP*")</f>
        <v>0</v>
      </c>
      <c r="AZ404" s="499" t="s">
        <v>59</v>
      </c>
      <c r="BA404" s="450">
        <f>(COUNTIF(AI404:AK404,"*OK*")*3) + (COUNTIF(AL404:AN404,"*OK*")*2) + COUNTIF(AO404:AQ404,"*OK*")+COUNTIF(AZ404:AZ404,"SI")*0.5</f>
        <v>0</v>
      </c>
      <c r="BB404" s="450" t="str">
        <f>IF(BA404&lt;0.6,"Demasiado Riesgo",IF(BA404&lt;=5,"Riesgo Medio",IF(BA404&lt;=11,"Riesgo Bajo","Cliente Blindado")))</f>
        <v>Demasiado Riesgo</v>
      </c>
      <c r="BC404" s="450"/>
      <c r="BD404" s="450"/>
      <c r="BE404" s="450">
        <v>0</v>
      </c>
      <c r="BF404" s="450"/>
      <c r="BG404" s="450"/>
      <c r="BH404" s="450"/>
      <c r="BI404" s="450"/>
      <c r="BJ404" s="450"/>
      <c r="BK404" s="450"/>
      <c r="BL404" s="450"/>
      <c r="BM404" s="450"/>
      <c r="BN404" s="450"/>
      <c r="BO404" s="450"/>
      <c r="BP404" s="450"/>
      <c r="BQ404" s="450"/>
      <c r="BR404" s="450"/>
      <c r="BS404" s="450"/>
      <c r="BT404" s="450"/>
      <c r="BU404" s="450"/>
      <c r="BV404" s="450"/>
      <c r="BW404" s="450"/>
      <c r="BX404" s="450"/>
      <c r="BY404" s="450"/>
      <c r="BZ404" s="450"/>
      <c r="CA404" s="450">
        <f>COUNTIF(AI404:AW404,"*OK*")</f>
        <v>0</v>
      </c>
      <c r="CB404" s="450"/>
      <c r="CC404" s="450">
        <f>COUNTIF(AI404:AW404,"*OP*")</f>
        <v>0</v>
      </c>
    </row>
    <row r="405" spans="1:81" ht="15" customHeight="1">
      <c r="A405" s="470"/>
      <c r="B405" s="471"/>
      <c r="C405" s="451">
        <f>T405</f>
        <v>139.19</v>
      </c>
      <c r="D405" s="471">
        <f>COUNTIF(AI405:AW405,"*OK*")</f>
        <v>0</v>
      </c>
      <c r="E405" s="471"/>
      <c r="F405" s="473" t="s">
        <v>1125</v>
      </c>
      <c r="G405" s="473" t="s">
        <v>1112</v>
      </c>
      <c r="H405" s="481"/>
      <c r="I405" s="481"/>
      <c r="J405" s="473"/>
      <c r="K405" s="556" t="s">
        <v>79</v>
      </c>
      <c r="L405" s="473" t="s">
        <v>442</v>
      </c>
      <c r="M405" s="473"/>
      <c r="N405" s="484" t="s">
        <v>65</v>
      </c>
      <c r="O405" s="477">
        <v>136.43</v>
      </c>
      <c r="P405" s="477">
        <v>146.04</v>
      </c>
      <c r="Q405" s="477">
        <v>135.30000000000001</v>
      </c>
      <c r="R405" s="478">
        <v>150.03</v>
      </c>
      <c r="S405" s="459">
        <v>143.1567</v>
      </c>
      <c r="T405" s="487">
        <v>139.19</v>
      </c>
      <c r="U405" s="479"/>
      <c r="V405" s="480">
        <v>150</v>
      </c>
      <c r="W405" s="481"/>
      <c r="X405" s="572" t="s">
        <v>70</v>
      </c>
      <c r="Y405" s="483" t="s">
        <v>89</v>
      </c>
      <c r="Z405" s="484" t="s">
        <v>1126</v>
      </c>
      <c r="AA405" s="480" t="s">
        <v>59</v>
      </c>
      <c r="AB405" s="481" t="s">
        <v>92</v>
      </c>
      <c r="AC405" s="471"/>
      <c r="AD405" s="471" t="s">
        <v>1114</v>
      </c>
      <c r="AE405" s="471"/>
      <c r="AF405" s="471"/>
      <c r="AG405" s="471"/>
      <c r="AH405" s="484" t="s">
        <v>59</v>
      </c>
      <c r="AI405" s="467"/>
      <c r="AJ405" s="467"/>
      <c r="AK405" s="566"/>
      <c r="AL405" s="467"/>
      <c r="AM405" s="566"/>
      <c r="AN405" s="467"/>
      <c r="AO405" s="467"/>
      <c r="AP405" s="467"/>
      <c r="AQ405" s="467"/>
      <c r="AR405" s="467"/>
      <c r="AS405" s="467"/>
      <c r="AT405" s="467"/>
      <c r="AU405" s="467"/>
      <c r="AV405" s="467"/>
      <c r="AW405" s="467"/>
      <c r="AX405" s="467"/>
      <c r="AY405" s="468">
        <f>COUNTIF(AI405:AX405,"*OP*")</f>
        <v>0</v>
      </c>
      <c r="AZ405" s="484" t="s">
        <v>59</v>
      </c>
      <c r="BA405" s="471">
        <f>(COUNTIF(AI405:AK405,"*OK*")*3) + (COUNTIF(AL405:AN405,"*OK*")*2) + COUNTIF(AO405:AQ405,"*OK*")+COUNTIF(AZ405:AZ405,"SI")*0.5</f>
        <v>0</v>
      </c>
      <c r="BB405" s="471" t="str">
        <f>IF(BA405&lt;0.6,"Demasiado Riesgo",IF(BA405&lt;=5,"Riesgo Medio",IF(BA405&lt;=11,"Riesgo Bajo","Cliente Blindado")))</f>
        <v>Demasiado Riesgo</v>
      </c>
      <c r="BC405" s="471"/>
      <c r="BD405" s="471"/>
      <c r="BE405" s="471">
        <v>0</v>
      </c>
      <c r="BF405" s="471"/>
      <c r="BG405" s="471"/>
      <c r="BH405" s="471"/>
      <c r="BI405" s="471"/>
      <c r="BJ405" s="471"/>
      <c r="BK405" s="471"/>
      <c r="BL405" s="471"/>
      <c r="BM405" s="471"/>
      <c r="BN405" s="471"/>
      <c r="BO405" s="471"/>
      <c r="BP405" s="471"/>
      <c r="BQ405" s="471"/>
      <c r="BR405" s="471"/>
      <c r="BS405" s="471"/>
      <c r="BT405" s="471"/>
      <c r="BU405" s="471"/>
      <c r="BV405" s="471"/>
      <c r="BW405" s="471"/>
      <c r="BX405" s="471"/>
      <c r="BY405" s="471"/>
      <c r="BZ405" s="471"/>
      <c r="CA405" s="471">
        <f>COUNTIF(AI405:AW405,"*OK*")</f>
        <v>0</v>
      </c>
      <c r="CB405" s="471"/>
      <c r="CC405" s="471">
        <f>COUNTIF(AI405:AW405,"*OP*")</f>
        <v>0</v>
      </c>
    </row>
    <row r="406" spans="1:81" ht="15" customHeight="1">
      <c r="A406" s="488"/>
      <c r="B406" s="489"/>
      <c r="C406" s="451">
        <f>T406</f>
        <v>141.69999999999999</v>
      </c>
      <c r="D406" s="450">
        <f>COUNTIF(AI406:AW406,"*OK*")</f>
        <v>0</v>
      </c>
      <c r="E406" s="450" t="s">
        <v>1115</v>
      </c>
      <c r="F406" s="453" t="s">
        <v>1127</v>
      </c>
      <c r="G406" s="453" t="s">
        <v>1117</v>
      </c>
      <c r="H406" s="463"/>
      <c r="I406" s="463"/>
      <c r="J406" s="453"/>
      <c r="K406" s="552" t="s">
        <v>79</v>
      </c>
      <c r="L406" s="453" t="s">
        <v>442</v>
      </c>
      <c r="M406" s="453"/>
      <c r="N406" s="466" t="s">
        <v>65</v>
      </c>
      <c r="O406" s="457">
        <v>139.21</v>
      </c>
      <c r="P406" s="457">
        <v>139.08000000000001</v>
      </c>
      <c r="Q406" s="457">
        <v>132.54</v>
      </c>
      <c r="R406" s="458">
        <v>139.09</v>
      </c>
      <c r="S406" s="459">
        <v>140.9614</v>
      </c>
      <c r="T406" s="460">
        <v>141.69999999999999</v>
      </c>
      <c r="U406" s="461"/>
      <c r="V406" s="462">
        <v>300</v>
      </c>
      <c r="W406" s="463"/>
      <c r="X406" s="567" t="s">
        <v>70</v>
      </c>
      <c r="Y406" s="465" t="s">
        <v>108</v>
      </c>
      <c r="Z406" s="466" t="s">
        <v>1128</v>
      </c>
      <c r="AA406" s="462" t="s">
        <v>59</v>
      </c>
      <c r="AB406" s="463" t="s">
        <v>92</v>
      </c>
      <c r="AC406" s="450"/>
      <c r="AD406" s="450" t="s">
        <v>1114</v>
      </c>
      <c r="AE406" s="450"/>
      <c r="AF406" s="450"/>
      <c r="AG406" s="450"/>
      <c r="AH406" s="499"/>
      <c r="AI406" s="467"/>
      <c r="AJ406" s="467"/>
      <c r="AK406" s="467"/>
      <c r="AL406" s="467"/>
      <c r="AM406" s="467"/>
      <c r="AN406" s="467"/>
      <c r="AO406" s="467"/>
      <c r="AP406" s="467"/>
      <c r="AQ406" s="467"/>
      <c r="AR406" s="467"/>
      <c r="AS406" s="467"/>
      <c r="AT406" s="467"/>
      <c r="AU406" s="467"/>
      <c r="AV406" s="467"/>
      <c r="AW406" s="467"/>
      <c r="AX406" s="467"/>
      <c r="AY406" s="486">
        <f>COUNTIF(AI406:AX406,"*OP*")</f>
        <v>0</v>
      </c>
      <c r="AZ406" s="499" t="s">
        <v>59</v>
      </c>
      <c r="BA406" s="450">
        <f>(COUNTIF(AI406:AK406,"*OK*")*3) + (COUNTIF(AL406:AN406,"*OK*")*2) + COUNTIF(AO406:AQ406,"*OK*")+COUNTIF(AZ406:AZ406,"SI")*0.5</f>
        <v>0</v>
      </c>
      <c r="BB406" s="450" t="str">
        <f>IF(BA406&lt;0.6,"Demasiado Riesgo",IF(BA406&lt;=5,"Riesgo Medio",IF(BA406&lt;=11,"Riesgo Bajo","Cliente Blindado")))</f>
        <v>Demasiado Riesgo</v>
      </c>
      <c r="BC406" s="450"/>
      <c r="BD406" s="450"/>
      <c r="BE406" s="450">
        <v>0</v>
      </c>
      <c r="BF406" s="450"/>
      <c r="BG406" s="450"/>
      <c r="BH406" s="450"/>
      <c r="BI406" s="450"/>
      <c r="BJ406" s="450"/>
      <c r="BK406" s="450"/>
      <c r="BL406" s="450"/>
      <c r="BM406" s="450"/>
      <c r="BN406" s="450"/>
      <c r="BO406" s="450"/>
      <c r="BP406" s="450"/>
      <c r="BQ406" s="450"/>
      <c r="BR406" s="450"/>
      <c r="BS406" s="450"/>
      <c r="BT406" s="450"/>
      <c r="BU406" s="450"/>
      <c r="BV406" s="450"/>
      <c r="BW406" s="450"/>
      <c r="BX406" s="450"/>
      <c r="BY406" s="450"/>
      <c r="BZ406" s="450"/>
      <c r="CA406" s="450">
        <f>COUNTIF(AI406:AW406,"*OK*")</f>
        <v>0</v>
      </c>
      <c r="CB406" s="450"/>
      <c r="CC406" s="450">
        <f>COUNTIF(AI406:AW406,"*OP*")</f>
        <v>0</v>
      </c>
    </row>
    <row r="407" spans="1:81" ht="15" customHeight="1">
      <c r="A407" s="449"/>
      <c r="B407" s="450"/>
      <c r="C407" s="451">
        <f>T407</f>
        <v>142.38999999999999</v>
      </c>
      <c r="D407" s="450">
        <f>COUNTIF(AI407:AW407,"*OK*")</f>
        <v>0</v>
      </c>
      <c r="E407" s="450"/>
      <c r="F407" s="576" t="s">
        <v>1129</v>
      </c>
      <c r="G407" s="453" t="s">
        <v>1112</v>
      </c>
      <c r="H407" s="463" t="s">
        <v>1130</v>
      </c>
      <c r="I407" s="463"/>
      <c r="J407" s="453"/>
      <c r="K407" s="552" t="s">
        <v>79</v>
      </c>
      <c r="L407" s="453" t="s">
        <v>442</v>
      </c>
      <c r="M407" s="453"/>
      <c r="N407" s="466" t="s">
        <v>65</v>
      </c>
      <c r="O407" s="457">
        <v>134.80000000000001</v>
      </c>
      <c r="P407" s="457">
        <v>141.16999999999999</v>
      </c>
      <c r="Q407" s="457">
        <v>262.10000000000002</v>
      </c>
      <c r="R407" s="458">
        <v>145.25</v>
      </c>
      <c r="S407" s="459">
        <v>145.5831</v>
      </c>
      <c r="T407" s="469">
        <v>142.38999999999999</v>
      </c>
      <c r="U407" s="461"/>
      <c r="V407" s="462">
        <v>200</v>
      </c>
      <c r="W407" s="463"/>
      <c r="X407" s="562" t="s">
        <v>70</v>
      </c>
      <c r="Y407" s="465" t="s">
        <v>80</v>
      </c>
      <c r="Z407" s="466" t="s">
        <v>1131</v>
      </c>
      <c r="AA407" s="462" t="s">
        <v>59</v>
      </c>
      <c r="AB407" s="463" t="s">
        <v>92</v>
      </c>
      <c r="AC407" s="450"/>
      <c r="AD407" s="450" t="s">
        <v>1114</v>
      </c>
      <c r="AE407" s="450"/>
      <c r="AF407" s="450"/>
      <c r="AG407" s="450"/>
      <c r="AH407" s="496" t="s">
        <v>59</v>
      </c>
      <c r="AI407" s="467"/>
      <c r="AJ407" s="467" t="s">
        <v>171</v>
      </c>
      <c r="AK407" s="467" t="s">
        <v>1132</v>
      </c>
      <c r="AL407" s="467" t="s">
        <v>1133</v>
      </c>
      <c r="AM407" s="467"/>
      <c r="AN407" s="467"/>
      <c r="AO407" s="467"/>
      <c r="AP407" s="467"/>
      <c r="AQ407" s="467"/>
      <c r="AR407" s="467"/>
      <c r="AS407" s="467"/>
      <c r="AT407" s="467"/>
      <c r="AU407" s="467"/>
      <c r="AV407" s="467"/>
      <c r="AW407" s="467"/>
      <c r="AX407" s="467"/>
      <c r="AY407" s="486">
        <f>COUNTIF(AI407:AX407,"*OP*")</f>
        <v>3</v>
      </c>
      <c r="AZ407" s="499" t="s">
        <v>59</v>
      </c>
      <c r="BA407" s="450">
        <f>(COUNTIF(AI407:AK407,"*OK*")*3) + (COUNTIF(AL407:AN407,"*OK*")*2) + COUNTIF(AO407:AQ407,"*OK*")+COUNTIF(AZ407:AZ407,"SI")*0.5</f>
        <v>0</v>
      </c>
      <c r="BB407" s="450" t="str">
        <f>IF(BA407&lt;0.6,"Demasiado Riesgo",IF(BA407&lt;=5,"Riesgo Medio",IF(BA407&lt;=11,"Riesgo Bajo","Cliente Blindado")))</f>
        <v>Demasiado Riesgo</v>
      </c>
      <c r="BC407" s="450"/>
      <c r="BD407" s="450"/>
      <c r="BE407" s="450">
        <v>0</v>
      </c>
      <c r="BF407" s="450"/>
      <c r="BG407" s="450"/>
      <c r="BH407" s="450"/>
      <c r="BI407" s="450"/>
      <c r="BJ407" s="450"/>
      <c r="BK407" s="450"/>
      <c r="BL407" s="450"/>
      <c r="BM407" s="450"/>
      <c r="BN407" s="450"/>
      <c r="BO407" s="450"/>
      <c r="BP407" s="450"/>
      <c r="BQ407" s="450"/>
      <c r="BR407" s="450"/>
      <c r="BS407" s="450"/>
      <c r="BT407" s="450"/>
      <c r="BU407" s="450"/>
      <c r="BV407" s="450"/>
      <c r="BW407" s="450"/>
      <c r="BX407" s="450"/>
      <c r="BY407" s="450"/>
      <c r="BZ407" s="450"/>
      <c r="CA407" s="450">
        <f>COUNTIF(AI407:AW407,"*OK*")</f>
        <v>0</v>
      </c>
      <c r="CB407" s="450"/>
      <c r="CC407" s="450">
        <f>COUNTIF(AI407:AW407,"*OP*")</f>
        <v>3</v>
      </c>
    </row>
    <row r="408" spans="1:81" ht="15" customHeight="1">
      <c r="A408" s="563">
        <v>23247</v>
      </c>
      <c r="B408" s="536"/>
      <c r="C408" s="451">
        <f>T408</f>
        <v>144.61000000000001</v>
      </c>
      <c r="D408" s="471">
        <f>COUNTIF(AI408:AW408,"*OK*")</f>
        <v>1</v>
      </c>
      <c r="E408" s="471"/>
      <c r="F408" s="473" t="s">
        <v>1134</v>
      </c>
      <c r="G408" s="473"/>
      <c r="H408" s="481"/>
      <c r="I408" s="481"/>
      <c r="J408" s="473"/>
      <c r="K408" s="475" t="s">
        <v>68</v>
      </c>
      <c r="L408" s="473" t="s">
        <v>442</v>
      </c>
      <c r="M408" s="473"/>
      <c r="N408" s="484" t="s">
        <v>103</v>
      </c>
      <c r="O408" s="477">
        <v>149.75</v>
      </c>
      <c r="P408" s="477">
        <v>148.97999999999999</v>
      </c>
      <c r="Q408" s="477">
        <v>146.1</v>
      </c>
      <c r="R408" s="478">
        <v>144.79</v>
      </c>
      <c r="S408" s="459">
        <v>146.17930000000001</v>
      </c>
      <c r="T408" s="487">
        <v>144.61000000000001</v>
      </c>
      <c r="U408" s="479"/>
      <c r="V408" s="480">
        <v>100</v>
      </c>
      <c r="W408" s="481"/>
      <c r="X408" s="572" t="s">
        <v>70</v>
      </c>
      <c r="Y408" s="483" t="s">
        <v>80</v>
      </c>
      <c r="Z408" s="484" t="s">
        <v>1135</v>
      </c>
      <c r="AA408" s="480" t="s">
        <v>59</v>
      </c>
      <c r="AB408" s="481" t="s">
        <v>92</v>
      </c>
      <c r="AC408" s="471"/>
      <c r="AD408" s="471" t="s">
        <v>1101</v>
      </c>
      <c r="AE408" s="471"/>
      <c r="AF408" s="471"/>
      <c r="AG408" s="471"/>
      <c r="AH408" s="494"/>
      <c r="AI408" s="467"/>
      <c r="AJ408" s="467"/>
      <c r="AK408" s="467"/>
      <c r="AL408" s="467"/>
      <c r="AM408" s="467"/>
      <c r="AN408" s="467"/>
      <c r="AO408" s="467"/>
      <c r="AP408" s="565" t="s">
        <v>111</v>
      </c>
      <c r="AQ408" s="467"/>
      <c r="AR408" s="467"/>
      <c r="AS408" s="467"/>
      <c r="AT408" s="467"/>
      <c r="AU408" s="467"/>
      <c r="AV408" s="467"/>
      <c r="AW408" s="467"/>
      <c r="AX408" s="467"/>
      <c r="AY408" s="486">
        <f>COUNTIF(AI408:AX408,"*OP*")</f>
        <v>0</v>
      </c>
      <c r="AZ408" s="485" t="s">
        <v>176</v>
      </c>
      <c r="BA408" s="471">
        <f>(COUNTIF(AI408:AK408,"*OK*")*3) + (COUNTIF(AL408:AN408,"*OK*")*2) + COUNTIF(AO408:AQ408,"*OK*")+COUNTIF(AZ408:AZ408,"SI")*0.5</f>
        <v>1</v>
      </c>
      <c r="BB408" s="471" t="str">
        <f>IF(BA408&lt;0.6,"Demasiado Riesgo",IF(BA408&lt;=5,"Riesgo Medio",IF(BA408&lt;=11,"Riesgo Bajo","Cliente Blindado")))</f>
        <v>Riesgo Medio</v>
      </c>
      <c r="BC408" s="471"/>
      <c r="BD408" s="471"/>
      <c r="BE408" s="471">
        <v>0</v>
      </c>
      <c r="BF408" s="471"/>
      <c r="BG408" s="471"/>
      <c r="BH408" s="471"/>
      <c r="BI408" s="471"/>
      <c r="BJ408" s="471"/>
      <c r="BK408" s="471"/>
      <c r="BL408" s="471"/>
      <c r="BM408" s="471"/>
      <c r="BN408" s="471"/>
      <c r="BO408" s="471"/>
      <c r="BP408" s="471"/>
      <c r="BQ408" s="471"/>
      <c r="BR408" s="471"/>
      <c r="BS408" s="471"/>
      <c r="BT408" s="471"/>
      <c r="BU408" s="471"/>
      <c r="BV408" s="471"/>
      <c r="BW408" s="471"/>
      <c r="BX408" s="471"/>
      <c r="BY408" s="471"/>
      <c r="BZ408" s="471"/>
      <c r="CA408" s="471">
        <f>COUNTIF(AI408:AW408,"*OK*")</f>
        <v>1</v>
      </c>
      <c r="CB408" s="471"/>
      <c r="CC408" s="471">
        <f>COUNTIF(AI408:AW408,"*OP*")</f>
        <v>0</v>
      </c>
    </row>
    <row r="409" spans="1:81" ht="15" customHeight="1">
      <c r="A409" s="449"/>
      <c r="B409" s="450"/>
      <c r="C409" s="451">
        <f>T409</f>
        <v>145.76</v>
      </c>
      <c r="D409" s="450">
        <f>COUNTIF(AI409:AW409,"*OK*")</f>
        <v>0</v>
      </c>
      <c r="E409" s="450"/>
      <c r="F409" s="453" t="s">
        <v>1136</v>
      </c>
      <c r="G409" s="453" t="s">
        <v>1137</v>
      </c>
      <c r="H409" s="463"/>
      <c r="I409" s="463"/>
      <c r="J409" s="453"/>
      <c r="K409" s="552" t="s">
        <v>79</v>
      </c>
      <c r="L409" s="453" t="s">
        <v>442</v>
      </c>
      <c r="M409" s="453"/>
      <c r="N409" s="466" t="s">
        <v>65</v>
      </c>
      <c r="O409" s="457">
        <v>168.42</v>
      </c>
      <c r="P409" s="457">
        <v>165.86</v>
      </c>
      <c r="Q409" s="457">
        <v>143.19999999999999</v>
      </c>
      <c r="R409" s="458">
        <v>151.35</v>
      </c>
      <c r="S409" s="459">
        <v>176.14400000000001</v>
      </c>
      <c r="T409" s="469">
        <v>145.76</v>
      </c>
      <c r="U409" s="461"/>
      <c r="V409" s="462">
        <v>1000</v>
      </c>
      <c r="W409" s="463"/>
      <c r="X409" s="567" t="s">
        <v>70</v>
      </c>
      <c r="Y409" s="465" t="s">
        <v>360</v>
      </c>
      <c r="Z409" s="466" t="s">
        <v>1138</v>
      </c>
      <c r="AA409" s="462" t="s">
        <v>59</v>
      </c>
      <c r="AB409" s="463" t="s">
        <v>92</v>
      </c>
      <c r="AC409" s="450"/>
      <c r="AD409" s="450" t="s">
        <v>1108</v>
      </c>
      <c r="AE409" s="450"/>
      <c r="AF409" s="450"/>
      <c r="AG409" s="450"/>
      <c r="AH409" s="496"/>
      <c r="AI409" s="467"/>
      <c r="AJ409" s="467"/>
      <c r="AK409" s="467"/>
      <c r="AL409" s="467"/>
      <c r="AM409" s="467"/>
      <c r="AN409" s="467"/>
      <c r="AO409" s="467"/>
      <c r="AP409" s="467"/>
      <c r="AQ409" s="467"/>
      <c r="AR409" s="467"/>
      <c r="AS409" s="467"/>
      <c r="AT409" s="467"/>
      <c r="AU409" s="467"/>
      <c r="AV409" s="467"/>
      <c r="AW409" s="467"/>
      <c r="AX409" s="467"/>
      <c r="AY409" s="486">
        <f>COUNTIF(AI409:AX409,"*OP*")</f>
        <v>0</v>
      </c>
      <c r="AZ409" s="499" t="s">
        <v>59</v>
      </c>
      <c r="BA409" s="450">
        <f>(COUNTIF(AI409:AK409,"*OK*")*3) + (COUNTIF(AL409:AN409,"*OK*")*2) + COUNTIF(AO409:AQ409,"*OK*")+COUNTIF(AZ409:AZ409,"SI")*0.5</f>
        <v>0</v>
      </c>
      <c r="BB409" s="450" t="str">
        <f>IF(BA409&lt;0.6,"Demasiado Riesgo",IF(BA409&lt;=5,"Riesgo Medio",IF(BA409&lt;=11,"Riesgo Bajo","Cliente Blindado")))</f>
        <v>Demasiado Riesgo</v>
      </c>
      <c r="BC409" s="450"/>
      <c r="BD409" s="450"/>
      <c r="BE409" s="450">
        <v>0</v>
      </c>
      <c r="BF409" s="450"/>
      <c r="BG409" s="450"/>
      <c r="BH409" s="450"/>
      <c r="BI409" s="450"/>
      <c r="BJ409" s="450"/>
      <c r="BK409" s="450"/>
      <c r="BL409" s="450"/>
      <c r="BM409" s="450"/>
      <c r="BN409" s="450"/>
      <c r="BO409" s="450"/>
      <c r="BP409" s="450"/>
      <c r="BQ409" s="450"/>
      <c r="BR409" s="450"/>
      <c r="BS409" s="450"/>
      <c r="BT409" s="450"/>
      <c r="BU409" s="450"/>
      <c r="BV409" s="450"/>
      <c r="BW409" s="450"/>
      <c r="BX409" s="450"/>
      <c r="BY409" s="450"/>
      <c r="BZ409" s="450"/>
      <c r="CA409" s="450">
        <f>COUNTIF(AI409:AW409,"*OK*")</f>
        <v>0</v>
      </c>
      <c r="CB409" s="450"/>
      <c r="CC409" s="450">
        <f>COUNTIF(AI409:AW409,"*OP*")</f>
        <v>0</v>
      </c>
    </row>
    <row r="410" spans="1:81" ht="15" customHeight="1">
      <c r="A410" s="470"/>
      <c r="B410" s="471"/>
      <c r="C410" s="451">
        <f>T410</f>
        <v>171.41</v>
      </c>
      <c r="D410" s="471">
        <f>COUNTIF(AI410:AW410,"*OK*")</f>
        <v>0</v>
      </c>
      <c r="E410" s="471" t="s">
        <v>1115</v>
      </c>
      <c r="F410" s="473" t="s">
        <v>1139</v>
      </c>
      <c r="G410" s="473" t="s">
        <v>1117</v>
      </c>
      <c r="H410" s="481"/>
      <c r="I410" s="481"/>
      <c r="J410" s="473"/>
      <c r="K410" s="556" t="s">
        <v>79</v>
      </c>
      <c r="L410" s="473" t="s">
        <v>442</v>
      </c>
      <c r="M410" s="473"/>
      <c r="N410" s="484" t="s">
        <v>65</v>
      </c>
      <c r="O410" s="477">
        <v>169.37</v>
      </c>
      <c r="P410" s="477">
        <v>171.53</v>
      </c>
      <c r="Q410" s="477">
        <v>167.89</v>
      </c>
      <c r="R410" s="478">
        <v>168.73</v>
      </c>
      <c r="S410" s="459">
        <v>173.3133</v>
      </c>
      <c r="T410" s="487">
        <v>171.41</v>
      </c>
      <c r="U410" s="479"/>
      <c r="V410" s="480">
        <v>200</v>
      </c>
      <c r="W410" s="481"/>
      <c r="X410" s="572" t="s">
        <v>70</v>
      </c>
      <c r="Y410" s="483" t="s">
        <v>71</v>
      </c>
      <c r="Z410" s="484" t="s">
        <v>1140</v>
      </c>
      <c r="AA410" s="480" t="s">
        <v>59</v>
      </c>
      <c r="AB410" s="481" t="s">
        <v>92</v>
      </c>
      <c r="AC410" s="471"/>
      <c r="AD410" s="471" t="s">
        <v>1114</v>
      </c>
      <c r="AE410" s="471"/>
      <c r="AF410" s="471"/>
      <c r="AG410" s="471"/>
      <c r="AH410" s="494"/>
      <c r="AI410" s="467"/>
      <c r="AJ410" s="467"/>
      <c r="AK410" s="467"/>
      <c r="AL410" s="467"/>
      <c r="AM410" s="467"/>
      <c r="AN410" s="467"/>
      <c r="AO410" s="467"/>
      <c r="AP410" s="467"/>
      <c r="AQ410" s="467"/>
      <c r="AR410" s="467"/>
      <c r="AS410" s="566"/>
      <c r="AT410" s="467"/>
      <c r="AU410" s="467"/>
      <c r="AV410" s="467"/>
      <c r="AW410" s="467"/>
      <c r="AX410" s="467"/>
      <c r="AY410" s="486">
        <f>COUNTIF(AI410:AX410,"*OP*")</f>
        <v>0</v>
      </c>
      <c r="AZ410" s="485" t="s">
        <v>59</v>
      </c>
      <c r="BA410" s="471">
        <f>(COUNTIF(AI410:AK410,"*OK*")*3) + (COUNTIF(AL410:AN410,"*OK*")*2) + COUNTIF(AO410:AQ410,"*OK*")+COUNTIF(AZ410:AZ410,"SI")*0.5</f>
        <v>0</v>
      </c>
      <c r="BB410" s="471" t="str">
        <f>IF(BA410&lt;0.6,"Demasiado Riesgo",IF(BA410&lt;=5,"Riesgo Medio",IF(BA410&lt;=11,"Riesgo Bajo","Cliente Blindado")))</f>
        <v>Demasiado Riesgo</v>
      </c>
      <c r="BC410" s="471"/>
      <c r="BD410" s="471"/>
      <c r="BE410" s="471">
        <v>0</v>
      </c>
      <c r="BF410" s="471"/>
      <c r="BG410" s="471"/>
      <c r="BH410" s="471"/>
      <c r="BI410" s="471"/>
      <c r="BJ410" s="471"/>
      <c r="BK410" s="471"/>
      <c r="BL410" s="471"/>
      <c r="BM410" s="471"/>
      <c r="BN410" s="471"/>
      <c r="BO410" s="471"/>
      <c r="BP410" s="471"/>
      <c r="BQ410" s="471"/>
      <c r="BR410" s="471"/>
      <c r="BS410" s="471"/>
      <c r="BT410" s="471"/>
      <c r="BU410" s="471"/>
      <c r="BV410" s="471"/>
      <c r="BW410" s="471"/>
      <c r="BX410" s="471"/>
      <c r="BY410" s="471"/>
      <c r="BZ410" s="471"/>
      <c r="CA410" s="471">
        <f>COUNTIF(AI410:AW410,"*OK*")</f>
        <v>0</v>
      </c>
      <c r="CB410" s="471"/>
      <c r="CC410" s="471">
        <f>COUNTIF(AI410:AW410,"*OP*")</f>
        <v>0</v>
      </c>
    </row>
    <row r="411" spans="1:81" ht="15" customHeight="1">
      <c r="A411" s="449"/>
      <c r="B411" s="450"/>
      <c r="C411" s="451">
        <f>T411</f>
        <v>187.41</v>
      </c>
      <c r="D411" s="450">
        <f>COUNTIF(AI411:AW411,"*OK*")</f>
        <v>0</v>
      </c>
      <c r="E411" s="450" t="s">
        <v>1115</v>
      </c>
      <c r="F411" s="453" t="s">
        <v>1141</v>
      </c>
      <c r="G411" s="453" t="s">
        <v>1117</v>
      </c>
      <c r="H411" s="463"/>
      <c r="I411" s="463"/>
      <c r="J411" s="453"/>
      <c r="K411" s="552" t="s">
        <v>79</v>
      </c>
      <c r="L411" s="453" t="s">
        <v>442</v>
      </c>
      <c r="M411" s="453"/>
      <c r="N411" s="466" t="s">
        <v>65</v>
      </c>
      <c r="O411" s="457">
        <v>187.93</v>
      </c>
      <c r="P411" s="457">
        <v>187.76</v>
      </c>
      <c r="Q411" s="457">
        <v>187.77</v>
      </c>
      <c r="R411" s="458">
        <v>184.69</v>
      </c>
      <c r="S411" s="459">
        <v>191.8</v>
      </c>
      <c r="T411" s="469">
        <v>187.41</v>
      </c>
      <c r="U411" s="461"/>
      <c r="V411" s="462">
        <v>500</v>
      </c>
      <c r="W411" s="463"/>
      <c r="X411" s="465" t="s">
        <v>251</v>
      </c>
      <c r="Y411" s="465" t="s">
        <v>108</v>
      </c>
      <c r="Z411" s="466" t="s">
        <v>1142</v>
      </c>
      <c r="AA411" s="462" t="s">
        <v>59</v>
      </c>
      <c r="AB411" s="463" t="s">
        <v>92</v>
      </c>
      <c r="AC411" s="450"/>
      <c r="AD411" s="450" t="s">
        <v>1114</v>
      </c>
      <c r="AE411" s="450"/>
      <c r="AF411" s="450"/>
      <c r="AG411" s="450"/>
      <c r="AH411" s="496"/>
      <c r="AI411" s="467"/>
      <c r="AJ411" s="467"/>
      <c r="AK411" s="467"/>
      <c r="AL411" s="467"/>
      <c r="AM411" s="467"/>
      <c r="AN411" s="467"/>
      <c r="AO411" s="467"/>
      <c r="AP411" s="467"/>
      <c r="AQ411" s="467"/>
      <c r="AR411" s="467"/>
      <c r="AS411" s="467"/>
      <c r="AT411" s="467"/>
      <c r="AU411" s="467"/>
      <c r="AV411" s="467"/>
      <c r="AW411" s="467"/>
      <c r="AX411" s="467"/>
      <c r="AY411" s="486">
        <f>COUNTIF(AI411:AX411,"*OP*")</f>
        <v>0</v>
      </c>
      <c r="AZ411" s="499" t="s">
        <v>59</v>
      </c>
      <c r="BA411" s="450">
        <f>(COUNTIF(AI411:AK411,"*OK*")*3) + (COUNTIF(AL411:AN411,"*OK*")*2) + COUNTIF(AO411:AQ411,"*OK*")+COUNTIF(AZ411:AZ411,"SI")*0.5</f>
        <v>0</v>
      </c>
      <c r="BB411" s="450" t="str">
        <f>IF(BA411&lt;0.6,"Demasiado Riesgo",IF(BA411&lt;=5,"Riesgo Medio",IF(BA411&lt;=11,"Riesgo Bajo","Cliente Blindado")))</f>
        <v>Demasiado Riesgo</v>
      </c>
      <c r="BC411" s="450"/>
      <c r="BD411" s="450"/>
      <c r="BE411" s="450">
        <v>0</v>
      </c>
      <c r="BF411" s="450"/>
      <c r="BG411" s="450"/>
      <c r="BH411" s="450"/>
      <c r="BI411" s="450"/>
      <c r="BJ411" s="450"/>
      <c r="BK411" s="450"/>
      <c r="BL411" s="450"/>
      <c r="BM411" s="450"/>
      <c r="BN411" s="450"/>
      <c r="BO411" s="450"/>
      <c r="BP411" s="450"/>
      <c r="BQ411" s="450"/>
      <c r="BR411" s="450"/>
      <c r="BS411" s="450"/>
      <c r="BT411" s="450"/>
      <c r="BU411" s="450"/>
      <c r="BV411" s="450"/>
      <c r="BW411" s="450"/>
      <c r="BX411" s="450"/>
      <c r="BY411" s="450"/>
      <c r="BZ411" s="450"/>
      <c r="CA411" s="450">
        <f>COUNTIF(AI411:AW411,"*OK*")</f>
        <v>0</v>
      </c>
      <c r="CB411" s="450"/>
      <c r="CC411" s="450">
        <f>COUNTIF(AI411:AW411,"*OP*")</f>
        <v>0</v>
      </c>
    </row>
    <row r="412" spans="1:81" ht="15" customHeight="1">
      <c r="A412" s="470"/>
      <c r="B412" s="471"/>
      <c r="C412" s="451">
        <f>T412</f>
        <v>193.06</v>
      </c>
      <c r="D412" s="471">
        <f>COUNTIF(AI412:AW412,"*OK*")</f>
        <v>0</v>
      </c>
      <c r="E412" s="471"/>
      <c r="F412" s="473" t="s">
        <v>1143</v>
      </c>
      <c r="G412" s="473"/>
      <c r="H412" s="481"/>
      <c r="I412" s="481"/>
      <c r="J412" s="473"/>
      <c r="K412" s="475" t="s">
        <v>68</v>
      </c>
      <c r="L412" s="473" t="s">
        <v>442</v>
      </c>
      <c r="M412" s="473"/>
      <c r="N412" s="484" t="s">
        <v>65</v>
      </c>
      <c r="O412" s="477">
        <v>1101.27</v>
      </c>
      <c r="P412" s="477">
        <v>200.47</v>
      </c>
      <c r="Q412" s="477">
        <v>185.72</v>
      </c>
      <c r="R412" s="478">
        <v>188.03</v>
      </c>
      <c r="S412" s="459">
        <v>195.20269999999999</v>
      </c>
      <c r="T412" s="487">
        <v>193.06</v>
      </c>
      <c r="U412" s="479"/>
      <c r="V412" s="480">
        <v>1000</v>
      </c>
      <c r="W412" s="481"/>
      <c r="X412" s="493" t="s">
        <v>484</v>
      </c>
      <c r="Y412" s="483" t="s">
        <v>289</v>
      </c>
      <c r="Z412" s="484" t="s">
        <v>1144</v>
      </c>
      <c r="AA412" s="480" t="s">
        <v>59</v>
      </c>
      <c r="AB412" s="481" t="s">
        <v>137</v>
      </c>
      <c r="AC412" s="471"/>
      <c r="AD412" s="471" t="s">
        <v>1101</v>
      </c>
      <c r="AE412" s="471"/>
      <c r="AF412" s="471" t="s">
        <v>1145</v>
      </c>
      <c r="AG412" s="471"/>
      <c r="AH412" s="494"/>
      <c r="AI412" s="467"/>
      <c r="AJ412" s="467"/>
      <c r="AK412" s="467"/>
      <c r="AL412" s="467"/>
      <c r="AM412" s="467"/>
      <c r="AN412" s="467"/>
      <c r="AO412" s="467"/>
      <c r="AP412" s="467"/>
      <c r="AQ412" s="467"/>
      <c r="AR412" s="467"/>
      <c r="AS412" s="467"/>
      <c r="AT412" s="467"/>
      <c r="AU412" s="467"/>
      <c r="AV412" s="467"/>
      <c r="AW412" s="467"/>
      <c r="AX412" s="467"/>
      <c r="AY412" s="486">
        <f>COUNTIF(AI412:AX412,"*OP*")</f>
        <v>0</v>
      </c>
      <c r="AZ412" s="485" t="s">
        <v>59</v>
      </c>
      <c r="BA412" s="471">
        <f>(COUNTIF(AI412:AK412,"*OK*")*3) + (COUNTIF(AL412:AN412,"*OK*")*2) + COUNTIF(AO412:AQ412,"*OK*")+COUNTIF(AZ412:AZ412,"SI")*0.5</f>
        <v>0</v>
      </c>
      <c r="BB412" s="471" t="str">
        <f>IF(BA412&lt;0.6,"Demasiado Riesgo",IF(BA412&lt;=5,"Riesgo Medio",IF(BA412&lt;=11,"Riesgo Bajo","Cliente Blindado")))</f>
        <v>Demasiado Riesgo</v>
      </c>
      <c r="BC412" s="471"/>
      <c r="BD412" s="471"/>
      <c r="BE412" s="471">
        <v>0</v>
      </c>
      <c r="BF412" s="471"/>
      <c r="BG412" s="471"/>
      <c r="BH412" s="471"/>
      <c r="BI412" s="471"/>
      <c r="BJ412" s="471"/>
      <c r="BK412" s="471"/>
      <c r="BL412" s="471"/>
      <c r="BM412" s="471"/>
      <c r="BN412" s="471"/>
      <c r="BO412" s="471"/>
      <c r="BP412" s="471"/>
      <c r="BQ412" s="471"/>
      <c r="BR412" s="471"/>
      <c r="BS412" s="471"/>
      <c r="BT412" s="471"/>
      <c r="BU412" s="471"/>
      <c r="BV412" s="471"/>
      <c r="BW412" s="471"/>
      <c r="BX412" s="471"/>
      <c r="BY412" s="471"/>
      <c r="BZ412" s="471"/>
      <c r="CA412" s="471">
        <f>COUNTIF(AI412:AW412,"*OK*")</f>
        <v>0</v>
      </c>
      <c r="CB412" s="471"/>
      <c r="CC412" s="471">
        <f>COUNTIF(AI412:AW412,"*OP*")</f>
        <v>0</v>
      </c>
    </row>
    <row r="413" spans="1:81" ht="15" customHeight="1">
      <c r="A413" s="470">
        <v>21105</v>
      </c>
      <c r="B413" s="471"/>
      <c r="C413" s="451">
        <f>T413</f>
        <v>194.51</v>
      </c>
      <c r="D413" s="471">
        <f>COUNTIF(AI413:AW413,"*OK*")</f>
        <v>1</v>
      </c>
      <c r="E413" s="471"/>
      <c r="F413" s="473" t="s">
        <v>1146</v>
      </c>
      <c r="G413" s="473"/>
      <c r="H413" s="481"/>
      <c r="I413" s="481"/>
      <c r="J413" s="473"/>
      <c r="K413" s="475" t="s">
        <v>68</v>
      </c>
      <c r="L413" s="473" t="s">
        <v>442</v>
      </c>
      <c r="M413" s="473"/>
      <c r="N413" s="484" t="s">
        <v>488</v>
      </c>
      <c r="O413" s="477">
        <v>190.19</v>
      </c>
      <c r="P413" s="477">
        <v>195.15</v>
      </c>
      <c r="Q413" s="477">
        <v>217.95</v>
      </c>
      <c r="R413" s="478">
        <v>232.02</v>
      </c>
      <c r="S413" s="459">
        <v>229.78559999999999</v>
      </c>
      <c r="T413" s="487">
        <v>194.51</v>
      </c>
      <c r="U413" s="479"/>
      <c r="V413" s="480">
        <v>300</v>
      </c>
      <c r="W413" s="481"/>
      <c r="X413" s="482" t="s">
        <v>70</v>
      </c>
      <c r="Y413" s="483" t="s">
        <v>360</v>
      </c>
      <c r="Z413" s="484" t="s">
        <v>1147</v>
      </c>
      <c r="AA413" s="480" t="s">
        <v>59</v>
      </c>
      <c r="AB413" s="481" t="s">
        <v>97</v>
      </c>
      <c r="AC413" s="471"/>
      <c r="AD413" s="471" t="s">
        <v>1101</v>
      </c>
      <c r="AE413" s="471"/>
      <c r="AF413" s="471"/>
      <c r="AG413" s="471"/>
      <c r="AH413" s="494"/>
      <c r="AI413" s="467"/>
      <c r="AJ413" s="467"/>
      <c r="AK413" s="467"/>
      <c r="AL413" s="467"/>
      <c r="AM413" s="467"/>
      <c r="AN413" s="467"/>
      <c r="AO413" s="467"/>
      <c r="AP413" s="467"/>
      <c r="AQ413" s="467"/>
      <c r="AR413" s="467"/>
      <c r="AS413" s="467"/>
      <c r="AT413" s="467"/>
      <c r="AU413" s="467"/>
      <c r="AV413" s="467"/>
      <c r="AW413" s="467" t="s">
        <v>613</v>
      </c>
      <c r="AX413" s="467"/>
      <c r="AY413" s="486">
        <f>COUNTIF(AI413:AX413,"*OP*")</f>
        <v>0</v>
      </c>
      <c r="AZ413" s="485" t="s">
        <v>59</v>
      </c>
      <c r="BA413" s="471">
        <f>(COUNTIF(AI413:AK413,"*OK*")*3) + (COUNTIF(AL413:AN413,"*OK*")*2) + COUNTIF(AO413:AQ413,"*OK*")+COUNTIF(AZ413:AZ413,"SI")*0.5</f>
        <v>0</v>
      </c>
      <c r="BB413" s="471" t="str">
        <f>IF(BA413&lt;0.6,"Demasiado Riesgo",IF(BA413&lt;=5,"Riesgo Medio",IF(BA413&lt;=11,"Riesgo Bajo","Cliente Blindado")))</f>
        <v>Demasiado Riesgo</v>
      </c>
      <c r="BC413" s="471"/>
      <c r="BD413" s="471"/>
      <c r="BE413" s="471">
        <v>0</v>
      </c>
      <c r="BF413" s="471"/>
      <c r="BG413" s="471"/>
      <c r="BH413" s="471"/>
      <c r="BI413" s="471"/>
      <c r="BJ413" s="471"/>
      <c r="BK413" s="471"/>
      <c r="BL413" s="471"/>
      <c r="BM413" s="471"/>
      <c r="BN413" s="471"/>
      <c r="BO413" s="471"/>
      <c r="BP413" s="471"/>
      <c r="BQ413" s="471"/>
      <c r="BR413" s="471"/>
      <c r="BS413" s="471"/>
      <c r="BT413" s="471"/>
      <c r="BU413" s="471"/>
      <c r="BV413" s="471"/>
      <c r="BW413" s="471"/>
      <c r="BX413" s="471"/>
      <c r="BY413" s="471"/>
      <c r="BZ413" s="471"/>
      <c r="CA413" s="471">
        <f>COUNTIF(AI413:AW413,"*OK*")</f>
        <v>1</v>
      </c>
      <c r="CB413" s="471"/>
      <c r="CC413" s="471">
        <f>COUNTIF(AI413:AW413,"*OP*")</f>
        <v>0</v>
      </c>
    </row>
    <row r="414" spans="1:81" ht="15" customHeight="1">
      <c r="A414" s="449">
        <v>6055</v>
      </c>
      <c r="B414" s="450"/>
      <c r="C414" s="451">
        <f>T414</f>
        <v>213.43</v>
      </c>
      <c r="D414" s="450">
        <f>COUNTIF(AI414:AW414,"*OK*")</f>
        <v>0</v>
      </c>
      <c r="E414" s="450"/>
      <c r="F414" s="453" t="s">
        <v>1148</v>
      </c>
      <c r="G414" s="453"/>
      <c r="H414" s="463"/>
      <c r="I414" s="463"/>
      <c r="J414" s="453"/>
      <c r="K414" s="455" t="s">
        <v>68</v>
      </c>
      <c r="L414" s="453" t="s">
        <v>442</v>
      </c>
      <c r="M414" s="453"/>
      <c r="N414" s="466" t="s">
        <v>288</v>
      </c>
      <c r="O414" s="457">
        <v>216.67</v>
      </c>
      <c r="P414" s="457">
        <v>216.47</v>
      </c>
      <c r="Q414" s="457">
        <v>206.29</v>
      </c>
      <c r="R414" s="458">
        <v>212.93</v>
      </c>
      <c r="S414" s="459">
        <v>215.79519999999999</v>
      </c>
      <c r="T414" s="469">
        <v>213.43</v>
      </c>
      <c r="U414" s="461"/>
      <c r="V414" s="462">
        <v>300</v>
      </c>
      <c r="W414" s="463"/>
      <c r="X414" s="464" t="s">
        <v>828</v>
      </c>
      <c r="Y414" s="465" t="s">
        <v>289</v>
      </c>
      <c r="Z414" s="466" t="s">
        <v>1149</v>
      </c>
      <c r="AA414" s="462" t="s">
        <v>59</v>
      </c>
      <c r="AB414" s="463" t="s">
        <v>92</v>
      </c>
      <c r="AC414" s="450"/>
      <c r="AD414" s="450" t="s">
        <v>1101</v>
      </c>
      <c r="AE414" s="450"/>
      <c r="AF414" s="450"/>
      <c r="AG414" s="450"/>
      <c r="AH414" s="496"/>
      <c r="AI414" s="467"/>
      <c r="AJ414" s="467"/>
      <c r="AK414" s="467"/>
      <c r="AL414" s="467"/>
      <c r="AM414" s="467"/>
      <c r="AN414" s="467"/>
      <c r="AO414" s="467"/>
      <c r="AP414" s="467"/>
      <c r="AQ414" s="467"/>
      <c r="AR414" s="467"/>
      <c r="AS414" s="467"/>
      <c r="AT414" s="467"/>
      <c r="AU414" s="467"/>
      <c r="AV414" s="467"/>
      <c r="AW414" s="467"/>
      <c r="AX414" s="467"/>
      <c r="AY414" s="486">
        <f>COUNTIF(AI414:AX414,"*OP*")</f>
        <v>0</v>
      </c>
      <c r="AZ414" s="499" t="s">
        <v>59</v>
      </c>
      <c r="BA414" s="450">
        <f>(COUNTIF(AI414:AK414,"*OK*")*3) + (COUNTIF(AL414:AN414,"*OK*")*2) + COUNTIF(AO414:AQ414,"*OK*")+COUNTIF(AZ414:AZ414,"SI")*0.5</f>
        <v>0</v>
      </c>
      <c r="BB414" s="450" t="str">
        <f>IF(BA414&lt;0.6,"Demasiado Riesgo",IF(BA414&lt;=5,"Riesgo Medio",IF(BA414&lt;=11,"Riesgo Bajo","Cliente Blindado")))</f>
        <v>Demasiado Riesgo</v>
      </c>
      <c r="BC414" s="450"/>
      <c r="BD414" s="450"/>
      <c r="BE414" s="450">
        <v>0</v>
      </c>
      <c r="BF414" s="450"/>
      <c r="BG414" s="450"/>
      <c r="BH414" s="450"/>
      <c r="BI414" s="450"/>
      <c r="BJ414" s="450"/>
      <c r="BK414" s="450"/>
      <c r="BL414" s="450"/>
      <c r="BM414" s="450"/>
      <c r="BN414" s="450"/>
      <c r="BO414" s="450"/>
      <c r="BP414" s="450"/>
      <c r="BQ414" s="450"/>
      <c r="BR414" s="450"/>
      <c r="BS414" s="450"/>
      <c r="BT414" s="450"/>
      <c r="BU414" s="450"/>
      <c r="BV414" s="450"/>
      <c r="BW414" s="450"/>
      <c r="BX414" s="450"/>
      <c r="BY414" s="450"/>
      <c r="BZ414" s="450"/>
      <c r="CA414" s="450">
        <f>COUNTIF(AI414:AW414,"*OK*")</f>
        <v>0</v>
      </c>
      <c r="CB414" s="450"/>
      <c r="CC414" s="450">
        <f>COUNTIF(AI414:AW414,"*OP*")</f>
        <v>0</v>
      </c>
    </row>
    <row r="415" spans="1:81" ht="15" customHeight="1">
      <c r="A415" s="449"/>
      <c r="B415" s="450"/>
      <c r="C415" s="451">
        <f>T415</f>
        <v>265.12</v>
      </c>
      <c r="D415" s="450">
        <f>COUNTIF(AI415:AW415,"*OK*")</f>
        <v>0</v>
      </c>
      <c r="E415" s="450" t="s">
        <v>1115</v>
      </c>
      <c r="F415" s="453" t="s">
        <v>1150</v>
      </c>
      <c r="G415" s="453" t="s">
        <v>1117</v>
      </c>
      <c r="H415" s="463"/>
      <c r="I415" s="463"/>
      <c r="J415" s="453"/>
      <c r="K415" s="552" t="s">
        <v>79</v>
      </c>
      <c r="L415" s="453" t="s">
        <v>442</v>
      </c>
      <c r="M415" s="453"/>
      <c r="N415" s="466" t="s">
        <v>237</v>
      </c>
      <c r="O415" s="457">
        <v>271.45999999999998</v>
      </c>
      <c r="P415" s="457">
        <v>271.20999999999998</v>
      </c>
      <c r="Q415" s="457">
        <v>258.45999999999998</v>
      </c>
      <c r="R415" s="458">
        <v>266.77999999999997</v>
      </c>
      <c r="S415" s="459">
        <v>272.67950000000002</v>
      </c>
      <c r="T415" s="469">
        <v>265.12</v>
      </c>
      <c r="U415" s="461"/>
      <c r="V415" s="462">
        <v>300</v>
      </c>
      <c r="W415" s="463"/>
      <c r="X415" s="465" t="s">
        <v>828</v>
      </c>
      <c r="Y415" s="465" t="s">
        <v>161</v>
      </c>
      <c r="Z415" s="466" t="s">
        <v>1151</v>
      </c>
      <c r="AA415" s="462" t="s">
        <v>59</v>
      </c>
      <c r="AB415" s="463" t="s">
        <v>92</v>
      </c>
      <c r="AC415" s="450"/>
      <c r="AD415" s="450" t="s">
        <v>1114</v>
      </c>
      <c r="AE415" s="450"/>
      <c r="AF415" s="450"/>
      <c r="AG415" s="450"/>
      <c r="AH415" s="496"/>
      <c r="AI415" s="467"/>
      <c r="AJ415" s="467"/>
      <c r="AK415" s="467"/>
      <c r="AL415" s="467"/>
      <c r="AM415" s="467"/>
      <c r="AN415" s="467"/>
      <c r="AO415" s="467"/>
      <c r="AP415" s="467"/>
      <c r="AQ415" s="467"/>
      <c r="AR415" s="467"/>
      <c r="AS415" s="467"/>
      <c r="AT415" s="467"/>
      <c r="AU415" s="467"/>
      <c r="AV415" s="467"/>
      <c r="AW415" s="467"/>
      <c r="AX415" s="467"/>
      <c r="AY415" s="486">
        <f>COUNTIF(AI415:AX415,"*OP*")</f>
        <v>0</v>
      </c>
      <c r="AZ415" s="499" t="s">
        <v>59</v>
      </c>
      <c r="BA415" s="450">
        <f>(COUNTIF(AI415:AK415,"*OK*")*3) + (COUNTIF(AL415:AN415,"*OK*")*2) + COUNTIF(AO415:AQ415,"*OK*")+COUNTIF(AZ415:AZ415,"SI")*0.5</f>
        <v>0</v>
      </c>
      <c r="BB415" s="450" t="str">
        <f>IF(BA415&lt;0.6,"Demasiado Riesgo",IF(BA415&lt;=5,"Riesgo Medio",IF(BA415&lt;=11,"Riesgo Bajo","Cliente Blindado")))</f>
        <v>Demasiado Riesgo</v>
      </c>
      <c r="BC415" s="450"/>
      <c r="BD415" s="450"/>
      <c r="BE415" s="450">
        <v>0</v>
      </c>
      <c r="BF415" s="450"/>
      <c r="BG415" s="450"/>
      <c r="BH415" s="450"/>
      <c r="BI415" s="450"/>
      <c r="BJ415" s="450"/>
      <c r="BK415" s="450"/>
      <c r="BL415" s="450"/>
      <c r="BM415" s="450"/>
      <c r="BN415" s="450"/>
      <c r="BO415" s="450"/>
      <c r="BP415" s="450"/>
      <c r="BQ415" s="450"/>
      <c r="BR415" s="450"/>
      <c r="BS415" s="450"/>
      <c r="BT415" s="450"/>
      <c r="BU415" s="450"/>
      <c r="BV415" s="450"/>
      <c r="BW415" s="450"/>
      <c r="BX415" s="450"/>
      <c r="BY415" s="450"/>
      <c r="BZ415" s="450"/>
      <c r="CA415" s="450">
        <f>COUNTIF(AI415:AW415,"*OK*")</f>
        <v>0</v>
      </c>
      <c r="CB415" s="450"/>
      <c r="CC415" s="450">
        <f>COUNTIF(AI415:AW415,"*OP*")</f>
        <v>0</v>
      </c>
    </row>
    <row r="416" spans="1:81" ht="15" customHeight="1">
      <c r="A416" s="488">
        <v>20427</v>
      </c>
      <c r="B416" s="489"/>
      <c r="C416" s="451">
        <f>T416</f>
        <v>273.39999999999998</v>
      </c>
      <c r="D416" s="450">
        <f>COUNTIF(AI416:AW416,"*OK*")</f>
        <v>0</v>
      </c>
      <c r="E416" s="450"/>
      <c r="F416" s="453" t="s">
        <v>1152</v>
      </c>
      <c r="G416" s="453" t="s">
        <v>1153</v>
      </c>
      <c r="H416" s="463"/>
      <c r="I416" s="463"/>
      <c r="J416" s="453"/>
      <c r="K416" s="455" t="s">
        <v>68</v>
      </c>
      <c r="L416" s="453" t="s">
        <v>442</v>
      </c>
      <c r="M416" s="453"/>
      <c r="N416" s="466" t="s">
        <v>65</v>
      </c>
      <c r="O416" s="457"/>
      <c r="P416" s="457"/>
      <c r="Q416" s="457">
        <v>294.08</v>
      </c>
      <c r="R416" s="458">
        <v>302.69</v>
      </c>
      <c r="S416" s="459">
        <v>276.43459999999999</v>
      </c>
      <c r="T416" s="469">
        <v>273.39999999999998</v>
      </c>
      <c r="U416" s="461"/>
      <c r="V416" s="462">
        <v>100</v>
      </c>
      <c r="W416" s="463"/>
      <c r="X416" s="562" t="s">
        <v>70</v>
      </c>
      <c r="Y416" s="465" t="s">
        <v>241</v>
      </c>
      <c r="Z416" s="466" t="s">
        <v>1154</v>
      </c>
      <c r="AA416" s="462" t="s">
        <v>59</v>
      </c>
      <c r="AB416" s="463" t="s">
        <v>97</v>
      </c>
      <c r="AC416" s="450"/>
      <c r="AD416" s="450" t="s">
        <v>1101</v>
      </c>
      <c r="AE416" s="450"/>
      <c r="AF416" s="450"/>
      <c r="AG416" s="450" t="s">
        <v>1155</v>
      </c>
      <c r="AH416" s="496"/>
      <c r="AI416" s="467"/>
      <c r="AJ416" s="467" t="s">
        <v>1156</v>
      </c>
      <c r="AK416" s="467"/>
      <c r="AL416" s="467"/>
      <c r="AM416" s="467"/>
      <c r="AN416" s="467"/>
      <c r="AO416" s="467" t="s">
        <v>176</v>
      </c>
      <c r="AP416" s="467"/>
      <c r="AQ416" s="467"/>
      <c r="AR416" s="467"/>
      <c r="AS416" s="467"/>
      <c r="AT416" s="467"/>
      <c r="AU416" s="467"/>
      <c r="AV416" s="467"/>
      <c r="AW416" s="467"/>
      <c r="AX416" s="467"/>
      <c r="AY416" s="486">
        <f>COUNTIF(AI416:AX416,"*OP*")</f>
        <v>1</v>
      </c>
      <c r="AZ416" s="499" t="s">
        <v>59</v>
      </c>
      <c r="BA416" s="450">
        <f>(COUNTIF(AI416:AK416,"*OK*")*3) + (COUNTIF(AL416:AN416,"*OK*")*2) + COUNTIF(AO416:AQ416,"*OK*")+COUNTIF(AZ416:AZ416,"SI")*0.5</f>
        <v>0</v>
      </c>
      <c r="BB416" s="450" t="str">
        <f>IF(BA416&lt;0.6,"Demasiado Riesgo",IF(BA416&lt;=5,"Riesgo Medio",IF(BA416&lt;=11,"Riesgo Bajo","Cliente Blindado")))</f>
        <v>Demasiado Riesgo</v>
      </c>
      <c r="BC416" s="450"/>
      <c r="BD416" s="450"/>
      <c r="BE416" s="450">
        <v>0</v>
      </c>
      <c r="BF416" s="450"/>
      <c r="BG416" s="450"/>
      <c r="BH416" s="450"/>
      <c r="BI416" s="450"/>
      <c r="BJ416" s="450"/>
      <c r="BK416" s="450"/>
      <c r="BL416" s="450"/>
      <c r="BM416" s="450"/>
      <c r="BN416" s="450"/>
      <c r="BO416" s="450"/>
      <c r="BP416" s="450"/>
      <c r="BQ416" s="450"/>
      <c r="BR416" s="450"/>
      <c r="BS416" s="450"/>
      <c r="BT416" s="450"/>
      <c r="BU416" s="450"/>
      <c r="BV416" s="450"/>
      <c r="BW416" s="450"/>
      <c r="BX416" s="450"/>
      <c r="BY416" s="450"/>
      <c r="BZ416" s="450"/>
      <c r="CA416" s="450">
        <f>COUNTIF(AI416:AW416,"*OK*")</f>
        <v>0</v>
      </c>
      <c r="CB416" s="450"/>
      <c r="CC416" s="450">
        <f>COUNTIF(AI416:AW416,"*OP*")</f>
        <v>1</v>
      </c>
    </row>
    <row r="417" spans="1:81" ht="15" customHeight="1">
      <c r="A417" s="470">
        <v>24373</v>
      </c>
      <c r="B417" s="471"/>
      <c r="C417" s="451">
        <f>T417</f>
        <v>276.85000000000002</v>
      </c>
      <c r="D417" s="471">
        <f>COUNTIF(AI417:AW417,"*OK*")</f>
        <v>0</v>
      </c>
      <c r="E417" s="471"/>
      <c r="F417" s="473" t="s">
        <v>1157</v>
      </c>
      <c r="G417" s="473"/>
      <c r="H417" s="481"/>
      <c r="I417" s="481"/>
      <c r="J417" s="473"/>
      <c r="K417" s="475" t="s">
        <v>68</v>
      </c>
      <c r="L417" s="473" t="s">
        <v>442</v>
      </c>
      <c r="M417" s="473"/>
      <c r="N417" s="484" t="s">
        <v>65</v>
      </c>
      <c r="O417" s="477">
        <v>281.05</v>
      </c>
      <c r="P417" s="477">
        <v>280.79000000000002</v>
      </c>
      <c r="Q417" s="477">
        <v>267.58999999999997</v>
      </c>
      <c r="R417" s="478">
        <v>276.2</v>
      </c>
      <c r="S417" s="459">
        <v>279.91820000000001</v>
      </c>
      <c r="T417" s="487">
        <v>276.85000000000002</v>
      </c>
      <c r="U417" s="479"/>
      <c r="V417" s="480">
        <v>100</v>
      </c>
      <c r="W417" s="481"/>
      <c r="X417" s="572" t="s">
        <v>70</v>
      </c>
      <c r="Y417" s="483" t="s">
        <v>71</v>
      </c>
      <c r="Z417" s="484" t="s">
        <v>1158</v>
      </c>
      <c r="AA417" s="480" t="s">
        <v>59</v>
      </c>
      <c r="AB417" s="481" t="s">
        <v>97</v>
      </c>
      <c r="AC417" s="471"/>
      <c r="AD417" s="471" t="s">
        <v>1114</v>
      </c>
      <c r="AE417" s="471"/>
      <c r="AF417" s="471"/>
      <c r="AG417" s="471" t="s">
        <v>1159</v>
      </c>
      <c r="AH417" s="494"/>
      <c r="AI417" s="467"/>
      <c r="AJ417" s="467"/>
      <c r="AK417" s="467"/>
      <c r="AL417" s="467"/>
      <c r="AM417" s="467"/>
      <c r="AN417" s="467"/>
      <c r="AO417" s="467"/>
      <c r="AP417" s="467"/>
      <c r="AQ417" s="467"/>
      <c r="AR417" s="467"/>
      <c r="AS417" s="467"/>
      <c r="AT417" s="467"/>
      <c r="AU417" s="467"/>
      <c r="AV417" s="467"/>
      <c r="AW417" s="467"/>
      <c r="AX417" s="467"/>
      <c r="AY417" s="486">
        <f>COUNTIF(AI417:AX417,"*OP*")</f>
        <v>0</v>
      </c>
      <c r="AZ417" s="485" t="s">
        <v>59</v>
      </c>
      <c r="BA417" s="471">
        <f>(COUNTIF(AI417:AK417,"*OK*")*3) + (COUNTIF(AL417:AN417,"*OK*")*2) + COUNTIF(AO417:AQ417,"*OK*")+COUNTIF(AZ417:AZ417,"SI")*0.5</f>
        <v>0</v>
      </c>
      <c r="BB417" s="471" t="str">
        <f>IF(BA417&lt;0.6,"Demasiado Riesgo",IF(BA417&lt;=5,"Riesgo Medio",IF(BA417&lt;=11,"Riesgo Bajo","Cliente Blindado")))</f>
        <v>Demasiado Riesgo</v>
      </c>
      <c r="BC417" s="471"/>
      <c r="BD417" s="471"/>
      <c r="BE417" s="471">
        <v>0</v>
      </c>
      <c r="BF417" s="471"/>
      <c r="BG417" s="471"/>
      <c r="BH417" s="471"/>
      <c r="BI417" s="471"/>
      <c r="BJ417" s="471"/>
      <c r="BK417" s="471"/>
      <c r="BL417" s="471"/>
      <c r="BM417" s="471"/>
      <c r="BN417" s="471"/>
      <c r="BO417" s="471"/>
      <c r="BP417" s="471"/>
      <c r="BQ417" s="471"/>
      <c r="BR417" s="471"/>
      <c r="BS417" s="471"/>
      <c r="BT417" s="471"/>
      <c r="BU417" s="471"/>
      <c r="BV417" s="471"/>
      <c r="BW417" s="471"/>
      <c r="BX417" s="471"/>
      <c r="BY417" s="471"/>
      <c r="BZ417" s="471"/>
      <c r="CA417" s="471">
        <f>COUNTIF(AI417:AW417,"*OK*")</f>
        <v>0</v>
      </c>
      <c r="CB417" s="471"/>
      <c r="CC417" s="471">
        <f>COUNTIF(AI417:AW417,"*OP*")</f>
        <v>0</v>
      </c>
    </row>
    <row r="418" spans="1:81" ht="15" customHeight="1">
      <c r="A418" s="470">
        <v>23417</v>
      </c>
      <c r="B418" s="471"/>
      <c r="C418" s="451">
        <f>T418</f>
        <v>307.97000000000003</v>
      </c>
      <c r="D418" s="471">
        <f>COUNTIF(AI418:AW418,"*OK*")</f>
        <v>0</v>
      </c>
      <c r="E418" s="471"/>
      <c r="F418" s="473" t="s">
        <v>1160</v>
      </c>
      <c r="G418" s="473" t="s">
        <v>1112</v>
      </c>
      <c r="H418" s="481"/>
      <c r="I418" s="481"/>
      <c r="J418" s="473"/>
      <c r="K418" s="556" t="s">
        <v>79</v>
      </c>
      <c r="L418" s="473" t="s">
        <v>442</v>
      </c>
      <c r="M418" s="473"/>
      <c r="N418" s="484" t="s">
        <v>65</v>
      </c>
      <c r="O418" s="477">
        <v>306.14</v>
      </c>
      <c r="P418" s="477">
        <v>318.85000000000002</v>
      </c>
      <c r="Q418" s="477">
        <v>303.08</v>
      </c>
      <c r="R418" s="478">
        <v>340.77</v>
      </c>
      <c r="S418" s="459">
        <v>320.28280000000001</v>
      </c>
      <c r="T418" s="487">
        <v>307.97000000000003</v>
      </c>
      <c r="U418" s="479"/>
      <c r="V418" s="480">
        <v>300</v>
      </c>
      <c r="W418" s="481"/>
      <c r="X418" s="572" t="s">
        <v>70</v>
      </c>
      <c r="Y418" s="483" t="s">
        <v>71</v>
      </c>
      <c r="Z418" s="484" t="s">
        <v>1161</v>
      </c>
      <c r="AA418" s="480" t="s">
        <v>59</v>
      </c>
      <c r="AB418" s="481" t="s">
        <v>92</v>
      </c>
      <c r="AC418" s="471"/>
      <c r="AD418" s="471" t="s">
        <v>1114</v>
      </c>
      <c r="AE418" s="471"/>
      <c r="AF418" s="471"/>
      <c r="AG418" s="471"/>
      <c r="AH418" s="494" t="s">
        <v>59</v>
      </c>
      <c r="AI418" s="467"/>
      <c r="AJ418" s="467"/>
      <c r="AK418" s="467"/>
      <c r="AL418" s="467"/>
      <c r="AM418" s="467"/>
      <c r="AN418" s="467"/>
      <c r="AO418" s="467"/>
      <c r="AP418" s="566"/>
      <c r="AQ418" s="467"/>
      <c r="AR418" s="467"/>
      <c r="AS418" s="467"/>
      <c r="AT418" s="467"/>
      <c r="AU418" s="467"/>
      <c r="AV418" s="467"/>
      <c r="AW418" s="467"/>
      <c r="AX418" s="467"/>
      <c r="AY418" s="468">
        <f>COUNTIF(AI418:AX418,"*OP*")</f>
        <v>0</v>
      </c>
      <c r="AZ418" s="484" t="s">
        <v>59</v>
      </c>
      <c r="BA418" s="471">
        <f>(COUNTIF(AI418:AK418,"*OK*")*3) + (COUNTIF(AL418:AN418,"*OK*")*2) + COUNTIF(AO418:AQ418,"*OK*")+COUNTIF(AZ418:AZ418,"SI")*0.5</f>
        <v>0</v>
      </c>
      <c r="BB418" s="471" t="str">
        <f>IF(BA418&lt;0.6,"Demasiado Riesgo",IF(BA418&lt;=5,"Riesgo Medio",IF(BA418&lt;=11,"Riesgo Bajo","Cliente Blindado")))</f>
        <v>Demasiado Riesgo</v>
      </c>
      <c r="BC418" s="471"/>
      <c r="BD418" s="471"/>
      <c r="BE418" s="471">
        <v>0</v>
      </c>
      <c r="BF418" s="471"/>
      <c r="BG418" s="471"/>
      <c r="BH418" s="471"/>
      <c r="BI418" s="471"/>
      <c r="BJ418" s="471"/>
      <c r="BK418" s="471"/>
      <c r="BL418" s="471"/>
      <c r="BM418" s="471"/>
      <c r="BN418" s="471"/>
      <c r="BO418" s="471"/>
      <c r="BP418" s="471"/>
      <c r="BQ418" s="471"/>
      <c r="BR418" s="471"/>
      <c r="BS418" s="471"/>
      <c r="BT418" s="471"/>
      <c r="BU418" s="471"/>
      <c r="BV418" s="471"/>
      <c r="BW418" s="471"/>
      <c r="BX418" s="471"/>
      <c r="BY418" s="471"/>
      <c r="BZ418" s="471"/>
      <c r="CA418" s="471">
        <f>COUNTIF(AI418:AW418,"*OK*")</f>
        <v>0</v>
      </c>
      <c r="CB418" s="471"/>
      <c r="CC418" s="471">
        <f>COUNTIF(AI418:AW418,"*OP*")</f>
        <v>0</v>
      </c>
    </row>
    <row r="419" spans="1:81" ht="15" customHeight="1">
      <c r="A419" s="449"/>
      <c r="B419" s="450"/>
      <c r="C419" s="451">
        <f>T419</f>
        <v>316.83</v>
      </c>
      <c r="D419" s="450">
        <f>COUNTIF(AI419:AW419,"*OK*")</f>
        <v>2</v>
      </c>
      <c r="E419" s="450"/>
      <c r="F419" s="571" t="s">
        <v>1162</v>
      </c>
      <c r="G419" s="453"/>
      <c r="H419" s="463"/>
      <c r="I419" s="463"/>
      <c r="J419" s="453"/>
      <c r="K419" s="455" t="s">
        <v>68</v>
      </c>
      <c r="L419" s="453" t="s">
        <v>442</v>
      </c>
      <c r="M419" s="453"/>
      <c r="N419" s="466" t="s">
        <v>65</v>
      </c>
      <c r="O419" s="457">
        <v>317.05</v>
      </c>
      <c r="P419" s="457">
        <v>316.82</v>
      </c>
      <c r="Q419" s="457">
        <v>295.35000000000002</v>
      </c>
      <c r="R419" s="458">
        <v>323.38</v>
      </c>
      <c r="S419" s="459">
        <v>321.43819999999999</v>
      </c>
      <c r="T419" s="469">
        <v>316.83</v>
      </c>
      <c r="U419" s="461"/>
      <c r="V419" s="462">
        <v>300</v>
      </c>
      <c r="W419" s="463"/>
      <c r="X419" s="464" t="s">
        <v>251</v>
      </c>
      <c r="Y419" s="465" t="s">
        <v>80</v>
      </c>
      <c r="Z419" s="466" t="s">
        <v>1163</v>
      </c>
      <c r="AA419" s="462" t="s">
        <v>59</v>
      </c>
      <c r="AB419" s="463" t="s">
        <v>92</v>
      </c>
      <c r="AC419" s="450"/>
      <c r="AD419" s="450" t="s">
        <v>1164</v>
      </c>
      <c r="AE419" s="450"/>
      <c r="AF419" s="450"/>
      <c r="AG419" s="450"/>
      <c r="AH419" s="496" t="s">
        <v>127</v>
      </c>
      <c r="AI419" s="467"/>
      <c r="AJ419" s="467"/>
      <c r="AK419" s="565" t="s">
        <v>111</v>
      </c>
      <c r="AL419" s="467"/>
      <c r="AM419" s="565" t="s">
        <v>111</v>
      </c>
      <c r="AN419" s="467"/>
      <c r="AO419" s="467"/>
      <c r="AP419" s="467"/>
      <c r="AQ419" s="467"/>
      <c r="AR419" s="467"/>
      <c r="AS419" s="467"/>
      <c r="AT419" s="467"/>
      <c r="AU419" s="467"/>
      <c r="AV419" s="467"/>
      <c r="AW419" s="467"/>
      <c r="AX419" s="467"/>
      <c r="AY419" s="486">
        <f>COUNTIF(AI419:AX419,"*OP*")</f>
        <v>0</v>
      </c>
      <c r="AZ419" s="499" t="s">
        <v>176</v>
      </c>
      <c r="BA419" s="450">
        <f>(COUNTIF(AI419:AK419,"*OK*")*3) + (COUNTIF(AL419:AN419,"*OK*")*2) + COUNTIF(AO419:AQ419,"*OK*")+COUNTIF(AZ419:AZ419,"SI")*0.5</f>
        <v>5</v>
      </c>
      <c r="BB419" s="450" t="str">
        <f>IF(BA419&lt;0.6,"Demasiado Riesgo",IF(BA419&lt;=5,"Riesgo Medio",IF(BA419&lt;=11,"Riesgo Bajo","Cliente Blindado")))</f>
        <v>Riesgo Medio</v>
      </c>
      <c r="BC419" s="450"/>
      <c r="BD419" s="450"/>
      <c r="BE419" s="450">
        <v>0</v>
      </c>
      <c r="BF419" s="450"/>
      <c r="BG419" s="450"/>
      <c r="BH419" s="450"/>
      <c r="BI419" s="450"/>
      <c r="BJ419" s="450"/>
      <c r="BK419" s="450"/>
      <c r="BL419" s="450"/>
      <c r="BM419" s="450"/>
      <c r="BN419" s="450"/>
      <c r="BO419" s="450"/>
      <c r="BP419" s="450"/>
      <c r="BQ419" s="450"/>
      <c r="BR419" s="450"/>
      <c r="BS419" s="450"/>
      <c r="BT419" s="450"/>
      <c r="BU419" s="450"/>
      <c r="BV419" s="450"/>
      <c r="BW419" s="450"/>
      <c r="BX419" s="450"/>
      <c r="BY419" s="450"/>
      <c r="BZ419" s="450"/>
      <c r="CA419" s="450">
        <f>COUNTIF(AI419:AW419,"*OK*")</f>
        <v>2</v>
      </c>
      <c r="CB419" s="450"/>
      <c r="CC419" s="450">
        <f>COUNTIF(AI419:AW419,"*OP*")</f>
        <v>0</v>
      </c>
    </row>
    <row r="420" spans="1:81" ht="15" customHeight="1">
      <c r="A420" s="449"/>
      <c r="B420" s="450"/>
      <c r="C420" s="451">
        <f>T420</f>
        <v>323.39999999999998</v>
      </c>
      <c r="D420" s="450">
        <f>COUNTIF(AI420:AW420,"*OK*")</f>
        <v>0</v>
      </c>
      <c r="E420" s="450"/>
      <c r="F420" s="453" t="s">
        <v>1165</v>
      </c>
      <c r="G420" s="453" t="s">
        <v>1166</v>
      </c>
      <c r="H420" s="463"/>
      <c r="I420" s="463"/>
      <c r="J420" s="453"/>
      <c r="K420" s="552" t="s">
        <v>79</v>
      </c>
      <c r="L420" s="453" t="s">
        <v>442</v>
      </c>
      <c r="M420" s="453"/>
      <c r="N420" s="466" t="s">
        <v>65</v>
      </c>
      <c r="O420" s="457">
        <v>381.67</v>
      </c>
      <c r="P420" s="457">
        <v>358.72</v>
      </c>
      <c r="Q420" s="457">
        <v>333.01</v>
      </c>
      <c r="R420" s="458">
        <v>339.46</v>
      </c>
      <c r="S420" s="459">
        <v>339.9828</v>
      </c>
      <c r="T420" s="469">
        <v>323.39999999999998</v>
      </c>
      <c r="U420" s="461"/>
      <c r="V420" s="462">
        <v>200</v>
      </c>
      <c r="W420" s="463"/>
      <c r="X420" s="567" t="s">
        <v>70</v>
      </c>
      <c r="Y420" s="465" t="s">
        <v>241</v>
      </c>
      <c r="Z420" s="466" t="s">
        <v>1167</v>
      </c>
      <c r="AA420" s="462" t="s">
        <v>59</v>
      </c>
      <c r="AB420" s="463" t="s">
        <v>92</v>
      </c>
      <c r="AC420" s="450"/>
      <c r="AD420" s="450" t="s">
        <v>1114</v>
      </c>
      <c r="AE420" s="450"/>
      <c r="AF420" s="450"/>
      <c r="AG420" s="450"/>
      <c r="AH420" s="496"/>
      <c r="AI420" s="467"/>
      <c r="AJ420" s="467"/>
      <c r="AK420" s="467"/>
      <c r="AL420" s="467"/>
      <c r="AM420" s="467"/>
      <c r="AN420" s="467"/>
      <c r="AO420" s="467"/>
      <c r="AP420" s="467"/>
      <c r="AQ420" s="467"/>
      <c r="AR420" s="467"/>
      <c r="AS420" s="467"/>
      <c r="AT420" s="467"/>
      <c r="AU420" s="467"/>
      <c r="AV420" s="467"/>
      <c r="AW420" s="467"/>
      <c r="AX420" s="467"/>
      <c r="AY420" s="486">
        <f>COUNTIF(AI420:AX420,"*OP*")</f>
        <v>0</v>
      </c>
      <c r="AZ420" s="499" t="s">
        <v>59</v>
      </c>
      <c r="BA420" s="450">
        <f>(COUNTIF(AI420:AK420,"*OK*")*3) + (COUNTIF(AL420:AN420,"*OK*")*2) + COUNTIF(AO420:AQ420,"*OK*")+COUNTIF(AZ420:AZ420,"SI")*0.5</f>
        <v>0</v>
      </c>
      <c r="BB420" s="450" t="str">
        <f>IF(BA420&lt;0.6,"Demasiado Riesgo",IF(BA420&lt;=5,"Riesgo Medio",IF(BA420&lt;=11,"Riesgo Bajo","Cliente Blindado")))</f>
        <v>Demasiado Riesgo</v>
      </c>
      <c r="BC420" s="450"/>
      <c r="BD420" s="450"/>
      <c r="BE420" s="450">
        <v>0</v>
      </c>
      <c r="BF420" s="450"/>
      <c r="BG420" s="450"/>
      <c r="BH420" s="450"/>
      <c r="BI420" s="450"/>
      <c r="BJ420" s="450"/>
      <c r="BK420" s="450"/>
      <c r="BL420" s="450"/>
      <c r="BM420" s="450"/>
      <c r="BN420" s="450"/>
      <c r="BO420" s="450"/>
      <c r="BP420" s="450"/>
      <c r="BQ420" s="450"/>
      <c r="BR420" s="450"/>
      <c r="BS420" s="450"/>
      <c r="BT420" s="450"/>
      <c r="BU420" s="450"/>
      <c r="BV420" s="450"/>
      <c r="BW420" s="450"/>
      <c r="BX420" s="450"/>
      <c r="BY420" s="450"/>
      <c r="BZ420" s="450"/>
      <c r="CA420" s="450">
        <f>COUNTIF(AI420:AW420,"*OK*")</f>
        <v>0</v>
      </c>
      <c r="CB420" s="450"/>
      <c r="CC420" s="450">
        <f>COUNTIF(AI420:AW420,"*OP*")</f>
        <v>0</v>
      </c>
    </row>
    <row r="421" spans="1:81" ht="15" customHeight="1">
      <c r="A421" s="470"/>
      <c r="B421" s="471"/>
      <c r="C421" s="451">
        <f>T421</f>
        <v>326.83</v>
      </c>
      <c r="D421" s="471">
        <f>COUNTIF(AI421:AW421,"*OK*")</f>
        <v>0</v>
      </c>
      <c r="E421" s="471" t="s">
        <v>1115</v>
      </c>
      <c r="F421" s="473" t="s">
        <v>1168</v>
      </c>
      <c r="G421" s="473" t="s">
        <v>1117</v>
      </c>
      <c r="H421" s="481"/>
      <c r="I421" s="481"/>
      <c r="J421" s="473"/>
      <c r="K421" s="556" t="s">
        <v>79</v>
      </c>
      <c r="L421" s="473" t="s">
        <v>442</v>
      </c>
      <c r="M421" s="473"/>
      <c r="N421" s="484" t="s">
        <v>65</v>
      </c>
      <c r="O421" s="477">
        <v>341.06</v>
      </c>
      <c r="P421" s="477">
        <v>333.8</v>
      </c>
      <c r="Q421" s="477">
        <v>320.31</v>
      </c>
      <c r="R421" s="478">
        <v>328.34</v>
      </c>
      <c r="S421" s="459">
        <v>330.45060000000001</v>
      </c>
      <c r="T421" s="487">
        <v>326.83</v>
      </c>
      <c r="U421" s="479"/>
      <c r="V421" s="480">
        <v>500</v>
      </c>
      <c r="W421" s="481"/>
      <c r="X421" s="572" t="s">
        <v>70</v>
      </c>
      <c r="Y421" s="483" t="s">
        <v>108</v>
      </c>
      <c r="Z421" s="484" t="s">
        <v>1169</v>
      </c>
      <c r="AA421" s="480" t="s">
        <v>59</v>
      </c>
      <c r="AB421" s="481" t="s">
        <v>92</v>
      </c>
      <c r="AC421" s="471"/>
      <c r="AD421" s="471" t="s">
        <v>1101</v>
      </c>
      <c r="AE421" s="471"/>
      <c r="AF421" s="471"/>
      <c r="AG421" s="471"/>
      <c r="AH421" s="494"/>
      <c r="AI421" s="467"/>
      <c r="AJ421" s="467"/>
      <c r="AK421" s="467"/>
      <c r="AL421" s="467"/>
      <c r="AM421" s="467"/>
      <c r="AN421" s="467"/>
      <c r="AO421" s="467"/>
      <c r="AP421" s="467"/>
      <c r="AQ421" s="467"/>
      <c r="AR421" s="467"/>
      <c r="AS421" s="467"/>
      <c r="AT421" s="467"/>
      <c r="AU421" s="467"/>
      <c r="AV421" s="467"/>
      <c r="AW421" s="467"/>
      <c r="AX421" s="467"/>
      <c r="AY421" s="486">
        <f>COUNTIF(AI421:AX421,"*OP*")</f>
        <v>0</v>
      </c>
      <c r="AZ421" s="485" t="s">
        <v>59</v>
      </c>
      <c r="BA421" s="471">
        <f>(COUNTIF(AI421:AK421,"*OK*")*3) + (COUNTIF(AL421:AN421,"*OK*")*2) + COUNTIF(AO421:AQ421,"*OK*")+COUNTIF(AZ421:AZ421,"SI")*0.5</f>
        <v>0</v>
      </c>
      <c r="BB421" s="471" t="str">
        <f>IF(BA421&lt;0.6,"Demasiado Riesgo",IF(BA421&lt;=5,"Riesgo Medio",IF(BA421&lt;=11,"Riesgo Bajo","Cliente Blindado")))</f>
        <v>Demasiado Riesgo</v>
      </c>
      <c r="BC421" s="471"/>
      <c r="BD421" s="471"/>
      <c r="BE421" s="471">
        <v>0</v>
      </c>
      <c r="BF421" s="471"/>
      <c r="BG421" s="471"/>
      <c r="BH421" s="471"/>
      <c r="BI421" s="471"/>
      <c r="BJ421" s="471"/>
      <c r="BK421" s="471"/>
      <c r="BL421" s="471"/>
      <c r="BM421" s="471"/>
      <c r="BN421" s="471"/>
      <c r="BO421" s="471"/>
      <c r="BP421" s="471"/>
      <c r="BQ421" s="471"/>
      <c r="BR421" s="471"/>
      <c r="BS421" s="471"/>
      <c r="BT421" s="471"/>
      <c r="BU421" s="471"/>
      <c r="BV421" s="471"/>
      <c r="BW421" s="471"/>
      <c r="BX421" s="471"/>
      <c r="BY421" s="471"/>
      <c r="BZ421" s="471"/>
      <c r="CA421" s="471">
        <f>COUNTIF(AI421:AW421,"*OK*")</f>
        <v>0</v>
      </c>
      <c r="CB421" s="471"/>
      <c r="CC421" s="471">
        <f>COUNTIF(AI421:AW421,"*OP*")</f>
        <v>0</v>
      </c>
    </row>
    <row r="422" spans="1:81" ht="15" customHeight="1">
      <c r="A422" s="563"/>
      <c r="B422" s="536"/>
      <c r="C422" s="451">
        <f>T422</f>
        <v>349.17</v>
      </c>
      <c r="D422" s="471">
        <f>COUNTIF(AI422:AW422,"*OK*")</f>
        <v>0</v>
      </c>
      <c r="E422" s="471"/>
      <c r="F422" s="473" t="s">
        <v>1170</v>
      </c>
      <c r="G422" s="473" t="s">
        <v>1171</v>
      </c>
      <c r="H422" s="481"/>
      <c r="I422" s="481"/>
      <c r="J422" s="473"/>
      <c r="K422" s="556" t="s">
        <v>79</v>
      </c>
      <c r="L422" s="473" t="s">
        <v>442</v>
      </c>
      <c r="M422" s="473"/>
      <c r="N422" s="484" t="s">
        <v>65</v>
      </c>
      <c r="O422" s="477">
        <v>334.1</v>
      </c>
      <c r="P422" s="477">
        <v>320.06</v>
      </c>
      <c r="Q422" s="477">
        <v>335.5</v>
      </c>
      <c r="R422" s="478">
        <v>339.57</v>
      </c>
      <c r="S422" s="459">
        <v>366.90410000000003</v>
      </c>
      <c r="T422" s="490">
        <v>349.17</v>
      </c>
      <c r="U422" s="479"/>
      <c r="V422" s="480">
        <v>200</v>
      </c>
      <c r="W422" s="481"/>
      <c r="X422" s="493" t="s">
        <v>181</v>
      </c>
      <c r="Y422" s="483" t="s">
        <v>80</v>
      </c>
      <c r="Z422" s="484" t="s">
        <v>1172</v>
      </c>
      <c r="AA422" s="480" t="s">
        <v>59</v>
      </c>
      <c r="AB422" s="481" t="s">
        <v>92</v>
      </c>
      <c r="AC422" s="471"/>
      <c r="AD422" s="471" t="s">
        <v>1101</v>
      </c>
      <c r="AE422" s="471"/>
      <c r="AF422" s="471"/>
      <c r="AG422" s="471"/>
      <c r="AH422" s="494"/>
      <c r="AI422" s="467"/>
      <c r="AJ422" s="467"/>
      <c r="AK422" s="467"/>
      <c r="AL422" s="467"/>
      <c r="AM422" s="467"/>
      <c r="AN422" s="467"/>
      <c r="AO422" s="467"/>
      <c r="AP422" s="467"/>
      <c r="AQ422" s="467"/>
      <c r="AR422" s="467"/>
      <c r="AS422" s="467"/>
      <c r="AT422" s="467"/>
      <c r="AU422" s="467"/>
      <c r="AV422" s="467"/>
      <c r="AW422" s="467"/>
      <c r="AX422" s="467"/>
      <c r="AY422" s="486">
        <f>COUNTIF(AI422:AX422,"*OP*")</f>
        <v>0</v>
      </c>
      <c r="AZ422" s="485" t="s">
        <v>59</v>
      </c>
      <c r="BA422" s="471">
        <f>(COUNTIF(AI422:AK422,"*OK*")*3) + (COUNTIF(AL422:AN422,"*OK*")*2) + COUNTIF(AO422:AQ422,"*OK*")+COUNTIF(AZ422:AZ422,"SI")*0.5</f>
        <v>0</v>
      </c>
      <c r="BB422" s="471" t="str">
        <f>IF(BA422&lt;0.6,"Demasiado Riesgo",IF(BA422&lt;=5,"Riesgo Medio",IF(BA422&lt;=11,"Riesgo Bajo","Cliente Blindado")))</f>
        <v>Demasiado Riesgo</v>
      </c>
      <c r="BC422" s="471"/>
      <c r="BD422" s="471"/>
      <c r="BE422" s="471">
        <v>0</v>
      </c>
      <c r="BF422" s="471"/>
      <c r="BG422" s="471"/>
      <c r="BH422" s="471"/>
      <c r="BI422" s="471"/>
      <c r="BJ422" s="471"/>
      <c r="BK422" s="471"/>
      <c r="BL422" s="471"/>
      <c r="BM422" s="471"/>
      <c r="BN422" s="471"/>
      <c r="BO422" s="471"/>
      <c r="BP422" s="471"/>
      <c r="BQ422" s="471"/>
      <c r="BR422" s="471"/>
      <c r="BS422" s="471"/>
      <c r="BT422" s="471"/>
      <c r="BU422" s="471"/>
      <c r="BV422" s="471"/>
      <c r="BW422" s="471"/>
      <c r="BX422" s="471"/>
      <c r="BY422" s="471"/>
      <c r="BZ422" s="471"/>
      <c r="CA422" s="471">
        <f>COUNTIF(AI422:AW422,"*OK*")</f>
        <v>0</v>
      </c>
      <c r="CB422" s="471"/>
      <c r="CC422" s="471">
        <f>COUNTIF(AI422:AW422,"*OP*")</f>
        <v>0</v>
      </c>
    </row>
    <row r="423" spans="1:81" ht="15" customHeight="1">
      <c r="A423" s="449">
        <v>22632</v>
      </c>
      <c r="B423" s="450"/>
      <c r="C423" s="451">
        <f>T423</f>
        <v>407.09</v>
      </c>
      <c r="D423" s="450">
        <f>COUNTIF(AI423:AW423,"*OK*")</f>
        <v>0</v>
      </c>
      <c r="E423" s="450"/>
      <c r="F423" s="453" t="s">
        <v>1173</v>
      </c>
      <c r="G423" s="453"/>
      <c r="H423" s="463"/>
      <c r="I423" s="463"/>
      <c r="J423" s="453"/>
      <c r="K423" s="455" t="s">
        <v>68</v>
      </c>
      <c r="L423" s="453" t="s">
        <v>442</v>
      </c>
      <c r="M423" s="453"/>
      <c r="N423" s="466" t="s">
        <v>169</v>
      </c>
      <c r="O423" s="457">
        <v>461.95</v>
      </c>
      <c r="P423" s="457">
        <v>452.33</v>
      </c>
      <c r="Q423" s="457">
        <v>413.52</v>
      </c>
      <c r="R423" s="458">
        <v>416.48</v>
      </c>
      <c r="S423" s="459">
        <v>424.70749999999998</v>
      </c>
      <c r="T423" s="469">
        <v>407.09</v>
      </c>
      <c r="U423" s="461"/>
      <c r="V423" s="462">
        <v>100</v>
      </c>
      <c r="W423" s="463"/>
      <c r="X423" s="567" t="s">
        <v>70</v>
      </c>
      <c r="Y423" s="465" t="s">
        <v>71</v>
      </c>
      <c r="Z423" s="466" t="s">
        <v>1174</v>
      </c>
      <c r="AA423" s="462" t="s">
        <v>59</v>
      </c>
      <c r="AB423" s="463" t="s">
        <v>84</v>
      </c>
      <c r="AC423" s="450"/>
      <c r="AD423" s="450" t="s">
        <v>1175</v>
      </c>
      <c r="AE423" s="450"/>
      <c r="AF423" s="450"/>
      <c r="AG423" s="450"/>
      <c r="AH423" s="496"/>
      <c r="AI423" s="467"/>
      <c r="AJ423" s="467"/>
      <c r="AK423" s="467"/>
      <c r="AL423" s="467"/>
      <c r="AM423" s="467"/>
      <c r="AN423" s="467"/>
      <c r="AO423" s="467"/>
      <c r="AP423" s="467"/>
      <c r="AQ423" s="467"/>
      <c r="AR423" s="467"/>
      <c r="AS423" s="467"/>
      <c r="AT423" s="467"/>
      <c r="AU423" s="467"/>
      <c r="AV423" s="467"/>
      <c r="AW423" s="467"/>
      <c r="AX423" s="467"/>
      <c r="AY423" s="486">
        <f>COUNTIF(AI423:AX423,"*OP*")</f>
        <v>0</v>
      </c>
      <c r="AZ423" s="499" t="s">
        <v>59</v>
      </c>
      <c r="BA423" s="450">
        <f>(COUNTIF(AI423:AK423,"*OK*")*3) + (COUNTIF(AL423:AN423,"*OK*")*2) + COUNTIF(AO423:AQ423,"*OK*")+COUNTIF(AZ423:AZ423,"SI")*0.5</f>
        <v>0</v>
      </c>
      <c r="BB423" s="450" t="str">
        <f>IF(BA423&lt;0.6,"Demasiado Riesgo",IF(BA423&lt;=5,"Riesgo Medio",IF(BA423&lt;=11,"Riesgo Bajo","Cliente Blindado")))</f>
        <v>Demasiado Riesgo</v>
      </c>
      <c r="BC423" s="450"/>
      <c r="BD423" s="450"/>
      <c r="BE423" s="450">
        <v>0</v>
      </c>
      <c r="BF423" s="450"/>
      <c r="BG423" s="450"/>
      <c r="BH423" s="450"/>
      <c r="BI423" s="450"/>
      <c r="BJ423" s="450"/>
      <c r="BK423" s="450"/>
      <c r="BL423" s="450"/>
      <c r="BM423" s="450"/>
      <c r="BN423" s="450"/>
      <c r="BO423" s="450"/>
      <c r="BP423" s="450"/>
      <c r="BQ423" s="450"/>
      <c r="BR423" s="450"/>
      <c r="BS423" s="450"/>
      <c r="BT423" s="450"/>
      <c r="BU423" s="450"/>
      <c r="BV423" s="450"/>
      <c r="BW423" s="450"/>
      <c r="BX423" s="450"/>
      <c r="BY423" s="450"/>
      <c r="BZ423" s="450"/>
      <c r="CA423" s="450">
        <f>COUNTIF(AI423:AW423,"*OK*")</f>
        <v>0</v>
      </c>
      <c r="CB423" s="450"/>
      <c r="CC423" s="450">
        <f>COUNTIF(AI423:AW423,"*OP*")</f>
        <v>0</v>
      </c>
    </row>
    <row r="424" spans="1:81" ht="15" customHeight="1">
      <c r="A424" s="488">
        <v>32381</v>
      </c>
      <c r="B424" s="489"/>
      <c r="C424" s="451">
        <f>T424</f>
        <v>416.52</v>
      </c>
      <c r="D424" s="450">
        <f>COUNTIF(AI424:AW424,"*OK*")</f>
        <v>0</v>
      </c>
      <c r="E424" s="450"/>
      <c r="F424" s="453" t="s">
        <v>1176</v>
      </c>
      <c r="G424" s="453" t="s">
        <v>1177</v>
      </c>
      <c r="H424" s="463"/>
      <c r="I424" s="463"/>
      <c r="J424" s="453"/>
      <c r="K424" s="552" t="s">
        <v>79</v>
      </c>
      <c r="L424" s="453" t="s">
        <v>442</v>
      </c>
      <c r="M424" s="453"/>
      <c r="N424" s="466" t="s">
        <v>65</v>
      </c>
      <c r="O424" s="457">
        <v>388.08</v>
      </c>
      <c r="P424" s="457">
        <v>341.43</v>
      </c>
      <c r="Q424" s="457">
        <v>322.62</v>
      </c>
      <c r="R424" s="458">
        <v>367.16</v>
      </c>
      <c r="S424" s="459">
        <v>392.29329999999999</v>
      </c>
      <c r="T424" s="460">
        <v>416.52</v>
      </c>
      <c r="U424" s="461"/>
      <c r="V424" s="462">
        <v>100</v>
      </c>
      <c r="W424" s="463"/>
      <c r="X424" s="562" t="s">
        <v>70</v>
      </c>
      <c r="Y424" s="465" t="s">
        <v>71</v>
      </c>
      <c r="Z424" s="466" t="s">
        <v>1178</v>
      </c>
      <c r="AA424" s="462" t="s">
        <v>59</v>
      </c>
      <c r="AB424" s="463" t="s">
        <v>92</v>
      </c>
      <c r="AC424" s="450"/>
      <c r="AD424" s="450" t="s">
        <v>1101</v>
      </c>
      <c r="AE424" s="450"/>
      <c r="AF424" s="450"/>
      <c r="AG424" s="450"/>
      <c r="AH424" s="496"/>
      <c r="AI424" s="467"/>
      <c r="AJ424" s="467"/>
      <c r="AK424" s="467"/>
      <c r="AL424" s="467"/>
      <c r="AM424" s="467"/>
      <c r="AN424" s="467"/>
      <c r="AO424" s="467"/>
      <c r="AP424" s="467"/>
      <c r="AQ424" s="467"/>
      <c r="AR424" s="467"/>
      <c r="AS424" s="467"/>
      <c r="AT424" s="467"/>
      <c r="AU424" s="467"/>
      <c r="AV424" s="467"/>
      <c r="AW424" s="467"/>
      <c r="AX424" s="467"/>
      <c r="AY424" s="486">
        <f>COUNTIF(AI424:AX424,"*OP*")</f>
        <v>0</v>
      </c>
      <c r="AZ424" s="499" t="s">
        <v>59</v>
      </c>
      <c r="BA424" s="450">
        <f>(COUNTIF(AI424:AK424,"*OK*")*3) + (COUNTIF(AL424:AN424,"*OK*")*2) + COUNTIF(AO424:AQ424,"*OK*")+COUNTIF(AZ424:AZ424,"SI")*0.5</f>
        <v>0</v>
      </c>
      <c r="BB424" s="450" t="str">
        <f>IF(BA424&lt;0.6,"Demasiado Riesgo",IF(BA424&lt;=5,"Riesgo Medio",IF(BA424&lt;=11,"Riesgo Bajo","Cliente Blindado")))</f>
        <v>Demasiado Riesgo</v>
      </c>
      <c r="BC424" s="450"/>
      <c r="BD424" s="450"/>
      <c r="BE424" s="450">
        <v>0</v>
      </c>
      <c r="BF424" s="450"/>
      <c r="BG424" s="450"/>
      <c r="BH424" s="450"/>
      <c r="BI424" s="450"/>
      <c r="BJ424" s="450"/>
      <c r="BK424" s="450"/>
      <c r="BL424" s="450"/>
      <c r="BM424" s="450"/>
      <c r="BN424" s="450"/>
      <c r="BO424" s="450"/>
      <c r="BP424" s="450"/>
      <c r="BQ424" s="450"/>
      <c r="BR424" s="450"/>
      <c r="BS424" s="450"/>
      <c r="BT424" s="450"/>
      <c r="BU424" s="450"/>
      <c r="BV424" s="450"/>
      <c r="BW424" s="450"/>
      <c r="BX424" s="450"/>
      <c r="BY424" s="450"/>
      <c r="BZ424" s="450"/>
      <c r="CA424" s="450">
        <f>COUNTIF(AI424:AW424,"*OK*")</f>
        <v>0</v>
      </c>
      <c r="CB424" s="450"/>
      <c r="CC424" s="450">
        <f>COUNTIF(AI424:AW424,"*OP*")</f>
        <v>0</v>
      </c>
    </row>
    <row r="425" spans="1:81" ht="15" customHeight="1">
      <c r="A425" s="470">
        <v>23652</v>
      </c>
      <c r="B425" s="471"/>
      <c r="C425" s="451">
        <f>T425</f>
        <v>544.78</v>
      </c>
      <c r="D425" s="471">
        <f>COUNTIF(AI425:AW425,"*OK*")</f>
        <v>0</v>
      </c>
      <c r="E425" s="471"/>
      <c r="F425" s="473" t="s">
        <v>1179</v>
      </c>
      <c r="G425" s="473"/>
      <c r="H425" s="481"/>
      <c r="I425" s="481"/>
      <c r="J425" s="473"/>
      <c r="K425" s="556" t="s">
        <v>79</v>
      </c>
      <c r="L425" s="473" t="s">
        <v>442</v>
      </c>
      <c r="M425" s="473"/>
      <c r="N425" s="484" t="s">
        <v>65</v>
      </c>
      <c r="O425" s="477">
        <v>1791.87</v>
      </c>
      <c r="P425" s="477">
        <v>501.19</v>
      </c>
      <c r="Q425" s="477">
        <v>517.15</v>
      </c>
      <c r="R425" s="478">
        <v>432.99</v>
      </c>
      <c r="S425" s="459">
        <v>517.87900000000002</v>
      </c>
      <c r="T425" s="490">
        <v>544.78</v>
      </c>
      <c r="U425" s="479"/>
      <c r="V425" s="480">
        <v>300</v>
      </c>
      <c r="W425" s="481"/>
      <c r="X425" s="493" t="s">
        <v>70</v>
      </c>
      <c r="Y425" s="483" t="s">
        <v>360</v>
      </c>
      <c r="Z425" s="484" t="s">
        <v>1180</v>
      </c>
      <c r="AA425" s="480" t="s">
        <v>59</v>
      </c>
      <c r="AB425" s="481" t="s">
        <v>92</v>
      </c>
      <c r="AC425" s="471"/>
      <c r="AD425" s="471" t="s">
        <v>1101</v>
      </c>
      <c r="AE425" s="471"/>
      <c r="AF425" s="471"/>
      <c r="AG425" s="471"/>
      <c r="AH425" s="494"/>
      <c r="AI425" s="467"/>
      <c r="AJ425" s="467"/>
      <c r="AK425" s="467"/>
      <c r="AL425" s="467"/>
      <c r="AM425" s="467"/>
      <c r="AN425" s="467"/>
      <c r="AO425" s="467"/>
      <c r="AP425" s="467"/>
      <c r="AQ425" s="467"/>
      <c r="AR425" s="467"/>
      <c r="AS425" s="467"/>
      <c r="AT425" s="467"/>
      <c r="AU425" s="467"/>
      <c r="AV425" s="467"/>
      <c r="AW425" s="467"/>
      <c r="AX425" s="467"/>
      <c r="AY425" s="486">
        <f>COUNTIF(AI425:AX425,"*OP*")</f>
        <v>0</v>
      </c>
      <c r="AZ425" s="485" t="s">
        <v>59</v>
      </c>
      <c r="BA425" s="471">
        <f>(COUNTIF(AI425:AK425,"*OK*")*3) + (COUNTIF(AL425:AN425,"*OK*")*2) + COUNTIF(AO425:AQ425,"*OK*")+COUNTIF(AZ425:AZ425,"SI")*0.5</f>
        <v>0</v>
      </c>
      <c r="BB425" s="471" t="str">
        <f>IF(BA425&lt;0.6,"Demasiado Riesgo",IF(BA425&lt;=5,"Riesgo Medio",IF(BA425&lt;=11,"Riesgo Bajo","Cliente Blindado")))</f>
        <v>Demasiado Riesgo</v>
      </c>
      <c r="BC425" s="471"/>
      <c r="BD425" s="471"/>
      <c r="BE425" s="471">
        <v>0</v>
      </c>
      <c r="BF425" s="471"/>
      <c r="BG425" s="471"/>
      <c r="BH425" s="471"/>
      <c r="BI425" s="471"/>
      <c r="BJ425" s="471"/>
      <c r="BK425" s="471"/>
      <c r="BL425" s="471"/>
      <c r="BM425" s="471"/>
      <c r="BN425" s="471"/>
      <c r="BO425" s="471"/>
      <c r="BP425" s="471"/>
      <c r="BQ425" s="471"/>
      <c r="BR425" s="471"/>
      <c r="BS425" s="471"/>
      <c r="BT425" s="471"/>
      <c r="BU425" s="471"/>
      <c r="BV425" s="471"/>
      <c r="BW425" s="471"/>
      <c r="BX425" s="471"/>
      <c r="BY425" s="471"/>
      <c r="BZ425" s="471"/>
      <c r="CA425" s="471">
        <f>COUNTIF(AI425:AW425,"*OK*")</f>
        <v>0</v>
      </c>
      <c r="CB425" s="471"/>
      <c r="CC425" s="471">
        <f>COUNTIF(AI425:AW425,"*OP*")</f>
        <v>0</v>
      </c>
    </row>
    <row r="426" spans="1:81" ht="15" customHeight="1">
      <c r="A426" s="449"/>
      <c r="B426" s="450"/>
      <c r="C426" s="451">
        <f>T426</f>
        <v>555.78</v>
      </c>
      <c r="D426" s="450">
        <f>COUNTIF(AI426:AW426,"*OK*")</f>
        <v>0</v>
      </c>
      <c r="E426" s="450"/>
      <c r="F426" s="453" t="s">
        <v>1181</v>
      </c>
      <c r="G426" s="453" t="s">
        <v>1171</v>
      </c>
      <c r="H426" s="463"/>
      <c r="I426" s="463"/>
      <c r="J426" s="453"/>
      <c r="K426" s="552" t="s">
        <v>79</v>
      </c>
      <c r="L426" s="453" t="s">
        <v>442</v>
      </c>
      <c r="M426" s="453"/>
      <c r="N426" s="466" t="s">
        <v>65</v>
      </c>
      <c r="O426" s="457">
        <v>560.61</v>
      </c>
      <c r="P426" s="457">
        <v>582.99</v>
      </c>
      <c r="Q426" s="457">
        <v>546.85</v>
      </c>
      <c r="R426" s="458">
        <v>571.17999999999995</v>
      </c>
      <c r="S426" s="459">
        <v>597.12180000000001</v>
      </c>
      <c r="T426" s="460">
        <v>555.78</v>
      </c>
      <c r="U426" s="461"/>
      <c r="V426" s="462">
        <v>200</v>
      </c>
      <c r="W426" s="463"/>
      <c r="X426" s="465" t="s">
        <v>70</v>
      </c>
      <c r="Y426" s="465" t="s">
        <v>80</v>
      </c>
      <c r="Z426" s="466" t="s">
        <v>1182</v>
      </c>
      <c r="AA426" s="462" t="s">
        <v>59</v>
      </c>
      <c r="AB426" s="463" t="s">
        <v>92</v>
      </c>
      <c r="AC426" s="450"/>
      <c r="AD426" s="450" t="s">
        <v>1101</v>
      </c>
      <c r="AE426" s="450"/>
      <c r="AF426" s="450"/>
      <c r="AG426" s="450"/>
      <c r="AH426" s="496"/>
      <c r="AI426" s="467"/>
      <c r="AJ426" s="467"/>
      <c r="AK426" s="467"/>
      <c r="AL426" s="467"/>
      <c r="AM426" s="467"/>
      <c r="AN426" s="467"/>
      <c r="AO426" s="467"/>
      <c r="AP426" s="467"/>
      <c r="AQ426" s="467"/>
      <c r="AR426" s="467"/>
      <c r="AS426" s="467"/>
      <c r="AT426" s="467"/>
      <c r="AU426" s="467"/>
      <c r="AV426" s="467"/>
      <c r="AW426" s="467"/>
      <c r="AX426" s="467"/>
      <c r="AY426" s="486">
        <f>COUNTIF(AI426:AX426,"*OP*")</f>
        <v>0</v>
      </c>
      <c r="AZ426" s="499" t="s">
        <v>59</v>
      </c>
      <c r="BA426" s="450">
        <f>(COUNTIF(AI426:AK426,"*OK*")*3) + (COUNTIF(AL426:AN426,"*OK*")*2) + COUNTIF(AO426:AQ426,"*OK*")+COUNTIF(AZ426:AZ426,"SI")*0.5</f>
        <v>0</v>
      </c>
      <c r="BB426" s="450" t="str">
        <f>IF(BA426&lt;0.6,"Demasiado Riesgo",IF(BA426&lt;=5,"Riesgo Medio",IF(BA426&lt;=11,"Riesgo Bajo","Cliente Blindado")))</f>
        <v>Demasiado Riesgo</v>
      </c>
      <c r="BC426" s="450"/>
      <c r="BD426" s="450"/>
      <c r="BE426" s="450">
        <v>0</v>
      </c>
      <c r="BF426" s="450"/>
      <c r="BG426" s="450"/>
      <c r="BH426" s="450"/>
      <c r="BI426" s="450"/>
      <c r="BJ426" s="450"/>
      <c r="BK426" s="450"/>
      <c r="BL426" s="450"/>
      <c r="BM426" s="450"/>
      <c r="BN426" s="450"/>
      <c r="BO426" s="450"/>
      <c r="BP426" s="450"/>
      <c r="BQ426" s="450"/>
      <c r="BR426" s="450"/>
      <c r="BS426" s="450"/>
      <c r="BT426" s="450"/>
      <c r="BU426" s="450"/>
      <c r="BV426" s="450"/>
      <c r="BW426" s="450"/>
      <c r="BX426" s="450"/>
      <c r="BY426" s="450"/>
      <c r="BZ426" s="450"/>
      <c r="CA426" s="450">
        <f>COUNTIF(AI426:AW426,"*OK*")</f>
        <v>0</v>
      </c>
      <c r="CB426" s="450"/>
      <c r="CC426" s="450">
        <f>COUNTIF(AI426:AW426,"*OP*")</f>
        <v>0</v>
      </c>
    </row>
    <row r="427" spans="1:81" ht="15" customHeight="1">
      <c r="A427" s="470"/>
      <c r="B427" s="471"/>
      <c r="C427" s="451">
        <f>T427</f>
        <v>578.46</v>
      </c>
      <c r="D427" s="471">
        <f>COUNTIF(AI427:AW427,"*OK*")</f>
        <v>1</v>
      </c>
      <c r="E427" s="471"/>
      <c r="F427" s="473" t="s">
        <v>1183</v>
      </c>
      <c r="G427" s="473"/>
      <c r="H427" s="481"/>
      <c r="I427" s="481"/>
      <c r="J427" s="473"/>
      <c r="K427" s="556" t="s">
        <v>79</v>
      </c>
      <c r="L427" s="473" t="s">
        <v>442</v>
      </c>
      <c r="M427" s="473"/>
      <c r="N427" s="484" t="s">
        <v>65</v>
      </c>
      <c r="O427" s="477">
        <v>627.09</v>
      </c>
      <c r="P427" s="477">
        <v>584.22</v>
      </c>
      <c r="Q427" s="477">
        <v>569.35</v>
      </c>
      <c r="R427" s="478">
        <v>594.17999999999995</v>
      </c>
      <c r="S427" s="459">
        <v>562.22979999999995</v>
      </c>
      <c r="T427" s="487">
        <v>578.46</v>
      </c>
      <c r="U427" s="479"/>
      <c r="V427" s="480">
        <v>150</v>
      </c>
      <c r="W427" s="481"/>
      <c r="X427" s="493" t="s">
        <v>70</v>
      </c>
      <c r="Y427" s="483" t="s">
        <v>71</v>
      </c>
      <c r="Z427" s="484" t="s">
        <v>1184</v>
      </c>
      <c r="AA427" s="480" t="s">
        <v>59</v>
      </c>
      <c r="AB427" s="481" t="s">
        <v>97</v>
      </c>
      <c r="AC427" s="471"/>
      <c r="AD427" s="471" t="s">
        <v>1114</v>
      </c>
      <c r="AE427" s="471"/>
      <c r="AF427" s="471"/>
      <c r="AG427" s="471"/>
      <c r="AH427" s="494"/>
      <c r="AI427" s="467"/>
      <c r="AJ427" s="467"/>
      <c r="AK427" s="467"/>
      <c r="AL427" s="467" t="s">
        <v>415</v>
      </c>
      <c r="AM427" s="467"/>
      <c r="AN427" s="467"/>
      <c r="AO427" s="467"/>
      <c r="AP427" s="467"/>
      <c r="AQ427" s="467"/>
      <c r="AR427" s="467"/>
      <c r="AS427" s="467"/>
      <c r="AT427" s="467"/>
      <c r="AU427" s="467"/>
      <c r="AV427" s="467"/>
      <c r="AW427" s="467"/>
      <c r="AX427" s="467"/>
      <c r="AY427" s="486">
        <f>COUNTIF(AI427:AX427,"*OP*")</f>
        <v>0</v>
      </c>
      <c r="AZ427" s="485" t="s">
        <v>59</v>
      </c>
      <c r="BA427" s="471">
        <f>(COUNTIF(AI427:AK427,"*OK*")*3) + (COUNTIF(AL427:AN427,"*OK*")*2) + COUNTIF(AO427:AQ427,"*OK*")+COUNTIF(AZ427:AZ427,"SI")*0.5</f>
        <v>2</v>
      </c>
      <c r="BB427" s="471" t="str">
        <f>IF(BA427&lt;0.6,"Demasiado Riesgo",IF(BA427&lt;=5,"Riesgo Medio",IF(BA427&lt;=11,"Riesgo Bajo","Cliente Blindado")))</f>
        <v>Riesgo Medio</v>
      </c>
      <c r="BC427" s="471"/>
      <c r="BD427" s="471"/>
      <c r="BE427" s="471">
        <v>0</v>
      </c>
      <c r="BF427" s="471"/>
      <c r="BG427" s="471"/>
      <c r="BH427" s="471"/>
      <c r="BI427" s="471"/>
      <c r="BJ427" s="471"/>
      <c r="BK427" s="471"/>
      <c r="BL427" s="471"/>
      <c r="BM427" s="471"/>
      <c r="BN427" s="471"/>
      <c r="BO427" s="471"/>
      <c r="BP427" s="471"/>
      <c r="BQ427" s="471"/>
      <c r="BR427" s="471"/>
      <c r="BS427" s="471"/>
      <c r="BT427" s="471"/>
      <c r="BU427" s="471"/>
      <c r="BV427" s="471"/>
      <c r="BW427" s="471"/>
      <c r="BX427" s="471"/>
      <c r="BY427" s="471"/>
      <c r="BZ427" s="471"/>
      <c r="CA427" s="471">
        <f>COUNTIF(AI427:AW427,"*OK*")</f>
        <v>1</v>
      </c>
      <c r="CB427" s="471"/>
      <c r="CC427" s="471">
        <f>COUNTIF(AI427:AW427,"*OP*")</f>
        <v>0</v>
      </c>
    </row>
    <row r="428" spans="1:81" ht="15" customHeight="1">
      <c r="A428" s="470">
        <v>35128</v>
      </c>
      <c r="B428" s="471"/>
      <c r="C428" s="451">
        <f>T428</f>
        <v>679.94</v>
      </c>
      <c r="D428" s="471">
        <f>COUNTIF(AI428:AW428,"*OK*")</f>
        <v>0</v>
      </c>
      <c r="E428" s="471"/>
      <c r="F428" s="587" t="s">
        <v>1185</v>
      </c>
      <c r="G428" s="473"/>
      <c r="H428" s="580" t="s">
        <v>1186</v>
      </c>
      <c r="I428" s="580"/>
      <c r="J428" s="473"/>
      <c r="K428" s="475" t="s">
        <v>79</v>
      </c>
      <c r="L428" s="473" t="s">
        <v>442</v>
      </c>
      <c r="M428" s="473"/>
      <c r="N428" s="484" t="s">
        <v>65</v>
      </c>
      <c r="O428" s="477">
        <v>684.45</v>
      </c>
      <c r="P428" s="477">
        <v>707</v>
      </c>
      <c r="Q428" s="477">
        <v>680.66</v>
      </c>
      <c r="R428" s="478">
        <v>684.05</v>
      </c>
      <c r="S428" s="459">
        <v>691.80859999999996</v>
      </c>
      <c r="T428" s="487">
        <v>679.94</v>
      </c>
      <c r="U428" s="479"/>
      <c r="V428" s="480">
        <v>200</v>
      </c>
      <c r="W428" s="481"/>
      <c r="X428" s="493" t="s">
        <v>70</v>
      </c>
      <c r="Y428" s="483" t="s">
        <v>71</v>
      </c>
      <c r="Z428" s="484" t="s">
        <v>1187</v>
      </c>
      <c r="AA428" s="480" t="s">
        <v>59</v>
      </c>
      <c r="AB428" s="474" t="s">
        <v>84</v>
      </c>
      <c r="AC428" s="471"/>
      <c r="AD428" s="471" t="s">
        <v>1175</v>
      </c>
      <c r="AE428" s="471"/>
      <c r="AF428" s="471"/>
      <c r="AG428" s="471"/>
      <c r="AH428" s="494" t="s">
        <v>59</v>
      </c>
      <c r="AI428" s="467"/>
      <c r="AJ428" s="467"/>
      <c r="AK428" s="467" t="s">
        <v>1188</v>
      </c>
      <c r="AL428" s="467"/>
      <c r="AM428" s="467"/>
      <c r="AN428" s="467"/>
      <c r="AO428" s="467"/>
      <c r="AP428" s="467"/>
      <c r="AQ428" s="467"/>
      <c r="AR428" s="467"/>
      <c r="AS428" s="467"/>
      <c r="AT428" s="467"/>
      <c r="AU428" s="467"/>
      <c r="AV428" s="467"/>
      <c r="AW428" s="467"/>
      <c r="AX428" s="467"/>
      <c r="AY428" s="486">
        <f>COUNTIF(AI428:AX428,"*OP*")</f>
        <v>1</v>
      </c>
      <c r="AZ428" s="485" t="s">
        <v>59</v>
      </c>
      <c r="BA428" s="471">
        <f>(COUNTIF(AI428:AK428,"*OK*")*3) + (COUNTIF(AL428:AN428,"*OK*")*2) + COUNTIF(AO428:AQ428,"*OK*")+COUNTIF(AZ428:AZ428,"SI")*0.5</f>
        <v>0</v>
      </c>
      <c r="BB428" s="471" t="str">
        <f>IF(BA428&lt;0.6,"Demasiado Riesgo",IF(BA428&lt;=5,"Riesgo Medio",IF(BA428&lt;=11,"Riesgo Bajo","Cliente Blindado")))</f>
        <v>Demasiado Riesgo</v>
      </c>
      <c r="BC428" s="471"/>
      <c r="BD428" s="471"/>
      <c r="BE428" s="471">
        <v>0</v>
      </c>
      <c r="BF428" s="471"/>
      <c r="BG428" s="471"/>
      <c r="BH428" s="471"/>
      <c r="BI428" s="471"/>
      <c r="BJ428" s="471"/>
      <c r="BK428" s="471"/>
      <c r="BL428" s="471"/>
      <c r="BM428" s="471"/>
      <c r="BN428" s="471"/>
      <c r="BO428" s="471"/>
      <c r="BP428" s="471"/>
      <c r="BQ428" s="471"/>
      <c r="BR428" s="471"/>
      <c r="BS428" s="471"/>
      <c r="BT428" s="471"/>
      <c r="BU428" s="471"/>
      <c r="BV428" s="471"/>
      <c r="BW428" s="471"/>
      <c r="BX428" s="471"/>
      <c r="BY428" s="471"/>
      <c r="BZ428" s="471"/>
      <c r="CA428" s="471">
        <f>COUNTIF(AI428:AW428,"*OK*")</f>
        <v>0</v>
      </c>
      <c r="CB428" s="471"/>
      <c r="CC428" s="471">
        <f>COUNTIF(AI428:AW428,"*OP*")</f>
        <v>1</v>
      </c>
    </row>
    <row r="429" spans="1:81" ht="15" customHeight="1">
      <c r="A429" s="449"/>
      <c r="B429" s="450"/>
      <c r="C429" s="451">
        <f>T429</f>
        <v>699.36</v>
      </c>
      <c r="D429" s="450">
        <f>COUNTIF(AI429:AW429,"*OK*")</f>
        <v>0</v>
      </c>
      <c r="E429" s="450" t="s">
        <v>1115</v>
      </c>
      <c r="F429" s="453" t="s">
        <v>1189</v>
      </c>
      <c r="G429" s="453" t="s">
        <v>1117</v>
      </c>
      <c r="H429" s="463"/>
      <c r="I429" s="463"/>
      <c r="J429" s="453"/>
      <c r="K429" s="552" t="s">
        <v>79</v>
      </c>
      <c r="L429" s="453" t="s">
        <v>442</v>
      </c>
      <c r="M429" s="453"/>
      <c r="N429" s="466" t="s">
        <v>65</v>
      </c>
      <c r="O429" s="457">
        <v>670.53</v>
      </c>
      <c r="P429" s="457">
        <v>658.32</v>
      </c>
      <c r="Q429" s="457">
        <v>636.21</v>
      </c>
      <c r="R429" s="458">
        <v>658.97</v>
      </c>
      <c r="S429" s="459">
        <v>677.077</v>
      </c>
      <c r="T429" s="460">
        <v>699.36</v>
      </c>
      <c r="U429" s="461"/>
      <c r="V429" s="462">
        <v>200</v>
      </c>
      <c r="W429" s="463"/>
      <c r="X429" s="465" t="s">
        <v>251</v>
      </c>
      <c r="Y429" s="465" t="s">
        <v>108</v>
      </c>
      <c r="Z429" s="466" t="s">
        <v>1190</v>
      </c>
      <c r="AA429" s="462" t="s">
        <v>59</v>
      </c>
      <c r="AB429" s="463" t="s">
        <v>92</v>
      </c>
      <c r="AC429" s="450"/>
      <c r="AD429" s="450" t="s">
        <v>1114</v>
      </c>
      <c r="AE429" s="450"/>
      <c r="AF429" s="450"/>
      <c r="AG429" s="450"/>
      <c r="AH429" s="496" t="s">
        <v>59</v>
      </c>
      <c r="AI429" s="467"/>
      <c r="AJ429" s="467"/>
      <c r="AK429" s="467"/>
      <c r="AL429" s="467"/>
      <c r="AM429" s="467"/>
      <c r="AN429" s="467"/>
      <c r="AO429" s="467"/>
      <c r="AP429" s="467"/>
      <c r="AQ429" s="467"/>
      <c r="AR429" s="467"/>
      <c r="AS429" s="467"/>
      <c r="AT429" s="467"/>
      <c r="AU429" s="467"/>
      <c r="AV429" s="467"/>
      <c r="AW429" s="467"/>
      <c r="AX429" s="467"/>
      <c r="AY429" s="486">
        <f>COUNTIF(AI429:AX429,"*OP*")</f>
        <v>0</v>
      </c>
      <c r="AZ429" s="499" t="s">
        <v>59</v>
      </c>
      <c r="BA429" s="450">
        <f>(COUNTIF(AI429:AK429,"*OK*")*3) + (COUNTIF(AL429:AN429,"*OK*")*2) + COUNTIF(AO429:AQ429,"*OK*")+COUNTIF(AZ429:AZ429,"SI")*0.5</f>
        <v>0</v>
      </c>
      <c r="BB429" s="450" t="str">
        <f>IF(BA429&lt;0.6,"Demasiado Riesgo",IF(BA429&lt;=5,"Riesgo Medio",IF(BA429&lt;=11,"Riesgo Bajo","Cliente Blindado")))</f>
        <v>Demasiado Riesgo</v>
      </c>
      <c r="BC429" s="450"/>
      <c r="BD429" s="450"/>
      <c r="BE429" s="450">
        <v>0</v>
      </c>
      <c r="BF429" s="450"/>
      <c r="BG429" s="450"/>
      <c r="BH429" s="450"/>
      <c r="BI429" s="450"/>
      <c r="BJ429" s="450"/>
      <c r="BK429" s="450"/>
      <c r="BL429" s="450"/>
      <c r="BM429" s="450"/>
      <c r="BN429" s="450"/>
      <c r="BO429" s="450"/>
      <c r="BP429" s="450"/>
      <c r="BQ429" s="450"/>
      <c r="BR429" s="450"/>
      <c r="BS429" s="450"/>
      <c r="BT429" s="450"/>
      <c r="BU429" s="450"/>
      <c r="BV429" s="450"/>
      <c r="BW429" s="450"/>
      <c r="BX429" s="450"/>
      <c r="BY429" s="450"/>
      <c r="BZ429" s="450"/>
      <c r="CA429" s="450">
        <f>COUNTIF(AI429:AW429,"*OK*")</f>
        <v>0</v>
      </c>
      <c r="CB429" s="450"/>
      <c r="CC429" s="450">
        <f>COUNTIF(AI429:AW429,"*OP*")</f>
        <v>0</v>
      </c>
    </row>
    <row r="430" spans="1:81" ht="15" customHeight="1">
      <c r="A430" s="449"/>
      <c r="B430" s="450"/>
      <c r="C430" s="451">
        <f>T430</f>
        <v>710.34</v>
      </c>
      <c r="D430" s="450">
        <f>COUNTIF(AI430:AW430,"*OK*")</f>
        <v>1</v>
      </c>
      <c r="E430" s="450"/>
      <c r="F430" s="453" t="s">
        <v>1191</v>
      </c>
      <c r="G430" s="453" t="s">
        <v>1192</v>
      </c>
      <c r="H430" s="463"/>
      <c r="I430" s="629"/>
      <c r="J430" s="601"/>
      <c r="K430" s="552" t="s">
        <v>79</v>
      </c>
      <c r="L430" s="453" t="s">
        <v>442</v>
      </c>
      <c r="M430" s="453"/>
      <c r="N430" s="466" t="s">
        <v>174</v>
      </c>
      <c r="O430" s="457">
        <v>606.61</v>
      </c>
      <c r="P430" s="457">
        <v>606.04999999999995</v>
      </c>
      <c r="Q430" s="457">
        <v>668.02</v>
      </c>
      <c r="R430" s="458">
        <v>667.97</v>
      </c>
      <c r="S430" s="459">
        <v>674.53510000000006</v>
      </c>
      <c r="T430" s="460">
        <v>710.34</v>
      </c>
      <c r="U430" s="461"/>
      <c r="V430" s="462">
        <v>200</v>
      </c>
      <c r="W430" s="463"/>
      <c r="X430" s="464" t="s">
        <v>70</v>
      </c>
      <c r="Y430" s="465" t="s">
        <v>89</v>
      </c>
      <c r="Z430" s="466" t="s">
        <v>1193</v>
      </c>
      <c r="AA430" s="462" t="s">
        <v>59</v>
      </c>
      <c r="AB430" s="463" t="s">
        <v>97</v>
      </c>
      <c r="AC430" s="450"/>
      <c r="AD430" s="450" t="s">
        <v>1114</v>
      </c>
      <c r="AE430" s="450"/>
      <c r="AF430" s="450"/>
      <c r="AG430" s="450"/>
      <c r="AH430" s="496" t="s">
        <v>127</v>
      </c>
      <c r="AI430" s="467"/>
      <c r="AJ430" s="467"/>
      <c r="AK430" s="467"/>
      <c r="AL430" s="467"/>
      <c r="AM430" s="467"/>
      <c r="AN430" s="565" t="s">
        <v>111</v>
      </c>
      <c r="AO430" s="467"/>
      <c r="AP430" s="467"/>
      <c r="AQ430" s="467"/>
      <c r="AR430" s="467"/>
      <c r="AS430" s="467"/>
      <c r="AT430" s="467"/>
      <c r="AU430" s="467"/>
      <c r="AV430" s="467"/>
      <c r="AW430" s="467"/>
      <c r="AX430" s="467"/>
      <c r="AY430" s="486">
        <f>COUNTIF(AI430:AX430,"*OP*")</f>
        <v>0</v>
      </c>
      <c r="AZ430" s="499" t="s">
        <v>176</v>
      </c>
      <c r="BA430" s="450">
        <f>(COUNTIF(AI430:AK430,"*OK*")*3) + (COUNTIF(AL430:AN430,"*OK*")*2) + COUNTIF(AO430:AQ430,"*OK*")+COUNTIF(AZ430:AZ430,"SI")*0.5</f>
        <v>2</v>
      </c>
      <c r="BB430" s="450" t="str">
        <f>IF(BA430&lt;0.6,"Demasiado Riesgo",IF(BA430&lt;=5,"Riesgo Medio",IF(BA430&lt;=11,"Riesgo Bajo","Cliente Blindado")))</f>
        <v>Riesgo Medio</v>
      </c>
      <c r="BC430" s="450"/>
      <c r="BD430" s="450"/>
      <c r="BE430" s="450">
        <v>0</v>
      </c>
      <c r="BF430" s="450"/>
      <c r="BG430" s="450"/>
      <c r="BH430" s="450"/>
      <c r="BI430" s="450"/>
      <c r="BJ430" s="450"/>
      <c r="BK430" s="450"/>
      <c r="BL430" s="450"/>
      <c r="BM430" s="450"/>
      <c r="BN430" s="450"/>
      <c r="BO430" s="450"/>
      <c r="BP430" s="450"/>
      <c r="BQ430" s="450"/>
      <c r="BR430" s="450"/>
      <c r="BS430" s="450"/>
      <c r="BT430" s="450"/>
      <c r="BU430" s="450"/>
      <c r="BV430" s="450"/>
      <c r="BW430" s="450"/>
      <c r="BX430" s="450"/>
      <c r="BY430" s="450"/>
      <c r="BZ430" s="450"/>
      <c r="CA430" s="450">
        <f>COUNTIF(AI430:AW430,"*OK*")</f>
        <v>1</v>
      </c>
      <c r="CB430" s="450"/>
      <c r="CC430" s="450">
        <f>COUNTIF(AI430:AW430,"*OP*")</f>
        <v>0</v>
      </c>
    </row>
    <row r="431" spans="1:81" ht="15" customHeight="1">
      <c r="A431" s="449"/>
      <c r="B431" s="450"/>
      <c r="C431" s="451">
        <f>T431</f>
        <v>714.56</v>
      </c>
      <c r="D431" s="450">
        <f>COUNTIF(AI431:AW431,"*OK*")</f>
        <v>0</v>
      </c>
      <c r="E431" s="450"/>
      <c r="F431" s="453" t="s">
        <v>1194</v>
      </c>
      <c r="G431" s="630"/>
      <c r="H431" s="463"/>
      <c r="I431" s="629"/>
      <c r="J431" s="601"/>
      <c r="K431" s="631" t="s">
        <v>79</v>
      </c>
      <c r="L431" s="630" t="s">
        <v>442</v>
      </c>
      <c r="M431" s="630"/>
      <c r="N431" s="466" t="s">
        <v>65</v>
      </c>
      <c r="O431" s="632">
        <v>820.45</v>
      </c>
      <c r="P431" s="632">
        <v>788.45</v>
      </c>
      <c r="Q431" s="632">
        <v>664.32</v>
      </c>
      <c r="R431" s="633">
        <v>669.17</v>
      </c>
      <c r="S431" s="634">
        <v>650.61789999999996</v>
      </c>
      <c r="T431" s="635">
        <v>714.56</v>
      </c>
      <c r="U431" s="461"/>
      <c r="V431" s="462">
        <v>3000</v>
      </c>
      <c r="W431" s="463"/>
      <c r="X431" s="464" t="s">
        <v>70</v>
      </c>
      <c r="Y431" s="465" t="s">
        <v>360</v>
      </c>
      <c r="Z431" s="466" t="s">
        <v>1195</v>
      </c>
      <c r="AA431" s="462" t="s">
        <v>59</v>
      </c>
      <c r="AB431" s="463" t="s">
        <v>97</v>
      </c>
      <c r="AC431" s="450"/>
      <c r="AD431" s="450" t="s">
        <v>1108</v>
      </c>
      <c r="AE431" s="450"/>
      <c r="AF431" s="450"/>
      <c r="AG431" s="450"/>
      <c r="AH431" s="496" t="s">
        <v>59</v>
      </c>
      <c r="AI431" s="467"/>
      <c r="AJ431" s="467"/>
      <c r="AK431" s="467"/>
      <c r="AL431" s="467"/>
      <c r="AM431" s="467"/>
      <c r="AN431" s="467"/>
      <c r="AO431" s="467"/>
      <c r="AP431" s="467"/>
      <c r="AQ431" s="467"/>
      <c r="AR431" s="467"/>
      <c r="AS431" s="467"/>
      <c r="AT431" s="467"/>
      <c r="AU431" s="467"/>
      <c r="AV431" s="467"/>
      <c r="AW431" s="467"/>
      <c r="AX431" s="467"/>
      <c r="AY431" s="486">
        <f>COUNTIF(AI431:AX431,"*OP*")</f>
        <v>0</v>
      </c>
      <c r="AZ431" s="499" t="s">
        <v>59</v>
      </c>
      <c r="BA431" s="450">
        <f>(COUNTIF(AI431:AK431,"*OK*")*3) + (COUNTIF(AL431:AN431,"*OK*")*2) + COUNTIF(AO431:AQ431,"*OK*")+COUNTIF(AZ431:AZ431,"SI")*0.5</f>
        <v>0</v>
      </c>
      <c r="BB431" s="450" t="str">
        <f>IF(BA431&lt;0.6,"Demasiado Riesgo",IF(BA431&lt;=5,"Riesgo Medio",IF(BA431&lt;=11,"Riesgo Bajo","Cliente Blindado")))</f>
        <v>Demasiado Riesgo</v>
      </c>
      <c r="BC431" s="450"/>
      <c r="BD431" s="450"/>
      <c r="BE431" s="450">
        <v>0</v>
      </c>
      <c r="BF431" s="450"/>
      <c r="BG431" s="450"/>
      <c r="BH431" s="450"/>
      <c r="BI431" s="450"/>
      <c r="BJ431" s="450"/>
      <c r="BK431" s="450"/>
      <c r="BL431" s="450"/>
      <c r="BM431" s="450"/>
      <c r="BN431" s="450"/>
      <c r="BO431" s="450"/>
      <c r="BP431" s="450"/>
      <c r="BQ431" s="450"/>
      <c r="BR431" s="450"/>
      <c r="BS431" s="450"/>
      <c r="BT431" s="450"/>
      <c r="BU431" s="450"/>
      <c r="BV431" s="450"/>
      <c r="BW431" s="450"/>
      <c r="BX431" s="450"/>
      <c r="BY431" s="450"/>
      <c r="BZ431" s="450"/>
      <c r="CA431" s="450">
        <f>COUNTIF(AI431:AW431,"*OK*")</f>
        <v>0</v>
      </c>
      <c r="CB431" s="450"/>
      <c r="CC431" s="450">
        <f>COUNTIF(AI431:AW431,"*OP*")</f>
        <v>0</v>
      </c>
    </row>
    <row r="432" spans="1:81" s="570" customFormat="1" ht="15" customHeight="1">
      <c r="A432" s="563">
        <v>20416</v>
      </c>
      <c r="B432" s="536"/>
      <c r="C432" s="451">
        <f>T432</f>
        <v>721.78</v>
      </c>
      <c r="D432" s="471">
        <f>COUNTIF(AI432:AW432,"*OK*")</f>
        <v>3</v>
      </c>
      <c r="E432" s="636"/>
      <c r="F432" s="571" t="s">
        <v>1196</v>
      </c>
      <c r="G432" s="603" t="s">
        <v>1177</v>
      </c>
      <c r="H432" s="481"/>
      <c r="I432" s="637"/>
      <c r="J432" s="603"/>
      <c r="K432" s="638" t="s">
        <v>79</v>
      </c>
      <c r="L432" s="603" t="s">
        <v>442</v>
      </c>
      <c r="M432" s="603"/>
      <c r="N432" s="484" t="s">
        <v>65</v>
      </c>
      <c r="O432" s="639">
        <v>651.63</v>
      </c>
      <c r="P432" s="639">
        <v>668.4</v>
      </c>
      <c r="Q432" s="639">
        <v>628.70000000000005</v>
      </c>
      <c r="R432" s="640">
        <v>663.17</v>
      </c>
      <c r="S432" s="459">
        <v>700.93589999999995</v>
      </c>
      <c r="T432" s="490">
        <v>721.78</v>
      </c>
      <c r="U432" s="641"/>
      <c r="V432" s="480">
        <v>100</v>
      </c>
      <c r="W432" s="481"/>
      <c r="X432" s="482" t="s">
        <v>70</v>
      </c>
      <c r="Y432" s="483" t="s">
        <v>150</v>
      </c>
      <c r="Z432" s="484" t="s">
        <v>1197</v>
      </c>
      <c r="AA432" s="480" t="s">
        <v>59</v>
      </c>
      <c r="AB432" s="481" t="s">
        <v>92</v>
      </c>
      <c r="AC432" s="471"/>
      <c r="AD432" s="471" t="s">
        <v>1101</v>
      </c>
      <c r="AE432" s="471"/>
      <c r="AF432" s="471"/>
      <c r="AG432" s="471"/>
      <c r="AH432" s="494" t="s">
        <v>127</v>
      </c>
      <c r="AI432" s="467"/>
      <c r="AJ432" s="467"/>
      <c r="AK432" s="565" t="s">
        <v>111</v>
      </c>
      <c r="AL432" s="467"/>
      <c r="AM432" s="467"/>
      <c r="AN432" s="467"/>
      <c r="AO432" s="565" t="s">
        <v>111</v>
      </c>
      <c r="AP432" s="565" t="s">
        <v>111</v>
      </c>
      <c r="AQ432" s="467"/>
      <c r="AR432" s="467"/>
      <c r="AS432" s="467"/>
      <c r="AT432" s="467"/>
      <c r="AU432" s="467"/>
      <c r="AV432" s="467"/>
      <c r="AW432" s="467"/>
      <c r="AX432" s="467"/>
      <c r="AY432" s="486">
        <f>COUNTIF(AI432:AX432,"*OP*")</f>
        <v>0</v>
      </c>
      <c r="AZ432" s="485" t="s">
        <v>176</v>
      </c>
      <c r="BA432" s="471">
        <f>(COUNTIF(AI432:AK432,"*OK*")*3) + (COUNTIF(AL432:AN432,"*OK*")*2) + COUNTIF(AO432:AQ432,"*OK*")+COUNTIF(AZ432:AZ432,"SI")*0.5</f>
        <v>5</v>
      </c>
      <c r="BB432" s="471" t="str">
        <f>IF(BA432&lt;0.6,"Demasiado Riesgo",IF(BA432&lt;=5,"Riesgo Medio",IF(BA432&lt;=11,"Riesgo Bajo","Cliente Blindado")))</f>
        <v>Riesgo Medio</v>
      </c>
      <c r="BC432" s="471"/>
      <c r="BD432" s="471"/>
      <c r="BE432" s="471">
        <v>0</v>
      </c>
      <c r="BF432" s="471"/>
      <c r="BG432" s="471"/>
      <c r="BH432" s="471"/>
      <c r="BI432" s="471"/>
      <c r="BJ432" s="471"/>
      <c r="BK432" s="471"/>
      <c r="BL432" s="471"/>
      <c r="BM432" s="471"/>
      <c r="BN432" s="471"/>
      <c r="BO432" s="471"/>
      <c r="BP432" s="471"/>
      <c r="BQ432" s="471"/>
      <c r="BR432" s="471"/>
      <c r="BS432" s="471"/>
      <c r="BT432" s="471"/>
      <c r="BU432" s="471"/>
      <c r="BV432" s="471"/>
      <c r="BW432" s="471"/>
      <c r="BX432" s="471"/>
      <c r="BY432" s="471"/>
      <c r="BZ432" s="471"/>
      <c r="CA432" s="471">
        <f>COUNTIF(AI432:AW432,"*OK*")</f>
        <v>3</v>
      </c>
      <c r="CB432" s="471"/>
      <c r="CC432" s="471">
        <f>COUNTIF(AI432:AW432,"*OP*")</f>
        <v>0</v>
      </c>
    </row>
    <row r="433" spans="1:81" ht="15" customHeight="1">
      <c r="A433" s="449">
        <v>38149</v>
      </c>
      <c r="B433" s="450"/>
      <c r="C433" s="451">
        <f>T433</f>
        <v>735.35</v>
      </c>
      <c r="D433" s="450">
        <f>COUNTIF(AI433:AW433,"*OK*")</f>
        <v>1</v>
      </c>
      <c r="E433" s="625"/>
      <c r="F433" s="453" t="s">
        <v>1198</v>
      </c>
      <c r="G433" s="601" t="s">
        <v>1199</v>
      </c>
      <c r="H433" s="463"/>
      <c r="I433" s="629"/>
      <c r="J433" s="601"/>
      <c r="K433" s="642" t="s">
        <v>79</v>
      </c>
      <c r="L433" s="601" t="s">
        <v>442</v>
      </c>
      <c r="M433" s="601"/>
      <c r="N433" s="466" t="s">
        <v>264</v>
      </c>
      <c r="O433" s="643">
        <v>744.41</v>
      </c>
      <c r="P433" s="643">
        <v>720.75</v>
      </c>
      <c r="Q433" s="643">
        <v>700.8</v>
      </c>
      <c r="R433" s="644">
        <v>725.41</v>
      </c>
      <c r="S433" s="459">
        <v>760.1662</v>
      </c>
      <c r="T433" s="469">
        <v>735.35</v>
      </c>
      <c r="U433" s="645"/>
      <c r="V433" s="462">
        <v>2000</v>
      </c>
      <c r="W433" s="463"/>
      <c r="X433" s="465" t="s">
        <v>70</v>
      </c>
      <c r="Y433" s="465" t="s">
        <v>95</v>
      </c>
      <c r="Z433" s="466" t="s">
        <v>1200</v>
      </c>
      <c r="AA433" s="462" t="s">
        <v>59</v>
      </c>
      <c r="AB433" s="463" t="s">
        <v>97</v>
      </c>
      <c r="AC433" s="450"/>
      <c r="AD433" s="450" t="s">
        <v>1101</v>
      </c>
      <c r="AE433" s="450"/>
      <c r="AF433" s="450"/>
      <c r="AG433" s="450"/>
      <c r="AH433" s="496" t="s">
        <v>127</v>
      </c>
      <c r="AI433" s="467"/>
      <c r="AJ433" s="467"/>
      <c r="AK433" s="467"/>
      <c r="AL433" s="467" t="s">
        <v>1201</v>
      </c>
      <c r="AM433" s="565" t="s">
        <v>1202</v>
      </c>
      <c r="AN433" s="467"/>
      <c r="AO433" s="467"/>
      <c r="AP433" s="467"/>
      <c r="AQ433" s="467"/>
      <c r="AR433" s="467"/>
      <c r="AS433" s="467"/>
      <c r="AT433" s="467"/>
      <c r="AU433" s="467"/>
      <c r="AV433" s="467"/>
      <c r="AW433" s="467"/>
      <c r="AX433" s="467"/>
      <c r="AY433" s="486">
        <f>COUNTIF(AI433:AX433,"*OP*")</f>
        <v>1</v>
      </c>
      <c r="AZ433" s="499" t="s">
        <v>176</v>
      </c>
      <c r="BA433" s="450">
        <f>(COUNTIF(AI433:AK433,"*OK*")*3) + (COUNTIF(AL433:AN433,"*OK*")*2) + COUNTIF(AO433:AQ433,"*OK*")+COUNTIF(AZ433:AZ433,"SI")*0.5</f>
        <v>2</v>
      </c>
      <c r="BB433" s="450" t="str">
        <f>IF(BA433&lt;0.6,"Demasiado Riesgo",IF(BA433&lt;=5,"Riesgo Medio",IF(BA433&lt;=11,"Riesgo Bajo","Cliente Blindado")))</f>
        <v>Riesgo Medio</v>
      </c>
      <c r="BC433" s="450"/>
      <c r="BD433" s="450"/>
      <c r="BE433" s="450">
        <v>0</v>
      </c>
      <c r="BF433" s="450"/>
      <c r="BG433" s="450"/>
      <c r="BH433" s="450"/>
      <c r="BI433" s="450"/>
      <c r="BJ433" s="450"/>
      <c r="BK433" s="450"/>
      <c r="BL433" s="450"/>
      <c r="BM433" s="450"/>
      <c r="BN433" s="450"/>
      <c r="BO433" s="450"/>
      <c r="BP433" s="450"/>
      <c r="BQ433" s="450"/>
      <c r="BR433" s="450"/>
      <c r="BS433" s="450"/>
      <c r="BT433" s="450"/>
      <c r="BU433" s="450"/>
      <c r="BV433" s="450"/>
      <c r="BW433" s="450"/>
      <c r="BX433" s="450"/>
      <c r="BY433" s="450"/>
      <c r="BZ433" s="450"/>
      <c r="CA433" s="450">
        <f>COUNTIF(AI433:AW433,"*OK*")</f>
        <v>1</v>
      </c>
      <c r="CB433" s="450"/>
      <c r="CC433" s="450">
        <f>COUNTIF(AI433:AW433,"*OP*")</f>
        <v>1</v>
      </c>
    </row>
    <row r="434" spans="1:81" ht="15" customHeight="1">
      <c r="A434" s="470">
        <v>26664</v>
      </c>
      <c r="B434" s="471"/>
      <c r="C434" s="451">
        <f>T434</f>
        <v>776.79</v>
      </c>
      <c r="D434" s="471">
        <f>COUNTIF(AI434:AW434,"*OK*")</f>
        <v>1</v>
      </c>
      <c r="E434" s="636"/>
      <c r="F434" s="473" t="s">
        <v>1166</v>
      </c>
      <c r="G434" s="603"/>
      <c r="H434" s="481"/>
      <c r="I434" s="637"/>
      <c r="J434" s="603"/>
      <c r="K434" s="638" t="s">
        <v>79</v>
      </c>
      <c r="L434" s="603" t="s">
        <v>442</v>
      </c>
      <c r="M434" s="603"/>
      <c r="N434" s="484" t="s">
        <v>500</v>
      </c>
      <c r="O434" s="639">
        <v>769.71</v>
      </c>
      <c r="P434" s="639">
        <v>767.85</v>
      </c>
      <c r="Q434" s="639">
        <v>730.09</v>
      </c>
      <c r="R434" s="640">
        <v>766.13</v>
      </c>
      <c r="S434" s="459">
        <v>785.39779999999996</v>
      </c>
      <c r="T434" s="487">
        <v>776.79</v>
      </c>
      <c r="U434" s="641"/>
      <c r="V434" s="480">
        <v>400</v>
      </c>
      <c r="W434" s="481"/>
      <c r="X434" s="483" t="s">
        <v>70</v>
      </c>
      <c r="Y434" s="483" t="s">
        <v>241</v>
      </c>
      <c r="Z434" s="484" t="s">
        <v>1203</v>
      </c>
      <c r="AA434" s="480" t="s">
        <v>241</v>
      </c>
      <c r="AB434" s="481" t="s">
        <v>92</v>
      </c>
      <c r="AC434" s="471"/>
      <c r="AD434" s="471" t="s">
        <v>1114</v>
      </c>
      <c r="AE434" s="471"/>
      <c r="AF434" s="471"/>
      <c r="AG434" s="471"/>
      <c r="AH434" s="494" t="s">
        <v>127</v>
      </c>
      <c r="AI434" s="467"/>
      <c r="AJ434" s="467"/>
      <c r="AK434" s="467"/>
      <c r="AL434" s="467"/>
      <c r="AM434" s="467"/>
      <c r="AN434" s="467"/>
      <c r="AO434" s="565" t="s">
        <v>111</v>
      </c>
      <c r="AP434" s="467"/>
      <c r="AQ434" s="467"/>
      <c r="AR434" s="467"/>
      <c r="AS434" s="467"/>
      <c r="AT434" s="467"/>
      <c r="AU434" s="467"/>
      <c r="AV434" s="467"/>
      <c r="AW434" s="467"/>
      <c r="AX434" s="467"/>
      <c r="AY434" s="486">
        <f>COUNTIF(AI434:AX434,"*OP*")</f>
        <v>0</v>
      </c>
      <c r="AZ434" s="485" t="s">
        <v>176</v>
      </c>
      <c r="BA434" s="471">
        <f>(COUNTIF(AI434:AK434,"*OK*")*3) + (COUNTIF(AL434:AN434,"*OK*")*2) + COUNTIF(AO434:AQ434,"*OK*")+COUNTIF(AZ434:AZ434,"SI")*0.5</f>
        <v>1</v>
      </c>
      <c r="BB434" s="471" t="str">
        <f>IF(BA434&lt;0.6,"Demasiado Riesgo",IF(BA434&lt;=5,"Riesgo Medio",IF(BA434&lt;=11,"Riesgo Bajo","Cliente Blindado")))</f>
        <v>Riesgo Medio</v>
      </c>
      <c r="BC434" s="471"/>
      <c r="BD434" s="471"/>
      <c r="BE434" s="471">
        <v>0</v>
      </c>
      <c r="BF434" s="471"/>
      <c r="BG434" s="471"/>
      <c r="BH434" s="471"/>
      <c r="BI434" s="471"/>
      <c r="BJ434" s="471"/>
      <c r="BK434" s="471"/>
      <c r="BL434" s="471"/>
      <c r="BM434" s="471"/>
      <c r="BN434" s="471"/>
      <c r="BO434" s="471"/>
      <c r="BP434" s="471"/>
      <c r="BQ434" s="471"/>
      <c r="BR434" s="471"/>
      <c r="BS434" s="471"/>
      <c r="BT434" s="471"/>
      <c r="BU434" s="471"/>
      <c r="BV434" s="471"/>
      <c r="BW434" s="471"/>
      <c r="BX434" s="471"/>
      <c r="BY434" s="471"/>
      <c r="BZ434" s="471"/>
      <c r="CA434" s="471">
        <f>COUNTIF(AI434:AW434,"*OK*")</f>
        <v>1</v>
      </c>
      <c r="CB434" s="471"/>
      <c r="CC434" s="471">
        <f>COUNTIF(AI434:AW434,"*OP*")</f>
        <v>0</v>
      </c>
    </row>
    <row r="435" spans="1:81" ht="15" customHeight="1">
      <c r="A435" s="470"/>
      <c r="B435" s="471"/>
      <c r="C435" s="451">
        <f>T435</f>
        <v>791.32</v>
      </c>
      <c r="D435" s="471">
        <f>COUNTIF(AI435:AW435,"*OK*")</f>
        <v>0</v>
      </c>
      <c r="E435" s="471"/>
      <c r="F435" s="646" t="s">
        <v>1204</v>
      </c>
      <c r="G435" s="603" t="s">
        <v>1171</v>
      </c>
      <c r="H435" s="481"/>
      <c r="I435" s="637"/>
      <c r="J435" s="603"/>
      <c r="K435" s="638" t="s">
        <v>79</v>
      </c>
      <c r="L435" s="603" t="s">
        <v>442</v>
      </c>
      <c r="M435" s="603"/>
      <c r="N435" s="484" t="s">
        <v>65</v>
      </c>
      <c r="O435" s="639">
        <v>823.77</v>
      </c>
      <c r="P435" s="639">
        <v>834.43</v>
      </c>
      <c r="Q435" s="639">
        <v>803.93</v>
      </c>
      <c r="R435" s="640">
        <v>847.82</v>
      </c>
      <c r="S435" s="459">
        <v>872.86320000000001</v>
      </c>
      <c r="T435" s="487">
        <v>791.32</v>
      </c>
      <c r="U435" s="641"/>
      <c r="V435" s="480">
        <v>300</v>
      </c>
      <c r="W435" s="481"/>
      <c r="X435" s="482" t="s">
        <v>70</v>
      </c>
      <c r="Y435" s="483" t="s">
        <v>80</v>
      </c>
      <c r="Z435" s="484" t="s">
        <v>1205</v>
      </c>
      <c r="AA435" s="480" t="s">
        <v>59</v>
      </c>
      <c r="AB435" s="481" t="s">
        <v>92</v>
      </c>
      <c r="AC435" s="471"/>
      <c r="AD435" s="471" t="s">
        <v>1101</v>
      </c>
      <c r="AE435" s="471"/>
      <c r="AF435" s="471"/>
      <c r="AG435" s="471"/>
      <c r="AH435" s="494" t="s">
        <v>59</v>
      </c>
      <c r="AI435" s="467"/>
      <c r="AJ435" s="467"/>
      <c r="AK435" s="467"/>
      <c r="AL435" s="467"/>
      <c r="AM435" s="467"/>
      <c r="AN435" s="467"/>
      <c r="AO435" s="467"/>
      <c r="AP435" s="467"/>
      <c r="AQ435" s="467"/>
      <c r="AR435" s="467"/>
      <c r="AS435" s="467"/>
      <c r="AT435" s="467"/>
      <c r="AU435" s="467"/>
      <c r="AV435" s="467"/>
      <c r="AW435" s="467"/>
      <c r="AX435" s="467"/>
      <c r="AY435" s="486">
        <f>COUNTIF(AI435:AX435,"*OP*")</f>
        <v>0</v>
      </c>
      <c r="AZ435" s="485" t="s">
        <v>59</v>
      </c>
      <c r="BA435" s="471">
        <f>(COUNTIF(AI435:AK435,"*OK*")*3) + (COUNTIF(AL435:AN435,"*OK*")*2) + COUNTIF(AO435:AQ435,"*OK*")+COUNTIF(AZ435:AZ435,"SI")*0.5</f>
        <v>0</v>
      </c>
      <c r="BB435" s="471" t="str">
        <f>IF(BA435&lt;0.6,"Demasiado Riesgo",IF(BA435&lt;=5,"Riesgo Medio",IF(BA435&lt;=11,"Riesgo Bajo","Cliente Blindado")))</f>
        <v>Demasiado Riesgo</v>
      </c>
      <c r="BC435" s="471"/>
      <c r="BD435" s="471"/>
      <c r="BE435" s="471">
        <v>0</v>
      </c>
      <c r="BF435" s="471"/>
      <c r="BG435" s="471"/>
      <c r="BH435" s="471"/>
      <c r="BI435" s="471"/>
      <c r="BJ435" s="471"/>
      <c r="BK435" s="471"/>
      <c r="BL435" s="471"/>
      <c r="BM435" s="471"/>
      <c r="BN435" s="471"/>
      <c r="BO435" s="471"/>
      <c r="BP435" s="471"/>
      <c r="BQ435" s="471"/>
      <c r="BR435" s="471"/>
      <c r="BS435" s="471"/>
      <c r="BT435" s="471"/>
      <c r="BU435" s="471"/>
      <c r="BV435" s="471"/>
      <c r="BW435" s="471"/>
      <c r="BX435" s="471"/>
      <c r="BY435" s="471"/>
      <c r="BZ435" s="471"/>
      <c r="CA435" s="471">
        <f>COUNTIF(AI435:AW435,"*OK*")</f>
        <v>0</v>
      </c>
      <c r="CB435" s="471"/>
      <c r="CC435" s="471">
        <f>COUNTIF(AI435:AW435,"*OP*")</f>
        <v>0</v>
      </c>
    </row>
    <row r="436" spans="1:81" ht="15" customHeight="1">
      <c r="A436" s="563">
        <v>23468</v>
      </c>
      <c r="B436" s="536"/>
      <c r="C436" s="451">
        <f>T436</f>
        <v>800.18</v>
      </c>
      <c r="D436" s="471">
        <f>COUNTIF(AI436:AW436,"*OK*")</f>
        <v>1</v>
      </c>
      <c r="E436" s="636"/>
      <c r="F436" s="473" t="s">
        <v>1206</v>
      </c>
      <c r="G436" s="603"/>
      <c r="H436" s="481"/>
      <c r="I436" s="637"/>
      <c r="J436" s="603"/>
      <c r="K436" s="638" t="s">
        <v>79</v>
      </c>
      <c r="L436" s="603" t="s">
        <v>442</v>
      </c>
      <c r="M436" s="603"/>
      <c r="N436" s="484" t="s">
        <v>65</v>
      </c>
      <c r="O436" s="639">
        <v>609.77</v>
      </c>
      <c r="P436" s="639">
        <v>576.03</v>
      </c>
      <c r="Q436" s="639">
        <v>729.48</v>
      </c>
      <c r="R436" s="640">
        <v>389.14</v>
      </c>
      <c r="S436" s="459">
        <v>791.95479999999998</v>
      </c>
      <c r="T436" s="490">
        <v>800.18</v>
      </c>
      <c r="U436" s="641"/>
      <c r="V436" s="480">
        <v>200</v>
      </c>
      <c r="W436" s="481"/>
      <c r="X436" s="483" t="s">
        <v>100</v>
      </c>
      <c r="Y436" s="483" t="s">
        <v>150</v>
      </c>
      <c r="Z436" s="484" t="s">
        <v>1207</v>
      </c>
      <c r="AA436" s="480" t="s">
        <v>59</v>
      </c>
      <c r="AB436" s="481" t="s">
        <v>92</v>
      </c>
      <c r="AC436" s="471"/>
      <c r="AD436" s="471" t="s">
        <v>1101</v>
      </c>
      <c r="AE436" s="471"/>
      <c r="AF436" s="471"/>
      <c r="AG436" s="471"/>
      <c r="AH436" s="494"/>
      <c r="AI436" s="467"/>
      <c r="AJ436" s="467"/>
      <c r="AK436" s="467"/>
      <c r="AL436" s="565" t="s">
        <v>111</v>
      </c>
      <c r="AM436" s="467"/>
      <c r="AN436" s="467"/>
      <c r="AO436" s="467"/>
      <c r="AP436" s="467"/>
      <c r="AQ436" s="467"/>
      <c r="AR436" s="467"/>
      <c r="AS436" s="467"/>
      <c r="AT436" s="467"/>
      <c r="AU436" s="467"/>
      <c r="AV436" s="467"/>
      <c r="AW436" s="467"/>
      <c r="AX436" s="467"/>
      <c r="AY436" s="486">
        <f>COUNTIF(AI436:AX436,"*OP*")</f>
        <v>0</v>
      </c>
      <c r="AZ436" s="485" t="s">
        <v>59</v>
      </c>
      <c r="BA436" s="471">
        <f>(COUNTIF(AI436:AK436,"*OK*")*3) + (COUNTIF(AL436:AN436,"*OK*")*2) + COUNTIF(AO436:AQ436,"*OK*")+COUNTIF(AZ436:AZ436,"SI")*0.5</f>
        <v>2</v>
      </c>
      <c r="BB436" s="471" t="str">
        <f>IF(BA436&lt;0.6,"Demasiado Riesgo",IF(BA436&lt;=5,"Riesgo Medio",IF(BA436&lt;=11,"Riesgo Bajo","Cliente Blindado")))</f>
        <v>Riesgo Medio</v>
      </c>
      <c r="BC436" s="471"/>
      <c r="BD436" s="471"/>
      <c r="BE436" s="471">
        <v>0</v>
      </c>
      <c r="BF436" s="471"/>
      <c r="BG436" s="471"/>
      <c r="BH436" s="471"/>
      <c r="BI436" s="471"/>
      <c r="BJ436" s="471"/>
      <c r="BK436" s="471"/>
      <c r="BL436" s="471"/>
      <c r="BM436" s="471"/>
      <c r="BN436" s="471"/>
      <c r="BO436" s="471"/>
      <c r="BP436" s="471"/>
      <c r="BQ436" s="471"/>
      <c r="BR436" s="471"/>
      <c r="BS436" s="471"/>
      <c r="BT436" s="471"/>
      <c r="BU436" s="471"/>
      <c r="BV436" s="471"/>
      <c r="BW436" s="471"/>
      <c r="BX436" s="471"/>
      <c r="BY436" s="471"/>
      <c r="BZ436" s="471"/>
      <c r="CA436" s="471">
        <f>COUNTIF(AI436:AW436,"*OK*")</f>
        <v>1</v>
      </c>
      <c r="CB436" s="471"/>
      <c r="CC436" s="471">
        <f>COUNTIF(AI436:AW436,"*OP*")</f>
        <v>0</v>
      </c>
    </row>
    <row r="437" spans="1:81" ht="15" customHeight="1">
      <c r="A437" s="470">
        <v>18764</v>
      </c>
      <c r="B437" s="471"/>
      <c r="C437" s="451">
        <f>T437</f>
        <v>820.73</v>
      </c>
      <c r="D437" s="471">
        <f>COUNTIF(AI437:AW437,"*OK*")</f>
        <v>0</v>
      </c>
      <c r="E437" s="636"/>
      <c r="F437" s="473" t="s">
        <v>1208</v>
      </c>
      <c r="G437" s="603" t="s">
        <v>1103</v>
      </c>
      <c r="H437" s="481"/>
      <c r="I437" s="637"/>
      <c r="J437" s="603"/>
      <c r="K437" s="638" t="s">
        <v>79</v>
      </c>
      <c r="L437" s="603" t="s">
        <v>442</v>
      </c>
      <c r="M437" s="603"/>
      <c r="N437" s="484" t="s">
        <v>500</v>
      </c>
      <c r="O437" s="639">
        <v>467.51</v>
      </c>
      <c r="P437" s="639">
        <v>467.08</v>
      </c>
      <c r="Q437" s="639">
        <v>445.12</v>
      </c>
      <c r="R437" s="640">
        <v>459.45</v>
      </c>
      <c r="S437" s="459">
        <v>854.26089999999999</v>
      </c>
      <c r="T437" s="487">
        <v>820.73</v>
      </c>
      <c r="U437" s="641"/>
      <c r="V437" s="480">
        <v>200</v>
      </c>
      <c r="W437" s="481"/>
      <c r="X437" s="482" t="s">
        <v>70</v>
      </c>
      <c r="Y437" s="483" t="s">
        <v>241</v>
      </c>
      <c r="Z437" s="484" t="s">
        <v>1209</v>
      </c>
      <c r="AA437" s="480" t="s">
        <v>241</v>
      </c>
      <c r="AB437" s="481" t="s">
        <v>92</v>
      </c>
      <c r="AC437" s="471"/>
      <c r="AD437" s="471" t="s">
        <v>1101</v>
      </c>
      <c r="AE437" s="471"/>
      <c r="AF437" s="471"/>
      <c r="AG437" s="471"/>
      <c r="AH437" s="494"/>
      <c r="AI437" s="467"/>
      <c r="AJ437" s="467"/>
      <c r="AK437" s="467"/>
      <c r="AL437" s="467"/>
      <c r="AM437" s="467"/>
      <c r="AN437" s="467"/>
      <c r="AO437" s="467"/>
      <c r="AP437" s="467"/>
      <c r="AQ437" s="467"/>
      <c r="AR437" s="467"/>
      <c r="AS437" s="467"/>
      <c r="AT437" s="467"/>
      <c r="AU437" s="467"/>
      <c r="AV437" s="467"/>
      <c r="AW437" s="467"/>
      <c r="AX437" s="467"/>
      <c r="AY437" s="486">
        <f>COUNTIF(AI437:AX437,"*OP*")</f>
        <v>0</v>
      </c>
      <c r="AZ437" s="485" t="s">
        <v>59</v>
      </c>
      <c r="BA437" s="471">
        <f>(COUNTIF(AI437:AK437,"*OK*")*3) + (COUNTIF(AL437:AN437,"*OK*")*2) + COUNTIF(AO437:AQ437,"*OK*")+COUNTIF(AZ437:AZ437,"SI")*0.5</f>
        <v>0</v>
      </c>
      <c r="BB437" s="471" t="str">
        <f>IF(BA437&lt;0.6,"Demasiado Riesgo",IF(BA437&lt;=5,"Riesgo Medio",IF(BA437&lt;=11,"Riesgo Bajo","Cliente Blindado")))</f>
        <v>Demasiado Riesgo</v>
      </c>
      <c r="BC437" s="471"/>
      <c r="BD437" s="471"/>
      <c r="BE437" s="471">
        <v>0</v>
      </c>
      <c r="BF437" s="471"/>
      <c r="BG437" s="471"/>
      <c r="BH437" s="471"/>
      <c r="BI437" s="471"/>
      <c r="BJ437" s="471"/>
      <c r="BK437" s="471"/>
      <c r="BL437" s="471"/>
      <c r="BM437" s="471"/>
      <c r="BN437" s="471"/>
      <c r="BO437" s="471"/>
      <c r="BP437" s="471"/>
      <c r="BQ437" s="471"/>
      <c r="BR437" s="471"/>
      <c r="BS437" s="471"/>
      <c r="BT437" s="471"/>
      <c r="BU437" s="471"/>
      <c r="BV437" s="471"/>
      <c r="BW437" s="471"/>
      <c r="BX437" s="471"/>
      <c r="BY437" s="471"/>
      <c r="BZ437" s="471"/>
      <c r="CA437" s="471">
        <f>COUNTIF(AI437:AW437,"*OK*")</f>
        <v>0</v>
      </c>
      <c r="CB437" s="471"/>
      <c r="CC437" s="471">
        <f>COUNTIF(AI437:AW437,"*OP*")</f>
        <v>0</v>
      </c>
    </row>
    <row r="438" spans="1:81" ht="15" customHeight="1">
      <c r="A438" s="470">
        <v>24336</v>
      </c>
      <c r="B438" s="471"/>
      <c r="C438" s="451">
        <f>T438</f>
        <v>847.98</v>
      </c>
      <c r="D438" s="471">
        <f>COUNTIF(AI438:AW438,"*OK*")</f>
        <v>1</v>
      </c>
      <c r="E438" s="636"/>
      <c r="F438" s="576" t="s">
        <v>1210</v>
      </c>
      <c r="G438" s="603"/>
      <c r="H438" s="481" t="s">
        <v>1211</v>
      </c>
      <c r="I438" s="637"/>
      <c r="J438" s="603"/>
      <c r="K438" s="638" t="s">
        <v>79</v>
      </c>
      <c r="L438" s="603" t="s">
        <v>442</v>
      </c>
      <c r="M438" s="603"/>
      <c r="N438" s="484" t="s">
        <v>65</v>
      </c>
      <c r="O438" s="639">
        <v>1027.48</v>
      </c>
      <c r="P438" s="639">
        <v>832.46</v>
      </c>
      <c r="Q438" s="639">
        <v>819.61</v>
      </c>
      <c r="R438" s="640">
        <v>832.43</v>
      </c>
      <c r="S438" s="459">
        <v>848.54160000000002</v>
      </c>
      <c r="T438" s="487">
        <v>847.98</v>
      </c>
      <c r="U438" s="641"/>
      <c r="V438" s="480">
        <v>1200</v>
      </c>
      <c r="W438" s="481"/>
      <c r="X438" s="483" t="s">
        <v>70</v>
      </c>
      <c r="Y438" s="483" t="s">
        <v>150</v>
      </c>
      <c r="Z438" s="484" t="s">
        <v>1212</v>
      </c>
      <c r="AA438" s="480" t="s">
        <v>59</v>
      </c>
      <c r="AB438" s="481" t="s">
        <v>97</v>
      </c>
      <c r="AC438" s="471"/>
      <c r="AD438" s="471" t="s">
        <v>1114</v>
      </c>
      <c r="AE438" s="471"/>
      <c r="AF438" s="471"/>
      <c r="AG438" s="471"/>
      <c r="AH438" s="494" t="s">
        <v>127</v>
      </c>
      <c r="AI438" s="467"/>
      <c r="AJ438" s="467"/>
      <c r="AK438" s="467"/>
      <c r="AL438" s="467"/>
      <c r="AM438" s="467"/>
      <c r="AN438" s="467" t="s">
        <v>1213</v>
      </c>
      <c r="AO438" s="467"/>
      <c r="AP438" s="467"/>
      <c r="AQ438" s="467"/>
      <c r="AR438" s="467"/>
      <c r="AS438" s="467"/>
      <c r="AT438" s="467"/>
      <c r="AU438" s="467"/>
      <c r="AV438" s="467"/>
      <c r="AW438" s="467"/>
      <c r="AX438" s="467"/>
      <c r="AY438" s="486">
        <f>COUNTIF(AI438:AX438,"*OP*")</f>
        <v>0</v>
      </c>
      <c r="AZ438" s="485" t="s">
        <v>59</v>
      </c>
      <c r="BA438" s="471">
        <f>(COUNTIF(AI438:AK438,"*OK*")*3) + (COUNTIF(AL438:AN438,"*OK*")*2) + COUNTIF(AO438:AQ438,"*OK*")+COUNTIF(AZ438:AZ438,"SI")*0.5</f>
        <v>2</v>
      </c>
      <c r="BB438" s="471" t="str">
        <f>IF(BA438&lt;0.6,"Demasiado Riesgo",IF(BA438&lt;=5,"Riesgo Medio",IF(BA438&lt;=11,"Riesgo Bajo","Cliente Blindado")))</f>
        <v>Riesgo Medio</v>
      </c>
      <c r="BC438" s="471"/>
      <c r="BD438" s="471"/>
      <c r="BE438" s="471">
        <v>0</v>
      </c>
      <c r="BF438" s="471"/>
      <c r="BG438" s="471"/>
      <c r="BH438" s="471"/>
      <c r="BI438" s="471"/>
      <c r="BJ438" s="471"/>
      <c r="BK438" s="471"/>
      <c r="BL438" s="471"/>
      <c r="BM438" s="471"/>
      <c r="BN438" s="471"/>
      <c r="BO438" s="471"/>
      <c r="BP438" s="471"/>
      <c r="BQ438" s="471"/>
      <c r="BR438" s="471"/>
      <c r="BS438" s="471"/>
      <c r="BT438" s="471"/>
      <c r="BU438" s="471"/>
      <c r="BV438" s="471"/>
      <c r="BW438" s="471"/>
      <c r="BX438" s="471"/>
      <c r="BY438" s="471"/>
      <c r="BZ438" s="471"/>
      <c r="CA438" s="471">
        <f>COUNTIF(AI438:AW438,"*OK*")</f>
        <v>1</v>
      </c>
      <c r="CB438" s="471"/>
      <c r="CC438" s="471">
        <f>COUNTIF(AI438:AW438,"*OP*")</f>
        <v>0</v>
      </c>
    </row>
    <row r="439" spans="1:81" ht="15" customHeight="1">
      <c r="A439" s="449">
        <v>27983</v>
      </c>
      <c r="B439" s="450"/>
      <c r="C439" s="451">
        <f>T439</f>
        <v>864.72</v>
      </c>
      <c r="D439" s="450">
        <f>COUNTIF(AI439:AW439,"*OK*")</f>
        <v>2</v>
      </c>
      <c r="E439" s="450"/>
      <c r="F439" s="571" t="s">
        <v>1214</v>
      </c>
      <c r="G439" s="601"/>
      <c r="H439" s="463"/>
      <c r="I439" s="629"/>
      <c r="J439" s="601"/>
      <c r="K439" s="647" t="s">
        <v>79</v>
      </c>
      <c r="L439" s="601" t="s">
        <v>442</v>
      </c>
      <c r="M439" s="601"/>
      <c r="N439" s="466" t="s">
        <v>103</v>
      </c>
      <c r="O439" s="643">
        <v>637.92999999999995</v>
      </c>
      <c r="P439" s="643">
        <v>618.28</v>
      </c>
      <c r="Q439" s="643">
        <v>776.1</v>
      </c>
      <c r="R439" s="644">
        <v>811.8</v>
      </c>
      <c r="S439" s="459">
        <v>877.02279999999996</v>
      </c>
      <c r="T439" s="469">
        <v>864.72</v>
      </c>
      <c r="U439" s="645"/>
      <c r="V439" s="462">
        <v>500</v>
      </c>
      <c r="W439" s="463"/>
      <c r="X439" s="465" t="s">
        <v>251</v>
      </c>
      <c r="Y439" s="465" t="s">
        <v>80</v>
      </c>
      <c r="Z439" s="466" t="s">
        <v>1215</v>
      </c>
      <c r="AA439" s="462" t="s">
        <v>59</v>
      </c>
      <c r="AB439" s="463" t="s">
        <v>92</v>
      </c>
      <c r="AC439" s="450"/>
      <c r="AD439" s="450" t="s">
        <v>1114</v>
      </c>
      <c r="AE439" s="450"/>
      <c r="AF439" s="450"/>
      <c r="AG439" s="450"/>
      <c r="AH439" s="496" t="s">
        <v>127</v>
      </c>
      <c r="AI439" s="467"/>
      <c r="AJ439" s="467"/>
      <c r="AK439" s="565" t="s">
        <v>111</v>
      </c>
      <c r="AL439" s="467"/>
      <c r="AM439" s="565" t="s">
        <v>111</v>
      </c>
      <c r="AN439" s="467"/>
      <c r="AO439" s="467"/>
      <c r="AP439" s="467"/>
      <c r="AQ439" s="467"/>
      <c r="AR439" s="467"/>
      <c r="AS439" s="467"/>
      <c r="AT439" s="467"/>
      <c r="AU439" s="467"/>
      <c r="AV439" s="467"/>
      <c r="AW439" s="467"/>
      <c r="AX439" s="467"/>
      <c r="AY439" s="486">
        <f>COUNTIF(AI439:AX439,"*OP*")</f>
        <v>0</v>
      </c>
      <c r="AZ439" s="499" t="s">
        <v>176</v>
      </c>
      <c r="BA439" s="450">
        <f>(COUNTIF(AI439:AK439,"*OK*")*3) + (COUNTIF(AL439:AN439,"*OK*")*2) + COUNTIF(AO439:AQ439,"*OK*")+COUNTIF(AZ439:AZ439,"SI")*0.5</f>
        <v>5</v>
      </c>
      <c r="BB439" s="450" t="str">
        <f>IF(BA439&lt;0.6,"Demasiado Riesgo",IF(BA439&lt;=5,"Riesgo Medio",IF(BA439&lt;=11,"Riesgo Bajo","Cliente Blindado")))</f>
        <v>Riesgo Medio</v>
      </c>
      <c r="BC439" s="450"/>
      <c r="BD439" s="450"/>
      <c r="BE439" s="450">
        <v>0</v>
      </c>
      <c r="BF439" s="450"/>
      <c r="BG439" s="450"/>
      <c r="BH439" s="450"/>
      <c r="BI439" s="450"/>
      <c r="BJ439" s="450"/>
      <c r="BK439" s="450"/>
      <c r="BL439" s="450"/>
      <c r="BM439" s="450"/>
      <c r="BN439" s="450"/>
      <c r="BO439" s="450"/>
      <c r="BP439" s="450"/>
      <c r="BQ439" s="450"/>
      <c r="BR439" s="450"/>
      <c r="BS439" s="450"/>
      <c r="BT439" s="450"/>
      <c r="BU439" s="450"/>
      <c r="BV439" s="450"/>
      <c r="BW439" s="450"/>
      <c r="BX439" s="450"/>
      <c r="BY439" s="450"/>
      <c r="BZ439" s="450"/>
      <c r="CA439" s="450">
        <f>COUNTIF(AI439:AW439,"*OK*")</f>
        <v>2</v>
      </c>
      <c r="CB439" s="450"/>
      <c r="CC439" s="450">
        <f>COUNTIF(AI439:AW439,"*OP*")</f>
        <v>0</v>
      </c>
    </row>
    <row r="440" spans="1:81" ht="15" customHeight="1">
      <c r="A440" s="449">
        <v>3455</v>
      </c>
      <c r="B440" s="450"/>
      <c r="C440" s="451">
        <f>T440</f>
        <v>866</v>
      </c>
      <c r="D440" s="450">
        <f>COUNTIF(AI440:AW440,"*OK*")</f>
        <v>1</v>
      </c>
      <c r="E440" s="450"/>
      <c r="F440" s="453" t="s">
        <v>1216</v>
      </c>
      <c r="G440" s="601"/>
      <c r="H440" s="463"/>
      <c r="I440" s="629"/>
      <c r="J440" s="601"/>
      <c r="K440" s="647" t="s">
        <v>79</v>
      </c>
      <c r="L440" s="601" t="s">
        <v>442</v>
      </c>
      <c r="M440" s="601"/>
      <c r="N440" s="466" t="s">
        <v>103</v>
      </c>
      <c r="O440" s="643">
        <v>1056.67</v>
      </c>
      <c r="P440" s="643">
        <v>1055.71</v>
      </c>
      <c r="Q440" s="643">
        <v>1006.07</v>
      </c>
      <c r="R440" s="644">
        <v>883.72</v>
      </c>
      <c r="S440" s="459">
        <v>895.60540000000003</v>
      </c>
      <c r="T440" s="469">
        <v>866</v>
      </c>
      <c r="U440" s="645"/>
      <c r="V440" s="462">
        <v>400</v>
      </c>
      <c r="W440" s="463"/>
      <c r="X440" s="465" t="s">
        <v>1217</v>
      </c>
      <c r="Y440" s="465" t="s">
        <v>80</v>
      </c>
      <c r="Z440" s="466" t="s">
        <v>1218</v>
      </c>
      <c r="AA440" s="462" t="s">
        <v>59</v>
      </c>
      <c r="AB440" s="463" t="s">
        <v>92</v>
      </c>
      <c r="AC440" s="450"/>
      <c r="AD440" s="450" t="s">
        <v>1101</v>
      </c>
      <c r="AE440" s="450"/>
      <c r="AF440" s="450"/>
      <c r="AG440" s="450"/>
      <c r="AH440" s="496" t="s">
        <v>127</v>
      </c>
      <c r="AI440" s="467"/>
      <c r="AJ440" s="467"/>
      <c r="AK440" s="467"/>
      <c r="AL440" s="467"/>
      <c r="AM440" s="467"/>
      <c r="AN440" s="467"/>
      <c r="AO440" s="565" t="s">
        <v>111</v>
      </c>
      <c r="AP440" s="467"/>
      <c r="AQ440" s="467"/>
      <c r="AR440" s="467"/>
      <c r="AS440" s="467"/>
      <c r="AT440" s="467"/>
      <c r="AU440" s="467"/>
      <c r="AV440" s="467"/>
      <c r="AW440" s="467"/>
      <c r="AX440" s="467"/>
      <c r="AY440" s="486">
        <f>COUNTIF(AI440:AX440,"*OP*")</f>
        <v>0</v>
      </c>
      <c r="AZ440" s="499" t="s">
        <v>176</v>
      </c>
      <c r="BA440" s="450">
        <f>(COUNTIF(AI440:AK440,"*OK*")*3) + (COUNTIF(AL440:AN440,"*OK*")*2) + COUNTIF(AO440:AQ440,"*OK*")+COUNTIF(AZ440:AZ440,"SI")*0.5</f>
        <v>1</v>
      </c>
      <c r="BB440" s="450" t="str">
        <f>IF(BA440&lt;0.6,"Demasiado Riesgo",IF(BA440&lt;=5,"Riesgo Medio",IF(BA440&lt;=11,"Riesgo Bajo","Cliente Blindado")))</f>
        <v>Riesgo Medio</v>
      </c>
      <c r="BC440" s="450"/>
      <c r="BD440" s="450"/>
      <c r="BE440" s="450">
        <v>0</v>
      </c>
      <c r="BF440" s="450"/>
      <c r="BG440" s="450"/>
      <c r="BH440" s="450"/>
      <c r="BI440" s="450"/>
      <c r="BJ440" s="450"/>
      <c r="BK440" s="450"/>
      <c r="BL440" s="450"/>
      <c r="BM440" s="450"/>
      <c r="BN440" s="450"/>
      <c r="BO440" s="450"/>
      <c r="BP440" s="450"/>
      <c r="BQ440" s="450"/>
      <c r="BR440" s="450"/>
      <c r="BS440" s="450"/>
      <c r="BT440" s="450"/>
      <c r="BU440" s="450"/>
      <c r="BV440" s="450"/>
      <c r="BW440" s="450"/>
      <c r="BX440" s="450"/>
      <c r="BY440" s="450"/>
      <c r="BZ440" s="450"/>
      <c r="CA440" s="450">
        <f>COUNTIF(AI440:AW440,"*OK*")</f>
        <v>1</v>
      </c>
      <c r="CB440" s="450"/>
      <c r="CC440" s="450">
        <f>COUNTIF(AI440:AW440,"*OP*")</f>
        <v>0</v>
      </c>
    </row>
    <row r="441" spans="1:81" ht="15" customHeight="1">
      <c r="A441" s="470">
        <v>30597</v>
      </c>
      <c r="B441" s="471"/>
      <c r="C441" s="451">
        <f>T441</f>
        <v>899.49</v>
      </c>
      <c r="D441" s="471">
        <f>COUNTIF(AI441:AW441,"*OK*")</f>
        <v>3</v>
      </c>
      <c r="E441" s="636"/>
      <c r="F441" s="571" t="s">
        <v>1219</v>
      </c>
      <c r="G441" s="603"/>
      <c r="H441" s="481"/>
      <c r="I441" s="637"/>
      <c r="J441" s="603"/>
      <c r="K441" s="638" t="s">
        <v>79</v>
      </c>
      <c r="L441" s="603" t="s">
        <v>442</v>
      </c>
      <c r="M441" s="603"/>
      <c r="N441" s="484" t="s">
        <v>156</v>
      </c>
      <c r="O441" s="639">
        <v>1159.33</v>
      </c>
      <c r="P441" s="639">
        <v>932.08</v>
      </c>
      <c r="Q441" s="639">
        <v>914.69</v>
      </c>
      <c r="R441" s="640">
        <v>960.03</v>
      </c>
      <c r="S441" s="459">
        <v>932.9162</v>
      </c>
      <c r="T441" s="487">
        <v>899.49</v>
      </c>
      <c r="U441" s="641"/>
      <c r="V441" s="480">
        <v>350</v>
      </c>
      <c r="W441" s="481"/>
      <c r="X441" s="483" t="s">
        <v>251</v>
      </c>
      <c r="Y441" s="483" t="s">
        <v>80</v>
      </c>
      <c r="Z441" s="484" t="s">
        <v>1220</v>
      </c>
      <c r="AA441" s="480" t="s">
        <v>71</v>
      </c>
      <c r="AB441" s="481" t="s">
        <v>92</v>
      </c>
      <c r="AC441" s="471"/>
      <c r="AD441" s="471" t="s">
        <v>1101</v>
      </c>
      <c r="AE441" s="471"/>
      <c r="AF441" s="471"/>
      <c r="AG441" s="471"/>
      <c r="AH441" s="494" t="s">
        <v>127</v>
      </c>
      <c r="AI441" s="467"/>
      <c r="AJ441" s="467"/>
      <c r="AK441" s="565" t="s">
        <v>111</v>
      </c>
      <c r="AL441" s="467" t="s">
        <v>59</v>
      </c>
      <c r="AM441" s="565" t="s">
        <v>111</v>
      </c>
      <c r="AN441" s="467"/>
      <c r="AO441" s="467"/>
      <c r="AP441" s="565" t="s">
        <v>111</v>
      </c>
      <c r="AQ441" s="467"/>
      <c r="AR441" s="467"/>
      <c r="AS441" s="467"/>
      <c r="AT441" s="467"/>
      <c r="AU441" s="467"/>
      <c r="AV441" s="467"/>
      <c r="AW441" s="467"/>
      <c r="AX441" s="467"/>
      <c r="AY441" s="486">
        <f>COUNTIF(AI441:AX441,"*OP*")</f>
        <v>0</v>
      </c>
      <c r="AZ441" s="485" t="s">
        <v>176</v>
      </c>
      <c r="BA441" s="471">
        <f>(COUNTIF(AI441:AK441,"*OK*")*3) + (COUNTIF(AL441:AN441,"*OK*")*2) + COUNTIF(AO441:AQ441,"*OK*")+COUNTIF(AZ441:AZ441,"SI")*0.5</f>
        <v>6</v>
      </c>
      <c r="BB441" s="471" t="str">
        <f>IF(BA441&lt;0.6,"Demasiado Riesgo",IF(BA441&lt;=5,"Riesgo Medio",IF(BA441&lt;=11,"Riesgo Bajo","Cliente Blindado")))</f>
        <v>Riesgo Bajo</v>
      </c>
      <c r="BC441" s="471"/>
      <c r="BD441" s="471"/>
      <c r="BE441" s="471">
        <v>0</v>
      </c>
      <c r="BF441" s="471"/>
      <c r="BG441" s="471"/>
      <c r="BH441" s="471"/>
      <c r="BI441" s="471"/>
      <c r="BJ441" s="471"/>
      <c r="BK441" s="471"/>
      <c r="BL441" s="471"/>
      <c r="BM441" s="471"/>
      <c r="BN441" s="471"/>
      <c r="BO441" s="471"/>
      <c r="BP441" s="471"/>
      <c r="BQ441" s="471"/>
      <c r="BR441" s="471"/>
      <c r="BS441" s="471"/>
      <c r="BT441" s="471"/>
      <c r="BU441" s="471"/>
      <c r="BV441" s="471"/>
      <c r="BW441" s="471"/>
      <c r="BX441" s="471"/>
      <c r="BY441" s="471"/>
      <c r="BZ441" s="471"/>
      <c r="CA441" s="471">
        <f>COUNTIF(AI441:AW441,"*OK*")</f>
        <v>3</v>
      </c>
      <c r="CB441" s="471"/>
      <c r="CC441" s="471">
        <f>COUNTIF(AI441:AW441,"*OP*")</f>
        <v>0</v>
      </c>
    </row>
    <row r="442" spans="1:81" ht="15" customHeight="1">
      <c r="A442" s="470">
        <v>5901</v>
      </c>
      <c r="B442" s="471"/>
      <c r="C442" s="451">
        <f>T442</f>
        <v>918.77</v>
      </c>
      <c r="D442" s="471">
        <f>COUNTIF(AI442:AW442,"*OK*")</f>
        <v>1</v>
      </c>
      <c r="E442" s="636"/>
      <c r="F442" s="473" t="s">
        <v>1221</v>
      </c>
      <c r="G442" s="603" t="s">
        <v>1222</v>
      </c>
      <c r="H442" s="481"/>
      <c r="I442" s="637"/>
      <c r="J442" s="603"/>
      <c r="K442" s="638" t="s">
        <v>79</v>
      </c>
      <c r="L442" s="603" t="s">
        <v>442</v>
      </c>
      <c r="M442" s="603"/>
      <c r="N442" s="484" t="s">
        <v>65</v>
      </c>
      <c r="O442" s="639">
        <v>148</v>
      </c>
      <c r="P442" s="639">
        <v>166.96</v>
      </c>
      <c r="Q442" s="639">
        <v>153.58000000000001</v>
      </c>
      <c r="R442" s="640">
        <v>158.53</v>
      </c>
      <c r="S442" s="459">
        <v>156.79069999999999</v>
      </c>
      <c r="T442" s="490">
        <v>918.77</v>
      </c>
      <c r="U442" s="641"/>
      <c r="V442" s="480">
        <v>300</v>
      </c>
      <c r="W442" s="481"/>
      <c r="X442" s="482" t="s">
        <v>70</v>
      </c>
      <c r="Y442" s="483" t="s">
        <v>80</v>
      </c>
      <c r="Z442" s="484" t="s">
        <v>1223</v>
      </c>
      <c r="AA442" s="480" t="s">
        <v>59</v>
      </c>
      <c r="AB442" s="481" t="s">
        <v>97</v>
      </c>
      <c r="AC442" s="471"/>
      <c r="AD442" s="471" t="s">
        <v>1101</v>
      </c>
      <c r="AE442" s="471"/>
      <c r="AF442" s="471"/>
      <c r="AG442" s="471"/>
      <c r="AH442" s="494"/>
      <c r="AI442" s="467"/>
      <c r="AJ442" s="467"/>
      <c r="AK442" s="467" t="s">
        <v>1224</v>
      </c>
      <c r="AL442" s="467"/>
      <c r="AM442" s="467"/>
      <c r="AN442" s="467"/>
      <c r="AO442" s="467" t="s">
        <v>1225</v>
      </c>
      <c r="AP442" s="467"/>
      <c r="AQ442" s="467"/>
      <c r="AR442" s="467"/>
      <c r="AS442" s="467"/>
      <c r="AT442" s="467"/>
      <c r="AU442" s="467"/>
      <c r="AV442" s="467"/>
      <c r="AW442" s="467"/>
      <c r="AX442" s="467" t="s">
        <v>650</v>
      </c>
      <c r="AY442" s="486">
        <f>COUNTIF(AI442:AX442,"*OP*")</f>
        <v>2</v>
      </c>
      <c r="AZ442" s="485" t="s">
        <v>59</v>
      </c>
      <c r="BA442" s="471">
        <f>(COUNTIF(AI442:AK442,"*OK*")*3) + (COUNTIF(AL442:AN442,"*OK*")*2) + COUNTIF(AO442:AQ442,"*OK*")+COUNTIF(AZ442:AZ442,"SI")*0.5</f>
        <v>1</v>
      </c>
      <c r="BB442" s="471" t="str">
        <f>IF(BA442&lt;0.6,"Demasiado Riesgo",IF(BA442&lt;=5,"Riesgo Medio",IF(BA442&lt;=11,"Riesgo Bajo","Cliente Blindado")))</f>
        <v>Riesgo Medio</v>
      </c>
      <c r="BC442" s="471"/>
      <c r="BD442" s="471"/>
      <c r="BE442" s="471">
        <v>0</v>
      </c>
      <c r="BF442" s="471"/>
      <c r="BG442" s="471"/>
      <c r="BH442" s="471"/>
      <c r="BI442" s="471"/>
      <c r="BJ442" s="471"/>
      <c r="BK442" s="471"/>
      <c r="BL442" s="471"/>
      <c r="BM442" s="471"/>
      <c r="BN442" s="471"/>
      <c r="BO442" s="471"/>
      <c r="BP442" s="471"/>
      <c r="BQ442" s="471"/>
      <c r="BR442" s="471"/>
      <c r="BS442" s="471"/>
      <c r="BT442" s="471"/>
      <c r="BU442" s="471"/>
      <c r="BV442" s="471"/>
      <c r="BW442" s="471"/>
      <c r="BX442" s="471"/>
      <c r="BY442" s="471"/>
      <c r="BZ442" s="471"/>
      <c r="CA442" s="471">
        <f>COUNTIF(AI442:AW442,"*OK*")</f>
        <v>1</v>
      </c>
      <c r="CB442" s="471"/>
      <c r="CC442" s="471">
        <f>COUNTIF(AI442:AW442,"*OP*")</f>
        <v>1</v>
      </c>
    </row>
    <row r="443" spans="1:81" ht="15" customHeight="1">
      <c r="A443" s="470">
        <v>33849</v>
      </c>
      <c r="B443" s="471"/>
      <c r="C443" s="451">
        <f>T443</f>
        <v>959.68</v>
      </c>
      <c r="D443" s="471">
        <f>COUNTIF(AI443:AW443,"*OK*")</f>
        <v>0</v>
      </c>
      <c r="E443" s="636"/>
      <c r="F443" s="646" t="s">
        <v>1226</v>
      </c>
      <c r="G443" s="603"/>
      <c r="H443" s="474"/>
      <c r="I443" s="604"/>
      <c r="J443" s="603"/>
      <c r="K443" s="648" t="s">
        <v>79</v>
      </c>
      <c r="L443" s="603" t="s">
        <v>442</v>
      </c>
      <c r="M443" s="603"/>
      <c r="N443" s="484" t="s">
        <v>65</v>
      </c>
      <c r="O443" s="639"/>
      <c r="P443" s="639"/>
      <c r="Q443" s="639">
        <v>834.64</v>
      </c>
      <c r="R443" s="640">
        <v>1128</v>
      </c>
      <c r="S443" s="459">
        <v>916.30700000000002</v>
      </c>
      <c r="T443" s="490">
        <v>959.68</v>
      </c>
      <c r="U443" s="641">
        <v>2244</v>
      </c>
      <c r="V443" s="480">
        <v>5500</v>
      </c>
      <c r="W443" s="481"/>
      <c r="X443" s="483" t="s">
        <v>70</v>
      </c>
      <c r="Y443" s="483" t="s">
        <v>360</v>
      </c>
      <c r="Z443" s="484" t="s">
        <v>1227</v>
      </c>
      <c r="AA443" s="480" t="s">
        <v>362</v>
      </c>
      <c r="AB443" s="474" t="s">
        <v>84</v>
      </c>
      <c r="AC443" s="471"/>
      <c r="AD443" s="471" t="s">
        <v>1175</v>
      </c>
      <c r="AE443" s="471"/>
      <c r="AF443" s="471"/>
      <c r="AG443" s="471"/>
      <c r="AH443" s="494" t="s">
        <v>59</v>
      </c>
      <c r="AI443" s="467"/>
      <c r="AJ443" s="467"/>
      <c r="AK443" s="467"/>
      <c r="AL443" s="467"/>
      <c r="AM443" s="467"/>
      <c r="AN443" s="467"/>
      <c r="AO443" s="467"/>
      <c r="AP443" s="467"/>
      <c r="AQ443" s="467"/>
      <c r="AR443" s="467"/>
      <c r="AS443" s="467"/>
      <c r="AT443" s="467"/>
      <c r="AU443" s="467"/>
      <c r="AV443" s="467"/>
      <c r="AW443" s="467"/>
      <c r="AX443" s="467"/>
      <c r="AY443" s="486">
        <f>COUNTIF(AI443:AX443,"*OP*")</f>
        <v>0</v>
      </c>
      <c r="AZ443" s="485" t="s">
        <v>59</v>
      </c>
      <c r="BA443" s="471">
        <f>(COUNTIF(AI443:AK443,"*OK*")*3) + (COUNTIF(AL443:AN443,"*OK*")*2) + COUNTIF(AO443:AQ443,"*OK*")+COUNTIF(AZ443:AZ443,"SI")*0.5</f>
        <v>0</v>
      </c>
      <c r="BB443" s="471" t="str">
        <f>IF(BA443&lt;0.6,"Demasiado Riesgo",IF(BA443&lt;=5,"Riesgo Medio",IF(BA443&lt;=11,"Riesgo Bajo","Cliente Blindado")))</f>
        <v>Demasiado Riesgo</v>
      </c>
      <c r="BC443" s="471"/>
      <c r="BD443" s="471"/>
      <c r="BE443" s="471">
        <v>0</v>
      </c>
      <c r="BF443" s="471"/>
      <c r="BG443" s="471"/>
      <c r="BH443" s="471"/>
      <c r="BI443" s="471"/>
      <c r="BJ443" s="471"/>
      <c r="BK443" s="471"/>
      <c r="BL443" s="471"/>
      <c r="BM443" s="471"/>
      <c r="BN443" s="471"/>
      <c r="BO443" s="471"/>
      <c r="BP443" s="471"/>
      <c r="BQ443" s="471"/>
      <c r="BR443" s="471"/>
      <c r="BS443" s="471"/>
      <c r="BT443" s="471"/>
      <c r="BU443" s="471"/>
      <c r="BV443" s="471"/>
      <c r="BW443" s="471"/>
      <c r="BX443" s="471"/>
      <c r="BY443" s="471"/>
      <c r="BZ443" s="471"/>
      <c r="CA443" s="471">
        <f>COUNTIF(AI443:AW443,"*OK*")</f>
        <v>0</v>
      </c>
      <c r="CB443" s="471"/>
      <c r="CC443" s="471">
        <f>COUNTIF(AI443:AW443,"*OP*")</f>
        <v>0</v>
      </c>
    </row>
    <row r="444" spans="1:81" ht="15" customHeight="1">
      <c r="A444" s="449"/>
      <c r="B444" s="450"/>
      <c r="C444" s="451">
        <f>T444</f>
        <v>1007.91</v>
      </c>
      <c r="D444" s="450">
        <f>COUNTIF(AM444:AX444,"OK")</f>
        <v>0</v>
      </c>
      <c r="E444" s="625"/>
      <c r="F444" s="450" t="s">
        <v>1228</v>
      </c>
      <c r="G444" s="625"/>
      <c r="H444" s="454"/>
      <c r="I444" s="602"/>
      <c r="J444" s="625"/>
      <c r="K444" s="649" t="s">
        <v>1031</v>
      </c>
      <c r="L444" s="625" t="s">
        <v>442</v>
      </c>
      <c r="M444" s="625"/>
      <c r="N444" s="466"/>
      <c r="O444" s="643"/>
      <c r="P444" s="643"/>
      <c r="Q444" s="643"/>
      <c r="R444" s="644"/>
      <c r="S444" s="459">
        <v>1019.0818</v>
      </c>
      <c r="T444" s="547">
        <v>1007.91</v>
      </c>
      <c r="U444" s="645"/>
      <c r="V444" s="462" t="s">
        <v>59</v>
      </c>
      <c r="W444" s="450"/>
      <c r="X444" s="465"/>
      <c r="Y444" s="465"/>
      <c r="Z444" s="466"/>
      <c r="AA444" s="496" t="s">
        <v>59</v>
      </c>
      <c r="AB444" s="454"/>
      <c r="AC444" s="450"/>
      <c r="AD444" s="450"/>
      <c r="AE444" s="450"/>
      <c r="AF444" s="450"/>
      <c r="AG444" s="450"/>
      <c r="AH444" s="496"/>
      <c r="AI444" s="467"/>
      <c r="AJ444" s="467"/>
      <c r="AK444" s="467"/>
      <c r="AL444" s="467"/>
      <c r="AM444" s="467"/>
      <c r="AN444" s="467"/>
      <c r="AO444" s="467"/>
      <c r="AP444" s="467"/>
      <c r="AQ444" s="467"/>
      <c r="AR444" s="467"/>
      <c r="AS444" s="467"/>
      <c r="AT444" s="467"/>
      <c r="AU444" s="467"/>
      <c r="AV444" s="467"/>
      <c r="AW444" s="467"/>
      <c r="AX444" s="467"/>
      <c r="AY444" s="486">
        <f>COUNTIF(AI444:AX444,"*OP*")</f>
        <v>0</v>
      </c>
      <c r="AZ444" s="499" t="s">
        <v>59</v>
      </c>
      <c r="BA444" s="450">
        <f>(COUNTIF(AI444:AK444,"*OK*")*3) + (COUNTIF(AL444:AN444,"*OK*")*2) + COUNTIF(AO444:AQ444,"*OK*")+COUNTIF(AZ444:AZ444,"SI")*0.5</f>
        <v>0</v>
      </c>
      <c r="BB444" s="450" t="str">
        <f>IF(BA444&lt;0.6,"Demasiado Riesgo",IF(BA444&lt;=5,"Riesgo Medio",IF(BA444&lt;=11,"Riesgo Bajo","Cliente Blindado")))</f>
        <v>Demasiado Riesgo</v>
      </c>
      <c r="BC444" s="450"/>
      <c r="BD444" s="450"/>
      <c r="BE444" s="450"/>
      <c r="BF444" s="450"/>
      <c r="BG444" s="450"/>
      <c r="BH444" s="450"/>
      <c r="BI444" s="450"/>
      <c r="BJ444" s="450"/>
      <c r="BK444" s="450"/>
      <c r="BL444" s="450"/>
      <c r="BM444" s="450"/>
      <c r="BN444" s="450"/>
      <c r="BO444" s="450"/>
      <c r="BP444" s="450"/>
      <c r="BQ444" s="450"/>
      <c r="BR444" s="450"/>
      <c r="BS444" s="450"/>
      <c r="BT444" s="450"/>
      <c r="BU444" s="450"/>
      <c r="BV444" s="450"/>
      <c r="BW444" s="450"/>
      <c r="BX444" s="450"/>
      <c r="BY444" s="450"/>
      <c r="BZ444" s="450"/>
      <c r="CA444" s="450">
        <f>COUNTIF(AI444:AW444,"*OK*")</f>
        <v>0</v>
      </c>
      <c r="CB444" s="450"/>
      <c r="CC444" s="450">
        <f>COUNTIF(AI444:AW444,"*OP*")</f>
        <v>0</v>
      </c>
    </row>
    <row r="445" spans="1:81" ht="15" customHeight="1">
      <c r="A445" s="470">
        <v>20569</v>
      </c>
      <c r="B445" s="471"/>
      <c r="C445" s="451">
        <f>T445</f>
        <v>1100.1199999999999</v>
      </c>
      <c r="D445" s="471">
        <f>COUNTIF(AI445:AW445,"*OK*")</f>
        <v>3</v>
      </c>
      <c r="E445" s="471"/>
      <c r="F445" s="571" t="s">
        <v>1229</v>
      </c>
      <c r="G445" s="603"/>
      <c r="H445" s="481"/>
      <c r="I445" s="637"/>
      <c r="J445" s="603"/>
      <c r="K445" s="638" t="s">
        <v>79</v>
      </c>
      <c r="L445" s="603" t="s">
        <v>442</v>
      </c>
      <c r="M445" s="603"/>
      <c r="N445" s="484" t="s">
        <v>174</v>
      </c>
      <c r="O445" s="639">
        <v>1389.15</v>
      </c>
      <c r="P445" s="639">
        <v>1273.6600000000001</v>
      </c>
      <c r="Q445" s="639">
        <v>1165.78</v>
      </c>
      <c r="R445" s="640">
        <v>1134.58</v>
      </c>
      <c r="S445" s="459">
        <v>1148.6219000000001</v>
      </c>
      <c r="T445" s="487">
        <v>1100.1199999999999</v>
      </c>
      <c r="U445" s="641"/>
      <c r="V445" s="480">
        <v>800</v>
      </c>
      <c r="W445" s="481"/>
      <c r="X445" s="483" t="s">
        <v>70</v>
      </c>
      <c r="Y445" s="483" t="s">
        <v>150</v>
      </c>
      <c r="Z445" s="484" t="s">
        <v>1230</v>
      </c>
      <c r="AA445" s="480" t="s">
        <v>59</v>
      </c>
      <c r="AB445" s="481" t="s">
        <v>92</v>
      </c>
      <c r="AC445" s="471"/>
      <c r="AD445" s="471" t="s">
        <v>1101</v>
      </c>
      <c r="AE445" s="471"/>
      <c r="AF445" s="471"/>
      <c r="AG445" s="471"/>
      <c r="AH445" s="494" t="s">
        <v>127</v>
      </c>
      <c r="AI445" s="467"/>
      <c r="AJ445" s="467"/>
      <c r="AK445" s="565" t="s">
        <v>111</v>
      </c>
      <c r="AL445" s="467"/>
      <c r="AM445" s="467"/>
      <c r="AN445" s="467"/>
      <c r="AO445" s="565" t="s">
        <v>111</v>
      </c>
      <c r="AP445" s="565" t="s">
        <v>111</v>
      </c>
      <c r="AQ445" s="467"/>
      <c r="AR445" s="467"/>
      <c r="AS445" s="467"/>
      <c r="AT445" s="467"/>
      <c r="AU445" s="467"/>
      <c r="AV445" s="467"/>
      <c r="AW445" s="467"/>
      <c r="AX445" s="467"/>
      <c r="AY445" s="486">
        <f>COUNTIF(AI445:AX445,"*OP*")</f>
        <v>0</v>
      </c>
      <c r="AZ445" s="485" t="s">
        <v>176</v>
      </c>
      <c r="BA445" s="471">
        <f>(COUNTIF(AI445:AK445,"*OK*")*3) + (COUNTIF(AL445:AN445,"*OK*")*2) + COUNTIF(AO445:AQ445,"*OK*")+COUNTIF(AZ445:AZ445,"SI")*0.5</f>
        <v>5</v>
      </c>
      <c r="BB445" s="471" t="str">
        <f>IF(BA445&lt;0.6,"Demasiado Riesgo",IF(BA445&lt;=5,"Riesgo Medio",IF(BA445&lt;=11,"Riesgo Bajo","Cliente Blindado")))</f>
        <v>Riesgo Medio</v>
      </c>
      <c r="BC445" s="471"/>
      <c r="BD445" s="471"/>
      <c r="BE445" s="471">
        <v>0</v>
      </c>
      <c r="BF445" s="471"/>
      <c r="BG445" s="471"/>
      <c r="BH445" s="471"/>
      <c r="BI445" s="471"/>
      <c r="BJ445" s="471"/>
      <c r="BK445" s="471"/>
      <c r="BL445" s="471"/>
      <c r="BM445" s="471"/>
      <c r="BN445" s="471"/>
      <c r="BO445" s="471"/>
      <c r="BP445" s="471"/>
      <c r="BQ445" s="471"/>
      <c r="BR445" s="471"/>
      <c r="BS445" s="471"/>
      <c r="BT445" s="471"/>
      <c r="BU445" s="471"/>
      <c r="BV445" s="471"/>
      <c r="BW445" s="471"/>
      <c r="BX445" s="471"/>
      <c r="BY445" s="471"/>
      <c r="BZ445" s="471"/>
      <c r="CA445" s="471">
        <f>COUNTIF(AI445:AW445,"*OK*")</f>
        <v>3</v>
      </c>
      <c r="CB445" s="471"/>
      <c r="CC445" s="471">
        <f>COUNTIF(AI445:AW445,"*OP*")</f>
        <v>0</v>
      </c>
    </row>
    <row r="446" spans="1:81" ht="15" customHeight="1">
      <c r="A446" s="488">
        <v>26664</v>
      </c>
      <c r="B446" s="489"/>
      <c r="C446" s="451">
        <f>T446</f>
        <v>1154.47</v>
      </c>
      <c r="D446" s="450">
        <f>COUNTIF(AI446:AW446,"*OK*")</f>
        <v>1</v>
      </c>
      <c r="E446" s="450"/>
      <c r="F446" s="453" t="s">
        <v>1231</v>
      </c>
      <c r="G446" s="601"/>
      <c r="H446" s="463"/>
      <c r="I446" s="629"/>
      <c r="J446" s="601"/>
      <c r="K446" s="647" t="s">
        <v>79</v>
      </c>
      <c r="L446" s="601" t="s">
        <v>442</v>
      </c>
      <c r="M446" s="601"/>
      <c r="N446" s="466" t="s">
        <v>65</v>
      </c>
      <c r="O446" s="643">
        <v>1092.5</v>
      </c>
      <c r="P446" s="643">
        <v>1104.54</v>
      </c>
      <c r="Q446" s="643">
        <v>1079.95</v>
      </c>
      <c r="R446" s="644">
        <v>1118.99</v>
      </c>
      <c r="S446" s="459">
        <v>1158.5989</v>
      </c>
      <c r="T446" s="469">
        <v>1154.47</v>
      </c>
      <c r="U446" s="645"/>
      <c r="V446" s="462">
        <v>200</v>
      </c>
      <c r="W446" s="463"/>
      <c r="X446" s="465" t="s">
        <v>70</v>
      </c>
      <c r="Y446" s="465" t="s">
        <v>241</v>
      </c>
      <c r="Z446" s="466" t="s">
        <v>1232</v>
      </c>
      <c r="AA446" s="462" t="s">
        <v>59</v>
      </c>
      <c r="AB446" s="463" t="s">
        <v>92</v>
      </c>
      <c r="AC446" s="450"/>
      <c r="AD446" s="450" t="s">
        <v>1114</v>
      </c>
      <c r="AE446" s="450"/>
      <c r="AF446" s="450"/>
      <c r="AG446" s="450"/>
      <c r="AH446" s="496" t="s">
        <v>127</v>
      </c>
      <c r="AI446" s="467"/>
      <c r="AJ446" s="467"/>
      <c r="AK446" s="467"/>
      <c r="AL446" s="467" t="s">
        <v>171</v>
      </c>
      <c r="AM446" s="467" t="s">
        <v>1233</v>
      </c>
      <c r="AN446" s="467"/>
      <c r="AO446" s="565" t="s">
        <v>111</v>
      </c>
      <c r="AP446" s="467"/>
      <c r="AQ446" s="467"/>
      <c r="AR446" s="467"/>
      <c r="AS446" s="467"/>
      <c r="AT446" s="467"/>
      <c r="AU446" s="467"/>
      <c r="AV446" s="467"/>
      <c r="AW446" s="467"/>
      <c r="AX446" s="467"/>
      <c r="AY446" s="486">
        <f>COUNTIF(AI446:AX446,"*OP*")</f>
        <v>2</v>
      </c>
      <c r="AZ446" s="499" t="s">
        <v>176</v>
      </c>
      <c r="BA446" s="450">
        <f>(COUNTIF(AI446:AK446,"*OK*")*3) + (COUNTIF(AL446:AN446,"*OK*")*2) + COUNTIF(AO446:AQ446,"*OK*")+COUNTIF(AZ446:AZ446,"SI")*0.5</f>
        <v>1</v>
      </c>
      <c r="BB446" s="450" t="str">
        <f>IF(BA446&lt;0.6,"Demasiado Riesgo",IF(BA446&lt;=5,"Riesgo Medio",IF(BA446&lt;=11,"Riesgo Bajo","Cliente Blindado")))</f>
        <v>Riesgo Medio</v>
      </c>
      <c r="BC446" s="450"/>
      <c r="BD446" s="450"/>
      <c r="BE446" s="450">
        <v>0</v>
      </c>
      <c r="BF446" s="450"/>
      <c r="BG446" s="450"/>
      <c r="BH446" s="450"/>
      <c r="BI446" s="450"/>
      <c r="BJ446" s="450"/>
      <c r="BK446" s="450"/>
      <c r="BL446" s="450"/>
      <c r="BM446" s="450"/>
      <c r="BN446" s="450"/>
      <c r="BO446" s="450"/>
      <c r="BP446" s="450"/>
      <c r="BQ446" s="450"/>
      <c r="BR446" s="450"/>
      <c r="BS446" s="450"/>
      <c r="BT446" s="450"/>
      <c r="BU446" s="450"/>
      <c r="BV446" s="450"/>
      <c r="BW446" s="450"/>
      <c r="BX446" s="450"/>
      <c r="BY446" s="450"/>
      <c r="BZ446" s="450"/>
      <c r="CA446" s="450">
        <f>COUNTIF(AI446:AW446,"*OK*")</f>
        <v>1</v>
      </c>
      <c r="CB446" s="450"/>
      <c r="CC446" s="450">
        <f>COUNTIF(AI446:AW446,"*OP*")</f>
        <v>2</v>
      </c>
    </row>
    <row r="447" spans="1:81" ht="15" customHeight="1">
      <c r="A447" s="488">
        <v>20103</v>
      </c>
      <c r="B447" s="489"/>
      <c r="C447" s="451">
        <f>T447</f>
        <v>1174.4100000000001</v>
      </c>
      <c r="D447" s="450">
        <f>COUNTIF(AI447:AW447,"*OK*")</f>
        <v>0</v>
      </c>
      <c r="E447" s="450"/>
      <c r="F447" s="576" t="s">
        <v>1234</v>
      </c>
      <c r="G447" s="601"/>
      <c r="H447" s="463" t="s">
        <v>1235</v>
      </c>
      <c r="I447" s="629"/>
      <c r="J447" s="601"/>
      <c r="K447" s="647" t="s">
        <v>79</v>
      </c>
      <c r="L447" s="601" t="s">
        <v>442</v>
      </c>
      <c r="M447" s="601"/>
      <c r="N447" s="466" t="s">
        <v>65</v>
      </c>
      <c r="O447" s="643">
        <v>1299.95</v>
      </c>
      <c r="P447" s="643">
        <v>1216.24</v>
      </c>
      <c r="Q447" s="643">
        <v>1172.74</v>
      </c>
      <c r="R447" s="644">
        <v>1203.43</v>
      </c>
      <c r="S447" s="459">
        <v>1183.857</v>
      </c>
      <c r="T447" s="469">
        <v>1174.4100000000001</v>
      </c>
      <c r="U447" s="645"/>
      <c r="V447" s="462">
        <v>600</v>
      </c>
      <c r="W447" s="463"/>
      <c r="X447" s="465" t="s">
        <v>70</v>
      </c>
      <c r="Y447" s="465" t="s">
        <v>89</v>
      </c>
      <c r="Z447" s="466" t="s">
        <v>1236</v>
      </c>
      <c r="AA447" s="462" t="s">
        <v>59</v>
      </c>
      <c r="AB447" s="463" t="s">
        <v>84</v>
      </c>
      <c r="AC447" s="450"/>
      <c r="AD447" s="450" t="s">
        <v>1101</v>
      </c>
      <c r="AE447" s="450"/>
      <c r="AF447" s="450"/>
      <c r="AG447" s="450"/>
      <c r="AH447" s="496" t="s">
        <v>59</v>
      </c>
      <c r="AI447" s="467"/>
      <c r="AJ447" s="467"/>
      <c r="AK447" s="467"/>
      <c r="AL447" s="467" t="s">
        <v>171</v>
      </c>
      <c r="AM447" s="467"/>
      <c r="AN447" s="467"/>
      <c r="AO447" s="467"/>
      <c r="AP447" s="467"/>
      <c r="AQ447" s="467"/>
      <c r="AR447" s="467"/>
      <c r="AS447" s="467"/>
      <c r="AT447" s="467"/>
      <c r="AU447" s="467"/>
      <c r="AV447" s="467"/>
      <c r="AW447" s="467"/>
      <c r="AX447" s="467"/>
      <c r="AY447" s="486">
        <f>COUNTIF(AI447:AX447,"*OP*")</f>
        <v>1</v>
      </c>
      <c r="AZ447" s="499" t="s">
        <v>59</v>
      </c>
      <c r="BA447" s="450">
        <f>(COUNTIF(AI447:AK447,"*OK*")*3) + (COUNTIF(AL447:AN447,"*OK*")*2) + COUNTIF(AO447:AQ447,"*OK*")+COUNTIF(AZ447:AZ447,"SI")*0.5</f>
        <v>0</v>
      </c>
      <c r="BB447" s="450" t="str">
        <f>IF(BA447&lt;0.6,"Demasiado Riesgo",IF(BA447&lt;=5,"Riesgo Medio",IF(BA447&lt;=11,"Riesgo Bajo","Cliente Blindado")))</f>
        <v>Demasiado Riesgo</v>
      </c>
      <c r="BC447" s="450"/>
      <c r="BD447" s="450"/>
      <c r="BE447" s="450">
        <v>0</v>
      </c>
      <c r="BF447" s="450"/>
      <c r="BG447" s="450"/>
      <c r="BH447" s="450"/>
      <c r="BI447" s="450"/>
      <c r="BJ447" s="450"/>
      <c r="BK447" s="450"/>
      <c r="BL447" s="450"/>
      <c r="BM447" s="450"/>
      <c r="BN447" s="450"/>
      <c r="BO447" s="450"/>
      <c r="BP447" s="450"/>
      <c r="BQ447" s="450"/>
      <c r="BR447" s="450"/>
      <c r="BS447" s="489"/>
      <c r="BT447" s="489"/>
      <c r="BU447" s="489"/>
      <c r="BV447" s="650"/>
      <c r="BW447" s="450"/>
      <c r="BX447" s="450"/>
      <c r="BY447" s="450"/>
      <c r="BZ447" s="450"/>
      <c r="CA447" s="450">
        <f>COUNTIF(AI447:AW447,"*OK*")</f>
        <v>0</v>
      </c>
      <c r="CB447" s="450"/>
      <c r="CC447" s="450">
        <f>COUNTIF(AI447:AW447,"*OP*")</f>
        <v>1</v>
      </c>
    </row>
    <row r="448" spans="1:81" ht="15" customHeight="1">
      <c r="A448" s="470"/>
      <c r="B448" s="471"/>
      <c r="C448" s="451">
        <f>T448</f>
        <v>1200.46</v>
      </c>
      <c r="D448" s="471">
        <f>COUNTIF(AI448:AW448,"*OK*")</f>
        <v>0</v>
      </c>
      <c r="E448" s="636"/>
      <c r="F448" s="646" t="s">
        <v>1237</v>
      </c>
      <c r="G448" s="603"/>
      <c r="H448" s="481"/>
      <c r="I448" s="637"/>
      <c r="J448" s="603"/>
      <c r="K448" s="638" t="s">
        <v>79</v>
      </c>
      <c r="L448" s="603" t="s">
        <v>442</v>
      </c>
      <c r="M448" s="603"/>
      <c r="N448" s="484" t="s">
        <v>65</v>
      </c>
      <c r="O448" s="639">
        <v>1227.06</v>
      </c>
      <c r="P448" s="639">
        <v>1269.21</v>
      </c>
      <c r="Q448" s="639">
        <v>1157.99</v>
      </c>
      <c r="R448" s="640">
        <v>1184.5999999999999</v>
      </c>
      <c r="S448" s="459">
        <v>1204.1803</v>
      </c>
      <c r="T448" s="490">
        <v>1200.46</v>
      </c>
      <c r="U448" s="641"/>
      <c r="V448" s="480">
        <v>4000</v>
      </c>
      <c r="W448" s="481"/>
      <c r="X448" s="483" t="s">
        <v>70</v>
      </c>
      <c r="Y448" s="483" t="s">
        <v>360</v>
      </c>
      <c r="Z448" s="484" t="s">
        <v>1238</v>
      </c>
      <c r="AA448" s="480" t="s">
        <v>59</v>
      </c>
      <c r="AB448" s="481" t="s">
        <v>97</v>
      </c>
      <c r="AC448" s="471"/>
      <c r="AD448" s="471" t="s">
        <v>1108</v>
      </c>
      <c r="AE448" s="471"/>
      <c r="AF448" s="471"/>
      <c r="AG448" s="471"/>
      <c r="AH448" s="494" t="s">
        <v>59</v>
      </c>
      <c r="AI448" s="467"/>
      <c r="AJ448" s="467"/>
      <c r="AK448" s="467"/>
      <c r="AL448" s="467"/>
      <c r="AM448" s="467"/>
      <c r="AN448" s="467"/>
      <c r="AO448" s="467"/>
      <c r="AP448" s="467"/>
      <c r="AQ448" s="467"/>
      <c r="AR448" s="467"/>
      <c r="AS448" s="467"/>
      <c r="AT448" s="467"/>
      <c r="AU448" s="467"/>
      <c r="AV448" s="467"/>
      <c r="AW448" s="467"/>
      <c r="AX448" s="467"/>
      <c r="AY448" s="486">
        <f>COUNTIF(AI448:AX448,"*OP*")</f>
        <v>0</v>
      </c>
      <c r="AZ448" s="485" t="s">
        <v>59</v>
      </c>
      <c r="BA448" s="471">
        <f>(COUNTIF(AI448:AK448,"*OK*")*3) + (COUNTIF(AL448:AN448,"*OK*")*2) + COUNTIF(AO448:AQ448,"*OK*")+COUNTIF(AZ448:AZ448,"SI")*0.5</f>
        <v>0</v>
      </c>
      <c r="BB448" s="471" t="str">
        <f>IF(BA448&lt;0.6,"Demasiado Riesgo",IF(BA448&lt;=5,"Riesgo Medio",IF(BA448&lt;=11,"Riesgo Bajo","Cliente Blindado")))</f>
        <v>Demasiado Riesgo</v>
      </c>
      <c r="BC448" s="471"/>
      <c r="BD448" s="471"/>
      <c r="BE448" s="471">
        <v>0</v>
      </c>
      <c r="BF448" s="471"/>
      <c r="BG448" s="471"/>
      <c r="BH448" s="471"/>
      <c r="BI448" s="471"/>
      <c r="BJ448" s="471"/>
      <c r="BK448" s="471"/>
      <c r="BL448" s="471"/>
      <c r="BM448" s="471"/>
      <c r="BN448" s="471"/>
      <c r="BO448" s="471"/>
      <c r="BP448" s="471"/>
      <c r="BQ448" s="471"/>
      <c r="BR448" s="471"/>
      <c r="BS448" s="471"/>
      <c r="BT448" s="471"/>
      <c r="BU448" s="471"/>
      <c r="BV448" s="471"/>
      <c r="BW448" s="471"/>
      <c r="BX448" s="471"/>
      <c r="BY448" s="471"/>
      <c r="BZ448" s="471"/>
      <c r="CA448" s="471">
        <f>COUNTIF(AI448:AW448,"*OK*")</f>
        <v>0</v>
      </c>
      <c r="CB448" s="471"/>
      <c r="CC448" s="471">
        <f>COUNTIF(AI448:AW448,"*OP*")</f>
        <v>0</v>
      </c>
    </row>
    <row r="449" spans="1:81" ht="15" customHeight="1">
      <c r="A449" s="470">
        <v>34962</v>
      </c>
      <c r="B449" s="471"/>
      <c r="C449" s="451">
        <f>T449</f>
        <v>1203.32</v>
      </c>
      <c r="D449" s="471">
        <f>COUNTIF(AI449:AW449,"*OK*")</f>
        <v>0</v>
      </c>
      <c r="E449" s="471"/>
      <c r="F449" s="472" t="s">
        <v>1239</v>
      </c>
      <c r="G449" s="603"/>
      <c r="H449" s="474"/>
      <c r="I449" s="604"/>
      <c r="J449" s="603"/>
      <c r="K449" s="648" t="s">
        <v>79</v>
      </c>
      <c r="L449" s="603" t="s">
        <v>442</v>
      </c>
      <c r="M449" s="603"/>
      <c r="N449" s="476" t="s">
        <v>156</v>
      </c>
      <c r="O449" s="639">
        <v>1148.48</v>
      </c>
      <c r="P449" s="639">
        <v>1220.45</v>
      </c>
      <c r="Q449" s="639">
        <v>1113.3599999999999</v>
      </c>
      <c r="R449" s="640">
        <v>1128.68</v>
      </c>
      <c r="S449" s="459">
        <v>1143.8672999999999</v>
      </c>
      <c r="T449" s="460">
        <v>1203.32</v>
      </c>
      <c r="U449" s="641"/>
      <c r="V449" s="480">
        <v>150</v>
      </c>
      <c r="W449" s="481"/>
      <c r="X449" s="483" t="s">
        <v>70</v>
      </c>
      <c r="Y449" s="483" t="s">
        <v>89</v>
      </c>
      <c r="Z449" s="484" t="s">
        <v>1240</v>
      </c>
      <c r="AA449" s="480" t="s">
        <v>59</v>
      </c>
      <c r="AB449" s="474"/>
      <c r="AC449" s="471"/>
      <c r="AD449" s="471"/>
      <c r="AE449" s="471"/>
      <c r="AF449" s="471"/>
      <c r="AG449" s="471"/>
      <c r="AH449" s="494" t="s">
        <v>59</v>
      </c>
      <c r="AI449" s="467"/>
      <c r="AJ449" s="467"/>
      <c r="AK449" s="467"/>
      <c r="AL449" s="467"/>
      <c r="AM449" s="467"/>
      <c r="AN449" s="467"/>
      <c r="AO449" s="467"/>
      <c r="AP449" s="467"/>
      <c r="AQ449" s="467"/>
      <c r="AR449" s="467"/>
      <c r="AS449" s="467"/>
      <c r="AT449" s="467"/>
      <c r="AU449" s="467"/>
      <c r="AV449" s="467"/>
      <c r="AW449" s="467"/>
      <c r="AX449" s="467"/>
      <c r="AY449" s="486">
        <f>COUNTIF(AI449:AX449,"*OP*")</f>
        <v>0</v>
      </c>
      <c r="AZ449" s="485" t="s">
        <v>59</v>
      </c>
      <c r="BA449" s="471">
        <f>(COUNTIF(AI449:AK449,"*OK*")*3) + (COUNTIF(AL449:AN449,"*OK*")*2) + COUNTIF(AO449:AQ449,"*OK*")+COUNTIF(AZ449:AZ449,"SI")*0.5</f>
        <v>0</v>
      </c>
      <c r="BB449" s="471" t="str">
        <f>IF(BA449&lt;0.6,"Demasiado Riesgo",IF(BA449&lt;=5,"Riesgo Medio",IF(BA449&lt;=11,"Riesgo Bajo","Cliente Blindado")))</f>
        <v>Demasiado Riesgo</v>
      </c>
      <c r="BC449" s="471"/>
      <c r="BD449" s="471"/>
      <c r="BE449" s="471">
        <v>0</v>
      </c>
      <c r="BF449" s="471"/>
      <c r="BG449" s="471"/>
      <c r="BH449" s="471"/>
      <c r="BI449" s="471"/>
      <c r="BJ449" s="471"/>
      <c r="BK449" s="471"/>
      <c r="BL449" s="471"/>
      <c r="BM449" s="471"/>
      <c r="BN449" s="471"/>
      <c r="BO449" s="471"/>
      <c r="BP449" s="471"/>
      <c r="BQ449" s="471"/>
      <c r="BR449" s="471"/>
      <c r="BS449" s="471"/>
      <c r="BT449" s="471"/>
      <c r="BU449" s="471"/>
      <c r="BV449" s="471"/>
      <c r="BW449" s="471"/>
      <c r="BX449" s="471"/>
      <c r="BY449" s="471"/>
      <c r="BZ449" s="471"/>
      <c r="CA449" s="471">
        <f>COUNTIF(AI449:AW449,"*OK*")</f>
        <v>0</v>
      </c>
      <c r="CB449" s="471"/>
      <c r="CC449" s="471">
        <f>COUNTIF(AI449:AW449,"*OP*")</f>
        <v>0</v>
      </c>
    </row>
    <row r="450" spans="1:81" ht="15" customHeight="1">
      <c r="A450" s="449"/>
      <c r="B450" s="450"/>
      <c r="C450" s="451">
        <f>T450</f>
        <v>1231.8900000000001</v>
      </c>
      <c r="D450" s="450">
        <f>COUNTIF(AI450:AW450,"*OK*")</f>
        <v>0</v>
      </c>
      <c r="E450" s="450" t="s">
        <v>1115</v>
      </c>
      <c r="F450" s="453" t="s">
        <v>1241</v>
      </c>
      <c r="G450" s="651" t="s">
        <v>1117</v>
      </c>
      <c r="H450" s="463" t="s">
        <v>1242</v>
      </c>
      <c r="I450" s="652"/>
      <c r="J450" s="651"/>
      <c r="K450" s="653" t="s">
        <v>79</v>
      </c>
      <c r="L450" s="651" t="s">
        <v>442</v>
      </c>
      <c r="M450" s="651"/>
      <c r="N450" s="466" t="s">
        <v>65</v>
      </c>
      <c r="O450" s="643" t="s">
        <v>1243</v>
      </c>
      <c r="P450" s="643">
        <v>1242.47</v>
      </c>
      <c r="Q450" s="643">
        <v>1190.68</v>
      </c>
      <c r="R450" s="644">
        <v>1226.73</v>
      </c>
      <c r="S450" s="459">
        <v>1233.9902</v>
      </c>
      <c r="T450" s="654">
        <v>1231.8900000000001</v>
      </c>
      <c r="U450" s="461"/>
      <c r="V450" s="462">
        <v>500</v>
      </c>
      <c r="W450" s="463"/>
      <c r="X450" s="465" t="s">
        <v>251</v>
      </c>
      <c r="Y450" s="465" t="s">
        <v>108</v>
      </c>
      <c r="Z450" s="466" t="s">
        <v>1122</v>
      </c>
      <c r="AA450" s="462" t="s">
        <v>59</v>
      </c>
      <c r="AB450" s="463" t="s">
        <v>92</v>
      </c>
      <c r="AC450" s="450"/>
      <c r="AD450" s="450" t="s">
        <v>1114</v>
      </c>
      <c r="AE450" s="450"/>
      <c r="AF450" s="450"/>
      <c r="AG450" s="450"/>
      <c r="AH450" s="496" t="s">
        <v>59</v>
      </c>
      <c r="AI450" s="467"/>
      <c r="AJ450" s="467"/>
      <c r="AK450" s="467"/>
      <c r="AL450" s="467"/>
      <c r="AM450" s="467"/>
      <c r="AN450" s="467"/>
      <c r="AO450" s="467"/>
      <c r="AP450" s="467"/>
      <c r="AQ450" s="467"/>
      <c r="AR450" s="467"/>
      <c r="AS450" s="467"/>
      <c r="AT450" s="467"/>
      <c r="AU450" s="467"/>
      <c r="AV450" s="467"/>
      <c r="AW450" s="467"/>
      <c r="AX450" s="467"/>
      <c r="AY450" s="486">
        <f>COUNTIF(AI450:AX450,"*OP*")</f>
        <v>0</v>
      </c>
      <c r="AZ450" s="499" t="s">
        <v>59</v>
      </c>
      <c r="BA450" s="450">
        <f>(COUNTIF(AI450:AK450,"*OK*")*3) + (COUNTIF(AL450:AN450,"*OK*")*2) + COUNTIF(AO450:AQ450,"*OK*")+COUNTIF(AZ450:AZ450,"SI")*0.5</f>
        <v>0</v>
      </c>
      <c r="BB450" s="450" t="str">
        <f>IF(BA450&lt;0.6,"Demasiado Riesgo",IF(BA450&lt;=5,"Riesgo Medio",IF(BA450&lt;=11,"Riesgo Bajo","Cliente Blindado")))</f>
        <v>Demasiado Riesgo</v>
      </c>
      <c r="BC450" s="450"/>
      <c r="BD450" s="450"/>
      <c r="BE450" s="450">
        <v>0</v>
      </c>
      <c r="BF450" s="450"/>
      <c r="BG450" s="450"/>
      <c r="BH450" s="450"/>
      <c r="BI450" s="450"/>
      <c r="BJ450" s="450"/>
      <c r="BK450" s="450"/>
      <c r="BL450" s="450"/>
      <c r="BM450" s="450"/>
      <c r="BN450" s="450"/>
      <c r="BO450" s="450"/>
      <c r="BP450" s="450"/>
      <c r="BQ450" s="450"/>
      <c r="BR450" s="450"/>
      <c r="BS450" s="450"/>
      <c r="BT450" s="450"/>
      <c r="BU450" s="450"/>
      <c r="BV450" s="450"/>
      <c r="BW450" s="450"/>
      <c r="BX450" s="450"/>
      <c r="BY450" s="450"/>
      <c r="BZ450" s="450"/>
      <c r="CA450" s="450">
        <f>COUNTIF(AI450:AW450,"*OK*")</f>
        <v>0</v>
      </c>
      <c r="CB450" s="450"/>
      <c r="CC450" s="450">
        <f>COUNTIF(AI450:AW450,"*OP*")</f>
        <v>0</v>
      </c>
    </row>
    <row r="451" spans="1:81" ht="15" customHeight="1">
      <c r="A451" s="449">
        <v>21150</v>
      </c>
      <c r="B451" s="450"/>
      <c r="C451" s="451">
        <f>T451</f>
        <v>1250</v>
      </c>
      <c r="D451" s="450">
        <f>COUNTIF(AI451:AW451,"*OK*")</f>
        <v>0</v>
      </c>
      <c r="E451" s="450"/>
      <c r="F451" s="587" t="s">
        <v>1244</v>
      </c>
      <c r="G451" s="453"/>
      <c r="H451" s="463" t="s">
        <v>1245</v>
      </c>
      <c r="I451" s="463"/>
      <c r="J451" s="453"/>
      <c r="K451" s="552" t="s">
        <v>79</v>
      </c>
      <c r="L451" s="453" t="s">
        <v>442</v>
      </c>
      <c r="M451" s="453"/>
      <c r="N451" s="466" t="s">
        <v>117</v>
      </c>
      <c r="O451" s="643">
        <v>1359.76</v>
      </c>
      <c r="P451" s="643">
        <v>1358.51</v>
      </c>
      <c r="Q451" s="643">
        <v>1294.6400000000001</v>
      </c>
      <c r="R451" s="644">
        <v>1336.32</v>
      </c>
      <c r="S451" s="459">
        <v>1288</v>
      </c>
      <c r="T451" s="655">
        <v>1250</v>
      </c>
      <c r="U451" s="461"/>
      <c r="V451" s="462">
        <v>300</v>
      </c>
      <c r="W451" s="463"/>
      <c r="X451" s="465" t="s">
        <v>70</v>
      </c>
      <c r="Y451" s="465" t="s">
        <v>80</v>
      </c>
      <c r="Z451" s="466" t="s">
        <v>1246</v>
      </c>
      <c r="AA451" s="462" t="s">
        <v>59</v>
      </c>
      <c r="AB451" s="463" t="s">
        <v>92</v>
      </c>
      <c r="AC451" s="450"/>
      <c r="AD451" s="450" t="s">
        <v>1101</v>
      </c>
      <c r="AE451" s="450"/>
      <c r="AF451" s="450"/>
      <c r="AG451" s="450"/>
      <c r="AH451" s="496" t="s">
        <v>59</v>
      </c>
      <c r="AI451" s="467"/>
      <c r="AJ451" s="467"/>
      <c r="AK451" s="467" t="s">
        <v>171</v>
      </c>
      <c r="AL451" s="467" t="s">
        <v>171</v>
      </c>
      <c r="AM451" s="467"/>
      <c r="AN451" s="467"/>
      <c r="AO451" s="467"/>
      <c r="AP451" s="467" t="s">
        <v>171</v>
      </c>
      <c r="AQ451" s="467"/>
      <c r="AR451" s="467"/>
      <c r="AS451" s="467"/>
      <c r="AT451" s="467"/>
      <c r="AU451" s="467"/>
      <c r="AV451" s="467"/>
      <c r="AW451" s="467"/>
      <c r="AX451" s="467"/>
      <c r="AY451" s="486">
        <f>COUNTIF(AI451:AX451,"*OP*")</f>
        <v>3</v>
      </c>
      <c r="AZ451" s="499" t="s">
        <v>59</v>
      </c>
      <c r="BA451" s="450">
        <f>(COUNTIF(AI451:AK451,"*OK*")*3) + (COUNTIF(AL451:AN451,"*OK*")*2) + COUNTIF(AO451:AQ451,"*OK*")+COUNTIF(AZ451:AZ451,"SI")*0.5</f>
        <v>0</v>
      </c>
      <c r="BB451" s="450" t="str">
        <f>IF(BA451&lt;0.6,"Demasiado Riesgo",IF(BA451&lt;=5,"Riesgo Medio",IF(BA451&lt;=11,"Riesgo Bajo","Cliente Blindado")))</f>
        <v>Demasiado Riesgo</v>
      </c>
      <c r="BC451" s="450"/>
      <c r="BD451" s="450"/>
      <c r="BE451" s="450">
        <v>0</v>
      </c>
      <c r="BF451" s="450"/>
      <c r="BG451" s="450"/>
      <c r="BH451" s="450"/>
      <c r="BI451" s="450"/>
      <c r="BJ451" s="450"/>
      <c r="BK451" s="450"/>
      <c r="BL451" s="450"/>
      <c r="BM451" s="450"/>
      <c r="BN451" s="450"/>
      <c r="BO451" s="450"/>
      <c r="BP451" s="450"/>
      <c r="BQ451" s="450"/>
      <c r="BR451" s="450"/>
      <c r="BS451" s="450"/>
      <c r="BT451" s="450"/>
      <c r="BU451" s="450"/>
      <c r="BV451" s="450"/>
      <c r="BW451" s="450"/>
      <c r="BX451" s="450"/>
      <c r="BY451" s="450"/>
      <c r="BZ451" s="450"/>
      <c r="CA451" s="450">
        <f>COUNTIF(AI451:AW451,"*OK*")</f>
        <v>0</v>
      </c>
      <c r="CB451" s="450"/>
      <c r="CC451" s="450">
        <f>COUNTIF(AI451:AW451,"*OP*")</f>
        <v>3</v>
      </c>
    </row>
    <row r="452" spans="1:81" ht="15" customHeight="1">
      <c r="A452" s="563"/>
      <c r="B452" s="536"/>
      <c r="C452" s="451">
        <f>T452</f>
        <v>1306.57</v>
      </c>
      <c r="D452" s="471">
        <f>COUNTIF(AI452:AW452,"*OK*")</f>
        <v>1</v>
      </c>
      <c r="E452" s="471"/>
      <c r="F452" s="472" t="s">
        <v>1247</v>
      </c>
      <c r="G452" s="473"/>
      <c r="H452" s="474"/>
      <c r="I452" s="474"/>
      <c r="J452" s="473"/>
      <c r="K452" s="473" t="s">
        <v>79</v>
      </c>
      <c r="L452" s="473" t="s">
        <v>442</v>
      </c>
      <c r="M452" s="473"/>
      <c r="N452" s="484" t="s">
        <v>169</v>
      </c>
      <c r="O452" s="639">
        <v>1262.51</v>
      </c>
      <c r="P452" s="639">
        <v>1310.1500000000001</v>
      </c>
      <c r="Q452" s="639">
        <v>1213.82</v>
      </c>
      <c r="R452" s="640">
        <v>1280.31</v>
      </c>
      <c r="S452" s="459">
        <v>1316.7761</v>
      </c>
      <c r="T452" s="656">
        <v>1306.57</v>
      </c>
      <c r="U452" s="479"/>
      <c r="V452" s="480">
        <v>400</v>
      </c>
      <c r="W452" s="481"/>
      <c r="X452" s="483" t="s">
        <v>70</v>
      </c>
      <c r="Y452" s="483" t="s">
        <v>233</v>
      </c>
      <c r="Z452" s="484" t="s">
        <v>1248</v>
      </c>
      <c r="AA452" s="480" t="s">
        <v>1249</v>
      </c>
      <c r="AB452" s="474" t="s">
        <v>84</v>
      </c>
      <c r="AC452" s="471"/>
      <c r="AD452" s="471"/>
      <c r="AE452" s="471"/>
      <c r="AF452" s="471"/>
      <c r="AG452" s="471"/>
      <c r="AH452" s="494" t="s">
        <v>59</v>
      </c>
      <c r="AI452" s="467"/>
      <c r="AJ452" s="467"/>
      <c r="AK452" s="467" t="s">
        <v>111</v>
      </c>
      <c r="AL452" s="467"/>
      <c r="AM452" s="467"/>
      <c r="AN452" s="467"/>
      <c r="AO452" s="467"/>
      <c r="AP452" s="467"/>
      <c r="AQ452" s="467"/>
      <c r="AR452" s="467"/>
      <c r="AS452" s="467"/>
      <c r="AT452" s="467"/>
      <c r="AU452" s="467"/>
      <c r="AV452" s="467"/>
      <c r="AW452" s="467"/>
      <c r="AX452" s="467"/>
      <c r="AY452" s="486">
        <f>COUNTIF(AI452:AX452,"*OP*")</f>
        <v>0</v>
      </c>
      <c r="AZ452" s="485" t="s">
        <v>59</v>
      </c>
      <c r="BA452" s="471">
        <f>(COUNTIF(AI452:AK452,"*OK*")*3) + (COUNTIF(AL452:AN452,"*OK*")*2) + COUNTIF(AO452:AQ452,"*OK*")+COUNTIF(AZ452:AZ452,"SI")*0.5</f>
        <v>3</v>
      </c>
      <c r="BB452" s="471" t="str">
        <f>IF(BA452&lt;0.6,"Demasiado Riesgo",IF(BA452&lt;=5,"Riesgo Medio",IF(BA452&lt;=11,"Riesgo Bajo","Cliente Blindado")))</f>
        <v>Riesgo Medio</v>
      </c>
      <c r="BC452" s="471"/>
      <c r="BD452" s="471"/>
      <c r="BE452" s="471">
        <v>0</v>
      </c>
      <c r="BF452" s="471"/>
      <c r="BG452" s="471"/>
      <c r="BH452" s="471"/>
      <c r="BI452" s="471"/>
      <c r="BJ452" s="471"/>
      <c r="BK452" s="471"/>
      <c r="BL452" s="471"/>
      <c r="BM452" s="471"/>
      <c r="BN452" s="471"/>
      <c r="BO452" s="471"/>
      <c r="BP452" s="471"/>
      <c r="BQ452" s="471"/>
      <c r="BR452" s="471"/>
      <c r="BS452" s="471"/>
      <c r="BT452" s="471"/>
      <c r="BU452" s="471"/>
      <c r="BV452" s="471"/>
      <c r="BW452" s="471"/>
      <c r="BX452" s="471"/>
      <c r="BY452" s="471"/>
      <c r="BZ452" s="471"/>
      <c r="CA452" s="471">
        <f>COUNTIF(AI452:AW452,"*OK*")</f>
        <v>1</v>
      </c>
      <c r="CB452" s="471"/>
      <c r="CC452" s="471">
        <f>COUNTIF(AI452:AW452,"*OP*")</f>
        <v>0</v>
      </c>
    </row>
    <row r="453" spans="1:81" ht="15" customHeight="1">
      <c r="A453" s="449">
        <v>21541</v>
      </c>
      <c r="B453" s="450"/>
      <c r="C453" s="451">
        <f>T453</f>
        <v>1321.19</v>
      </c>
      <c r="D453" s="450">
        <f>COUNTIF(AI453:AW453,"*OK*")</f>
        <v>0</v>
      </c>
      <c r="E453" s="450"/>
      <c r="F453" s="576" t="s">
        <v>1250</v>
      </c>
      <c r="G453" s="453" t="s">
        <v>1103</v>
      </c>
      <c r="H453" s="463" t="s">
        <v>574</v>
      </c>
      <c r="I453" s="463"/>
      <c r="J453" s="453"/>
      <c r="K453" s="552" t="s">
        <v>79</v>
      </c>
      <c r="L453" s="453" t="s">
        <v>442</v>
      </c>
      <c r="M453" s="453"/>
      <c r="N453" s="466" t="s">
        <v>65</v>
      </c>
      <c r="O453" s="643">
        <v>1170.52</v>
      </c>
      <c r="P453" s="643">
        <v>1169.45</v>
      </c>
      <c r="Q453" s="643">
        <v>1114.47</v>
      </c>
      <c r="R453" s="644">
        <v>1150.3399999999999</v>
      </c>
      <c r="S453" s="459">
        <v>2046.1938</v>
      </c>
      <c r="T453" s="655">
        <v>1321.19</v>
      </c>
      <c r="U453" s="461"/>
      <c r="V453" s="462">
        <v>200</v>
      </c>
      <c r="W453" s="463"/>
      <c r="X453" s="465" t="s">
        <v>70</v>
      </c>
      <c r="Y453" s="465" t="s">
        <v>241</v>
      </c>
      <c r="Z453" s="466" t="s">
        <v>1251</v>
      </c>
      <c r="AA453" s="462" t="s">
        <v>59</v>
      </c>
      <c r="AB453" s="463" t="s">
        <v>97</v>
      </c>
      <c r="AC453" s="450"/>
      <c r="AD453" s="450" t="s">
        <v>1101</v>
      </c>
      <c r="AE453" s="450"/>
      <c r="AF453" s="450"/>
      <c r="AG453" s="450" t="s">
        <v>1252</v>
      </c>
      <c r="AH453" s="496" t="s">
        <v>59</v>
      </c>
      <c r="AI453" s="467" t="s">
        <v>1253</v>
      </c>
      <c r="AJ453" s="467"/>
      <c r="AK453" s="467" t="s">
        <v>650</v>
      </c>
      <c r="AL453" s="467"/>
      <c r="AM453" s="467"/>
      <c r="AN453" s="467"/>
      <c r="AO453" s="467" t="s">
        <v>1254</v>
      </c>
      <c r="AP453" s="467"/>
      <c r="AQ453" s="467"/>
      <c r="AR453" s="467"/>
      <c r="AS453" s="467"/>
      <c r="AT453" s="467"/>
      <c r="AU453" s="467"/>
      <c r="AV453" s="467"/>
      <c r="AW453" s="467"/>
      <c r="AX453" s="467"/>
      <c r="AY453" s="486">
        <f>COUNTIF(AI453:AX453,"*OP*")</f>
        <v>2</v>
      </c>
      <c r="AZ453" s="499" t="s">
        <v>59</v>
      </c>
      <c r="BA453" s="450">
        <f>(COUNTIF(AI453:AK453,"*OK*")*3) + (COUNTIF(AL453:AN453,"*OK*")*2) + COUNTIF(AO453:AQ453,"*OK*")+COUNTIF(AZ453:AZ453,"SI")*0.5</f>
        <v>0</v>
      </c>
      <c r="BB453" s="450" t="str">
        <f>IF(BA453&lt;0.6,"Demasiado Riesgo",IF(BA453&lt;=5,"Riesgo Medio",IF(BA453&lt;=11,"Riesgo Bajo","Cliente Blindado")))</f>
        <v>Demasiado Riesgo</v>
      </c>
      <c r="BC453" s="450"/>
      <c r="BD453" s="450"/>
      <c r="BE453" s="450">
        <v>0</v>
      </c>
      <c r="BF453" s="450"/>
      <c r="BG453" s="450"/>
      <c r="BH453" s="450"/>
      <c r="BI453" s="450"/>
      <c r="BJ453" s="450"/>
      <c r="BK453" s="450"/>
      <c r="BL453" s="450"/>
      <c r="BM453" s="450"/>
      <c r="BN453" s="450"/>
      <c r="BO453" s="450"/>
      <c r="BP453" s="450"/>
      <c r="BQ453" s="450"/>
      <c r="BR453" s="450"/>
      <c r="BS453" s="450"/>
      <c r="BT453" s="450"/>
      <c r="BU453" s="450"/>
      <c r="BV453" s="450"/>
      <c r="BW453" s="450"/>
      <c r="BX453" s="450"/>
      <c r="BY453" s="450"/>
      <c r="BZ453" s="450"/>
      <c r="CA453" s="450">
        <f>COUNTIF(AI453:AW453,"*OK*")</f>
        <v>0</v>
      </c>
      <c r="CB453" s="450"/>
      <c r="CC453" s="450">
        <f>COUNTIF(AI453:AW453,"*OP*")</f>
        <v>2</v>
      </c>
    </row>
    <row r="454" spans="1:81" ht="15" customHeight="1">
      <c r="A454" s="563">
        <v>26081</v>
      </c>
      <c r="B454" s="536"/>
      <c r="C454" s="451">
        <f>T454</f>
        <v>1353.09</v>
      </c>
      <c r="D454" s="471">
        <f>COUNTIF(AI454:AW454,"*OK*")</f>
        <v>1</v>
      </c>
      <c r="E454" s="471"/>
      <c r="F454" s="473" t="s">
        <v>1255</v>
      </c>
      <c r="G454" s="473"/>
      <c r="H454" s="481"/>
      <c r="I454" s="481"/>
      <c r="J454" s="473"/>
      <c r="K454" s="556" t="s">
        <v>79</v>
      </c>
      <c r="L454" s="473" t="s">
        <v>442</v>
      </c>
      <c r="M454" s="473"/>
      <c r="N454" s="484" t="s">
        <v>103</v>
      </c>
      <c r="O454" s="639">
        <v>1333.25</v>
      </c>
      <c r="P454" s="639">
        <v>1406.47</v>
      </c>
      <c r="Q454" s="639">
        <v>1356.38</v>
      </c>
      <c r="R454" s="640">
        <v>1365.71</v>
      </c>
      <c r="S454" s="459">
        <v>1402.0427999999999</v>
      </c>
      <c r="T454" s="656">
        <v>1353.09</v>
      </c>
      <c r="U454" s="479"/>
      <c r="V454" s="480">
        <v>1500</v>
      </c>
      <c r="W454" s="481"/>
      <c r="X454" s="483" t="s">
        <v>828</v>
      </c>
      <c r="Y454" s="483" t="s">
        <v>80</v>
      </c>
      <c r="Z454" s="484" t="s">
        <v>1256</v>
      </c>
      <c r="AA454" s="480" t="s">
        <v>59</v>
      </c>
      <c r="AB454" s="481" t="s">
        <v>97</v>
      </c>
      <c r="AC454" s="471"/>
      <c r="AD454" s="471" t="s">
        <v>1101</v>
      </c>
      <c r="AE454" s="471"/>
      <c r="AF454" s="471"/>
      <c r="AG454" s="471"/>
      <c r="AH454" s="494" t="s">
        <v>127</v>
      </c>
      <c r="AI454" s="467"/>
      <c r="AJ454" s="467"/>
      <c r="AK454" s="467"/>
      <c r="AL454" s="467" t="s">
        <v>609</v>
      </c>
      <c r="AM454" s="467"/>
      <c r="AN454" s="467"/>
      <c r="AO454" s="467"/>
      <c r="AP454" s="565" t="s">
        <v>111</v>
      </c>
      <c r="AQ454" s="467"/>
      <c r="AR454" s="467"/>
      <c r="AS454" s="467"/>
      <c r="AT454" s="467"/>
      <c r="AU454" s="467"/>
      <c r="AV454" s="467"/>
      <c r="AW454" s="467"/>
      <c r="AX454" s="467"/>
      <c r="AY454" s="486">
        <f>COUNTIF(AI454:AX454,"*OP*")</f>
        <v>1</v>
      </c>
      <c r="AZ454" s="485" t="s">
        <v>176</v>
      </c>
      <c r="BA454" s="471">
        <f>(COUNTIF(AI454:AK454,"*OK*")*3) + (COUNTIF(AL454:AN454,"*OK*")*2) + COUNTIF(AO454:AQ454,"*OK*")+COUNTIF(AZ454:AZ454,"SI")*0.5</f>
        <v>1</v>
      </c>
      <c r="BB454" s="471" t="str">
        <f>IF(BA454&lt;0.6,"Demasiado Riesgo",IF(BA454&lt;=5,"Riesgo Medio",IF(BA454&lt;=11,"Riesgo Bajo","Cliente Blindado")))</f>
        <v>Riesgo Medio</v>
      </c>
      <c r="BC454" s="471" t="s">
        <v>1257</v>
      </c>
      <c r="BD454" s="471"/>
      <c r="BE454" s="471">
        <v>0</v>
      </c>
      <c r="BF454" s="471"/>
      <c r="BG454" s="471"/>
      <c r="BH454" s="471"/>
      <c r="BI454" s="471"/>
      <c r="BJ454" s="471"/>
      <c r="BK454" s="471"/>
      <c r="BL454" s="471"/>
      <c r="BM454" s="471"/>
      <c r="BN454" s="471"/>
      <c r="BO454" s="471"/>
      <c r="BP454" s="471"/>
      <c r="BQ454" s="471"/>
      <c r="BR454" s="471"/>
      <c r="BS454" s="471"/>
      <c r="BT454" s="471"/>
      <c r="BU454" s="471"/>
      <c r="BV454" s="471"/>
      <c r="BW454" s="471"/>
      <c r="BX454" s="471"/>
      <c r="BY454" s="471"/>
      <c r="BZ454" s="471"/>
      <c r="CA454" s="471">
        <f>COUNTIF(AI454:AW454,"*OK*")</f>
        <v>1</v>
      </c>
      <c r="CB454" s="471"/>
      <c r="CC454" s="471">
        <f>COUNTIF(AI454:AW454,"*OP*")</f>
        <v>1</v>
      </c>
    </row>
    <row r="455" spans="1:81" ht="15" customHeight="1">
      <c r="A455" s="449">
        <v>17458</v>
      </c>
      <c r="B455" s="450"/>
      <c r="C455" s="451">
        <f>T455</f>
        <v>1417.5</v>
      </c>
      <c r="D455" s="450">
        <f>COUNTIF(AI455:AW455,"*OK*")</f>
        <v>1</v>
      </c>
      <c r="E455" s="450"/>
      <c r="F455" s="453" t="s">
        <v>1258</v>
      </c>
      <c r="G455" s="453"/>
      <c r="H455" s="463"/>
      <c r="I455" s="463"/>
      <c r="J455" s="453"/>
      <c r="K455" s="552" t="s">
        <v>79</v>
      </c>
      <c r="L455" s="453" t="s">
        <v>442</v>
      </c>
      <c r="M455" s="453"/>
      <c r="N455" s="466" t="s">
        <v>65</v>
      </c>
      <c r="O455" s="643">
        <v>1417.5</v>
      </c>
      <c r="P455" s="643">
        <v>1417.5</v>
      </c>
      <c r="Q455" s="643">
        <v>1417.5</v>
      </c>
      <c r="R455" s="644">
        <v>1417.5</v>
      </c>
      <c r="S455" s="459">
        <v>1417.5</v>
      </c>
      <c r="T455" s="655">
        <v>1417.5</v>
      </c>
      <c r="U455" s="461"/>
      <c r="V455" s="462">
        <v>800</v>
      </c>
      <c r="W455" s="463"/>
      <c r="X455" s="465" t="s">
        <v>70</v>
      </c>
      <c r="Y455" s="465" t="s">
        <v>89</v>
      </c>
      <c r="Z455" s="466" t="s">
        <v>1259</v>
      </c>
      <c r="AA455" s="462" t="s">
        <v>59</v>
      </c>
      <c r="AB455" s="463" t="s">
        <v>97</v>
      </c>
      <c r="AC455" s="450"/>
      <c r="AD455" s="450" t="s">
        <v>1114</v>
      </c>
      <c r="AE455" s="450"/>
      <c r="AF455" s="450"/>
      <c r="AG455" s="450"/>
      <c r="AH455" s="496" t="s">
        <v>59</v>
      </c>
      <c r="AI455" s="467"/>
      <c r="AJ455" s="467"/>
      <c r="AK455" s="467"/>
      <c r="AL455" s="467" t="s">
        <v>613</v>
      </c>
      <c r="AM455" s="467"/>
      <c r="AN455" s="467"/>
      <c r="AO455" s="467"/>
      <c r="AP455" s="467"/>
      <c r="AQ455" s="467" t="s">
        <v>650</v>
      </c>
      <c r="AR455" s="467"/>
      <c r="AS455" s="467"/>
      <c r="AT455" s="467"/>
      <c r="AU455" s="467"/>
      <c r="AV455" s="467"/>
      <c r="AW455" s="467"/>
      <c r="AX455" s="467" t="s">
        <v>609</v>
      </c>
      <c r="AY455" s="486">
        <f>COUNTIF(AI455:AX455,"*OP*")</f>
        <v>2</v>
      </c>
      <c r="AZ455" s="499" t="s">
        <v>176</v>
      </c>
      <c r="BA455" s="450">
        <f>(COUNTIF(AI455:AK455,"*OK*")*3) + (COUNTIF(AL455:AN455,"*OK*")*2) + COUNTIF(AO455:AQ455,"*OK*")+COUNTIF(AZ455:AZ455,"SI")*0.5</f>
        <v>2</v>
      </c>
      <c r="BB455" s="450" t="str">
        <f>IF(BA455&lt;0.6,"Demasiado Riesgo",IF(BA455&lt;=5,"Riesgo Medio",IF(BA455&lt;=11,"Riesgo Bajo","Cliente Blindado")))</f>
        <v>Riesgo Medio</v>
      </c>
      <c r="BC455" s="450"/>
      <c r="BD455" s="450"/>
      <c r="BE455" s="450">
        <v>0</v>
      </c>
      <c r="BF455" s="450"/>
      <c r="BG455" s="450"/>
      <c r="BH455" s="450"/>
      <c r="BI455" s="450"/>
      <c r="BJ455" s="450"/>
      <c r="BK455" s="450"/>
      <c r="BL455" s="450"/>
      <c r="BM455" s="450"/>
      <c r="BN455" s="450"/>
      <c r="BO455" s="450"/>
      <c r="BP455" s="450"/>
      <c r="BQ455" s="450"/>
      <c r="BR455" s="450"/>
      <c r="BS455" s="450"/>
      <c r="BT455" s="450"/>
      <c r="BU455" s="450"/>
      <c r="BV455" s="450"/>
      <c r="BW455" s="450"/>
      <c r="BX455" s="450"/>
      <c r="BY455" s="450"/>
      <c r="BZ455" s="450"/>
      <c r="CA455" s="450">
        <f>COUNTIF(AI455:AW455,"*OK*")</f>
        <v>1</v>
      </c>
      <c r="CB455" s="450"/>
      <c r="CC455" s="450">
        <f>COUNTIF(AI455:AW455,"*OP*")</f>
        <v>1</v>
      </c>
    </row>
    <row r="456" spans="1:81" ht="15" customHeight="1">
      <c r="A456" s="470">
        <v>24950</v>
      </c>
      <c r="B456" s="471"/>
      <c r="C456" s="451">
        <f>T456</f>
        <v>1505.86</v>
      </c>
      <c r="D456" s="471">
        <f>COUNTIF(AI456:AW456,"*OK*")</f>
        <v>2</v>
      </c>
      <c r="E456" s="471"/>
      <c r="F456" s="569" t="s">
        <v>1260</v>
      </c>
      <c r="G456" s="473"/>
      <c r="H456" s="657" t="s">
        <v>1261</v>
      </c>
      <c r="I456" s="657"/>
      <c r="J456" s="473"/>
      <c r="K456" s="556" t="s">
        <v>79</v>
      </c>
      <c r="L456" s="473" t="s">
        <v>442</v>
      </c>
      <c r="M456" s="473"/>
      <c r="N456" s="484" t="s">
        <v>65</v>
      </c>
      <c r="O456" s="639">
        <v>1287.8</v>
      </c>
      <c r="P456" s="639">
        <v>1324.06</v>
      </c>
      <c r="Q456" s="639">
        <v>1313.45</v>
      </c>
      <c r="R456" s="640">
        <v>1206.49</v>
      </c>
      <c r="S456" s="459">
        <v>1212.9037000000001</v>
      </c>
      <c r="T456" s="658">
        <v>1505.86</v>
      </c>
      <c r="U456" s="479">
        <v>1117</v>
      </c>
      <c r="V456" s="480">
        <v>1500</v>
      </c>
      <c r="W456" s="481"/>
      <c r="X456" s="483" t="s">
        <v>828</v>
      </c>
      <c r="Y456" s="483" t="s">
        <v>139</v>
      </c>
      <c r="Z456" s="484" t="s">
        <v>1262</v>
      </c>
      <c r="AA456" s="480" t="s">
        <v>59</v>
      </c>
      <c r="AB456" s="481" t="s">
        <v>97</v>
      </c>
      <c r="AC456" s="471"/>
      <c r="AD456" s="471" t="s">
        <v>1101</v>
      </c>
      <c r="AE456" s="471"/>
      <c r="AF456" s="471"/>
      <c r="AG456" s="471" t="s">
        <v>1263</v>
      </c>
      <c r="AH456" s="494" t="s">
        <v>127</v>
      </c>
      <c r="AI456" s="467" t="s">
        <v>171</v>
      </c>
      <c r="AJ456" s="467"/>
      <c r="AK456" s="565" t="s">
        <v>111</v>
      </c>
      <c r="AL456" s="467" t="s">
        <v>171</v>
      </c>
      <c r="AM456" s="467" t="s">
        <v>111</v>
      </c>
      <c r="AN456" s="467"/>
      <c r="AO456" s="467"/>
      <c r="AP456" s="467"/>
      <c r="AQ456" s="467"/>
      <c r="AR456" s="467"/>
      <c r="AS456" s="467"/>
      <c r="AT456" s="467"/>
      <c r="AU456" s="467"/>
      <c r="AV456" s="467"/>
      <c r="AW456" s="467"/>
      <c r="AX456" s="467"/>
      <c r="AY456" s="486">
        <f>COUNTIF(AI456:AX456,"*OP*")</f>
        <v>2</v>
      </c>
      <c r="AZ456" s="485" t="s">
        <v>176</v>
      </c>
      <c r="BA456" s="471">
        <f>(COUNTIF(AI456:AK456,"*OK*")*3) + (COUNTIF(AL456:AN456,"*OK*")*2) + COUNTIF(AO456:AQ456,"*OK*")+COUNTIF(AZ456:AZ456,"SI")*0.5</f>
        <v>5</v>
      </c>
      <c r="BB456" s="471" t="str">
        <f>IF(BA456&lt;0.6,"Demasiado Riesgo",IF(BA456&lt;=5,"Riesgo Medio",IF(BA456&lt;=11,"Riesgo Bajo","Cliente Blindado")))</f>
        <v>Riesgo Medio</v>
      </c>
      <c r="BC456" s="471"/>
      <c r="BD456" s="471"/>
      <c r="BE456" s="471">
        <v>0</v>
      </c>
      <c r="BF456" s="471"/>
      <c r="BG456" s="471"/>
      <c r="BH456" s="471"/>
      <c r="BI456" s="471"/>
      <c r="BJ456" s="471"/>
      <c r="BK456" s="471"/>
      <c r="BL456" s="471"/>
      <c r="BM456" s="471"/>
      <c r="BN456" s="471"/>
      <c r="BO456" s="471"/>
      <c r="BP456" s="471"/>
      <c r="BQ456" s="471"/>
      <c r="BR456" s="471"/>
      <c r="BS456" s="471"/>
      <c r="BT456" s="471"/>
      <c r="BU456" s="471"/>
      <c r="BV456" s="471"/>
      <c r="BW456" s="471"/>
      <c r="BX456" s="471"/>
      <c r="BY456" s="471"/>
      <c r="BZ456" s="471"/>
      <c r="CA456" s="471">
        <f>COUNTIF(AI456:AW456,"*OK*")</f>
        <v>2</v>
      </c>
      <c r="CB456" s="471"/>
      <c r="CC456" s="471">
        <f>COUNTIF(AI456:AW456,"*OP*")</f>
        <v>2</v>
      </c>
    </row>
    <row r="457" spans="1:81" ht="15" customHeight="1">
      <c r="A457" s="470">
        <v>21102</v>
      </c>
      <c r="B457" s="471"/>
      <c r="C457" s="451">
        <f>T457</f>
        <v>1633.05</v>
      </c>
      <c r="D457" s="471">
        <f>COUNTIF(AI457:AW457,"*OK*")</f>
        <v>2</v>
      </c>
      <c r="E457" s="471"/>
      <c r="F457" s="582" t="s">
        <v>1264</v>
      </c>
      <c r="G457" s="473"/>
      <c r="H457" s="481"/>
      <c r="I457" s="481"/>
      <c r="J457" s="473"/>
      <c r="K457" s="556" t="s">
        <v>79</v>
      </c>
      <c r="L457" s="473" t="s">
        <v>442</v>
      </c>
      <c r="M457" s="473"/>
      <c r="N457" s="484" t="s">
        <v>103</v>
      </c>
      <c r="O457" s="639">
        <v>1627.97</v>
      </c>
      <c r="P457" s="639">
        <v>1653.86</v>
      </c>
      <c r="Q457" s="639">
        <v>1582.48</v>
      </c>
      <c r="R457" s="640">
        <v>1628.98</v>
      </c>
      <c r="S457" s="459">
        <v>1660.2541000000001</v>
      </c>
      <c r="T457" s="656">
        <v>1633.05</v>
      </c>
      <c r="U457" s="479"/>
      <c r="V457" s="480">
        <v>800</v>
      </c>
      <c r="W457" s="481"/>
      <c r="X457" s="483" t="s">
        <v>251</v>
      </c>
      <c r="Y457" s="483" t="s">
        <v>80</v>
      </c>
      <c r="Z457" s="484" t="s">
        <v>1265</v>
      </c>
      <c r="AA457" s="480" t="s">
        <v>59</v>
      </c>
      <c r="AB457" s="481" t="s">
        <v>92</v>
      </c>
      <c r="AC457" s="471"/>
      <c r="AD457" s="471" t="s">
        <v>1101</v>
      </c>
      <c r="AE457" s="471"/>
      <c r="AF457" s="471"/>
      <c r="AG457" s="471"/>
      <c r="AH457" s="494" t="s">
        <v>127</v>
      </c>
      <c r="AI457" s="467"/>
      <c r="AJ457" s="467"/>
      <c r="AK457" s="467"/>
      <c r="AL457" s="467"/>
      <c r="AM457" s="467"/>
      <c r="AN457" s="467"/>
      <c r="AO457" s="467"/>
      <c r="AP457" s="467" t="s">
        <v>111</v>
      </c>
      <c r="AQ457" s="467"/>
      <c r="AR457" s="467"/>
      <c r="AS457" s="467"/>
      <c r="AT457" s="467" t="s">
        <v>111</v>
      </c>
      <c r="AU457" s="467"/>
      <c r="AV457" s="467"/>
      <c r="AW457" s="467"/>
      <c r="AX457" s="467"/>
      <c r="AY457" s="486">
        <f>COUNTIF(AI457:AX457,"*OP*")</f>
        <v>0</v>
      </c>
      <c r="AZ457" s="485" t="s">
        <v>59</v>
      </c>
      <c r="BA457" s="471">
        <f>(COUNTIF(AI457:AK457,"*OK*")*3) + (COUNTIF(AL457:AN457,"*OK*")*2) + COUNTIF(AO457:AQ457,"*OK*")+COUNTIF(AZ457:AZ457,"SI")*0.5</f>
        <v>1</v>
      </c>
      <c r="BB457" s="471" t="str">
        <f>IF(BA457&lt;0.6,"Demasiado Riesgo",IF(BA457&lt;=5,"Riesgo Medio",IF(BA457&lt;=11,"Riesgo Bajo","Cliente Blindado")))</f>
        <v>Riesgo Medio</v>
      </c>
      <c r="BC457" s="471" t="s">
        <v>1257</v>
      </c>
      <c r="BD457" s="471"/>
      <c r="BE457" s="471">
        <v>0</v>
      </c>
      <c r="BF457" s="471"/>
      <c r="BG457" s="471"/>
      <c r="BH457" s="471"/>
      <c r="BI457" s="471"/>
      <c r="BJ457" s="471"/>
      <c r="BK457" s="471"/>
      <c r="BL457" s="471"/>
      <c r="BM457" s="471"/>
      <c r="BN457" s="471"/>
      <c r="BO457" s="471"/>
      <c r="BP457" s="471"/>
      <c r="BQ457" s="471"/>
      <c r="BR457" s="471"/>
      <c r="BS457" s="471"/>
      <c r="BT457" s="471"/>
      <c r="BU457" s="471"/>
      <c r="BV457" s="471"/>
      <c r="BW457" s="471"/>
      <c r="BX457" s="471"/>
      <c r="BY457" s="471"/>
      <c r="BZ457" s="471"/>
      <c r="CA457" s="471">
        <f>COUNTIF(AI457:AW457,"*OK*")</f>
        <v>2</v>
      </c>
      <c r="CB457" s="471"/>
      <c r="CC457" s="471">
        <f>COUNTIF(AI457:AW457,"*OP*")</f>
        <v>0</v>
      </c>
    </row>
    <row r="458" spans="1:81" ht="15" customHeight="1">
      <c r="A458" s="449">
        <v>6588</v>
      </c>
      <c r="B458" s="450"/>
      <c r="C458" s="451">
        <f>T458</f>
        <v>1823.83</v>
      </c>
      <c r="D458" s="450">
        <f>COUNTIF(AI458:AW458,"*OK*")</f>
        <v>1</v>
      </c>
      <c r="E458" s="450"/>
      <c r="F458" s="659" t="s">
        <v>1171</v>
      </c>
      <c r="G458" s="453" t="s">
        <v>1171</v>
      </c>
      <c r="H458" s="463"/>
      <c r="I458" s="463"/>
      <c r="J458" s="453"/>
      <c r="K458" s="552" t="s">
        <v>79</v>
      </c>
      <c r="L458" s="453" t="s">
        <v>442</v>
      </c>
      <c r="M458" s="453"/>
      <c r="N458" s="466" t="s">
        <v>103</v>
      </c>
      <c r="O458" s="643">
        <v>1803.81</v>
      </c>
      <c r="P458" s="643">
        <v>1787.44</v>
      </c>
      <c r="Q458" s="643">
        <v>1790.94</v>
      </c>
      <c r="R458" s="644">
        <v>1778.47</v>
      </c>
      <c r="S458" s="459">
        <v>1512.3312000000001</v>
      </c>
      <c r="T458" s="660">
        <v>1823.83</v>
      </c>
      <c r="U458" s="461"/>
      <c r="V458" s="462">
        <v>800</v>
      </c>
      <c r="W458" s="463"/>
      <c r="X458" s="465" t="s">
        <v>70</v>
      </c>
      <c r="Y458" s="465" t="s">
        <v>80</v>
      </c>
      <c r="Z458" s="466" t="s">
        <v>1266</v>
      </c>
      <c r="AA458" s="462" t="s">
        <v>59</v>
      </c>
      <c r="AB458" s="463" t="s">
        <v>92</v>
      </c>
      <c r="AC458" s="450"/>
      <c r="AD458" s="450" t="s">
        <v>1101</v>
      </c>
      <c r="AE458" s="450"/>
      <c r="AF458" s="450"/>
      <c r="AG458" s="450"/>
      <c r="AH458" s="496" t="s">
        <v>127</v>
      </c>
      <c r="AI458" s="467"/>
      <c r="AJ458" s="467"/>
      <c r="AK458" s="467"/>
      <c r="AL458" s="467" t="s">
        <v>171</v>
      </c>
      <c r="AM458" s="467"/>
      <c r="AN458" s="467"/>
      <c r="AO458" s="565" t="s">
        <v>111</v>
      </c>
      <c r="AP458" s="467"/>
      <c r="AQ458" s="467"/>
      <c r="AR458" s="467"/>
      <c r="AS458" s="467"/>
      <c r="AT458" s="467"/>
      <c r="AU458" s="467"/>
      <c r="AV458" s="467"/>
      <c r="AW458" s="467"/>
      <c r="AX458" s="467"/>
      <c r="AY458" s="486">
        <f>COUNTIF(AI458:AX458,"*OP*")</f>
        <v>1</v>
      </c>
      <c r="AZ458" s="499" t="s">
        <v>176</v>
      </c>
      <c r="BA458" s="450">
        <f>(COUNTIF(AI458:AK458,"*OK*")*3) + (COUNTIF(AL458:AN458,"*OK*")*2) + COUNTIF(AO458:AQ458,"*OK*")+COUNTIF(AZ458:AZ458,"SI")*0.5</f>
        <v>1</v>
      </c>
      <c r="BB458" s="450" t="str">
        <f>IF(BA458&lt;0.6,"Demasiado Riesgo",IF(BA458&lt;=5,"Riesgo Medio",IF(BA458&lt;=11,"Riesgo Bajo","Cliente Blindado")))</f>
        <v>Riesgo Medio</v>
      </c>
      <c r="BC458" s="450"/>
      <c r="BD458" s="450"/>
      <c r="BE458" s="450">
        <v>0</v>
      </c>
      <c r="BF458" s="450"/>
      <c r="BG458" s="450"/>
      <c r="BH458" s="450"/>
      <c r="BI458" s="450"/>
      <c r="BJ458" s="450"/>
      <c r="BK458" s="450"/>
      <c r="BL458" s="450"/>
      <c r="BM458" s="450"/>
      <c r="BN458" s="450"/>
      <c r="BO458" s="450"/>
      <c r="BP458" s="450"/>
      <c r="BQ458" s="450"/>
      <c r="BR458" s="450"/>
      <c r="BS458" s="450"/>
      <c r="BT458" s="450"/>
      <c r="BU458" s="450"/>
      <c r="BV458" s="450"/>
      <c r="BW458" s="450"/>
      <c r="BX458" s="450"/>
      <c r="BY458" s="450"/>
      <c r="BZ458" s="450"/>
      <c r="CA458" s="450">
        <f>COUNTIF(AI458:AW458,"*OK*")</f>
        <v>1</v>
      </c>
      <c r="CB458" s="450"/>
      <c r="CC458" s="450">
        <f>COUNTIF(AI458:AW458,"*OP*")</f>
        <v>1</v>
      </c>
    </row>
    <row r="459" spans="1:81" ht="15" customHeight="1">
      <c r="A459" s="470">
        <v>3946</v>
      </c>
      <c r="B459" s="471"/>
      <c r="C459" s="451">
        <f>T459</f>
        <v>1852.39</v>
      </c>
      <c r="D459" s="471">
        <f>COUNTIF(AI459:AW459,"*OK*")</f>
        <v>0</v>
      </c>
      <c r="E459" s="471"/>
      <c r="F459" s="576" t="s">
        <v>1267</v>
      </c>
      <c r="G459" s="473"/>
      <c r="H459" s="657" t="s">
        <v>1268</v>
      </c>
      <c r="I459" s="657"/>
      <c r="J459" s="473"/>
      <c r="K459" s="556" t="s">
        <v>79</v>
      </c>
      <c r="L459" s="473" t="s">
        <v>442</v>
      </c>
      <c r="M459" s="473"/>
      <c r="N459" s="484" t="s">
        <v>65</v>
      </c>
      <c r="O459" s="639">
        <v>1686.99</v>
      </c>
      <c r="P459" s="639">
        <v>1802.97</v>
      </c>
      <c r="Q459" s="639">
        <v>1790.42</v>
      </c>
      <c r="R459" s="640">
        <v>1873.76</v>
      </c>
      <c r="S459" s="459">
        <v>1906.7852</v>
      </c>
      <c r="T459" s="656">
        <v>1852.39</v>
      </c>
      <c r="U459" s="479"/>
      <c r="V459" s="480">
        <v>500</v>
      </c>
      <c r="W459" s="481"/>
      <c r="X459" s="483" t="s">
        <v>245</v>
      </c>
      <c r="Y459" s="483" t="s">
        <v>80</v>
      </c>
      <c r="Z459" s="484" t="s">
        <v>1269</v>
      </c>
      <c r="AA459" s="480" t="s">
        <v>59</v>
      </c>
      <c r="AB459" s="481" t="s">
        <v>97</v>
      </c>
      <c r="AC459" s="471"/>
      <c r="AD459" s="471" t="s">
        <v>1101</v>
      </c>
      <c r="AE459" s="471"/>
      <c r="AF459" s="471"/>
      <c r="AG459" s="471"/>
      <c r="AH459" s="494" t="s">
        <v>59</v>
      </c>
      <c r="AI459" s="467" t="s">
        <v>171</v>
      </c>
      <c r="AJ459" s="467" t="s">
        <v>171</v>
      </c>
      <c r="AK459" s="467"/>
      <c r="AL459" s="467" t="s">
        <v>176</v>
      </c>
      <c r="AM459" s="467"/>
      <c r="AN459" s="467"/>
      <c r="AO459" s="467"/>
      <c r="AP459" s="467"/>
      <c r="AQ459" s="467"/>
      <c r="AR459" s="467"/>
      <c r="AS459" s="467"/>
      <c r="AT459" s="467"/>
      <c r="AU459" s="467"/>
      <c r="AV459" s="467"/>
      <c r="AW459" s="467"/>
      <c r="AX459" s="467"/>
      <c r="AY459" s="486">
        <f>COUNTIF(AI459:AX459,"*OP*")</f>
        <v>2</v>
      </c>
      <c r="AZ459" s="485" t="s">
        <v>59</v>
      </c>
      <c r="BA459" s="471">
        <f>(COUNTIF(AI459:AK459,"*OK*")*3) + (COUNTIF(AL459:AN459,"*OK*")*2) + COUNTIF(AO459:AQ459,"*OK*")+COUNTIF(AZ459:AZ459,"SI")*0.5</f>
        <v>0</v>
      </c>
      <c r="BB459" s="471" t="str">
        <f>IF(BA459&lt;0.6,"Demasiado Riesgo",IF(BA459&lt;=5,"Riesgo Medio",IF(BA459&lt;=11,"Riesgo Bajo","Cliente Blindado")))</f>
        <v>Demasiado Riesgo</v>
      </c>
      <c r="BC459" s="471"/>
      <c r="BD459" s="471"/>
      <c r="BE459" s="471">
        <v>0</v>
      </c>
      <c r="BF459" s="471"/>
      <c r="BG459" s="471"/>
      <c r="BH459" s="471"/>
      <c r="BI459" s="471"/>
      <c r="BJ459" s="471"/>
      <c r="BK459" s="471"/>
      <c r="BL459" s="471"/>
      <c r="BM459" s="471"/>
      <c r="BN459" s="471"/>
      <c r="BO459" s="471"/>
      <c r="BP459" s="471"/>
      <c r="BQ459" s="471"/>
      <c r="BR459" s="471"/>
      <c r="BS459" s="471"/>
      <c r="BT459" s="471"/>
      <c r="BU459" s="471"/>
      <c r="BV459" s="471"/>
      <c r="BW459" s="471"/>
      <c r="BX459" s="471"/>
      <c r="BY459" s="471"/>
      <c r="BZ459" s="471"/>
      <c r="CA459" s="471">
        <f>COUNTIF(AI459:AW459,"*OK*")</f>
        <v>0</v>
      </c>
      <c r="CB459" s="471"/>
      <c r="CC459" s="471">
        <f>COUNTIF(AI459:AW459,"*OP*")</f>
        <v>2</v>
      </c>
    </row>
    <row r="460" spans="1:81" ht="15" customHeight="1">
      <c r="A460" s="449"/>
      <c r="B460" s="450"/>
      <c r="C460" s="451">
        <f>T460</f>
        <v>1945.82</v>
      </c>
      <c r="D460" s="450">
        <f>COUNTIF(AI460:AW460,"*OK*")</f>
        <v>0</v>
      </c>
      <c r="E460" s="450"/>
      <c r="F460" s="452" t="s">
        <v>1270</v>
      </c>
      <c r="G460" s="453" t="s">
        <v>1137</v>
      </c>
      <c r="H460" s="463"/>
      <c r="I460" s="463"/>
      <c r="J460" s="453"/>
      <c r="K460" s="552" t="s">
        <v>79</v>
      </c>
      <c r="L460" s="453" t="s">
        <v>442</v>
      </c>
      <c r="M460" s="453"/>
      <c r="N460" s="466" t="s">
        <v>264</v>
      </c>
      <c r="O460" s="643">
        <v>2001.8</v>
      </c>
      <c r="P460" s="643">
        <v>1993.95</v>
      </c>
      <c r="Q460" s="643">
        <v>1888.74</v>
      </c>
      <c r="R460" s="644">
        <v>1968.47</v>
      </c>
      <c r="S460" s="459">
        <v>1954.2221999999999</v>
      </c>
      <c r="T460" s="655">
        <v>1945.82</v>
      </c>
      <c r="U460" s="461"/>
      <c r="V460" s="462">
        <v>5000</v>
      </c>
      <c r="W460" s="463"/>
      <c r="X460" s="465" t="s">
        <v>70</v>
      </c>
      <c r="Y460" s="465" t="s">
        <v>95</v>
      </c>
      <c r="Z460" s="466" t="s">
        <v>1271</v>
      </c>
      <c r="AA460" s="462" t="s">
        <v>59</v>
      </c>
      <c r="AB460" s="463" t="s">
        <v>97</v>
      </c>
      <c r="AC460" s="450"/>
      <c r="AD460" s="450" t="s">
        <v>1108</v>
      </c>
      <c r="AE460" s="450"/>
      <c r="AF460" s="450"/>
      <c r="AG460" s="450"/>
      <c r="AH460" s="496" t="s">
        <v>59</v>
      </c>
      <c r="AI460" s="467"/>
      <c r="AJ460" s="467"/>
      <c r="AK460" s="467"/>
      <c r="AL460" s="467" t="s">
        <v>1272</v>
      </c>
      <c r="AM460" s="467" t="s">
        <v>1273</v>
      </c>
      <c r="AN460" s="467"/>
      <c r="AO460" s="467"/>
      <c r="AP460" s="467"/>
      <c r="AQ460" s="467"/>
      <c r="AR460" s="467"/>
      <c r="AS460" s="467"/>
      <c r="AT460" s="467"/>
      <c r="AU460" s="467"/>
      <c r="AV460" s="467"/>
      <c r="AW460" s="467"/>
      <c r="AX460" s="467"/>
      <c r="AY460" s="486">
        <f>COUNTIF(AI460:AX460,"*OP*")</f>
        <v>2</v>
      </c>
      <c r="AZ460" s="499" t="s">
        <v>59</v>
      </c>
      <c r="BA460" s="450">
        <f>(COUNTIF(AI460:AK460,"*OK*")*3) + (COUNTIF(AL460:AN460,"*OK*")*2) + COUNTIF(AO460:AQ460,"*OK*")+COUNTIF(AZ460:AZ460,"SI")*0.5</f>
        <v>0</v>
      </c>
      <c r="BB460" s="450" t="str">
        <f>IF(BA460&lt;0.6,"Demasiado Riesgo",IF(BA460&lt;=5,"Riesgo Medio",IF(BA460&lt;=11,"Riesgo Bajo","Cliente Blindado")))</f>
        <v>Demasiado Riesgo</v>
      </c>
      <c r="BC460" s="450"/>
      <c r="BD460" s="450"/>
      <c r="BE460" s="450">
        <v>0</v>
      </c>
      <c r="BF460" s="450"/>
      <c r="BG460" s="450"/>
      <c r="BH460" s="450"/>
      <c r="BI460" s="450"/>
      <c r="BJ460" s="450"/>
      <c r="BK460" s="450"/>
      <c r="BL460" s="450"/>
      <c r="BM460" s="450"/>
      <c r="BN460" s="450"/>
      <c r="BO460" s="450"/>
      <c r="BP460" s="450"/>
      <c r="BQ460" s="450"/>
      <c r="BR460" s="450"/>
      <c r="BS460" s="450"/>
      <c r="BT460" s="450"/>
      <c r="BU460" s="450"/>
      <c r="BV460" s="450"/>
      <c r="BW460" s="450"/>
      <c r="BX460" s="450"/>
      <c r="BY460" s="450"/>
      <c r="BZ460" s="450"/>
      <c r="CA460" s="450">
        <f>COUNTIF(AI460:AW460,"*OK*")</f>
        <v>0</v>
      </c>
      <c r="CB460" s="450"/>
      <c r="CC460" s="450">
        <f>COUNTIF(AI460:AW460,"*OP*")</f>
        <v>2</v>
      </c>
    </row>
    <row r="461" spans="1:81" ht="15" customHeight="1">
      <c r="A461" s="470">
        <v>3115</v>
      </c>
      <c r="B461" s="471"/>
      <c r="C461" s="451">
        <f>T461</f>
        <v>1979.82</v>
      </c>
      <c r="D461" s="471">
        <f>COUNTIF(AI461:AW461,"*OK*")</f>
        <v>0</v>
      </c>
      <c r="E461" s="471"/>
      <c r="F461" s="576" t="s">
        <v>1274</v>
      </c>
      <c r="G461" s="473"/>
      <c r="H461" s="657" t="s">
        <v>1275</v>
      </c>
      <c r="I461" s="657"/>
      <c r="J461" s="473"/>
      <c r="K461" s="556" t="s">
        <v>79</v>
      </c>
      <c r="L461" s="473" t="s">
        <v>442</v>
      </c>
      <c r="M461" s="473"/>
      <c r="N461" s="484" t="s">
        <v>103</v>
      </c>
      <c r="O461" s="639">
        <v>2009.84</v>
      </c>
      <c r="P461" s="639">
        <v>2008</v>
      </c>
      <c r="Q461" s="639">
        <v>1913.59</v>
      </c>
      <c r="R461" s="640">
        <v>1975.19</v>
      </c>
      <c r="S461" s="459">
        <v>2001.7678000000001</v>
      </c>
      <c r="T461" s="656">
        <v>1979.82</v>
      </c>
      <c r="U461" s="479"/>
      <c r="V461" s="480">
        <v>1177</v>
      </c>
      <c r="W461" s="481"/>
      <c r="X461" s="483" t="s">
        <v>70</v>
      </c>
      <c r="Y461" s="483" t="s">
        <v>241</v>
      </c>
      <c r="Z461" s="484" t="s">
        <v>1276</v>
      </c>
      <c r="AA461" s="480" t="s">
        <v>59</v>
      </c>
      <c r="AB461" s="481" t="s">
        <v>92</v>
      </c>
      <c r="AC461" s="471"/>
      <c r="AD461" s="471" t="s">
        <v>1101</v>
      </c>
      <c r="AE461" s="471"/>
      <c r="AF461" s="471"/>
      <c r="AG461" s="471"/>
      <c r="AH461" s="494" t="s">
        <v>59</v>
      </c>
      <c r="AI461" s="467" t="s">
        <v>1277</v>
      </c>
      <c r="AJ461" s="467" t="s">
        <v>1278</v>
      </c>
      <c r="AK461" s="467" t="s">
        <v>1279</v>
      </c>
      <c r="AL461" s="467" t="s">
        <v>171</v>
      </c>
      <c r="AM461" s="467"/>
      <c r="AN461" s="467"/>
      <c r="AO461" s="467"/>
      <c r="AP461" s="467"/>
      <c r="AQ461" s="467"/>
      <c r="AR461" s="467"/>
      <c r="AS461" s="467"/>
      <c r="AT461" s="467"/>
      <c r="AU461" s="467"/>
      <c r="AV461" s="467"/>
      <c r="AW461" s="467"/>
      <c r="AX461" s="467"/>
      <c r="AY461" s="486">
        <f>COUNTIF(AI461:AX461,"*OP*")</f>
        <v>3</v>
      </c>
      <c r="AZ461" s="485" t="s">
        <v>59</v>
      </c>
      <c r="BA461" s="471">
        <f>(COUNTIF(AI461:AK461,"*OK*")*3) + (COUNTIF(AL461:AN461,"*OK*")*2) + COUNTIF(AO461:AQ461,"*OK*")+COUNTIF(AZ461:AZ461,"SI")*0.5</f>
        <v>0</v>
      </c>
      <c r="BB461" s="471" t="str">
        <f>IF(BA461&lt;0.6,"Demasiado Riesgo",IF(BA461&lt;=5,"Riesgo Medio",IF(BA461&lt;=11,"Riesgo Bajo","Cliente Blindado")))</f>
        <v>Demasiado Riesgo</v>
      </c>
      <c r="BC461" s="471"/>
      <c r="BD461" s="471"/>
      <c r="BE461" s="471">
        <v>0</v>
      </c>
      <c r="BF461" s="471"/>
      <c r="BG461" s="471"/>
      <c r="BH461" s="471"/>
      <c r="BI461" s="471"/>
      <c r="BJ461" s="471"/>
      <c r="BK461" s="471"/>
      <c r="BL461" s="471"/>
      <c r="BM461" s="471"/>
      <c r="BN461" s="471"/>
      <c r="BO461" s="471"/>
      <c r="BP461" s="471"/>
      <c r="BQ461" s="471"/>
      <c r="BR461" s="471"/>
      <c r="BS461" s="471"/>
      <c r="BT461" s="471"/>
      <c r="BU461" s="471"/>
      <c r="BV461" s="471"/>
      <c r="BW461" s="471"/>
      <c r="BX461" s="471"/>
      <c r="BY461" s="471"/>
      <c r="BZ461" s="471"/>
      <c r="CA461" s="471">
        <f>COUNTIF(AI461:AW461,"*OK*")</f>
        <v>0</v>
      </c>
      <c r="CB461" s="471"/>
      <c r="CC461" s="471">
        <f>COUNTIF(AI461:AW461,"*OP*")</f>
        <v>3</v>
      </c>
    </row>
    <row r="462" spans="1:81" ht="15" customHeight="1">
      <c r="A462" s="449">
        <v>28362</v>
      </c>
      <c r="B462" s="450"/>
      <c r="C462" s="451">
        <f>T462</f>
        <v>2173.35</v>
      </c>
      <c r="D462" s="450">
        <f>COUNTIF(AI462:AW462,"*OK*")</f>
        <v>1</v>
      </c>
      <c r="E462" s="450"/>
      <c r="F462" s="452" t="s">
        <v>1280</v>
      </c>
      <c r="G462" s="453"/>
      <c r="H462" s="463"/>
      <c r="I462" s="463"/>
      <c r="J462" s="453"/>
      <c r="K462" s="552" t="s">
        <v>79</v>
      </c>
      <c r="L462" s="453" t="s">
        <v>442</v>
      </c>
      <c r="M462" s="453"/>
      <c r="N462" s="466" t="s">
        <v>65</v>
      </c>
      <c r="O462" s="643">
        <v>2635.78</v>
      </c>
      <c r="P462" s="643">
        <v>2477.12</v>
      </c>
      <c r="Q462" s="643">
        <v>2238.1</v>
      </c>
      <c r="R462" s="644">
        <v>2313.69</v>
      </c>
      <c r="S462" s="459">
        <v>2169.8897000000002</v>
      </c>
      <c r="T462" s="660">
        <v>2173.35</v>
      </c>
      <c r="U462" s="461"/>
      <c r="V462" s="462">
        <v>3000</v>
      </c>
      <c r="W462" s="463"/>
      <c r="X462" s="465" t="s">
        <v>70</v>
      </c>
      <c r="Y462" s="465" t="s">
        <v>150</v>
      </c>
      <c r="Z462" s="466" t="s">
        <v>1281</v>
      </c>
      <c r="AA462" s="462" t="s">
        <v>59</v>
      </c>
      <c r="AB462" s="463" t="s">
        <v>84</v>
      </c>
      <c r="AC462" s="450"/>
      <c r="AD462" s="450" t="s">
        <v>1101</v>
      </c>
      <c r="AE462" s="450"/>
      <c r="AF462" s="450"/>
      <c r="AG462" s="450"/>
      <c r="AH462" s="499" t="s">
        <v>127</v>
      </c>
      <c r="AI462" s="467"/>
      <c r="AJ462" s="467"/>
      <c r="AK462" s="565" t="s">
        <v>111</v>
      </c>
      <c r="AL462" s="467"/>
      <c r="AM462" s="467"/>
      <c r="AN462" s="467"/>
      <c r="AO462" s="467"/>
      <c r="AP462" s="467"/>
      <c r="AQ462" s="467"/>
      <c r="AR462" s="467"/>
      <c r="AS462" s="467"/>
      <c r="AT462" s="467"/>
      <c r="AU462" s="467"/>
      <c r="AV462" s="467"/>
      <c r="AW462" s="467"/>
      <c r="AX462" s="467"/>
      <c r="AY462" s="486">
        <f>COUNTIF(AI462:AX462,"*OP*")</f>
        <v>0</v>
      </c>
      <c r="AZ462" s="499" t="s">
        <v>176</v>
      </c>
      <c r="BA462" s="450">
        <f>(COUNTIF(AI462:AK462,"*OK*")*3) + (COUNTIF(AL462:AN462,"*OK*")*2) + COUNTIF(AO462:AQ462,"*OK*")+COUNTIF(AZ462:AZ462,"SI")*0.5</f>
        <v>3</v>
      </c>
      <c r="BB462" s="450" t="str">
        <f>IF(BA462&lt;0.6,"Demasiado Riesgo",IF(BA462&lt;=5,"Riesgo Medio",IF(BA462&lt;=11,"Riesgo Bajo","Cliente Blindado")))</f>
        <v>Riesgo Medio</v>
      </c>
      <c r="BC462" s="450"/>
      <c r="BD462" s="450"/>
      <c r="BE462" s="450">
        <v>0</v>
      </c>
      <c r="BF462" s="450"/>
      <c r="BG462" s="450"/>
      <c r="BH462" s="450"/>
      <c r="BI462" s="450"/>
      <c r="BJ462" s="450"/>
      <c r="BK462" s="450"/>
      <c r="BL462" s="450"/>
      <c r="BM462" s="450"/>
      <c r="BN462" s="450"/>
      <c r="BO462" s="450"/>
      <c r="BP462" s="450"/>
      <c r="BQ462" s="450"/>
      <c r="BR462" s="450"/>
      <c r="BS462" s="450"/>
      <c r="BT462" s="450"/>
      <c r="BU462" s="450"/>
      <c r="BV462" s="450"/>
      <c r="BW462" s="450"/>
      <c r="BX462" s="450"/>
      <c r="BY462" s="450"/>
      <c r="BZ462" s="450"/>
      <c r="CA462" s="450">
        <f>COUNTIF(AI462:AW462,"*OK*")</f>
        <v>1</v>
      </c>
      <c r="CB462" s="450"/>
      <c r="CC462" s="450">
        <f>COUNTIF(AI462:AW462,"*OP*")</f>
        <v>0</v>
      </c>
    </row>
    <row r="463" spans="1:81" ht="15" customHeight="1">
      <c r="A463" s="470">
        <v>20338</v>
      </c>
      <c r="B463" s="471"/>
      <c r="C463" s="451">
        <f>T463</f>
        <v>2191.06</v>
      </c>
      <c r="D463" s="471">
        <f>COUNTIF(AI463:AW463,"*OK*")</f>
        <v>0</v>
      </c>
      <c r="E463" s="471"/>
      <c r="F463" s="576" t="s">
        <v>1282</v>
      </c>
      <c r="G463" s="473"/>
      <c r="H463" s="657" t="s">
        <v>1283</v>
      </c>
      <c r="I463" s="657"/>
      <c r="J463" s="473"/>
      <c r="K463" s="556" t="s">
        <v>79</v>
      </c>
      <c r="L463" s="473" t="s">
        <v>442</v>
      </c>
      <c r="M463" s="473"/>
      <c r="N463" s="484" t="s">
        <v>65</v>
      </c>
      <c r="O463" s="639">
        <v>2241.41</v>
      </c>
      <c r="P463" s="639">
        <v>2295.5300000000002</v>
      </c>
      <c r="Q463" s="639">
        <v>2210.88</v>
      </c>
      <c r="R463" s="640">
        <v>2185.94</v>
      </c>
      <c r="S463" s="459">
        <v>2239.7269000000001</v>
      </c>
      <c r="T463" s="656">
        <v>2191.06</v>
      </c>
      <c r="U463" s="479"/>
      <c r="V463" s="480">
        <v>2000</v>
      </c>
      <c r="W463" s="481"/>
      <c r="X463" s="483" t="s">
        <v>70</v>
      </c>
      <c r="Y463" s="483" t="s">
        <v>289</v>
      </c>
      <c r="Z463" s="484" t="s">
        <v>1284</v>
      </c>
      <c r="AA463" s="480" t="s">
        <v>59</v>
      </c>
      <c r="AB463" s="481" t="s">
        <v>92</v>
      </c>
      <c r="AC463" s="471"/>
      <c r="AD463" s="471" t="s">
        <v>1114</v>
      </c>
      <c r="AE463" s="471"/>
      <c r="AF463" s="471"/>
      <c r="AG463" s="471"/>
      <c r="AH463" s="536" t="s">
        <v>59</v>
      </c>
      <c r="AI463" s="661"/>
      <c r="AJ463" s="661" t="s">
        <v>171</v>
      </c>
      <c r="AK463" s="661" t="s">
        <v>171</v>
      </c>
      <c r="AL463" s="661"/>
      <c r="AM463" s="661"/>
      <c r="AN463" s="661" t="s">
        <v>1285</v>
      </c>
      <c r="AO463" s="661"/>
      <c r="AP463" s="661"/>
      <c r="AQ463" s="661"/>
      <c r="AR463" s="661"/>
      <c r="AS463" s="661"/>
      <c r="AT463" s="661"/>
      <c r="AU463" s="661"/>
      <c r="AV463" s="661"/>
      <c r="AW463" s="661"/>
      <c r="AX463" s="661" t="s">
        <v>171</v>
      </c>
      <c r="AY463" s="662">
        <f>COUNTIF(AI463:AX463,"*OP*")</f>
        <v>4</v>
      </c>
      <c r="AZ463" s="536" t="s">
        <v>59</v>
      </c>
      <c r="BA463" s="471">
        <f>(COUNTIF(AI463:AK463,"*OK*")*3) + (COUNTIF(AL463:AN463,"*OK*")*2) + COUNTIF(AO463:AQ463,"*OK*")+COUNTIF(AZ463:AZ463,"SI")*0.5</f>
        <v>0</v>
      </c>
      <c r="BB463" s="471" t="str">
        <f>IF(BA463&lt;0.6,"Demasiado Riesgo",IF(BA463&lt;=5,"Riesgo Medio",IF(BA463&lt;=11,"Riesgo Bajo","Cliente Blindado")))</f>
        <v>Demasiado Riesgo</v>
      </c>
      <c r="BC463" s="471"/>
      <c r="BD463" s="471"/>
      <c r="BE463" s="471">
        <v>0</v>
      </c>
      <c r="BF463" s="471"/>
      <c r="BG463" s="471"/>
      <c r="BH463" s="471"/>
      <c r="BI463" s="471"/>
      <c r="BJ463" s="471"/>
      <c r="BK463" s="471"/>
      <c r="BL463" s="471"/>
      <c r="BM463" s="471"/>
      <c r="BN463" s="471"/>
      <c r="BO463" s="471"/>
      <c r="BP463" s="471"/>
      <c r="BQ463" s="471"/>
      <c r="BR463" s="471"/>
      <c r="BS463" s="471"/>
      <c r="BT463" s="471"/>
      <c r="BU463" s="471"/>
      <c r="BV463" s="471"/>
      <c r="BW463" s="471"/>
      <c r="BX463" s="471"/>
      <c r="BY463" s="471"/>
      <c r="BZ463" s="471"/>
      <c r="CA463" s="471">
        <f>COUNTIF(AI463:AW463,"*OK*")</f>
        <v>0</v>
      </c>
      <c r="CB463" s="471"/>
      <c r="CC463" s="471">
        <f>COUNTIF(AI463:AW463,"*OP*")</f>
        <v>3</v>
      </c>
    </row>
    <row r="464" spans="1:81" ht="15" customHeight="1">
      <c r="A464" s="470">
        <v>21115</v>
      </c>
      <c r="B464" s="471"/>
      <c r="C464" s="451">
        <f>T464</f>
        <v>2338</v>
      </c>
      <c r="D464" s="471">
        <f>COUNTIF(AI464:AW464,"*OK*")</f>
        <v>2</v>
      </c>
      <c r="E464" s="471" t="s">
        <v>1115</v>
      </c>
      <c r="F464" s="582" t="s">
        <v>1286</v>
      </c>
      <c r="G464" s="473" t="s">
        <v>1287</v>
      </c>
      <c r="H464" s="474"/>
      <c r="I464" s="474"/>
      <c r="J464" s="473"/>
      <c r="K464" s="475" t="s">
        <v>79</v>
      </c>
      <c r="L464" s="473" t="s">
        <v>442</v>
      </c>
      <c r="M464" s="473"/>
      <c r="N464" s="484" t="s">
        <v>65</v>
      </c>
      <c r="O464" s="639">
        <v>2338</v>
      </c>
      <c r="P464" s="639">
        <v>2338</v>
      </c>
      <c r="Q464" s="639">
        <v>2338</v>
      </c>
      <c r="R464" s="640">
        <v>2338</v>
      </c>
      <c r="S464" s="459">
        <v>2338</v>
      </c>
      <c r="T464" s="656">
        <v>2338</v>
      </c>
      <c r="U464" s="479"/>
      <c r="V464" s="480">
        <v>3000</v>
      </c>
      <c r="W464" s="481"/>
      <c r="X464" s="483" t="s">
        <v>70</v>
      </c>
      <c r="Y464" s="483" t="s">
        <v>80</v>
      </c>
      <c r="Z464" s="484" t="s">
        <v>1288</v>
      </c>
      <c r="AA464" s="480" t="s">
        <v>59</v>
      </c>
      <c r="AB464" s="474" t="s">
        <v>92</v>
      </c>
      <c r="AC464" s="471"/>
      <c r="AD464" s="471" t="s">
        <v>1114</v>
      </c>
      <c r="AE464" s="471" t="s">
        <v>1289</v>
      </c>
      <c r="AF464" s="471"/>
      <c r="AG464" s="471"/>
      <c r="AH464" s="536" t="s">
        <v>127</v>
      </c>
      <c r="AI464" s="661"/>
      <c r="AJ464" s="661"/>
      <c r="AK464" s="661"/>
      <c r="AL464" s="661"/>
      <c r="AM464" s="661"/>
      <c r="AN464" s="661"/>
      <c r="AO464" s="661" t="s">
        <v>1290</v>
      </c>
      <c r="AP464" s="661" t="s">
        <v>111</v>
      </c>
      <c r="AQ464" s="661"/>
      <c r="AR464" s="661"/>
      <c r="AS464" s="661"/>
      <c r="AT464" s="661"/>
      <c r="AU464" s="661"/>
      <c r="AV464" s="661"/>
      <c r="AW464" s="661"/>
      <c r="AX464" s="661"/>
      <c r="AY464" s="662">
        <f>COUNTIF(AI464:AX464,"*OP*")</f>
        <v>0</v>
      </c>
      <c r="AZ464" s="536" t="s">
        <v>176</v>
      </c>
      <c r="BA464" s="471">
        <f>(COUNTIF(AI464:AK464,"*OK*")*3) + (COUNTIF(AL464:AN464,"*OK*")*2) + COUNTIF(AO464:AQ464,"*OK*")+COUNTIF(AZ464:AZ464,"SI")*0.5</f>
        <v>2</v>
      </c>
      <c r="BB464" s="471" t="str">
        <f>IF(BA464&lt;0.6,"Demasiado Riesgo",IF(BA464&lt;=5,"Riesgo Medio",IF(BA464&lt;=11,"Riesgo Bajo","Cliente Blindado")))</f>
        <v>Riesgo Medio</v>
      </c>
      <c r="BC464" s="471"/>
      <c r="BD464" s="471"/>
      <c r="BE464" s="471">
        <v>0</v>
      </c>
      <c r="BF464" s="471"/>
      <c r="BG464" s="471"/>
      <c r="BH464" s="471"/>
      <c r="BI464" s="471"/>
      <c r="BJ464" s="471"/>
      <c r="BK464" s="471"/>
      <c r="BL464" s="471"/>
      <c r="BM464" s="471"/>
      <c r="BN464" s="471"/>
      <c r="BO464" s="471"/>
      <c r="BP464" s="471"/>
      <c r="BQ464" s="471"/>
      <c r="BR464" s="471"/>
      <c r="BS464" s="471"/>
      <c r="BT464" s="471"/>
      <c r="BU464" s="471"/>
      <c r="BV464" s="471"/>
      <c r="BW464" s="471"/>
      <c r="BX464" s="471"/>
      <c r="BY464" s="471"/>
      <c r="BZ464" s="471"/>
      <c r="CA464" s="471">
        <f>COUNTIF(AI464:AW464,"*OK*")</f>
        <v>2</v>
      </c>
      <c r="CB464" s="471"/>
      <c r="CC464" s="471">
        <f>COUNTIF(AI464:AW464,"*OP*")</f>
        <v>0</v>
      </c>
    </row>
    <row r="465" spans="1:81" ht="15" customHeight="1">
      <c r="A465" s="449">
        <v>21746</v>
      </c>
      <c r="B465" s="450"/>
      <c r="C465" s="451">
        <f>T465</f>
        <v>2517.37</v>
      </c>
      <c r="D465" s="450">
        <f>COUNTIF(AI465:AW465,"*OK*")</f>
        <v>2</v>
      </c>
      <c r="E465" s="450"/>
      <c r="F465" s="663" t="s">
        <v>1291</v>
      </c>
      <c r="G465" s="453"/>
      <c r="H465" s="463"/>
      <c r="I465" s="463"/>
      <c r="J465" s="453"/>
      <c r="K465" s="552" t="s">
        <v>79</v>
      </c>
      <c r="L465" s="453" t="s">
        <v>442</v>
      </c>
      <c r="M465" s="453"/>
      <c r="N465" s="466" t="s">
        <v>65</v>
      </c>
      <c r="O465" s="643">
        <v>2248.5500000000002</v>
      </c>
      <c r="P465" s="643">
        <v>2266.2199999999998</v>
      </c>
      <c r="Q465" s="643">
        <v>2393.4299999999998</v>
      </c>
      <c r="R465" s="644">
        <v>2366.17</v>
      </c>
      <c r="S465" s="459">
        <v>2521.1147000000001</v>
      </c>
      <c r="T465" s="655">
        <v>2517.37</v>
      </c>
      <c r="U465" s="461"/>
      <c r="V465" s="462">
        <v>500</v>
      </c>
      <c r="W465" s="463"/>
      <c r="X465" s="465" t="s">
        <v>70</v>
      </c>
      <c r="Y465" s="465" t="s">
        <v>108</v>
      </c>
      <c r="Z465" s="466" t="s">
        <v>1292</v>
      </c>
      <c r="AA465" s="462" t="s">
        <v>59</v>
      </c>
      <c r="AB465" s="463" t="s">
        <v>97</v>
      </c>
      <c r="AC465" s="450"/>
      <c r="AD465" s="450" t="s">
        <v>1101</v>
      </c>
      <c r="AE465" s="450"/>
      <c r="AF465" s="450"/>
      <c r="AG465" s="450"/>
      <c r="AH465" s="489" t="s">
        <v>127</v>
      </c>
      <c r="AI465" s="661"/>
      <c r="AJ465" s="661" t="s">
        <v>1156</v>
      </c>
      <c r="AK465" s="661" t="s">
        <v>1293</v>
      </c>
      <c r="AL465" s="661"/>
      <c r="AM465" s="661"/>
      <c r="AN465" s="661"/>
      <c r="AO465" s="661"/>
      <c r="AP465" s="664" t="s">
        <v>613</v>
      </c>
      <c r="AQ465" s="661"/>
      <c r="AR465" s="661"/>
      <c r="AS465" s="661"/>
      <c r="AT465" s="661"/>
      <c r="AU465" s="661"/>
      <c r="AV465" s="661"/>
      <c r="AW465" s="661"/>
      <c r="AX465" s="661"/>
      <c r="AY465" s="662">
        <f>COUNTIF(AI465:AX465,"*OP*")</f>
        <v>1</v>
      </c>
      <c r="AZ465" s="489" t="s">
        <v>176</v>
      </c>
      <c r="BA465" s="450">
        <f>(COUNTIF(AI465:AK465,"*OK*")*3) + (COUNTIF(AL465:AN465,"*OK*")*2) + COUNTIF(AO465:AQ465,"*OK*")+COUNTIF(AZ465:AZ465,"SI")*0.5</f>
        <v>4</v>
      </c>
      <c r="BB465" s="450" t="str">
        <f>IF(BA465&lt;0.6,"Demasiado Riesgo",IF(BA465&lt;=5,"Riesgo Medio",IF(BA465&lt;=11,"Riesgo Bajo","Cliente Blindado")))</f>
        <v>Riesgo Medio</v>
      </c>
      <c r="BC465" s="450"/>
      <c r="BD465" s="450"/>
      <c r="BE465" s="450">
        <v>0</v>
      </c>
      <c r="BF465" s="450"/>
      <c r="BG465" s="450"/>
      <c r="BH465" s="450"/>
      <c r="BI465" s="450"/>
      <c r="BJ465" s="450"/>
      <c r="BK465" s="450"/>
      <c r="BL465" s="450"/>
      <c r="BM465" s="450"/>
      <c r="BN465" s="450"/>
      <c r="BO465" s="450"/>
      <c r="BP465" s="450"/>
      <c r="BQ465" s="450"/>
      <c r="BR465" s="450"/>
      <c r="BS465" s="450"/>
      <c r="BT465" s="450"/>
      <c r="BU465" s="450"/>
      <c r="BV465" s="450"/>
      <c r="BW465" s="450"/>
      <c r="BX465" s="450"/>
      <c r="BY465" s="450"/>
      <c r="BZ465" s="450"/>
      <c r="CA465" s="450">
        <f>COUNTIF(AI465:AW465,"*OK*")</f>
        <v>2</v>
      </c>
      <c r="CB465" s="450"/>
      <c r="CC465" s="450">
        <f>COUNTIF(AI465:AW465,"*OP*")</f>
        <v>1</v>
      </c>
    </row>
    <row r="466" spans="1:81" ht="15" customHeight="1">
      <c r="A466" s="470">
        <v>30644</v>
      </c>
      <c r="B466" s="471"/>
      <c r="C466" s="451">
        <f>T466</f>
        <v>3436.49</v>
      </c>
      <c r="D466" s="471">
        <f>COUNTIF(AI466:AW466,"*OK*")</f>
        <v>1</v>
      </c>
      <c r="E466" s="471"/>
      <c r="F466" s="472" t="s">
        <v>1294</v>
      </c>
      <c r="G466" s="473" t="s">
        <v>1192</v>
      </c>
      <c r="H466" s="481"/>
      <c r="I466" s="481"/>
      <c r="J466" s="473"/>
      <c r="K466" s="556" t="s">
        <v>79</v>
      </c>
      <c r="L466" s="473" t="s">
        <v>442</v>
      </c>
      <c r="M466" s="473"/>
      <c r="N466" s="484" t="s">
        <v>174</v>
      </c>
      <c r="O466" s="639">
        <v>2436.17</v>
      </c>
      <c r="P466" s="639">
        <v>2750.35</v>
      </c>
      <c r="Q466" s="639">
        <v>3261.23</v>
      </c>
      <c r="R466" s="640">
        <v>3380.57</v>
      </c>
      <c r="S466" s="459">
        <v>3430.9087</v>
      </c>
      <c r="T466" s="658">
        <v>3436.49</v>
      </c>
      <c r="U466" s="479"/>
      <c r="V466" s="480">
        <v>1000</v>
      </c>
      <c r="W466" s="481"/>
      <c r="X466" s="483" t="s">
        <v>70</v>
      </c>
      <c r="Y466" s="483" t="s">
        <v>150</v>
      </c>
      <c r="Z466" s="484" t="s">
        <v>1295</v>
      </c>
      <c r="AA466" s="480" t="s">
        <v>59</v>
      </c>
      <c r="AB466" s="481" t="s">
        <v>97</v>
      </c>
      <c r="AC466" s="471"/>
      <c r="AD466" s="471" t="s">
        <v>1114</v>
      </c>
      <c r="AE466" s="471"/>
      <c r="AF466" s="471"/>
      <c r="AG466" s="471"/>
      <c r="AH466" s="536" t="s">
        <v>127</v>
      </c>
      <c r="AI466" s="661"/>
      <c r="AJ466" s="661"/>
      <c r="AK466" s="661" t="s">
        <v>1296</v>
      </c>
      <c r="AL466" s="661"/>
      <c r="AM466" s="661" t="s">
        <v>650</v>
      </c>
      <c r="AN466" s="664" t="s">
        <v>111</v>
      </c>
      <c r="AO466" s="661"/>
      <c r="AP466" s="661"/>
      <c r="AQ466" s="661"/>
      <c r="AR466" s="661"/>
      <c r="AS466" s="661"/>
      <c r="AT466" s="661"/>
      <c r="AU466" s="661"/>
      <c r="AV466" s="661"/>
      <c r="AW466" s="661"/>
      <c r="AX466" s="661"/>
      <c r="AY466" s="662">
        <f>COUNTIF(AI466:AX466,"*OP*")</f>
        <v>2</v>
      </c>
      <c r="AZ466" s="536" t="s">
        <v>176</v>
      </c>
      <c r="BA466" s="471">
        <f>(COUNTIF(AI466:AK466,"*OK*")*3) + (COUNTIF(AL466:AN466,"*OK*")*2) + COUNTIF(AO466:AQ466,"*OK*")+COUNTIF(AZ466:AZ466,"SI")*0.5</f>
        <v>2</v>
      </c>
      <c r="BB466" s="471" t="str">
        <f>IF(BA466&lt;0.6,"Demasiado Riesgo",IF(BA466&lt;=5,"Riesgo Medio",IF(BA466&lt;=11,"Riesgo Bajo","Cliente Blindado")))</f>
        <v>Riesgo Medio</v>
      </c>
      <c r="BC466" s="471"/>
      <c r="BD466" s="471"/>
      <c r="BE466" s="471">
        <v>0</v>
      </c>
      <c r="BF466" s="471"/>
      <c r="BG466" s="471"/>
      <c r="BH466" s="471"/>
      <c r="BI466" s="471"/>
      <c r="BJ466" s="471"/>
      <c r="BK466" s="471"/>
      <c r="BL466" s="471"/>
      <c r="BM466" s="471"/>
      <c r="BN466" s="471"/>
      <c r="BO466" s="471"/>
      <c r="BP466" s="471"/>
      <c r="BQ466" s="471"/>
      <c r="BR466" s="471"/>
      <c r="BS466" s="471"/>
      <c r="BT466" s="471"/>
      <c r="BU466" s="471"/>
      <c r="BV466" s="471"/>
      <c r="BW466" s="471"/>
      <c r="BX466" s="471"/>
      <c r="BY466" s="471"/>
      <c r="BZ466" s="471"/>
      <c r="CA466" s="471">
        <f>COUNTIF(AI466:AW466,"*OK*")</f>
        <v>1</v>
      </c>
      <c r="CB466" s="471"/>
      <c r="CC466" s="471">
        <f>COUNTIF(AI466:AW466,"*OP*")</f>
        <v>2</v>
      </c>
    </row>
    <row r="467" spans="1:81" ht="15" customHeight="1">
      <c r="A467" s="449"/>
      <c r="B467" s="450"/>
      <c r="C467" s="451">
        <f>T467</f>
        <v>3510.54</v>
      </c>
      <c r="D467" s="450">
        <f>COUNTIF(AI467:AW467,"*OK*")</f>
        <v>0</v>
      </c>
      <c r="E467" s="450"/>
      <c r="F467" s="452" t="s">
        <v>1297</v>
      </c>
      <c r="G467" s="450"/>
      <c r="H467" s="454"/>
      <c r="I467" s="454"/>
      <c r="J467" s="453" t="s">
        <v>1297</v>
      </c>
      <c r="K467" s="455" t="s">
        <v>79</v>
      </c>
      <c r="L467" s="568" t="s">
        <v>442</v>
      </c>
      <c r="M467" s="568"/>
      <c r="N467" s="466" t="s">
        <v>65</v>
      </c>
      <c r="O467" s="643">
        <v>2852.64</v>
      </c>
      <c r="P467" s="643">
        <v>2862.77</v>
      </c>
      <c r="Q467" s="643">
        <v>2889.44</v>
      </c>
      <c r="R467" s="644">
        <v>3071.38</v>
      </c>
      <c r="S467" s="459">
        <v>3295.2622000000001</v>
      </c>
      <c r="T467" s="660">
        <v>3510.54</v>
      </c>
      <c r="U467" s="461"/>
      <c r="V467" s="462">
        <v>200</v>
      </c>
      <c r="W467" s="463"/>
      <c r="X467" s="465" t="s">
        <v>70</v>
      </c>
      <c r="Y467" s="465" t="s">
        <v>139</v>
      </c>
      <c r="Z467" s="466" t="s">
        <v>1298</v>
      </c>
      <c r="AA467" s="462" t="s">
        <v>59</v>
      </c>
      <c r="AB467" s="454"/>
      <c r="AC467" s="450"/>
      <c r="AD467" s="450"/>
      <c r="AE467" s="450"/>
      <c r="AF467" s="450"/>
      <c r="AG467" s="450"/>
      <c r="AH467" s="489" t="s">
        <v>59</v>
      </c>
      <c r="AI467" s="661"/>
      <c r="AJ467" s="661"/>
      <c r="AK467" s="661"/>
      <c r="AL467" s="661"/>
      <c r="AM467" s="661"/>
      <c r="AN467" s="661"/>
      <c r="AO467" s="661"/>
      <c r="AP467" s="661"/>
      <c r="AQ467" s="661"/>
      <c r="AR467" s="661"/>
      <c r="AS467" s="661"/>
      <c r="AT467" s="661"/>
      <c r="AU467" s="661"/>
      <c r="AV467" s="661"/>
      <c r="AW467" s="661"/>
      <c r="AX467" s="661"/>
      <c r="AY467" s="662">
        <f>COUNTIF(AI467:AX467,"*OP*")</f>
        <v>0</v>
      </c>
      <c r="AZ467" s="489" t="s">
        <v>59</v>
      </c>
      <c r="BA467" s="450">
        <f>(COUNTIF(AI467:AK467,"*OK*")*3) + (COUNTIF(AL467:AN467,"*OK*")*2) + COUNTIF(AO467:AQ467,"*OK*")+COUNTIF(AZ467:AZ467,"SI")*0.5</f>
        <v>0</v>
      </c>
      <c r="BB467" s="450" t="str">
        <f>IF(BA467&lt;0.6,"Demasiado Riesgo",IF(BA467&lt;=5,"Riesgo Medio",IF(BA467&lt;=11,"Riesgo Bajo","Cliente Blindado")))</f>
        <v>Demasiado Riesgo</v>
      </c>
      <c r="BC467" s="450"/>
      <c r="BD467" s="450"/>
      <c r="BE467" s="450">
        <v>0</v>
      </c>
      <c r="BF467" s="450"/>
      <c r="BG467" s="450"/>
      <c r="BH467" s="450"/>
      <c r="BI467" s="450"/>
      <c r="BJ467" s="450"/>
      <c r="BK467" s="450"/>
      <c r="BL467" s="450"/>
      <c r="BM467" s="450"/>
      <c r="BN467" s="450"/>
      <c r="BO467" s="450"/>
      <c r="BP467" s="450"/>
      <c r="BQ467" s="450"/>
      <c r="BR467" s="450"/>
      <c r="BS467" s="450"/>
      <c r="BT467" s="450"/>
      <c r="BU467" s="450"/>
      <c r="BV467" s="450"/>
      <c r="BW467" s="450"/>
      <c r="BX467" s="450"/>
      <c r="BY467" s="450"/>
      <c r="BZ467" s="450"/>
      <c r="CA467" s="450">
        <f>COUNTIF(AI467:AW467,"*OK*")</f>
        <v>0</v>
      </c>
      <c r="CB467" s="450"/>
      <c r="CC467" s="450">
        <f>COUNTIF(AI467:AW467,"*OP*")</f>
        <v>0</v>
      </c>
    </row>
    <row r="468" spans="1:81" ht="15" customHeight="1">
      <c r="A468" s="449">
        <v>21115</v>
      </c>
      <c r="B468" s="450"/>
      <c r="C468" s="451">
        <f>T468</f>
        <v>3750.85</v>
      </c>
      <c r="D468" s="450">
        <f>COUNTIF(AI468:AW468,"*OK*")</f>
        <v>1</v>
      </c>
      <c r="E468" s="450" t="s">
        <v>1115</v>
      </c>
      <c r="F468" s="452" t="s">
        <v>1299</v>
      </c>
      <c r="G468" s="453" t="s">
        <v>1287</v>
      </c>
      <c r="H468" s="463"/>
      <c r="I468" s="463"/>
      <c r="J468" s="453"/>
      <c r="K468" s="552" t="s">
        <v>79</v>
      </c>
      <c r="L468" s="453" t="s">
        <v>442</v>
      </c>
      <c r="M468" s="453"/>
      <c r="N468" s="466" t="s">
        <v>65</v>
      </c>
      <c r="O468" s="643">
        <v>2906</v>
      </c>
      <c r="P468" s="643">
        <v>2906</v>
      </c>
      <c r="Q468" s="643">
        <v>3706</v>
      </c>
      <c r="R468" s="644">
        <v>2906</v>
      </c>
      <c r="S468" s="459">
        <v>2906</v>
      </c>
      <c r="T468" s="660">
        <v>3750.85</v>
      </c>
      <c r="U468" s="461"/>
      <c r="V468" s="462">
        <v>2000</v>
      </c>
      <c r="W468" s="463"/>
      <c r="X468" s="465" t="s">
        <v>245</v>
      </c>
      <c r="Y468" s="465" t="s">
        <v>80</v>
      </c>
      <c r="Z468" s="466" t="s">
        <v>1300</v>
      </c>
      <c r="AA468" s="462" t="s">
        <v>59</v>
      </c>
      <c r="AB468" s="463" t="s">
        <v>92</v>
      </c>
      <c r="AC468" s="450"/>
      <c r="AD468" s="450" t="s">
        <v>1114</v>
      </c>
      <c r="AE468" s="450" t="s">
        <v>1289</v>
      </c>
      <c r="AF468" s="450"/>
      <c r="AG468" s="450"/>
      <c r="AH468" s="489" t="s">
        <v>59</v>
      </c>
      <c r="AI468" s="661"/>
      <c r="AJ468" s="661"/>
      <c r="AK468" s="661"/>
      <c r="AL468" s="661"/>
      <c r="AM468" s="661"/>
      <c r="AN468" s="661"/>
      <c r="AO468" s="661" t="s">
        <v>415</v>
      </c>
      <c r="AP468" s="661" t="s">
        <v>171</v>
      </c>
      <c r="AQ468" s="661"/>
      <c r="AR468" s="661"/>
      <c r="AS468" s="661"/>
      <c r="AT468" s="661"/>
      <c r="AU468" s="661"/>
      <c r="AV468" s="661"/>
      <c r="AW468" s="661"/>
      <c r="AX468" s="661"/>
      <c r="AY468" s="662">
        <f>COUNTIF(AI468:AX468,"*OP*")</f>
        <v>1</v>
      </c>
      <c r="AZ468" s="489" t="s">
        <v>59</v>
      </c>
      <c r="BA468" s="450">
        <f>(COUNTIF(AI468:AK468,"*OK*")*3) + (COUNTIF(AL468:AN468,"*OK*")*2) + COUNTIF(AO468:AQ468,"*OK*")+COUNTIF(AZ468:AZ468,"SI")*0.5</f>
        <v>1</v>
      </c>
      <c r="BB468" s="450" t="str">
        <f>IF(BA468&lt;0.6,"Demasiado Riesgo",IF(BA468&lt;=5,"Riesgo Medio",IF(BA468&lt;=11,"Riesgo Bajo","Cliente Blindado")))</f>
        <v>Riesgo Medio</v>
      </c>
      <c r="BC468" s="450" t="s">
        <v>1257</v>
      </c>
      <c r="BD468" s="450"/>
      <c r="BE468" s="450">
        <v>0</v>
      </c>
      <c r="BF468" s="450"/>
      <c r="BG468" s="450"/>
      <c r="BH468" s="450"/>
      <c r="BI468" s="450"/>
      <c r="BJ468" s="450"/>
      <c r="BK468" s="450"/>
      <c r="BL468" s="450"/>
      <c r="BM468" s="450"/>
      <c r="BN468" s="450"/>
      <c r="BO468" s="450"/>
      <c r="BP468" s="450"/>
      <c r="BQ468" s="450"/>
      <c r="BR468" s="450"/>
      <c r="BS468" s="450"/>
      <c r="BT468" s="450"/>
      <c r="BU468" s="450"/>
      <c r="BV468" s="450"/>
      <c r="BW468" s="450"/>
      <c r="BX468" s="450"/>
      <c r="BY468" s="450"/>
      <c r="BZ468" s="450"/>
      <c r="CA468" s="450">
        <f>COUNTIF(AI468:AW468,"*OK*")</f>
        <v>1</v>
      </c>
      <c r="CB468" s="450"/>
      <c r="CC468" s="450">
        <f>COUNTIF(AI468:AW468,"*OP*")</f>
        <v>1</v>
      </c>
    </row>
    <row r="469" spans="1:81" ht="15" customHeight="1">
      <c r="A469" s="470">
        <v>7126</v>
      </c>
      <c r="B469" s="471"/>
      <c r="C469" s="451">
        <f>T469</f>
        <v>4182.7700000000004</v>
      </c>
      <c r="D469" s="471">
        <f>COUNTIF(AI469:AW469,"*OK*")</f>
        <v>1</v>
      </c>
      <c r="E469" s="471"/>
      <c r="F469" s="472" t="s">
        <v>1301</v>
      </c>
      <c r="G469" s="473"/>
      <c r="H469" s="481"/>
      <c r="I469" s="481"/>
      <c r="J469" s="473"/>
      <c r="K469" s="556" t="s">
        <v>79</v>
      </c>
      <c r="L469" s="473" t="s">
        <v>442</v>
      </c>
      <c r="M469" s="473"/>
      <c r="N469" s="484" t="s">
        <v>65</v>
      </c>
      <c r="O469" s="639">
        <v>4214.41</v>
      </c>
      <c r="P469" s="639">
        <v>3964.51</v>
      </c>
      <c r="Q469" s="639">
        <v>3887.79</v>
      </c>
      <c r="R469" s="640">
        <v>4227.6400000000003</v>
      </c>
      <c r="S469" s="459">
        <v>4237.0509000000002</v>
      </c>
      <c r="T469" s="656">
        <v>4182.7700000000004</v>
      </c>
      <c r="U469" s="479"/>
      <c r="V469" s="480">
        <v>600</v>
      </c>
      <c r="W469" s="481"/>
      <c r="X469" s="483" t="s">
        <v>828</v>
      </c>
      <c r="Y469" s="483" t="s">
        <v>360</v>
      </c>
      <c r="Z469" s="484" t="s">
        <v>1302</v>
      </c>
      <c r="AA469" s="480" t="s">
        <v>59</v>
      </c>
      <c r="AB469" s="481" t="s">
        <v>97</v>
      </c>
      <c r="AC469" s="471"/>
      <c r="AD469" s="471" t="s">
        <v>1114</v>
      </c>
      <c r="AE469" s="471" t="s">
        <v>1303</v>
      </c>
      <c r="AF469" s="471"/>
      <c r="AG469" s="471"/>
      <c r="AH469" s="536" t="s">
        <v>59</v>
      </c>
      <c r="AI469" s="661" t="s">
        <v>650</v>
      </c>
      <c r="AJ469" s="661"/>
      <c r="AK469" s="661"/>
      <c r="AL469" s="661"/>
      <c r="AM469" s="661"/>
      <c r="AN469" s="661"/>
      <c r="AO469" s="661"/>
      <c r="AP469" s="661"/>
      <c r="AQ469" s="661"/>
      <c r="AR469" s="661"/>
      <c r="AS469" s="661" t="s">
        <v>1213</v>
      </c>
      <c r="AT469" s="661"/>
      <c r="AU469" s="661"/>
      <c r="AV469" s="661"/>
      <c r="AW469" s="661"/>
      <c r="AX469" s="661"/>
      <c r="AY469" s="662">
        <f>COUNTIF(AI469:AX469,"*OP*")</f>
        <v>1</v>
      </c>
      <c r="AZ469" s="536" t="s">
        <v>59</v>
      </c>
      <c r="BA469" s="471">
        <f>(COUNTIF(AI469:AK469,"*OK*")*3) + (COUNTIF(AL469:AN469,"*OK*")*2) + COUNTIF(AO469:AQ469,"*OK*")+COUNTIF(AZ469:AZ469,"SI")*0.5</f>
        <v>0</v>
      </c>
      <c r="BB469" s="471" t="str">
        <f>IF(BA469&lt;0.6,"Demasiado Riesgo",IF(BA469&lt;=5,"Riesgo Medio",IF(BA469&lt;=11,"Riesgo Bajo","Cliente Blindado")))</f>
        <v>Demasiado Riesgo</v>
      </c>
      <c r="BC469" s="471"/>
      <c r="BD469" s="471"/>
      <c r="BE469" s="471">
        <v>0</v>
      </c>
      <c r="BF469" s="471"/>
      <c r="BG469" s="471"/>
      <c r="BH469" s="471"/>
      <c r="BI469" s="471"/>
      <c r="BJ469" s="471"/>
      <c r="BK469" s="471"/>
      <c r="BL469" s="471"/>
      <c r="BM469" s="471"/>
      <c r="BN469" s="471"/>
      <c r="BO469" s="471"/>
      <c r="BP469" s="471"/>
      <c r="BQ469" s="471"/>
      <c r="BR469" s="471"/>
      <c r="BS469" s="471"/>
      <c r="BT469" s="471"/>
      <c r="BU469" s="471"/>
      <c r="BV469" s="471"/>
      <c r="BW469" s="471"/>
      <c r="BX469" s="471"/>
      <c r="BY469" s="471"/>
      <c r="BZ469" s="471"/>
      <c r="CA469" s="471">
        <f>COUNTIF(AI469:AW469,"*OK*")</f>
        <v>1</v>
      </c>
      <c r="CB469" s="471"/>
      <c r="CC469" s="471">
        <f>COUNTIF(AI469:AW469,"*OP*")</f>
        <v>1</v>
      </c>
    </row>
    <row r="470" spans="1:81" ht="15" customHeight="1">
      <c r="A470" s="449">
        <v>24596</v>
      </c>
      <c r="B470" s="450"/>
      <c r="C470" s="451">
        <f>T470</f>
        <v>5285.23</v>
      </c>
      <c r="D470" s="450">
        <f>COUNTIF(AI470:AW470,"*OK*")</f>
        <v>1</v>
      </c>
      <c r="E470" s="450"/>
      <c r="F470" s="452" t="s">
        <v>1304</v>
      </c>
      <c r="G470" s="453" t="s">
        <v>1305</v>
      </c>
      <c r="H470" s="463"/>
      <c r="I470" s="463"/>
      <c r="J470" s="453"/>
      <c r="K470" s="552" t="s">
        <v>79</v>
      </c>
      <c r="L470" s="453" t="s">
        <v>442</v>
      </c>
      <c r="M470" s="453"/>
      <c r="N470" s="466" t="s">
        <v>65</v>
      </c>
      <c r="O470" s="643">
        <v>4855.91</v>
      </c>
      <c r="P470" s="643">
        <v>5513.91</v>
      </c>
      <c r="Q470" s="643">
        <v>5601.06</v>
      </c>
      <c r="R470" s="644">
        <v>5689.01</v>
      </c>
      <c r="S470" s="459">
        <v>5229.4378999999999</v>
      </c>
      <c r="T470" s="660">
        <v>5285.23</v>
      </c>
      <c r="U470" s="461"/>
      <c r="V470" s="462">
        <v>120</v>
      </c>
      <c r="W470" s="463"/>
      <c r="X470" s="465" t="s">
        <v>283</v>
      </c>
      <c r="Y470" s="465" t="s">
        <v>161</v>
      </c>
      <c r="Z470" s="466" t="s">
        <v>1306</v>
      </c>
      <c r="AA470" s="462" t="s">
        <v>59</v>
      </c>
      <c r="AB470" s="463" t="s">
        <v>92</v>
      </c>
      <c r="AC470" s="450"/>
      <c r="AD470" s="450" t="s">
        <v>1114</v>
      </c>
      <c r="AE470" s="450" t="s">
        <v>1303</v>
      </c>
      <c r="AF470" s="450"/>
      <c r="AG470" s="450"/>
      <c r="AH470" s="489" t="s">
        <v>59</v>
      </c>
      <c r="AI470" s="661"/>
      <c r="AJ470" s="661"/>
      <c r="AK470" s="661"/>
      <c r="AL470" s="661"/>
      <c r="AM470" s="661"/>
      <c r="AN470" s="661" t="s">
        <v>1307</v>
      </c>
      <c r="AO470" s="661"/>
      <c r="AP470" s="661"/>
      <c r="AQ470" s="661"/>
      <c r="AR470" s="661"/>
      <c r="AS470" s="661"/>
      <c r="AT470" s="661"/>
      <c r="AU470" s="661"/>
      <c r="AV470" s="661"/>
      <c r="AW470" s="661"/>
      <c r="AX470" s="661"/>
      <c r="AY470" s="662">
        <f>COUNTIF(AI470:AX470,"*OP*")</f>
        <v>0</v>
      </c>
      <c r="AZ470" s="489" t="s">
        <v>59</v>
      </c>
      <c r="BA470" s="450">
        <f>(COUNTIF(AI470:AK470,"*OK*")*3) + (COUNTIF(AL470:AN470,"*OK*")*2) + COUNTIF(AO470:AQ470,"*OK*")+COUNTIF(AZ470:AZ470,"SI")*0.5</f>
        <v>2</v>
      </c>
      <c r="BB470" s="450" t="str">
        <f>IF(BA470&lt;0.6,"Demasiado Riesgo",IF(BA470&lt;=5,"Riesgo Medio",IF(BA470&lt;=11,"Riesgo Bajo","Cliente Blindado")))</f>
        <v>Riesgo Medio</v>
      </c>
      <c r="BC470" s="450"/>
      <c r="BD470" s="450"/>
      <c r="BE470" s="450">
        <v>0</v>
      </c>
      <c r="BF470" s="450"/>
      <c r="BG470" s="450"/>
      <c r="BH470" s="450"/>
      <c r="BI470" s="450"/>
      <c r="BJ470" s="450"/>
      <c r="BK470" s="450"/>
      <c r="BL470" s="450"/>
      <c r="BM470" s="450"/>
      <c r="BN470" s="450"/>
      <c r="BO470" s="450"/>
      <c r="BP470" s="450"/>
      <c r="BQ470" s="450"/>
      <c r="BR470" s="450"/>
      <c r="BS470" s="450"/>
      <c r="BT470" s="450"/>
      <c r="BU470" s="450"/>
      <c r="BV470" s="450"/>
      <c r="BW470" s="450"/>
      <c r="BX470" s="450"/>
      <c r="BY470" s="450"/>
      <c r="BZ470" s="450"/>
      <c r="CA470" s="450">
        <f>COUNTIF(AI470:AW470,"*OK*")</f>
        <v>1</v>
      </c>
      <c r="CB470" s="450"/>
      <c r="CC470" s="450">
        <f>COUNTIF(AI470:AW470,"*OP*")</f>
        <v>0</v>
      </c>
    </row>
    <row r="471" spans="1:81" ht="15" customHeight="1">
      <c r="A471" s="449">
        <v>3468</v>
      </c>
      <c r="B471" s="450"/>
      <c r="C471" s="451" t="str">
        <f>T471</f>
        <v> </v>
      </c>
      <c r="D471" s="450">
        <f>COUNTIF(AI471:AW471,"*OK*")</f>
        <v>0</v>
      </c>
      <c r="E471" s="450"/>
      <c r="F471" s="665" t="s">
        <v>1308</v>
      </c>
      <c r="G471" s="450"/>
      <c r="H471" s="666" t="s">
        <v>1309</v>
      </c>
      <c r="I471" s="666"/>
      <c r="J471" s="450" t="s">
        <v>1297</v>
      </c>
      <c r="K471" s="501"/>
      <c r="L471" s="450" t="s">
        <v>442</v>
      </c>
      <c r="M471" s="450"/>
      <c r="N471" s="466" t="s">
        <v>488</v>
      </c>
      <c r="O471" s="667"/>
      <c r="P471" s="667"/>
      <c r="Q471" s="667"/>
      <c r="R471" s="668">
        <v>2098.89</v>
      </c>
      <c r="S471" s="459"/>
      <c r="T471" s="669" t="s">
        <v>59</v>
      </c>
      <c r="U471" s="461"/>
      <c r="V471" s="462"/>
      <c r="W471" s="450"/>
      <c r="X471" s="562" t="s">
        <v>70</v>
      </c>
      <c r="Y471" s="465" t="s">
        <v>89</v>
      </c>
      <c r="Z471" s="466" t="s">
        <v>1310</v>
      </c>
      <c r="AA471" s="496" t="s">
        <v>59</v>
      </c>
      <c r="AB471" s="454" t="s">
        <v>92</v>
      </c>
      <c r="AC471" s="450"/>
      <c r="AD471" s="450"/>
      <c r="AE471" s="450"/>
      <c r="AF471" s="450"/>
      <c r="AG471" s="450"/>
      <c r="AH471" s="489" t="s">
        <v>1311</v>
      </c>
      <c r="AI471" s="661"/>
      <c r="AJ471" s="661"/>
      <c r="AK471" s="661" t="s">
        <v>171</v>
      </c>
      <c r="AL471" s="661"/>
      <c r="AM471" s="661"/>
      <c r="AN471" s="661"/>
      <c r="AO471" s="661"/>
      <c r="AP471" s="661"/>
      <c r="AQ471" s="661"/>
      <c r="AR471" s="661"/>
      <c r="AS471" s="661"/>
      <c r="AT471" s="661"/>
      <c r="AU471" s="661"/>
      <c r="AV471" s="661"/>
      <c r="AW471" s="661"/>
      <c r="AX471" s="661"/>
      <c r="AY471" s="662">
        <f>COUNTIF(AI471:AX471,"*OP*")</f>
        <v>1</v>
      </c>
      <c r="AZ471" s="489" t="s">
        <v>59</v>
      </c>
      <c r="BA471" s="450">
        <f>(COUNTIF(AI471:AK471,"*OK*")*3) + (COUNTIF(AL471:AN471,"*OK*")*2) + COUNTIF(AO471:AQ471,"*OK*")+COUNTIF(AZ471:AZ471,"SI")*0.5</f>
        <v>0</v>
      </c>
      <c r="BB471" s="450" t="str">
        <f>IF(BA471&lt;0.6,"Demasiado Riesgo",IF(BA471&lt;=5,"Riesgo Medio",IF(BA471&lt;=11,"Riesgo Bajo","Cliente Blindado")))</f>
        <v>Demasiado Riesgo</v>
      </c>
      <c r="BC471" s="450"/>
      <c r="BD471" s="450"/>
      <c r="BE471" s="450">
        <v>0</v>
      </c>
      <c r="BF471" s="450"/>
      <c r="BG471" s="450"/>
      <c r="BH471" s="450"/>
      <c r="BI471" s="450"/>
      <c r="BJ471" s="450"/>
      <c r="BK471" s="450"/>
      <c r="BL471" s="450"/>
      <c r="BM471" s="450"/>
      <c r="BN471" s="450"/>
      <c r="BO471" s="450"/>
      <c r="BP471" s="450"/>
      <c r="BQ471" s="450"/>
      <c r="BR471" s="450"/>
      <c r="BS471" s="450"/>
      <c r="BT471" s="450"/>
      <c r="BU471" s="450"/>
      <c r="BV471" s="450"/>
      <c r="BW471" s="450"/>
      <c r="BX471" s="450"/>
      <c r="BY471" s="450"/>
      <c r="BZ471" s="450"/>
      <c r="CA471" s="450">
        <f>COUNTIF(AI471:AW471,"*OK*")</f>
        <v>0</v>
      </c>
      <c r="CB471" s="450"/>
      <c r="CC471" s="450">
        <f>COUNTIF(AI471:AW471,"*OP*")</f>
        <v>1</v>
      </c>
    </row>
    <row r="472" spans="1:81" ht="15" customHeight="1">
      <c r="A472" s="449">
        <v>26509</v>
      </c>
      <c r="B472" s="450"/>
      <c r="C472" s="451" t="str">
        <f>T472</f>
        <v> </v>
      </c>
      <c r="D472" s="450">
        <f>COUNTIF(AI472:AW472,"*OK*")</f>
        <v>1</v>
      </c>
      <c r="E472" s="450"/>
      <c r="F472" s="453" t="s">
        <v>1312</v>
      </c>
      <c r="G472" s="453"/>
      <c r="H472" s="463"/>
      <c r="I472" s="463"/>
      <c r="J472" s="453"/>
      <c r="K472" s="552" t="s">
        <v>79</v>
      </c>
      <c r="L472" s="453" t="s">
        <v>442</v>
      </c>
      <c r="M472" s="453"/>
      <c r="N472" s="466" t="s">
        <v>103</v>
      </c>
      <c r="O472" s="643">
        <v>999.06</v>
      </c>
      <c r="P472" s="643">
        <v>877.49</v>
      </c>
      <c r="Q472" s="643">
        <v>775.38</v>
      </c>
      <c r="R472" s="644">
        <v>847.19</v>
      </c>
      <c r="S472" s="459"/>
      <c r="T472" s="655" t="s">
        <v>59</v>
      </c>
      <c r="U472" s="461"/>
      <c r="V472" s="462">
        <v>300</v>
      </c>
      <c r="W472" s="463"/>
      <c r="X472" s="465" t="s">
        <v>70</v>
      </c>
      <c r="Y472" s="465" t="s">
        <v>268</v>
      </c>
      <c r="Z472" s="466" t="s">
        <v>1313</v>
      </c>
      <c r="AA472" s="462" t="s">
        <v>59</v>
      </c>
      <c r="AB472" s="463" t="s">
        <v>92</v>
      </c>
      <c r="AC472" s="450"/>
      <c r="AD472" s="450" t="s">
        <v>1101</v>
      </c>
      <c r="AE472" s="450"/>
      <c r="AF472" s="450"/>
      <c r="AG472" s="450"/>
      <c r="AH472" s="489" t="s">
        <v>127</v>
      </c>
      <c r="AI472" s="661"/>
      <c r="AJ472" s="661"/>
      <c r="AK472" s="661"/>
      <c r="AL472" s="661"/>
      <c r="AM472" s="661"/>
      <c r="AN472" s="661"/>
      <c r="AO472" s="661"/>
      <c r="AP472" s="664" t="s">
        <v>111</v>
      </c>
      <c r="AQ472" s="661"/>
      <c r="AR472" s="661"/>
      <c r="AS472" s="661"/>
      <c r="AT472" s="661"/>
      <c r="AU472" s="661"/>
      <c r="AV472" s="661"/>
      <c r="AW472" s="661"/>
      <c r="AX472" s="661"/>
      <c r="AY472" s="662">
        <f>COUNTIF(AI472:AX472,"*OP*")</f>
        <v>0</v>
      </c>
      <c r="AZ472" s="489" t="s">
        <v>176</v>
      </c>
      <c r="BA472" s="450">
        <f>(COUNTIF(AI472:AK472,"*OK*")*3) + (COUNTIF(AL472:AN472,"*OK*")*2) + COUNTIF(AO472:AQ472,"*OK*")+COUNTIF(AZ472:AZ472,"SI")*0.5</f>
        <v>1</v>
      </c>
      <c r="BB472" s="450" t="str">
        <f>IF(BA472&lt;0.6,"Demasiado Riesgo",IF(BA472&lt;=5,"Riesgo Medio",IF(BA472&lt;=11,"Riesgo Bajo","Cliente Blindado")))</f>
        <v>Riesgo Medio</v>
      </c>
      <c r="BC472" s="450"/>
      <c r="BD472" s="450"/>
      <c r="BE472" s="450">
        <v>0</v>
      </c>
      <c r="BF472" s="450"/>
      <c r="BG472" s="450"/>
      <c r="BH472" s="450"/>
      <c r="BI472" s="450"/>
      <c r="BJ472" s="450"/>
      <c r="BK472" s="450"/>
      <c r="BL472" s="450"/>
      <c r="BM472" s="450"/>
      <c r="BN472" s="450"/>
      <c r="BO472" s="450"/>
      <c r="BP472" s="450"/>
      <c r="BQ472" s="450"/>
      <c r="BR472" s="450"/>
      <c r="BS472" s="450"/>
      <c r="BT472" s="450"/>
      <c r="BU472" s="450"/>
      <c r="BV472" s="450"/>
      <c r="BW472" s="450"/>
      <c r="BX472" s="450"/>
      <c r="BY472" s="450"/>
      <c r="BZ472" s="450"/>
      <c r="CA472" s="450">
        <f>COUNTIF(AI472:AW472,"*OK*")</f>
        <v>1</v>
      </c>
      <c r="CB472" s="450"/>
      <c r="CC472" s="450">
        <f>COUNTIF(AI472:AW472,"*OP*")</f>
        <v>0</v>
      </c>
    </row>
    <row r="473" spans="1:81" ht="15" customHeight="1">
      <c r="A473" s="449">
        <v>1049</v>
      </c>
      <c r="B473" s="450"/>
      <c r="C473" s="451" t="str">
        <f>T473</f>
        <v> </v>
      </c>
      <c r="D473" s="450">
        <f>COUNTIF(AI473:AW473,"*OK*")</f>
        <v>0</v>
      </c>
      <c r="E473" s="450"/>
      <c r="F473" s="453" t="s">
        <v>1314</v>
      </c>
      <c r="G473" s="453"/>
      <c r="H473" s="463"/>
      <c r="I473" s="463"/>
      <c r="J473" s="453"/>
      <c r="K473" s="552" t="s">
        <v>79</v>
      </c>
      <c r="L473" s="453" t="s">
        <v>442</v>
      </c>
      <c r="M473" s="453"/>
      <c r="N473" s="466" t="s">
        <v>65</v>
      </c>
      <c r="O473" s="643">
        <v>693.8</v>
      </c>
      <c r="P473" s="643">
        <v>563.30999999999995</v>
      </c>
      <c r="Q473" s="643">
        <v>508.94</v>
      </c>
      <c r="R473" s="644">
        <v>438.97</v>
      </c>
      <c r="S473" s="459">
        <v>415.7022</v>
      </c>
      <c r="T473" s="655" t="s">
        <v>59</v>
      </c>
      <c r="U473" s="461"/>
      <c r="V473" s="462">
        <v>400</v>
      </c>
      <c r="W473" s="463"/>
      <c r="X473" s="465" t="s">
        <v>283</v>
      </c>
      <c r="Y473" s="465" t="s">
        <v>150</v>
      </c>
      <c r="Z473" s="466" t="s">
        <v>1315</v>
      </c>
      <c r="AA473" s="462" t="s">
        <v>59</v>
      </c>
      <c r="AB473" s="463" t="s">
        <v>84</v>
      </c>
      <c r="AC473" s="450"/>
      <c r="AD473" s="450" t="s">
        <v>1101</v>
      </c>
      <c r="AE473" s="450"/>
      <c r="AF473" s="450"/>
      <c r="AG473" s="450"/>
      <c r="AH473" s="489"/>
      <c r="AI473" s="661"/>
      <c r="AJ473" s="661"/>
      <c r="AK473" s="661"/>
      <c r="AL473" s="661"/>
      <c r="AM473" s="661"/>
      <c r="AN473" s="661"/>
      <c r="AO473" s="661"/>
      <c r="AP473" s="661"/>
      <c r="AQ473" s="661"/>
      <c r="AR473" s="661"/>
      <c r="AS473" s="661"/>
      <c r="AT473" s="661"/>
      <c r="AU473" s="661"/>
      <c r="AV473" s="661"/>
      <c r="AW473" s="661"/>
      <c r="AX473" s="661"/>
      <c r="AY473" s="662">
        <f>COUNTIF(AI473:AX473,"*OP*")</f>
        <v>0</v>
      </c>
      <c r="AZ473" s="489" t="s">
        <v>59</v>
      </c>
      <c r="BA473" s="450">
        <f>(COUNTIF(AI473:AK473,"*OK*")*3) + (COUNTIF(AL473:AN473,"*OK*")*2) + COUNTIF(AO473:AQ473,"*OK*")+COUNTIF(AZ473:AZ473,"SI")*0.5</f>
        <v>0</v>
      </c>
      <c r="BB473" s="450" t="str">
        <f>IF(BA473&lt;0.6,"Demasiado Riesgo",IF(BA473&lt;=5,"Riesgo Medio",IF(BA473&lt;=11,"Riesgo Bajo","Cliente Blindado")))</f>
        <v>Demasiado Riesgo</v>
      </c>
      <c r="BC473" s="450"/>
      <c r="BD473" s="450"/>
      <c r="BE473" s="450">
        <v>0</v>
      </c>
      <c r="BF473" s="450"/>
      <c r="BG473" s="450"/>
      <c r="BH473" s="450"/>
      <c r="BI473" s="450"/>
      <c r="BJ473" s="450"/>
      <c r="BK473" s="450"/>
      <c r="BL473" s="450"/>
      <c r="BM473" s="450"/>
      <c r="BN473" s="450"/>
      <c r="BO473" s="450"/>
      <c r="BP473" s="450"/>
      <c r="BQ473" s="450"/>
      <c r="BR473" s="450"/>
      <c r="BS473" s="450"/>
      <c r="BT473" s="450"/>
      <c r="BU473" s="450"/>
      <c r="BV473" s="450"/>
      <c r="BW473" s="450"/>
      <c r="BX473" s="450"/>
      <c r="BY473" s="450"/>
      <c r="BZ473" s="450"/>
      <c r="CA473" s="450">
        <f>COUNTIF(AI473:AW473,"*OK*")</f>
        <v>0</v>
      </c>
      <c r="CB473" s="450"/>
      <c r="CC473" s="450">
        <f>COUNTIF(AI473:AW473,"*OP*")</f>
        <v>0</v>
      </c>
    </row>
    <row r="474" spans="1:81" ht="15" customHeight="1">
      <c r="A474" s="470">
        <v>18410</v>
      </c>
      <c r="B474" s="471"/>
      <c r="C474" s="451" t="str">
        <f>T474</f>
        <v> </v>
      </c>
      <c r="D474" s="471">
        <f>COUNTIF(AI474:AW474,"*OK*")</f>
        <v>0</v>
      </c>
      <c r="E474" s="471"/>
      <c r="F474" s="473" t="s">
        <v>1316</v>
      </c>
      <c r="G474" s="471"/>
      <c r="H474" s="474"/>
      <c r="I474" s="474"/>
      <c r="J474" s="471" t="s">
        <v>1297</v>
      </c>
      <c r="K474" s="491"/>
      <c r="L474" s="471" t="s">
        <v>442</v>
      </c>
      <c r="M474" s="471"/>
      <c r="N474" s="484" t="s">
        <v>65</v>
      </c>
      <c r="O474" s="670"/>
      <c r="P474" s="670"/>
      <c r="Q474" s="670"/>
      <c r="R474" s="671">
        <v>307.82</v>
      </c>
      <c r="S474" s="672"/>
      <c r="T474" s="673" t="s">
        <v>59</v>
      </c>
      <c r="U474" s="479"/>
      <c r="V474" s="480">
        <v>100</v>
      </c>
      <c r="W474" s="471"/>
      <c r="X474" s="482" t="s">
        <v>70</v>
      </c>
      <c r="Y474" s="483" t="s">
        <v>108</v>
      </c>
      <c r="Z474" s="484" t="s">
        <v>1317</v>
      </c>
      <c r="AA474" s="494" t="s">
        <v>59</v>
      </c>
      <c r="AB474" s="474" t="s">
        <v>97</v>
      </c>
      <c r="AC474" s="471"/>
      <c r="AD474" s="471"/>
      <c r="AE474" s="471"/>
      <c r="AF474" s="471"/>
      <c r="AG474" s="471"/>
      <c r="AH474" s="536"/>
      <c r="AI474" s="661"/>
      <c r="AJ474" s="661"/>
      <c r="AK474" s="661"/>
      <c r="AL474" s="661"/>
      <c r="AM474" s="661"/>
      <c r="AN474" s="661"/>
      <c r="AO474" s="661"/>
      <c r="AP474" s="661"/>
      <c r="AQ474" s="661"/>
      <c r="AR474" s="661"/>
      <c r="AS474" s="661"/>
      <c r="AT474" s="661"/>
      <c r="AU474" s="661"/>
      <c r="AV474" s="661"/>
      <c r="AW474" s="661"/>
      <c r="AX474" s="661"/>
      <c r="AY474" s="662">
        <f>COUNTIF(AI474:AX474,"*OP*")</f>
        <v>0</v>
      </c>
      <c r="AZ474" s="536" t="s">
        <v>59</v>
      </c>
      <c r="BA474" s="471">
        <f>(COUNTIF(AI474:AK474,"*OK*")*3) + (COUNTIF(AL474:AN474,"*OK*")*2) + COUNTIF(AO474:AQ474,"*OK*")+COUNTIF(AZ474:AZ474,"SI")*0.5</f>
        <v>0</v>
      </c>
      <c r="BB474" s="471" t="str">
        <f>IF(BA474&lt;0.6,"Demasiado Riesgo",IF(BA474&lt;=5,"Riesgo Medio",IF(BA474&lt;=11,"Riesgo Bajo","Cliente Blindado")))</f>
        <v>Demasiado Riesgo</v>
      </c>
      <c r="BC474" s="471"/>
      <c r="BD474" s="471"/>
      <c r="BE474" s="471">
        <v>0</v>
      </c>
      <c r="BF474" s="471"/>
      <c r="BG474" s="471"/>
      <c r="BH474" s="471"/>
      <c r="BI474" s="471"/>
      <c r="BJ474" s="471"/>
      <c r="BK474" s="471"/>
      <c r="BL474" s="471"/>
      <c r="BM474" s="471"/>
      <c r="BN474" s="471"/>
      <c r="BO474" s="471"/>
      <c r="BP474" s="471"/>
      <c r="BQ474" s="471"/>
      <c r="BR474" s="471"/>
      <c r="BS474" s="471"/>
      <c r="BT474" s="471"/>
      <c r="BU474" s="471"/>
      <c r="BV474" s="471"/>
      <c r="BW474" s="471"/>
      <c r="BX474" s="471"/>
      <c r="BY474" s="471"/>
      <c r="BZ474" s="471"/>
      <c r="CA474" s="471">
        <f>COUNTIF(AI474:AW474,"*OK*")</f>
        <v>0</v>
      </c>
      <c r="CB474" s="471"/>
      <c r="CC474" s="471">
        <f>COUNTIF(AI474:AW474,"*OP*")</f>
        <v>0</v>
      </c>
    </row>
    <row r="475" spans="1:81" ht="15" customHeight="1">
      <c r="A475" s="449"/>
      <c r="B475" s="450"/>
      <c r="C475" s="451" t="str">
        <f>T475</f>
        <v> </v>
      </c>
      <c r="D475" s="450">
        <f>COUNTIF(AI475:AW475,"*OK*")</f>
        <v>0</v>
      </c>
      <c r="E475" s="450"/>
      <c r="F475" s="453" t="s">
        <v>1318</v>
      </c>
      <c r="G475" s="453" t="s">
        <v>1103</v>
      </c>
      <c r="H475" s="463"/>
      <c r="I475" s="463"/>
      <c r="J475" s="453"/>
      <c r="K475" s="552" t="s">
        <v>79</v>
      </c>
      <c r="L475" s="453" t="s">
        <v>442</v>
      </c>
      <c r="M475" s="453"/>
      <c r="N475" s="466" t="s">
        <v>65</v>
      </c>
      <c r="O475" s="643">
        <v>162.41</v>
      </c>
      <c r="P475" s="643">
        <v>162.26</v>
      </c>
      <c r="Q475" s="643">
        <v>154.63</v>
      </c>
      <c r="R475" s="644">
        <v>159.61000000000001</v>
      </c>
      <c r="S475" s="459">
        <v>0</v>
      </c>
      <c r="T475" s="655" t="s">
        <v>59</v>
      </c>
      <c r="U475" s="461"/>
      <c r="V475" s="462">
        <v>150</v>
      </c>
      <c r="W475" s="463"/>
      <c r="X475" s="562" t="s">
        <v>70</v>
      </c>
      <c r="Y475" s="465" t="s">
        <v>241</v>
      </c>
      <c r="Z475" s="466" t="s">
        <v>1319</v>
      </c>
      <c r="AA475" s="462" t="s">
        <v>59</v>
      </c>
      <c r="AB475" s="463" t="s">
        <v>92</v>
      </c>
      <c r="AC475" s="450"/>
      <c r="AD475" s="450" t="s">
        <v>1101</v>
      </c>
      <c r="AE475" s="450"/>
      <c r="AF475" s="450"/>
      <c r="AG475" s="450"/>
      <c r="AH475" s="489"/>
      <c r="AI475" s="661"/>
      <c r="AJ475" s="661"/>
      <c r="AK475" s="661"/>
      <c r="AL475" s="661"/>
      <c r="AM475" s="661"/>
      <c r="AN475" s="661"/>
      <c r="AO475" s="661"/>
      <c r="AP475" s="661"/>
      <c r="AQ475" s="661"/>
      <c r="AR475" s="661"/>
      <c r="AS475" s="661"/>
      <c r="AT475" s="661"/>
      <c r="AU475" s="661"/>
      <c r="AV475" s="661"/>
      <c r="AW475" s="661"/>
      <c r="AX475" s="661"/>
      <c r="AY475" s="662">
        <f>COUNTIF(AI475:AX475,"*OP*")</f>
        <v>0</v>
      </c>
      <c r="AZ475" s="489" t="s">
        <v>59</v>
      </c>
      <c r="BA475" s="450">
        <f>(COUNTIF(AI475:AK475,"*OK*")*3) + (COUNTIF(AL475:AN475,"*OK*")*2) + COUNTIF(AO475:AQ475,"*OK*")+COUNTIF(AZ475:AZ475,"SI")*0.5</f>
        <v>0</v>
      </c>
      <c r="BB475" s="450" t="str">
        <f>IF(BA475&lt;0.6,"Demasiado Riesgo",IF(BA475&lt;=5,"Riesgo Medio",IF(BA475&lt;=11,"Riesgo Bajo","Cliente Blindado")))</f>
        <v>Demasiado Riesgo</v>
      </c>
      <c r="BC475" s="450"/>
      <c r="BD475" s="450"/>
      <c r="BE475" s="450">
        <v>0</v>
      </c>
      <c r="BF475" s="450"/>
      <c r="BG475" s="450"/>
      <c r="BH475" s="450"/>
      <c r="BI475" s="450"/>
      <c r="BJ475" s="450"/>
      <c r="BK475" s="450"/>
      <c r="BL475" s="450"/>
      <c r="BM475" s="450"/>
      <c r="BN475" s="450"/>
      <c r="BO475" s="450"/>
      <c r="BP475" s="450"/>
      <c r="BQ475" s="450"/>
      <c r="BR475" s="450"/>
      <c r="BS475" s="450"/>
      <c r="BT475" s="450"/>
      <c r="BU475" s="450"/>
      <c r="BV475" s="450"/>
      <c r="BW475" s="450"/>
      <c r="BX475" s="450"/>
      <c r="BY475" s="450"/>
      <c r="BZ475" s="450"/>
      <c r="CA475" s="450">
        <f>COUNTIF(AI475:AW475,"*OK*")</f>
        <v>0</v>
      </c>
      <c r="CB475" s="450"/>
      <c r="CC475" s="450">
        <f>COUNTIF(AI475:AW475,"*OP*")</f>
        <v>0</v>
      </c>
    </row>
    <row r="476" spans="1:81" s="448" customFormat="1" ht="15" customHeight="1">
      <c r="A476" s="470">
        <v>38629</v>
      </c>
      <c r="B476" s="527" t="s">
        <v>1320</v>
      </c>
      <c r="C476" s="500"/>
      <c r="D476" s="527">
        <f>COUNTIF(AM476:AX476,"OK")</f>
        <v>0</v>
      </c>
      <c r="E476" s="527"/>
      <c r="F476" s="527" t="s">
        <v>1321</v>
      </c>
      <c r="G476" s="527"/>
      <c r="H476" s="528"/>
      <c r="I476" s="528"/>
      <c r="J476" s="527" t="s">
        <v>1322</v>
      </c>
      <c r="K476" s="529" t="s">
        <v>79</v>
      </c>
      <c r="L476" s="527" t="s">
        <v>69</v>
      </c>
      <c r="M476" s="527"/>
      <c r="N476" s="530"/>
      <c r="O476" s="531"/>
      <c r="P476" s="531"/>
      <c r="Q476" s="531"/>
      <c r="R476" s="504"/>
      <c r="S476" s="504"/>
      <c r="T476" s="532">
        <v>34</v>
      </c>
      <c r="U476" s="461"/>
      <c r="V476" s="462" t="s">
        <v>59</v>
      </c>
      <c r="W476" s="527"/>
      <c r="X476" s="533"/>
      <c r="Y476" s="533"/>
      <c r="Z476" s="530"/>
      <c r="AA476" s="534" t="s">
        <v>59</v>
      </c>
      <c r="AB476" s="528"/>
      <c r="AC476" s="527"/>
      <c r="AD476" s="527"/>
      <c r="AE476" s="527"/>
      <c r="AF476" s="527"/>
      <c r="AG476" s="527"/>
      <c r="AH476" s="527"/>
      <c r="AY476" s="535">
        <f t="shared" ref="AY452:AY515" si="1">COUNTIF(AI476:AX476,"*OP*")</f>
        <v>0</v>
      </c>
      <c r="AZ476" s="527"/>
      <c r="BA476" s="527">
        <f>(COUNTIF(AI476:AK476,"*OK*")*3) + (COUNTIF(AL476:AN476,"*OK*")*2) + COUNTIF(AO476:AQ476,"*OK*")+COUNTIF(AZ476:AZ476,"SI")*0.5</f>
        <v>0</v>
      </c>
      <c r="BB476" s="527" t="str">
        <f>IF(BA476&lt;0.6,"Demasiado Riesgo",IF(BA476&lt;=5,"Riesgo Medio",IF(BA476&lt;=11,"Riesgo Bajo","Cliente Blindado")))</f>
        <v>Demasiado Riesgo</v>
      </c>
      <c r="BC476" s="527"/>
      <c r="BD476" s="527"/>
      <c r="BE476" s="527"/>
      <c r="BF476" s="527"/>
      <c r="BG476" s="527"/>
      <c r="BH476" s="527"/>
      <c r="BI476" s="527"/>
      <c r="BJ476" s="527"/>
      <c r="BK476" s="527"/>
      <c r="BL476" s="527"/>
      <c r="BM476" s="527"/>
      <c r="BN476" s="527"/>
      <c r="BO476" s="527"/>
      <c r="BP476" s="527"/>
      <c r="BQ476" s="527"/>
      <c r="BR476" s="527"/>
      <c r="BS476" s="527"/>
      <c r="BT476" s="527"/>
      <c r="BU476" s="527"/>
      <c r="BV476" s="527"/>
      <c r="BW476" s="527"/>
      <c r="BX476" s="527"/>
      <c r="BY476" s="527"/>
      <c r="BZ476" s="527"/>
      <c r="CA476" s="527">
        <f>COUNTIF(AI476:AW476,"*OK*")</f>
        <v>0</v>
      </c>
    </row>
    <row r="477" spans="1:81" ht="15" customHeight="1">
      <c r="A477" s="470"/>
      <c r="B477" s="471"/>
      <c r="C477" s="506"/>
      <c r="D477" s="471">
        <f>COUNTIF(AM477:AX477,"OK")</f>
        <v>0</v>
      </c>
      <c r="E477" s="471"/>
      <c r="F477" s="471"/>
      <c r="G477" s="471"/>
      <c r="H477" s="474"/>
      <c r="I477" s="474"/>
      <c r="J477" s="471"/>
      <c r="K477" s="491"/>
      <c r="L477" s="471"/>
      <c r="M477" s="471"/>
      <c r="N477" s="484"/>
      <c r="O477" s="507"/>
      <c r="P477" s="507"/>
      <c r="Q477" s="507"/>
      <c r="R477" s="508"/>
      <c r="S477" s="509"/>
      <c r="T477" s="510"/>
      <c r="U477" s="479"/>
      <c r="V477" s="480" t="s">
        <v>59</v>
      </c>
      <c r="W477" s="471"/>
      <c r="X477" s="483"/>
      <c r="Y477" s="483"/>
      <c r="Z477" s="484"/>
      <c r="AA477" s="494" t="s">
        <v>59</v>
      </c>
      <c r="AB477" s="474"/>
      <c r="AC477" s="471"/>
      <c r="AD477" s="471"/>
      <c r="AE477" s="471"/>
      <c r="AF477" s="471"/>
      <c r="AG477" s="471"/>
      <c r="AH477" s="471"/>
      <c r="AY477" s="406">
        <f t="shared" si="1"/>
        <v>0</v>
      </c>
      <c r="AZ477" s="471"/>
      <c r="BA477" s="471">
        <f>(COUNTIF(AI477:AK477,"*OK*")*3) + (COUNTIF(AL477:AN477,"*OK*")*2) + COUNTIF(AO477:AQ477,"*OK*")+COUNTIF(AZ477:AZ477,"SI")*0.5</f>
        <v>0</v>
      </c>
      <c r="BB477" s="471" t="str">
        <f>IF(BA477&lt;0.6,"Demasiado Riesgo",IF(BA477&lt;=5,"Riesgo Medio",IF(BA477&lt;=11,"Riesgo Bajo","Cliente Blindado")))</f>
        <v>Demasiado Riesgo</v>
      </c>
      <c r="BC477" s="471"/>
      <c r="BD477" s="471"/>
      <c r="BE477" s="471"/>
      <c r="BF477" s="471"/>
      <c r="BG477" s="471"/>
      <c r="BH477" s="471"/>
      <c r="BI477" s="471"/>
      <c r="BJ477" s="471"/>
      <c r="BK477" s="471"/>
      <c r="BL477" s="471"/>
      <c r="BM477" s="471"/>
      <c r="BN477" s="471"/>
      <c r="BO477" s="471"/>
      <c r="BP477" s="471"/>
      <c r="BQ477" s="471"/>
      <c r="BR477" s="471"/>
      <c r="BS477" s="471"/>
      <c r="BT477" s="471"/>
      <c r="BU477" s="471"/>
      <c r="BV477" s="471"/>
      <c r="BW477" s="471"/>
      <c r="BX477" s="471"/>
      <c r="BY477" s="471"/>
      <c r="BZ477" s="471"/>
      <c r="CA477" s="471">
        <f>COUNTIF(AI477:AW477,"*OK*")</f>
        <v>0</v>
      </c>
    </row>
    <row r="478" spans="1:81" ht="15" customHeight="1">
      <c r="A478" s="449"/>
      <c r="B478" s="450"/>
      <c r="C478" s="500"/>
      <c r="D478" s="450">
        <f>COUNTIF(AM478:AX478,"OK")</f>
        <v>0</v>
      </c>
      <c r="E478" s="450"/>
      <c r="F478" s="450"/>
      <c r="G478" s="450"/>
      <c r="H478" s="454"/>
      <c r="I478" s="454"/>
      <c r="J478" s="450"/>
      <c r="K478" s="501"/>
      <c r="L478" s="450"/>
      <c r="M478" s="450"/>
      <c r="N478" s="466"/>
      <c r="O478" s="502"/>
      <c r="P478" s="502"/>
      <c r="Q478" s="502"/>
      <c r="R478" s="503"/>
      <c r="S478" s="504"/>
      <c r="T478" s="505"/>
      <c r="U478" s="461"/>
      <c r="V478" s="462" t="s">
        <v>59</v>
      </c>
      <c r="W478" s="450"/>
      <c r="X478" s="465"/>
      <c r="Y478" s="465"/>
      <c r="Z478" s="466"/>
      <c r="AA478" s="496" t="s">
        <v>59</v>
      </c>
      <c r="AB478" s="454"/>
      <c r="AC478" s="450"/>
      <c r="AD478" s="450"/>
      <c r="AE478" s="450"/>
      <c r="AF478" s="450"/>
      <c r="AG478" s="450"/>
      <c r="AH478" s="450"/>
      <c r="AY478" s="406">
        <f t="shared" si="1"/>
        <v>0</v>
      </c>
      <c r="AZ478" s="450"/>
      <c r="BA478" s="450">
        <f>(COUNTIF(AI478:AK478,"*OK*")*3) + (COUNTIF(AL478:AN478,"*OK*")*2) + COUNTIF(AO478:AQ478,"*OK*")+COUNTIF(AZ478:AZ478,"SI")*0.5</f>
        <v>0</v>
      </c>
      <c r="BB478" s="450" t="str">
        <f>IF(BA478&lt;0.6,"Demasiado Riesgo",IF(BA478&lt;=5,"Riesgo Medio",IF(BA478&lt;=11,"Riesgo Bajo","Cliente Blindado")))</f>
        <v>Demasiado Riesgo</v>
      </c>
      <c r="BC478" s="450"/>
      <c r="BD478" s="450"/>
      <c r="BE478" s="450"/>
      <c r="BF478" s="450"/>
      <c r="BG478" s="450"/>
      <c r="BH478" s="450"/>
      <c r="BI478" s="450"/>
      <c r="BJ478" s="450"/>
      <c r="BK478" s="450"/>
      <c r="BL478" s="450"/>
      <c r="BM478" s="450"/>
      <c r="BN478" s="450"/>
      <c r="BO478" s="450"/>
      <c r="BP478" s="450"/>
      <c r="BQ478" s="450"/>
      <c r="BR478" s="450"/>
      <c r="BS478" s="450"/>
      <c r="BT478" s="450"/>
      <c r="BU478" s="450"/>
      <c r="BV478" s="450"/>
      <c r="BW478" s="450"/>
      <c r="BX478" s="450"/>
      <c r="BY478" s="450"/>
      <c r="BZ478" s="450"/>
      <c r="CA478" s="450">
        <f>COUNTIF(AI478:AW478,"*OK*")</f>
        <v>0</v>
      </c>
    </row>
    <row r="479" spans="1:81" ht="15" customHeight="1">
      <c r="A479" s="470"/>
      <c r="B479" s="471"/>
      <c r="C479" s="506"/>
      <c r="D479" s="471">
        <f>COUNTIF(AM479:AX479,"OK")</f>
        <v>0</v>
      </c>
      <c r="E479" s="471"/>
      <c r="F479" s="471"/>
      <c r="G479" s="471"/>
      <c r="H479" s="474"/>
      <c r="I479" s="474"/>
      <c r="J479" s="471"/>
      <c r="K479" s="491"/>
      <c r="L479" s="471"/>
      <c r="M479" s="471"/>
      <c r="N479" s="484"/>
      <c r="O479" s="507"/>
      <c r="P479" s="507"/>
      <c r="Q479" s="507"/>
      <c r="R479" s="508"/>
      <c r="S479" s="509"/>
      <c r="T479" s="510"/>
      <c r="U479" s="479"/>
      <c r="V479" s="480" t="s">
        <v>59</v>
      </c>
      <c r="W479" s="471"/>
      <c r="X479" s="483"/>
      <c r="Y479" s="483"/>
      <c r="Z479" s="484"/>
      <c r="AA479" s="494" t="s">
        <v>59</v>
      </c>
      <c r="AB479" s="474"/>
      <c r="AC479" s="471"/>
      <c r="AD479" s="471"/>
      <c r="AE479" s="471"/>
      <c r="AF479" s="471"/>
      <c r="AG479" s="471"/>
      <c r="AH479" s="471"/>
      <c r="AY479" s="406">
        <f t="shared" si="1"/>
        <v>0</v>
      </c>
      <c r="AZ479" s="471"/>
      <c r="BA479" s="471">
        <f>(COUNTIF(AI479:AK479,"*OK*")*3) + (COUNTIF(AL479:AN479,"*OK*")*2) + COUNTIF(AO479:AQ479,"*OK*")+COUNTIF(AZ479:AZ479,"SI")*0.5</f>
        <v>0</v>
      </c>
      <c r="BB479" s="471" t="str">
        <f>IF(BA479&lt;0.6,"Demasiado Riesgo",IF(BA479&lt;=5,"Riesgo Medio",IF(BA479&lt;=11,"Riesgo Bajo","Cliente Blindado")))</f>
        <v>Demasiado Riesgo</v>
      </c>
      <c r="BC479" s="471"/>
      <c r="BD479" s="471"/>
      <c r="BE479" s="471"/>
      <c r="BF479" s="471"/>
      <c r="BG479" s="471"/>
      <c r="BH479" s="471"/>
      <c r="BI479" s="471"/>
      <c r="BJ479" s="471"/>
      <c r="BK479" s="471"/>
      <c r="BL479" s="471"/>
      <c r="BM479" s="471"/>
      <c r="BN479" s="471"/>
      <c r="BO479" s="471"/>
      <c r="BP479" s="471"/>
      <c r="BQ479" s="471"/>
      <c r="BR479" s="471"/>
      <c r="BS479" s="471"/>
      <c r="BT479" s="471"/>
      <c r="BU479" s="471"/>
      <c r="BV479" s="471"/>
      <c r="BW479" s="471"/>
      <c r="BX479" s="471"/>
      <c r="BY479" s="471"/>
      <c r="BZ479" s="471"/>
      <c r="CA479" s="471">
        <f>COUNTIF(AI479:AW479,"*OK*")</f>
        <v>0</v>
      </c>
    </row>
    <row r="480" spans="1:81" ht="15" customHeight="1">
      <c r="A480" s="449"/>
      <c r="B480" s="450"/>
      <c r="C480" s="500"/>
      <c r="D480" s="450">
        <f>COUNTIF(AM480:AX480,"OK")</f>
        <v>0</v>
      </c>
      <c r="E480" s="450"/>
      <c r="F480" s="450"/>
      <c r="G480" s="450"/>
      <c r="H480" s="454"/>
      <c r="I480" s="454"/>
      <c r="J480" s="450"/>
      <c r="K480" s="501"/>
      <c r="L480" s="450"/>
      <c r="M480" s="450"/>
      <c r="N480" s="466"/>
      <c r="O480" s="502"/>
      <c r="P480" s="502"/>
      <c r="Q480" s="502"/>
      <c r="R480" s="503"/>
      <c r="S480" s="504"/>
      <c r="T480" s="505"/>
      <c r="U480" s="461"/>
      <c r="V480" s="462" t="s">
        <v>59</v>
      </c>
      <c r="W480" s="450"/>
      <c r="X480" s="465"/>
      <c r="Y480" s="465"/>
      <c r="Z480" s="466"/>
      <c r="AA480" s="496" t="s">
        <v>59</v>
      </c>
      <c r="AB480" s="454"/>
      <c r="AC480" s="450"/>
      <c r="AD480" s="450"/>
      <c r="AE480" s="450"/>
      <c r="AF480" s="450"/>
      <c r="AG480" s="450"/>
      <c r="AH480" s="450"/>
      <c r="AY480" s="406">
        <f t="shared" si="1"/>
        <v>0</v>
      </c>
      <c r="AZ480" s="450"/>
      <c r="BA480" s="450">
        <f>(COUNTIF(AI480:AK480,"*OK*")*3) + (COUNTIF(AL480:AN480,"*OK*")*2) + COUNTIF(AO480:AQ480,"*OK*")+COUNTIF(AZ480:AZ480,"SI")*0.5</f>
        <v>0</v>
      </c>
      <c r="BB480" s="450" t="str">
        <f>IF(BA480&lt;0.6,"Demasiado Riesgo",IF(BA480&lt;=5,"Riesgo Medio",IF(BA480&lt;=11,"Riesgo Bajo","Cliente Blindado")))</f>
        <v>Demasiado Riesgo</v>
      </c>
      <c r="BC480" s="450"/>
      <c r="BD480" s="450"/>
      <c r="BE480" s="450"/>
      <c r="BF480" s="450"/>
      <c r="BG480" s="450"/>
      <c r="BH480" s="450"/>
      <c r="BI480" s="450"/>
      <c r="BJ480" s="450"/>
      <c r="BK480" s="450"/>
      <c r="BL480" s="450"/>
      <c r="BM480" s="450"/>
      <c r="BN480" s="450"/>
      <c r="BO480" s="450"/>
      <c r="BP480" s="450"/>
      <c r="BQ480" s="450"/>
      <c r="BR480" s="450"/>
      <c r="BS480" s="450"/>
      <c r="BT480" s="450"/>
      <c r="BU480" s="450"/>
      <c r="BV480" s="450"/>
      <c r="BW480" s="450"/>
      <c r="BX480" s="450"/>
      <c r="BY480" s="450"/>
      <c r="BZ480" s="450"/>
      <c r="CA480" s="450">
        <f>COUNTIF(AI480:AW480,"*OK*")</f>
        <v>0</v>
      </c>
    </row>
    <row r="481" spans="1:79" ht="15" customHeight="1">
      <c r="A481" s="470"/>
      <c r="B481" s="471"/>
      <c r="C481" s="506"/>
      <c r="D481" s="471">
        <f>COUNTIF(AM481:AX481,"OK")</f>
        <v>0</v>
      </c>
      <c r="E481" s="471"/>
      <c r="F481" s="471"/>
      <c r="G481" s="471"/>
      <c r="H481" s="474"/>
      <c r="I481" s="474"/>
      <c r="J481" s="471"/>
      <c r="K481" s="491"/>
      <c r="L481" s="471"/>
      <c r="M481" s="471"/>
      <c r="N481" s="484"/>
      <c r="O481" s="507"/>
      <c r="P481" s="507"/>
      <c r="Q481" s="507"/>
      <c r="R481" s="508"/>
      <c r="S481" s="509"/>
      <c r="T481" s="510"/>
      <c r="U481" s="479"/>
      <c r="V481" s="480" t="s">
        <v>59</v>
      </c>
      <c r="W481" s="471"/>
      <c r="X481" s="483"/>
      <c r="Y481" s="483"/>
      <c r="Z481" s="484"/>
      <c r="AA481" s="494" t="s">
        <v>59</v>
      </c>
      <c r="AB481" s="474"/>
      <c r="AC481" s="471"/>
      <c r="AD481" s="471"/>
      <c r="AE481" s="471"/>
      <c r="AF481" s="471"/>
      <c r="AG481" s="471"/>
      <c r="AH481" s="471"/>
      <c r="AY481" s="406">
        <f t="shared" si="1"/>
        <v>0</v>
      </c>
      <c r="AZ481" s="471"/>
      <c r="BA481" s="471">
        <f>(COUNTIF(AI481:AK481,"*OK*")*3) + (COUNTIF(AL481:AN481,"*OK*")*2) + COUNTIF(AO481:AQ481,"*OK*")+COUNTIF(AZ481:AZ481,"SI")*0.5</f>
        <v>0</v>
      </c>
      <c r="BB481" s="471" t="str">
        <f>IF(BA481&lt;0.6,"Demasiado Riesgo",IF(BA481&lt;=5,"Riesgo Medio",IF(BA481&lt;=11,"Riesgo Bajo","Cliente Blindado")))</f>
        <v>Demasiado Riesgo</v>
      </c>
      <c r="BC481" s="471"/>
      <c r="BD481" s="471"/>
      <c r="BE481" s="471"/>
      <c r="BF481" s="471"/>
      <c r="BG481" s="471"/>
      <c r="BH481" s="471"/>
      <c r="BI481" s="471"/>
      <c r="BJ481" s="471"/>
      <c r="BK481" s="471"/>
      <c r="BL481" s="471"/>
      <c r="BM481" s="471"/>
      <c r="BN481" s="471"/>
      <c r="BO481" s="471"/>
      <c r="BP481" s="471"/>
      <c r="BQ481" s="471"/>
      <c r="BR481" s="471"/>
      <c r="BS481" s="471"/>
      <c r="BT481" s="471"/>
      <c r="BU481" s="471"/>
      <c r="BV481" s="471"/>
      <c r="BW481" s="471"/>
      <c r="BX481" s="471"/>
      <c r="BY481" s="471"/>
      <c r="BZ481" s="471"/>
      <c r="CA481" s="471">
        <f>COUNTIF(AI481:AW481,"*OK*")</f>
        <v>0</v>
      </c>
    </row>
    <row r="482" spans="1:79" ht="15" customHeight="1">
      <c r="A482" s="449"/>
      <c r="B482" s="450"/>
      <c r="C482" s="500"/>
      <c r="D482" s="450">
        <f>COUNTIF(AM482:AX482,"OK")</f>
        <v>0</v>
      </c>
      <c r="E482" s="450"/>
      <c r="F482" s="450"/>
      <c r="G482" s="450"/>
      <c r="H482" s="454"/>
      <c r="I482" s="454"/>
      <c r="J482" s="450"/>
      <c r="K482" s="501"/>
      <c r="L482" s="450"/>
      <c r="M482" s="450"/>
      <c r="N482" s="466"/>
      <c r="O482" s="502"/>
      <c r="P482" s="502"/>
      <c r="Q482" s="502"/>
      <c r="R482" s="503"/>
      <c r="S482" s="504"/>
      <c r="T482" s="505"/>
      <c r="U482" s="461"/>
      <c r="V482" s="462" t="s">
        <v>59</v>
      </c>
      <c r="W482" s="450"/>
      <c r="X482" s="465"/>
      <c r="Y482" s="465"/>
      <c r="Z482" s="466"/>
      <c r="AA482" s="496" t="s">
        <v>59</v>
      </c>
      <c r="AB482" s="454"/>
      <c r="AC482" s="450"/>
      <c r="AD482" s="450"/>
      <c r="AE482" s="450"/>
      <c r="AF482" s="450"/>
      <c r="AG482" s="450"/>
      <c r="AH482" s="450"/>
      <c r="AY482" s="406">
        <f t="shared" si="1"/>
        <v>0</v>
      </c>
      <c r="AZ482" s="450"/>
      <c r="BA482" s="450">
        <f>(COUNTIF(AI482:AK482,"*OK*")*3) + (COUNTIF(AL482:AN482,"*OK*")*2) + COUNTIF(AO482:AQ482,"*OK*")+COUNTIF(AZ482:AZ482,"SI")*0.5</f>
        <v>0</v>
      </c>
      <c r="BB482" s="450" t="str">
        <f>IF(BA482&lt;0.6,"Demasiado Riesgo",IF(BA482&lt;=5,"Riesgo Medio",IF(BA482&lt;=11,"Riesgo Bajo","Cliente Blindado")))</f>
        <v>Demasiado Riesgo</v>
      </c>
      <c r="BC482" s="450"/>
      <c r="BD482" s="450"/>
      <c r="BE482" s="450"/>
      <c r="BF482" s="450"/>
      <c r="BG482" s="450"/>
      <c r="BH482" s="450"/>
      <c r="BI482" s="450"/>
      <c r="BJ482" s="450"/>
      <c r="BK482" s="450"/>
      <c r="BL482" s="450"/>
      <c r="BM482" s="450"/>
      <c r="BN482" s="450"/>
      <c r="BO482" s="450"/>
      <c r="BP482" s="450"/>
      <c r="BQ482" s="450"/>
      <c r="BR482" s="450"/>
      <c r="BS482" s="450"/>
      <c r="BT482" s="450"/>
      <c r="BU482" s="450"/>
      <c r="BV482" s="450"/>
      <c r="BW482" s="450"/>
      <c r="BX482" s="450"/>
      <c r="BY482" s="450"/>
      <c r="BZ482" s="450"/>
      <c r="CA482" s="450">
        <f>COUNTIF(AI482:AW482,"*OK*")</f>
        <v>0</v>
      </c>
    </row>
    <row r="483" spans="1:79" ht="15" customHeight="1">
      <c r="A483" s="470"/>
      <c r="B483" s="471"/>
      <c r="C483" s="506"/>
      <c r="D483" s="471">
        <f>COUNTIF(AM483:AX483,"OK")</f>
        <v>0</v>
      </c>
      <c r="E483" s="471"/>
      <c r="F483" s="471"/>
      <c r="G483" s="471"/>
      <c r="H483" s="474"/>
      <c r="I483" s="474"/>
      <c r="J483" s="471"/>
      <c r="K483" s="491"/>
      <c r="L483" s="471"/>
      <c r="M483" s="471"/>
      <c r="N483" s="484"/>
      <c r="O483" s="507"/>
      <c r="P483" s="507"/>
      <c r="Q483" s="507"/>
      <c r="R483" s="508"/>
      <c r="S483" s="509"/>
      <c r="T483" s="510"/>
      <c r="U483" s="479"/>
      <c r="V483" s="480" t="s">
        <v>59</v>
      </c>
      <c r="W483" s="471"/>
      <c r="X483" s="483"/>
      <c r="Y483" s="483"/>
      <c r="Z483" s="484"/>
      <c r="AA483" s="494" t="s">
        <v>59</v>
      </c>
      <c r="AB483" s="474"/>
      <c r="AC483" s="471"/>
      <c r="AD483" s="471"/>
      <c r="AE483" s="471"/>
      <c r="AF483" s="471"/>
      <c r="AG483" s="471"/>
      <c r="AH483" s="471"/>
      <c r="AY483" s="406">
        <f t="shared" si="1"/>
        <v>0</v>
      </c>
      <c r="AZ483" s="471"/>
      <c r="BA483" s="471">
        <f>(COUNTIF(AI483:AK483,"*OK*")*3) + (COUNTIF(AL483:AN483,"*OK*")*2) + COUNTIF(AO483:AQ483,"*OK*")+COUNTIF(AZ483:AZ483,"SI")*0.5</f>
        <v>0</v>
      </c>
      <c r="BB483" s="471" t="str">
        <f>IF(BA483&lt;0.6,"Demasiado Riesgo",IF(BA483&lt;=5,"Riesgo Medio",IF(BA483&lt;=11,"Riesgo Bajo","Cliente Blindado")))</f>
        <v>Demasiado Riesgo</v>
      </c>
      <c r="BC483" s="471"/>
      <c r="BD483" s="471"/>
      <c r="BE483" s="471"/>
      <c r="BF483" s="471"/>
      <c r="BG483" s="471"/>
      <c r="BH483" s="471"/>
      <c r="BI483" s="471"/>
      <c r="BJ483" s="471"/>
      <c r="BK483" s="471"/>
      <c r="BL483" s="471"/>
      <c r="BM483" s="471"/>
      <c r="BN483" s="471"/>
      <c r="BO483" s="471"/>
      <c r="BP483" s="471"/>
      <c r="BQ483" s="471"/>
      <c r="BR483" s="471"/>
      <c r="BS483" s="471"/>
      <c r="BT483" s="471"/>
      <c r="BU483" s="471"/>
      <c r="BV483" s="471"/>
      <c r="BW483" s="471"/>
      <c r="BX483" s="471"/>
      <c r="BY483" s="471"/>
      <c r="BZ483" s="471"/>
      <c r="CA483" s="471">
        <f>COUNTIF(AI483:AW483,"*OK*")</f>
        <v>0</v>
      </c>
    </row>
    <row r="484" spans="1:79" ht="15" customHeight="1">
      <c r="A484" s="449"/>
      <c r="B484" s="450"/>
      <c r="C484" s="500"/>
      <c r="D484" s="450">
        <f>COUNTIF(AM484:AX484,"OK")</f>
        <v>0</v>
      </c>
      <c r="E484" s="450"/>
      <c r="F484" s="450"/>
      <c r="G484" s="450"/>
      <c r="H484" s="454"/>
      <c r="I484" s="454"/>
      <c r="J484" s="450"/>
      <c r="K484" s="501"/>
      <c r="L484" s="450"/>
      <c r="M484" s="450"/>
      <c r="N484" s="466"/>
      <c r="O484" s="502"/>
      <c r="P484" s="502"/>
      <c r="Q484" s="502"/>
      <c r="R484" s="503"/>
      <c r="S484" s="504"/>
      <c r="T484" s="505"/>
      <c r="U484" s="461"/>
      <c r="V484" s="462" t="s">
        <v>59</v>
      </c>
      <c r="W484" s="450"/>
      <c r="X484" s="465"/>
      <c r="Y484" s="465"/>
      <c r="Z484" s="466"/>
      <c r="AA484" s="496" t="s">
        <v>59</v>
      </c>
      <c r="AB484" s="454"/>
      <c r="AC484" s="450"/>
      <c r="AD484" s="450"/>
      <c r="AE484" s="450"/>
      <c r="AF484" s="450"/>
      <c r="AG484" s="450"/>
      <c r="AH484" s="450"/>
      <c r="AY484" s="406">
        <f t="shared" si="1"/>
        <v>0</v>
      </c>
      <c r="AZ484" s="450"/>
      <c r="BA484" s="450">
        <f>(COUNTIF(AI484:AK484,"*OK*")*3) + (COUNTIF(AL484:AN484,"*OK*")*2) + COUNTIF(AO484:AQ484,"*OK*")+COUNTIF(AZ484:AZ484,"SI")*0.5</f>
        <v>0</v>
      </c>
      <c r="BB484" s="450" t="str">
        <f>IF(BA484&lt;0.6,"Demasiado Riesgo",IF(BA484&lt;=5,"Riesgo Medio",IF(BA484&lt;=11,"Riesgo Bajo","Cliente Blindado")))</f>
        <v>Demasiado Riesgo</v>
      </c>
      <c r="BC484" s="450"/>
      <c r="BD484" s="450"/>
      <c r="BE484" s="450"/>
      <c r="BF484" s="450"/>
      <c r="BG484" s="450"/>
      <c r="BH484" s="450"/>
      <c r="BI484" s="450"/>
      <c r="BJ484" s="450"/>
      <c r="BK484" s="450"/>
      <c r="BL484" s="450"/>
      <c r="BM484" s="450"/>
      <c r="BN484" s="450"/>
      <c r="BO484" s="450"/>
      <c r="BP484" s="450"/>
      <c r="BQ484" s="450"/>
      <c r="BR484" s="450"/>
      <c r="BS484" s="450"/>
      <c r="BT484" s="450"/>
      <c r="BU484" s="450"/>
      <c r="BV484" s="450"/>
      <c r="BW484" s="450"/>
      <c r="BX484" s="450"/>
      <c r="BY484" s="450"/>
      <c r="BZ484" s="450"/>
      <c r="CA484" s="450">
        <f>COUNTIF(AI484:AW484,"*OK*")</f>
        <v>0</v>
      </c>
    </row>
    <row r="485" spans="1:79" ht="15" customHeight="1">
      <c r="A485" s="470"/>
      <c r="B485" s="471"/>
      <c r="C485" s="511"/>
      <c r="D485" s="471">
        <f>COUNTIF(AM485:AX485,"OK")</f>
        <v>0</v>
      </c>
      <c r="E485" s="471"/>
      <c r="F485" s="471"/>
      <c r="G485" s="471"/>
      <c r="H485" s="474"/>
      <c r="I485" s="474"/>
      <c r="J485" s="471"/>
      <c r="K485" s="491"/>
      <c r="L485" s="471"/>
      <c r="M485" s="471"/>
      <c r="N485" s="484"/>
      <c r="O485" s="507"/>
      <c r="P485" s="507"/>
      <c r="Q485" s="507"/>
      <c r="R485" s="508"/>
      <c r="S485" s="509"/>
      <c r="T485" s="510"/>
      <c r="U485" s="470"/>
      <c r="V485" s="494" t="s">
        <v>59</v>
      </c>
      <c r="W485" s="471"/>
      <c r="X485" s="483"/>
      <c r="Y485" s="483"/>
      <c r="Z485" s="484"/>
      <c r="AA485" s="494" t="s">
        <v>59</v>
      </c>
      <c r="AB485" s="474"/>
      <c r="AC485" s="471"/>
      <c r="AD485" s="471"/>
      <c r="AE485" s="471"/>
      <c r="AF485" s="471"/>
      <c r="AG485" s="471"/>
      <c r="AH485" s="471"/>
      <c r="AY485" s="406">
        <f t="shared" si="1"/>
        <v>0</v>
      </c>
      <c r="AZ485" s="471"/>
      <c r="BA485" s="471">
        <f>(COUNTIF(AI485:AK485,"*OK*")*3) + (COUNTIF(AL485:AN485,"*OK*")*2) + COUNTIF(AO485:AQ485,"*OK*")+COUNTIF(AZ485:AZ485,"SI")*0.5</f>
        <v>0</v>
      </c>
      <c r="BB485" s="471" t="str">
        <f>IF(BA485&lt;0.6,"Demasiado Riesgo",IF(BA485&lt;=5,"Riesgo Medio",IF(BA485&lt;=11,"Riesgo Bajo","Cliente Blindado")))</f>
        <v>Demasiado Riesgo</v>
      </c>
      <c r="BC485" s="471"/>
      <c r="BD485" s="471"/>
      <c r="BE485" s="471"/>
      <c r="BF485" s="471"/>
      <c r="BG485" s="471"/>
      <c r="BH485" s="471"/>
      <c r="BI485" s="471"/>
      <c r="BJ485" s="471"/>
      <c r="BK485" s="471"/>
      <c r="BL485" s="471"/>
      <c r="BM485" s="471"/>
      <c r="BN485" s="471"/>
      <c r="BO485" s="471"/>
      <c r="BP485" s="471"/>
      <c r="BQ485" s="471"/>
      <c r="BR485" s="471"/>
      <c r="BS485" s="471"/>
      <c r="BT485" s="471"/>
      <c r="BU485" s="471"/>
      <c r="BV485" s="471"/>
      <c r="BW485" s="471"/>
      <c r="BX485" s="471"/>
      <c r="BY485" s="471"/>
      <c r="BZ485" s="471"/>
      <c r="CA485" s="471">
        <f>COUNTIF(AI485:AW485,"*OK*")</f>
        <v>0</v>
      </c>
    </row>
    <row r="486" spans="1:79" ht="15" customHeight="1">
      <c r="A486" s="449"/>
      <c r="B486" s="450"/>
      <c r="C486" s="512"/>
      <c r="D486" s="450">
        <f>COUNTIF(AM486:AX486,"OK")</f>
        <v>0</v>
      </c>
      <c r="E486" s="450"/>
      <c r="F486" s="450"/>
      <c r="G486" s="450"/>
      <c r="H486" s="454"/>
      <c r="I486" s="454"/>
      <c r="J486" s="450"/>
      <c r="K486" s="501"/>
      <c r="L486" s="450"/>
      <c r="M486" s="450"/>
      <c r="N486" s="466"/>
      <c r="O486" s="502"/>
      <c r="P486" s="502"/>
      <c r="Q486" s="502"/>
      <c r="R486" s="503"/>
      <c r="S486" s="504"/>
      <c r="T486" s="505"/>
      <c r="U486" s="449"/>
      <c r="V486" s="496" t="s">
        <v>59</v>
      </c>
      <c r="W486" s="450"/>
      <c r="X486" s="465"/>
      <c r="Y486" s="465"/>
      <c r="Z486" s="466"/>
      <c r="AA486" s="496" t="s">
        <v>59</v>
      </c>
      <c r="AB486" s="454"/>
      <c r="AC486" s="450"/>
      <c r="AD486" s="450"/>
      <c r="AE486" s="450"/>
      <c r="AF486" s="450"/>
      <c r="AG486" s="450"/>
      <c r="AH486" s="450"/>
      <c r="AY486" s="406">
        <f t="shared" si="1"/>
        <v>0</v>
      </c>
      <c r="AZ486" s="450"/>
      <c r="BA486" s="450">
        <f>(COUNTIF(AI486:AK486,"*OK*")*3) + (COUNTIF(AL486:AN486,"*OK*")*2) + COUNTIF(AO486:AQ486,"*OK*")+COUNTIF(AZ486:AZ486,"SI")*0.5</f>
        <v>0</v>
      </c>
      <c r="BB486" s="450" t="str">
        <f>IF(BA486&lt;0.6,"Demasiado Riesgo",IF(BA486&lt;=5,"Riesgo Medio",IF(BA486&lt;=11,"Riesgo Bajo","Cliente Blindado")))</f>
        <v>Demasiado Riesgo</v>
      </c>
      <c r="BC486" s="450"/>
      <c r="BD486" s="450"/>
      <c r="BE486" s="450"/>
      <c r="BF486" s="450"/>
      <c r="BG486" s="450"/>
      <c r="BH486" s="450"/>
      <c r="BI486" s="450"/>
      <c r="BJ486" s="450"/>
      <c r="BK486" s="450"/>
      <c r="BL486" s="450"/>
      <c r="BM486" s="450"/>
      <c r="BN486" s="450"/>
      <c r="BO486" s="450"/>
      <c r="BP486" s="450"/>
      <c r="BQ486" s="450"/>
      <c r="BR486" s="450"/>
      <c r="BS486" s="450"/>
      <c r="BT486" s="450"/>
      <c r="BU486" s="450"/>
      <c r="BV486" s="450"/>
      <c r="BW486" s="450"/>
      <c r="BX486" s="450"/>
      <c r="BY486" s="450"/>
      <c r="BZ486" s="450"/>
      <c r="CA486" s="450">
        <f>COUNTIF(AI486:AW486,"*OK*")</f>
        <v>0</v>
      </c>
    </row>
    <row r="487" spans="1:79" ht="15" customHeight="1">
      <c r="A487" s="470"/>
      <c r="B487" s="471"/>
      <c r="C487" s="511"/>
      <c r="D487" s="471">
        <f>COUNTIF(AM487:AX487,"OK")</f>
        <v>0</v>
      </c>
      <c r="E487" s="471"/>
      <c r="F487" s="471"/>
      <c r="G487" s="471"/>
      <c r="H487" s="474"/>
      <c r="I487" s="474"/>
      <c r="J487" s="471"/>
      <c r="K487" s="491"/>
      <c r="L487" s="471"/>
      <c r="M487" s="471"/>
      <c r="N487" s="484"/>
      <c r="O487" s="507"/>
      <c r="P487" s="507"/>
      <c r="Q487" s="507"/>
      <c r="R487" s="508"/>
      <c r="S487" s="509"/>
      <c r="T487" s="510"/>
      <c r="U487" s="470"/>
      <c r="V487" s="494" t="s">
        <v>59</v>
      </c>
      <c r="W487" s="471"/>
      <c r="X487" s="483"/>
      <c r="Y487" s="483"/>
      <c r="Z487" s="484"/>
      <c r="AA487" s="494" t="s">
        <v>59</v>
      </c>
      <c r="AB487" s="474"/>
      <c r="AC487" s="471"/>
      <c r="AD487" s="471"/>
      <c r="AE487" s="471"/>
      <c r="AF487" s="471"/>
      <c r="AG487" s="471"/>
      <c r="AH487" s="471"/>
      <c r="AY487" s="406">
        <f t="shared" si="1"/>
        <v>0</v>
      </c>
      <c r="AZ487" s="471"/>
      <c r="BA487" s="471">
        <f>(COUNTIF(AI487:AK487,"*OK*")*3) + (COUNTIF(AL487:AN487,"*OK*")*2) + COUNTIF(AO487:AQ487,"*OK*")+COUNTIF(AZ487:AZ487,"SI")*0.5</f>
        <v>0</v>
      </c>
      <c r="BB487" s="471" t="str">
        <f>IF(BA487&lt;0.6,"Demasiado Riesgo",IF(BA487&lt;=5,"Riesgo Medio",IF(BA487&lt;=11,"Riesgo Bajo","Cliente Blindado")))</f>
        <v>Demasiado Riesgo</v>
      </c>
      <c r="BC487" s="471"/>
      <c r="BD487" s="471"/>
      <c r="BE487" s="471"/>
      <c r="BF487" s="471"/>
      <c r="BG487" s="471"/>
      <c r="BH487" s="471"/>
      <c r="BI487" s="471"/>
      <c r="BJ487" s="471"/>
      <c r="BK487" s="471"/>
      <c r="BL487" s="471"/>
      <c r="BM487" s="471"/>
      <c r="BN487" s="471"/>
      <c r="BO487" s="471"/>
      <c r="BP487" s="471"/>
      <c r="BQ487" s="471"/>
      <c r="BR487" s="471"/>
      <c r="BS487" s="471"/>
      <c r="BT487" s="471"/>
      <c r="BU487" s="471"/>
      <c r="BV487" s="471"/>
      <c r="BW487" s="471"/>
      <c r="BX487" s="471"/>
      <c r="BY487" s="471"/>
      <c r="BZ487" s="471"/>
      <c r="CA487" s="471">
        <f>COUNTIF(AI487:AW487,"*OK*")</f>
        <v>0</v>
      </c>
    </row>
    <row r="488" spans="1:79" ht="15" customHeight="1">
      <c r="A488" s="449"/>
      <c r="B488" s="450"/>
      <c r="C488" s="512"/>
      <c r="D488" s="450">
        <f>COUNTIF(AM488:AX488,"OK")</f>
        <v>0</v>
      </c>
      <c r="E488" s="450"/>
      <c r="F488" s="450"/>
      <c r="G488" s="450"/>
      <c r="H488" s="454"/>
      <c r="I488" s="454"/>
      <c r="J488" s="450"/>
      <c r="K488" s="501"/>
      <c r="L488" s="450"/>
      <c r="M488" s="450"/>
      <c r="N488" s="466"/>
      <c r="O488" s="502"/>
      <c r="P488" s="502"/>
      <c r="Q488" s="502"/>
      <c r="R488" s="503"/>
      <c r="S488" s="504"/>
      <c r="T488" s="505"/>
      <c r="U488" s="449"/>
      <c r="V488" s="496" t="s">
        <v>59</v>
      </c>
      <c r="W488" s="450"/>
      <c r="X488" s="465"/>
      <c r="Y488" s="465"/>
      <c r="Z488" s="466"/>
      <c r="AA488" s="496" t="s">
        <v>59</v>
      </c>
      <c r="AB488" s="454"/>
      <c r="AC488" s="450"/>
      <c r="AD488" s="450"/>
      <c r="AE488" s="450"/>
      <c r="AF488" s="450"/>
      <c r="AG488" s="450"/>
      <c r="AH488" s="450"/>
      <c r="AY488" s="406">
        <f t="shared" si="1"/>
        <v>0</v>
      </c>
      <c r="AZ488" s="450"/>
      <c r="BA488" s="450">
        <f>(COUNTIF(AI488:AK488,"*OK*")*3) + (COUNTIF(AL488:AN488,"*OK*")*2) + COUNTIF(AO488:AQ488,"*OK*")+COUNTIF(AZ488:AZ488,"SI")*0.5</f>
        <v>0</v>
      </c>
      <c r="BB488" s="450" t="str">
        <f>IF(BA488&lt;0.6,"Demasiado Riesgo",IF(BA488&lt;=5,"Riesgo Medio",IF(BA488&lt;=11,"Riesgo Bajo","Cliente Blindado")))</f>
        <v>Demasiado Riesgo</v>
      </c>
      <c r="BC488" s="450"/>
      <c r="BD488" s="450"/>
      <c r="BE488" s="450"/>
      <c r="BF488" s="450"/>
      <c r="BG488" s="450"/>
      <c r="BH488" s="450"/>
      <c r="BI488" s="450"/>
      <c r="BJ488" s="450"/>
      <c r="BK488" s="450"/>
      <c r="BL488" s="450"/>
      <c r="BM488" s="450"/>
      <c r="BN488" s="450"/>
      <c r="BO488" s="450"/>
      <c r="BP488" s="450"/>
      <c r="BQ488" s="450"/>
      <c r="BR488" s="450"/>
      <c r="BS488" s="450"/>
      <c r="BT488" s="450"/>
      <c r="BU488" s="450"/>
      <c r="BV488" s="450"/>
      <c r="BW488" s="450"/>
      <c r="BX488" s="450"/>
      <c r="BY488" s="450"/>
      <c r="BZ488" s="450"/>
      <c r="CA488" s="450">
        <f>COUNTIF(AI488:AW488,"*OK*")</f>
        <v>0</v>
      </c>
    </row>
    <row r="489" spans="1:79" ht="15" customHeight="1">
      <c r="A489" s="470"/>
      <c r="B489" s="471"/>
      <c r="C489" s="511"/>
      <c r="D489" s="471">
        <f>COUNTIF(AM489:AX489,"OK")</f>
        <v>0</v>
      </c>
      <c r="E489" s="471"/>
      <c r="F489" s="471"/>
      <c r="G489" s="471"/>
      <c r="H489" s="474"/>
      <c r="I489" s="474"/>
      <c r="J489" s="471"/>
      <c r="K489" s="491"/>
      <c r="L489" s="471"/>
      <c r="M489" s="471"/>
      <c r="N489" s="484"/>
      <c r="O489" s="513"/>
      <c r="P489" s="507"/>
      <c r="Q489" s="507"/>
      <c r="R489" s="508"/>
      <c r="S489" s="509"/>
      <c r="T489" s="510"/>
      <c r="U489" s="470"/>
      <c r="V489" s="494" t="s">
        <v>59</v>
      </c>
      <c r="W489" s="471"/>
      <c r="X489" s="483"/>
      <c r="Y489" s="483"/>
      <c r="Z489" s="484"/>
      <c r="AA489" s="494" t="s">
        <v>59</v>
      </c>
      <c r="AB489" s="474"/>
      <c r="AC489" s="471"/>
      <c r="AD489" s="471"/>
      <c r="AE489" s="471"/>
      <c r="AF489" s="471"/>
      <c r="AG489" s="471"/>
      <c r="AH489" s="471"/>
      <c r="AY489" s="406">
        <f t="shared" si="1"/>
        <v>0</v>
      </c>
      <c r="AZ489" s="471"/>
      <c r="BA489" s="471">
        <f>(COUNTIF(AI489:AK489,"*OK*")*3) + (COUNTIF(AL489:AN489,"*OK*")*2) + COUNTIF(AO489:AQ489,"*OK*")+COUNTIF(AZ489:AZ489,"SI")*0.5</f>
        <v>0</v>
      </c>
      <c r="BB489" s="471" t="str">
        <f>IF(BA489&lt;0.6,"Demasiado Riesgo",IF(BA489&lt;=5,"Riesgo Medio",IF(BA489&lt;=11,"Riesgo Bajo","Cliente Blindado")))</f>
        <v>Demasiado Riesgo</v>
      </c>
      <c r="BC489" s="471"/>
      <c r="BD489" s="471"/>
      <c r="BE489" s="471"/>
      <c r="BF489" s="471"/>
      <c r="BG489" s="471"/>
      <c r="BH489" s="471"/>
      <c r="BI489" s="471"/>
      <c r="BJ489" s="471"/>
      <c r="BK489" s="471"/>
      <c r="BL489" s="471"/>
      <c r="BM489" s="471"/>
      <c r="BN489" s="471"/>
      <c r="BO489" s="471"/>
      <c r="BP489" s="471"/>
      <c r="BQ489" s="471"/>
      <c r="BR489" s="471"/>
      <c r="BS489" s="471"/>
      <c r="BT489" s="471"/>
      <c r="BU489" s="471"/>
      <c r="BV489" s="471"/>
      <c r="BW489" s="471"/>
      <c r="BX489" s="471"/>
      <c r="BY489" s="471"/>
      <c r="BZ489" s="471"/>
      <c r="CA489" s="471">
        <f>COUNTIF(AI489:AW489,"*OK*")</f>
        <v>0</v>
      </c>
    </row>
    <row r="490" spans="1:79" ht="15" customHeight="1">
      <c r="A490" s="449"/>
      <c r="B490" s="450"/>
      <c r="C490" s="512"/>
      <c r="D490" s="450">
        <f>COUNTIF(AM490:AX490,"OK")</f>
        <v>0</v>
      </c>
      <c r="E490" s="450"/>
      <c r="F490" s="450"/>
      <c r="G490" s="450"/>
      <c r="H490" s="454"/>
      <c r="I490" s="454"/>
      <c r="J490" s="450"/>
      <c r="K490" s="501"/>
      <c r="L490" s="450"/>
      <c r="M490" s="450"/>
      <c r="N490" s="466"/>
      <c r="O490" s="514"/>
      <c r="P490" s="502"/>
      <c r="Q490" s="502"/>
      <c r="R490" s="503"/>
      <c r="S490" s="504"/>
      <c r="T490" s="505"/>
      <c r="U490" s="449"/>
      <c r="V490" s="496" t="s">
        <v>59</v>
      </c>
      <c r="W490" s="450"/>
      <c r="X490" s="465"/>
      <c r="Y490" s="465"/>
      <c r="Z490" s="466"/>
      <c r="AA490" s="496" t="s">
        <v>59</v>
      </c>
      <c r="AB490" s="454"/>
      <c r="AC490" s="450"/>
      <c r="AD490" s="450"/>
      <c r="AE490" s="450"/>
      <c r="AF490" s="450"/>
      <c r="AG490" s="450"/>
      <c r="AH490" s="450"/>
      <c r="AY490" s="406">
        <f t="shared" si="1"/>
        <v>0</v>
      </c>
      <c r="AZ490" s="450"/>
      <c r="BA490" s="450">
        <f>(COUNTIF(AI490:AK490,"*OK*")*3) + (COUNTIF(AL490:AN490,"*OK*")*2) + COUNTIF(AO490:AQ490,"*OK*")+COUNTIF(AZ490:AZ490,"SI")*0.5</f>
        <v>0</v>
      </c>
      <c r="BB490" s="450" t="str">
        <f>IF(BA490&lt;0.6,"Demasiado Riesgo",IF(BA490&lt;=5,"Riesgo Medio",IF(BA490&lt;=11,"Riesgo Bajo","Cliente Blindado")))</f>
        <v>Demasiado Riesgo</v>
      </c>
      <c r="BC490" s="450"/>
      <c r="BD490" s="450"/>
      <c r="BE490" s="450"/>
      <c r="BF490" s="450"/>
      <c r="BG490" s="450"/>
      <c r="BH490" s="450"/>
      <c r="BI490" s="450"/>
      <c r="BJ490" s="450"/>
      <c r="BK490" s="450"/>
      <c r="BL490" s="450"/>
      <c r="BM490" s="450"/>
      <c r="BN490" s="450"/>
      <c r="BO490" s="450"/>
      <c r="BP490" s="450"/>
      <c r="BQ490" s="450"/>
      <c r="BR490" s="450"/>
      <c r="BS490" s="450"/>
      <c r="BT490" s="450"/>
      <c r="BU490" s="450"/>
      <c r="BV490" s="450"/>
      <c r="BW490" s="450"/>
      <c r="BX490" s="450"/>
      <c r="BY490" s="450"/>
      <c r="BZ490" s="450"/>
      <c r="CA490" s="450">
        <f>COUNTIF(AI490:AW490,"*OK*")</f>
        <v>0</v>
      </c>
    </row>
    <row r="491" spans="1:79" ht="15" customHeight="1">
      <c r="A491" s="470"/>
      <c r="B491" s="471"/>
      <c r="C491" s="511"/>
      <c r="D491" s="471">
        <f>COUNTIF(AM491:AX491,"OK")</f>
        <v>0</v>
      </c>
      <c r="E491" s="471"/>
      <c r="F491" s="471"/>
      <c r="G491" s="471"/>
      <c r="H491" s="474"/>
      <c r="I491" s="474"/>
      <c r="J491" s="471"/>
      <c r="K491" s="491"/>
      <c r="L491" s="471"/>
      <c r="M491" s="471"/>
      <c r="N491" s="484"/>
      <c r="O491" s="513"/>
      <c r="P491" s="507"/>
      <c r="Q491" s="507"/>
      <c r="R491" s="508"/>
      <c r="S491" s="509"/>
      <c r="T491" s="510"/>
      <c r="U491" s="470"/>
      <c r="V491" s="494" t="s">
        <v>59</v>
      </c>
      <c r="W491" s="471"/>
      <c r="X491" s="483"/>
      <c r="Y491" s="483"/>
      <c r="Z491" s="484"/>
      <c r="AA491" s="494" t="s">
        <v>59</v>
      </c>
      <c r="AB491" s="474"/>
      <c r="AC491" s="471"/>
      <c r="AD491" s="471"/>
      <c r="AE491" s="471"/>
      <c r="AF491" s="471"/>
      <c r="AG491" s="471"/>
      <c r="AH491" s="471"/>
      <c r="AY491" s="406">
        <f t="shared" si="1"/>
        <v>0</v>
      </c>
      <c r="AZ491" s="471"/>
      <c r="BA491" s="471">
        <f>(COUNTIF(AI491:AK491,"*OK*")*3) + (COUNTIF(AL491:AN491,"*OK*")*2) + COUNTIF(AO491:AQ491,"*OK*")+COUNTIF(AZ491:AZ491,"SI")*0.5</f>
        <v>0</v>
      </c>
      <c r="BB491" s="471" t="str">
        <f>IF(BA491&lt;0.6,"Demasiado Riesgo",IF(BA491&lt;=5,"Riesgo Medio",IF(BA491&lt;=11,"Riesgo Bajo","Cliente Blindado")))</f>
        <v>Demasiado Riesgo</v>
      </c>
      <c r="BC491" s="471"/>
      <c r="BD491" s="471"/>
      <c r="BE491" s="471"/>
      <c r="BF491" s="471"/>
      <c r="BG491" s="471"/>
      <c r="BH491" s="471"/>
      <c r="BI491" s="471"/>
      <c r="BJ491" s="471"/>
      <c r="BK491" s="471"/>
      <c r="BL491" s="471"/>
      <c r="BM491" s="471"/>
      <c r="BN491" s="471"/>
      <c r="BO491" s="471"/>
      <c r="BP491" s="471"/>
      <c r="BQ491" s="471"/>
      <c r="BR491" s="471"/>
      <c r="BS491" s="471"/>
      <c r="BT491" s="471"/>
      <c r="BU491" s="471"/>
      <c r="BV491" s="471"/>
      <c r="BW491" s="471"/>
      <c r="BX491" s="471"/>
      <c r="BY491" s="471"/>
      <c r="BZ491" s="471"/>
      <c r="CA491" s="471">
        <f>COUNTIF(AI491:AW491,"*OK*")</f>
        <v>0</v>
      </c>
    </row>
    <row r="492" spans="1:79" ht="15" customHeight="1">
      <c r="A492" s="449"/>
      <c r="B492" s="450"/>
      <c r="C492" s="512"/>
      <c r="D492" s="450">
        <f>COUNTIF(AM492:AX492,"OK")</f>
        <v>0</v>
      </c>
      <c r="E492" s="450"/>
      <c r="F492" s="450"/>
      <c r="G492" s="450"/>
      <c r="H492" s="454"/>
      <c r="I492" s="454"/>
      <c r="J492" s="450"/>
      <c r="K492" s="501"/>
      <c r="L492" s="450"/>
      <c r="M492" s="450"/>
      <c r="N492" s="466"/>
      <c r="O492" s="514"/>
      <c r="P492" s="502"/>
      <c r="Q492" s="502"/>
      <c r="R492" s="503"/>
      <c r="S492" s="504"/>
      <c r="T492" s="505"/>
      <c r="U492" s="449"/>
      <c r="V492" s="496" t="s">
        <v>59</v>
      </c>
      <c r="W492" s="450"/>
      <c r="X492" s="465"/>
      <c r="Y492" s="465"/>
      <c r="Z492" s="466"/>
      <c r="AA492" s="496" t="s">
        <v>59</v>
      </c>
      <c r="AB492" s="454"/>
      <c r="AC492" s="450"/>
      <c r="AD492" s="450"/>
      <c r="AE492" s="450"/>
      <c r="AF492" s="450"/>
      <c r="AG492" s="450"/>
      <c r="AH492" s="450"/>
      <c r="AY492" s="406">
        <f t="shared" si="1"/>
        <v>0</v>
      </c>
      <c r="AZ492" s="450"/>
      <c r="BA492" s="450">
        <f>(COUNTIF(AI492:AK492,"*OK*")*3) + (COUNTIF(AL492:AN492,"*OK*")*2) + COUNTIF(AO492:AQ492,"*OK*")+COUNTIF(AZ492:AZ492,"SI")*0.5</f>
        <v>0</v>
      </c>
      <c r="BB492" s="450" t="str">
        <f>IF(BA492&lt;0.6,"Demasiado Riesgo",IF(BA492&lt;=5,"Riesgo Medio",IF(BA492&lt;=11,"Riesgo Bajo","Cliente Blindado")))</f>
        <v>Demasiado Riesgo</v>
      </c>
      <c r="BC492" s="450"/>
      <c r="BD492" s="450"/>
      <c r="BE492" s="450"/>
      <c r="BF492" s="450"/>
      <c r="BG492" s="450"/>
      <c r="BH492" s="450"/>
      <c r="BI492" s="450"/>
      <c r="BJ492" s="450"/>
      <c r="BK492" s="450"/>
      <c r="BL492" s="450"/>
      <c r="BM492" s="450"/>
      <c r="BN492" s="450"/>
      <c r="BO492" s="450"/>
      <c r="BP492" s="450"/>
      <c r="BQ492" s="450"/>
      <c r="BR492" s="450"/>
      <c r="BS492" s="450"/>
      <c r="BT492" s="450"/>
      <c r="BU492" s="450"/>
      <c r="BV492" s="450"/>
      <c r="BW492" s="450"/>
      <c r="BX492" s="450"/>
      <c r="BY492" s="450"/>
      <c r="BZ492" s="450"/>
      <c r="CA492" s="450">
        <f>COUNTIF(AI492:AW492,"*OK*")</f>
        <v>0</v>
      </c>
    </row>
    <row r="493" spans="1:79" ht="15" customHeight="1">
      <c r="A493" s="470"/>
      <c r="B493" s="471"/>
      <c r="C493" s="511"/>
      <c r="D493" s="471">
        <f>COUNTIF(AM493:AX493,"OK")</f>
        <v>0</v>
      </c>
      <c r="E493" s="471"/>
      <c r="F493" s="471"/>
      <c r="G493" s="471"/>
      <c r="H493" s="474"/>
      <c r="I493" s="474"/>
      <c r="J493" s="471"/>
      <c r="K493" s="491"/>
      <c r="L493" s="471"/>
      <c r="M493" s="471"/>
      <c r="N493" s="484"/>
      <c r="O493" s="513"/>
      <c r="P493" s="507"/>
      <c r="Q493" s="507"/>
      <c r="R493" s="508"/>
      <c r="S493" s="509"/>
      <c r="T493" s="510"/>
      <c r="U493" s="470"/>
      <c r="V493" s="494" t="s">
        <v>59</v>
      </c>
      <c r="W493" s="471"/>
      <c r="X493" s="483"/>
      <c r="Y493" s="483"/>
      <c r="Z493" s="484"/>
      <c r="AA493" s="494" t="s">
        <v>59</v>
      </c>
      <c r="AB493" s="474"/>
      <c r="AC493" s="471"/>
      <c r="AD493" s="471"/>
      <c r="AE493" s="471"/>
      <c r="AF493" s="471"/>
      <c r="AG493" s="471"/>
      <c r="AH493" s="471"/>
      <c r="AY493" s="406">
        <f t="shared" si="1"/>
        <v>0</v>
      </c>
      <c r="AZ493" s="471"/>
      <c r="BA493" s="471">
        <f>(COUNTIF(AI493:AK493,"*OK*")*3) + (COUNTIF(AL493:AN493,"*OK*")*2) + COUNTIF(AO493:AQ493,"*OK*")+COUNTIF(AZ493:AZ493,"SI")*0.5</f>
        <v>0</v>
      </c>
      <c r="BB493" s="471" t="str">
        <f>IF(BA493&lt;0.6,"Demasiado Riesgo",IF(BA493&lt;=5,"Riesgo Medio",IF(BA493&lt;=11,"Riesgo Bajo","Cliente Blindado")))</f>
        <v>Demasiado Riesgo</v>
      </c>
      <c r="BC493" s="471"/>
      <c r="BD493" s="471"/>
      <c r="BE493" s="471"/>
      <c r="BF493" s="471"/>
      <c r="BG493" s="471"/>
      <c r="BH493" s="471"/>
      <c r="BI493" s="471"/>
      <c r="BJ493" s="471"/>
      <c r="BK493" s="471"/>
      <c r="BL493" s="471"/>
      <c r="BM493" s="471"/>
      <c r="BN493" s="471"/>
      <c r="BO493" s="471"/>
      <c r="BP493" s="471"/>
      <c r="BQ493" s="471"/>
      <c r="BR493" s="471"/>
      <c r="BS493" s="471"/>
      <c r="BT493" s="471"/>
      <c r="BU493" s="471"/>
      <c r="BV493" s="471"/>
      <c r="BW493" s="471"/>
      <c r="BX493" s="471"/>
      <c r="BY493" s="471"/>
      <c r="BZ493" s="471"/>
      <c r="CA493" s="471">
        <f>COUNTIF(AI493:AW493,"*OK*")</f>
        <v>0</v>
      </c>
    </row>
    <row r="494" spans="1:79" ht="15" customHeight="1">
      <c r="A494" s="449"/>
      <c r="B494" s="450"/>
      <c r="C494" s="512"/>
      <c r="D494" s="450">
        <f>COUNTIF(AM494:AX494,"OK")</f>
        <v>0</v>
      </c>
      <c r="E494" s="450"/>
      <c r="F494" s="450"/>
      <c r="G494" s="450"/>
      <c r="H494" s="454"/>
      <c r="I494" s="454"/>
      <c r="J494" s="450"/>
      <c r="K494" s="501"/>
      <c r="L494" s="450"/>
      <c r="M494" s="450"/>
      <c r="N494" s="466"/>
      <c r="O494" s="514"/>
      <c r="P494" s="502"/>
      <c r="Q494" s="502"/>
      <c r="R494" s="503"/>
      <c r="S494" s="504"/>
      <c r="T494" s="505"/>
      <c r="U494" s="449"/>
      <c r="V494" s="496" t="s">
        <v>59</v>
      </c>
      <c r="W494" s="450"/>
      <c r="X494" s="465"/>
      <c r="Y494" s="465"/>
      <c r="Z494" s="466"/>
      <c r="AA494" s="496" t="s">
        <v>59</v>
      </c>
      <c r="AB494" s="454"/>
      <c r="AC494" s="450"/>
      <c r="AD494" s="450"/>
      <c r="AE494" s="450"/>
      <c r="AF494" s="450"/>
      <c r="AG494" s="450"/>
      <c r="AH494" s="450"/>
      <c r="AY494" s="406">
        <f t="shared" si="1"/>
        <v>0</v>
      </c>
      <c r="AZ494" s="450"/>
      <c r="BA494" s="450">
        <f>(COUNTIF(AI494:AK494,"*OK*")*3) + (COUNTIF(AL494:AN494,"*OK*")*2) + COUNTIF(AO494:AQ494,"*OK*")+COUNTIF(AZ494:AZ494,"SI")*0.5</f>
        <v>0</v>
      </c>
      <c r="BB494" s="450" t="str">
        <f>IF(BA494&lt;0.6,"Demasiado Riesgo",IF(BA494&lt;=5,"Riesgo Medio",IF(BA494&lt;=11,"Riesgo Bajo","Cliente Blindado")))</f>
        <v>Demasiado Riesgo</v>
      </c>
      <c r="BC494" s="450"/>
      <c r="BD494" s="450"/>
      <c r="BE494" s="450"/>
      <c r="BF494" s="450"/>
      <c r="BG494" s="450"/>
      <c r="BH494" s="450"/>
      <c r="BI494" s="450"/>
      <c r="BJ494" s="450"/>
      <c r="BK494" s="450"/>
      <c r="BL494" s="450"/>
      <c r="BM494" s="450"/>
      <c r="BN494" s="450"/>
      <c r="BO494" s="450"/>
      <c r="BP494" s="450"/>
      <c r="BQ494" s="450"/>
      <c r="BR494" s="450"/>
      <c r="BS494" s="450"/>
      <c r="BT494" s="450"/>
      <c r="BU494" s="450"/>
      <c r="BV494" s="450"/>
      <c r="BW494" s="450"/>
      <c r="BX494" s="450"/>
      <c r="BY494" s="450"/>
      <c r="BZ494" s="450"/>
      <c r="CA494" s="450">
        <f>COUNTIF(AI494:AW494,"*OK*")</f>
        <v>0</v>
      </c>
    </row>
    <row r="495" spans="1:79" ht="15" customHeight="1">
      <c r="A495" s="470"/>
      <c r="B495" s="471"/>
      <c r="C495" s="511"/>
      <c r="D495" s="471">
        <f>COUNTIF(AM495:AX495,"OK")</f>
        <v>0</v>
      </c>
      <c r="E495" s="471"/>
      <c r="F495" s="471"/>
      <c r="G495" s="471"/>
      <c r="H495" s="474"/>
      <c r="I495" s="474"/>
      <c r="J495" s="471"/>
      <c r="K495" s="491"/>
      <c r="L495" s="471"/>
      <c r="M495" s="471"/>
      <c r="N495" s="484"/>
      <c r="O495" s="513"/>
      <c r="P495" s="507"/>
      <c r="Q495" s="507"/>
      <c r="R495" s="508"/>
      <c r="S495" s="509"/>
      <c r="T495" s="510"/>
      <c r="U495" s="470"/>
      <c r="V495" s="494" t="s">
        <v>59</v>
      </c>
      <c r="W495" s="471"/>
      <c r="X495" s="483"/>
      <c r="Y495" s="483"/>
      <c r="Z495" s="484"/>
      <c r="AA495" s="494" t="s">
        <v>59</v>
      </c>
      <c r="AB495" s="474"/>
      <c r="AC495" s="471"/>
      <c r="AD495" s="471"/>
      <c r="AE495" s="471"/>
      <c r="AF495" s="471"/>
      <c r="AG495" s="471"/>
      <c r="AH495" s="471"/>
      <c r="AY495" s="406">
        <f t="shared" si="1"/>
        <v>0</v>
      </c>
      <c r="AZ495" s="471"/>
      <c r="BA495" s="471">
        <f>(COUNTIF(AI495:AK495,"*OK*")*3) + (COUNTIF(AL495:AN495,"*OK*")*2) + COUNTIF(AO495:AQ495,"*OK*")+COUNTIF(AZ495:AZ495,"SI")*0.5</f>
        <v>0</v>
      </c>
      <c r="BB495" s="471" t="str">
        <f>IF(BA495&lt;0.6,"Demasiado Riesgo",IF(BA495&lt;=5,"Riesgo Medio",IF(BA495&lt;=11,"Riesgo Bajo","Cliente Blindado")))</f>
        <v>Demasiado Riesgo</v>
      </c>
      <c r="BC495" s="471"/>
      <c r="BD495" s="471"/>
      <c r="BE495" s="471"/>
      <c r="BF495" s="471"/>
      <c r="BG495" s="471"/>
      <c r="BH495" s="471"/>
      <c r="BI495" s="471"/>
      <c r="BJ495" s="471"/>
      <c r="BK495" s="471"/>
      <c r="BL495" s="471"/>
      <c r="BM495" s="471"/>
      <c r="BN495" s="471"/>
      <c r="BO495" s="471"/>
      <c r="BP495" s="471"/>
      <c r="BQ495" s="471"/>
      <c r="BR495" s="471"/>
      <c r="BS495" s="471"/>
      <c r="BT495" s="471"/>
      <c r="BU495" s="471"/>
      <c r="BV495" s="471"/>
      <c r="BW495" s="471"/>
      <c r="BX495" s="471"/>
      <c r="BY495" s="471"/>
      <c r="BZ495" s="471"/>
      <c r="CA495" s="471">
        <f>COUNTIF(AI495:AW495,"*OK*")</f>
        <v>0</v>
      </c>
    </row>
    <row r="496" spans="1:79" ht="15" customHeight="1">
      <c r="A496" s="449"/>
      <c r="B496" s="450"/>
      <c r="C496" s="512"/>
      <c r="D496" s="450">
        <f>COUNTIF(AM496:AX496,"OK")</f>
        <v>0</v>
      </c>
      <c r="E496" s="450"/>
      <c r="F496" s="450"/>
      <c r="G496" s="450"/>
      <c r="H496" s="454"/>
      <c r="I496" s="454"/>
      <c r="J496" s="450"/>
      <c r="K496" s="501"/>
      <c r="L496" s="450"/>
      <c r="M496" s="450"/>
      <c r="N496" s="466"/>
      <c r="O496" s="514"/>
      <c r="P496" s="502"/>
      <c r="Q496" s="502"/>
      <c r="R496" s="503"/>
      <c r="S496" s="504"/>
      <c r="T496" s="505"/>
      <c r="U496" s="449"/>
      <c r="V496" s="496" t="s">
        <v>59</v>
      </c>
      <c r="W496" s="450"/>
      <c r="X496" s="465"/>
      <c r="Y496" s="465"/>
      <c r="Z496" s="466"/>
      <c r="AA496" s="496" t="s">
        <v>59</v>
      </c>
      <c r="AB496" s="454"/>
      <c r="AC496" s="450"/>
      <c r="AD496" s="450"/>
      <c r="AE496" s="450"/>
      <c r="AF496" s="450"/>
      <c r="AG496" s="450"/>
      <c r="AH496" s="450"/>
      <c r="AY496" s="406">
        <f t="shared" si="1"/>
        <v>0</v>
      </c>
      <c r="AZ496" s="450"/>
      <c r="BA496" s="450">
        <f>(COUNTIF(AI496:AK496,"*OK*")*3) + (COUNTIF(AL496:AN496,"*OK*")*2) + COUNTIF(AO496:AQ496,"*OK*")+COUNTIF(AZ496:AZ496,"SI")*0.5</f>
        <v>0</v>
      </c>
      <c r="BB496" s="450" t="str">
        <f>IF(BA496&lt;0.6,"Demasiado Riesgo",IF(BA496&lt;=5,"Riesgo Medio",IF(BA496&lt;=11,"Riesgo Bajo","Cliente Blindado")))</f>
        <v>Demasiado Riesgo</v>
      </c>
      <c r="BC496" s="450"/>
      <c r="BD496" s="450"/>
      <c r="BE496" s="450"/>
      <c r="BF496" s="450"/>
      <c r="BG496" s="450"/>
      <c r="BH496" s="450"/>
      <c r="BI496" s="450"/>
      <c r="BJ496" s="450"/>
      <c r="BK496" s="450"/>
      <c r="BL496" s="450"/>
      <c r="BM496" s="450"/>
      <c r="BN496" s="450"/>
      <c r="BO496" s="450"/>
      <c r="BP496" s="450"/>
      <c r="BQ496" s="450"/>
      <c r="BR496" s="450"/>
      <c r="BS496" s="450"/>
      <c r="BT496" s="450"/>
      <c r="BU496" s="450"/>
      <c r="BV496" s="450"/>
      <c r="BW496" s="450"/>
      <c r="BX496" s="450"/>
      <c r="BY496" s="450"/>
      <c r="BZ496" s="450"/>
      <c r="CA496" s="450">
        <f>COUNTIF(AI496:AW496,"*OK*")</f>
        <v>0</v>
      </c>
    </row>
    <row r="497" spans="1:79" ht="15" customHeight="1">
      <c r="A497" s="470"/>
      <c r="B497" s="471"/>
      <c r="C497" s="511"/>
      <c r="D497" s="471">
        <f>COUNTIF(AM497:AX497,"OK")</f>
        <v>0</v>
      </c>
      <c r="E497" s="471"/>
      <c r="F497" s="471"/>
      <c r="G497" s="471"/>
      <c r="H497" s="474"/>
      <c r="I497" s="474"/>
      <c r="J497" s="471"/>
      <c r="K497" s="491"/>
      <c r="L497" s="471"/>
      <c r="M497" s="471"/>
      <c r="N497" s="484"/>
      <c r="O497" s="513"/>
      <c r="P497" s="507"/>
      <c r="Q497" s="507"/>
      <c r="R497" s="508"/>
      <c r="S497" s="509"/>
      <c r="T497" s="510"/>
      <c r="U497" s="470"/>
      <c r="V497" s="494" t="s">
        <v>59</v>
      </c>
      <c r="W497" s="471"/>
      <c r="X497" s="483"/>
      <c r="Y497" s="483"/>
      <c r="Z497" s="484"/>
      <c r="AA497" s="494" t="s">
        <v>59</v>
      </c>
      <c r="AB497" s="474"/>
      <c r="AC497" s="471"/>
      <c r="AD497" s="471"/>
      <c r="AE497" s="471"/>
      <c r="AF497" s="471"/>
      <c r="AG497" s="471"/>
      <c r="AH497" s="471"/>
      <c r="AY497" s="406">
        <f t="shared" si="1"/>
        <v>0</v>
      </c>
      <c r="AZ497" s="471"/>
      <c r="BA497" s="471">
        <f>(COUNTIF(AI497:AK497,"*OK*")*3) + (COUNTIF(AL497:AN497,"*OK*")*2) + COUNTIF(AO497:AQ497,"*OK*")+COUNTIF(AZ497:AZ497,"SI")*0.5</f>
        <v>0</v>
      </c>
      <c r="BB497" s="471" t="str">
        <f>IF(BA497&lt;0.6,"Demasiado Riesgo",IF(BA497&lt;=5,"Riesgo Medio",IF(BA497&lt;=11,"Riesgo Bajo","Cliente Blindado")))</f>
        <v>Demasiado Riesgo</v>
      </c>
      <c r="BC497" s="471"/>
      <c r="BD497" s="471"/>
      <c r="BE497" s="471"/>
      <c r="BF497" s="471"/>
      <c r="BG497" s="471"/>
      <c r="BH497" s="471"/>
      <c r="BI497" s="471"/>
      <c r="BJ497" s="471"/>
      <c r="BK497" s="471"/>
      <c r="BL497" s="471"/>
      <c r="BM497" s="471"/>
      <c r="BN497" s="471"/>
      <c r="BO497" s="471"/>
      <c r="BP497" s="471"/>
      <c r="BQ497" s="471"/>
      <c r="BR497" s="471"/>
      <c r="BS497" s="471"/>
      <c r="BT497" s="471"/>
      <c r="BU497" s="471"/>
      <c r="BV497" s="471"/>
      <c r="BW497" s="471"/>
      <c r="BX497" s="471"/>
      <c r="BY497" s="471"/>
      <c r="BZ497" s="471"/>
      <c r="CA497" s="471">
        <f>COUNTIF(AI497:AW497,"*OK*")</f>
        <v>0</v>
      </c>
    </row>
    <row r="498" spans="1:79" ht="15" customHeight="1">
      <c r="A498" s="449"/>
      <c r="B498" s="450"/>
      <c r="C498" s="512"/>
      <c r="D498" s="450">
        <f>COUNTIF(AM498:AX498,"OK")</f>
        <v>0</v>
      </c>
      <c r="E498" s="450"/>
      <c r="F498" s="450"/>
      <c r="G498" s="450"/>
      <c r="H498" s="454"/>
      <c r="I498" s="454"/>
      <c r="J498" s="450"/>
      <c r="K498" s="501"/>
      <c r="L498" s="450"/>
      <c r="M498" s="450"/>
      <c r="N498" s="466"/>
      <c r="O498" s="514"/>
      <c r="P498" s="502"/>
      <c r="Q498" s="502"/>
      <c r="R498" s="503"/>
      <c r="S498" s="504"/>
      <c r="T498" s="505"/>
      <c r="U498" s="449"/>
      <c r="V498" s="496" t="s">
        <v>59</v>
      </c>
      <c r="W498" s="450"/>
      <c r="X498" s="465"/>
      <c r="Y498" s="465"/>
      <c r="Z498" s="466"/>
      <c r="AA498" s="496" t="s">
        <v>59</v>
      </c>
      <c r="AB498" s="454"/>
      <c r="AC498" s="450"/>
      <c r="AD498" s="450"/>
      <c r="AE498" s="450"/>
      <c r="AF498" s="450"/>
      <c r="AG498" s="450"/>
      <c r="AH498" s="450"/>
      <c r="AY498" s="406">
        <f t="shared" si="1"/>
        <v>0</v>
      </c>
      <c r="AZ498" s="450"/>
      <c r="BA498" s="450">
        <f>(COUNTIF(AI498:AK498,"*OK*")*3) + (COUNTIF(AL498:AN498,"*OK*")*2) + COUNTIF(AO498:AQ498,"*OK*")+COUNTIF(AZ498:AZ498,"SI")*0.5</f>
        <v>0</v>
      </c>
      <c r="BB498" s="450" t="str">
        <f>IF(BA498&lt;0.6,"Demasiado Riesgo",IF(BA498&lt;=5,"Riesgo Medio",IF(BA498&lt;=11,"Riesgo Bajo","Cliente Blindado")))</f>
        <v>Demasiado Riesgo</v>
      </c>
      <c r="BC498" s="450"/>
      <c r="BD498" s="450"/>
      <c r="BE498" s="450"/>
      <c r="BF498" s="450"/>
      <c r="BG498" s="450"/>
      <c r="BH498" s="450"/>
      <c r="BI498" s="450"/>
      <c r="BJ498" s="450"/>
      <c r="BK498" s="450"/>
      <c r="BL498" s="450"/>
      <c r="BM498" s="450"/>
      <c r="BN498" s="450"/>
      <c r="BO498" s="450"/>
      <c r="BP498" s="450"/>
      <c r="BQ498" s="450"/>
      <c r="BR498" s="450"/>
      <c r="BS498" s="450"/>
      <c r="BT498" s="450"/>
      <c r="BU498" s="450"/>
      <c r="BV498" s="450"/>
      <c r="BW498" s="450"/>
      <c r="BX498" s="450"/>
      <c r="BY498" s="450"/>
      <c r="BZ498" s="450"/>
      <c r="CA498" s="450">
        <f>COUNTIF(AI498:AW498,"*OK*")</f>
        <v>0</v>
      </c>
    </row>
    <row r="499" spans="1:79" ht="15" customHeight="1">
      <c r="A499" s="470"/>
      <c r="B499" s="471"/>
      <c r="C499" s="511"/>
      <c r="D499" s="471">
        <f>COUNTIF(AM499:AX499,"OK")</f>
        <v>0</v>
      </c>
      <c r="E499" s="471"/>
      <c r="F499" s="471"/>
      <c r="G499" s="471"/>
      <c r="H499" s="474"/>
      <c r="I499" s="474"/>
      <c r="J499" s="471"/>
      <c r="K499" s="491"/>
      <c r="L499" s="471"/>
      <c r="M499" s="471"/>
      <c r="N499" s="484"/>
      <c r="O499" s="513"/>
      <c r="P499" s="507"/>
      <c r="Q499" s="507"/>
      <c r="R499" s="508"/>
      <c r="S499" s="509"/>
      <c r="T499" s="510"/>
      <c r="U499" s="470"/>
      <c r="V499" s="494" t="s">
        <v>59</v>
      </c>
      <c r="W499" s="471"/>
      <c r="X499" s="483"/>
      <c r="Y499" s="483"/>
      <c r="Z499" s="484"/>
      <c r="AA499" s="494" t="s">
        <v>59</v>
      </c>
      <c r="AB499" s="474"/>
      <c r="AC499" s="471"/>
      <c r="AD499" s="471"/>
      <c r="AE499" s="471"/>
      <c r="AF499" s="471"/>
      <c r="AG499" s="471"/>
      <c r="AH499" s="471"/>
      <c r="AY499" s="406">
        <f t="shared" si="1"/>
        <v>0</v>
      </c>
      <c r="AZ499" s="471"/>
      <c r="BA499" s="471">
        <f>(COUNTIF(AI499:AK499,"*OK*")*3) + (COUNTIF(AL499:AN499,"*OK*")*2) + COUNTIF(AO499:AQ499,"*OK*")+COUNTIF(AZ499:AZ499,"SI")*0.5</f>
        <v>0</v>
      </c>
      <c r="BB499" s="471" t="str">
        <f>IF(BA499&lt;0.6,"Demasiado Riesgo",IF(BA499&lt;=5,"Riesgo Medio",IF(BA499&lt;=11,"Riesgo Bajo","Cliente Blindado")))</f>
        <v>Demasiado Riesgo</v>
      </c>
      <c r="BC499" s="471"/>
      <c r="BD499" s="471"/>
      <c r="BE499" s="471"/>
      <c r="BF499" s="471"/>
      <c r="BG499" s="471"/>
      <c r="BH499" s="471"/>
      <c r="BI499" s="471"/>
      <c r="BJ499" s="471"/>
      <c r="BK499" s="471"/>
      <c r="BL499" s="471"/>
      <c r="BM499" s="471"/>
      <c r="BN499" s="471"/>
      <c r="BO499" s="471"/>
      <c r="BP499" s="471"/>
      <c r="BQ499" s="471"/>
      <c r="BR499" s="471"/>
      <c r="BS499" s="471"/>
      <c r="BT499" s="471"/>
      <c r="BU499" s="471"/>
      <c r="BV499" s="471"/>
      <c r="BW499" s="471"/>
      <c r="BX499" s="471"/>
      <c r="BY499" s="471"/>
      <c r="BZ499" s="471"/>
      <c r="CA499" s="471">
        <f>COUNTIF(AI499:AW499,"*OK*")</f>
        <v>0</v>
      </c>
    </row>
    <row r="500" spans="1:79" ht="15" customHeight="1">
      <c r="A500" s="449"/>
      <c r="B500" s="450"/>
      <c r="C500" s="512"/>
      <c r="D500" s="450">
        <f>COUNTIF(AM500:AX500,"OK")</f>
        <v>0</v>
      </c>
      <c r="E500" s="450"/>
      <c r="F500" s="450"/>
      <c r="G500" s="450"/>
      <c r="H500" s="454"/>
      <c r="I500" s="454"/>
      <c r="J500" s="450"/>
      <c r="K500" s="501"/>
      <c r="L500" s="450"/>
      <c r="M500" s="450"/>
      <c r="N500" s="466"/>
      <c r="O500" s="514"/>
      <c r="P500" s="502"/>
      <c r="Q500" s="502"/>
      <c r="R500" s="503"/>
      <c r="S500" s="504"/>
      <c r="T500" s="505"/>
      <c r="U500" s="449"/>
      <c r="V500" s="496" t="s">
        <v>59</v>
      </c>
      <c r="W500" s="450"/>
      <c r="X500" s="465"/>
      <c r="Y500" s="465"/>
      <c r="Z500" s="466"/>
      <c r="AA500" s="496" t="s">
        <v>59</v>
      </c>
      <c r="AB500" s="454"/>
      <c r="AC500" s="450"/>
      <c r="AD500" s="450"/>
      <c r="AE500" s="450"/>
      <c r="AF500" s="450"/>
      <c r="AG500" s="450"/>
      <c r="AH500" s="450"/>
      <c r="AY500" s="406">
        <f t="shared" si="1"/>
        <v>0</v>
      </c>
      <c r="AZ500" s="450"/>
      <c r="BA500" s="450">
        <f>(COUNTIF(AI500:AK500,"*OK*")*3) + (COUNTIF(AL500:AN500,"*OK*")*2) + COUNTIF(AO500:AQ500,"*OK*")+COUNTIF(AZ500:AZ500,"SI")*0.5</f>
        <v>0</v>
      </c>
      <c r="BB500" s="450" t="str">
        <f>IF(BA500&lt;0.6,"Demasiado Riesgo",IF(BA500&lt;=5,"Riesgo Medio",IF(BA500&lt;=11,"Riesgo Bajo","Cliente Blindado")))</f>
        <v>Demasiado Riesgo</v>
      </c>
      <c r="BC500" s="450"/>
      <c r="BD500" s="450"/>
      <c r="BE500" s="450"/>
      <c r="BF500" s="450"/>
      <c r="BG500" s="450"/>
      <c r="BH500" s="450"/>
      <c r="BI500" s="450"/>
      <c r="BJ500" s="450"/>
      <c r="BK500" s="450"/>
      <c r="BL500" s="450"/>
      <c r="BM500" s="450"/>
      <c r="BN500" s="450"/>
      <c r="BO500" s="450"/>
      <c r="BP500" s="450"/>
      <c r="BQ500" s="450"/>
      <c r="BR500" s="450"/>
      <c r="BS500" s="450"/>
      <c r="BT500" s="450"/>
      <c r="BU500" s="450"/>
      <c r="BV500" s="450"/>
      <c r="BW500" s="450"/>
      <c r="BX500" s="450"/>
      <c r="BY500" s="450"/>
      <c r="BZ500" s="450"/>
      <c r="CA500" s="450">
        <f>COUNTIF(AI500:AW500,"*OK*")</f>
        <v>0</v>
      </c>
    </row>
    <row r="501" spans="1:79" ht="15" customHeight="1">
      <c r="A501" s="470"/>
      <c r="B501" s="471"/>
      <c r="C501" s="511"/>
      <c r="D501" s="471">
        <f>COUNTIF(AM501:AX501,"OK")</f>
        <v>0</v>
      </c>
      <c r="E501" s="471"/>
      <c r="F501" s="471"/>
      <c r="G501" s="471"/>
      <c r="H501" s="474"/>
      <c r="I501" s="474"/>
      <c r="J501" s="471"/>
      <c r="K501" s="491"/>
      <c r="L501" s="471"/>
      <c r="M501" s="471"/>
      <c r="N501" s="484"/>
      <c r="O501" s="513"/>
      <c r="P501" s="507"/>
      <c r="Q501" s="507"/>
      <c r="R501" s="508"/>
      <c r="S501" s="509"/>
      <c r="T501" s="510"/>
      <c r="U501" s="470"/>
      <c r="V501" s="494" t="s">
        <v>59</v>
      </c>
      <c r="W501" s="471"/>
      <c r="X501" s="483"/>
      <c r="Y501" s="483"/>
      <c r="Z501" s="484"/>
      <c r="AA501" s="494" t="s">
        <v>59</v>
      </c>
      <c r="AB501" s="474"/>
      <c r="AC501" s="471"/>
      <c r="AD501" s="471"/>
      <c r="AE501" s="471"/>
      <c r="AF501" s="471"/>
      <c r="AG501" s="471"/>
      <c r="AH501" s="471"/>
      <c r="AY501" s="406">
        <f t="shared" si="1"/>
        <v>0</v>
      </c>
      <c r="AZ501" s="471"/>
      <c r="BA501" s="471">
        <f>(COUNTIF(AI501:AK501,"*OK*")*3) + (COUNTIF(AL501:AN501,"*OK*")*2) + COUNTIF(AO501:AQ501,"*OK*")+COUNTIF(AZ501:AZ501,"SI")*0.5</f>
        <v>0</v>
      </c>
      <c r="BB501" s="471" t="str">
        <f>IF(BA501&lt;0.6,"Demasiado Riesgo",IF(BA501&lt;=5,"Riesgo Medio",IF(BA501&lt;=11,"Riesgo Bajo","Cliente Blindado")))</f>
        <v>Demasiado Riesgo</v>
      </c>
      <c r="BC501" s="471"/>
      <c r="BD501" s="471"/>
      <c r="BE501" s="471"/>
      <c r="BF501" s="471"/>
      <c r="BG501" s="471"/>
      <c r="BH501" s="471"/>
      <c r="BI501" s="471"/>
      <c r="BJ501" s="471"/>
      <c r="BK501" s="471"/>
      <c r="BL501" s="471"/>
      <c r="BM501" s="471"/>
      <c r="BN501" s="471"/>
      <c r="BO501" s="471"/>
      <c r="BP501" s="471"/>
      <c r="BQ501" s="471"/>
      <c r="BR501" s="471"/>
      <c r="BS501" s="471"/>
      <c r="BT501" s="471"/>
      <c r="BU501" s="471"/>
      <c r="BV501" s="471"/>
      <c r="BW501" s="471"/>
      <c r="BX501" s="471"/>
      <c r="BY501" s="471"/>
      <c r="BZ501" s="471"/>
      <c r="CA501" s="471">
        <f>COUNTIF(AI501:AW501,"*OK*")</f>
        <v>0</v>
      </c>
    </row>
    <row r="502" spans="1:79" ht="15" customHeight="1">
      <c r="A502" s="449"/>
      <c r="B502" s="450"/>
      <c r="C502" s="512"/>
      <c r="D502" s="450">
        <f>COUNTIF(AM502:AX502,"OK")</f>
        <v>0</v>
      </c>
      <c r="E502" s="450"/>
      <c r="F502" s="450"/>
      <c r="G502" s="450"/>
      <c r="H502" s="454"/>
      <c r="I502" s="454"/>
      <c r="J502" s="450"/>
      <c r="K502" s="501"/>
      <c r="L502" s="450"/>
      <c r="M502" s="450"/>
      <c r="N502" s="466"/>
      <c r="O502" s="514"/>
      <c r="P502" s="502"/>
      <c r="Q502" s="502"/>
      <c r="R502" s="503"/>
      <c r="S502" s="504"/>
      <c r="T502" s="505"/>
      <c r="U502" s="449"/>
      <c r="V502" s="496" t="s">
        <v>59</v>
      </c>
      <c r="W502" s="450"/>
      <c r="X502" s="465"/>
      <c r="Y502" s="465"/>
      <c r="Z502" s="466"/>
      <c r="AA502" s="496" t="s">
        <v>59</v>
      </c>
      <c r="AB502" s="454"/>
      <c r="AC502" s="450"/>
      <c r="AD502" s="450"/>
      <c r="AE502" s="450"/>
      <c r="AF502" s="450"/>
      <c r="AG502" s="450"/>
      <c r="AH502" s="450"/>
      <c r="AY502" s="406">
        <f t="shared" si="1"/>
        <v>0</v>
      </c>
      <c r="AZ502" s="450"/>
      <c r="BA502" s="450">
        <f>(COUNTIF(AI502:AK502,"*OK*")*3) + (COUNTIF(AL502:AN502,"*OK*")*2) + COUNTIF(AO502:AQ502,"*OK*")+COUNTIF(AZ502:AZ502,"SI")*0.5</f>
        <v>0</v>
      </c>
      <c r="BB502" s="450" t="str">
        <f>IF(BA502&lt;0.6,"Demasiado Riesgo",IF(BA502&lt;=5,"Riesgo Medio",IF(BA502&lt;=11,"Riesgo Bajo","Cliente Blindado")))</f>
        <v>Demasiado Riesgo</v>
      </c>
      <c r="BC502" s="450"/>
      <c r="BD502" s="450"/>
      <c r="BE502" s="450"/>
      <c r="BF502" s="450"/>
      <c r="BG502" s="450"/>
      <c r="BH502" s="450"/>
      <c r="BI502" s="450"/>
      <c r="BJ502" s="450"/>
      <c r="BK502" s="450"/>
      <c r="BL502" s="450"/>
      <c r="BM502" s="450"/>
      <c r="BN502" s="450"/>
      <c r="BO502" s="450"/>
      <c r="BP502" s="450"/>
      <c r="BQ502" s="450"/>
      <c r="BR502" s="450"/>
      <c r="BS502" s="450"/>
      <c r="BT502" s="450"/>
      <c r="BU502" s="450"/>
      <c r="BV502" s="450"/>
      <c r="BW502" s="450"/>
      <c r="BX502" s="450"/>
      <c r="BY502" s="450"/>
      <c r="BZ502" s="450"/>
      <c r="CA502" s="450">
        <f>COUNTIF(AI502:AW502,"*OK*")</f>
        <v>0</v>
      </c>
    </row>
    <row r="503" spans="1:79" ht="15" customHeight="1">
      <c r="A503" s="470"/>
      <c r="B503" s="471"/>
      <c r="C503" s="511"/>
      <c r="D503" s="471">
        <f>COUNTIF(AM503:AX503,"OK")</f>
        <v>0</v>
      </c>
      <c r="E503" s="471"/>
      <c r="F503" s="471"/>
      <c r="G503" s="471"/>
      <c r="H503" s="474"/>
      <c r="I503" s="474"/>
      <c r="J503" s="471"/>
      <c r="K503" s="491"/>
      <c r="L503" s="471"/>
      <c r="M503" s="471"/>
      <c r="N503" s="484"/>
      <c r="O503" s="513"/>
      <c r="P503" s="507"/>
      <c r="Q503" s="507"/>
      <c r="R503" s="508"/>
      <c r="S503" s="509"/>
      <c r="T503" s="510"/>
      <c r="U503" s="470"/>
      <c r="V503" s="494" t="s">
        <v>59</v>
      </c>
      <c r="W503" s="471"/>
      <c r="X503" s="483"/>
      <c r="Y503" s="483"/>
      <c r="Z503" s="484"/>
      <c r="AA503" s="494" t="s">
        <v>59</v>
      </c>
      <c r="AB503" s="474"/>
      <c r="AC503" s="471"/>
      <c r="AD503" s="471"/>
      <c r="AE503" s="471"/>
      <c r="AF503" s="471"/>
      <c r="AG503" s="471"/>
      <c r="AH503" s="471"/>
      <c r="AY503" s="406">
        <f t="shared" si="1"/>
        <v>0</v>
      </c>
      <c r="AZ503" s="471"/>
      <c r="BA503" s="471">
        <f>(COUNTIF(AI503:AK503,"*OK*")*3) + (COUNTIF(AL503:AN503,"*OK*")*2) + COUNTIF(AO503:AQ503,"*OK*")+COUNTIF(AZ503:AZ503,"SI")*0.5</f>
        <v>0</v>
      </c>
      <c r="BB503" s="471" t="str">
        <f>IF(BA503&lt;0.6,"Demasiado Riesgo",IF(BA503&lt;=5,"Riesgo Medio",IF(BA503&lt;=11,"Riesgo Bajo","Cliente Blindado")))</f>
        <v>Demasiado Riesgo</v>
      </c>
      <c r="BC503" s="471"/>
      <c r="BD503" s="471"/>
      <c r="BE503" s="471"/>
      <c r="BF503" s="471"/>
      <c r="BG503" s="471"/>
      <c r="BH503" s="471"/>
      <c r="BI503" s="471"/>
      <c r="BJ503" s="471"/>
      <c r="BK503" s="471"/>
      <c r="BL503" s="471"/>
      <c r="BM503" s="471"/>
      <c r="BN503" s="471"/>
      <c r="BO503" s="471"/>
      <c r="BP503" s="471"/>
      <c r="BQ503" s="471"/>
      <c r="BR503" s="471"/>
      <c r="BS503" s="471"/>
      <c r="BT503" s="471"/>
      <c r="BU503" s="471"/>
      <c r="BV503" s="471"/>
      <c r="BW503" s="471"/>
      <c r="BX503" s="471"/>
      <c r="BY503" s="471"/>
      <c r="BZ503" s="471"/>
      <c r="CA503" s="471">
        <f>COUNTIF(AI503:AW503,"*OK*")</f>
        <v>0</v>
      </c>
    </row>
    <row r="504" spans="1:79" ht="15" customHeight="1">
      <c r="A504" s="449"/>
      <c r="B504" s="450"/>
      <c r="C504" s="512"/>
      <c r="D504" s="450">
        <f>COUNTIF(AM504:AX504,"OK")</f>
        <v>0</v>
      </c>
      <c r="E504" s="450"/>
      <c r="F504" s="450"/>
      <c r="G504" s="450"/>
      <c r="H504" s="454"/>
      <c r="I504" s="454"/>
      <c r="J504" s="450"/>
      <c r="K504" s="501"/>
      <c r="L504" s="450"/>
      <c r="M504" s="450"/>
      <c r="N504" s="466"/>
      <c r="O504" s="514"/>
      <c r="P504" s="502"/>
      <c r="Q504" s="502"/>
      <c r="R504" s="503"/>
      <c r="S504" s="504"/>
      <c r="T504" s="505"/>
      <c r="U504" s="449"/>
      <c r="V504" s="496" t="s">
        <v>59</v>
      </c>
      <c r="W504" s="450"/>
      <c r="X504" s="465"/>
      <c r="Y504" s="465"/>
      <c r="Z504" s="466"/>
      <c r="AA504" s="496" t="s">
        <v>59</v>
      </c>
      <c r="AB504" s="454"/>
      <c r="AC504" s="450"/>
      <c r="AD504" s="450"/>
      <c r="AE504" s="450"/>
      <c r="AF504" s="450"/>
      <c r="AG504" s="450"/>
      <c r="AH504" s="450"/>
      <c r="AY504" s="406">
        <f t="shared" si="1"/>
        <v>0</v>
      </c>
      <c r="AZ504" s="450"/>
      <c r="BA504" s="450">
        <f>(COUNTIF(AI504:AK504,"*OK*")*3) + (COUNTIF(AL504:AN504,"*OK*")*2) + COUNTIF(AO504:AQ504,"*OK*")+COUNTIF(AZ504:AZ504,"SI")*0.5</f>
        <v>0</v>
      </c>
      <c r="BB504" s="450" t="str">
        <f>IF(BA504&lt;0.6,"Demasiado Riesgo",IF(BA504&lt;=5,"Riesgo Medio",IF(BA504&lt;=11,"Riesgo Bajo","Cliente Blindado")))</f>
        <v>Demasiado Riesgo</v>
      </c>
      <c r="BC504" s="450"/>
      <c r="BD504" s="450"/>
      <c r="BE504" s="450"/>
      <c r="BF504" s="450"/>
      <c r="BG504" s="450"/>
      <c r="BH504" s="450"/>
      <c r="BI504" s="450"/>
      <c r="BJ504" s="450"/>
      <c r="BK504" s="450"/>
      <c r="BL504" s="450"/>
      <c r="BM504" s="450"/>
      <c r="BN504" s="450"/>
      <c r="BO504" s="450"/>
      <c r="BP504" s="450"/>
      <c r="BQ504" s="450"/>
      <c r="BR504" s="450"/>
      <c r="BS504" s="450"/>
      <c r="BT504" s="450"/>
      <c r="BU504" s="450"/>
      <c r="BV504" s="450"/>
      <c r="BW504" s="450"/>
      <c r="BX504" s="450"/>
      <c r="BY504" s="450"/>
      <c r="BZ504" s="450"/>
      <c r="CA504" s="450">
        <f>COUNTIF(AI504:AW504,"*OK*")</f>
        <v>0</v>
      </c>
    </row>
    <row r="505" spans="1:79" ht="15" customHeight="1">
      <c r="A505" s="470"/>
      <c r="B505" s="471"/>
      <c r="C505" s="511"/>
      <c r="D505" s="471">
        <f>COUNTIF(AM505:AX505,"OK")</f>
        <v>0</v>
      </c>
      <c r="E505" s="471"/>
      <c r="F505" s="471"/>
      <c r="G505" s="471"/>
      <c r="H505" s="474"/>
      <c r="I505" s="474"/>
      <c r="J505" s="471"/>
      <c r="K505" s="491"/>
      <c r="L505" s="471"/>
      <c r="M505" s="471"/>
      <c r="N505" s="484"/>
      <c r="O505" s="513"/>
      <c r="P505" s="507"/>
      <c r="Q505" s="507"/>
      <c r="R505" s="508"/>
      <c r="S505" s="509"/>
      <c r="T505" s="510"/>
      <c r="U505" s="470"/>
      <c r="V505" s="494" t="s">
        <v>59</v>
      </c>
      <c r="W505" s="471"/>
      <c r="X505" s="483"/>
      <c r="Y505" s="483"/>
      <c r="Z505" s="484"/>
      <c r="AA505" s="494" t="s">
        <v>59</v>
      </c>
      <c r="AB505" s="474"/>
      <c r="AC505" s="471"/>
      <c r="AD505" s="471"/>
      <c r="AE505" s="471"/>
      <c r="AF505" s="471"/>
      <c r="AG505" s="471"/>
      <c r="AH505" s="471"/>
      <c r="AY505" s="406">
        <f t="shared" si="1"/>
        <v>0</v>
      </c>
      <c r="AZ505" s="471"/>
      <c r="BA505" s="471">
        <f>(COUNTIF(AI505:AK505,"*OK*")*3) + (COUNTIF(AL505:AN505,"*OK*")*2) + COUNTIF(AO505:AQ505,"*OK*")+COUNTIF(AZ505:AZ505,"SI")*0.5</f>
        <v>0</v>
      </c>
      <c r="BB505" s="471" t="str">
        <f>IF(BA505&lt;0.6,"Demasiado Riesgo",IF(BA505&lt;=5,"Riesgo Medio",IF(BA505&lt;=11,"Riesgo Bajo","Cliente Blindado")))</f>
        <v>Demasiado Riesgo</v>
      </c>
      <c r="BC505" s="471"/>
      <c r="BD505" s="471"/>
      <c r="BE505" s="471"/>
      <c r="BF505" s="471"/>
      <c r="BG505" s="471"/>
      <c r="BH505" s="471"/>
      <c r="BI505" s="471"/>
      <c r="BJ505" s="471"/>
      <c r="BK505" s="471"/>
      <c r="BL505" s="471"/>
      <c r="BM505" s="471"/>
      <c r="BN505" s="471"/>
      <c r="BO505" s="471"/>
      <c r="BP505" s="471"/>
      <c r="BQ505" s="471"/>
      <c r="BR505" s="471"/>
      <c r="BS505" s="471"/>
      <c r="BT505" s="471"/>
      <c r="BU505" s="471"/>
      <c r="BV505" s="471"/>
      <c r="BW505" s="471"/>
      <c r="BX505" s="471"/>
      <c r="BY505" s="471"/>
      <c r="BZ505" s="471"/>
      <c r="CA505" s="471">
        <f>COUNTIF(AI505:AW505,"*OK*")</f>
        <v>0</v>
      </c>
    </row>
    <row r="506" spans="1:79" ht="15" customHeight="1">
      <c r="A506" s="449"/>
      <c r="B506" s="450"/>
      <c r="C506" s="512"/>
      <c r="D506" s="450">
        <f>COUNTIF(AM506:AX506,"OK")</f>
        <v>0</v>
      </c>
      <c r="E506" s="450"/>
      <c r="F506" s="450"/>
      <c r="G506" s="450"/>
      <c r="H506" s="454"/>
      <c r="I506" s="454"/>
      <c r="J506" s="450"/>
      <c r="K506" s="501"/>
      <c r="L506" s="450"/>
      <c r="M506" s="450"/>
      <c r="N506" s="466"/>
      <c r="O506" s="514"/>
      <c r="P506" s="502"/>
      <c r="Q506" s="502"/>
      <c r="R506" s="503"/>
      <c r="S506" s="504"/>
      <c r="T506" s="505"/>
      <c r="U506" s="449"/>
      <c r="V506" s="496" t="s">
        <v>59</v>
      </c>
      <c r="W506" s="450"/>
      <c r="X506" s="465"/>
      <c r="Y506" s="465"/>
      <c r="Z506" s="466"/>
      <c r="AA506" s="496" t="s">
        <v>59</v>
      </c>
      <c r="AB506" s="454"/>
      <c r="AC506" s="450"/>
      <c r="AD506" s="450"/>
      <c r="AE506" s="450"/>
      <c r="AF506" s="450"/>
      <c r="AG506" s="450"/>
      <c r="AH506" s="450"/>
      <c r="AY506" s="406">
        <f t="shared" si="1"/>
        <v>0</v>
      </c>
      <c r="AZ506" s="450"/>
      <c r="BA506" s="450">
        <f>(COUNTIF(AI506:AK506,"*OK*")*3) + (COUNTIF(AL506:AN506,"*OK*")*2) + COUNTIF(AO506:AQ506,"*OK*")+COUNTIF(AZ506:AZ506,"SI")*0.5</f>
        <v>0</v>
      </c>
      <c r="BB506" s="450" t="str">
        <f>IF(BA506&lt;0.6,"Demasiado Riesgo",IF(BA506&lt;=5,"Riesgo Medio",IF(BA506&lt;=11,"Riesgo Bajo","Cliente Blindado")))</f>
        <v>Demasiado Riesgo</v>
      </c>
      <c r="BC506" s="450"/>
      <c r="BD506" s="450"/>
      <c r="BE506" s="450"/>
      <c r="BF506" s="450"/>
      <c r="BG506" s="450"/>
      <c r="BH506" s="450"/>
      <c r="BI506" s="450"/>
      <c r="BJ506" s="450"/>
      <c r="BK506" s="450"/>
      <c r="BL506" s="450"/>
      <c r="BM506" s="450"/>
      <c r="BN506" s="450"/>
      <c r="BO506" s="450"/>
      <c r="BP506" s="450"/>
      <c r="BQ506" s="450"/>
      <c r="BR506" s="450"/>
      <c r="BS506" s="450"/>
      <c r="BT506" s="450"/>
      <c r="BU506" s="450"/>
      <c r="BV506" s="450"/>
      <c r="BW506" s="450"/>
      <c r="BX506" s="450"/>
      <c r="BY506" s="450"/>
      <c r="BZ506" s="450"/>
      <c r="CA506" s="450">
        <f>COUNTIF(AI506:AW506,"*OK*")</f>
        <v>0</v>
      </c>
    </row>
    <row r="507" spans="1:79" ht="15" customHeight="1">
      <c r="A507" s="470"/>
      <c r="B507" s="471"/>
      <c r="C507" s="511"/>
      <c r="D507" s="471">
        <f>COUNTIF(AM507:AX507,"OK")</f>
        <v>0</v>
      </c>
      <c r="E507" s="471"/>
      <c r="F507" s="471"/>
      <c r="G507" s="471"/>
      <c r="H507" s="474"/>
      <c r="I507" s="474"/>
      <c r="J507" s="471"/>
      <c r="K507" s="491"/>
      <c r="L507" s="471"/>
      <c r="M507" s="471"/>
      <c r="N507" s="484"/>
      <c r="O507" s="513"/>
      <c r="P507" s="507"/>
      <c r="Q507" s="507"/>
      <c r="R507" s="508"/>
      <c r="S507" s="509"/>
      <c r="T507" s="510"/>
      <c r="U507" s="470"/>
      <c r="V507" s="494" t="s">
        <v>59</v>
      </c>
      <c r="W507" s="471"/>
      <c r="X507" s="483"/>
      <c r="Y507" s="483"/>
      <c r="Z507" s="484"/>
      <c r="AA507" s="494" t="s">
        <v>59</v>
      </c>
      <c r="AB507" s="474"/>
      <c r="AC507" s="471"/>
      <c r="AD507" s="471"/>
      <c r="AE507" s="471"/>
      <c r="AF507" s="471"/>
      <c r="AG507" s="471"/>
      <c r="AH507" s="471"/>
      <c r="AY507" s="406">
        <f t="shared" si="1"/>
        <v>0</v>
      </c>
      <c r="AZ507" s="471"/>
      <c r="BA507" s="471">
        <f>(COUNTIF(AI507:AK507,"*OK*")*3) + (COUNTIF(AL507:AN507,"*OK*")*2) + COUNTIF(AO507:AQ507,"*OK*")+COUNTIF(AZ507:AZ507,"SI")*0.5</f>
        <v>0</v>
      </c>
      <c r="BB507" s="471" t="str">
        <f>IF(BA507&lt;0.6,"Demasiado Riesgo",IF(BA507&lt;=5,"Riesgo Medio",IF(BA507&lt;=11,"Riesgo Bajo","Cliente Blindado")))</f>
        <v>Demasiado Riesgo</v>
      </c>
      <c r="BC507" s="471"/>
      <c r="BD507" s="471"/>
      <c r="BE507" s="471"/>
      <c r="BF507" s="471"/>
      <c r="BG507" s="471"/>
      <c r="BH507" s="471"/>
      <c r="BI507" s="471"/>
      <c r="BJ507" s="471"/>
      <c r="BK507" s="471"/>
      <c r="BL507" s="471"/>
      <c r="BM507" s="471"/>
      <c r="BN507" s="471"/>
      <c r="BO507" s="471"/>
      <c r="BP507" s="471"/>
      <c r="BQ507" s="471"/>
      <c r="BR507" s="471"/>
      <c r="BS507" s="471"/>
      <c r="BT507" s="471"/>
      <c r="BU507" s="471"/>
      <c r="BV507" s="471"/>
      <c r="BW507" s="471"/>
      <c r="BX507" s="471"/>
      <c r="BY507" s="471"/>
      <c r="BZ507" s="471"/>
      <c r="CA507" s="471">
        <f>COUNTIF(AI507:AW507,"*OK*")</f>
        <v>0</v>
      </c>
    </row>
    <row r="508" spans="1:79" ht="15" customHeight="1">
      <c r="A508" s="449"/>
      <c r="B508" s="450"/>
      <c r="C508" s="512"/>
      <c r="D508" s="450">
        <f>COUNTIF(AM508:AX508,"OK")</f>
        <v>0</v>
      </c>
      <c r="E508" s="450"/>
      <c r="F508" s="450"/>
      <c r="G508" s="450"/>
      <c r="H508" s="454"/>
      <c r="I508" s="454"/>
      <c r="J508" s="450"/>
      <c r="K508" s="501"/>
      <c r="L508" s="450"/>
      <c r="M508" s="450"/>
      <c r="N508" s="466"/>
      <c r="O508" s="514"/>
      <c r="P508" s="502"/>
      <c r="Q508" s="502"/>
      <c r="R508" s="503"/>
      <c r="S508" s="504"/>
      <c r="T508" s="505"/>
      <c r="U508" s="449"/>
      <c r="V508" s="496" t="s">
        <v>59</v>
      </c>
      <c r="W508" s="450"/>
      <c r="X508" s="465"/>
      <c r="Y508" s="465"/>
      <c r="Z508" s="466"/>
      <c r="AA508" s="496" t="s">
        <v>59</v>
      </c>
      <c r="AB508" s="454"/>
      <c r="AC508" s="450"/>
      <c r="AD508" s="450"/>
      <c r="AE508" s="450"/>
      <c r="AF508" s="450"/>
      <c r="AG508" s="450"/>
      <c r="AH508" s="450"/>
      <c r="AY508" s="406">
        <f t="shared" si="1"/>
        <v>0</v>
      </c>
      <c r="AZ508" s="450"/>
      <c r="BA508" s="450">
        <f>(COUNTIF(AI508:AK508,"*OK*")*3) + (COUNTIF(AL508:AN508,"*OK*")*2) + COUNTIF(AO508:AQ508,"*OK*")+COUNTIF(AZ508:AZ508,"SI")*0.5</f>
        <v>0</v>
      </c>
      <c r="BB508" s="450" t="str">
        <f>IF(BA508&lt;0.6,"Demasiado Riesgo",IF(BA508&lt;=5,"Riesgo Medio",IF(BA508&lt;=11,"Riesgo Bajo","Cliente Blindado")))</f>
        <v>Demasiado Riesgo</v>
      </c>
      <c r="BC508" s="450"/>
      <c r="BD508" s="450"/>
      <c r="BE508" s="450"/>
      <c r="BF508" s="450"/>
      <c r="BG508" s="450"/>
      <c r="BH508" s="450"/>
      <c r="BI508" s="450"/>
      <c r="BJ508" s="450"/>
      <c r="BK508" s="450"/>
      <c r="BL508" s="450"/>
      <c r="BM508" s="450"/>
      <c r="BN508" s="450"/>
      <c r="BO508" s="450"/>
      <c r="BP508" s="450"/>
      <c r="BQ508" s="450"/>
      <c r="BR508" s="450"/>
      <c r="BS508" s="450"/>
      <c r="BT508" s="450"/>
      <c r="BU508" s="450"/>
      <c r="BV508" s="450"/>
      <c r="BW508" s="450"/>
      <c r="BX508" s="450"/>
      <c r="BY508" s="450"/>
      <c r="BZ508" s="450"/>
      <c r="CA508" s="450">
        <f>COUNTIF(AI508:AW508,"*OK*")</f>
        <v>0</v>
      </c>
    </row>
    <row r="509" spans="1:79" ht="15" customHeight="1">
      <c r="A509" s="470"/>
      <c r="B509" s="471"/>
      <c r="C509" s="511"/>
      <c r="D509" s="471">
        <f>COUNTIF(AM509:AX509,"OK")</f>
        <v>0</v>
      </c>
      <c r="E509" s="471"/>
      <c r="F509" s="471"/>
      <c r="G509" s="471"/>
      <c r="H509" s="474"/>
      <c r="I509" s="474"/>
      <c r="J509" s="471"/>
      <c r="K509" s="491"/>
      <c r="L509" s="471"/>
      <c r="M509" s="471"/>
      <c r="N509" s="484"/>
      <c r="O509" s="513"/>
      <c r="P509" s="507"/>
      <c r="Q509" s="507"/>
      <c r="R509" s="508"/>
      <c r="S509" s="509"/>
      <c r="T509" s="510"/>
      <c r="U509" s="470"/>
      <c r="V509" s="494" t="s">
        <v>59</v>
      </c>
      <c r="W509" s="471"/>
      <c r="X509" s="483"/>
      <c r="Y509" s="483"/>
      <c r="Z509" s="484"/>
      <c r="AA509" s="494" t="s">
        <v>59</v>
      </c>
      <c r="AB509" s="474"/>
      <c r="AC509" s="471"/>
      <c r="AD509" s="471"/>
      <c r="AE509" s="471"/>
      <c r="AF509" s="471"/>
      <c r="AG509" s="471"/>
      <c r="AH509" s="471"/>
      <c r="AY509" s="406">
        <f t="shared" si="1"/>
        <v>0</v>
      </c>
      <c r="AZ509" s="471"/>
      <c r="BA509" s="471">
        <f>(COUNTIF(AI509:AK509,"*OK*")*3) + (COUNTIF(AL509:AN509,"*OK*")*2) + COUNTIF(AO509:AQ509,"*OK*")+COUNTIF(AZ509:AZ509,"SI")*0.5</f>
        <v>0</v>
      </c>
      <c r="BB509" s="471" t="str">
        <f>IF(BA509&lt;0.6,"Demasiado Riesgo",IF(BA509&lt;=5,"Riesgo Medio",IF(BA509&lt;=11,"Riesgo Bajo","Cliente Blindado")))</f>
        <v>Demasiado Riesgo</v>
      </c>
      <c r="BC509" s="471"/>
      <c r="BD509" s="471"/>
      <c r="BE509" s="471"/>
      <c r="BF509" s="471"/>
      <c r="BG509" s="471"/>
      <c r="BH509" s="471"/>
      <c r="BI509" s="471"/>
      <c r="BJ509" s="471"/>
      <c r="BK509" s="471"/>
      <c r="BL509" s="471"/>
      <c r="BM509" s="471"/>
      <c r="BN509" s="471"/>
      <c r="BO509" s="471"/>
      <c r="BP509" s="471"/>
      <c r="BQ509" s="471"/>
      <c r="BR509" s="471"/>
      <c r="BS509" s="471"/>
      <c r="BT509" s="471"/>
      <c r="BU509" s="471"/>
      <c r="BV509" s="471"/>
      <c r="BW509" s="471"/>
      <c r="BX509" s="471"/>
      <c r="BY509" s="471"/>
      <c r="BZ509" s="471"/>
      <c r="CA509" s="471">
        <f>COUNTIF(AI509:AW509,"*OK*")</f>
        <v>0</v>
      </c>
    </row>
    <row r="510" spans="1:79" ht="15" customHeight="1">
      <c r="A510" s="449"/>
      <c r="B510" s="450"/>
      <c r="C510" s="512"/>
      <c r="D510" s="450">
        <f>COUNTIF(AM510:AX510,"OK")</f>
        <v>0</v>
      </c>
      <c r="E510" s="450"/>
      <c r="F510" s="450"/>
      <c r="G510" s="450"/>
      <c r="H510" s="454"/>
      <c r="I510" s="454"/>
      <c r="J510" s="450"/>
      <c r="K510" s="501"/>
      <c r="L510" s="450"/>
      <c r="M510" s="450"/>
      <c r="N510" s="466"/>
      <c r="O510" s="514"/>
      <c r="P510" s="502"/>
      <c r="Q510" s="502"/>
      <c r="R510" s="503"/>
      <c r="S510" s="504"/>
      <c r="T510" s="505"/>
      <c r="U510" s="449"/>
      <c r="V510" s="496" t="s">
        <v>59</v>
      </c>
      <c r="W510" s="450"/>
      <c r="X510" s="465"/>
      <c r="Y510" s="465"/>
      <c r="Z510" s="466"/>
      <c r="AA510" s="496" t="s">
        <v>59</v>
      </c>
      <c r="AB510" s="454"/>
      <c r="AC510" s="450"/>
      <c r="AD510" s="450"/>
      <c r="AE510" s="450"/>
      <c r="AF510" s="450"/>
      <c r="AG510" s="450"/>
      <c r="AH510" s="450"/>
      <c r="AY510" s="406">
        <f t="shared" si="1"/>
        <v>0</v>
      </c>
      <c r="AZ510" s="450"/>
      <c r="BA510" s="450">
        <f>(COUNTIF(AI510:AK510,"*OK*")*3) + (COUNTIF(AL510:AN510,"*OK*")*2) + COUNTIF(AO510:AQ510,"*OK*")+COUNTIF(AZ510:AZ510,"SI")*0.5</f>
        <v>0</v>
      </c>
      <c r="BB510" s="450" t="str">
        <f>IF(BA510&lt;0.6,"Demasiado Riesgo",IF(BA510&lt;=5,"Riesgo Medio",IF(BA510&lt;=11,"Riesgo Bajo","Cliente Blindado")))</f>
        <v>Demasiado Riesgo</v>
      </c>
      <c r="BC510" s="450"/>
      <c r="BD510" s="450"/>
      <c r="BE510" s="450"/>
      <c r="BF510" s="450"/>
      <c r="BG510" s="450"/>
      <c r="BH510" s="450"/>
      <c r="BI510" s="450"/>
      <c r="BJ510" s="450"/>
      <c r="BK510" s="450"/>
      <c r="BL510" s="450"/>
      <c r="BM510" s="450"/>
      <c r="BN510" s="450"/>
      <c r="BO510" s="450"/>
      <c r="BP510" s="450"/>
      <c r="BQ510" s="450"/>
      <c r="BR510" s="450"/>
      <c r="BS510" s="450"/>
      <c r="BT510" s="450"/>
      <c r="BU510" s="450"/>
      <c r="BV510" s="450"/>
      <c r="BW510" s="450"/>
      <c r="BX510" s="450"/>
      <c r="BY510" s="450"/>
      <c r="BZ510" s="450"/>
      <c r="CA510" s="450">
        <f>COUNTIF(AI510:AW510,"*OK*")</f>
        <v>0</v>
      </c>
    </row>
    <row r="511" spans="1:79" ht="15" customHeight="1">
      <c r="A511" s="470"/>
      <c r="B511" s="471"/>
      <c r="C511" s="511"/>
      <c r="D511" s="471">
        <f>COUNTIF(AM511:AX511,"OK")</f>
        <v>0</v>
      </c>
      <c r="E511" s="471"/>
      <c r="F511" s="471"/>
      <c r="G511" s="471"/>
      <c r="H511" s="474"/>
      <c r="I511" s="474"/>
      <c r="J511" s="471"/>
      <c r="K511" s="491"/>
      <c r="L511" s="471"/>
      <c r="M511" s="471"/>
      <c r="N511" s="484"/>
      <c r="O511" s="513"/>
      <c r="P511" s="507"/>
      <c r="Q511" s="507"/>
      <c r="R511" s="508"/>
      <c r="S511" s="509"/>
      <c r="T511" s="510"/>
      <c r="U511" s="470"/>
      <c r="V511" s="494" t="s">
        <v>59</v>
      </c>
      <c r="W511" s="471"/>
      <c r="X511" s="483"/>
      <c r="Y511" s="483"/>
      <c r="Z511" s="484"/>
      <c r="AA511" s="494" t="s">
        <v>59</v>
      </c>
      <c r="AB511" s="474"/>
      <c r="AC511" s="471"/>
      <c r="AD511" s="471"/>
      <c r="AE511" s="471"/>
      <c r="AF511" s="471"/>
      <c r="AG511" s="471"/>
      <c r="AH511" s="471"/>
      <c r="AY511" s="406">
        <f t="shared" si="1"/>
        <v>0</v>
      </c>
      <c r="AZ511" s="471"/>
      <c r="BA511" s="471">
        <f>(COUNTIF(AI511:AK511,"*OK*")*3) + (COUNTIF(AL511:AN511,"*OK*")*2) + COUNTIF(AO511:AQ511,"*OK*")+COUNTIF(AZ511:AZ511,"SI")*0.5</f>
        <v>0</v>
      </c>
      <c r="BB511" s="471" t="str">
        <f>IF(BA511&lt;0.6,"Demasiado Riesgo",IF(BA511&lt;=5,"Riesgo Medio",IF(BA511&lt;=11,"Riesgo Bajo","Cliente Blindado")))</f>
        <v>Demasiado Riesgo</v>
      </c>
      <c r="BC511" s="471"/>
      <c r="BD511" s="471"/>
      <c r="BE511" s="471"/>
      <c r="BF511" s="471"/>
      <c r="BG511" s="471"/>
      <c r="BH511" s="471"/>
      <c r="BI511" s="471"/>
      <c r="BJ511" s="471"/>
      <c r="BK511" s="471"/>
      <c r="BL511" s="471"/>
      <c r="BM511" s="471"/>
      <c r="BN511" s="471"/>
      <c r="BO511" s="471"/>
      <c r="BP511" s="471"/>
      <c r="BQ511" s="471"/>
      <c r="BR511" s="471"/>
      <c r="BS511" s="471"/>
      <c r="BT511" s="471"/>
      <c r="BU511" s="471"/>
      <c r="BV511" s="471"/>
      <c r="BW511" s="471"/>
      <c r="BX511" s="471"/>
      <c r="BY511" s="471"/>
      <c r="BZ511" s="471"/>
      <c r="CA511" s="471">
        <f>COUNTIF(AI511:AW511,"*OK*")</f>
        <v>0</v>
      </c>
    </row>
    <row r="512" spans="1:79" ht="15" customHeight="1">
      <c r="A512" s="449"/>
      <c r="B512" s="450"/>
      <c r="C512" s="512"/>
      <c r="D512" s="450">
        <f>COUNTIF(AM512:AX512,"OK")</f>
        <v>0</v>
      </c>
      <c r="E512" s="450"/>
      <c r="F512" s="450"/>
      <c r="G512" s="450"/>
      <c r="H512" s="454"/>
      <c r="I512" s="454"/>
      <c r="J512" s="450"/>
      <c r="K512" s="501"/>
      <c r="L512" s="450"/>
      <c r="M512" s="450"/>
      <c r="N512" s="466"/>
      <c r="O512" s="514"/>
      <c r="P512" s="502"/>
      <c r="Q512" s="502"/>
      <c r="R512" s="503"/>
      <c r="S512" s="504"/>
      <c r="T512" s="505"/>
      <c r="U512" s="449"/>
      <c r="V512" s="496" t="s">
        <v>59</v>
      </c>
      <c r="W512" s="450"/>
      <c r="X512" s="465"/>
      <c r="Y512" s="465"/>
      <c r="Z512" s="466"/>
      <c r="AA512" s="496" t="s">
        <v>59</v>
      </c>
      <c r="AB512" s="454"/>
      <c r="AC512" s="450"/>
      <c r="AD512" s="450"/>
      <c r="AE512" s="450"/>
      <c r="AF512" s="450"/>
      <c r="AG512" s="450"/>
      <c r="AH512" s="450"/>
      <c r="AY512" s="406">
        <f t="shared" si="1"/>
        <v>0</v>
      </c>
      <c r="AZ512" s="450"/>
      <c r="BA512" s="450">
        <f>(COUNTIF(AI512:AK512,"*OK*")*3) + (COUNTIF(AL512:AN512,"*OK*")*2) + COUNTIF(AO512:AQ512,"*OK*")+COUNTIF(AZ512:AZ512,"SI")*0.5</f>
        <v>0</v>
      </c>
      <c r="BB512" s="450" t="str">
        <f>IF(BA512&lt;0.6,"Demasiado Riesgo",IF(BA512&lt;=5,"Riesgo Medio",IF(BA512&lt;=11,"Riesgo Bajo","Cliente Blindado")))</f>
        <v>Demasiado Riesgo</v>
      </c>
      <c r="BC512" s="450"/>
      <c r="BD512" s="450"/>
      <c r="BE512" s="450"/>
      <c r="BF512" s="450"/>
      <c r="BG512" s="450"/>
      <c r="BH512" s="450"/>
      <c r="BI512" s="450"/>
      <c r="BJ512" s="450"/>
      <c r="BK512" s="450"/>
      <c r="BL512" s="450"/>
      <c r="BM512" s="450"/>
      <c r="BN512" s="450"/>
      <c r="BO512" s="450"/>
      <c r="BP512" s="450"/>
      <c r="BQ512" s="450"/>
      <c r="BR512" s="450"/>
      <c r="BS512" s="450"/>
      <c r="BT512" s="450"/>
      <c r="BU512" s="450"/>
      <c r="BV512" s="450"/>
      <c r="BW512" s="450"/>
      <c r="BX512" s="450"/>
      <c r="BY512" s="450"/>
      <c r="BZ512" s="450"/>
      <c r="CA512" s="450">
        <f>COUNTIF(AI512:AW512,"*OK*")</f>
        <v>0</v>
      </c>
    </row>
    <row r="513" spans="1:79" ht="15" customHeight="1">
      <c r="A513" s="470"/>
      <c r="B513" s="471"/>
      <c r="C513" s="511"/>
      <c r="D513" s="471">
        <f>COUNTIF(AM513:AX513,"OK")</f>
        <v>0</v>
      </c>
      <c r="E513" s="471"/>
      <c r="F513" s="471"/>
      <c r="G513" s="471"/>
      <c r="H513" s="474"/>
      <c r="I513" s="474"/>
      <c r="J513" s="471"/>
      <c r="K513" s="491"/>
      <c r="L513" s="471"/>
      <c r="M513" s="471"/>
      <c r="N513" s="484"/>
      <c r="O513" s="513"/>
      <c r="P513" s="507"/>
      <c r="Q513" s="507"/>
      <c r="R513" s="508"/>
      <c r="S513" s="509"/>
      <c r="T513" s="510"/>
      <c r="U513" s="470"/>
      <c r="V513" s="494" t="s">
        <v>59</v>
      </c>
      <c r="W513" s="471"/>
      <c r="X513" s="483"/>
      <c r="Y513" s="483"/>
      <c r="Z513" s="484"/>
      <c r="AA513" s="494" t="s">
        <v>59</v>
      </c>
      <c r="AB513" s="474"/>
      <c r="AC513" s="471"/>
      <c r="AD513" s="471"/>
      <c r="AE513" s="471"/>
      <c r="AF513" s="471"/>
      <c r="AG513" s="471"/>
      <c r="AH513" s="471"/>
      <c r="AY513" s="406">
        <f t="shared" si="1"/>
        <v>0</v>
      </c>
      <c r="AZ513" s="471"/>
      <c r="BA513" s="471">
        <f>(COUNTIF(AI513:AK513,"*OK*")*3) + (COUNTIF(AL513:AN513,"*OK*")*2) + COUNTIF(AO513:AQ513,"*OK*")+COUNTIF(AZ513:AZ513,"SI")*0.5</f>
        <v>0</v>
      </c>
      <c r="BB513" s="471" t="str">
        <f>IF(BA513&lt;0.6,"Demasiado Riesgo",IF(BA513&lt;=5,"Riesgo Medio",IF(BA513&lt;=11,"Riesgo Bajo","Cliente Blindado")))</f>
        <v>Demasiado Riesgo</v>
      </c>
      <c r="BC513" s="471"/>
      <c r="BD513" s="471"/>
      <c r="BE513" s="471"/>
      <c r="BF513" s="471"/>
      <c r="BG513" s="471"/>
      <c r="BH513" s="471"/>
      <c r="BI513" s="471"/>
      <c r="BJ513" s="471"/>
      <c r="BK513" s="471"/>
      <c r="BL513" s="471"/>
      <c r="BM513" s="471"/>
      <c r="BN513" s="471"/>
      <c r="BO513" s="471"/>
      <c r="BP513" s="471"/>
      <c r="BQ513" s="471"/>
      <c r="BR513" s="471"/>
      <c r="BS513" s="471"/>
      <c r="BT513" s="471"/>
      <c r="BU513" s="471"/>
      <c r="BV513" s="471"/>
      <c r="BW513" s="471"/>
      <c r="BX513" s="471"/>
      <c r="BY513" s="471"/>
      <c r="BZ513" s="471"/>
      <c r="CA513" s="471">
        <f>COUNTIF(AI513:AW513,"*OK*")</f>
        <v>0</v>
      </c>
    </row>
    <row r="514" spans="1:79" ht="15" customHeight="1">
      <c r="A514" s="449"/>
      <c r="B514" s="450"/>
      <c r="C514" s="512"/>
      <c r="D514" s="450">
        <f>COUNTIF(AM514:AX514,"OK")</f>
        <v>0</v>
      </c>
      <c r="E514" s="450"/>
      <c r="F514" s="450"/>
      <c r="G514" s="450"/>
      <c r="H514" s="454"/>
      <c r="I514" s="454"/>
      <c r="J514" s="450"/>
      <c r="K514" s="501"/>
      <c r="L514" s="450"/>
      <c r="M514" s="450"/>
      <c r="N514" s="466"/>
      <c r="O514" s="514"/>
      <c r="P514" s="502"/>
      <c r="Q514" s="502"/>
      <c r="R514" s="503"/>
      <c r="S514" s="504"/>
      <c r="T514" s="505"/>
      <c r="U514" s="449"/>
      <c r="V514" s="496" t="s">
        <v>59</v>
      </c>
      <c r="W514" s="450"/>
      <c r="X514" s="465"/>
      <c r="Y514" s="465"/>
      <c r="Z514" s="466"/>
      <c r="AA514" s="496" t="s">
        <v>59</v>
      </c>
      <c r="AB514" s="454"/>
      <c r="AC514" s="450"/>
      <c r="AD514" s="450"/>
      <c r="AE514" s="450"/>
      <c r="AF514" s="450"/>
      <c r="AG514" s="450"/>
      <c r="AH514" s="450"/>
      <c r="AY514" s="406">
        <f t="shared" si="1"/>
        <v>0</v>
      </c>
      <c r="AZ514" s="450"/>
      <c r="BA514" s="450">
        <f>(COUNTIF(AI514:AK514,"*OK*")*3) + (COUNTIF(AL514:AN514,"*OK*")*2) + COUNTIF(AO514:AQ514,"*OK*")+COUNTIF(AZ514:AZ514,"SI")*0.5</f>
        <v>0</v>
      </c>
      <c r="BB514" s="450" t="str">
        <f>IF(BA514&lt;0.6,"Demasiado Riesgo",IF(BA514&lt;=5,"Riesgo Medio",IF(BA514&lt;=11,"Riesgo Bajo","Cliente Blindado")))</f>
        <v>Demasiado Riesgo</v>
      </c>
      <c r="BC514" s="450"/>
      <c r="BD514" s="450"/>
      <c r="BE514" s="450"/>
      <c r="BF514" s="450"/>
      <c r="BG514" s="450"/>
      <c r="BH514" s="450"/>
      <c r="BI514" s="450"/>
      <c r="BJ514" s="450"/>
      <c r="BK514" s="450"/>
      <c r="BL514" s="450"/>
      <c r="BM514" s="450"/>
      <c r="BN514" s="450"/>
      <c r="BO514" s="450"/>
      <c r="BP514" s="450"/>
      <c r="BQ514" s="450"/>
      <c r="BR514" s="450"/>
      <c r="BS514" s="450"/>
      <c r="BT514" s="450"/>
      <c r="BU514" s="450"/>
      <c r="BV514" s="450"/>
      <c r="BW514" s="450"/>
      <c r="BX514" s="450"/>
      <c r="BY514" s="450"/>
      <c r="BZ514" s="450"/>
      <c r="CA514" s="450">
        <f>COUNTIF(AI514:AW514,"*OK*")</f>
        <v>0</v>
      </c>
    </row>
    <row r="515" spans="1:79" ht="15" customHeight="1">
      <c r="A515" s="470"/>
      <c r="B515" s="471"/>
      <c r="C515" s="511"/>
      <c r="D515" s="471">
        <f>COUNTIF(AM515:AX515,"OK")</f>
        <v>0</v>
      </c>
      <c r="E515" s="471"/>
      <c r="F515" s="471"/>
      <c r="G515" s="471"/>
      <c r="H515" s="474"/>
      <c r="I515" s="474"/>
      <c r="J515" s="471"/>
      <c r="K515" s="491"/>
      <c r="L515" s="471"/>
      <c r="M515" s="471"/>
      <c r="N515" s="484"/>
      <c r="O515" s="513"/>
      <c r="P515" s="507"/>
      <c r="Q515" s="507"/>
      <c r="R515" s="508"/>
      <c r="S515" s="509"/>
      <c r="T515" s="510"/>
      <c r="U515" s="470"/>
      <c r="V515" s="494" t="s">
        <v>59</v>
      </c>
      <c r="W515" s="471"/>
      <c r="X515" s="483"/>
      <c r="Y515" s="483"/>
      <c r="Z515" s="484"/>
      <c r="AA515" s="494" t="s">
        <v>59</v>
      </c>
      <c r="AB515" s="474"/>
      <c r="AC515" s="471"/>
      <c r="AD515" s="471"/>
      <c r="AE515" s="471"/>
      <c r="AF515" s="471"/>
      <c r="AG515" s="471"/>
      <c r="AH515" s="471"/>
      <c r="AY515" s="406">
        <f t="shared" si="1"/>
        <v>0</v>
      </c>
      <c r="AZ515" s="471"/>
      <c r="BA515" s="471">
        <f>(COUNTIF(AI515:AK515,"*OK*")*3) + (COUNTIF(AL515:AN515,"*OK*")*2) + COUNTIF(AO515:AQ515,"*OK*")+COUNTIF(AZ515:AZ515,"SI")*0.5</f>
        <v>0</v>
      </c>
      <c r="BB515" s="471" t="str">
        <f>IF(BA515&lt;0.6,"Demasiado Riesgo",IF(BA515&lt;=5,"Riesgo Medio",IF(BA515&lt;=11,"Riesgo Bajo","Cliente Blindado")))</f>
        <v>Demasiado Riesgo</v>
      </c>
      <c r="BC515" s="471"/>
      <c r="BD515" s="471"/>
      <c r="BE515" s="471"/>
      <c r="BF515" s="471"/>
      <c r="BG515" s="471"/>
      <c r="BH515" s="471"/>
      <c r="BI515" s="471"/>
      <c r="BJ515" s="471"/>
      <c r="BK515" s="471"/>
      <c r="BL515" s="471"/>
      <c r="BM515" s="471"/>
      <c r="BN515" s="471"/>
      <c r="BO515" s="471"/>
      <c r="BP515" s="471"/>
      <c r="BQ515" s="471"/>
      <c r="BR515" s="471"/>
      <c r="BS515" s="471"/>
      <c r="BT515" s="471"/>
      <c r="BU515" s="471"/>
      <c r="BV515" s="471"/>
      <c r="BW515" s="471"/>
      <c r="BX515" s="471"/>
      <c r="BY515" s="471"/>
      <c r="BZ515" s="471"/>
      <c r="CA515" s="471">
        <f>COUNTIF(AI515:AW515,"*OK*")</f>
        <v>0</v>
      </c>
    </row>
    <row r="516" spans="1:79" ht="15" customHeight="1">
      <c r="A516" s="449"/>
      <c r="B516" s="450"/>
      <c r="C516" s="512"/>
      <c r="D516" s="450">
        <f>COUNTIF(AM516:AX516,"OK")</f>
        <v>0</v>
      </c>
      <c r="E516" s="450"/>
      <c r="F516" s="450"/>
      <c r="G516" s="450"/>
      <c r="H516" s="454"/>
      <c r="I516" s="454"/>
      <c r="J516" s="450"/>
      <c r="K516" s="501"/>
      <c r="L516" s="450"/>
      <c r="M516" s="450"/>
      <c r="N516" s="466"/>
      <c r="O516" s="514"/>
      <c r="P516" s="502"/>
      <c r="Q516" s="502"/>
      <c r="R516" s="503"/>
      <c r="S516" s="504"/>
      <c r="T516" s="505"/>
      <c r="U516" s="449"/>
      <c r="V516" s="496" t="s">
        <v>59</v>
      </c>
      <c r="W516" s="450"/>
      <c r="X516" s="465"/>
      <c r="Y516" s="465"/>
      <c r="Z516" s="466"/>
      <c r="AA516" s="496" t="s">
        <v>59</v>
      </c>
      <c r="AB516" s="454"/>
      <c r="AC516" s="450"/>
      <c r="AD516" s="450"/>
      <c r="AE516" s="450"/>
      <c r="AF516" s="450"/>
      <c r="AG516" s="450"/>
      <c r="AH516" s="450"/>
      <c r="AY516" s="406">
        <f t="shared" ref="AY516:AY579" si="2">COUNTIF(AI516:AX516,"*OP*")</f>
        <v>0</v>
      </c>
      <c r="AZ516" s="450"/>
      <c r="BA516" s="450">
        <f>(COUNTIF(AI516:AK516,"*OK*")*3) + (COUNTIF(AL516:AN516,"*OK*")*2) + COUNTIF(AO516:AQ516,"*OK*")+COUNTIF(AZ516:AZ516,"SI")*0.5</f>
        <v>0</v>
      </c>
      <c r="BB516" s="450" t="str">
        <f>IF(BA516&lt;0.6,"Demasiado Riesgo",IF(BA516&lt;=5,"Riesgo Medio",IF(BA516&lt;=11,"Riesgo Bajo","Cliente Blindado")))</f>
        <v>Demasiado Riesgo</v>
      </c>
      <c r="BC516" s="450"/>
      <c r="BD516" s="450"/>
      <c r="BE516" s="450"/>
      <c r="BF516" s="450"/>
      <c r="BG516" s="450"/>
      <c r="BH516" s="450"/>
      <c r="BI516" s="450"/>
      <c r="BJ516" s="450"/>
      <c r="BK516" s="450"/>
      <c r="BL516" s="450"/>
      <c r="BM516" s="450"/>
      <c r="BN516" s="450"/>
      <c r="BO516" s="450"/>
      <c r="BP516" s="450"/>
      <c r="BQ516" s="450"/>
      <c r="BR516" s="450"/>
      <c r="BS516" s="450"/>
      <c r="BT516" s="450"/>
      <c r="BU516" s="450"/>
      <c r="BV516" s="450"/>
      <c r="BW516" s="450"/>
      <c r="BX516" s="450"/>
      <c r="BY516" s="450"/>
      <c r="BZ516" s="450"/>
      <c r="CA516" s="450">
        <f>COUNTIF(AI516:AW516,"*OK*")</f>
        <v>0</v>
      </c>
    </row>
    <row r="517" spans="1:79" ht="15" customHeight="1">
      <c r="A517" s="470"/>
      <c r="B517" s="471"/>
      <c r="C517" s="511"/>
      <c r="D517" s="471">
        <f>COUNTIF(AM517:AX517,"OK")</f>
        <v>0</v>
      </c>
      <c r="E517" s="471"/>
      <c r="F517" s="471"/>
      <c r="G517" s="471"/>
      <c r="H517" s="474"/>
      <c r="I517" s="474"/>
      <c r="J517" s="471"/>
      <c r="K517" s="491"/>
      <c r="L517" s="471"/>
      <c r="M517" s="471"/>
      <c r="N517" s="484"/>
      <c r="O517" s="513"/>
      <c r="P517" s="507"/>
      <c r="Q517" s="507"/>
      <c r="R517" s="508"/>
      <c r="S517" s="509"/>
      <c r="T517" s="510"/>
      <c r="U517" s="470"/>
      <c r="V517" s="494" t="s">
        <v>59</v>
      </c>
      <c r="W517" s="471"/>
      <c r="X517" s="483"/>
      <c r="Y517" s="483"/>
      <c r="Z517" s="484"/>
      <c r="AA517" s="494" t="s">
        <v>59</v>
      </c>
      <c r="AB517" s="474"/>
      <c r="AC517" s="471"/>
      <c r="AD517" s="471"/>
      <c r="AE517" s="471"/>
      <c r="AF517" s="471"/>
      <c r="AG517" s="471"/>
      <c r="AH517" s="471"/>
      <c r="AY517" s="406">
        <f t="shared" si="2"/>
        <v>0</v>
      </c>
      <c r="AZ517" s="471"/>
      <c r="BA517" s="471">
        <f>(COUNTIF(AI517:AK517,"*OK*")*3) + (COUNTIF(AL517:AN517,"*OK*")*2) + COUNTIF(AO517:AQ517,"*OK*")+COUNTIF(AZ517:AZ517,"SI")*0.5</f>
        <v>0</v>
      </c>
      <c r="BB517" s="471" t="str">
        <f>IF(BA517&lt;0.6,"Demasiado Riesgo",IF(BA517&lt;=5,"Riesgo Medio",IF(BA517&lt;=11,"Riesgo Bajo","Cliente Blindado")))</f>
        <v>Demasiado Riesgo</v>
      </c>
      <c r="BC517" s="471"/>
      <c r="BD517" s="471"/>
      <c r="BE517" s="471"/>
      <c r="BF517" s="471"/>
      <c r="BG517" s="471"/>
      <c r="BH517" s="471"/>
      <c r="BI517" s="471"/>
      <c r="BJ517" s="471"/>
      <c r="BK517" s="471"/>
      <c r="BL517" s="471"/>
      <c r="BM517" s="471"/>
      <c r="BN517" s="471"/>
      <c r="BO517" s="471"/>
      <c r="BP517" s="471"/>
      <c r="BQ517" s="471"/>
      <c r="BR517" s="471"/>
      <c r="BS517" s="471"/>
      <c r="BT517" s="471"/>
      <c r="BU517" s="471"/>
      <c r="BV517" s="471"/>
      <c r="BW517" s="471"/>
      <c r="BX517" s="471"/>
      <c r="BY517" s="471"/>
      <c r="BZ517" s="471"/>
      <c r="CA517" s="471">
        <f>COUNTIF(AI517:AW517,"*OK*")</f>
        <v>0</v>
      </c>
    </row>
    <row r="518" spans="1:79" ht="15" customHeight="1">
      <c r="A518" s="449"/>
      <c r="B518" s="450"/>
      <c r="C518" s="512"/>
      <c r="D518" s="450">
        <f>COUNTIF(AM518:AX518,"OK")</f>
        <v>0</v>
      </c>
      <c r="E518" s="450"/>
      <c r="F518" s="450"/>
      <c r="G518" s="450"/>
      <c r="H518" s="454"/>
      <c r="I518" s="454"/>
      <c r="J518" s="450"/>
      <c r="K518" s="501"/>
      <c r="L518" s="450"/>
      <c r="M518" s="450"/>
      <c r="N518" s="466"/>
      <c r="O518" s="514"/>
      <c r="P518" s="502"/>
      <c r="Q518" s="502"/>
      <c r="R518" s="503"/>
      <c r="S518" s="504"/>
      <c r="T518" s="505"/>
      <c r="U518" s="449"/>
      <c r="V518" s="496" t="s">
        <v>59</v>
      </c>
      <c r="W518" s="450"/>
      <c r="X518" s="465"/>
      <c r="Y518" s="465"/>
      <c r="Z518" s="466"/>
      <c r="AA518" s="496" t="s">
        <v>59</v>
      </c>
      <c r="AB518" s="454"/>
      <c r="AC518" s="450"/>
      <c r="AD518" s="450"/>
      <c r="AE518" s="450"/>
      <c r="AF518" s="450"/>
      <c r="AG518" s="450"/>
      <c r="AH518" s="450"/>
      <c r="AY518" s="406">
        <f t="shared" si="2"/>
        <v>0</v>
      </c>
      <c r="AZ518" s="450"/>
      <c r="BA518" s="450">
        <f>(COUNTIF(AI518:AK518,"*OK*")*3) + (COUNTIF(AL518:AN518,"*OK*")*2) + COUNTIF(AO518:AQ518,"*OK*")+COUNTIF(AZ518:AZ518,"SI")*0.5</f>
        <v>0</v>
      </c>
      <c r="BB518" s="450" t="str">
        <f>IF(BA518&lt;0.6,"Demasiado Riesgo",IF(BA518&lt;=5,"Riesgo Medio",IF(BA518&lt;=11,"Riesgo Bajo","Cliente Blindado")))</f>
        <v>Demasiado Riesgo</v>
      </c>
      <c r="BC518" s="450"/>
      <c r="BD518" s="450"/>
      <c r="BE518" s="450"/>
      <c r="BF518" s="450"/>
      <c r="BG518" s="450"/>
      <c r="BH518" s="450"/>
      <c r="BI518" s="450"/>
      <c r="BJ518" s="450"/>
      <c r="BK518" s="450"/>
      <c r="BL518" s="450"/>
      <c r="BM518" s="450"/>
      <c r="BN518" s="450"/>
      <c r="BO518" s="450"/>
      <c r="BP518" s="450"/>
      <c r="BQ518" s="450"/>
      <c r="BR518" s="450"/>
      <c r="BS518" s="450"/>
      <c r="BT518" s="450"/>
      <c r="BU518" s="450"/>
      <c r="BV518" s="450"/>
      <c r="BW518" s="450"/>
      <c r="BX518" s="450"/>
      <c r="BY518" s="450"/>
      <c r="BZ518" s="450"/>
      <c r="CA518" s="450">
        <f>COUNTIF(AI518:AW518,"*OK*")</f>
        <v>0</v>
      </c>
    </row>
    <row r="519" spans="1:79" ht="15" customHeight="1">
      <c r="A519" s="470"/>
      <c r="B519" s="471"/>
      <c r="C519" s="511"/>
      <c r="D519" s="471">
        <f>COUNTIF(AM519:AX519,"OK")</f>
        <v>0</v>
      </c>
      <c r="E519" s="471"/>
      <c r="F519" s="471"/>
      <c r="G519" s="471"/>
      <c r="H519" s="474"/>
      <c r="I519" s="474"/>
      <c r="J519" s="471"/>
      <c r="K519" s="491"/>
      <c r="L519" s="471"/>
      <c r="M519" s="471"/>
      <c r="N519" s="484"/>
      <c r="O519" s="513"/>
      <c r="P519" s="507"/>
      <c r="Q519" s="507"/>
      <c r="R519" s="508"/>
      <c r="S519" s="509"/>
      <c r="T519" s="510"/>
      <c r="U519" s="470"/>
      <c r="V519" s="494" t="s">
        <v>59</v>
      </c>
      <c r="W519" s="471"/>
      <c r="X519" s="483"/>
      <c r="Y519" s="483"/>
      <c r="Z519" s="484"/>
      <c r="AA519" s="494" t="s">
        <v>59</v>
      </c>
      <c r="AB519" s="474"/>
      <c r="AC519" s="471"/>
      <c r="AD519" s="471"/>
      <c r="AE519" s="471"/>
      <c r="AF519" s="471"/>
      <c r="AG519" s="471"/>
      <c r="AH519" s="471"/>
      <c r="AY519" s="406">
        <f t="shared" si="2"/>
        <v>0</v>
      </c>
      <c r="AZ519" s="471"/>
      <c r="BA519" s="471">
        <f>(COUNTIF(AI519:AK519,"*OK*")*3) + (COUNTIF(AL519:AN519,"*OK*")*2) + COUNTIF(AO519:AQ519,"*OK*")+COUNTIF(AZ519:AZ519,"SI")*0.5</f>
        <v>0</v>
      </c>
      <c r="BB519" s="471" t="str">
        <f>IF(BA519&lt;0.6,"Demasiado Riesgo",IF(BA519&lt;=5,"Riesgo Medio",IF(BA519&lt;=11,"Riesgo Bajo","Cliente Blindado")))</f>
        <v>Demasiado Riesgo</v>
      </c>
      <c r="BC519" s="471"/>
      <c r="BD519" s="471"/>
      <c r="BE519" s="471"/>
      <c r="BF519" s="471"/>
      <c r="BG519" s="471"/>
      <c r="BH519" s="471"/>
      <c r="BI519" s="471"/>
      <c r="BJ519" s="471"/>
      <c r="BK519" s="471"/>
      <c r="BL519" s="471"/>
      <c r="BM519" s="471"/>
      <c r="BN519" s="471"/>
      <c r="BO519" s="471"/>
      <c r="BP519" s="471"/>
      <c r="BQ519" s="471"/>
      <c r="BR519" s="471"/>
      <c r="BS519" s="471"/>
      <c r="BT519" s="471"/>
      <c r="BU519" s="471"/>
      <c r="BV519" s="471"/>
      <c r="BW519" s="471"/>
      <c r="BX519" s="471"/>
      <c r="BY519" s="471"/>
      <c r="BZ519" s="471"/>
      <c r="CA519" s="471">
        <f>COUNTIF(AI519:AW519,"*OK*")</f>
        <v>0</v>
      </c>
    </row>
    <row r="520" spans="1:79" ht="15" customHeight="1">
      <c r="A520" s="449"/>
      <c r="B520" s="450"/>
      <c r="C520" s="512"/>
      <c r="D520" s="450">
        <f>COUNTIF(AM520:AX520,"OK")</f>
        <v>0</v>
      </c>
      <c r="E520" s="450"/>
      <c r="F520" s="450"/>
      <c r="G520" s="450"/>
      <c r="H520" s="454"/>
      <c r="I520" s="454"/>
      <c r="J520" s="450"/>
      <c r="K520" s="501"/>
      <c r="L520" s="450"/>
      <c r="M520" s="450"/>
      <c r="N520" s="466"/>
      <c r="O520" s="514"/>
      <c r="P520" s="502"/>
      <c r="Q520" s="502"/>
      <c r="R520" s="503"/>
      <c r="S520" s="504"/>
      <c r="T520" s="505"/>
      <c r="U520" s="449"/>
      <c r="V520" s="496" t="s">
        <v>59</v>
      </c>
      <c r="W520" s="450"/>
      <c r="X520" s="465"/>
      <c r="Y520" s="465"/>
      <c r="Z520" s="466"/>
      <c r="AA520" s="496" t="s">
        <v>59</v>
      </c>
      <c r="AB520" s="454"/>
      <c r="AC520" s="450"/>
      <c r="AD520" s="450"/>
      <c r="AE520" s="450"/>
      <c r="AF520" s="450"/>
      <c r="AG520" s="450"/>
      <c r="AH520" s="450"/>
      <c r="AY520" s="406">
        <f t="shared" si="2"/>
        <v>0</v>
      </c>
      <c r="AZ520" s="450"/>
      <c r="BA520" s="450">
        <f>(COUNTIF(AI520:AK520,"*OK*")*3) + (COUNTIF(AL520:AN520,"*OK*")*2) + COUNTIF(AO520:AQ520,"*OK*")+COUNTIF(AZ520:AZ520,"SI")*0.5</f>
        <v>0</v>
      </c>
      <c r="BB520" s="450" t="str">
        <f>IF(BA520&lt;0.6,"Demasiado Riesgo",IF(BA520&lt;=5,"Riesgo Medio",IF(BA520&lt;=11,"Riesgo Bajo","Cliente Blindado")))</f>
        <v>Demasiado Riesgo</v>
      </c>
      <c r="BC520" s="450"/>
      <c r="BD520" s="450"/>
      <c r="BE520" s="450"/>
      <c r="BF520" s="450"/>
      <c r="BG520" s="450"/>
      <c r="BH520" s="450"/>
      <c r="BI520" s="450"/>
      <c r="BJ520" s="450"/>
      <c r="BK520" s="450"/>
      <c r="BL520" s="450"/>
      <c r="BM520" s="450"/>
      <c r="BN520" s="450"/>
      <c r="BO520" s="450"/>
      <c r="BP520" s="450"/>
      <c r="BQ520" s="450"/>
      <c r="BR520" s="450"/>
      <c r="BS520" s="450"/>
      <c r="BT520" s="450"/>
      <c r="BU520" s="450"/>
      <c r="BV520" s="450"/>
      <c r="BW520" s="450"/>
      <c r="BX520" s="450"/>
      <c r="BY520" s="450"/>
      <c r="BZ520" s="450"/>
      <c r="CA520" s="450">
        <f>COUNTIF(AI520:AW520,"*OK*")</f>
        <v>0</v>
      </c>
    </row>
    <row r="521" spans="1:79" ht="15" customHeight="1">
      <c r="A521" s="470"/>
      <c r="B521" s="471"/>
      <c r="C521" s="511"/>
      <c r="D521" s="471">
        <f>COUNTIF(AM521:AX521,"OK")</f>
        <v>0</v>
      </c>
      <c r="E521" s="471"/>
      <c r="F521" s="471"/>
      <c r="G521" s="471"/>
      <c r="H521" s="474"/>
      <c r="I521" s="474"/>
      <c r="J521" s="471"/>
      <c r="K521" s="491"/>
      <c r="L521" s="471"/>
      <c r="M521" s="471"/>
      <c r="N521" s="484"/>
      <c r="O521" s="513"/>
      <c r="P521" s="507"/>
      <c r="Q521" s="507"/>
      <c r="R521" s="508"/>
      <c r="S521" s="509"/>
      <c r="T521" s="510"/>
      <c r="U521" s="470"/>
      <c r="V521" s="494" t="s">
        <v>59</v>
      </c>
      <c r="W521" s="471"/>
      <c r="X521" s="483"/>
      <c r="Y521" s="483"/>
      <c r="Z521" s="484"/>
      <c r="AA521" s="494" t="s">
        <v>59</v>
      </c>
      <c r="AB521" s="474"/>
      <c r="AC521" s="471"/>
      <c r="AD521" s="471"/>
      <c r="AE521" s="471"/>
      <c r="AF521" s="471"/>
      <c r="AG521" s="471"/>
      <c r="AH521" s="471"/>
      <c r="AY521" s="406">
        <f t="shared" si="2"/>
        <v>0</v>
      </c>
      <c r="AZ521" s="471"/>
      <c r="BA521" s="471">
        <f>(COUNTIF(AI521:AK521,"*OK*")*3) + (COUNTIF(AL521:AN521,"*OK*")*2) + COUNTIF(AO521:AQ521,"*OK*")+COUNTIF(AZ521:AZ521,"SI")*0.5</f>
        <v>0</v>
      </c>
      <c r="BB521" s="471" t="str">
        <f>IF(BA521&lt;0.6,"Demasiado Riesgo",IF(BA521&lt;=5,"Riesgo Medio",IF(BA521&lt;=11,"Riesgo Bajo","Cliente Blindado")))</f>
        <v>Demasiado Riesgo</v>
      </c>
      <c r="BC521" s="471"/>
      <c r="BD521" s="471"/>
      <c r="BE521" s="471"/>
      <c r="BF521" s="471"/>
      <c r="BG521" s="471"/>
      <c r="BH521" s="471"/>
      <c r="BI521" s="471"/>
      <c r="BJ521" s="471"/>
      <c r="BK521" s="471"/>
      <c r="BL521" s="471"/>
      <c r="BM521" s="471"/>
      <c r="BN521" s="471"/>
      <c r="BO521" s="471"/>
      <c r="BP521" s="471"/>
      <c r="BQ521" s="471"/>
      <c r="BR521" s="471"/>
      <c r="BS521" s="471"/>
      <c r="BT521" s="471"/>
      <c r="BU521" s="471"/>
      <c r="BV521" s="471"/>
      <c r="BW521" s="471"/>
      <c r="BX521" s="471"/>
      <c r="BY521" s="471"/>
      <c r="BZ521" s="471"/>
      <c r="CA521" s="471">
        <f>COUNTIF(AI521:AW521,"*OK*")</f>
        <v>0</v>
      </c>
    </row>
    <row r="522" spans="1:79" ht="15" customHeight="1">
      <c r="A522" s="449"/>
      <c r="B522" s="450"/>
      <c r="C522" s="512"/>
      <c r="D522" s="450">
        <f>COUNTIF(AM522:AX522,"OK")</f>
        <v>0</v>
      </c>
      <c r="E522" s="450"/>
      <c r="F522" s="450"/>
      <c r="G522" s="450"/>
      <c r="H522" s="454"/>
      <c r="I522" s="454"/>
      <c r="J522" s="450"/>
      <c r="K522" s="501"/>
      <c r="L522" s="450"/>
      <c r="M522" s="450"/>
      <c r="N522" s="466"/>
      <c r="O522" s="514"/>
      <c r="P522" s="502"/>
      <c r="Q522" s="502"/>
      <c r="R522" s="503"/>
      <c r="S522" s="504"/>
      <c r="T522" s="505"/>
      <c r="U522" s="449"/>
      <c r="V522" s="496" t="s">
        <v>59</v>
      </c>
      <c r="W522" s="450"/>
      <c r="X522" s="465"/>
      <c r="Y522" s="465"/>
      <c r="Z522" s="466"/>
      <c r="AA522" s="496" t="s">
        <v>59</v>
      </c>
      <c r="AB522" s="454"/>
      <c r="AC522" s="450"/>
      <c r="AD522" s="450"/>
      <c r="AE522" s="450"/>
      <c r="AF522" s="450"/>
      <c r="AG522" s="450"/>
      <c r="AH522" s="450"/>
      <c r="AY522" s="406">
        <f t="shared" si="2"/>
        <v>0</v>
      </c>
      <c r="AZ522" s="450"/>
      <c r="BA522" s="450">
        <f>(COUNTIF(AI522:AK522,"*OK*")*3) + (COUNTIF(AL522:AN522,"*OK*")*2) + COUNTIF(AO522:AQ522,"*OK*")+COUNTIF(AZ522:AZ522,"SI")*0.5</f>
        <v>0</v>
      </c>
      <c r="BB522" s="450" t="str">
        <f>IF(BA522&lt;0.6,"Demasiado Riesgo",IF(BA522&lt;=5,"Riesgo Medio",IF(BA522&lt;=11,"Riesgo Bajo","Cliente Blindado")))</f>
        <v>Demasiado Riesgo</v>
      </c>
      <c r="BC522" s="450"/>
      <c r="BD522" s="450"/>
      <c r="BE522" s="450"/>
      <c r="BF522" s="450"/>
      <c r="BG522" s="450"/>
      <c r="BH522" s="450"/>
      <c r="BI522" s="450"/>
      <c r="BJ522" s="450"/>
      <c r="BK522" s="450"/>
      <c r="BL522" s="450"/>
      <c r="BM522" s="450"/>
      <c r="BN522" s="450"/>
      <c r="BO522" s="450"/>
      <c r="BP522" s="450"/>
      <c r="BQ522" s="450"/>
      <c r="BR522" s="450"/>
      <c r="BS522" s="450"/>
      <c r="BT522" s="450"/>
      <c r="BU522" s="450"/>
      <c r="BV522" s="450"/>
      <c r="BW522" s="450"/>
      <c r="BX522" s="450"/>
      <c r="BY522" s="450"/>
      <c r="BZ522" s="450"/>
      <c r="CA522" s="450">
        <f>COUNTIF(AI522:AW522,"*OK*")</f>
        <v>0</v>
      </c>
    </row>
    <row r="523" spans="1:79" ht="15" customHeight="1">
      <c r="A523" s="470"/>
      <c r="B523" s="471"/>
      <c r="C523" s="511"/>
      <c r="D523" s="471">
        <f>COUNTIF(AM523:AX523,"OK")</f>
        <v>0</v>
      </c>
      <c r="E523" s="471"/>
      <c r="F523" s="471"/>
      <c r="G523" s="471"/>
      <c r="H523" s="474"/>
      <c r="I523" s="474"/>
      <c r="J523" s="471"/>
      <c r="K523" s="491"/>
      <c r="L523" s="471"/>
      <c r="M523" s="471"/>
      <c r="N523" s="484"/>
      <c r="O523" s="513"/>
      <c r="P523" s="507"/>
      <c r="Q523" s="507"/>
      <c r="R523" s="508"/>
      <c r="S523" s="509"/>
      <c r="T523" s="510"/>
      <c r="U523" s="470"/>
      <c r="V523" s="494" t="s">
        <v>59</v>
      </c>
      <c r="W523" s="471"/>
      <c r="X523" s="483"/>
      <c r="Y523" s="483"/>
      <c r="Z523" s="484"/>
      <c r="AA523" s="494" t="s">
        <v>59</v>
      </c>
      <c r="AB523" s="474"/>
      <c r="AC523" s="471"/>
      <c r="AD523" s="471"/>
      <c r="AE523" s="471"/>
      <c r="AF523" s="471"/>
      <c r="AG523" s="471"/>
      <c r="AH523" s="471"/>
      <c r="AY523" s="406">
        <f t="shared" si="2"/>
        <v>0</v>
      </c>
      <c r="AZ523" s="471"/>
      <c r="BA523" s="471">
        <f>(COUNTIF(AI523:AK523,"*OK*")*3) + (COUNTIF(AL523:AN523,"*OK*")*2) + COUNTIF(AO523:AQ523,"*OK*")+COUNTIF(AZ523:AZ523,"SI")*0.5</f>
        <v>0</v>
      </c>
      <c r="BB523" s="471" t="str">
        <f>IF(BA523&lt;0.6,"Demasiado Riesgo",IF(BA523&lt;=5,"Riesgo Medio",IF(BA523&lt;=11,"Riesgo Bajo","Cliente Blindado")))</f>
        <v>Demasiado Riesgo</v>
      </c>
      <c r="BC523" s="471"/>
      <c r="BD523" s="471"/>
      <c r="BE523" s="471"/>
      <c r="BF523" s="471"/>
      <c r="BG523" s="471"/>
      <c r="BH523" s="471"/>
      <c r="BI523" s="471"/>
      <c r="BJ523" s="471"/>
      <c r="BK523" s="471"/>
      <c r="BL523" s="471"/>
      <c r="BM523" s="471"/>
      <c r="BN523" s="471"/>
      <c r="BO523" s="471"/>
      <c r="BP523" s="471"/>
      <c r="BQ523" s="471"/>
      <c r="BR523" s="471"/>
      <c r="BS523" s="471"/>
      <c r="BT523" s="471"/>
      <c r="BU523" s="471"/>
      <c r="BV523" s="471"/>
      <c r="BW523" s="471"/>
      <c r="BX523" s="471"/>
      <c r="BY523" s="471"/>
      <c r="BZ523" s="471"/>
      <c r="CA523" s="471">
        <f>COUNTIF(AI523:AW523,"*OK*")</f>
        <v>0</v>
      </c>
    </row>
    <row r="524" spans="1:79" ht="15" customHeight="1">
      <c r="A524" s="449"/>
      <c r="B524" s="450"/>
      <c r="C524" s="512"/>
      <c r="D524" s="450">
        <f>COUNTIF(AM524:AX524,"OK")</f>
        <v>0</v>
      </c>
      <c r="E524" s="450"/>
      <c r="F524" s="450"/>
      <c r="G524" s="450"/>
      <c r="H524" s="454"/>
      <c r="I524" s="454"/>
      <c r="J524" s="450"/>
      <c r="K524" s="501"/>
      <c r="L524" s="450"/>
      <c r="M524" s="450"/>
      <c r="N524" s="466"/>
      <c r="O524" s="514"/>
      <c r="P524" s="502"/>
      <c r="Q524" s="502"/>
      <c r="R524" s="503"/>
      <c r="S524" s="504"/>
      <c r="T524" s="505"/>
      <c r="U524" s="449"/>
      <c r="V524" s="496" t="s">
        <v>59</v>
      </c>
      <c r="W524" s="450"/>
      <c r="X524" s="465"/>
      <c r="Y524" s="465"/>
      <c r="Z524" s="466"/>
      <c r="AA524" s="496" t="s">
        <v>59</v>
      </c>
      <c r="AB524" s="454"/>
      <c r="AC524" s="450"/>
      <c r="AD524" s="450"/>
      <c r="AE524" s="450"/>
      <c r="AF524" s="450"/>
      <c r="AG524" s="450"/>
      <c r="AH524" s="450"/>
      <c r="AY524" s="406">
        <f t="shared" si="2"/>
        <v>0</v>
      </c>
      <c r="AZ524" s="450"/>
      <c r="BA524" s="450">
        <f>(COUNTIF(AI524:AK524,"*OK*")*3) + (COUNTIF(AL524:AN524,"*OK*")*2) + COUNTIF(AO524:AQ524,"*OK*")+COUNTIF(AZ524:AZ524,"SI")*0.5</f>
        <v>0</v>
      </c>
      <c r="BB524" s="450" t="str">
        <f>IF(BA524&lt;0.6,"Demasiado Riesgo",IF(BA524&lt;=5,"Riesgo Medio",IF(BA524&lt;=11,"Riesgo Bajo","Cliente Blindado")))</f>
        <v>Demasiado Riesgo</v>
      </c>
      <c r="BC524" s="450"/>
      <c r="BD524" s="450"/>
      <c r="BE524" s="450"/>
      <c r="BF524" s="450"/>
      <c r="BG524" s="450"/>
      <c r="BH524" s="450"/>
      <c r="BI524" s="450"/>
      <c r="BJ524" s="450"/>
      <c r="BK524" s="450"/>
      <c r="BL524" s="450"/>
      <c r="BM524" s="450"/>
      <c r="BN524" s="450"/>
      <c r="BO524" s="450"/>
      <c r="BP524" s="450"/>
      <c r="BQ524" s="450"/>
      <c r="BR524" s="450"/>
      <c r="BS524" s="450"/>
      <c r="BT524" s="450"/>
      <c r="BU524" s="450"/>
      <c r="BV524" s="450"/>
      <c r="BW524" s="450"/>
      <c r="BX524" s="450"/>
      <c r="BY524" s="450"/>
      <c r="BZ524" s="450"/>
      <c r="CA524" s="450">
        <f>COUNTIF(AI524:AW524,"*OK*")</f>
        <v>0</v>
      </c>
    </row>
    <row r="525" spans="1:79" ht="15" customHeight="1">
      <c r="A525" s="470"/>
      <c r="B525" s="471"/>
      <c r="C525" s="511"/>
      <c r="D525" s="471">
        <f>COUNTIF(AM525:AX525,"OK")</f>
        <v>0</v>
      </c>
      <c r="E525" s="471"/>
      <c r="F525" s="471"/>
      <c r="G525" s="471"/>
      <c r="H525" s="474"/>
      <c r="I525" s="474"/>
      <c r="J525" s="471"/>
      <c r="K525" s="491"/>
      <c r="L525" s="471"/>
      <c r="M525" s="471"/>
      <c r="N525" s="484"/>
      <c r="O525" s="513"/>
      <c r="P525" s="507"/>
      <c r="Q525" s="507"/>
      <c r="R525" s="508"/>
      <c r="S525" s="509"/>
      <c r="T525" s="510"/>
      <c r="U525" s="470"/>
      <c r="V525" s="494" t="s">
        <v>59</v>
      </c>
      <c r="W525" s="471"/>
      <c r="X525" s="483"/>
      <c r="Y525" s="483"/>
      <c r="Z525" s="484"/>
      <c r="AA525" s="494" t="s">
        <v>59</v>
      </c>
      <c r="AB525" s="474"/>
      <c r="AC525" s="471"/>
      <c r="AD525" s="471"/>
      <c r="AE525" s="471"/>
      <c r="AF525" s="471"/>
      <c r="AG525" s="471"/>
      <c r="AH525" s="471"/>
      <c r="AY525" s="406">
        <f t="shared" si="2"/>
        <v>0</v>
      </c>
      <c r="AZ525" s="471"/>
      <c r="BA525" s="471">
        <f>(COUNTIF(AI525:AK525,"*OK*")*3) + (COUNTIF(AL525:AN525,"*OK*")*2) + COUNTIF(AO525:AQ525,"*OK*")+COUNTIF(AZ525:AZ525,"SI")*0.5</f>
        <v>0</v>
      </c>
      <c r="BB525" s="471" t="str">
        <f>IF(BA525&lt;0.6,"Demasiado Riesgo",IF(BA525&lt;=5,"Riesgo Medio",IF(BA525&lt;=11,"Riesgo Bajo","Cliente Blindado")))</f>
        <v>Demasiado Riesgo</v>
      </c>
      <c r="BC525" s="471"/>
      <c r="BD525" s="471"/>
      <c r="BE525" s="471"/>
      <c r="BF525" s="471"/>
      <c r="BG525" s="471"/>
      <c r="BH525" s="471"/>
      <c r="BI525" s="471"/>
      <c r="BJ525" s="471"/>
      <c r="BK525" s="471"/>
      <c r="BL525" s="471"/>
      <c r="BM525" s="471"/>
      <c r="BN525" s="471"/>
      <c r="BO525" s="471"/>
      <c r="BP525" s="471"/>
      <c r="BQ525" s="471"/>
      <c r="BR525" s="471"/>
      <c r="BS525" s="471"/>
      <c r="BT525" s="471"/>
      <c r="BU525" s="471"/>
      <c r="BV525" s="471"/>
      <c r="BW525" s="471"/>
      <c r="BX525" s="471"/>
      <c r="BY525" s="471"/>
      <c r="BZ525" s="471"/>
      <c r="CA525" s="471">
        <f>COUNTIF(AI525:AW525,"*OK*")</f>
        <v>0</v>
      </c>
    </row>
    <row r="526" spans="1:79" ht="15" customHeight="1">
      <c r="A526" s="449"/>
      <c r="B526" s="450"/>
      <c r="C526" s="512"/>
      <c r="D526" s="450">
        <f>COUNTIF(AM526:AX526,"OK")</f>
        <v>0</v>
      </c>
      <c r="E526" s="450"/>
      <c r="F526" s="450"/>
      <c r="G526" s="450"/>
      <c r="H526" s="454"/>
      <c r="I526" s="454"/>
      <c r="J526" s="450"/>
      <c r="K526" s="501"/>
      <c r="L526" s="450"/>
      <c r="M526" s="450"/>
      <c r="N526" s="466"/>
      <c r="O526" s="514"/>
      <c r="P526" s="502"/>
      <c r="Q526" s="502"/>
      <c r="R526" s="503"/>
      <c r="S526" s="504"/>
      <c r="T526" s="505"/>
      <c r="U526" s="449"/>
      <c r="V526" s="496" t="s">
        <v>59</v>
      </c>
      <c r="W526" s="450"/>
      <c r="X526" s="465"/>
      <c r="Y526" s="465"/>
      <c r="Z526" s="466"/>
      <c r="AA526" s="496" t="s">
        <v>59</v>
      </c>
      <c r="AB526" s="454"/>
      <c r="AC526" s="450"/>
      <c r="AD526" s="450"/>
      <c r="AE526" s="450"/>
      <c r="AF526" s="450"/>
      <c r="AG526" s="450"/>
      <c r="AH526" s="450"/>
      <c r="AY526" s="406">
        <f t="shared" si="2"/>
        <v>0</v>
      </c>
      <c r="AZ526" s="450"/>
      <c r="BA526" s="450">
        <f>(COUNTIF(AI526:AK526,"*OK*")*3) + (COUNTIF(AL526:AN526,"*OK*")*2) + COUNTIF(AO526:AQ526,"*OK*")+COUNTIF(AZ526:AZ526,"SI")*0.5</f>
        <v>0</v>
      </c>
      <c r="BB526" s="450" t="str">
        <f>IF(BA526&lt;0.6,"Demasiado Riesgo",IF(BA526&lt;=5,"Riesgo Medio",IF(BA526&lt;=11,"Riesgo Bajo","Cliente Blindado")))</f>
        <v>Demasiado Riesgo</v>
      </c>
      <c r="BC526" s="450"/>
      <c r="BD526" s="450"/>
      <c r="BE526" s="450"/>
      <c r="BF526" s="450"/>
      <c r="BG526" s="450"/>
      <c r="BH526" s="450"/>
      <c r="BI526" s="450"/>
      <c r="BJ526" s="450"/>
      <c r="BK526" s="450"/>
      <c r="BL526" s="450"/>
      <c r="BM526" s="450"/>
      <c r="BN526" s="450"/>
      <c r="BO526" s="450"/>
      <c r="BP526" s="450"/>
      <c r="BQ526" s="450"/>
      <c r="BR526" s="450"/>
      <c r="BS526" s="450"/>
      <c r="BT526" s="450"/>
      <c r="BU526" s="450"/>
      <c r="BV526" s="450"/>
      <c r="BW526" s="450"/>
      <c r="BX526" s="450"/>
      <c r="BY526" s="450"/>
      <c r="BZ526" s="450"/>
      <c r="CA526" s="450">
        <f>COUNTIF(AI526:AW526,"*OK*")</f>
        <v>0</v>
      </c>
    </row>
    <row r="527" spans="1:79" ht="15" customHeight="1">
      <c r="A527" s="470"/>
      <c r="B527" s="471"/>
      <c r="C527" s="511"/>
      <c r="D527" s="471">
        <f>COUNTIF(AM527:AX527,"OK")</f>
        <v>0</v>
      </c>
      <c r="E527" s="471"/>
      <c r="F527" s="471"/>
      <c r="G527" s="471"/>
      <c r="H527" s="474"/>
      <c r="I527" s="474"/>
      <c r="J527" s="471"/>
      <c r="K527" s="491"/>
      <c r="L527" s="471"/>
      <c r="M527" s="471"/>
      <c r="N527" s="484"/>
      <c r="O527" s="513"/>
      <c r="P527" s="507"/>
      <c r="Q527" s="507"/>
      <c r="R527" s="508"/>
      <c r="S527" s="509"/>
      <c r="T527" s="510"/>
      <c r="U527" s="470"/>
      <c r="V527" s="494" t="s">
        <v>59</v>
      </c>
      <c r="W527" s="471"/>
      <c r="X527" s="483"/>
      <c r="Y527" s="483"/>
      <c r="Z527" s="484"/>
      <c r="AA527" s="494" t="s">
        <v>59</v>
      </c>
      <c r="AB527" s="474"/>
      <c r="AC527" s="471"/>
      <c r="AD527" s="471"/>
      <c r="AE527" s="471"/>
      <c r="AF527" s="471"/>
      <c r="AG527" s="471"/>
      <c r="AH527" s="471"/>
      <c r="AY527" s="406">
        <f t="shared" si="2"/>
        <v>0</v>
      </c>
      <c r="AZ527" s="471"/>
      <c r="BA527" s="471">
        <f>(COUNTIF(AI527:AK527,"*OK*")*3) + (COUNTIF(AL527:AN527,"*OK*")*2) + COUNTIF(AO527:AQ527,"*OK*")+COUNTIF(AZ527:AZ527,"SI")*0.5</f>
        <v>0</v>
      </c>
      <c r="BB527" s="471" t="str">
        <f>IF(BA527&lt;0.6,"Demasiado Riesgo",IF(BA527&lt;=5,"Riesgo Medio",IF(BA527&lt;=11,"Riesgo Bajo","Cliente Blindado")))</f>
        <v>Demasiado Riesgo</v>
      </c>
      <c r="BC527" s="471"/>
      <c r="BD527" s="471"/>
      <c r="BE527" s="471"/>
      <c r="BF527" s="471"/>
      <c r="BG527" s="471"/>
      <c r="BH527" s="471"/>
      <c r="BI527" s="471"/>
      <c r="BJ527" s="471"/>
      <c r="BK527" s="471"/>
      <c r="BL527" s="471"/>
      <c r="BM527" s="471"/>
      <c r="BN527" s="471"/>
      <c r="BO527" s="471"/>
      <c r="BP527" s="471"/>
      <c r="BQ527" s="471"/>
      <c r="BR527" s="471"/>
      <c r="BS527" s="471"/>
      <c r="BT527" s="471"/>
      <c r="BU527" s="471"/>
      <c r="BV527" s="471"/>
      <c r="BW527" s="471"/>
      <c r="BX527" s="471"/>
      <c r="BY527" s="471"/>
      <c r="BZ527" s="471"/>
      <c r="CA527" s="471">
        <f>COUNTIF(AI527:AW527,"*OK*")</f>
        <v>0</v>
      </c>
    </row>
    <row r="528" spans="1:79" ht="15" customHeight="1">
      <c r="A528" s="449"/>
      <c r="B528" s="450"/>
      <c r="C528" s="512"/>
      <c r="D528" s="450">
        <f>COUNTIF(AM528:AX528,"OK")</f>
        <v>0</v>
      </c>
      <c r="E528" s="450"/>
      <c r="F528" s="450"/>
      <c r="G528" s="450"/>
      <c r="H528" s="454"/>
      <c r="I528" s="454"/>
      <c r="J528" s="450"/>
      <c r="K528" s="501"/>
      <c r="L528" s="450"/>
      <c r="M528" s="450"/>
      <c r="N528" s="466"/>
      <c r="O528" s="514"/>
      <c r="P528" s="502"/>
      <c r="Q528" s="502"/>
      <c r="R528" s="503"/>
      <c r="S528" s="504"/>
      <c r="T528" s="505"/>
      <c r="U528" s="449"/>
      <c r="V528" s="496" t="s">
        <v>59</v>
      </c>
      <c r="W528" s="450"/>
      <c r="X528" s="465"/>
      <c r="Y528" s="465"/>
      <c r="Z528" s="466"/>
      <c r="AA528" s="496" t="s">
        <v>59</v>
      </c>
      <c r="AB528" s="454"/>
      <c r="AC528" s="450"/>
      <c r="AD528" s="450"/>
      <c r="AE528" s="450"/>
      <c r="AF528" s="450"/>
      <c r="AG528" s="450"/>
      <c r="AH528" s="450"/>
      <c r="AY528" s="406">
        <f t="shared" si="2"/>
        <v>0</v>
      </c>
      <c r="AZ528" s="450"/>
      <c r="BA528" s="450">
        <f>(COUNTIF(AI528:AK528,"*OK*")*3) + (COUNTIF(AL528:AN528,"*OK*")*2) + COUNTIF(AO528:AQ528,"*OK*")+COUNTIF(AZ528:AZ528,"SI")*0.5</f>
        <v>0</v>
      </c>
      <c r="BB528" s="450" t="str">
        <f>IF(BA528&lt;0.6,"Demasiado Riesgo",IF(BA528&lt;=5,"Riesgo Medio",IF(BA528&lt;=11,"Riesgo Bajo","Cliente Blindado")))</f>
        <v>Demasiado Riesgo</v>
      </c>
      <c r="BC528" s="450"/>
      <c r="BD528" s="450"/>
      <c r="BE528" s="450"/>
      <c r="BF528" s="450"/>
      <c r="BG528" s="450"/>
      <c r="BH528" s="450"/>
      <c r="BI528" s="450"/>
      <c r="BJ528" s="450"/>
      <c r="BK528" s="450"/>
      <c r="BL528" s="450"/>
      <c r="BM528" s="450"/>
      <c r="BN528" s="450"/>
      <c r="BO528" s="450"/>
      <c r="BP528" s="450"/>
      <c r="BQ528" s="450"/>
      <c r="BR528" s="450"/>
      <c r="BS528" s="450"/>
      <c r="BT528" s="450"/>
      <c r="BU528" s="450"/>
      <c r="BV528" s="450"/>
      <c r="BW528" s="450"/>
      <c r="BX528" s="450"/>
      <c r="BY528" s="450"/>
      <c r="BZ528" s="450"/>
      <c r="CA528" s="450">
        <f>COUNTIF(AI528:AW528,"*OK*")</f>
        <v>0</v>
      </c>
    </row>
    <row r="529" spans="1:79" ht="15" customHeight="1">
      <c r="A529" s="470"/>
      <c r="B529" s="471"/>
      <c r="C529" s="511"/>
      <c r="D529" s="471">
        <f>COUNTIF(AM529:AX529,"OK")</f>
        <v>0</v>
      </c>
      <c r="E529" s="471"/>
      <c r="F529" s="471"/>
      <c r="G529" s="471"/>
      <c r="H529" s="474"/>
      <c r="I529" s="474"/>
      <c r="J529" s="471"/>
      <c r="K529" s="491"/>
      <c r="L529" s="471"/>
      <c r="M529" s="471"/>
      <c r="N529" s="484"/>
      <c r="O529" s="513"/>
      <c r="P529" s="507"/>
      <c r="Q529" s="507"/>
      <c r="R529" s="508"/>
      <c r="S529" s="509"/>
      <c r="T529" s="510"/>
      <c r="U529" s="470"/>
      <c r="V529" s="494" t="s">
        <v>59</v>
      </c>
      <c r="W529" s="471"/>
      <c r="X529" s="483"/>
      <c r="Y529" s="483"/>
      <c r="Z529" s="484"/>
      <c r="AA529" s="494" t="s">
        <v>59</v>
      </c>
      <c r="AB529" s="474"/>
      <c r="AC529" s="471"/>
      <c r="AD529" s="471"/>
      <c r="AE529" s="471"/>
      <c r="AF529" s="471"/>
      <c r="AG529" s="471"/>
      <c r="AH529" s="471"/>
      <c r="AY529" s="406">
        <f t="shared" si="2"/>
        <v>0</v>
      </c>
      <c r="AZ529" s="471"/>
      <c r="BA529" s="471">
        <f>(COUNTIF(AI529:AK529,"*OK*")*3) + (COUNTIF(AL529:AN529,"*OK*")*2) + COUNTIF(AO529:AQ529,"*OK*")+COUNTIF(AZ529:AZ529,"SI")*0.5</f>
        <v>0</v>
      </c>
      <c r="BB529" s="471" t="str">
        <f>IF(BA529&lt;0.6,"Demasiado Riesgo",IF(BA529&lt;=5,"Riesgo Medio",IF(BA529&lt;=11,"Riesgo Bajo","Cliente Blindado")))</f>
        <v>Demasiado Riesgo</v>
      </c>
      <c r="BC529" s="471"/>
      <c r="BD529" s="471"/>
      <c r="BE529" s="471"/>
      <c r="BF529" s="471"/>
      <c r="BG529" s="471"/>
      <c r="BH529" s="471"/>
      <c r="BI529" s="471"/>
      <c r="BJ529" s="471"/>
      <c r="BK529" s="471"/>
      <c r="BL529" s="471"/>
      <c r="BM529" s="471"/>
      <c r="BN529" s="471"/>
      <c r="BO529" s="471"/>
      <c r="BP529" s="471"/>
      <c r="BQ529" s="471"/>
      <c r="BR529" s="471"/>
      <c r="BS529" s="471"/>
      <c r="BT529" s="471"/>
      <c r="BU529" s="471"/>
      <c r="BV529" s="471"/>
      <c r="BW529" s="471"/>
      <c r="BX529" s="471"/>
      <c r="BY529" s="471"/>
      <c r="BZ529" s="471"/>
      <c r="CA529" s="471">
        <f>COUNTIF(AI529:AW529,"*OK*")</f>
        <v>0</v>
      </c>
    </row>
    <row r="530" spans="1:79" ht="15" customHeight="1">
      <c r="A530" s="449"/>
      <c r="B530" s="450"/>
      <c r="C530" s="512"/>
      <c r="D530" s="450">
        <f>COUNTIF(AM530:AX530,"OK")</f>
        <v>0</v>
      </c>
      <c r="E530" s="450"/>
      <c r="F530" s="450"/>
      <c r="G530" s="450"/>
      <c r="H530" s="454"/>
      <c r="I530" s="454"/>
      <c r="J530" s="450"/>
      <c r="K530" s="501"/>
      <c r="L530" s="450"/>
      <c r="M530" s="450"/>
      <c r="N530" s="466"/>
      <c r="O530" s="514"/>
      <c r="P530" s="502"/>
      <c r="Q530" s="502"/>
      <c r="R530" s="503"/>
      <c r="S530" s="504"/>
      <c r="T530" s="505"/>
      <c r="U530" s="449"/>
      <c r="V530" s="496" t="s">
        <v>59</v>
      </c>
      <c r="W530" s="450"/>
      <c r="X530" s="465"/>
      <c r="Y530" s="465"/>
      <c r="Z530" s="466"/>
      <c r="AA530" s="496" t="s">
        <v>59</v>
      </c>
      <c r="AB530" s="454"/>
      <c r="AC530" s="450"/>
      <c r="AD530" s="450"/>
      <c r="AE530" s="450"/>
      <c r="AF530" s="450"/>
      <c r="AG530" s="450"/>
      <c r="AH530" s="450"/>
      <c r="AY530" s="406">
        <f t="shared" si="2"/>
        <v>0</v>
      </c>
      <c r="AZ530" s="450"/>
      <c r="BA530" s="450">
        <f>(COUNTIF(AI530:AK530,"*OK*")*3) + (COUNTIF(AL530:AN530,"*OK*")*2) + COUNTIF(AO530:AQ530,"*OK*")+COUNTIF(AZ530:AZ530,"SI")*0.5</f>
        <v>0</v>
      </c>
      <c r="BB530" s="450" t="str">
        <f>IF(BA530&lt;0.6,"Demasiado Riesgo",IF(BA530&lt;=5,"Riesgo Medio",IF(BA530&lt;=11,"Riesgo Bajo","Cliente Blindado")))</f>
        <v>Demasiado Riesgo</v>
      </c>
      <c r="BC530" s="450"/>
      <c r="BD530" s="450"/>
      <c r="BE530" s="450"/>
      <c r="BF530" s="450"/>
      <c r="BG530" s="450"/>
      <c r="BH530" s="450"/>
      <c r="BI530" s="450"/>
      <c r="BJ530" s="450"/>
      <c r="BK530" s="450"/>
      <c r="BL530" s="450"/>
      <c r="BM530" s="450"/>
      <c r="BN530" s="450"/>
      <c r="BO530" s="450"/>
      <c r="BP530" s="450"/>
      <c r="BQ530" s="450"/>
      <c r="BR530" s="450"/>
      <c r="BS530" s="450"/>
      <c r="BT530" s="450"/>
      <c r="BU530" s="450"/>
      <c r="BV530" s="450"/>
      <c r="BW530" s="450"/>
      <c r="BX530" s="450"/>
      <c r="BY530" s="450"/>
      <c r="BZ530" s="450"/>
      <c r="CA530" s="450">
        <f>COUNTIF(AI530:AW530,"*OK*")</f>
        <v>0</v>
      </c>
    </row>
    <row r="531" spans="1:79" ht="15" customHeight="1">
      <c r="A531" s="470"/>
      <c r="B531" s="471"/>
      <c r="C531" s="511"/>
      <c r="D531" s="471">
        <f>COUNTIF(AM531:AX531,"OK")</f>
        <v>0</v>
      </c>
      <c r="E531" s="471"/>
      <c r="F531" s="471"/>
      <c r="G531" s="471"/>
      <c r="H531" s="474"/>
      <c r="I531" s="474"/>
      <c r="J531" s="471"/>
      <c r="K531" s="491"/>
      <c r="L531" s="471"/>
      <c r="M531" s="471"/>
      <c r="N531" s="484"/>
      <c r="O531" s="513"/>
      <c r="P531" s="507"/>
      <c r="Q531" s="507"/>
      <c r="R531" s="508"/>
      <c r="S531" s="509"/>
      <c r="T531" s="510"/>
      <c r="U531" s="470"/>
      <c r="V531" s="494" t="s">
        <v>59</v>
      </c>
      <c r="W531" s="471"/>
      <c r="X531" s="483"/>
      <c r="Y531" s="483"/>
      <c r="Z531" s="484"/>
      <c r="AA531" s="494" t="s">
        <v>59</v>
      </c>
      <c r="AB531" s="474"/>
      <c r="AC531" s="471"/>
      <c r="AD531" s="471"/>
      <c r="AE531" s="471"/>
      <c r="AF531" s="471"/>
      <c r="AG531" s="471"/>
      <c r="AH531" s="471"/>
      <c r="AY531" s="406">
        <f t="shared" si="2"/>
        <v>0</v>
      </c>
      <c r="AZ531" s="471"/>
      <c r="BA531" s="471">
        <f>(COUNTIF(AI531:AK531,"*OK*")*3) + (COUNTIF(AL531:AN531,"*OK*")*2) + COUNTIF(AO531:AQ531,"*OK*")+COUNTIF(AZ531:AZ531,"SI")*0.5</f>
        <v>0</v>
      </c>
      <c r="BB531" s="471" t="str">
        <f>IF(BA531&lt;0.6,"Demasiado Riesgo",IF(BA531&lt;=5,"Riesgo Medio",IF(BA531&lt;=11,"Riesgo Bajo","Cliente Blindado")))</f>
        <v>Demasiado Riesgo</v>
      </c>
      <c r="BC531" s="471"/>
      <c r="BD531" s="471"/>
      <c r="BE531" s="471"/>
      <c r="BF531" s="471"/>
      <c r="BG531" s="471"/>
      <c r="BH531" s="471"/>
      <c r="BI531" s="471"/>
      <c r="BJ531" s="471"/>
      <c r="BK531" s="471"/>
      <c r="BL531" s="471"/>
      <c r="BM531" s="471"/>
      <c r="BN531" s="471"/>
      <c r="BO531" s="471"/>
      <c r="BP531" s="471"/>
      <c r="BQ531" s="471"/>
      <c r="BR531" s="471"/>
      <c r="BS531" s="471"/>
      <c r="BT531" s="471"/>
      <c r="BU531" s="471"/>
      <c r="BV531" s="471"/>
      <c r="BW531" s="471"/>
      <c r="BX531" s="471"/>
      <c r="BY531" s="471"/>
      <c r="BZ531" s="471"/>
      <c r="CA531" s="471">
        <f>COUNTIF(AI531:AW531,"*OK*")</f>
        <v>0</v>
      </c>
    </row>
    <row r="532" spans="1:79" ht="15" customHeight="1">
      <c r="A532" s="449"/>
      <c r="B532" s="450"/>
      <c r="C532" s="512"/>
      <c r="D532" s="450">
        <f>COUNTIF(AM532:AX532,"OK")</f>
        <v>0</v>
      </c>
      <c r="E532" s="450"/>
      <c r="F532" s="450"/>
      <c r="G532" s="450"/>
      <c r="H532" s="454"/>
      <c r="I532" s="454"/>
      <c r="J532" s="450"/>
      <c r="K532" s="501"/>
      <c r="L532" s="450"/>
      <c r="M532" s="450"/>
      <c r="N532" s="466"/>
      <c r="O532" s="514"/>
      <c r="P532" s="502"/>
      <c r="Q532" s="502"/>
      <c r="R532" s="503"/>
      <c r="S532" s="504"/>
      <c r="T532" s="505"/>
      <c r="U532" s="449"/>
      <c r="V532" s="496" t="s">
        <v>59</v>
      </c>
      <c r="W532" s="450"/>
      <c r="X532" s="465"/>
      <c r="Y532" s="465"/>
      <c r="Z532" s="466"/>
      <c r="AA532" s="496" t="s">
        <v>59</v>
      </c>
      <c r="AB532" s="454"/>
      <c r="AC532" s="450"/>
      <c r="AD532" s="450"/>
      <c r="AE532" s="450"/>
      <c r="AF532" s="450"/>
      <c r="AG532" s="450"/>
      <c r="AH532" s="450"/>
      <c r="AY532" s="406">
        <f t="shared" si="2"/>
        <v>0</v>
      </c>
      <c r="AZ532" s="450"/>
      <c r="BA532" s="450">
        <f>(COUNTIF(AI532:AK532,"*OK*")*3) + (COUNTIF(AL532:AN532,"*OK*")*2) + COUNTIF(AO532:AQ532,"*OK*")+COUNTIF(AZ532:AZ532,"SI")*0.5</f>
        <v>0</v>
      </c>
      <c r="BB532" s="450" t="str">
        <f>IF(BA532&lt;0.6,"Demasiado Riesgo",IF(BA532&lt;=5,"Riesgo Medio",IF(BA532&lt;=11,"Riesgo Bajo","Cliente Blindado")))</f>
        <v>Demasiado Riesgo</v>
      </c>
      <c r="BC532" s="450"/>
      <c r="BD532" s="450"/>
      <c r="BE532" s="450"/>
      <c r="BF532" s="450"/>
      <c r="BG532" s="450"/>
      <c r="BH532" s="450"/>
      <c r="BI532" s="450"/>
      <c r="BJ532" s="450"/>
      <c r="BK532" s="450"/>
      <c r="BL532" s="450"/>
      <c r="BM532" s="450"/>
      <c r="BN532" s="450"/>
      <c r="BO532" s="450"/>
      <c r="BP532" s="450"/>
      <c r="BQ532" s="450"/>
      <c r="BR532" s="450"/>
      <c r="BS532" s="450"/>
      <c r="BT532" s="450"/>
      <c r="BU532" s="450"/>
      <c r="BV532" s="450"/>
      <c r="BW532" s="450"/>
      <c r="BX532" s="450"/>
      <c r="BY532" s="450"/>
      <c r="BZ532" s="450"/>
      <c r="CA532" s="450">
        <f>COUNTIF(AI532:AW532,"*OK*")</f>
        <v>0</v>
      </c>
    </row>
    <row r="533" spans="1:79" ht="15" customHeight="1">
      <c r="A533" s="470"/>
      <c r="B533" s="471"/>
      <c r="C533" s="511"/>
      <c r="D533" s="471">
        <f>COUNTIF(AM533:AX533,"OK")</f>
        <v>0</v>
      </c>
      <c r="E533" s="471"/>
      <c r="F533" s="471"/>
      <c r="G533" s="471"/>
      <c r="H533" s="474"/>
      <c r="I533" s="474"/>
      <c r="J533" s="471"/>
      <c r="K533" s="491"/>
      <c r="L533" s="471"/>
      <c r="M533" s="471"/>
      <c r="N533" s="484"/>
      <c r="O533" s="513"/>
      <c r="P533" s="507"/>
      <c r="Q533" s="507"/>
      <c r="R533" s="508"/>
      <c r="S533" s="509"/>
      <c r="T533" s="510"/>
      <c r="U533" s="470"/>
      <c r="V533" s="494" t="s">
        <v>59</v>
      </c>
      <c r="W533" s="471"/>
      <c r="X533" s="483"/>
      <c r="Y533" s="483"/>
      <c r="Z533" s="484"/>
      <c r="AA533" s="494" t="s">
        <v>59</v>
      </c>
      <c r="AB533" s="474"/>
      <c r="AC533" s="471"/>
      <c r="AD533" s="471"/>
      <c r="AE533" s="471"/>
      <c r="AF533" s="471"/>
      <c r="AG533" s="471"/>
      <c r="AH533" s="471"/>
      <c r="AY533" s="406">
        <f t="shared" si="2"/>
        <v>0</v>
      </c>
      <c r="AZ533" s="471"/>
      <c r="BA533" s="471">
        <f>(COUNTIF(AI533:AK533,"*OK*")*3) + (COUNTIF(AL533:AN533,"*OK*")*2) + COUNTIF(AO533:AQ533,"*OK*")+COUNTIF(AZ533:AZ533,"SI")*0.5</f>
        <v>0</v>
      </c>
      <c r="BB533" s="471" t="str">
        <f>IF(BA533&lt;0.6,"Demasiado Riesgo",IF(BA533&lt;=5,"Riesgo Medio",IF(BA533&lt;=11,"Riesgo Bajo","Cliente Blindado")))</f>
        <v>Demasiado Riesgo</v>
      </c>
      <c r="BC533" s="471"/>
      <c r="BD533" s="471"/>
      <c r="BE533" s="471"/>
      <c r="BF533" s="471"/>
      <c r="BG533" s="471"/>
      <c r="BH533" s="471"/>
      <c r="BI533" s="471"/>
      <c r="BJ533" s="471"/>
      <c r="BK533" s="471"/>
      <c r="BL533" s="471"/>
      <c r="BM533" s="471"/>
      <c r="BN533" s="471"/>
      <c r="BO533" s="471"/>
      <c r="BP533" s="471"/>
      <c r="BQ533" s="471"/>
      <c r="BR533" s="471"/>
      <c r="BS533" s="471"/>
      <c r="BT533" s="471"/>
      <c r="BU533" s="471"/>
      <c r="BV533" s="471"/>
      <c r="BW533" s="471"/>
      <c r="BX533" s="471"/>
      <c r="BY533" s="471"/>
      <c r="BZ533" s="471"/>
      <c r="CA533" s="471">
        <f>COUNTIF(AI533:AW533,"*OK*")</f>
        <v>0</v>
      </c>
    </row>
    <row r="534" spans="1:79" ht="15" customHeight="1">
      <c r="A534" s="449"/>
      <c r="B534" s="450"/>
      <c r="C534" s="512"/>
      <c r="D534" s="450">
        <f>COUNTIF(AM534:AX534,"OK")</f>
        <v>0</v>
      </c>
      <c r="E534" s="450"/>
      <c r="F534" s="450"/>
      <c r="G534" s="450"/>
      <c r="H534" s="454"/>
      <c r="I534" s="454"/>
      <c r="J534" s="450"/>
      <c r="K534" s="501"/>
      <c r="L534" s="450"/>
      <c r="M534" s="450"/>
      <c r="N534" s="466"/>
      <c r="O534" s="514"/>
      <c r="P534" s="502"/>
      <c r="Q534" s="502"/>
      <c r="R534" s="503"/>
      <c r="S534" s="504"/>
      <c r="T534" s="505"/>
      <c r="U534" s="449"/>
      <c r="V534" s="496" t="s">
        <v>59</v>
      </c>
      <c r="W534" s="450"/>
      <c r="X534" s="465"/>
      <c r="Y534" s="465"/>
      <c r="Z534" s="466"/>
      <c r="AA534" s="496" t="s">
        <v>59</v>
      </c>
      <c r="AB534" s="454"/>
      <c r="AC534" s="450"/>
      <c r="AD534" s="450"/>
      <c r="AE534" s="450"/>
      <c r="AF534" s="450"/>
      <c r="AG534" s="450"/>
      <c r="AH534" s="450"/>
      <c r="AY534" s="406">
        <f t="shared" si="2"/>
        <v>0</v>
      </c>
      <c r="AZ534" s="450"/>
      <c r="BA534" s="450">
        <f>(COUNTIF(AI534:AK534,"*OK*")*3) + (COUNTIF(AL534:AN534,"*OK*")*2) + COUNTIF(AO534:AQ534,"*OK*")+COUNTIF(AZ534:AZ534,"SI")*0.5</f>
        <v>0</v>
      </c>
      <c r="BB534" s="450" t="str">
        <f>IF(BA534&lt;0.6,"Demasiado Riesgo",IF(BA534&lt;=5,"Riesgo Medio",IF(BA534&lt;=11,"Riesgo Bajo","Cliente Blindado")))</f>
        <v>Demasiado Riesgo</v>
      </c>
      <c r="BC534" s="450"/>
      <c r="BD534" s="450"/>
      <c r="BE534" s="450"/>
      <c r="BF534" s="450"/>
      <c r="BG534" s="450"/>
      <c r="BH534" s="450"/>
      <c r="BI534" s="450"/>
      <c r="BJ534" s="450"/>
      <c r="BK534" s="450"/>
      <c r="BL534" s="450"/>
      <c r="BM534" s="450"/>
      <c r="BN534" s="450"/>
      <c r="BO534" s="450"/>
      <c r="BP534" s="450"/>
      <c r="BQ534" s="450"/>
      <c r="BR534" s="450"/>
      <c r="BS534" s="450"/>
      <c r="BT534" s="450"/>
      <c r="BU534" s="450"/>
      <c r="BV534" s="450"/>
      <c r="BW534" s="450"/>
      <c r="BX534" s="450"/>
      <c r="BY534" s="450"/>
      <c r="BZ534" s="450"/>
      <c r="CA534" s="450">
        <f>COUNTIF(AI534:AW534,"*OK*")</f>
        <v>0</v>
      </c>
    </row>
    <row r="535" spans="1:79" ht="15" customHeight="1">
      <c r="A535" s="470"/>
      <c r="B535" s="471"/>
      <c r="C535" s="511"/>
      <c r="D535" s="471">
        <f>COUNTIF(AM535:AX535,"OK")</f>
        <v>0</v>
      </c>
      <c r="E535" s="471"/>
      <c r="F535" s="471"/>
      <c r="G535" s="471"/>
      <c r="H535" s="474"/>
      <c r="I535" s="474"/>
      <c r="J535" s="471"/>
      <c r="K535" s="491"/>
      <c r="L535" s="471"/>
      <c r="M535" s="471"/>
      <c r="N535" s="484"/>
      <c r="O535" s="513"/>
      <c r="P535" s="507"/>
      <c r="Q535" s="507"/>
      <c r="R535" s="508"/>
      <c r="S535" s="509"/>
      <c r="T535" s="510"/>
      <c r="U535" s="470"/>
      <c r="V535" s="494" t="s">
        <v>59</v>
      </c>
      <c r="W535" s="471"/>
      <c r="X535" s="483"/>
      <c r="Y535" s="483"/>
      <c r="Z535" s="484"/>
      <c r="AA535" s="494" t="s">
        <v>59</v>
      </c>
      <c r="AB535" s="474"/>
      <c r="AC535" s="471"/>
      <c r="AD535" s="471"/>
      <c r="AE535" s="471"/>
      <c r="AF535" s="471"/>
      <c r="AG535" s="471"/>
      <c r="AH535" s="471"/>
      <c r="AY535" s="406">
        <f t="shared" si="2"/>
        <v>0</v>
      </c>
      <c r="AZ535" s="471"/>
      <c r="BA535" s="471">
        <f>(COUNTIF(AI535:AK535,"*OK*")*3) + (COUNTIF(AL535:AN535,"*OK*")*2) + COUNTIF(AO535:AQ535,"*OK*")+COUNTIF(AZ535:AZ535,"SI")*0.5</f>
        <v>0</v>
      </c>
      <c r="BB535" s="471" t="str">
        <f>IF(BA535&lt;0.6,"Demasiado Riesgo",IF(BA535&lt;=5,"Riesgo Medio",IF(BA535&lt;=11,"Riesgo Bajo","Cliente Blindado")))</f>
        <v>Demasiado Riesgo</v>
      </c>
      <c r="BC535" s="471"/>
      <c r="BD535" s="471"/>
      <c r="BE535" s="471"/>
      <c r="BF535" s="471"/>
      <c r="BG535" s="471"/>
      <c r="BH535" s="471"/>
      <c r="BI535" s="471"/>
      <c r="BJ535" s="471"/>
      <c r="BK535" s="471"/>
      <c r="BL535" s="471"/>
      <c r="BM535" s="471"/>
      <c r="BN535" s="471"/>
      <c r="BO535" s="471"/>
      <c r="BP535" s="471"/>
      <c r="BQ535" s="471"/>
      <c r="BR535" s="471"/>
      <c r="BS535" s="471"/>
      <c r="BT535" s="471"/>
      <c r="BU535" s="471"/>
      <c r="BV535" s="471"/>
      <c r="BW535" s="471"/>
      <c r="BX535" s="471"/>
      <c r="BY535" s="471"/>
      <c r="BZ535" s="471"/>
      <c r="CA535" s="471">
        <f>COUNTIF(AI535:AW535,"*OK*")</f>
        <v>0</v>
      </c>
    </row>
    <row r="536" spans="1:79" ht="15" customHeight="1">
      <c r="A536" s="449"/>
      <c r="B536" s="450"/>
      <c r="C536" s="512"/>
      <c r="D536" s="450">
        <f>COUNTIF(AM536:AX536,"OK")</f>
        <v>0</v>
      </c>
      <c r="E536" s="450"/>
      <c r="F536" s="450"/>
      <c r="G536" s="450"/>
      <c r="H536" s="454"/>
      <c r="I536" s="454"/>
      <c r="J536" s="450"/>
      <c r="K536" s="501"/>
      <c r="L536" s="450"/>
      <c r="M536" s="450"/>
      <c r="N536" s="466"/>
      <c r="O536" s="514"/>
      <c r="P536" s="502"/>
      <c r="Q536" s="502"/>
      <c r="R536" s="503"/>
      <c r="S536" s="504"/>
      <c r="T536" s="505"/>
      <c r="U536" s="449"/>
      <c r="V536" s="496" t="s">
        <v>59</v>
      </c>
      <c r="W536" s="450"/>
      <c r="X536" s="465"/>
      <c r="Y536" s="465"/>
      <c r="Z536" s="466"/>
      <c r="AA536" s="496" t="s">
        <v>59</v>
      </c>
      <c r="AB536" s="454"/>
      <c r="AC536" s="450"/>
      <c r="AD536" s="450"/>
      <c r="AE536" s="450"/>
      <c r="AF536" s="450"/>
      <c r="AG536" s="450"/>
      <c r="AH536" s="450"/>
      <c r="AY536" s="406">
        <f t="shared" si="2"/>
        <v>0</v>
      </c>
      <c r="AZ536" s="450"/>
      <c r="BA536" s="450">
        <f>(COUNTIF(AI536:AK536,"*OK*")*3) + (COUNTIF(AL536:AN536,"*OK*")*2) + COUNTIF(AO536:AQ536,"*OK*")+COUNTIF(AZ536:AZ536,"SI")*0.5</f>
        <v>0</v>
      </c>
      <c r="BB536" s="450" t="str">
        <f>IF(BA536&lt;0.6,"Demasiado Riesgo",IF(BA536&lt;=5,"Riesgo Medio",IF(BA536&lt;=11,"Riesgo Bajo","Cliente Blindado")))</f>
        <v>Demasiado Riesgo</v>
      </c>
      <c r="BC536" s="450"/>
      <c r="BD536" s="450"/>
      <c r="BE536" s="450"/>
      <c r="BF536" s="450"/>
      <c r="BG536" s="450"/>
      <c r="BH536" s="450"/>
      <c r="BI536" s="450"/>
      <c r="BJ536" s="450"/>
      <c r="BK536" s="450"/>
      <c r="BL536" s="450"/>
      <c r="BM536" s="450"/>
      <c r="BN536" s="450"/>
      <c r="BO536" s="450"/>
      <c r="BP536" s="450"/>
      <c r="BQ536" s="450"/>
      <c r="BR536" s="450"/>
      <c r="BS536" s="450"/>
      <c r="BT536" s="450"/>
      <c r="BU536" s="450"/>
      <c r="BV536" s="450"/>
      <c r="BW536" s="450"/>
      <c r="BX536" s="450"/>
      <c r="BY536" s="450"/>
      <c r="BZ536" s="450"/>
      <c r="CA536" s="450">
        <f>COUNTIF(AI536:AW536,"*OK*")</f>
        <v>0</v>
      </c>
    </row>
    <row r="537" spans="1:79" ht="15" customHeight="1">
      <c r="A537" s="470"/>
      <c r="B537" s="471"/>
      <c r="C537" s="511"/>
      <c r="D537" s="471">
        <f>COUNTIF(AM537:AX537,"OK")</f>
        <v>0</v>
      </c>
      <c r="E537" s="471"/>
      <c r="F537" s="471"/>
      <c r="G537" s="471"/>
      <c r="H537" s="474"/>
      <c r="I537" s="474"/>
      <c r="J537" s="471"/>
      <c r="K537" s="491"/>
      <c r="L537" s="471"/>
      <c r="M537" s="471"/>
      <c r="N537" s="484"/>
      <c r="O537" s="513"/>
      <c r="P537" s="507"/>
      <c r="Q537" s="507"/>
      <c r="R537" s="508"/>
      <c r="S537" s="509"/>
      <c r="T537" s="510"/>
      <c r="U537" s="470"/>
      <c r="V537" s="494" t="s">
        <v>59</v>
      </c>
      <c r="W537" s="471"/>
      <c r="X537" s="483"/>
      <c r="Y537" s="483"/>
      <c r="Z537" s="484"/>
      <c r="AA537" s="494" t="s">
        <v>59</v>
      </c>
      <c r="AB537" s="474"/>
      <c r="AC537" s="471"/>
      <c r="AD537" s="471"/>
      <c r="AE537" s="471"/>
      <c r="AF537" s="471"/>
      <c r="AG537" s="471"/>
      <c r="AH537" s="471"/>
      <c r="AY537" s="406">
        <f t="shared" si="2"/>
        <v>0</v>
      </c>
      <c r="AZ537" s="471"/>
      <c r="BA537" s="471">
        <f>(COUNTIF(AI537:AK537,"*OK*")*3) + (COUNTIF(AL537:AN537,"*OK*")*2) + COUNTIF(AO537:AQ537,"*OK*")+COUNTIF(AZ537:AZ537,"SI")*0.5</f>
        <v>0</v>
      </c>
      <c r="BB537" s="471" t="str">
        <f>IF(BA537&lt;0.6,"Demasiado Riesgo",IF(BA537&lt;=5,"Riesgo Medio",IF(BA537&lt;=11,"Riesgo Bajo","Cliente Blindado")))</f>
        <v>Demasiado Riesgo</v>
      </c>
      <c r="BC537" s="471"/>
      <c r="BD537" s="471"/>
      <c r="BE537" s="471"/>
      <c r="BF537" s="471"/>
      <c r="BG537" s="471"/>
      <c r="BH537" s="471"/>
      <c r="BI537" s="471"/>
      <c r="BJ537" s="471"/>
      <c r="BK537" s="471"/>
      <c r="BL537" s="471"/>
      <c r="BM537" s="471"/>
      <c r="BN537" s="471"/>
      <c r="BO537" s="471"/>
      <c r="BP537" s="471"/>
      <c r="BQ537" s="471"/>
      <c r="BR537" s="471"/>
      <c r="BS537" s="471"/>
      <c r="BT537" s="471"/>
      <c r="BU537" s="471"/>
      <c r="BV537" s="471"/>
      <c r="BW537" s="471"/>
      <c r="BX537" s="471"/>
      <c r="BY537" s="471"/>
      <c r="BZ537" s="471"/>
      <c r="CA537" s="471">
        <f>COUNTIF(AI537:AW537,"*OK*")</f>
        <v>0</v>
      </c>
    </row>
    <row r="538" spans="1:79" ht="15" customHeight="1">
      <c r="A538" s="449"/>
      <c r="B538" s="450"/>
      <c r="C538" s="512"/>
      <c r="D538" s="450">
        <f>COUNTIF(AM538:AX538,"OK")</f>
        <v>0</v>
      </c>
      <c r="E538" s="450"/>
      <c r="F538" s="450"/>
      <c r="G538" s="450"/>
      <c r="H538" s="454"/>
      <c r="I538" s="454"/>
      <c r="J538" s="450"/>
      <c r="K538" s="501"/>
      <c r="L538" s="450"/>
      <c r="M538" s="450"/>
      <c r="N538" s="466"/>
      <c r="O538" s="514"/>
      <c r="P538" s="502"/>
      <c r="Q538" s="502"/>
      <c r="R538" s="503"/>
      <c r="S538" s="504"/>
      <c r="T538" s="505"/>
      <c r="U538" s="449"/>
      <c r="V538" s="496" t="s">
        <v>59</v>
      </c>
      <c r="W538" s="450"/>
      <c r="X538" s="465"/>
      <c r="Y538" s="465"/>
      <c r="Z538" s="466"/>
      <c r="AA538" s="496" t="s">
        <v>59</v>
      </c>
      <c r="AB538" s="454"/>
      <c r="AC538" s="450"/>
      <c r="AD538" s="450"/>
      <c r="AE538" s="450"/>
      <c r="AF538" s="450"/>
      <c r="AG538" s="450"/>
      <c r="AH538" s="450"/>
      <c r="AY538" s="406">
        <f t="shared" si="2"/>
        <v>0</v>
      </c>
      <c r="AZ538" s="450"/>
      <c r="BA538" s="450">
        <f>(COUNTIF(AI538:AK538,"*OK*")*3) + (COUNTIF(AL538:AN538,"*OK*")*2) + COUNTIF(AO538:AQ538,"*OK*")+COUNTIF(AZ538:AZ538,"SI")*0.5</f>
        <v>0</v>
      </c>
      <c r="BB538" s="450" t="str">
        <f>IF(BA538&lt;0.6,"Demasiado Riesgo",IF(BA538&lt;=5,"Riesgo Medio",IF(BA538&lt;=11,"Riesgo Bajo","Cliente Blindado")))</f>
        <v>Demasiado Riesgo</v>
      </c>
      <c r="BC538" s="450"/>
      <c r="BD538" s="450"/>
      <c r="BE538" s="450"/>
      <c r="BF538" s="450"/>
      <c r="BG538" s="450"/>
      <c r="BH538" s="450"/>
      <c r="BI538" s="450"/>
      <c r="BJ538" s="450"/>
      <c r="BK538" s="450"/>
      <c r="BL538" s="450"/>
      <c r="BM538" s="450"/>
      <c r="BN538" s="450"/>
      <c r="BO538" s="450"/>
      <c r="BP538" s="450"/>
      <c r="BQ538" s="450"/>
      <c r="BR538" s="450"/>
      <c r="BS538" s="450"/>
      <c r="BT538" s="450"/>
      <c r="BU538" s="450"/>
      <c r="BV538" s="450"/>
      <c r="BW538" s="450"/>
      <c r="BX538" s="450"/>
      <c r="BY538" s="450"/>
      <c r="BZ538" s="450"/>
      <c r="CA538" s="450">
        <f>COUNTIF(AI538:AW538,"*OK*")</f>
        <v>0</v>
      </c>
    </row>
    <row r="539" spans="1:79" ht="15" customHeight="1">
      <c r="A539" s="470"/>
      <c r="B539" s="471"/>
      <c r="C539" s="511"/>
      <c r="D539" s="471">
        <f>COUNTIF(AM539:AX539,"OK")</f>
        <v>0</v>
      </c>
      <c r="E539" s="471"/>
      <c r="F539" s="471"/>
      <c r="G539" s="471"/>
      <c r="H539" s="474"/>
      <c r="I539" s="474"/>
      <c r="J539" s="471"/>
      <c r="K539" s="491"/>
      <c r="L539" s="471"/>
      <c r="M539" s="471"/>
      <c r="N539" s="484"/>
      <c r="O539" s="513"/>
      <c r="P539" s="507"/>
      <c r="Q539" s="507"/>
      <c r="R539" s="508"/>
      <c r="S539" s="509"/>
      <c r="T539" s="510"/>
      <c r="U539" s="470"/>
      <c r="V539" s="494" t="s">
        <v>59</v>
      </c>
      <c r="W539" s="471"/>
      <c r="X539" s="483"/>
      <c r="Y539" s="483"/>
      <c r="Z539" s="484"/>
      <c r="AA539" s="494" t="s">
        <v>59</v>
      </c>
      <c r="AB539" s="474"/>
      <c r="AC539" s="471"/>
      <c r="AD539" s="471"/>
      <c r="AE539" s="471"/>
      <c r="AF539" s="471"/>
      <c r="AG539" s="471"/>
      <c r="AH539" s="471"/>
      <c r="AY539" s="406">
        <f t="shared" si="2"/>
        <v>0</v>
      </c>
      <c r="AZ539" s="471"/>
      <c r="BA539" s="471">
        <f>(COUNTIF(AI539:AK539,"*OK*")*3) + (COUNTIF(AL539:AN539,"*OK*")*2) + COUNTIF(AO539:AQ539,"*OK*")+COUNTIF(AZ539:AZ539,"SI")*0.5</f>
        <v>0</v>
      </c>
      <c r="BB539" s="471" t="str">
        <f>IF(BA539&lt;0.6,"Demasiado Riesgo",IF(BA539&lt;=5,"Riesgo Medio",IF(BA539&lt;=11,"Riesgo Bajo","Cliente Blindado")))</f>
        <v>Demasiado Riesgo</v>
      </c>
      <c r="BC539" s="471"/>
      <c r="BD539" s="471"/>
      <c r="BE539" s="471"/>
      <c r="BF539" s="471"/>
      <c r="BG539" s="471"/>
      <c r="BH539" s="471"/>
      <c r="BI539" s="471"/>
      <c r="BJ539" s="471"/>
      <c r="BK539" s="471"/>
      <c r="BL539" s="471"/>
      <c r="BM539" s="471"/>
      <c r="BN539" s="471"/>
      <c r="BO539" s="471"/>
      <c r="BP539" s="471"/>
      <c r="BQ539" s="471"/>
      <c r="BR539" s="471"/>
      <c r="BS539" s="471"/>
      <c r="BT539" s="471"/>
      <c r="BU539" s="471"/>
      <c r="BV539" s="471"/>
      <c r="BW539" s="471"/>
      <c r="BX539" s="471"/>
      <c r="BY539" s="471"/>
      <c r="BZ539" s="471"/>
      <c r="CA539" s="471">
        <f>COUNTIF(AI539:AW539,"*OK*")</f>
        <v>0</v>
      </c>
    </row>
    <row r="540" spans="1:79" ht="15" customHeight="1">
      <c r="A540" s="449"/>
      <c r="B540" s="450"/>
      <c r="C540" s="512"/>
      <c r="D540" s="450">
        <f>COUNTIF(AM540:AX540,"OK")</f>
        <v>0</v>
      </c>
      <c r="E540" s="450"/>
      <c r="F540" s="450"/>
      <c r="G540" s="450"/>
      <c r="H540" s="454"/>
      <c r="I540" s="454"/>
      <c r="J540" s="450"/>
      <c r="K540" s="501"/>
      <c r="L540" s="450"/>
      <c r="M540" s="450"/>
      <c r="N540" s="466"/>
      <c r="O540" s="514"/>
      <c r="P540" s="502"/>
      <c r="Q540" s="502"/>
      <c r="R540" s="503"/>
      <c r="S540" s="504"/>
      <c r="T540" s="505"/>
      <c r="U540" s="449"/>
      <c r="V540" s="496" t="s">
        <v>59</v>
      </c>
      <c r="W540" s="450"/>
      <c r="X540" s="465"/>
      <c r="Y540" s="465"/>
      <c r="Z540" s="466"/>
      <c r="AA540" s="496" t="s">
        <v>59</v>
      </c>
      <c r="AB540" s="454"/>
      <c r="AC540" s="450"/>
      <c r="AD540" s="450"/>
      <c r="AE540" s="450"/>
      <c r="AF540" s="450"/>
      <c r="AG540" s="450"/>
      <c r="AH540" s="450"/>
      <c r="AY540" s="406">
        <f t="shared" si="2"/>
        <v>0</v>
      </c>
      <c r="AZ540" s="450"/>
      <c r="BA540" s="450">
        <f>(COUNTIF(AI540:AK540,"*OK*")*3) + (COUNTIF(AL540:AN540,"*OK*")*2) + COUNTIF(AO540:AQ540,"*OK*")+COUNTIF(AZ540:AZ540,"SI")*0.5</f>
        <v>0</v>
      </c>
      <c r="BB540" s="450" t="str">
        <f>IF(BA540&lt;0.6,"Demasiado Riesgo",IF(BA540&lt;=5,"Riesgo Medio",IF(BA540&lt;=11,"Riesgo Bajo","Cliente Blindado")))</f>
        <v>Demasiado Riesgo</v>
      </c>
      <c r="BC540" s="450"/>
      <c r="BD540" s="450"/>
      <c r="BE540" s="450"/>
      <c r="BF540" s="450"/>
      <c r="BG540" s="450"/>
      <c r="BH540" s="450"/>
      <c r="BI540" s="450"/>
      <c r="BJ540" s="450"/>
      <c r="BK540" s="450"/>
      <c r="BL540" s="450"/>
      <c r="BM540" s="450"/>
      <c r="BN540" s="450"/>
      <c r="BO540" s="450"/>
      <c r="BP540" s="450"/>
      <c r="BQ540" s="450"/>
      <c r="BR540" s="450"/>
      <c r="BS540" s="450"/>
      <c r="BT540" s="450"/>
      <c r="BU540" s="450"/>
      <c r="BV540" s="450"/>
      <c r="BW540" s="450"/>
      <c r="BX540" s="450"/>
      <c r="BY540" s="450"/>
      <c r="BZ540" s="450"/>
      <c r="CA540" s="450">
        <f>COUNTIF(AI540:AW540,"*OK*")</f>
        <v>0</v>
      </c>
    </row>
    <row r="541" spans="1:79" ht="15" customHeight="1">
      <c r="A541" s="470"/>
      <c r="B541" s="471"/>
      <c r="C541" s="511"/>
      <c r="D541" s="471">
        <f>COUNTIF(AM541:AX541,"OK")</f>
        <v>0</v>
      </c>
      <c r="E541" s="471"/>
      <c r="F541" s="471"/>
      <c r="G541" s="471"/>
      <c r="H541" s="474"/>
      <c r="I541" s="474"/>
      <c r="J541" s="471"/>
      <c r="K541" s="491"/>
      <c r="L541" s="471"/>
      <c r="M541" s="471"/>
      <c r="N541" s="484"/>
      <c r="O541" s="513"/>
      <c r="P541" s="507"/>
      <c r="Q541" s="507"/>
      <c r="R541" s="508"/>
      <c r="S541" s="509"/>
      <c r="T541" s="510"/>
      <c r="U541" s="470"/>
      <c r="V541" s="494" t="s">
        <v>59</v>
      </c>
      <c r="W541" s="471"/>
      <c r="X541" s="483"/>
      <c r="Y541" s="483"/>
      <c r="Z541" s="484"/>
      <c r="AA541" s="494" t="s">
        <v>59</v>
      </c>
      <c r="AB541" s="474"/>
      <c r="AC541" s="471"/>
      <c r="AD541" s="471"/>
      <c r="AE541" s="471"/>
      <c r="AF541" s="471"/>
      <c r="AG541" s="471"/>
      <c r="AH541" s="471"/>
      <c r="AY541" s="406">
        <f t="shared" si="2"/>
        <v>0</v>
      </c>
      <c r="AZ541" s="471"/>
      <c r="BA541" s="471">
        <f>(COUNTIF(AI541:AK541,"*OK*")*3) + (COUNTIF(AL541:AN541,"*OK*")*2) + COUNTIF(AO541:AQ541,"*OK*")+COUNTIF(AZ541:AZ541,"SI")*0.5</f>
        <v>0</v>
      </c>
      <c r="BB541" s="471" t="str">
        <f>IF(BA541&lt;0.6,"Demasiado Riesgo",IF(BA541&lt;=5,"Riesgo Medio",IF(BA541&lt;=11,"Riesgo Bajo","Cliente Blindado")))</f>
        <v>Demasiado Riesgo</v>
      </c>
      <c r="BC541" s="471"/>
      <c r="BD541" s="471"/>
      <c r="BE541" s="471"/>
      <c r="BF541" s="471"/>
      <c r="BG541" s="471"/>
      <c r="BH541" s="471"/>
      <c r="BI541" s="471"/>
      <c r="BJ541" s="471"/>
      <c r="BK541" s="471"/>
      <c r="BL541" s="471"/>
      <c r="BM541" s="471"/>
      <c r="BN541" s="471"/>
      <c r="BO541" s="471"/>
      <c r="BP541" s="471"/>
      <c r="BQ541" s="471"/>
      <c r="BR541" s="471"/>
      <c r="BS541" s="471"/>
      <c r="BT541" s="471"/>
      <c r="BU541" s="471"/>
      <c r="BV541" s="471"/>
      <c r="BW541" s="471"/>
      <c r="BX541" s="471"/>
      <c r="BY541" s="471"/>
      <c r="BZ541" s="471"/>
      <c r="CA541" s="471">
        <f>COUNTIF(AI541:AW541,"*OK*")</f>
        <v>0</v>
      </c>
    </row>
    <row r="542" spans="1:79" ht="15" customHeight="1">
      <c r="A542" s="449"/>
      <c r="B542" s="450"/>
      <c r="C542" s="512"/>
      <c r="D542" s="450">
        <f>COUNTIF(AM542:AX542,"OK")</f>
        <v>0</v>
      </c>
      <c r="E542" s="450"/>
      <c r="F542" s="450"/>
      <c r="G542" s="450"/>
      <c r="H542" s="454"/>
      <c r="I542" s="454"/>
      <c r="J542" s="450"/>
      <c r="K542" s="501"/>
      <c r="L542" s="450"/>
      <c r="M542" s="450"/>
      <c r="N542" s="466"/>
      <c r="O542" s="514"/>
      <c r="P542" s="502"/>
      <c r="Q542" s="502"/>
      <c r="R542" s="503"/>
      <c r="S542" s="504"/>
      <c r="T542" s="505"/>
      <c r="U542" s="449"/>
      <c r="V542" s="496" t="s">
        <v>59</v>
      </c>
      <c r="W542" s="450"/>
      <c r="X542" s="465"/>
      <c r="Y542" s="465"/>
      <c r="Z542" s="466"/>
      <c r="AA542" s="496" t="s">
        <v>59</v>
      </c>
      <c r="AB542" s="454"/>
      <c r="AC542" s="450"/>
      <c r="AD542" s="450"/>
      <c r="AE542" s="450"/>
      <c r="AF542" s="450"/>
      <c r="AG542" s="450"/>
      <c r="AH542" s="450"/>
      <c r="AY542" s="406">
        <f t="shared" si="2"/>
        <v>0</v>
      </c>
      <c r="AZ542" s="450"/>
      <c r="BA542" s="450">
        <f>(COUNTIF(AI542:AK542,"*OK*")*3) + (COUNTIF(AL542:AN542,"*OK*")*2) + COUNTIF(AO542:AQ542,"*OK*")+COUNTIF(AZ542:AZ542,"SI")*0.5</f>
        <v>0</v>
      </c>
      <c r="BB542" s="450" t="str">
        <f>IF(BA542&lt;0.6,"Demasiado Riesgo",IF(BA542&lt;=5,"Riesgo Medio",IF(BA542&lt;=11,"Riesgo Bajo","Cliente Blindado")))</f>
        <v>Demasiado Riesgo</v>
      </c>
      <c r="BC542" s="450"/>
      <c r="BD542" s="450"/>
      <c r="BE542" s="450"/>
      <c r="BF542" s="450"/>
      <c r="BG542" s="450"/>
      <c r="BH542" s="450"/>
      <c r="BI542" s="450"/>
      <c r="BJ542" s="450"/>
      <c r="BK542" s="450"/>
      <c r="BL542" s="450"/>
      <c r="BM542" s="450"/>
      <c r="BN542" s="450"/>
      <c r="BO542" s="450"/>
      <c r="BP542" s="450"/>
      <c r="BQ542" s="450"/>
      <c r="BR542" s="450"/>
      <c r="BS542" s="450"/>
      <c r="BT542" s="450"/>
      <c r="BU542" s="450"/>
      <c r="BV542" s="450"/>
      <c r="BW542" s="450"/>
      <c r="BX542" s="450"/>
      <c r="BY542" s="450"/>
      <c r="BZ542" s="450"/>
      <c r="CA542" s="450">
        <f>COUNTIF(AI542:AW542,"*OK*")</f>
        <v>0</v>
      </c>
    </row>
    <row r="543" spans="1:79" ht="15" customHeight="1">
      <c r="A543" s="470"/>
      <c r="B543" s="471"/>
      <c r="C543" s="511"/>
      <c r="D543" s="471">
        <f>COUNTIF(AM543:AX543,"OK")</f>
        <v>0</v>
      </c>
      <c r="E543" s="471"/>
      <c r="F543" s="471"/>
      <c r="G543" s="471"/>
      <c r="H543" s="474"/>
      <c r="I543" s="474"/>
      <c r="J543" s="471"/>
      <c r="K543" s="491"/>
      <c r="L543" s="471"/>
      <c r="M543" s="471"/>
      <c r="N543" s="484"/>
      <c r="O543" s="513"/>
      <c r="P543" s="507"/>
      <c r="Q543" s="507"/>
      <c r="R543" s="508"/>
      <c r="S543" s="509"/>
      <c r="T543" s="510"/>
      <c r="U543" s="470"/>
      <c r="V543" s="494" t="s">
        <v>59</v>
      </c>
      <c r="W543" s="471"/>
      <c r="X543" s="483"/>
      <c r="Y543" s="483"/>
      <c r="Z543" s="484"/>
      <c r="AA543" s="494" t="s">
        <v>59</v>
      </c>
      <c r="AB543" s="474"/>
      <c r="AC543" s="471"/>
      <c r="AD543" s="471"/>
      <c r="AE543" s="471"/>
      <c r="AF543" s="471"/>
      <c r="AG543" s="471"/>
      <c r="AH543" s="471"/>
      <c r="AY543" s="406">
        <f t="shared" si="2"/>
        <v>0</v>
      </c>
      <c r="AZ543" s="471"/>
      <c r="BA543" s="471">
        <f>(COUNTIF(AI543:AK543,"*OK*")*3) + (COUNTIF(AL543:AN543,"*OK*")*2) + COUNTIF(AO543:AQ543,"*OK*")+COUNTIF(AZ543:AZ543,"SI")*0.5</f>
        <v>0</v>
      </c>
      <c r="BB543" s="471" t="str">
        <f>IF(BA543&lt;0.6,"Demasiado Riesgo",IF(BA543&lt;=5,"Riesgo Medio",IF(BA543&lt;=11,"Riesgo Bajo","Cliente Blindado")))</f>
        <v>Demasiado Riesgo</v>
      </c>
      <c r="BC543" s="471"/>
      <c r="BD543" s="471"/>
      <c r="BE543" s="471"/>
      <c r="BF543" s="471"/>
      <c r="BG543" s="471"/>
      <c r="BH543" s="471"/>
      <c r="BI543" s="471"/>
      <c r="BJ543" s="471"/>
      <c r="BK543" s="471"/>
      <c r="BL543" s="471"/>
      <c r="BM543" s="471"/>
      <c r="BN543" s="471"/>
      <c r="BO543" s="471"/>
      <c r="BP543" s="471"/>
      <c r="BQ543" s="471"/>
      <c r="BR543" s="471"/>
      <c r="BS543" s="471"/>
      <c r="BT543" s="471"/>
      <c r="BU543" s="471"/>
      <c r="BV543" s="471"/>
      <c r="BW543" s="471"/>
      <c r="BX543" s="471"/>
      <c r="BY543" s="471"/>
      <c r="BZ543" s="471"/>
      <c r="CA543" s="471">
        <f>COUNTIF(AI543:AW543,"*OK*")</f>
        <v>0</v>
      </c>
    </row>
    <row r="544" spans="1:79" ht="15" customHeight="1">
      <c r="A544" s="449"/>
      <c r="B544" s="450"/>
      <c r="C544" s="512"/>
      <c r="D544" s="450">
        <f>COUNTIF(AM544:AX544,"OK")</f>
        <v>0</v>
      </c>
      <c r="E544" s="450"/>
      <c r="F544" s="450"/>
      <c r="G544" s="450"/>
      <c r="H544" s="454"/>
      <c r="I544" s="454"/>
      <c r="J544" s="450"/>
      <c r="K544" s="501"/>
      <c r="L544" s="450"/>
      <c r="M544" s="450"/>
      <c r="N544" s="466"/>
      <c r="O544" s="514"/>
      <c r="P544" s="502"/>
      <c r="Q544" s="502"/>
      <c r="R544" s="503"/>
      <c r="S544" s="504"/>
      <c r="T544" s="505"/>
      <c r="U544" s="449"/>
      <c r="V544" s="496" t="s">
        <v>59</v>
      </c>
      <c r="W544" s="450"/>
      <c r="X544" s="465"/>
      <c r="Y544" s="465"/>
      <c r="Z544" s="466"/>
      <c r="AA544" s="496" t="s">
        <v>59</v>
      </c>
      <c r="AB544" s="454"/>
      <c r="AC544" s="450"/>
      <c r="AD544" s="450"/>
      <c r="AE544" s="450"/>
      <c r="AF544" s="450"/>
      <c r="AG544" s="450"/>
      <c r="AH544" s="450"/>
      <c r="AY544" s="406">
        <f t="shared" si="2"/>
        <v>0</v>
      </c>
      <c r="AZ544" s="450"/>
      <c r="BA544" s="450">
        <f>(COUNTIF(AI544:AK544,"*OK*")*3) + (COUNTIF(AL544:AN544,"*OK*")*2) + COUNTIF(AO544:AQ544,"*OK*")+COUNTIF(AZ544:AZ544,"SI")*0.5</f>
        <v>0</v>
      </c>
      <c r="BB544" s="450" t="str">
        <f>IF(BA544&lt;0.6,"Demasiado Riesgo",IF(BA544&lt;=5,"Riesgo Medio",IF(BA544&lt;=11,"Riesgo Bajo","Cliente Blindado")))</f>
        <v>Demasiado Riesgo</v>
      </c>
      <c r="BC544" s="450"/>
      <c r="BD544" s="450"/>
      <c r="BE544" s="450"/>
      <c r="BF544" s="450"/>
      <c r="BG544" s="450"/>
      <c r="BH544" s="450"/>
      <c r="BI544" s="450"/>
      <c r="BJ544" s="450"/>
      <c r="BK544" s="450"/>
      <c r="BL544" s="450"/>
      <c r="BM544" s="450"/>
      <c r="BN544" s="450"/>
      <c r="BO544" s="450"/>
      <c r="BP544" s="450"/>
      <c r="BQ544" s="450"/>
      <c r="BR544" s="450"/>
      <c r="BS544" s="450"/>
      <c r="BT544" s="450"/>
      <c r="BU544" s="450"/>
      <c r="BV544" s="450"/>
      <c r="BW544" s="450"/>
      <c r="BX544" s="450"/>
      <c r="BY544" s="450"/>
      <c r="BZ544" s="450"/>
      <c r="CA544" s="450">
        <f>COUNTIF(AI544:AW544,"*OK*")</f>
        <v>0</v>
      </c>
    </row>
    <row r="545" spans="1:79" ht="15" customHeight="1">
      <c r="A545" s="470"/>
      <c r="B545" s="471"/>
      <c r="C545" s="511"/>
      <c r="D545" s="471">
        <f>COUNTIF(AM545:AX545,"OK")</f>
        <v>0</v>
      </c>
      <c r="E545" s="471"/>
      <c r="F545" s="471"/>
      <c r="G545" s="471"/>
      <c r="H545" s="474"/>
      <c r="I545" s="474"/>
      <c r="J545" s="471"/>
      <c r="K545" s="491"/>
      <c r="L545" s="471"/>
      <c r="M545" s="471"/>
      <c r="N545" s="484"/>
      <c r="O545" s="513"/>
      <c r="P545" s="507"/>
      <c r="Q545" s="507"/>
      <c r="R545" s="508"/>
      <c r="S545" s="509"/>
      <c r="T545" s="510"/>
      <c r="U545" s="470"/>
      <c r="V545" s="494" t="s">
        <v>59</v>
      </c>
      <c r="W545" s="471"/>
      <c r="X545" s="483"/>
      <c r="Y545" s="483"/>
      <c r="Z545" s="484"/>
      <c r="AA545" s="494" t="s">
        <v>59</v>
      </c>
      <c r="AB545" s="474"/>
      <c r="AC545" s="471"/>
      <c r="AD545" s="471"/>
      <c r="AE545" s="471"/>
      <c r="AF545" s="471"/>
      <c r="AG545" s="471"/>
      <c r="AH545" s="471"/>
      <c r="AY545" s="406">
        <f t="shared" si="2"/>
        <v>0</v>
      </c>
      <c r="AZ545" s="471"/>
      <c r="BA545" s="471">
        <f>(COUNTIF(AI545:AK545,"*OK*")*3) + (COUNTIF(AL545:AN545,"*OK*")*2) + COUNTIF(AO545:AQ545,"*OK*")+COUNTIF(AZ545:AZ545,"SI")*0.5</f>
        <v>0</v>
      </c>
      <c r="BB545" s="471" t="str">
        <f>IF(BA545&lt;0.6,"Demasiado Riesgo",IF(BA545&lt;=5,"Riesgo Medio",IF(BA545&lt;=11,"Riesgo Bajo","Cliente Blindado")))</f>
        <v>Demasiado Riesgo</v>
      </c>
      <c r="BC545" s="471"/>
      <c r="BD545" s="471"/>
      <c r="BE545" s="471"/>
      <c r="BF545" s="471"/>
      <c r="BG545" s="471"/>
      <c r="BH545" s="471"/>
      <c r="BI545" s="471"/>
      <c r="BJ545" s="471"/>
      <c r="BK545" s="471"/>
      <c r="BL545" s="471"/>
      <c r="BM545" s="471"/>
      <c r="BN545" s="471"/>
      <c r="BO545" s="471"/>
      <c r="BP545" s="471"/>
      <c r="BQ545" s="471"/>
      <c r="BR545" s="471"/>
      <c r="BS545" s="471"/>
      <c r="BT545" s="471"/>
      <c r="BU545" s="471"/>
      <c r="BV545" s="471"/>
      <c r="BW545" s="471"/>
      <c r="BX545" s="471"/>
      <c r="BY545" s="471"/>
      <c r="BZ545" s="471"/>
      <c r="CA545" s="471">
        <f>COUNTIF(AI545:AW545,"*OK*")</f>
        <v>0</v>
      </c>
    </row>
    <row r="546" spans="1:79" ht="15" customHeight="1">
      <c r="A546" s="449"/>
      <c r="B546" s="450"/>
      <c r="C546" s="512"/>
      <c r="D546" s="450">
        <f>COUNTIF(AM546:AX546,"OK")</f>
        <v>0</v>
      </c>
      <c r="E546" s="450"/>
      <c r="F546" s="450"/>
      <c r="G546" s="450"/>
      <c r="H546" s="454"/>
      <c r="I546" s="454"/>
      <c r="J546" s="450"/>
      <c r="K546" s="501"/>
      <c r="L546" s="450"/>
      <c r="M546" s="450"/>
      <c r="N546" s="466"/>
      <c r="O546" s="514"/>
      <c r="P546" s="502"/>
      <c r="Q546" s="502"/>
      <c r="R546" s="503"/>
      <c r="S546" s="504"/>
      <c r="T546" s="505"/>
      <c r="U546" s="449"/>
      <c r="V546" s="496" t="s">
        <v>59</v>
      </c>
      <c r="W546" s="450"/>
      <c r="X546" s="465"/>
      <c r="Y546" s="465"/>
      <c r="Z546" s="466"/>
      <c r="AA546" s="496" t="s">
        <v>59</v>
      </c>
      <c r="AB546" s="454"/>
      <c r="AC546" s="450"/>
      <c r="AD546" s="450"/>
      <c r="AE546" s="450"/>
      <c r="AF546" s="450"/>
      <c r="AG546" s="450"/>
      <c r="AH546" s="450"/>
      <c r="AY546" s="406">
        <f t="shared" si="2"/>
        <v>0</v>
      </c>
      <c r="AZ546" s="450"/>
      <c r="BA546" s="450">
        <f>(COUNTIF(AI546:AK546,"*OK*")*3) + (COUNTIF(AL546:AN546,"*OK*")*2) + COUNTIF(AO546:AQ546,"*OK*")+COUNTIF(AZ546:AZ546,"SI")*0.5</f>
        <v>0</v>
      </c>
      <c r="BB546" s="450" t="str">
        <f>IF(BA546&lt;0.6,"Demasiado Riesgo",IF(BA546&lt;=5,"Riesgo Medio",IF(BA546&lt;=11,"Riesgo Bajo","Cliente Blindado")))</f>
        <v>Demasiado Riesgo</v>
      </c>
      <c r="BC546" s="450"/>
      <c r="BD546" s="450"/>
      <c r="BE546" s="450"/>
      <c r="BF546" s="450"/>
      <c r="BG546" s="450"/>
      <c r="BH546" s="450"/>
      <c r="BI546" s="450"/>
      <c r="BJ546" s="450"/>
      <c r="BK546" s="450"/>
      <c r="BL546" s="450"/>
      <c r="BM546" s="450"/>
      <c r="BN546" s="450"/>
      <c r="BO546" s="450"/>
      <c r="BP546" s="450"/>
      <c r="BQ546" s="450"/>
      <c r="BR546" s="450"/>
      <c r="BS546" s="450"/>
      <c r="BT546" s="450"/>
      <c r="BU546" s="450"/>
      <c r="BV546" s="450"/>
      <c r="BW546" s="450"/>
      <c r="BX546" s="450"/>
      <c r="BY546" s="450"/>
      <c r="BZ546" s="450"/>
      <c r="CA546" s="450">
        <f>COUNTIF(AI546:AW546,"*OK*")</f>
        <v>0</v>
      </c>
    </row>
    <row r="547" spans="1:79" ht="15" customHeight="1">
      <c r="A547" s="470"/>
      <c r="B547" s="471"/>
      <c r="C547" s="511"/>
      <c r="D547" s="471">
        <f>COUNTIF(AM547:AX547,"OK")</f>
        <v>0</v>
      </c>
      <c r="E547" s="471"/>
      <c r="F547" s="471"/>
      <c r="G547" s="471"/>
      <c r="H547" s="474"/>
      <c r="I547" s="474"/>
      <c r="J547" s="471"/>
      <c r="K547" s="491"/>
      <c r="L547" s="471"/>
      <c r="M547" s="471"/>
      <c r="N547" s="484"/>
      <c r="O547" s="513"/>
      <c r="P547" s="507"/>
      <c r="Q547" s="507"/>
      <c r="R547" s="508"/>
      <c r="S547" s="509"/>
      <c r="T547" s="510"/>
      <c r="U547" s="470"/>
      <c r="V547" s="494" t="s">
        <v>59</v>
      </c>
      <c r="W547" s="471"/>
      <c r="X547" s="483"/>
      <c r="Y547" s="483"/>
      <c r="Z547" s="484"/>
      <c r="AA547" s="494" t="s">
        <v>59</v>
      </c>
      <c r="AB547" s="474"/>
      <c r="AC547" s="471"/>
      <c r="AD547" s="471"/>
      <c r="AE547" s="471"/>
      <c r="AF547" s="471"/>
      <c r="AG547" s="471"/>
      <c r="AH547" s="471"/>
      <c r="AY547" s="406">
        <f t="shared" si="2"/>
        <v>0</v>
      </c>
      <c r="AZ547" s="471"/>
      <c r="BA547" s="471">
        <f>(COUNTIF(AI547:AK547,"*OK*")*3) + (COUNTIF(AL547:AN547,"*OK*")*2) + COUNTIF(AO547:AQ547,"*OK*")+COUNTIF(AZ547:AZ547,"SI")*0.5</f>
        <v>0</v>
      </c>
      <c r="BB547" s="471" t="str">
        <f>IF(BA547&lt;0.6,"Demasiado Riesgo",IF(BA547&lt;=5,"Riesgo Medio",IF(BA547&lt;=11,"Riesgo Bajo","Cliente Blindado")))</f>
        <v>Demasiado Riesgo</v>
      </c>
      <c r="BC547" s="471"/>
      <c r="BD547" s="471"/>
      <c r="BE547" s="471"/>
      <c r="BF547" s="471"/>
      <c r="BG547" s="471"/>
      <c r="BH547" s="471"/>
      <c r="BI547" s="471"/>
      <c r="BJ547" s="471"/>
      <c r="BK547" s="471"/>
      <c r="BL547" s="471"/>
      <c r="BM547" s="471"/>
      <c r="BN547" s="471"/>
      <c r="BO547" s="471"/>
      <c r="BP547" s="471"/>
      <c r="BQ547" s="471"/>
      <c r="BR547" s="471"/>
      <c r="BS547" s="471"/>
      <c r="BT547" s="471"/>
      <c r="BU547" s="471"/>
      <c r="BV547" s="471"/>
      <c r="BW547" s="471"/>
      <c r="BX547" s="471"/>
      <c r="BY547" s="471"/>
      <c r="BZ547" s="471"/>
      <c r="CA547" s="471">
        <f>COUNTIF(AI547:AW547,"*OK*")</f>
        <v>0</v>
      </c>
    </row>
    <row r="548" spans="1:79" ht="15" customHeight="1">
      <c r="A548" s="449"/>
      <c r="B548" s="450"/>
      <c r="C548" s="512"/>
      <c r="D548" s="450">
        <f>COUNTIF(AM548:AX548,"OK")</f>
        <v>0</v>
      </c>
      <c r="E548" s="450"/>
      <c r="F548" s="450"/>
      <c r="G548" s="450"/>
      <c r="H548" s="454"/>
      <c r="I548" s="454"/>
      <c r="J548" s="450"/>
      <c r="K548" s="501"/>
      <c r="L548" s="450"/>
      <c r="M548" s="450"/>
      <c r="N548" s="466"/>
      <c r="O548" s="514"/>
      <c r="P548" s="502"/>
      <c r="Q548" s="502"/>
      <c r="R548" s="503"/>
      <c r="S548" s="504"/>
      <c r="T548" s="505"/>
      <c r="U548" s="449"/>
      <c r="V548" s="496" t="s">
        <v>59</v>
      </c>
      <c r="W548" s="450"/>
      <c r="X548" s="465"/>
      <c r="Y548" s="465"/>
      <c r="Z548" s="466"/>
      <c r="AA548" s="496" t="s">
        <v>59</v>
      </c>
      <c r="AB548" s="454"/>
      <c r="AC548" s="450"/>
      <c r="AD548" s="450"/>
      <c r="AE548" s="450"/>
      <c r="AF548" s="450"/>
      <c r="AG548" s="450"/>
      <c r="AH548" s="450"/>
      <c r="AY548" s="406">
        <f t="shared" si="2"/>
        <v>0</v>
      </c>
      <c r="AZ548" s="450"/>
      <c r="BA548" s="450">
        <f>(COUNTIF(AI548:AK548,"*OK*")*3) + (COUNTIF(AL548:AN548,"*OK*")*2) + COUNTIF(AO548:AQ548,"*OK*")+COUNTIF(AZ548:AZ548,"SI")*0.5</f>
        <v>0</v>
      </c>
      <c r="BB548" s="450" t="str">
        <f>IF(BA548&lt;0.6,"Demasiado Riesgo",IF(BA548&lt;=5,"Riesgo Medio",IF(BA548&lt;=11,"Riesgo Bajo","Cliente Blindado")))</f>
        <v>Demasiado Riesgo</v>
      </c>
      <c r="BC548" s="450"/>
      <c r="BD548" s="450"/>
      <c r="BE548" s="450"/>
      <c r="BF548" s="450"/>
      <c r="BG548" s="450"/>
      <c r="BH548" s="450"/>
      <c r="BI548" s="450"/>
      <c r="BJ548" s="450"/>
      <c r="BK548" s="450"/>
      <c r="BL548" s="450"/>
      <c r="BM548" s="450"/>
      <c r="BN548" s="450"/>
      <c r="BO548" s="450"/>
      <c r="BP548" s="450"/>
      <c r="BQ548" s="450"/>
      <c r="BR548" s="450"/>
      <c r="BS548" s="450"/>
      <c r="BT548" s="450"/>
      <c r="BU548" s="450"/>
      <c r="BV548" s="450"/>
      <c r="BW548" s="450"/>
      <c r="BX548" s="450"/>
      <c r="BY548" s="450"/>
      <c r="BZ548" s="450"/>
      <c r="CA548" s="450">
        <f>COUNTIF(AI548:AW548,"*OK*")</f>
        <v>0</v>
      </c>
    </row>
    <row r="549" spans="1:79" ht="15" customHeight="1">
      <c r="A549" s="470"/>
      <c r="B549" s="471"/>
      <c r="C549" s="511"/>
      <c r="D549" s="471">
        <f>COUNTIF(AM549:AX549,"OK")</f>
        <v>0</v>
      </c>
      <c r="E549" s="471"/>
      <c r="F549" s="471"/>
      <c r="G549" s="471"/>
      <c r="H549" s="474"/>
      <c r="I549" s="474"/>
      <c r="J549" s="471"/>
      <c r="K549" s="491"/>
      <c r="L549" s="471"/>
      <c r="M549" s="471"/>
      <c r="N549" s="484"/>
      <c r="O549" s="513"/>
      <c r="P549" s="507"/>
      <c r="Q549" s="507"/>
      <c r="R549" s="508"/>
      <c r="S549" s="509"/>
      <c r="T549" s="510"/>
      <c r="U549" s="470"/>
      <c r="V549" s="494" t="s">
        <v>59</v>
      </c>
      <c r="W549" s="471"/>
      <c r="X549" s="483"/>
      <c r="Y549" s="483"/>
      <c r="Z549" s="484"/>
      <c r="AA549" s="494" t="s">
        <v>59</v>
      </c>
      <c r="AB549" s="474"/>
      <c r="AC549" s="471"/>
      <c r="AD549" s="471"/>
      <c r="AE549" s="471"/>
      <c r="AF549" s="471"/>
      <c r="AG549" s="471"/>
      <c r="AH549" s="471"/>
      <c r="AY549" s="406">
        <f t="shared" si="2"/>
        <v>0</v>
      </c>
      <c r="AZ549" s="471"/>
      <c r="BA549" s="471">
        <f>(COUNTIF(AI549:AK549,"*OK*")*3) + (COUNTIF(AL549:AN549,"*OK*")*2) + COUNTIF(AO549:AQ549,"*OK*")+COUNTIF(AZ549:AZ549,"SI")*0.5</f>
        <v>0</v>
      </c>
      <c r="BB549" s="471" t="str">
        <f>IF(BA549&lt;0.6,"Demasiado Riesgo",IF(BA549&lt;=5,"Riesgo Medio",IF(BA549&lt;=11,"Riesgo Bajo","Cliente Blindado")))</f>
        <v>Demasiado Riesgo</v>
      </c>
      <c r="BC549" s="471"/>
      <c r="BD549" s="471"/>
      <c r="BE549" s="471"/>
      <c r="BF549" s="471"/>
      <c r="BG549" s="471"/>
      <c r="BH549" s="471"/>
      <c r="BI549" s="471"/>
      <c r="BJ549" s="471"/>
      <c r="BK549" s="471"/>
      <c r="BL549" s="471"/>
      <c r="BM549" s="471"/>
      <c r="BN549" s="471"/>
      <c r="BO549" s="471"/>
      <c r="BP549" s="471"/>
      <c r="BQ549" s="471"/>
      <c r="BR549" s="471"/>
      <c r="BS549" s="471"/>
      <c r="BT549" s="471"/>
      <c r="BU549" s="471"/>
      <c r="BV549" s="471"/>
      <c r="BW549" s="471"/>
      <c r="BX549" s="471"/>
      <c r="BY549" s="471"/>
      <c r="BZ549" s="471"/>
      <c r="CA549" s="471">
        <f>COUNTIF(AI549:AW549,"*OK*")</f>
        <v>0</v>
      </c>
    </row>
    <row r="550" spans="1:79" ht="15" customHeight="1">
      <c r="A550" s="449"/>
      <c r="B550" s="450"/>
      <c r="C550" s="512"/>
      <c r="D550" s="450">
        <f>COUNTIF(AM550:AX550,"OK")</f>
        <v>0</v>
      </c>
      <c r="E550" s="450"/>
      <c r="F550" s="450"/>
      <c r="G550" s="450"/>
      <c r="H550" s="454"/>
      <c r="I550" s="454"/>
      <c r="J550" s="450"/>
      <c r="K550" s="501"/>
      <c r="L550" s="450"/>
      <c r="M550" s="450"/>
      <c r="N550" s="466"/>
      <c r="O550" s="514"/>
      <c r="P550" s="502"/>
      <c r="Q550" s="502"/>
      <c r="R550" s="503"/>
      <c r="S550" s="504"/>
      <c r="T550" s="505"/>
      <c r="U550" s="449"/>
      <c r="V550" s="496" t="s">
        <v>59</v>
      </c>
      <c r="W550" s="450"/>
      <c r="X550" s="465"/>
      <c r="Y550" s="465"/>
      <c r="Z550" s="466"/>
      <c r="AA550" s="496" t="s">
        <v>59</v>
      </c>
      <c r="AB550" s="454"/>
      <c r="AC550" s="450"/>
      <c r="AD550" s="450"/>
      <c r="AE550" s="450"/>
      <c r="AF550" s="450"/>
      <c r="AG550" s="450"/>
      <c r="AH550" s="450"/>
      <c r="AY550" s="406">
        <f t="shared" si="2"/>
        <v>0</v>
      </c>
      <c r="AZ550" s="450"/>
      <c r="BA550" s="450">
        <f>(COUNTIF(AI550:AK550,"*OK*")*3) + (COUNTIF(AL550:AN550,"*OK*")*2) + COUNTIF(AO550:AQ550,"*OK*")+COUNTIF(AZ550:AZ550,"SI")*0.5</f>
        <v>0</v>
      </c>
      <c r="BB550" s="450" t="str">
        <f>IF(BA550&lt;0.6,"Demasiado Riesgo",IF(BA550&lt;=5,"Riesgo Medio",IF(BA550&lt;=11,"Riesgo Bajo","Cliente Blindado")))</f>
        <v>Demasiado Riesgo</v>
      </c>
      <c r="BC550" s="450"/>
      <c r="BD550" s="450"/>
      <c r="BE550" s="450"/>
      <c r="BF550" s="450"/>
      <c r="BG550" s="450"/>
      <c r="BH550" s="450"/>
      <c r="BI550" s="450"/>
      <c r="BJ550" s="450"/>
      <c r="BK550" s="450"/>
      <c r="BL550" s="450"/>
      <c r="BM550" s="450"/>
      <c r="BN550" s="450"/>
      <c r="BO550" s="450"/>
      <c r="BP550" s="450"/>
      <c r="BQ550" s="450"/>
      <c r="BR550" s="450"/>
      <c r="BS550" s="450"/>
      <c r="BT550" s="450"/>
      <c r="BU550" s="450"/>
      <c r="BV550" s="450"/>
      <c r="BW550" s="450"/>
      <c r="BX550" s="450"/>
      <c r="BY550" s="450"/>
      <c r="BZ550" s="450"/>
      <c r="CA550" s="450">
        <f>COUNTIF(AI550:AW550,"*OK*")</f>
        <v>0</v>
      </c>
    </row>
    <row r="551" spans="1:79" ht="15" customHeight="1">
      <c r="A551" s="470"/>
      <c r="B551" s="471"/>
      <c r="C551" s="511"/>
      <c r="D551" s="471">
        <f>COUNTIF(AM551:AX551,"OK")</f>
        <v>0</v>
      </c>
      <c r="E551" s="471"/>
      <c r="F551" s="471"/>
      <c r="G551" s="471"/>
      <c r="H551" s="474"/>
      <c r="I551" s="474"/>
      <c r="J551" s="471"/>
      <c r="K551" s="491"/>
      <c r="L551" s="471"/>
      <c r="M551" s="471"/>
      <c r="N551" s="484"/>
      <c r="O551" s="513"/>
      <c r="P551" s="507"/>
      <c r="Q551" s="507"/>
      <c r="R551" s="508"/>
      <c r="S551" s="509"/>
      <c r="T551" s="510"/>
      <c r="U551" s="470"/>
      <c r="V551" s="494" t="s">
        <v>59</v>
      </c>
      <c r="W551" s="471"/>
      <c r="X551" s="483"/>
      <c r="Y551" s="483"/>
      <c r="Z551" s="484"/>
      <c r="AA551" s="494" t="s">
        <v>59</v>
      </c>
      <c r="AB551" s="474"/>
      <c r="AC551" s="471"/>
      <c r="AD551" s="471"/>
      <c r="AE551" s="471"/>
      <c r="AF551" s="471"/>
      <c r="AG551" s="471"/>
      <c r="AH551" s="471"/>
      <c r="AY551" s="406">
        <f t="shared" si="2"/>
        <v>0</v>
      </c>
      <c r="AZ551" s="471"/>
      <c r="BA551" s="471">
        <f>(COUNTIF(AI551:AK551,"*OK*")*3) + (COUNTIF(AL551:AN551,"*OK*")*2) + COUNTIF(AO551:AQ551,"*OK*")+COUNTIF(AZ551:AZ551,"SI")*0.5</f>
        <v>0</v>
      </c>
      <c r="BB551" s="471" t="str">
        <f>IF(BA551&lt;0.6,"Demasiado Riesgo",IF(BA551&lt;=5,"Riesgo Medio",IF(BA551&lt;=11,"Riesgo Bajo","Cliente Blindado")))</f>
        <v>Demasiado Riesgo</v>
      </c>
      <c r="BC551" s="471"/>
      <c r="BD551" s="471"/>
      <c r="BE551" s="471"/>
      <c r="BF551" s="471"/>
      <c r="BG551" s="471"/>
      <c r="BH551" s="471"/>
      <c r="BI551" s="471"/>
      <c r="BJ551" s="471"/>
      <c r="BK551" s="471"/>
      <c r="BL551" s="471"/>
      <c r="BM551" s="471"/>
      <c r="BN551" s="471"/>
      <c r="BO551" s="471"/>
      <c r="BP551" s="471"/>
      <c r="BQ551" s="471"/>
      <c r="BR551" s="471"/>
      <c r="BS551" s="471"/>
      <c r="BT551" s="471"/>
      <c r="BU551" s="471"/>
      <c r="BV551" s="471"/>
      <c r="BW551" s="471"/>
      <c r="BX551" s="471"/>
      <c r="BY551" s="471"/>
      <c r="BZ551" s="471"/>
      <c r="CA551" s="471">
        <f>COUNTIF(AI551:AW551,"*OK*")</f>
        <v>0</v>
      </c>
    </row>
    <row r="552" spans="1:79" ht="15" customHeight="1">
      <c r="A552" s="449"/>
      <c r="B552" s="450"/>
      <c r="C552" s="512"/>
      <c r="D552" s="450">
        <f>COUNTIF(AM552:AX552,"OK")</f>
        <v>0</v>
      </c>
      <c r="E552" s="450"/>
      <c r="F552" s="450"/>
      <c r="G552" s="450"/>
      <c r="H552" s="454"/>
      <c r="I552" s="454"/>
      <c r="J552" s="450"/>
      <c r="K552" s="501"/>
      <c r="L552" s="450"/>
      <c r="M552" s="450"/>
      <c r="N552" s="466"/>
      <c r="O552" s="514"/>
      <c r="P552" s="502"/>
      <c r="Q552" s="502"/>
      <c r="R552" s="503"/>
      <c r="S552" s="504"/>
      <c r="T552" s="505"/>
      <c r="U552" s="449"/>
      <c r="V552" s="496" t="s">
        <v>59</v>
      </c>
      <c r="W552" s="450"/>
      <c r="X552" s="465"/>
      <c r="Y552" s="465"/>
      <c r="Z552" s="466"/>
      <c r="AA552" s="496" t="s">
        <v>59</v>
      </c>
      <c r="AB552" s="454"/>
      <c r="AC552" s="450"/>
      <c r="AD552" s="450"/>
      <c r="AE552" s="450"/>
      <c r="AF552" s="450"/>
      <c r="AG552" s="450"/>
      <c r="AH552" s="450"/>
      <c r="AY552" s="406">
        <f t="shared" si="2"/>
        <v>0</v>
      </c>
      <c r="AZ552" s="450"/>
      <c r="BA552" s="450">
        <f>(COUNTIF(AI552:AK552,"*OK*")*3) + (COUNTIF(AL552:AN552,"*OK*")*2) + COUNTIF(AO552:AQ552,"*OK*")+COUNTIF(AZ552:AZ552,"SI")*0.5</f>
        <v>0</v>
      </c>
      <c r="BB552" s="450" t="str">
        <f>IF(BA552&lt;0.6,"Demasiado Riesgo",IF(BA552&lt;=5,"Riesgo Medio",IF(BA552&lt;=11,"Riesgo Bajo","Cliente Blindado")))</f>
        <v>Demasiado Riesgo</v>
      </c>
      <c r="BC552" s="450"/>
      <c r="BD552" s="450"/>
      <c r="BE552" s="450"/>
      <c r="BF552" s="450"/>
      <c r="BG552" s="450"/>
      <c r="BH552" s="450"/>
      <c r="BI552" s="450"/>
      <c r="BJ552" s="450"/>
      <c r="BK552" s="450"/>
      <c r="BL552" s="450"/>
      <c r="BM552" s="450"/>
      <c r="BN552" s="450"/>
      <c r="BO552" s="450"/>
      <c r="BP552" s="450"/>
      <c r="BQ552" s="450"/>
      <c r="BR552" s="450"/>
      <c r="BS552" s="450"/>
      <c r="BT552" s="450"/>
      <c r="BU552" s="450"/>
      <c r="BV552" s="450"/>
      <c r="BW552" s="450"/>
      <c r="BX552" s="450"/>
      <c r="BY552" s="450"/>
      <c r="BZ552" s="450"/>
      <c r="CA552" s="450">
        <f>COUNTIF(AI552:AW552,"*OK*")</f>
        <v>0</v>
      </c>
    </row>
    <row r="553" spans="1:79" ht="15" customHeight="1">
      <c r="A553" s="470"/>
      <c r="B553" s="471"/>
      <c r="C553" s="511"/>
      <c r="D553" s="471">
        <f>COUNTIF(AM553:AX553,"OK")</f>
        <v>0</v>
      </c>
      <c r="E553" s="471"/>
      <c r="F553" s="471"/>
      <c r="G553" s="471"/>
      <c r="H553" s="474"/>
      <c r="I553" s="474"/>
      <c r="J553" s="471"/>
      <c r="K553" s="491"/>
      <c r="L553" s="471"/>
      <c r="M553" s="471"/>
      <c r="N553" s="484"/>
      <c r="O553" s="513"/>
      <c r="P553" s="507"/>
      <c r="Q553" s="507"/>
      <c r="R553" s="508"/>
      <c r="S553" s="509"/>
      <c r="T553" s="510"/>
      <c r="U553" s="470"/>
      <c r="V553" s="494" t="s">
        <v>59</v>
      </c>
      <c r="W553" s="471"/>
      <c r="X553" s="483"/>
      <c r="Y553" s="483"/>
      <c r="Z553" s="484"/>
      <c r="AA553" s="494" t="s">
        <v>59</v>
      </c>
      <c r="AB553" s="474"/>
      <c r="AC553" s="471"/>
      <c r="AD553" s="471"/>
      <c r="AE553" s="471"/>
      <c r="AF553" s="471"/>
      <c r="AG553" s="471"/>
      <c r="AH553" s="471"/>
      <c r="AY553" s="406">
        <f t="shared" si="2"/>
        <v>0</v>
      </c>
      <c r="AZ553" s="471"/>
      <c r="BA553" s="471">
        <f>(COUNTIF(AI553:AK553,"*OK*")*3) + (COUNTIF(AL553:AN553,"*OK*")*2) + COUNTIF(AO553:AQ553,"*OK*")+COUNTIF(AZ553:AZ553,"SI")*0.5</f>
        <v>0</v>
      </c>
      <c r="BB553" s="471" t="str">
        <f>IF(BA553&lt;0.6,"Demasiado Riesgo",IF(BA553&lt;=5,"Riesgo Medio",IF(BA553&lt;=11,"Riesgo Bajo","Cliente Blindado")))</f>
        <v>Demasiado Riesgo</v>
      </c>
      <c r="BC553" s="471"/>
      <c r="BD553" s="471"/>
      <c r="BE553" s="471"/>
      <c r="BF553" s="471"/>
      <c r="BG553" s="471"/>
      <c r="BH553" s="471"/>
      <c r="BI553" s="471"/>
      <c r="BJ553" s="471"/>
      <c r="BK553" s="471"/>
      <c r="BL553" s="471"/>
      <c r="BM553" s="471"/>
      <c r="BN553" s="471"/>
      <c r="BO553" s="471"/>
      <c r="BP553" s="471"/>
      <c r="BQ553" s="471"/>
      <c r="BR553" s="471"/>
      <c r="BS553" s="471"/>
      <c r="BT553" s="471"/>
      <c r="BU553" s="471"/>
      <c r="BV553" s="471"/>
      <c r="BW553" s="471"/>
      <c r="BX553" s="471"/>
      <c r="BY553" s="471"/>
      <c r="BZ553" s="471"/>
      <c r="CA553" s="471">
        <f>COUNTIF(AI553:AW553,"*OK*")</f>
        <v>0</v>
      </c>
    </row>
    <row r="554" spans="1:79" ht="15" customHeight="1">
      <c r="A554" s="449"/>
      <c r="B554" s="450"/>
      <c r="C554" s="512"/>
      <c r="D554" s="450">
        <f>COUNTIF(AM554:AX554,"OK")</f>
        <v>0</v>
      </c>
      <c r="E554" s="450"/>
      <c r="F554" s="450"/>
      <c r="G554" s="450"/>
      <c r="H554" s="454"/>
      <c r="I554" s="454"/>
      <c r="J554" s="450"/>
      <c r="K554" s="501"/>
      <c r="L554" s="450"/>
      <c r="M554" s="450"/>
      <c r="N554" s="466"/>
      <c r="O554" s="514"/>
      <c r="P554" s="502"/>
      <c r="Q554" s="502"/>
      <c r="R554" s="503"/>
      <c r="S554" s="504"/>
      <c r="T554" s="505"/>
      <c r="U554" s="449"/>
      <c r="V554" s="496" t="s">
        <v>59</v>
      </c>
      <c r="W554" s="450"/>
      <c r="X554" s="465"/>
      <c r="Y554" s="465"/>
      <c r="Z554" s="466"/>
      <c r="AA554" s="496" t="s">
        <v>59</v>
      </c>
      <c r="AB554" s="454"/>
      <c r="AC554" s="450"/>
      <c r="AD554" s="450"/>
      <c r="AE554" s="450"/>
      <c r="AF554" s="450"/>
      <c r="AG554" s="450"/>
      <c r="AH554" s="450"/>
      <c r="AY554" s="406">
        <f t="shared" si="2"/>
        <v>0</v>
      </c>
      <c r="AZ554" s="450"/>
      <c r="BA554" s="450">
        <f>(COUNTIF(AI554:AK554,"*OK*")*3) + (COUNTIF(AL554:AN554,"*OK*")*2) + COUNTIF(AO554:AQ554,"*OK*")+COUNTIF(AZ554:AZ554,"SI")*0.5</f>
        <v>0</v>
      </c>
      <c r="BB554" s="450" t="str">
        <f>IF(BA554&lt;0.6,"Demasiado Riesgo",IF(BA554&lt;=5,"Riesgo Medio",IF(BA554&lt;=11,"Riesgo Bajo","Cliente Blindado")))</f>
        <v>Demasiado Riesgo</v>
      </c>
      <c r="BC554" s="450"/>
      <c r="BD554" s="450"/>
      <c r="BE554" s="450"/>
      <c r="BF554" s="450"/>
      <c r="BG554" s="450"/>
      <c r="BH554" s="450"/>
      <c r="BI554" s="450"/>
      <c r="BJ554" s="450"/>
      <c r="BK554" s="450"/>
      <c r="BL554" s="450"/>
      <c r="BM554" s="450"/>
      <c r="BN554" s="450"/>
      <c r="BO554" s="450"/>
      <c r="BP554" s="450"/>
      <c r="BQ554" s="450"/>
      <c r="BR554" s="450"/>
      <c r="BS554" s="450"/>
      <c r="BT554" s="450"/>
      <c r="BU554" s="450"/>
      <c r="BV554" s="450"/>
      <c r="BW554" s="450"/>
      <c r="BX554" s="450"/>
      <c r="BY554" s="450"/>
      <c r="BZ554" s="450"/>
      <c r="CA554" s="450">
        <f>COUNTIF(AI554:AW554,"*OK*")</f>
        <v>0</v>
      </c>
    </row>
    <row r="555" spans="1:79" ht="15" customHeight="1">
      <c r="A555" s="470"/>
      <c r="B555" s="471"/>
      <c r="C555" s="511"/>
      <c r="D555" s="471">
        <f>COUNTIF(AM555:AX555,"OK")</f>
        <v>0</v>
      </c>
      <c r="E555" s="471"/>
      <c r="F555" s="471"/>
      <c r="G555" s="471"/>
      <c r="H555" s="474"/>
      <c r="I555" s="474"/>
      <c r="J555" s="471"/>
      <c r="K555" s="491"/>
      <c r="L555" s="471"/>
      <c r="M555" s="471"/>
      <c r="N555" s="484"/>
      <c r="O555" s="513"/>
      <c r="P555" s="507"/>
      <c r="Q555" s="507"/>
      <c r="R555" s="508"/>
      <c r="S555" s="509"/>
      <c r="T555" s="510"/>
      <c r="U555" s="470"/>
      <c r="V555" s="494" t="s">
        <v>59</v>
      </c>
      <c r="W555" s="471"/>
      <c r="X555" s="483"/>
      <c r="Y555" s="483"/>
      <c r="Z555" s="484"/>
      <c r="AA555" s="494" t="s">
        <v>59</v>
      </c>
      <c r="AB555" s="474"/>
      <c r="AC555" s="471"/>
      <c r="AD555" s="471"/>
      <c r="AE555" s="471"/>
      <c r="AF555" s="471"/>
      <c r="AG555" s="471"/>
      <c r="AH555" s="471"/>
      <c r="AY555" s="406">
        <f t="shared" si="2"/>
        <v>0</v>
      </c>
      <c r="AZ555" s="471"/>
      <c r="BA555" s="471">
        <f>(COUNTIF(AI555:AK555,"*OK*")*3) + (COUNTIF(AL555:AN555,"*OK*")*2) + COUNTIF(AO555:AQ555,"*OK*")+COUNTIF(AZ555:AZ555,"SI")*0.5</f>
        <v>0</v>
      </c>
      <c r="BB555" s="471" t="str">
        <f>IF(BA555&lt;0.6,"Demasiado Riesgo",IF(BA555&lt;=5,"Riesgo Medio",IF(BA555&lt;=11,"Riesgo Bajo","Cliente Blindado")))</f>
        <v>Demasiado Riesgo</v>
      </c>
      <c r="BC555" s="471"/>
      <c r="BD555" s="471"/>
      <c r="BE555" s="471"/>
      <c r="BF555" s="471"/>
      <c r="BG555" s="471"/>
      <c r="BH555" s="471"/>
      <c r="BI555" s="471"/>
      <c r="BJ555" s="471"/>
      <c r="BK555" s="471"/>
      <c r="BL555" s="471"/>
      <c r="BM555" s="471"/>
      <c r="BN555" s="471"/>
      <c r="BO555" s="471"/>
      <c r="BP555" s="471"/>
      <c r="BQ555" s="471"/>
      <c r="BR555" s="471"/>
      <c r="BS555" s="471"/>
      <c r="BT555" s="471"/>
      <c r="BU555" s="471"/>
      <c r="BV555" s="471"/>
      <c r="BW555" s="471"/>
      <c r="BX555" s="471"/>
      <c r="BY555" s="471"/>
      <c r="BZ555" s="471"/>
      <c r="CA555" s="471">
        <f>COUNTIF(AI555:AW555,"*OK*")</f>
        <v>0</v>
      </c>
    </row>
    <row r="556" spans="1:79" ht="15" customHeight="1">
      <c r="A556" s="449"/>
      <c r="B556" s="450"/>
      <c r="C556" s="512"/>
      <c r="D556" s="450">
        <f>COUNTIF(AM556:AX556,"OK")</f>
        <v>0</v>
      </c>
      <c r="E556" s="450"/>
      <c r="F556" s="450"/>
      <c r="G556" s="450"/>
      <c r="H556" s="454"/>
      <c r="I556" s="454"/>
      <c r="J556" s="450"/>
      <c r="K556" s="501"/>
      <c r="L556" s="450"/>
      <c r="M556" s="450"/>
      <c r="N556" s="466"/>
      <c r="O556" s="514"/>
      <c r="P556" s="502"/>
      <c r="Q556" s="502"/>
      <c r="R556" s="503"/>
      <c r="S556" s="504"/>
      <c r="T556" s="505"/>
      <c r="U556" s="449"/>
      <c r="V556" s="496" t="s">
        <v>59</v>
      </c>
      <c r="W556" s="450"/>
      <c r="X556" s="465"/>
      <c r="Y556" s="465"/>
      <c r="Z556" s="466"/>
      <c r="AA556" s="496" t="s">
        <v>59</v>
      </c>
      <c r="AB556" s="454"/>
      <c r="AC556" s="450"/>
      <c r="AD556" s="450"/>
      <c r="AE556" s="450"/>
      <c r="AF556" s="450"/>
      <c r="AG556" s="450"/>
      <c r="AH556" s="450"/>
      <c r="AY556" s="406">
        <f t="shared" si="2"/>
        <v>0</v>
      </c>
      <c r="AZ556" s="450"/>
      <c r="BA556" s="450">
        <f>(COUNTIF(AI556:AK556,"*OK*")*3) + (COUNTIF(AL556:AN556,"*OK*")*2) + COUNTIF(AO556:AQ556,"*OK*")+COUNTIF(AZ556:AZ556,"SI")*0.5</f>
        <v>0</v>
      </c>
      <c r="BB556" s="450" t="str">
        <f>IF(BA556&lt;0.6,"Demasiado Riesgo",IF(BA556&lt;=5,"Riesgo Medio",IF(BA556&lt;=11,"Riesgo Bajo","Cliente Blindado")))</f>
        <v>Demasiado Riesgo</v>
      </c>
      <c r="BC556" s="450"/>
      <c r="BD556" s="450"/>
      <c r="BE556" s="450"/>
      <c r="BF556" s="450"/>
      <c r="BG556" s="450"/>
      <c r="BH556" s="450"/>
      <c r="BI556" s="450"/>
      <c r="BJ556" s="450"/>
      <c r="BK556" s="450"/>
      <c r="BL556" s="450"/>
      <c r="BM556" s="450"/>
      <c r="BN556" s="450"/>
      <c r="BO556" s="450"/>
      <c r="BP556" s="450"/>
      <c r="BQ556" s="450"/>
      <c r="BR556" s="450"/>
      <c r="BS556" s="450"/>
      <c r="BT556" s="450"/>
      <c r="BU556" s="450"/>
      <c r="BV556" s="450"/>
      <c r="BW556" s="450"/>
      <c r="BX556" s="450"/>
      <c r="BY556" s="450"/>
      <c r="BZ556" s="450"/>
      <c r="CA556" s="450">
        <f>COUNTIF(AI556:AW556,"*OK*")</f>
        <v>0</v>
      </c>
    </row>
    <row r="557" spans="1:79" ht="15" customHeight="1">
      <c r="A557" s="470"/>
      <c r="B557" s="471"/>
      <c r="C557" s="511"/>
      <c r="D557" s="471">
        <f>COUNTIF(AM557:AX557,"OK")</f>
        <v>0</v>
      </c>
      <c r="E557" s="471"/>
      <c r="F557" s="471"/>
      <c r="G557" s="471"/>
      <c r="H557" s="474"/>
      <c r="I557" s="474"/>
      <c r="J557" s="471"/>
      <c r="K557" s="491"/>
      <c r="L557" s="471"/>
      <c r="M557" s="471"/>
      <c r="N557" s="484"/>
      <c r="O557" s="513"/>
      <c r="P557" s="507"/>
      <c r="Q557" s="507"/>
      <c r="R557" s="508"/>
      <c r="S557" s="509"/>
      <c r="T557" s="510"/>
      <c r="U557" s="470"/>
      <c r="V557" s="494" t="s">
        <v>59</v>
      </c>
      <c r="W557" s="471"/>
      <c r="X557" s="483"/>
      <c r="Y557" s="483"/>
      <c r="Z557" s="484"/>
      <c r="AA557" s="494" t="s">
        <v>59</v>
      </c>
      <c r="AB557" s="474"/>
      <c r="AC557" s="471"/>
      <c r="AD557" s="471"/>
      <c r="AE557" s="471"/>
      <c r="AF557" s="471"/>
      <c r="AG557" s="471"/>
      <c r="AH557" s="471"/>
      <c r="AY557" s="406">
        <f t="shared" si="2"/>
        <v>0</v>
      </c>
      <c r="AZ557" s="471"/>
      <c r="BA557" s="471">
        <f>(COUNTIF(AI557:AK557,"*OK*")*3) + (COUNTIF(AL557:AN557,"*OK*")*2) + COUNTIF(AO557:AQ557,"*OK*")+COUNTIF(AZ557:AZ557,"SI")*0.5</f>
        <v>0</v>
      </c>
      <c r="BB557" s="471" t="str">
        <f>IF(BA557&lt;0.6,"Demasiado Riesgo",IF(BA557&lt;=5,"Riesgo Medio",IF(BA557&lt;=11,"Riesgo Bajo","Cliente Blindado")))</f>
        <v>Demasiado Riesgo</v>
      </c>
      <c r="BC557" s="471"/>
      <c r="BD557" s="471"/>
      <c r="BE557" s="471"/>
      <c r="BF557" s="471"/>
      <c r="BG557" s="471"/>
      <c r="BH557" s="471"/>
      <c r="BI557" s="471"/>
      <c r="BJ557" s="471"/>
      <c r="BK557" s="471"/>
      <c r="BL557" s="471"/>
      <c r="BM557" s="471"/>
      <c r="BN557" s="471"/>
      <c r="BO557" s="471"/>
      <c r="BP557" s="471"/>
      <c r="BQ557" s="471"/>
      <c r="BR557" s="471"/>
      <c r="BS557" s="471"/>
      <c r="BT557" s="471"/>
      <c r="BU557" s="471"/>
      <c r="BV557" s="471"/>
      <c r="BW557" s="471"/>
      <c r="BX557" s="471"/>
      <c r="BY557" s="471"/>
      <c r="BZ557" s="471"/>
      <c r="CA557" s="471">
        <f>COUNTIF(AI557:AW557,"*OK*")</f>
        <v>0</v>
      </c>
    </row>
    <row r="558" spans="1:79" ht="15" customHeight="1">
      <c r="A558" s="449"/>
      <c r="B558" s="450"/>
      <c r="C558" s="512"/>
      <c r="D558" s="450">
        <f>COUNTIF(AM558:AX558,"OK")</f>
        <v>0</v>
      </c>
      <c r="E558" s="450"/>
      <c r="F558" s="450"/>
      <c r="G558" s="450"/>
      <c r="H558" s="454"/>
      <c r="I558" s="454"/>
      <c r="J558" s="450"/>
      <c r="K558" s="501"/>
      <c r="L558" s="450"/>
      <c r="M558" s="450"/>
      <c r="N558" s="466"/>
      <c r="O558" s="514"/>
      <c r="P558" s="502"/>
      <c r="Q558" s="502"/>
      <c r="R558" s="503"/>
      <c r="S558" s="504"/>
      <c r="T558" s="505"/>
      <c r="U558" s="449"/>
      <c r="V558" s="496" t="s">
        <v>59</v>
      </c>
      <c r="W558" s="450"/>
      <c r="X558" s="465"/>
      <c r="Y558" s="465"/>
      <c r="Z558" s="466"/>
      <c r="AA558" s="496" t="s">
        <v>59</v>
      </c>
      <c r="AB558" s="454"/>
      <c r="AC558" s="450"/>
      <c r="AD558" s="450"/>
      <c r="AE558" s="450"/>
      <c r="AF558" s="450"/>
      <c r="AG558" s="450"/>
      <c r="AH558" s="450"/>
      <c r="AY558" s="406">
        <f t="shared" si="2"/>
        <v>0</v>
      </c>
      <c r="AZ558" s="450"/>
      <c r="BA558" s="450">
        <f>(COUNTIF(AI558:AK558,"*OK*")*3) + (COUNTIF(AL558:AN558,"*OK*")*2) + COUNTIF(AO558:AQ558,"*OK*")+COUNTIF(AZ558:AZ558,"SI")*0.5</f>
        <v>0</v>
      </c>
      <c r="BB558" s="450" t="str">
        <f>IF(BA558&lt;0.6,"Demasiado Riesgo",IF(BA558&lt;=5,"Riesgo Medio",IF(BA558&lt;=11,"Riesgo Bajo","Cliente Blindado")))</f>
        <v>Demasiado Riesgo</v>
      </c>
      <c r="BC558" s="450"/>
      <c r="BD558" s="450"/>
      <c r="BE558" s="450"/>
      <c r="BF558" s="450"/>
      <c r="BG558" s="450"/>
      <c r="BH558" s="450"/>
      <c r="BI558" s="450"/>
      <c r="BJ558" s="450"/>
      <c r="BK558" s="450"/>
      <c r="BL558" s="450"/>
      <c r="BM558" s="450"/>
      <c r="BN558" s="450"/>
      <c r="BO558" s="450"/>
      <c r="BP558" s="450"/>
      <c r="BQ558" s="450"/>
      <c r="BR558" s="450"/>
      <c r="BS558" s="450"/>
      <c r="BT558" s="450"/>
      <c r="BU558" s="450"/>
      <c r="BV558" s="450"/>
      <c r="BW558" s="450"/>
      <c r="BX558" s="450"/>
      <c r="BY558" s="450"/>
      <c r="BZ558" s="450"/>
      <c r="CA558" s="450">
        <f>COUNTIF(AI558:AW558,"*OK*")</f>
        <v>0</v>
      </c>
    </row>
    <row r="559" spans="1:79" ht="15" customHeight="1">
      <c r="A559" s="470"/>
      <c r="B559" s="471"/>
      <c r="C559" s="511"/>
      <c r="D559" s="471">
        <f>COUNTIF(AM559:AX559,"OK")</f>
        <v>0</v>
      </c>
      <c r="E559" s="471"/>
      <c r="F559" s="471"/>
      <c r="G559" s="471"/>
      <c r="H559" s="474"/>
      <c r="I559" s="474"/>
      <c r="J559" s="471"/>
      <c r="K559" s="491"/>
      <c r="L559" s="471"/>
      <c r="M559" s="471"/>
      <c r="N559" s="484"/>
      <c r="O559" s="513"/>
      <c r="P559" s="507"/>
      <c r="Q559" s="507"/>
      <c r="R559" s="508"/>
      <c r="S559" s="509"/>
      <c r="T559" s="510"/>
      <c r="U559" s="470"/>
      <c r="V559" s="494" t="s">
        <v>59</v>
      </c>
      <c r="W559" s="471"/>
      <c r="X559" s="483"/>
      <c r="Y559" s="483"/>
      <c r="Z559" s="484"/>
      <c r="AA559" s="494" t="s">
        <v>59</v>
      </c>
      <c r="AB559" s="474"/>
      <c r="AC559" s="471"/>
      <c r="AD559" s="471"/>
      <c r="AE559" s="471"/>
      <c r="AF559" s="471"/>
      <c r="AG559" s="471"/>
      <c r="AH559" s="471"/>
      <c r="AY559" s="406">
        <f t="shared" si="2"/>
        <v>0</v>
      </c>
      <c r="AZ559" s="471"/>
      <c r="BA559" s="471">
        <f>(COUNTIF(AI559:AK559,"*OK*")*3) + (COUNTIF(AL559:AN559,"*OK*")*2) + COUNTIF(AO559:AQ559,"*OK*")+COUNTIF(AZ559:AZ559,"SI")*0.5</f>
        <v>0</v>
      </c>
      <c r="BB559" s="471" t="str">
        <f>IF(BA559&lt;0.6,"Demasiado Riesgo",IF(BA559&lt;=5,"Riesgo Medio",IF(BA559&lt;=11,"Riesgo Bajo","Cliente Blindado")))</f>
        <v>Demasiado Riesgo</v>
      </c>
      <c r="BC559" s="471"/>
      <c r="BD559" s="471"/>
      <c r="BE559" s="471"/>
      <c r="BF559" s="471"/>
      <c r="BG559" s="471"/>
      <c r="BH559" s="471"/>
      <c r="BI559" s="471"/>
      <c r="BJ559" s="471"/>
      <c r="BK559" s="471"/>
      <c r="BL559" s="471"/>
      <c r="BM559" s="471"/>
      <c r="BN559" s="471"/>
      <c r="BO559" s="471"/>
      <c r="BP559" s="471"/>
      <c r="BQ559" s="471"/>
      <c r="BR559" s="471"/>
      <c r="BS559" s="471"/>
      <c r="BT559" s="471"/>
      <c r="BU559" s="471"/>
      <c r="BV559" s="471"/>
      <c r="BW559" s="471"/>
      <c r="BX559" s="471"/>
      <c r="BY559" s="471"/>
      <c r="BZ559" s="471"/>
      <c r="CA559" s="471">
        <f>COUNTIF(AI559:AW559,"*OK*")</f>
        <v>0</v>
      </c>
    </row>
    <row r="560" spans="1:79" ht="15" customHeight="1">
      <c r="A560" s="449"/>
      <c r="B560" s="450"/>
      <c r="C560" s="512"/>
      <c r="D560" s="450">
        <f>COUNTIF(AM560:AX560,"OK")</f>
        <v>0</v>
      </c>
      <c r="E560" s="450"/>
      <c r="F560" s="450"/>
      <c r="G560" s="450"/>
      <c r="H560" s="454"/>
      <c r="I560" s="454"/>
      <c r="J560" s="450"/>
      <c r="K560" s="501"/>
      <c r="L560" s="450"/>
      <c r="M560" s="450"/>
      <c r="N560" s="466"/>
      <c r="O560" s="514"/>
      <c r="P560" s="502"/>
      <c r="Q560" s="502"/>
      <c r="R560" s="503"/>
      <c r="S560" s="504"/>
      <c r="T560" s="505"/>
      <c r="U560" s="449"/>
      <c r="V560" s="496" t="s">
        <v>59</v>
      </c>
      <c r="W560" s="450"/>
      <c r="X560" s="465"/>
      <c r="Y560" s="465"/>
      <c r="Z560" s="466"/>
      <c r="AA560" s="496" t="s">
        <v>59</v>
      </c>
      <c r="AB560" s="454"/>
      <c r="AC560" s="450"/>
      <c r="AD560" s="450"/>
      <c r="AE560" s="450"/>
      <c r="AF560" s="450"/>
      <c r="AG560" s="450"/>
      <c r="AH560" s="450"/>
      <c r="AY560" s="406">
        <f t="shared" si="2"/>
        <v>0</v>
      </c>
      <c r="AZ560" s="450"/>
      <c r="BA560" s="450">
        <f>(COUNTIF(AI560:AK560,"*OK*")*3) + (COUNTIF(AL560:AN560,"*OK*")*2) + COUNTIF(AO560:AQ560,"*OK*")+COUNTIF(AZ560:AZ560,"SI")*0.5</f>
        <v>0</v>
      </c>
      <c r="BB560" s="450" t="str">
        <f>IF(BA560&lt;0.6,"Demasiado Riesgo",IF(BA560&lt;=5,"Riesgo Medio",IF(BA560&lt;=11,"Riesgo Bajo","Cliente Blindado")))</f>
        <v>Demasiado Riesgo</v>
      </c>
      <c r="BC560" s="450"/>
      <c r="BD560" s="450"/>
      <c r="BE560" s="450"/>
      <c r="BF560" s="450"/>
      <c r="BG560" s="450"/>
      <c r="BH560" s="450"/>
      <c r="BI560" s="450"/>
      <c r="BJ560" s="450"/>
      <c r="BK560" s="450"/>
      <c r="BL560" s="450"/>
      <c r="BM560" s="450"/>
      <c r="BN560" s="450"/>
      <c r="BO560" s="450"/>
      <c r="BP560" s="450"/>
      <c r="BQ560" s="450"/>
      <c r="BR560" s="450"/>
      <c r="BS560" s="450"/>
      <c r="BT560" s="450"/>
      <c r="BU560" s="450"/>
      <c r="BV560" s="450"/>
      <c r="BW560" s="450"/>
      <c r="BX560" s="450"/>
      <c r="BY560" s="450"/>
      <c r="BZ560" s="450"/>
      <c r="CA560" s="450">
        <f>COUNTIF(AI560:AW560,"*OK*")</f>
        <v>0</v>
      </c>
    </row>
    <row r="561" spans="1:79" ht="15" customHeight="1">
      <c r="A561" s="470"/>
      <c r="B561" s="471"/>
      <c r="C561" s="511"/>
      <c r="D561" s="471">
        <f>COUNTIF(AM561:AX561,"OK")</f>
        <v>0</v>
      </c>
      <c r="E561" s="471"/>
      <c r="F561" s="471"/>
      <c r="G561" s="471"/>
      <c r="H561" s="474"/>
      <c r="I561" s="474"/>
      <c r="J561" s="471"/>
      <c r="K561" s="491"/>
      <c r="L561" s="471"/>
      <c r="M561" s="471"/>
      <c r="N561" s="484"/>
      <c r="O561" s="513"/>
      <c r="P561" s="507"/>
      <c r="Q561" s="507"/>
      <c r="R561" s="508"/>
      <c r="S561" s="509"/>
      <c r="T561" s="510"/>
      <c r="U561" s="470"/>
      <c r="V561" s="494" t="s">
        <v>59</v>
      </c>
      <c r="W561" s="471"/>
      <c r="X561" s="483"/>
      <c r="Y561" s="483"/>
      <c r="Z561" s="484"/>
      <c r="AA561" s="494" t="s">
        <v>59</v>
      </c>
      <c r="AB561" s="474"/>
      <c r="AC561" s="471"/>
      <c r="AD561" s="471"/>
      <c r="AE561" s="471"/>
      <c r="AF561" s="471"/>
      <c r="AG561" s="471"/>
      <c r="AH561" s="471"/>
      <c r="AY561" s="406">
        <f t="shared" si="2"/>
        <v>0</v>
      </c>
      <c r="AZ561" s="471"/>
      <c r="BA561" s="471">
        <f>(COUNTIF(AI561:AK561,"*OK*")*3) + (COUNTIF(AL561:AN561,"*OK*")*2) + COUNTIF(AO561:AQ561,"*OK*")+COUNTIF(AZ561:AZ561,"SI")*0.5</f>
        <v>0</v>
      </c>
      <c r="BB561" s="471" t="str">
        <f>IF(BA561&lt;0.6,"Demasiado Riesgo",IF(BA561&lt;=5,"Riesgo Medio",IF(BA561&lt;=11,"Riesgo Bajo","Cliente Blindado")))</f>
        <v>Demasiado Riesgo</v>
      </c>
      <c r="BC561" s="471"/>
      <c r="BD561" s="471"/>
      <c r="BE561" s="471"/>
      <c r="BF561" s="471"/>
      <c r="BG561" s="471"/>
      <c r="BH561" s="471"/>
      <c r="BI561" s="471"/>
      <c r="BJ561" s="471"/>
      <c r="BK561" s="471"/>
      <c r="BL561" s="471"/>
      <c r="BM561" s="471"/>
      <c r="BN561" s="471"/>
      <c r="BO561" s="471"/>
      <c r="BP561" s="471"/>
      <c r="BQ561" s="471"/>
      <c r="BR561" s="471"/>
      <c r="BS561" s="471"/>
      <c r="BT561" s="471"/>
      <c r="BU561" s="471"/>
      <c r="BV561" s="471"/>
      <c r="BW561" s="471"/>
      <c r="BX561" s="471"/>
      <c r="BY561" s="471"/>
      <c r="BZ561" s="471"/>
      <c r="CA561" s="471">
        <f>COUNTIF(AI561:AW561,"*OK*")</f>
        <v>0</v>
      </c>
    </row>
    <row r="562" spans="1:79" ht="15" customHeight="1">
      <c r="A562" s="449"/>
      <c r="B562" s="450"/>
      <c r="C562" s="512"/>
      <c r="D562" s="450">
        <f>COUNTIF(AM562:AX562,"OK")</f>
        <v>0</v>
      </c>
      <c r="E562" s="450"/>
      <c r="F562" s="450"/>
      <c r="G562" s="450"/>
      <c r="H562" s="454"/>
      <c r="I562" s="454"/>
      <c r="J562" s="450"/>
      <c r="K562" s="501"/>
      <c r="L562" s="450"/>
      <c r="M562" s="450"/>
      <c r="N562" s="466"/>
      <c r="O562" s="514"/>
      <c r="P562" s="502"/>
      <c r="Q562" s="502"/>
      <c r="R562" s="503"/>
      <c r="S562" s="504"/>
      <c r="T562" s="505"/>
      <c r="U562" s="449"/>
      <c r="V562" s="496" t="s">
        <v>59</v>
      </c>
      <c r="W562" s="450"/>
      <c r="X562" s="465"/>
      <c r="Y562" s="465"/>
      <c r="Z562" s="466"/>
      <c r="AA562" s="496" t="s">
        <v>59</v>
      </c>
      <c r="AB562" s="454"/>
      <c r="AC562" s="450"/>
      <c r="AD562" s="450"/>
      <c r="AE562" s="450"/>
      <c r="AF562" s="450"/>
      <c r="AG562" s="450"/>
      <c r="AH562" s="450"/>
      <c r="AY562" s="406">
        <f t="shared" si="2"/>
        <v>0</v>
      </c>
      <c r="AZ562" s="450"/>
      <c r="BA562" s="450">
        <f>(COUNTIF(AI562:AK562,"*OK*")*3) + (COUNTIF(AL562:AN562,"*OK*")*2) + COUNTIF(AO562:AQ562,"*OK*")+COUNTIF(AZ562:AZ562,"SI")*0.5</f>
        <v>0</v>
      </c>
      <c r="BB562" s="450" t="str">
        <f>IF(BA562&lt;0.6,"Demasiado Riesgo",IF(BA562&lt;=5,"Riesgo Medio",IF(BA562&lt;=11,"Riesgo Bajo","Cliente Blindado")))</f>
        <v>Demasiado Riesgo</v>
      </c>
      <c r="BC562" s="450"/>
      <c r="BD562" s="450"/>
      <c r="BE562" s="450"/>
      <c r="BF562" s="450"/>
      <c r="BG562" s="450"/>
      <c r="BH562" s="450"/>
      <c r="BI562" s="450"/>
      <c r="BJ562" s="450"/>
      <c r="BK562" s="450"/>
      <c r="BL562" s="450"/>
      <c r="BM562" s="450"/>
      <c r="BN562" s="450"/>
      <c r="BO562" s="450"/>
      <c r="BP562" s="450"/>
      <c r="BQ562" s="450"/>
      <c r="BR562" s="450"/>
      <c r="BS562" s="450"/>
      <c r="BT562" s="450"/>
      <c r="BU562" s="450"/>
      <c r="BV562" s="450"/>
      <c r="BW562" s="450"/>
      <c r="BX562" s="450"/>
      <c r="BY562" s="450"/>
      <c r="BZ562" s="450"/>
      <c r="CA562" s="450">
        <f>COUNTIF(AI562:AW562,"*OK*")</f>
        <v>0</v>
      </c>
    </row>
    <row r="563" spans="1:79" ht="15" customHeight="1">
      <c r="A563" s="470"/>
      <c r="B563" s="471"/>
      <c r="C563" s="511"/>
      <c r="D563" s="471">
        <f>COUNTIF(AM563:AX563,"OK")</f>
        <v>0</v>
      </c>
      <c r="E563" s="471"/>
      <c r="F563" s="471"/>
      <c r="G563" s="471"/>
      <c r="H563" s="474"/>
      <c r="I563" s="474"/>
      <c r="J563" s="471"/>
      <c r="K563" s="491"/>
      <c r="L563" s="471"/>
      <c r="M563" s="471"/>
      <c r="N563" s="484"/>
      <c r="O563" s="513"/>
      <c r="P563" s="507"/>
      <c r="Q563" s="507"/>
      <c r="R563" s="508"/>
      <c r="S563" s="509"/>
      <c r="T563" s="510"/>
      <c r="U563" s="470"/>
      <c r="V563" s="494" t="s">
        <v>59</v>
      </c>
      <c r="W563" s="471"/>
      <c r="X563" s="483"/>
      <c r="Y563" s="483"/>
      <c r="Z563" s="484"/>
      <c r="AA563" s="494" t="s">
        <v>59</v>
      </c>
      <c r="AB563" s="474"/>
      <c r="AC563" s="471"/>
      <c r="AD563" s="471"/>
      <c r="AE563" s="471"/>
      <c r="AF563" s="471"/>
      <c r="AG563" s="471"/>
      <c r="AH563" s="471"/>
      <c r="AY563" s="406">
        <f t="shared" si="2"/>
        <v>0</v>
      </c>
      <c r="AZ563" s="471"/>
      <c r="BA563" s="471">
        <f>(COUNTIF(AI563:AK563,"*OK*")*3) + (COUNTIF(AL563:AN563,"*OK*")*2) + COUNTIF(AO563:AQ563,"*OK*")+COUNTIF(AZ563:AZ563,"SI")*0.5</f>
        <v>0</v>
      </c>
      <c r="BB563" s="471" t="str">
        <f>IF(BA563&lt;0.6,"Demasiado Riesgo",IF(BA563&lt;=5,"Riesgo Medio",IF(BA563&lt;=11,"Riesgo Bajo","Cliente Blindado")))</f>
        <v>Demasiado Riesgo</v>
      </c>
      <c r="BC563" s="471"/>
      <c r="BD563" s="471"/>
      <c r="BE563" s="471"/>
      <c r="BF563" s="471"/>
      <c r="BG563" s="471"/>
      <c r="BH563" s="471"/>
      <c r="BI563" s="471"/>
      <c r="BJ563" s="471"/>
      <c r="BK563" s="471"/>
      <c r="BL563" s="471"/>
      <c r="BM563" s="471"/>
      <c r="BN563" s="471"/>
      <c r="BO563" s="471"/>
      <c r="BP563" s="471"/>
      <c r="BQ563" s="471"/>
      <c r="BR563" s="471"/>
      <c r="BS563" s="471"/>
      <c r="BT563" s="471"/>
      <c r="BU563" s="471"/>
      <c r="BV563" s="471"/>
      <c r="BW563" s="471"/>
      <c r="BX563" s="471"/>
      <c r="BY563" s="471"/>
      <c r="BZ563" s="471"/>
      <c r="CA563" s="471">
        <f>COUNTIF(AI563:AW563,"*OK*")</f>
        <v>0</v>
      </c>
    </row>
    <row r="564" spans="1:79" ht="15" customHeight="1">
      <c r="A564" s="449"/>
      <c r="B564" s="450"/>
      <c r="C564" s="512"/>
      <c r="D564" s="450">
        <f>COUNTIF(AM564:AX564,"OK")</f>
        <v>0</v>
      </c>
      <c r="E564" s="450"/>
      <c r="F564" s="450"/>
      <c r="G564" s="450"/>
      <c r="H564" s="454"/>
      <c r="I564" s="454"/>
      <c r="J564" s="450"/>
      <c r="K564" s="501"/>
      <c r="L564" s="450"/>
      <c r="M564" s="450"/>
      <c r="N564" s="466"/>
      <c r="O564" s="514"/>
      <c r="P564" s="502"/>
      <c r="Q564" s="502"/>
      <c r="R564" s="503"/>
      <c r="S564" s="504"/>
      <c r="T564" s="505"/>
      <c r="U564" s="449"/>
      <c r="V564" s="496" t="s">
        <v>59</v>
      </c>
      <c r="W564" s="450"/>
      <c r="X564" s="465"/>
      <c r="Y564" s="465"/>
      <c r="Z564" s="466"/>
      <c r="AA564" s="496" t="s">
        <v>59</v>
      </c>
      <c r="AB564" s="454"/>
      <c r="AC564" s="450"/>
      <c r="AD564" s="450"/>
      <c r="AE564" s="450"/>
      <c r="AF564" s="450"/>
      <c r="AG564" s="450"/>
      <c r="AH564" s="450"/>
      <c r="AY564" s="406">
        <f t="shared" si="2"/>
        <v>0</v>
      </c>
      <c r="AZ564" s="450"/>
      <c r="BA564" s="450">
        <f>(COUNTIF(AI564:AK564,"*OK*")*3) + (COUNTIF(AL564:AN564,"*OK*")*2) + COUNTIF(AO564:AQ564,"*OK*")+COUNTIF(AZ564:AZ564,"SI")*0.5</f>
        <v>0</v>
      </c>
      <c r="BB564" s="450" t="str">
        <f>IF(BA564&lt;0.6,"Demasiado Riesgo",IF(BA564&lt;=5,"Riesgo Medio",IF(BA564&lt;=11,"Riesgo Bajo","Cliente Blindado")))</f>
        <v>Demasiado Riesgo</v>
      </c>
      <c r="BC564" s="450"/>
      <c r="BD564" s="450"/>
      <c r="BE564" s="450"/>
      <c r="BF564" s="450"/>
      <c r="BG564" s="450"/>
      <c r="BH564" s="450"/>
      <c r="BI564" s="450"/>
      <c r="BJ564" s="450"/>
      <c r="BK564" s="450"/>
      <c r="BL564" s="450"/>
      <c r="BM564" s="450"/>
      <c r="BN564" s="450"/>
      <c r="BO564" s="450"/>
      <c r="BP564" s="450"/>
      <c r="BQ564" s="450"/>
      <c r="BR564" s="450"/>
      <c r="BS564" s="450"/>
      <c r="BT564" s="450"/>
      <c r="BU564" s="450"/>
      <c r="BV564" s="450"/>
      <c r="BW564" s="450"/>
      <c r="BX564" s="450"/>
      <c r="BY564" s="450"/>
      <c r="BZ564" s="450"/>
      <c r="CA564" s="450">
        <f>COUNTIF(AI564:AW564,"*OK*")</f>
        <v>0</v>
      </c>
    </row>
    <row r="565" spans="1:79" ht="15" customHeight="1">
      <c r="A565" s="470"/>
      <c r="B565" s="471"/>
      <c r="C565" s="511"/>
      <c r="D565" s="471">
        <f>COUNTIF(AM565:AX565,"OK")</f>
        <v>0</v>
      </c>
      <c r="E565" s="471"/>
      <c r="F565" s="471"/>
      <c r="G565" s="471"/>
      <c r="H565" s="474"/>
      <c r="I565" s="474"/>
      <c r="J565" s="471"/>
      <c r="K565" s="491"/>
      <c r="L565" s="471"/>
      <c r="M565" s="471"/>
      <c r="N565" s="484"/>
      <c r="O565" s="513"/>
      <c r="P565" s="507"/>
      <c r="Q565" s="507"/>
      <c r="R565" s="508"/>
      <c r="S565" s="509"/>
      <c r="T565" s="510"/>
      <c r="U565" s="470"/>
      <c r="V565" s="494" t="s">
        <v>59</v>
      </c>
      <c r="W565" s="471"/>
      <c r="X565" s="483"/>
      <c r="Y565" s="483"/>
      <c r="Z565" s="484"/>
      <c r="AA565" s="494" t="s">
        <v>59</v>
      </c>
      <c r="AB565" s="474"/>
      <c r="AC565" s="471"/>
      <c r="AD565" s="471"/>
      <c r="AE565" s="471"/>
      <c r="AF565" s="471"/>
      <c r="AG565" s="471"/>
      <c r="AH565" s="471"/>
      <c r="AY565" s="406">
        <f t="shared" si="2"/>
        <v>0</v>
      </c>
      <c r="AZ565" s="471"/>
      <c r="BA565" s="471">
        <f>(COUNTIF(AI565:AK565,"*OK*")*3) + (COUNTIF(AL565:AN565,"*OK*")*2) + COUNTIF(AO565:AQ565,"*OK*")+COUNTIF(AZ565:AZ565,"SI")*0.5</f>
        <v>0</v>
      </c>
      <c r="BB565" s="471" t="str">
        <f>IF(BA565&lt;0.6,"Demasiado Riesgo",IF(BA565&lt;=5,"Riesgo Medio",IF(BA565&lt;=11,"Riesgo Bajo","Cliente Blindado")))</f>
        <v>Demasiado Riesgo</v>
      </c>
      <c r="BC565" s="471"/>
      <c r="BD565" s="471"/>
      <c r="BE565" s="471"/>
      <c r="BF565" s="471"/>
      <c r="BG565" s="471"/>
      <c r="BH565" s="471"/>
      <c r="BI565" s="471"/>
      <c r="BJ565" s="471"/>
      <c r="BK565" s="471"/>
      <c r="BL565" s="471"/>
      <c r="BM565" s="471"/>
      <c r="BN565" s="471"/>
      <c r="BO565" s="471"/>
      <c r="BP565" s="471"/>
      <c r="BQ565" s="471"/>
      <c r="BR565" s="471"/>
      <c r="BS565" s="471"/>
      <c r="BT565" s="471"/>
      <c r="BU565" s="471"/>
      <c r="BV565" s="471"/>
      <c r="BW565" s="471"/>
      <c r="BX565" s="471"/>
      <c r="BY565" s="471"/>
      <c r="BZ565" s="471"/>
      <c r="CA565" s="471">
        <f>COUNTIF(AI565:AW565,"*OK*")</f>
        <v>0</v>
      </c>
    </row>
    <row r="566" spans="1:79" ht="15" customHeight="1">
      <c r="A566" s="449"/>
      <c r="B566" s="450"/>
      <c r="C566" s="512"/>
      <c r="D566" s="450">
        <f>COUNTIF(AM566:AX566,"OK")</f>
        <v>0</v>
      </c>
      <c r="E566" s="450"/>
      <c r="F566" s="450"/>
      <c r="G566" s="450"/>
      <c r="H566" s="454"/>
      <c r="I566" s="454"/>
      <c r="J566" s="450"/>
      <c r="K566" s="501"/>
      <c r="L566" s="450"/>
      <c r="M566" s="450"/>
      <c r="N566" s="466"/>
      <c r="O566" s="514"/>
      <c r="P566" s="502"/>
      <c r="Q566" s="502"/>
      <c r="R566" s="503"/>
      <c r="S566" s="504"/>
      <c r="T566" s="505"/>
      <c r="U566" s="449"/>
      <c r="V566" s="496" t="s">
        <v>59</v>
      </c>
      <c r="W566" s="450"/>
      <c r="X566" s="465"/>
      <c r="Y566" s="465"/>
      <c r="Z566" s="466"/>
      <c r="AA566" s="496" t="s">
        <v>59</v>
      </c>
      <c r="AB566" s="454"/>
      <c r="AC566" s="450"/>
      <c r="AD566" s="450"/>
      <c r="AE566" s="450"/>
      <c r="AF566" s="450"/>
      <c r="AG566" s="450"/>
      <c r="AH566" s="450"/>
      <c r="AY566" s="406">
        <f t="shared" si="2"/>
        <v>0</v>
      </c>
      <c r="AZ566" s="450"/>
      <c r="BA566" s="450">
        <f>(COUNTIF(AI566:AK566,"*OK*")*3) + (COUNTIF(AL566:AN566,"*OK*")*2) + COUNTIF(AO566:AQ566,"*OK*")+COUNTIF(AZ566:AZ566,"SI")*0.5</f>
        <v>0</v>
      </c>
      <c r="BB566" s="450" t="str">
        <f>IF(BA566&lt;0.6,"Demasiado Riesgo",IF(BA566&lt;=5,"Riesgo Medio",IF(BA566&lt;=11,"Riesgo Bajo","Cliente Blindado")))</f>
        <v>Demasiado Riesgo</v>
      </c>
      <c r="BC566" s="450"/>
      <c r="BD566" s="450"/>
      <c r="BE566" s="450"/>
      <c r="BF566" s="450"/>
      <c r="BG566" s="450"/>
      <c r="BH566" s="450"/>
      <c r="BI566" s="450"/>
      <c r="BJ566" s="450"/>
      <c r="BK566" s="450"/>
      <c r="BL566" s="450"/>
      <c r="BM566" s="450"/>
      <c r="BN566" s="450"/>
      <c r="BO566" s="450"/>
      <c r="BP566" s="450"/>
      <c r="BQ566" s="450"/>
      <c r="BR566" s="450"/>
      <c r="BS566" s="450"/>
      <c r="BT566" s="450"/>
      <c r="BU566" s="450"/>
      <c r="BV566" s="450"/>
      <c r="BW566" s="450"/>
      <c r="BX566" s="450"/>
      <c r="BY566" s="450"/>
      <c r="BZ566" s="450"/>
      <c r="CA566" s="450">
        <f>COUNTIF(AI566:AW566,"*OK*")</f>
        <v>0</v>
      </c>
    </row>
    <row r="567" spans="1:79" ht="15" customHeight="1">
      <c r="A567" s="470"/>
      <c r="B567" s="471"/>
      <c r="C567" s="511"/>
      <c r="D567" s="471">
        <f>COUNTIF(AM567:AX567,"OK")</f>
        <v>0</v>
      </c>
      <c r="E567" s="471"/>
      <c r="F567" s="471"/>
      <c r="G567" s="471"/>
      <c r="H567" s="474"/>
      <c r="I567" s="474"/>
      <c r="J567" s="471"/>
      <c r="K567" s="491"/>
      <c r="L567" s="471"/>
      <c r="M567" s="471"/>
      <c r="N567" s="484"/>
      <c r="O567" s="513"/>
      <c r="P567" s="507"/>
      <c r="Q567" s="507"/>
      <c r="R567" s="508"/>
      <c r="S567" s="509"/>
      <c r="T567" s="510"/>
      <c r="U567" s="470"/>
      <c r="V567" s="494" t="s">
        <v>59</v>
      </c>
      <c r="W567" s="471"/>
      <c r="X567" s="483"/>
      <c r="Y567" s="483"/>
      <c r="Z567" s="484"/>
      <c r="AA567" s="494" t="s">
        <v>59</v>
      </c>
      <c r="AB567" s="474"/>
      <c r="AC567" s="471"/>
      <c r="AD567" s="471"/>
      <c r="AE567" s="471"/>
      <c r="AF567" s="471"/>
      <c r="AG567" s="471"/>
      <c r="AH567" s="471"/>
      <c r="AY567" s="406">
        <f t="shared" si="2"/>
        <v>0</v>
      </c>
      <c r="AZ567" s="471"/>
      <c r="BA567" s="471">
        <f>(COUNTIF(AI567:AK567,"*OK*")*3) + (COUNTIF(AL567:AN567,"*OK*")*2) + COUNTIF(AO567:AQ567,"*OK*")+COUNTIF(AZ567:AZ567,"SI")*0.5</f>
        <v>0</v>
      </c>
      <c r="BB567" s="471" t="str">
        <f>IF(BA567&lt;0.6,"Demasiado Riesgo",IF(BA567&lt;=5,"Riesgo Medio",IF(BA567&lt;=11,"Riesgo Bajo","Cliente Blindado")))</f>
        <v>Demasiado Riesgo</v>
      </c>
      <c r="BC567" s="471"/>
      <c r="BD567" s="471"/>
      <c r="BE567" s="471"/>
      <c r="BF567" s="471"/>
      <c r="BG567" s="471"/>
      <c r="BH567" s="471"/>
      <c r="BI567" s="471"/>
      <c r="BJ567" s="471"/>
      <c r="BK567" s="471"/>
      <c r="BL567" s="471"/>
      <c r="BM567" s="471"/>
      <c r="BN567" s="471"/>
      <c r="BO567" s="471"/>
      <c r="BP567" s="471"/>
      <c r="BQ567" s="471"/>
      <c r="BR567" s="471"/>
      <c r="BS567" s="471"/>
      <c r="BT567" s="471"/>
      <c r="BU567" s="471"/>
      <c r="BV567" s="471"/>
      <c r="BW567" s="471"/>
      <c r="BX567" s="471"/>
      <c r="BY567" s="471"/>
      <c r="BZ567" s="471"/>
      <c r="CA567" s="471">
        <f>COUNTIF(AI567:AW567,"*OK*")</f>
        <v>0</v>
      </c>
    </row>
    <row r="568" spans="1:79" ht="15" customHeight="1">
      <c r="A568" s="449"/>
      <c r="B568" s="450"/>
      <c r="C568" s="512"/>
      <c r="D568" s="450">
        <f>COUNTIF(AM568:AX568,"OK")</f>
        <v>0</v>
      </c>
      <c r="E568" s="450"/>
      <c r="F568" s="450"/>
      <c r="G568" s="450"/>
      <c r="H568" s="454"/>
      <c r="I568" s="454"/>
      <c r="J568" s="450"/>
      <c r="K568" s="501"/>
      <c r="L568" s="450"/>
      <c r="M568" s="450"/>
      <c r="N568" s="466"/>
      <c r="O568" s="514"/>
      <c r="P568" s="502"/>
      <c r="Q568" s="502"/>
      <c r="R568" s="503"/>
      <c r="S568" s="504"/>
      <c r="T568" s="505"/>
      <c r="U568" s="449"/>
      <c r="V568" s="496" t="s">
        <v>59</v>
      </c>
      <c r="W568" s="450"/>
      <c r="X568" s="465"/>
      <c r="Y568" s="465"/>
      <c r="Z568" s="466"/>
      <c r="AA568" s="496" t="s">
        <v>59</v>
      </c>
      <c r="AB568" s="454"/>
      <c r="AC568" s="450"/>
      <c r="AD568" s="450"/>
      <c r="AE568" s="450"/>
      <c r="AF568" s="450"/>
      <c r="AG568" s="450"/>
      <c r="AH568" s="450"/>
      <c r="AY568" s="406">
        <f t="shared" si="2"/>
        <v>0</v>
      </c>
      <c r="AZ568" s="450"/>
      <c r="BA568" s="450">
        <f>(COUNTIF(AI568:AK568,"*OK*")*3) + (COUNTIF(AL568:AN568,"*OK*")*2) + COUNTIF(AO568:AQ568,"*OK*")+COUNTIF(AZ568:AZ568,"SI")*0.5</f>
        <v>0</v>
      </c>
      <c r="BB568" s="450" t="str">
        <f>IF(BA568&lt;0.6,"Demasiado Riesgo",IF(BA568&lt;=5,"Riesgo Medio",IF(BA568&lt;=11,"Riesgo Bajo","Cliente Blindado")))</f>
        <v>Demasiado Riesgo</v>
      </c>
      <c r="BC568" s="450"/>
      <c r="BD568" s="450"/>
      <c r="BE568" s="450"/>
      <c r="BF568" s="450"/>
      <c r="BG568" s="450"/>
      <c r="BH568" s="450"/>
      <c r="BI568" s="450"/>
      <c r="BJ568" s="450"/>
      <c r="BK568" s="450"/>
      <c r="BL568" s="450"/>
      <c r="BM568" s="450"/>
      <c r="BN568" s="450"/>
      <c r="BO568" s="450"/>
      <c r="BP568" s="450"/>
      <c r="BQ568" s="450"/>
      <c r="BR568" s="450"/>
      <c r="BS568" s="450"/>
      <c r="BT568" s="450"/>
      <c r="BU568" s="450"/>
      <c r="BV568" s="450"/>
      <c r="BW568" s="450"/>
      <c r="BX568" s="450"/>
      <c r="BY568" s="450"/>
      <c r="BZ568" s="450"/>
      <c r="CA568" s="450">
        <f>COUNTIF(AI568:AW568,"*OK*")</f>
        <v>0</v>
      </c>
    </row>
    <row r="569" spans="1:79" ht="15" customHeight="1">
      <c r="A569" s="470"/>
      <c r="B569" s="471"/>
      <c r="C569" s="511"/>
      <c r="D569" s="471">
        <f>COUNTIF(AM569:AX569,"OK")</f>
        <v>0</v>
      </c>
      <c r="E569" s="471"/>
      <c r="F569" s="471"/>
      <c r="G569" s="471"/>
      <c r="H569" s="474"/>
      <c r="I569" s="474"/>
      <c r="J569" s="471"/>
      <c r="K569" s="491"/>
      <c r="L569" s="471"/>
      <c r="M569" s="471"/>
      <c r="N569" s="484"/>
      <c r="O569" s="513"/>
      <c r="P569" s="507"/>
      <c r="Q569" s="507"/>
      <c r="R569" s="508"/>
      <c r="S569" s="509"/>
      <c r="T569" s="510"/>
      <c r="U569" s="470"/>
      <c r="V569" s="494" t="s">
        <v>59</v>
      </c>
      <c r="W569" s="471"/>
      <c r="X569" s="483"/>
      <c r="Y569" s="483"/>
      <c r="Z569" s="484"/>
      <c r="AA569" s="494" t="s">
        <v>59</v>
      </c>
      <c r="AB569" s="474"/>
      <c r="AC569" s="471"/>
      <c r="AD569" s="471"/>
      <c r="AE569" s="471"/>
      <c r="AF569" s="471"/>
      <c r="AG569" s="471"/>
      <c r="AH569" s="471"/>
      <c r="AY569" s="406">
        <f t="shared" si="2"/>
        <v>0</v>
      </c>
      <c r="AZ569" s="471"/>
      <c r="BA569" s="471">
        <f>(COUNTIF(AI569:AK569,"*OK*")*3) + (COUNTIF(AL569:AN569,"*OK*")*2) + COUNTIF(AO569:AQ569,"*OK*")+COUNTIF(AZ569:AZ569,"SI")*0.5</f>
        <v>0</v>
      </c>
      <c r="BB569" s="471" t="str">
        <f>IF(BA569&lt;0.6,"Demasiado Riesgo",IF(BA569&lt;=5,"Riesgo Medio",IF(BA569&lt;=11,"Riesgo Bajo","Cliente Blindado")))</f>
        <v>Demasiado Riesgo</v>
      </c>
      <c r="BC569" s="471"/>
      <c r="BD569" s="471"/>
      <c r="BE569" s="471"/>
      <c r="BF569" s="471"/>
      <c r="BG569" s="471"/>
      <c r="BH569" s="471"/>
      <c r="BI569" s="471"/>
      <c r="BJ569" s="471"/>
      <c r="BK569" s="471"/>
      <c r="BL569" s="471"/>
      <c r="BM569" s="471"/>
      <c r="BN569" s="471"/>
      <c r="BO569" s="471"/>
      <c r="BP569" s="471"/>
      <c r="BQ569" s="471"/>
      <c r="BR569" s="471"/>
      <c r="BS569" s="471"/>
      <c r="BT569" s="471"/>
      <c r="BU569" s="471"/>
      <c r="BV569" s="471"/>
      <c r="BW569" s="471"/>
      <c r="BX569" s="471"/>
      <c r="BY569" s="471"/>
      <c r="BZ569" s="471"/>
      <c r="CA569" s="471">
        <f>COUNTIF(AI569:AW569,"*OK*")</f>
        <v>0</v>
      </c>
    </row>
    <row r="570" spans="1:79" ht="15" customHeight="1">
      <c r="A570" s="449"/>
      <c r="B570" s="450"/>
      <c r="C570" s="512"/>
      <c r="D570" s="450">
        <f>COUNTIF(AM570:AX570,"OK")</f>
        <v>0</v>
      </c>
      <c r="E570" s="450"/>
      <c r="F570" s="450"/>
      <c r="G570" s="450"/>
      <c r="H570" s="454"/>
      <c r="I570" s="454"/>
      <c r="J570" s="450"/>
      <c r="K570" s="501"/>
      <c r="L570" s="450"/>
      <c r="M570" s="450"/>
      <c r="N570" s="466"/>
      <c r="O570" s="514"/>
      <c r="P570" s="502"/>
      <c r="Q570" s="502"/>
      <c r="R570" s="503"/>
      <c r="S570" s="504"/>
      <c r="T570" s="505"/>
      <c r="U570" s="449"/>
      <c r="V570" s="496" t="s">
        <v>59</v>
      </c>
      <c r="W570" s="450"/>
      <c r="X570" s="465"/>
      <c r="Y570" s="465"/>
      <c r="Z570" s="466"/>
      <c r="AA570" s="496" t="s">
        <v>59</v>
      </c>
      <c r="AB570" s="454"/>
      <c r="AC570" s="450"/>
      <c r="AD570" s="450"/>
      <c r="AE570" s="450"/>
      <c r="AF570" s="450"/>
      <c r="AG570" s="450"/>
      <c r="AH570" s="450"/>
      <c r="AY570" s="406">
        <f t="shared" si="2"/>
        <v>0</v>
      </c>
      <c r="AZ570" s="450"/>
      <c r="BA570" s="450">
        <f>(COUNTIF(AI570:AK570,"*OK*")*3) + (COUNTIF(AL570:AN570,"*OK*")*2) + COUNTIF(AO570:AQ570,"*OK*")+COUNTIF(AZ570:AZ570,"SI")*0.5</f>
        <v>0</v>
      </c>
      <c r="BB570" s="450" t="str">
        <f>IF(BA570&lt;0.6,"Demasiado Riesgo",IF(BA570&lt;=5,"Riesgo Medio",IF(BA570&lt;=11,"Riesgo Bajo","Cliente Blindado")))</f>
        <v>Demasiado Riesgo</v>
      </c>
      <c r="BC570" s="450"/>
      <c r="BD570" s="450"/>
      <c r="BE570" s="450"/>
      <c r="BF570" s="450"/>
      <c r="BG570" s="450"/>
      <c r="BH570" s="450"/>
      <c r="BI570" s="450"/>
      <c r="BJ570" s="450"/>
      <c r="BK570" s="450"/>
      <c r="BL570" s="450"/>
      <c r="BM570" s="450"/>
      <c r="BN570" s="450"/>
      <c r="BO570" s="450"/>
      <c r="BP570" s="450"/>
      <c r="BQ570" s="450"/>
      <c r="BR570" s="450"/>
      <c r="BS570" s="450"/>
      <c r="BT570" s="450"/>
      <c r="BU570" s="450"/>
      <c r="BV570" s="450"/>
      <c r="BW570" s="450"/>
      <c r="BX570" s="450"/>
      <c r="BY570" s="450"/>
      <c r="BZ570" s="450"/>
      <c r="CA570" s="450">
        <f>COUNTIF(AI570:AW570,"*OK*")</f>
        <v>0</v>
      </c>
    </row>
    <row r="571" spans="1:79" ht="15" customHeight="1">
      <c r="A571" s="470"/>
      <c r="B571" s="471"/>
      <c r="C571" s="511"/>
      <c r="D571" s="471">
        <f>COUNTIF(AM571:AX571,"OK")</f>
        <v>0</v>
      </c>
      <c r="E571" s="471"/>
      <c r="F571" s="471"/>
      <c r="G571" s="471"/>
      <c r="H571" s="474"/>
      <c r="I571" s="474"/>
      <c r="J571" s="471"/>
      <c r="K571" s="491"/>
      <c r="L571" s="471"/>
      <c r="M571" s="471"/>
      <c r="N571" s="484"/>
      <c r="O571" s="513"/>
      <c r="P571" s="507"/>
      <c r="Q571" s="507"/>
      <c r="R571" s="508"/>
      <c r="S571" s="509"/>
      <c r="T571" s="510"/>
      <c r="U571" s="470"/>
      <c r="V571" s="494" t="s">
        <v>59</v>
      </c>
      <c r="W571" s="471"/>
      <c r="X571" s="483"/>
      <c r="Y571" s="483"/>
      <c r="Z571" s="484"/>
      <c r="AA571" s="494" t="s">
        <v>59</v>
      </c>
      <c r="AB571" s="474"/>
      <c r="AC571" s="471"/>
      <c r="AD571" s="471"/>
      <c r="AE571" s="471"/>
      <c r="AF571" s="471"/>
      <c r="AG571" s="471"/>
      <c r="AH571" s="471"/>
      <c r="AY571" s="406">
        <f t="shared" si="2"/>
        <v>0</v>
      </c>
      <c r="AZ571" s="471"/>
      <c r="BA571" s="471">
        <f>(COUNTIF(AI571:AK571,"*OK*")*3) + (COUNTIF(AL571:AN571,"*OK*")*2) + COUNTIF(AO571:AQ571,"*OK*")+COUNTIF(AZ571:AZ571,"SI")*0.5</f>
        <v>0</v>
      </c>
      <c r="BB571" s="471" t="str">
        <f>IF(BA571&lt;0.6,"Demasiado Riesgo",IF(BA571&lt;=5,"Riesgo Medio",IF(BA571&lt;=11,"Riesgo Bajo","Cliente Blindado")))</f>
        <v>Demasiado Riesgo</v>
      </c>
      <c r="BC571" s="471"/>
      <c r="BD571" s="471"/>
      <c r="BE571" s="471"/>
      <c r="BF571" s="471"/>
      <c r="BG571" s="471"/>
      <c r="BH571" s="471"/>
      <c r="BI571" s="471"/>
      <c r="BJ571" s="471"/>
      <c r="BK571" s="471"/>
      <c r="BL571" s="471"/>
      <c r="BM571" s="471"/>
      <c r="BN571" s="471"/>
      <c r="BO571" s="471"/>
      <c r="BP571" s="471"/>
      <c r="BQ571" s="471"/>
      <c r="BR571" s="471"/>
      <c r="BS571" s="471"/>
      <c r="BT571" s="471"/>
      <c r="BU571" s="471"/>
      <c r="BV571" s="471"/>
      <c r="BW571" s="471"/>
      <c r="BX571" s="471"/>
      <c r="BY571" s="471"/>
      <c r="BZ571" s="471"/>
      <c r="CA571" s="471">
        <f>COUNTIF(AI571:AW571,"*OK*")</f>
        <v>0</v>
      </c>
    </row>
    <row r="572" spans="1:79" ht="15" customHeight="1">
      <c r="A572" s="449"/>
      <c r="B572" s="450"/>
      <c r="C572" s="512"/>
      <c r="D572" s="450">
        <f>COUNTIF(AM572:AX572,"OK")</f>
        <v>0</v>
      </c>
      <c r="E572" s="450"/>
      <c r="F572" s="450"/>
      <c r="G572" s="450"/>
      <c r="H572" s="454"/>
      <c r="I572" s="454"/>
      <c r="J572" s="450"/>
      <c r="K572" s="501"/>
      <c r="L572" s="450"/>
      <c r="M572" s="450"/>
      <c r="N572" s="466"/>
      <c r="O572" s="514"/>
      <c r="P572" s="502"/>
      <c r="Q572" s="502"/>
      <c r="R572" s="503"/>
      <c r="S572" s="504"/>
      <c r="T572" s="505"/>
      <c r="U572" s="449"/>
      <c r="V572" s="496" t="s">
        <v>59</v>
      </c>
      <c r="W572" s="450"/>
      <c r="X572" s="465"/>
      <c r="Y572" s="465"/>
      <c r="Z572" s="466"/>
      <c r="AA572" s="496" t="s">
        <v>59</v>
      </c>
      <c r="AB572" s="454"/>
      <c r="AC572" s="450"/>
      <c r="AD572" s="450"/>
      <c r="AE572" s="450"/>
      <c r="AF572" s="450"/>
      <c r="AG572" s="450"/>
      <c r="AH572" s="450"/>
      <c r="AY572" s="406">
        <f t="shared" si="2"/>
        <v>0</v>
      </c>
      <c r="AZ572" s="450"/>
      <c r="BA572" s="450">
        <f>(COUNTIF(AI572:AK572,"*OK*")*3) + (COUNTIF(AL572:AN572,"*OK*")*2) + COUNTIF(AO572:AQ572,"*OK*")+COUNTIF(AZ572:AZ572,"SI")*0.5</f>
        <v>0</v>
      </c>
      <c r="BB572" s="450" t="str">
        <f>IF(BA572&lt;0.6,"Demasiado Riesgo",IF(BA572&lt;=5,"Riesgo Medio",IF(BA572&lt;=11,"Riesgo Bajo","Cliente Blindado")))</f>
        <v>Demasiado Riesgo</v>
      </c>
      <c r="BC572" s="450"/>
      <c r="BD572" s="450"/>
      <c r="BE572" s="450"/>
      <c r="BF572" s="450"/>
      <c r="BG572" s="450"/>
      <c r="BH572" s="450"/>
      <c r="BI572" s="450"/>
      <c r="BJ572" s="450"/>
      <c r="BK572" s="450"/>
      <c r="BL572" s="450"/>
      <c r="BM572" s="450"/>
      <c r="BN572" s="450"/>
      <c r="BO572" s="450"/>
      <c r="BP572" s="450"/>
      <c r="BQ572" s="450"/>
      <c r="BR572" s="450"/>
      <c r="BS572" s="450"/>
      <c r="BT572" s="450"/>
      <c r="BU572" s="450"/>
      <c r="BV572" s="450"/>
      <c r="BW572" s="450"/>
      <c r="BX572" s="450"/>
      <c r="BY572" s="450"/>
      <c r="BZ572" s="450"/>
      <c r="CA572" s="450">
        <f>COUNTIF(AI572:AW572,"*OK*")</f>
        <v>0</v>
      </c>
    </row>
    <row r="573" spans="1:79" ht="15" customHeight="1">
      <c r="A573" s="470"/>
      <c r="B573" s="471"/>
      <c r="C573" s="511"/>
      <c r="D573" s="471">
        <f>COUNTIF(AM573:AX573,"OK")</f>
        <v>0</v>
      </c>
      <c r="E573" s="471"/>
      <c r="F573" s="471"/>
      <c r="G573" s="471"/>
      <c r="H573" s="474"/>
      <c r="I573" s="474"/>
      <c r="J573" s="471"/>
      <c r="K573" s="491"/>
      <c r="L573" s="471"/>
      <c r="M573" s="471"/>
      <c r="N573" s="484"/>
      <c r="O573" s="513"/>
      <c r="P573" s="507"/>
      <c r="Q573" s="507"/>
      <c r="R573" s="508"/>
      <c r="S573" s="509"/>
      <c r="T573" s="510"/>
      <c r="U573" s="470"/>
      <c r="V573" s="494" t="s">
        <v>59</v>
      </c>
      <c r="W573" s="471"/>
      <c r="X573" s="483"/>
      <c r="Y573" s="483"/>
      <c r="Z573" s="484"/>
      <c r="AA573" s="494" t="s">
        <v>59</v>
      </c>
      <c r="AB573" s="474"/>
      <c r="AC573" s="471"/>
      <c r="AD573" s="471"/>
      <c r="AE573" s="471"/>
      <c r="AF573" s="471"/>
      <c r="AG573" s="471"/>
      <c r="AH573" s="471"/>
      <c r="AY573" s="406">
        <f t="shared" si="2"/>
        <v>0</v>
      </c>
      <c r="AZ573" s="471"/>
      <c r="BA573" s="471">
        <f>(COUNTIF(AI573:AK573,"*OK*")*3) + (COUNTIF(AL573:AN573,"*OK*")*2) + COUNTIF(AO573:AQ573,"*OK*")+COUNTIF(AZ573:AZ573,"SI")*0.5</f>
        <v>0</v>
      </c>
      <c r="BB573" s="471" t="str">
        <f>IF(BA573&lt;0.6,"Demasiado Riesgo",IF(BA573&lt;=5,"Riesgo Medio",IF(BA573&lt;=11,"Riesgo Bajo","Cliente Blindado")))</f>
        <v>Demasiado Riesgo</v>
      </c>
      <c r="BC573" s="471"/>
      <c r="BD573" s="471"/>
      <c r="BE573" s="471"/>
      <c r="BF573" s="471"/>
      <c r="BG573" s="471"/>
      <c r="BH573" s="471"/>
      <c r="BI573" s="471"/>
      <c r="BJ573" s="471"/>
      <c r="BK573" s="471"/>
      <c r="BL573" s="471"/>
      <c r="BM573" s="471"/>
      <c r="BN573" s="471"/>
      <c r="BO573" s="471"/>
      <c r="BP573" s="471"/>
      <c r="BQ573" s="471"/>
      <c r="BR573" s="471"/>
      <c r="BS573" s="471"/>
      <c r="BT573" s="471"/>
      <c r="BU573" s="471"/>
      <c r="BV573" s="471"/>
      <c r="BW573" s="471"/>
      <c r="BX573" s="471"/>
      <c r="BY573" s="471"/>
      <c r="BZ573" s="471"/>
      <c r="CA573" s="471">
        <f>COUNTIF(AI573:AW573,"*OK*")</f>
        <v>0</v>
      </c>
    </row>
    <row r="574" spans="1:79" ht="15" customHeight="1">
      <c r="A574" s="449"/>
      <c r="B574" s="450"/>
      <c r="C574" s="512"/>
      <c r="D574" s="450">
        <f>COUNTIF(AM574:AX574,"OK")</f>
        <v>0</v>
      </c>
      <c r="E574" s="450"/>
      <c r="F574" s="450"/>
      <c r="G574" s="450"/>
      <c r="H574" s="454"/>
      <c r="I574" s="454"/>
      <c r="J574" s="450"/>
      <c r="K574" s="501"/>
      <c r="L574" s="450"/>
      <c r="M574" s="450"/>
      <c r="N574" s="466"/>
      <c r="O574" s="514"/>
      <c r="P574" s="502"/>
      <c r="Q574" s="502"/>
      <c r="R574" s="503"/>
      <c r="S574" s="504"/>
      <c r="T574" s="505"/>
      <c r="U574" s="449"/>
      <c r="V574" s="496" t="s">
        <v>59</v>
      </c>
      <c r="W574" s="450"/>
      <c r="X574" s="465"/>
      <c r="Y574" s="465"/>
      <c r="Z574" s="466"/>
      <c r="AA574" s="496" t="s">
        <v>59</v>
      </c>
      <c r="AB574" s="454"/>
      <c r="AC574" s="450"/>
      <c r="AD574" s="450"/>
      <c r="AE574" s="450"/>
      <c r="AF574" s="450"/>
      <c r="AG574" s="450"/>
      <c r="AH574" s="450"/>
      <c r="AY574" s="406">
        <f t="shared" si="2"/>
        <v>0</v>
      </c>
      <c r="AZ574" s="450"/>
      <c r="BA574" s="450">
        <f>(COUNTIF(AI574:AK574,"*OK*")*3) + (COUNTIF(AL574:AN574,"*OK*")*2) + COUNTIF(AO574:AQ574,"*OK*")+COUNTIF(AZ574:AZ574,"SI")*0.5</f>
        <v>0</v>
      </c>
      <c r="BB574" s="450" t="str">
        <f>IF(BA574&lt;0.6,"Demasiado Riesgo",IF(BA574&lt;=5,"Riesgo Medio",IF(BA574&lt;=11,"Riesgo Bajo","Cliente Blindado")))</f>
        <v>Demasiado Riesgo</v>
      </c>
      <c r="BC574" s="450"/>
      <c r="BD574" s="450"/>
      <c r="BE574" s="450"/>
      <c r="BF574" s="450"/>
      <c r="BG574" s="450"/>
      <c r="BH574" s="450"/>
      <c r="BI574" s="450"/>
      <c r="BJ574" s="450"/>
      <c r="BK574" s="450"/>
      <c r="BL574" s="450"/>
      <c r="BM574" s="450"/>
      <c r="BN574" s="450"/>
      <c r="BO574" s="450"/>
      <c r="BP574" s="450"/>
      <c r="BQ574" s="450"/>
      <c r="BR574" s="450"/>
      <c r="BS574" s="450"/>
      <c r="BT574" s="450"/>
      <c r="BU574" s="450"/>
      <c r="BV574" s="450"/>
      <c r="BW574" s="450"/>
      <c r="BX574" s="450"/>
      <c r="BY574" s="450"/>
      <c r="BZ574" s="450"/>
      <c r="CA574" s="450">
        <f>COUNTIF(AI574:AW574,"*OK*")</f>
        <v>0</v>
      </c>
    </row>
    <row r="575" spans="1:79" ht="15" customHeight="1">
      <c r="A575" s="470"/>
      <c r="B575" s="471"/>
      <c r="C575" s="511"/>
      <c r="D575" s="471">
        <f>COUNTIF(AM575:AX575,"OK")</f>
        <v>0</v>
      </c>
      <c r="E575" s="471"/>
      <c r="F575" s="471"/>
      <c r="G575" s="471"/>
      <c r="H575" s="474"/>
      <c r="I575" s="474"/>
      <c r="J575" s="471"/>
      <c r="K575" s="491"/>
      <c r="L575" s="471"/>
      <c r="M575" s="471"/>
      <c r="N575" s="484"/>
      <c r="O575" s="513"/>
      <c r="P575" s="507"/>
      <c r="Q575" s="507"/>
      <c r="R575" s="508"/>
      <c r="S575" s="509"/>
      <c r="T575" s="510"/>
      <c r="U575" s="470"/>
      <c r="V575" s="494" t="s">
        <v>59</v>
      </c>
      <c r="W575" s="471"/>
      <c r="X575" s="483"/>
      <c r="Y575" s="483"/>
      <c r="Z575" s="484"/>
      <c r="AA575" s="494" t="s">
        <v>59</v>
      </c>
      <c r="AB575" s="474"/>
      <c r="AC575" s="471"/>
      <c r="AD575" s="471"/>
      <c r="AE575" s="471"/>
      <c r="AF575" s="471"/>
      <c r="AG575" s="471"/>
      <c r="AH575" s="471"/>
      <c r="AY575" s="406">
        <f t="shared" si="2"/>
        <v>0</v>
      </c>
      <c r="AZ575" s="471"/>
      <c r="BA575" s="471">
        <f>(COUNTIF(AI575:AK575,"*OK*")*3) + (COUNTIF(AL575:AN575,"*OK*")*2) + COUNTIF(AO575:AQ575,"*OK*")+COUNTIF(AZ575:AZ575,"SI")*0.5</f>
        <v>0</v>
      </c>
      <c r="BB575" s="471" t="str">
        <f>IF(BA575&lt;0.6,"Demasiado Riesgo",IF(BA575&lt;=5,"Riesgo Medio",IF(BA575&lt;=11,"Riesgo Bajo","Cliente Blindado")))</f>
        <v>Demasiado Riesgo</v>
      </c>
      <c r="BC575" s="471"/>
      <c r="BD575" s="471"/>
      <c r="BE575" s="471"/>
      <c r="BF575" s="471"/>
      <c r="BG575" s="471"/>
      <c r="BH575" s="471"/>
      <c r="BI575" s="471"/>
      <c r="BJ575" s="471"/>
      <c r="BK575" s="471"/>
      <c r="BL575" s="471"/>
      <c r="BM575" s="471"/>
      <c r="BN575" s="471"/>
      <c r="BO575" s="471"/>
      <c r="BP575" s="471"/>
      <c r="BQ575" s="471"/>
      <c r="BR575" s="471"/>
      <c r="BS575" s="471"/>
      <c r="BT575" s="471"/>
      <c r="BU575" s="471"/>
      <c r="BV575" s="471"/>
      <c r="BW575" s="471"/>
      <c r="BX575" s="471"/>
      <c r="BY575" s="471"/>
      <c r="BZ575" s="471"/>
      <c r="CA575" s="471">
        <f>COUNTIF(AI575:AW575,"*OK*")</f>
        <v>0</v>
      </c>
    </row>
    <row r="576" spans="1:79" ht="15" customHeight="1">
      <c r="A576" s="449"/>
      <c r="B576" s="450"/>
      <c r="C576" s="512"/>
      <c r="D576" s="450">
        <f>COUNTIF(AM576:AX576,"OK")</f>
        <v>0</v>
      </c>
      <c r="E576" s="450"/>
      <c r="F576" s="450"/>
      <c r="G576" s="450"/>
      <c r="H576" s="454"/>
      <c r="I576" s="454"/>
      <c r="J576" s="450"/>
      <c r="K576" s="501"/>
      <c r="L576" s="450"/>
      <c r="M576" s="450"/>
      <c r="N576" s="466"/>
      <c r="O576" s="514"/>
      <c r="P576" s="502"/>
      <c r="Q576" s="502"/>
      <c r="R576" s="503"/>
      <c r="S576" s="504"/>
      <c r="T576" s="505"/>
      <c r="U576" s="449"/>
      <c r="V576" s="496" t="s">
        <v>59</v>
      </c>
      <c r="W576" s="450"/>
      <c r="X576" s="465"/>
      <c r="Y576" s="465"/>
      <c r="Z576" s="466"/>
      <c r="AA576" s="496" t="s">
        <v>59</v>
      </c>
      <c r="AB576" s="454"/>
      <c r="AC576" s="450"/>
      <c r="AD576" s="450"/>
      <c r="AE576" s="450"/>
      <c r="AF576" s="450"/>
      <c r="AG576" s="450"/>
      <c r="AH576" s="450"/>
      <c r="AY576" s="406">
        <f t="shared" si="2"/>
        <v>0</v>
      </c>
      <c r="AZ576" s="450"/>
      <c r="BA576" s="450">
        <f>(COUNTIF(AI576:AK576,"*OK*")*3) + (COUNTIF(AL576:AN576,"*OK*")*2) + COUNTIF(AO576:AQ576,"*OK*")+COUNTIF(AZ576:AZ576,"SI")*0.5</f>
        <v>0</v>
      </c>
      <c r="BB576" s="450" t="str">
        <f>IF(BA576&lt;0.6,"Demasiado Riesgo",IF(BA576&lt;=5,"Riesgo Medio",IF(BA576&lt;=11,"Riesgo Bajo","Cliente Blindado")))</f>
        <v>Demasiado Riesgo</v>
      </c>
      <c r="BC576" s="450"/>
      <c r="BD576" s="450"/>
      <c r="BE576" s="450"/>
      <c r="BF576" s="450"/>
      <c r="BG576" s="450"/>
      <c r="BH576" s="450"/>
      <c r="BI576" s="450"/>
      <c r="BJ576" s="450"/>
      <c r="BK576" s="450"/>
      <c r="BL576" s="450"/>
      <c r="BM576" s="450"/>
      <c r="BN576" s="450"/>
      <c r="BO576" s="450"/>
      <c r="BP576" s="450"/>
      <c r="BQ576" s="450"/>
      <c r="BR576" s="450"/>
      <c r="BS576" s="450"/>
      <c r="BT576" s="450"/>
      <c r="BU576" s="450"/>
      <c r="BV576" s="450"/>
      <c r="BW576" s="450"/>
      <c r="BX576" s="450"/>
      <c r="BY576" s="450"/>
      <c r="BZ576" s="450"/>
      <c r="CA576" s="450">
        <f>COUNTIF(AI576:AW576,"*OK*")</f>
        <v>0</v>
      </c>
    </row>
    <row r="577" spans="1:79" ht="15" customHeight="1">
      <c r="A577" s="470"/>
      <c r="B577" s="471"/>
      <c r="C577" s="511"/>
      <c r="D577" s="471">
        <f>COUNTIF(AM577:AX577,"OK")</f>
        <v>0</v>
      </c>
      <c r="E577" s="471"/>
      <c r="F577" s="471"/>
      <c r="G577" s="471"/>
      <c r="H577" s="474"/>
      <c r="I577" s="474"/>
      <c r="J577" s="471"/>
      <c r="K577" s="491"/>
      <c r="L577" s="471"/>
      <c r="M577" s="471"/>
      <c r="N577" s="484"/>
      <c r="O577" s="513"/>
      <c r="P577" s="507"/>
      <c r="Q577" s="507"/>
      <c r="R577" s="508"/>
      <c r="S577" s="509"/>
      <c r="T577" s="510"/>
      <c r="U577" s="470"/>
      <c r="V577" s="494" t="s">
        <v>59</v>
      </c>
      <c r="W577" s="471"/>
      <c r="X577" s="483"/>
      <c r="Y577" s="483"/>
      <c r="Z577" s="484"/>
      <c r="AA577" s="494" t="s">
        <v>59</v>
      </c>
      <c r="AB577" s="474"/>
      <c r="AC577" s="471"/>
      <c r="AD577" s="471"/>
      <c r="AE577" s="471"/>
      <c r="AF577" s="471"/>
      <c r="AG577" s="471"/>
      <c r="AH577" s="471"/>
      <c r="AY577" s="406">
        <f t="shared" si="2"/>
        <v>0</v>
      </c>
      <c r="AZ577" s="471"/>
      <c r="BA577" s="471">
        <f>(COUNTIF(AI577:AK577,"*OK*")*3) + (COUNTIF(AL577:AN577,"*OK*")*2) + COUNTIF(AO577:AQ577,"*OK*")+COUNTIF(AZ577:AZ577,"SI")*0.5</f>
        <v>0</v>
      </c>
      <c r="BB577" s="471" t="str">
        <f>IF(BA577&lt;0.6,"Demasiado Riesgo",IF(BA577&lt;=5,"Riesgo Medio",IF(BA577&lt;=11,"Riesgo Bajo","Cliente Blindado")))</f>
        <v>Demasiado Riesgo</v>
      </c>
      <c r="BC577" s="471"/>
      <c r="BD577" s="471"/>
      <c r="BE577" s="471"/>
      <c r="BF577" s="471"/>
      <c r="BG577" s="471"/>
      <c r="BH577" s="471"/>
      <c r="BI577" s="471"/>
      <c r="BJ577" s="471"/>
      <c r="BK577" s="471"/>
      <c r="BL577" s="471"/>
      <c r="BM577" s="471"/>
      <c r="BN577" s="471"/>
      <c r="BO577" s="471"/>
      <c r="BP577" s="471"/>
      <c r="BQ577" s="471"/>
      <c r="BR577" s="471"/>
      <c r="BS577" s="471"/>
      <c r="BT577" s="471"/>
      <c r="BU577" s="471"/>
      <c r="BV577" s="471"/>
      <c r="BW577" s="471"/>
      <c r="BX577" s="471"/>
      <c r="BY577" s="471"/>
      <c r="BZ577" s="471"/>
      <c r="CA577" s="471">
        <f>COUNTIF(AI577:AW577,"*OK*")</f>
        <v>0</v>
      </c>
    </row>
    <row r="578" spans="1:79" ht="15" customHeight="1">
      <c r="A578" s="449"/>
      <c r="B578" s="450"/>
      <c r="C578" s="512"/>
      <c r="D578" s="450">
        <f>COUNTIF(AM578:AX578,"OK")</f>
        <v>0</v>
      </c>
      <c r="E578" s="450"/>
      <c r="F578" s="450"/>
      <c r="G578" s="450"/>
      <c r="H578" s="454"/>
      <c r="I578" s="454"/>
      <c r="J578" s="450"/>
      <c r="K578" s="501"/>
      <c r="L578" s="450"/>
      <c r="M578" s="450"/>
      <c r="N578" s="466"/>
      <c r="O578" s="514"/>
      <c r="P578" s="502"/>
      <c r="Q578" s="502"/>
      <c r="R578" s="503"/>
      <c r="S578" s="504"/>
      <c r="T578" s="505"/>
      <c r="U578" s="449"/>
      <c r="V578" s="496" t="s">
        <v>59</v>
      </c>
      <c r="W578" s="450"/>
      <c r="X578" s="465"/>
      <c r="Y578" s="465"/>
      <c r="Z578" s="466"/>
      <c r="AA578" s="450"/>
      <c r="AB578" s="454"/>
      <c r="AC578" s="450"/>
      <c r="AD578" s="450"/>
      <c r="AE578" s="450"/>
      <c r="AF578" s="450"/>
      <c r="AG578" s="450"/>
      <c r="AH578" s="450"/>
      <c r="AY578" s="406">
        <f t="shared" si="2"/>
        <v>0</v>
      </c>
      <c r="AZ578" s="450"/>
      <c r="BA578" s="450">
        <f>(COUNTIF(AI578:AK578,"*OK*")*3) + (COUNTIF(AL578:AN578,"*OK*")*2) + COUNTIF(AO578:AQ578,"*OK*")+COUNTIF(AZ578:AZ578,"SI")*0.5</f>
        <v>0</v>
      </c>
      <c r="BB578" s="450" t="str">
        <f>IF(BA578&lt;0.6,"Demasiado Riesgo",IF(BA578&lt;=5,"Riesgo Medio",IF(BA578&lt;=11,"Riesgo Bajo","Cliente Blindado")))</f>
        <v>Demasiado Riesgo</v>
      </c>
      <c r="BC578" s="450"/>
      <c r="BD578" s="450"/>
      <c r="BE578" s="450"/>
      <c r="BF578" s="450"/>
      <c r="BG578" s="450"/>
      <c r="BH578" s="450"/>
      <c r="BI578" s="450"/>
      <c r="BJ578" s="450"/>
      <c r="BK578" s="450"/>
      <c r="BL578" s="450"/>
      <c r="BM578" s="450"/>
      <c r="BN578" s="450"/>
      <c r="BO578" s="450"/>
      <c r="BP578" s="450"/>
      <c r="BQ578" s="450"/>
      <c r="BR578" s="450"/>
      <c r="BS578" s="450"/>
      <c r="BT578" s="450"/>
      <c r="BU578" s="450"/>
      <c r="BV578" s="450"/>
      <c r="BW578" s="450"/>
      <c r="BX578" s="450"/>
      <c r="BY578" s="450"/>
      <c r="BZ578" s="450"/>
      <c r="CA578" s="450">
        <f>COUNTIF(AI578:AW578,"*OK*")</f>
        <v>0</v>
      </c>
    </row>
    <row r="579" spans="1:79" ht="15" customHeight="1">
      <c r="A579" s="470"/>
      <c r="B579" s="471"/>
      <c r="C579" s="511"/>
      <c r="D579" s="471"/>
      <c r="E579" s="471"/>
      <c r="F579" s="471"/>
      <c r="G579" s="471"/>
      <c r="H579" s="474"/>
      <c r="I579" s="474"/>
      <c r="J579" s="471"/>
      <c r="K579" s="491"/>
      <c r="L579" s="471"/>
      <c r="M579" s="471"/>
      <c r="N579" s="484"/>
      <c r="O579" s="513"/>
      <c r="P579" s="507"/>
      <c r="Q579" s="507"/>
      <c r="R579" s="508"/>
      <c r="S579" s="509"/>
      <c r="T579" s="510"/>
      <c r="U579" s="470"/>
      <c r="V579" s="494" t="s">
        <v>59</v>
      </c>
      <c r="W579" s="471"/>
      <c r="X579" s="483"/>
      <c r="Y579" s="483"/>
      <c r="Z579" s="484"/>
      <c r="AA579" s="471"/>
      <c r="AB579" s="474"/>
      <c r="AC579" s="471"/>
      <c r="AD579" s="471"/>
      <c r="AE579" s="471"/>
      <c r="AF579" s="471"/>
      <c r="AG579" s="471"/>
      <c r="AH579" s="471"/>
      <c r="AY579" s="406">
        <f t="shared" si="2"/>
        <v>0</v>
      </c>
      <c r="AZ579" s="471"/>
      <c r="BA579" s="471"/>
      <c r="BB579" s="471"/>
      <c r="BC579" s="471"/>
      <c r="BD579" s="471"/>
      <c r="BE579" s="471"/>
      <c r="BF579" s="471"/>
      <c r="BG579" s="471"/>
      <c r="BH579" s="471"/>
      <c r="BI579" s="471"/>
      <c r="BJ579" s="471"/>
      <c r="BK579" s="471"/>
      <c r="BL579" s="471"/>
      <c r="BM579" s="471"/>
      <c r="BN579" s="471"/>
      <c r="BO579" s="471"/>
      <c r="BP579" s="471"/>
      <c r="BQ579" s="471"/>
      <c r="BR579" s="471"/>
      <c r="BS579" s="471"/>
      <c r="BT579" s="471"/>
      <c r="BU579" s="471"/>
      <c r="BV579" s="471"/>
      <c r="BW579" s="471"/>
      <c r="BX579" s="471"/>
      <c r="BY579" s="471"/>
      <c r="BZ579" s="471"/>
      <c r="CA579" s="471">
        <f>COUNTIF(AI579:AW579,"*OK*")</f>
        <v>0</v>
      </c>
    </row>
    <row r="580" spans="1:79" ht="15" customHeight="1">
      <c r="A580" s="449"/>
      <c r="B580" s="450"/>
      <c r="C580" s="512"/>
      <c r="D580" s="450"/>
      <c r="E580" s="450"/>
      <c r="F580" s="450"/>
      <c r="G580" s="450"/>
      <c r="H580" s="454"/>
      <c r="I580" s="454"/>
      <c r="J580" s="450"/>
      <c r="K580" s="501"/>
      <c r="L580" s="450"/>
      <c r="M580" s="450"/>
      <c r="N580" s="466"/>
      <c r="O580" s="514"/>
      <c r="P580" s="502"/>
      <c r="Q580" s="502"/>
      <c r="R580" s="503"/>
      <c r="S580" s="504"/>
      <c r="T580" s="505"/>
      <c r="U580" s="449"/>
      <c r="V580" s="496" t="s">
        <v>59</v>
      </c>
      <c r="W580" s="450"/>
      <c r="X580" s="465"/>
      <c r="Y580" s="465"/>
      <c r="Z580" s="466"/>
      <c r="AA580" s="450"/>
      <c r="AB580" s="454"/>
      <c r="AC580" s="450"/>
      <c r="AD580" s="450"/>
      <c r="AE580" s="450"/>
      <c r="AF580" s="450"/>
      <c r="AG580" s="450"/>
      <c r="AH580" s="450"/>
      <c r="AY580" s="406">
        <f t="shared" ref="AY580:AY643" si="3">COUNTIF(AI580:AX580,"*OP*")</f>
        <v>0</v>
      </c>
      <c r="AZ580" s="450"/>
      <c r="BA580" s="450"/>
      <c r="BB580" s="450"/>
      <c r="BC580" s="450"/>
      <c r="BD580" s="450"/>
      <c r="BE580" s="450"/>
      <c r="BF580" s="450"/>
      <c r="BG580" s="450"/>
      <c r="BH580" s="450"/>
      <c r="BI580" s="450"/>
      <c r="BJ580" s="450"/>
      <c r="BK580" s="450"/>
      <c r="BL580" s="450"/>
      <c r="BM580" s="450"/>
      <c r="BN580" s="450"/>
      <c r="BO580" s="450"/>
      <c r="BP580" s="450"/>
      <c r="BQ580" s="450"/>
      <c r="BR580" s="450"/>
      <c r="BS580" s="450"/>
      <c r="BT580" s="450"/>
      <c r="BU580" s="450"/>
      <c r="BV580" s="450"/>
      <c r="BW580" s="450"/>
      <c r="BX580" s="450"/>
      <c r="BY580" s="450"/>
      <c r="BZ580" s="450"/>
      <c r="CA580" s="450">
        <f>COUNTIF(AI580:AW580,"*OK*")</f>
        <v>0</v>
      </c>
    </row>
    <row r="581" spans="1:79" ht="15" customHeight="1">
      <c r="A581" s="470"/>
      <c r="B581" s="471"/>
      <c r="C581" s="511"/>
      <c r="D581" s="471"/>
      <c r="E581" s="471"/>
      <c r="F581" s="471"/>
      <c r="G581" s="471"/>
      <c r="H581" s="474"/>
      <c r="I581" s="474"/>
      <c r="J581" s="471"/>
      <c r="K581" s="491"/>
      <c r="L581" s="471"/>
      <c r="M581" s="471"/>
      <c r="N581" s="484"/>
      <c r="O581" s="513"/>
      <c r="P581" s="507"/>
      <c r="Q581" s="507"/>
      <c r="R581" s="508"/>
      <c r="S581" s="509"/>
      <c r="T581" s="510"/>
      <c r="U581" s="470"/>
      <c r="V581" s="494" t="s">
        <v>59</v>
      </c>
      <c r="W581" s="471"/>
      <c r="X581" s="483"/>
      <c r="Y581" s="483"/>
      <c r="Z581" s="484"/>
      <c r="AA581" s="471"/>
      <c r="AB581" s="474"/>
      <c r="AC581" s="471"/>
      <c r="AD581" s="471"/>
      <c r="AE581" s="471"/>
      <c r="AF581" s="471"/>
      <c r="AG581" s="471"/>
      <c r="AH581" s="471"/>
      <c r="AY581" s="406">
        <f t="shared" si="3"/>
        <v>0</v>
      </c>
      <c r="AZ581" s="471"/>
      <c r="BA581" s="471"/>
      <c r="BB581" s="471"/>
      <c r="BC581" s="471"/>
      <c r="BD581" s="471"/>
      <c r="BE581" s="471"/>
      <c r="BF581" s="471"/>
      <c r="BG581" s="471"/>
      <c r="BH581" s="471"/>
      <c r="BI581" s="471"/>
      <c r="BJ581" s="471"/>
      <c r="BK581" s="471"/>
      <c r="BL581" s="471"/>
      <c r="BM581" s="471"/>
      <c r="BN581" s="471"/>
      <c r="BO581" s="471"/>
      <c r="BP581" s="471"/>
      <c r="BQ581" s="471"/>
      <c r="BR581" s="471"/>
      <c r="BS581" s="471"/>
      <c r="BT581" s="471"/>
      <c r="BU581" s="471"/>
      <c r="BV581" s="471"/>
      <c r="BW581" s="471"/>
      <c r="BX581" s="471"/>
      <c r="BY581" s="471"/>
      <c r="BZ581" s="471"/>
      <c r="CA581" s="471">
        <f>COUNTIF(AI581:AW581,"*OK*")</f>
        <v>0</v>
      </c>
    </row>
    <row r="582" spans="1:79" ht="15" customHeight="1">
      <c r="A582" s="449"/>
      <c r="B582" s="450"/>
      <c r="C582" s="512"/>
      <c r="D582" s="450"/>
      <c r="E582" s="450"/>
      <c r="F582" s="450"/>
      <c r="G582" s="450"/>
      <c r="H582" s="454"/>
      <c r="I582" s="454"/>
      <c r="J582" s="450"/>
      <c r="K582" s="501"/>
      <c r="L582" s="450"/>
      <c r="M582" s="450"/>
      <c r="N582" s="466"/>
      <c r="O582" s="514"/>
      <c r="P582" s="502"/>
      <c r="Q582" s="502"/>
      <c r="R582" s="503"/>
      <c r="S582" s="504"/>
      <c r="T582" s="505"/>
      <c r="U582" s="449"/>
      <c r="V582" s="496" t="s">
        <v>59</v>
      </c>
      <c r="W582" s="450"/>
      <c r="X582" s="465"/>
      <c r="Y582" s="465"/>
      <c r="Z582" s="466"/>
      <c r="AA582" s="450"/>
      <c r="AB582" s="454"/>
      <c r="AC582" s="450"/>
      <c r="AD582" s="450"/>
      <c r="AE582" s="450"/>
      <c r="AF582" s="450"/>
      <c r="AG582" s="450"/>
      <c r="AH582" s="450"/>
      <c r="AY582" s="406">
        <f t="shared" si="3"/>
        <v>0</v>
      </c>
      <c r="AZ582" s="450"/>
      <c r="BA582" s="450"/>
      <c r="BB582" s="450"/>
      <c r="BC582" s="450"/>
      <c r="BD582" s="450"/>
      <c r="BE582" s="450"/>
      <c r="BF582" s="450"/>
      <c r="BG582" s="450"/>
      <c r="BH582" s="450"/>
      <c r="BI582" s="450"/>
      <c r="BJ582" s="450"/>
      <c r="BK582" s="450"/>
      <c r="BL582" s="450"/>
      <c r="BM582" s="450"/>
      <c r="BN582" s="450"/>
      <c r="BO582" s="450"/>
      <c r="BP582" s="450"/>
      <c r="BQ582" s="450"/>
      <c r="BR582" s="450"/>
      <c r="BS582" s="450"/>
      <c r="BT582" s="450"/>
      <c r="BU582" s="450"/>
      <c r="BV582" s="450"/>
      <c r="BW582" s="450"/>
      <c r="BX582" s="450"/>
      <c r="BY582" s="450"/>
      <c r="BZ582" s="450"/>
      <c r="CA582" s="450">
        <f>COUNTIF(AI582:AW582,"*OK*")</f>
        <v>0</v>
      </c>
    </row>
    <row r="583" spans="1:79" ht="15" customHeight="1">
      <c r="A583" s="470"/>
      <c r="B583" s="471"/>
      <c r="C583" s="511"/>
      <c r="D583" s="471"/>
      <c r="E583" s="471"/>
      <c r="F583" s="471"/>
      <c r="G583" s="471"/>
      <c r="H583" s="474"/>
      <c r="I583" s="474"/>
      <c r="J583" s="471"/>
      <c r="K583" s="491"/>
      <c r="L583" s="471"/>
      <c r="M583" s="471"/>
      <c r="N583" s="484"/>
      <c r="O583" s="513"/>
      <c r="P583" s="507"/>
      <c r="Q583" s="507"/>
      <c r="R583" s="508"/>
      <c r="S583" s="509"/>
      <c r="T583" s="510"/>
      <c r="U583" s="470"/>
      <c r="V583" s="494" t="s">
        <v>59</v>
      </c>
      <c r="W583" s="471"/>
      <c r="X583" s="483"/>
      <c r="Y583" s="483"/>
      <c r="Z583" s="484"/>
      <c r="AA583" s="471"/>
      <c r="AB583" s="474"/>
      <c r="AC583" s="471"/>
      <c r="AD583" s="471"/>
      <c r="AE583" s="471"/>
      <c r="AF583" s="471"/>
      <c r="AG583" s="471"/>
      <c r="AH583" s="471"/>
      <c r="AY583" s="406">
        <f t="shared" si="3"/>
        <v>0</v>
      </c>
      <c r="AZ583" s="471"/>
      <c r="BA583" s="471"/>
      <c r="BB583" s="471"/>
      <c r="BC583" s="471"/>
      <c r="BD583" s="471"/>
      <c r="BE583" s="471"/>
      <c r="BF583" s="471"/>
      <c r="BG583" s="471"/>
      <c r="BH583" s="471"/>
      <c r="BI583" s="471"/>
      <c r="BJ583" s="471"/>
      <c r="BK583" s="471"/>
      <c r="BL583" s="471"/>
      <c r="BM583" s="471"/>
      <c r="BN583" s="471"/>
      <c r="BO583" s="471"/>
      <c r="BP583" s="471"/>
      <c r="BQ583" s="471"/>
      <c r="BR583" s="471"/>
      <c r="BS583" s="471"/>
      <c r="BT583" s="471"/>
      <c r="BU583" s="471"/>
      <c r="BV583" s="471"/>
      <c r="BW583" s="471"/>
      <c r="BX583" s="471"/>
      <c r="BY583" s="471"/>
      <c r="BZ583" s="471"/>
      <c r="CA583" s="471">
        <f>COUNTIF(AI583:AW583,"*OK*")</f>
        <v>0</v>
      </c>
    </row>
    <row r="584" spans="1:79" ht="15" customHeight="1">
      <c r="A584" s="449"/>
      <c r="B584" s="450"/>
      <c r="C584" s="512"/>
      <c r="D584" s="450"/>
      <c r="E584" s="450"/>
      <c r="F584" s="450"/>
      <c r="G584" s="450"/>
      <c r="H584" s="454"/>
      <c r="I584" s="454"/>
      <c r="J584" s="450"/>
      <c r="K584" s="501"/>
      <c r="L584" s="450"/>
      <c r="M584" s="450"/>
      <c r="N584" s="466"/>
      <c r="O584" s="514"/>
      <c r="P584" s="502"/>
      <c r="Q584" s="502"/>
      <c r="R584" s="503"/>
      <c r="S584" s="504"/>
      <c r="T584" s="505"/>
      <c r="U584" s="449"/>
      <c r="V584" s="496" t="s">
        <v>59</v>
      </c>
      <c r="W584" s="450"/>
      <c r="X584" s="465"/>
      <c r="Y584" s="465"/>
      <c r="Z584" s="466"/>
      <c r="AA584" s="450"/>
      <c r="AB584" s="454"/>
      <c r="AC584" s="450"/>
      <c r="AD584" s="450"/>
      <c r="AE584" s="450"/>
      <c r="AF584" s="450"/>
      <c r="AG584" s="450"/>
      <c r="AH584" s="450"/>
      <c r="AY584" s="406">
        <f t="shared" si="3"/>
        <v>0</v>
      </c>
      <c r="AZ584" s="450"/>
      <c r="BA584" s="450"/>
      <c r="BB584" s="450"/>
      <c r="BC584" s="450"/>
      <c r="BD584" s="450"/>
      <c r="BE584" s="450"/>
      <c r="BF584" s="450"/>
      <c r="BG584" s="450"/>
      <c r="BH584" s="450"/>
      <c r="BI584" s="450"/>
      <c r="BJ584" s="450"/>
      <c r="BK584" s="450"/>
      <c r="BL584" s="450"/>
      <c r="BM584" s="450"/>
      <c r="BN584" s="450"/>
      <c r="BO584" s="450"/>
      <c r="BP584" s="450"/>
      <c r="BQ584" s="450"/>
      <c r="BR584" s="450"/>
      <c r="BS584" s="450"/>
      <c r="BT584" s="450"/>
      <c r="BU584" s="450"/>
      <c r="BV584" s="450"/>
      <c r="BW584" s="450"/>
      <c r="BX584" s="450"/>
      <c r="BY584" s="450"/>
      <c r="BZ584" s="450"/>
      <c r="CA584" s="450">
        <f>COUNTIF(AI584:AW584,"*OK*")</f>
        <v>0</v>
      </c>
    </row>
    <row r="585" spans="1:79" ht="15" customHeight="1">
      <c r="A585" s="470"/>
      <c r="B585" s="471"/>
      <c r="C585" s="511"/>
      <c r="D585" s="471"/>
      <c r="E585" s="471"/>
      <c r="F585" s="471"/>
      <c r="G585" s="471"/>
      <c r="H585" s="474"/>
      <c r="I585" s="474"/>
      <c r="J585" s="471"/>
      <c r="K585" s="491"/>
      <c r="L585" s="471"/>
      <c r="M585" s="471"/>
      <c r="N585" s="484"/>
      <c r="O585" s="513"/>
      <c r="P585" s="507"/>
      <c r="Q585" s="507"/>
      <c r="R585" s="508"/>
      <c r="S585" s="509"/>
      <c r="T585" s="510"/>
      <c r="U585" s="470"/>
      <c r="V585" s="494" t="s">
        <v>59</v>
      </c>
      <c r="W585" s="471"/>
      <c r="X585" s="483"/>
      <c r="Y585" s="483"/>
      <c r="Z585" s="484"/>
      <c r="AA585" s="471"/>
      <c r="AB585" s="474"/>
      <c r="AC585" s="471"/>
      <c r="AD585" s="471"/>
      <c r="AE585" s="471"/>
      <c r="AF585" s="471"/>
      <c r="AG585" s="471"/>
      <c r="AH585" s="471"/>
      <c r="AY585" s="406">
        <f t="shared" si="3"/>
        <v>0</v>
      </c>
      <c r="AZ585" s="471"/>
      <c r="BA585" s="471"/>
      <c r="BB585" s="471"/>
      <c r="BC585" s="471"/>
      <c r="BD585" s="471"/>
      <c r="BE585" s="471"/>
      <c r="BF585" s="471"/>
      <c r="BG585" s="471"/>
      <c r="BH585" s="471"/>
      <c r="BI585" s="471"/>
      <c r="BJ585" s="471"/>
      <c r="BK585" s="471"/>
      <c r="BL585" s="471"/>
      <c r="BM585" s="471"/>
      <c r="BN585" s="471"/>
      <c r="BO585" s="471"/>
      <c r="BP585" s="471"/>
      <c r="BQ585" s="471"/>
      <c r="BR585" s="471"/>
      <c r="BS585" s="471"/>
      <c r="BT585" s="471"/>
      <c r="BU585" s="471"/>
      <c r="BV585" s="471"/>
      <c r="BW585" s="471"/>
      <c r="BX585" s="471"/>
      <c r="BY585" s="471"/>
      <c r="BZ585" s="471"/>
      <c r="CA585" s="471">
        <f>COUNTIF(AI585:AW585,"*OK*")</f>
        <v>0</v>
      </c>
    </row>
    <row r="586" spans="1:79" ht="15" customHeight="1">
      <c r="A586" s="449"/>
      <c r="B586" s="450"/>
      <c r="C586" s="512"/>
      <c r="D586" s="450"/>
      <c r="E586" s="450"/>
      <c r="F586" s="450"/>
      <c r="G586" s="450"/>
      <c r="H586" s="454"/>
      <c r="I586" s="454"/>
      <c r="J586" s="450"/>
      <c r="K586" s="501"/>
      <c r="L586" s="450"/>
      <c r="M586" s="450"/>
      <c r="N586" s="466"/>
      <c r="O586" s="514"/>
      <c r="P586" s="502"/>
      <c r="Q586" s="502"/>
      <c r="R586" s="503"/>
      <c r="S586" s="504"/>
      <c r="T586" s="505"/>
      <c r="U586" s="449"/>
      <c r="V586" s="496" t="s">
        <v>59</v>
      </c>
      <c r="W586" s="450"/>
      <c r="X586" s="465"/>
      <c r="Y586" s="465"/>
      <c r="Z586" s="466"/>
      <c r="AA586" s="450"/>
      <c r="AB586" s="454"/>
      <c r="AC586" s="450"/>
      <c r="AD586" s="450"/>
      <c r="AE586" s="450"/>
      <c r="AF586" s="450"/>
      <c r="AG586" s="450"/>
      <c r="AH586" s="450"/>
      <c r="AY586" s="406">
        <f t="shared" si="3"/>
        <v>0</v>
      </c>
      <c r="AZ586" s="450"/>
      <c r="BA586" s="450"/>
      <c r="BB586" s="450"/>
      <c r="BC586" s="450"/>
      <c r="BD586" s="450"/>
      <c r="BE586" s="450"/>
      <c r="BF586" s="450"/>
      <c r="BG586" s="450"/>
      <c r="BH586" s="450"/>
      <c r="BI586" s="450"/>
      <c r="BJ586" s="450"/>
      <c r="BK586" s="450"/>
      <c r="BL586" s="450"/>
      <c r="BM586" s="450"/>
      <c r="BN586" s="450"/>
      <c r="BO586" s="450"/>
      <c r="BP586" s="450"/>
      <c r="BQ586" s="450"/>
      <c r="BR586" s="450"/>
      <c r="BS586" s="450"/>
      <c r="BT586" s="450"/>
      <c r="BU586" s="450"/>
      <c r="BV586" s="450"/>
      <c r="BW586" s="450"/>
      <c r="BX586" s="450"/>
      <c r="BY586" s="450"/>
      <c r="BZ586" s="450"/>
      <c r="CA586" s="450">
        <f>COUNTIF(AI586:AW586,"*OK*")</f>
        <v>0</v>
      </c>
    </row>
    <row r="587" spans="1:79" ht="15" customHeight="1">
      <c r="A587" s="470"/>
      <c r="B587" s="471"/>
      <c r="C587" s="511"/>
      <c r="D587" s="471"/>
      <c r="E587" s="471"/>
      <c r="F587" s="471"/>
      <c r="G587" s="471"/>
      <c r="H587" s="474"/>
      <c r="I587" s="474"/>
      <c r="J587" s="471"/>
      <c r="K587" s="491"/>
      <c r="L587" s="471"/>
      <c r="M587" s="471"/>
      <c r="N587" s="484"/>
      <c r="O587" s="513"/>
      <c r="P587" s="507"/>
      <c r="Q587" s="507"/>
      <c r="R587" s="508"/>
      <c r="S587" s="509"/>
      <c r="T587" s="510"/>
      <c r="U587" s="470"/>
      <c r="V587" s="494" t="s">
        <v>59</v>
      </c>
      <c r="W587" s="471"/>
      <c r="X587" s="483"/>
      <c r="Y587" s="483"/>
      <c r="Z587" s="484"/>
      <c r="AA587" s="471"/>
      <c r="AB587" s="474"/>
      <c r="AC587" s="471"/>
      <c r="AD587" s="471"/>
      <c r="AE587" s="471"/>
      <c r="AF587" s="471"/>
      <c r="AG587" s="471"/>
      <c r="AH587" s="471"/>
      <c r="AY587" s="406">
        <f t="shared" si="3"/>
        <v>0</v>
      </c>
      <c r="AZ587" s="471"/>
      <c r="BA587" s="471"/>
      <c r="BB587" s="471"/>
      <c r="BC587" s="471"/>
      <c r="BD587" s="471"/>
      <c r="BE587" s="471"/>
      <c r="BF587" s="471"/>
      <c r="BG587" s="471"/>
      <c r="BH587" s="471"/>
      <c r="BI587" s="471"/>
      <c r="BJ587" s="471"/>
      <c r="BK587" s="471"/>
      <c r="BL587" s="471"/>
      <c r="BM587" s="471"/>
      <c r="BN587" s="471"/>
      <c r="BO587" s="471"/>
      <c r="BP587" s="471"/>
      <c r="BQ587" s="471"/>
      <c r="BR587" s="471"/>
      <c r="BS587" s="471"/>
      <c r="BT587" s="471"/>
      <c r="BU587" s="471"/>
      <c r="BV587" s="471"/>
      <c r="BW587" s="471"/>
      <c r="BX587" s="471"/>
      <c r="BY587" s="471"/>
      <c r="BZ587" s="471"/>
      <c r="CA587" s="471">
        <f>COUNTIF(AI587:AW587,"*OK*")</f>
        <v>0</v>
      </c>
    </row>
    <row r="588" spans="1:79" ht="15" customHeight="1">
      <c r="A588" s="449"/>
      <c r="B588" s="450"/>
      <c r="C588" s="512"/>
      <c r="D588" s="450"/>
      <c r="E588" s="450"/>
      <c r="F588" s="450"/>
      <c r="G588" s="450"/>
      <c r="H588" s="454"/>
      <c r="I588" s="454"/>
      <c r="J588" s="450"/>
      <c r="K588" s="501"/>
      <c r="L588" s="450"/>
      <c r="M588" s="450"/>
      <c r="N588" s="466"/>
      <c r="O588" s="514"/>
      <c r="P588" s="502"/>
      <c r="Q588" s="502"/>
      <c r="R588" s="503"/>
      <c r="S588" s="504"/>
      <c r="T588" s="505"/>
      <c r="U588" s="449"/>
      <c r="V588" s="496" t="s">
        <v>59</v>
      </c>
      <c r="W588" s="450"/>
      <c r="X588" s="465"/>
      <c r="Y588" s="465"/>
      <c r="Z588" s="466"/>
      <c r="AA588" s="450"/>
      <c r="AB588" s="454"/>
      <c r="AC588" s="450"/>
      <c r="AD588" s="450"/>
      <c r="AE588" s="450"/>
      <c r="AF588" s="450"/>
      <c r="AG588" s="450"/>
      <c r="AH588" s="450"/>
      <c r="AY588" s="406">
        <f t="shared" si="3"/>
        <v>0</v>
      </c>
      <c r="AZ588" s="450"/>
      <c r="BA588" s="450"/>
      <c r="BB588" s="450"/>
      <c r="BC588" s="450"/>
      <c r="BD588" s="450"/>
      <c r="BE588" s="450"/>
      <c r="BF588" s="450"/>
      <c r="BG588" s="450"/>
      <c r="BH588" s="450"/>
      <c r="BI588" s="450"/>
      <c r="BJ588" s="450"/>
      <c r="BK588" s="450"/>
      <c r="BL588" s="450"/>
      <c r="BM588" s="450"/>
      <c r="BN588" s="450"/>
      <c r="BO588" s="450"/>
      <c r="BP588" s="450"/>
      <c r="BQ588" s="450"/>
      <c r="BR588" s="450"/>
      <c r="BS588" s="450"/>
      <c r="BT588" s="450"/>
      <c r="BU588" s="450"/>
      <c r="BV588" s="450"/>
      <c r="BW588" s="450"/>
      <c r="BX588" s="450"/>
      <c r="BY588" s="450"/>
      <c r="BZ588" s="450"/>
      <c r="CA588" s="450">
        <f>COUNTIF(AI588:AW588,"*OK*")</f>
        <v>0</v>
      </c>
    </row>
    <row r="589" spans="1:79" ht="15" customHeight="1">
      <c r="A589" s="470"/>
      <c r="B589" s="471"/>
      <c r="C589" s="511"/>
      <c r="D589" s="471"/>
      <c r="E589" s="471"/>
      <c r="F589" s="471"/>
      <c r="G589" s="471"/>
      <c r="H589" s="474"/>
      <c r="I589" s="474"/>
      <c r="J589" s="471"/>
      <c r="K589" s="491"/>
      <c r="L589" s="471"/>
      <c r="M589" s="471"/>
      <c r="N589" s="484"/>
      <c r="O589" s="513"/>
      <c r="P589" s="507"/>
      <c r="Q589" s="507"/>
      <c r="R589" s="508"/>
      <c r="S589" s="509"/>
      <c r="T589" s="510"/>
      <c r="U589" s="470"/>
      <c r="V589" s="494" t="s">
        <v>59</v>
      </c>
      <c r="W589" s="471"/>
      <c r="X589" s="483"/>
      <c r="Y589" s="483"/>
      <c r="Z589" s="484"/>
      <c r="AA589" s="471"/>
      <c r="AB589" s="474"/>
      <c r="AC589" s="471"/>
      <c r="AD589" s="471"/>
      <c r="AE589" s="471"/>
      <c r="AF589" s="471"/>
      <c r="AG589" s="471"/>
      <c r="AH589" s="471"/>
      <c r="AY589" s="406">
        <f t="shared" si="3"/>
        <v>0</v>
      </c>
      <c r="AZ589" s="471"/>
      <c r="BA589" s="471"/>
      <c r="BB589" s="471"/>
      <c r="BC589" s="471"/>
      <c r="BD589" s="471"/>
      <c r="BE589" s="471"/>
      <c r="BF589" s="471"/>
      <c r="BG589" s="471"/>
      <c r="BH589" s="471"/>
      <c r="BI589" s="471"/>
      <c r="BJ589" s="471"/>
      <c r="BK589" s="471"/>
      <c r="BL589" s="471"/>
      <c r="BM589" s="471"/>
      <c r="BN589" s="471"/>
      <c r="BO589" s="471"/>
      <c r="BP589" s="471"/>
      <c r="BQ589" s="471"/>
      <c r="BR589" s="471"/>
      <c r="BS589" s="471"/>
      <c r="BT589" s="471"/>
      <c r="BU589" s="471"/>
      <c r="BV589" s="471"/>
      <c r="BW589" s="471"/>
      <c r="BX589" s="471"/>
      <c r="BY589" s="471"/>
      <c r="BZ589" s="471"/>
      <c r="CA589" s="471">
        <f>COUNTIF(AI589:AW589,"*OK*")</f>
        <v>0</v>
      </c>
    </row>
    <row r="590" spans="1:79" ht="15" customHeight="1">
      <c r="A590" s="449"/>
      <c r="B590" s="450"/>
      <c r="C590" s="512"/>
      <c r="D590" s="450"/>
      <c r="E590" s="450"/>
      <c r="F590" s="450"/>
      <c r="G590" s="450"/>
      <c r="H590" s="454"/>
      <c r="I590" s="454"/>
      <c r="J590" s="450"/>
      <c r="K590" s="501"/>
      <c r="L590" s="450"/>
      <c r="M590" s="450"/>
      <c r="N590" s="466"/>
      <c r="O590" s="514"/>
      <c r="P590" s="502"/>
      <c r="Q590" s="502"/>
      <c r="R590" s="503"/>
      <c r="S590" s="504"/>
      <c r="T590" s="505"/>
      <c r="U590" s="449"/>
      <c r="V590" s="496" t="s">
        <v>59</v>
      </c>
      <c r="W590" s="450"/>
      <c r="X590" s="465"/>
      <c r="Y590" s="465"/>
      <c r="Z590" s="466"/>
      <c r="AA590" s="450"/>
      <c r="AB590" s="454"/>
      <c r="AC590" s="450"/>
      <c r="AD590" s="450"/>
      <c r="AE590" s="450"/>
      <c r="AF590" s="450"/>
      <c r="AG590" s="450"/>
      <c r="AH590" s="450"/>
      <c r="AY590" s="406">
        <f t="shared" si="3"/>
        <v>0</v>
      </c>
      <c r="AZ590" s="450"/>
      <c r="BA590" s="450"/>
      <c r="BB590" s="450"/>
      <c r="BC590" s="450"/>
      <c r="BD590" s="450"/>
      <c r="BE590" s="450"/>
      <c r="BF590" s="450"/>
      <c r="BG590" s="450"/>
      <c r="BH590" s="450"/>
      <c r="BI590" s="450"/>
      <c r="BJ590" s="450"/>
      <c r="BK590" s="450"/>
      <c r="BL590" s="450"/>
      <c r="BM590" s="450"/>
      <c r="BN590" s="450"/>
      <c r="BO590" s="450"/>
      <c r="BP590" s="450"/>
      <c r="BQ590" s="450"/>
      <c r="BR590" s="450"/>
      <c r="BS590" s="450"/>
      <c r="BT590" s="450"/>
      <c r="BU590" s="450"/>
      <c r="BV590" s="450"/>
      <c r="BW590" s="450"/>
      <c r="BX590" s="450"/>
      <c r="BY590" s="450"/>
      <c r="BZ590" s="450"/>
      <c r="CA590" s="450">
        <f>COUNTIF(AI590:AW590,"*OK*")</f>
        <v>0</v>
      </c>
    </row>
    <row r="591" spans="1:79" ht="15" customHeight="1">
      <c r="A591" s="470"/>
      <c r="B591" s="471"/>
      <c r="C591" s="511"/>
      <c r="D591" s="471"/>
      <c r="E591" s="471"/>
      <c r="F591" s="471"/>
      <c r="G591" s="471"/>
      <c r="H591" s="474"/>
      <c r="I591" s="474"/>
      <c r="J591" s="471"/>
      <c r="K591" s="491"/>
      <c r="L591" s="471"/>
      <c r="M591" s="471"/>
      <c r="N591" s="484"/>
      <c r="O591" s="513"/>
      <c r="P591" s="507"/>
      <c r="Q591" s="507"/>
      <c r="R591" s="508"/>
      <c r="S591" s="509"/>
      <c r="T591" s="510"/>
      <c r="U591" s="470"/>
      <c r="V591" s="494" t="s">
        <v>59</v>
      </c>
      <c r="W591" s="471"/>
      <c r="X591" s="483"/>
      <c r="Y591" s="483"/>
      <c r="Z591" s="484"/>
      <c r="AA591" s="471"/>
      <c r="AB591" s="474"/>
      <c r="AC591" s="471"/>
      <c r="AD591" s="471"/>
      <c r="AE591" s="471"/>
      <c r="AF591" s="471"/>
      <c r="AG591" s="471"/>
      <c r="AH591" s="471"/>
      <c r="AY591" s="406">
        <f t="shared" si="3"/>
        <v>0</v>
      </c>
      <c r="AZ591" s="471"/>
      <c r="BA591" s="471"/>
      <c r="BB591" s="471"/>
      <c r="BC591" s="471"/>
      <c r="BD591" s="471"/>
      <c r="BE591" s="471"/>
      <c r="BF591" s="471"/>
      <c r="BG591" s="471"/>
      <c r="BH591" s="471"/>
      <c r="BI591" s="471"/>
      <c r="BJ591" s="471"/>
      <c r="BK591" s="471"/>
      <c r="BL591" s="471"/>
      <c r="BM591" s="471"/>
      <c r="BN591" s="471"/>
      <c r="BO591" s="471"/>
      <c r="BP591" s="471"/>
      <c r="BQ591" s="471"/>
      <c r="BR591" s="471"/>
      <c r="BS591" s="471"/>
      <c r="BT591" s="471"/>
      <c r="BU591" s="471"/>
      <c r="BV591" s="471"/>
      <c r="BW591" s="471"/>
      <c r="BX591" s="471"/>
      <c r="BY591" s="471"/>
      <c r="BZ591" s="471"/>
      <c r="CA591" s="471">
        <f>COUNTIF(AI591:AW591,"*OK*")</f>
        <v>0</v>
      </c>
    </row>
    <row r="592" spans="1:79" ht="15" customHeight="1">
      <c r="A592" s="449"/>
      <c r="B592" s="450"/>
      <c r="C592" s="512"/>
      <c r="D592" s="450"/>
      <c r="E592" s="450"/>
      <c r="F592" s="450"/>
      <c r="G592" s="450"/>
      <c r="H592" s="454"/>
      <c r="I592" s="454"/>
      <c r="J592" s="450"/>
      <c r="K592" s="501"/>
      <c r="L592" s="450"/>
      <c r="M592" s="450"/>
      <c r="N592" s="466"/>
      <c r="O592" s="514"/>
      <c r="P592" s="502"/>
      <c r="Q592" s="502"/>
      <c r="R592" s="503"/>
      <c r="S592" s="504"/>
      <c r="T592" s="505"/>
      <c r="U592" s="449"/>
      <c r="V592" s="496" t="s">
        <v>59</v>
      </c>
      <c r="W592" s="450"/>
      <c r="X592" s="465"/>
      <c r="Y592" s="465"/>
      <c r="Z592" s="466"/>
      <c r="AA592" s="450"/>
      <c r="AB592" s="454"/>
      <c r="AC592" s="450"/>
      <c r="AD592" s="450"/>
      <c r="AE592" s="450"/>
      <c r="AF592" s="450"/>
      <c r="AG592" s="450"/>
      <c r="AH592" s="450"/>
      <c r="AY592" s="406">
        <f t="shared" si="3"/>
        <v>0</v>
      </c>
      <c r="AZ592" s="450"/>
      <c r="BA592" s="450"/>
      <c r="BB592" s="450"/>
      <c r="BC592" s="450"/>
      <c r="BD592" s="450"/>
      <c r="BE592" s="450"/>
      <c r="BF592" s="450"/>
      <c r="BG592" s="450"/>
      <c r="BH592" s="450"/>
      <c r="BI592" s="450"/>
      <c r="BJ592" s="450"/>
      <c r="BK592" s="450"/>
      <c r="BL592" s="450"/>
      <c r="BM592" s="450"/>
      <c r="BN592" s="450"/>
      <c r="BO592" s="450"/>
      <c r="BP592" s="450"/>
      <c r="BQ592" s="450"/>
      <c r="BR592" s="450"/>
      <c r="BS592" s="450"/>
      <c r="BT592" s="450"/>
      <c r="BU592" s="450"/>
      <c r="BV592" s="450"/>
      <c r="BW592" s="450"/>
      <c r="BX592" s="450"/>
      <c r="BY592" s="450"/>
      <c r="BZ592" s="450"/>
      <c r="CA592" s="450">
        <f>COUNTIF(AI592:AW592,"*OK*")</f>
        <v>0</v>
      </c>
    </row>
    <row r="593" spans="1:79" ht="15" customHeight="1">
      <c r="A593" s="470"/>
      <c r="B593" s="471"/>
      <c r="C593" s="511"/>
      <c r="D593" s="471"/>
      <c r="E593" s="471"/>
      <c r="F593" s="471"/>
      <c r="G593" s="471"/>
      <c r="H593" s="474"/>
      <c r="I593" s="474"/>
      <c r="J593" s="471"/>
      <c r="K593" s="491"/>
      <c r="L593" s="471"/>
      <c r="M593" s="471"/>
      <c r="N593" s="484"/>
      <c r="O593" s="513"/>
      <c r="P593" s="507"/>
      <c r="Q593" s="507"/>
      <c r="R593" s="508"/>
      <c r="S593" s="509"/>
      <c r="T593" s="510"/>
      <c r="U593" s="470"/>
      <c r="V593" s="494" t="s">
        <v>59</v>
      </c>
      <c r="W593" s="471"/>
      <c r="X593" s="483"/>
      <c r="Y593" s="483"/>
      <c r="Z593" s="484"/>
      <c r="AA593" s="471"/>
      <c r="AB593" s="474"/>
      <c r="AC593" s="471"/>
      <c r="AD593" s="471"/>
      <c r="AE593" s="471"/>
      <c r="AF593" s="471"/>
      <c r="AG593" s="471"/>
      <c r="AH593" s="471"/>
      <c r="AY593" s="406">
        <f t="shared" si="3"/>
        <v>0</v>
      </c>
      <c r="AZ593" s="471"/>
      <c r="BA593" s="471"/>
      <c r="BB593" s="471"/>
      <c r="BC593" s="471"/>
      <c r="BD593" s="471"/>
      <c r="BE593" s="471"/>
      <c r="BF593" s="471"/>
      <c r="BG593" s="471"/>
      <c r="BH593" s="471"/>
      <c r="BI593" s="471"/>
      <c r="BJ593" s="471"/>
      <c r="BK593" s="471"/>
      <c r="BL593" s="471"/>
      <c r="BM593" s="471"/>
      <c r="BN593" s="471"/>
      <c r="BO593" s="471"/>
      <c r="BP593" s="471"/>
      <c r="BQ593" s="471"/>
      <c r="BR593" s="471"/>
      <c r="BS593" s="471"/>
      <c r="BT593" s="471"/>
      <c r="BU593" s="471"/>
      <c r="BV593" s="471"/>
      <c r="BW593" s="471"/>
      <c r="BX593" s="471"/>
      <c r="BY593" s="471"/>
      <c r="BZ593" s="471"/>
      <c r="CA593" s="471">
        <f>COUNTIF(AI593:AW593,"*OK*")</f>
        <v>0</v>
      </c>
    </row>
    <row r="594" spans="1:79" ht="15" customHeight="1">
      <c r="A594" s="449"/>
      <c r="B594" s="450"/>
      <c r="C594" s="512"/>
      <c r="D594" s="450"/>
      <c r="E594" s="450"/>
      <c r="F594" s="450"/>
      <c r="G594" s="450"/>
      <c r="H594" s="454"/>
      <c r="I594" s="454"/>
      <c r="J594" s="450"/>
      <c r="K594" s="501"/>
      <c r="L594" s="450"/>
      <c r="M594" s="450"/>
      <c r="N594" s="466"/>
      <c r="O594" s="514"/>
      <c r="P594" s="502"/>
      <c r="Q594" s="502"/>
      <c r="R594" s="503"/>
      <c r="S594" s="504"/>
      <c r="T594" s="505"/>
      <c r="U594" s="449"/>
      <c r="V594" s="496" t="s">
        <v>59</v>
      </c>
      <c r="W594" s="450"/>
      <c r="X594" s="465"/>
      <c r="Y594" s="465"/>
      <c r="Z594" s="466"/>
      <c r="AA594" s="450"/>
      <c r="AB594" s="454"/>
      <c r="AC594" s="450"/>
      <c r="AD594" s="450"/>
      <c r="AE594" s="450"/>
      <c r="AF594" s="450"/>
      <c r="AG594" s="450"/>
      <c r="AH594" s="450"/>
      <c r="AY594" s="406">
        <f t="shared" si="3"/>
        <v>0</v>
      </c>
      <c r="AZ594" s="450"/>
      <c r="BA594" s="450"/>
      <c r="BB594" s="450"/>
      <c r="BC594" s="450"/>
      <c r="BD594" s="450"/>
      <c r="BE594" s="450"/>
      <c r="BF594" s="450"/>
      <c r="BG594" s="450"/>
      <c r="BH594" s="450"/>
      <c r="BI594" s="450"/>
      <c r="BJ594" s="450"/>
      <c r="BK594" s="450"/>
      <c r="BL594" s="450"/>
      <c r="BM594" s="450"/>
      <c r="BN594" s="450"/>
      <c r="BO594" s="450"/>
      <c r="BP594" s="450"/>
      <c r="BQ594" s="450"/>
      <c r="BR594" s="450"/>
      <c r="BS594" s="450"/>
      <c r="BT594" s="450"/>
      <c r="BU594" s="450"/>
      <c r="BV594" s="450"/>
      <c r="BW594" s="450"/>
      <c r="BX594" s="450"/>
      <c r="BY594" s="450"/>
      <c r="BZ594" s="450"/>
      <c r="CA594" s="450">
        <f>COUNTIF(AI594:AW594,"*OK*")</f>
        <v>0</v>
      </c>
    </row>
    <row r="595" spans="1:79" ht="15" customHeight="1">
      <c r="A595" s="470"/>
      <c r="B595" s="471"/>
      <c r="C595" s="511"/>
      <c r="D595" s="471"/>
      <c r="E595" s="471"/>
      <c r="F595" s="471"/>
      <c r="G595" s="471"/>
      <c r="H595" s="474"/>
      <c r="I595" s="474"/>
      <c r="J595" s="471"/>
      <c r="K595" s="491"/>
      <c r="L595" s="471"/>
      <c r="M595" s="471"/>
      <c r="N595" s="484"/>
      <c r="O595" s="513"/>
      <c r="P595" s="507"/>
      <c r="Q595" s="507"/>
      <c r="R595" s="508"/>
      <c r="S595" s="509"/>
      <c r="T595" s="510"/>
      <c r="U595" s="470"/>
      <c r="V595" s="494" t="s">
        <v>59</v>
      </c>
      <c r="W595" s="471"/>
      <c r="X595" s="483"/>
      <c r="Y595" s="483"/>
      <c r="Z595" s="484"/>
      <c r="AA595" s="471"/>
      <c r="AB595" s="474"/>
      <c r="AC595" s="471"/>
      <c r="AD595" s="471"/>
      <c r="AE595" s="471"/>
      <c r="AF595" s="471"/>
      <c r="AG595" s="471"/>
      <c r="AH595" s="471"/>
      <c r="AY595" s="406">
        <f t="shared" si="3"/>
        <v>0</v>
      </c>
      <c r="AZ595" s="471"/>
      <c r="BA595" s="471"/>
      <c r="BB595" s="471"/>
      <c r="BC595" s="471"/>
      <c r="BD595" s="471"/>
      <c r="BE595" s="471"/>
      <c r="BF595" s="471"/>
      <c r="BG595" s="471"/>
      <c r="BH595" s="471"/>
      <c r="BI595" s="471"/>
      <c r="BJ595" s="471"/>
      <c r="BK595" s="471"/>
      <c r="BL595" s="471"/>
      <c r="BM595" s="471"/>
      <c r="BN595" s="471"/>
      <c r="BO595" s="471"/>
      <c r="BP595" s="471"/>
      <c r="BQ595" s="471"/>
      <c r="BR595" s="471"/>
      <c r="BS595" s="471"/>
      <c r="BT595" s="471"/>
      <c r="BU595" s="471"/>
      <c r="BV595" s="471"/>
      <c r="BW595" s="471"/>
      <c r="BX595" s="471"/>
      <c r="BY595" s="471"/>
      <c r="BZ595" s="471"/>
      <c r="CA595" s="471">
        <f>COUNTIF(AI595:AW595,"*OK*")</f>
        <v>0</v>
      </c>
    </row>
    <row r="596" spans="1:79" ht="15" customHeight="1">
      <c r="A596" s="449"/>
      <c r="B596" s="450"/>
      <c r="C596" s="512"/>
      <c r="D596" s="450"/>
      <c r="E596" s="450"/>
      <c r="F596" s="450"/>
      <c r="G596" s="450"/>
      <c r="H596" s="454"/>
      <c r="I596" s="454"/>
      <c r="J596" s="450"/>
      <c r="K596" s="501"/>
      <c r="L596" s="450"/>
      <c r="M596" s="450"/>
      <c r="N596" s="466"/>
      <c r="O596" s="514"/>
      <c r="P596" s="502"/>
      <c r="Q596" s="502"/>
      <c r="R596" s="503"/>
      <c r="S596" s="504"/>
      <c r="T596" s="505"/>
      <c r="U596" s="449"/>
      <c r="V596" s="496" t="s">
        <v>59</v>
      </c>
      <c r="W596" s="450"/>
      <c r="X596" s="465"/>
      <c r="Y596" s="465"/>
      <c r="Z596" s="466"/>
      <c r="AA596" s="450"/>
      <c r="AB596" s="454"/>
      <c r="AC596" s="450"/>
      <c r="AD596" s="450"/>
      <c r="AE596" s="450"/>
      <c r="AF596" s="450"/>
      <c r="AG596" s="450"/>
      <c r="AH596" s="450"/>
      <c r="AY596" s="406">
        <f t="shared" si="3"/>
        <v>0</v>
      </c>
      <c r="AZ596" s="450"/>
      <c r="BA596" s="450"/>
      <c r="BB596" s="450"/>
      <c r="BC596" s="450"/>
      <c r="BD596" s="450"/>
      <c r="BE596" s="450"/>
      <c r="BF596" s="450"/>
      <c r="BG596" s="450"/>
      <c r="BH596" s="450"/>
      <c r="BI596" s="450"/>
      <c r="BJ596" s="450"/>
      <c r="BK596" s="450"/>
      <c r="BL596" s="450"/>
      <c r="BM596" s="450"/>
      <c r="BN596" s="450"/>
      <c r="BO596" s="450"/>
      <c r="BP596" s="450"/>
      <c r="BQ596" s="450"/>
      <c r="BR596" s="450"/>
      <c r="BS596" s="450"/>
      <c r="BT596" s="450"/>
      <c r="BU596" s="450"/>
      <c r="BV596" s="450"/>
      <c r="BW596" s="450"/>
      <c r="BX596" s="450"/>
      <c r="BY596" s="450"/>
      <c r="BZ596" s="450"/>
      <c r="CA596" s="450">
        <f>COUNTIF(AI596:AW596,"*OK*")</f>
        <v>0</v>
      </c>
    </row>
    <row r="597" spans="1:79" ht="15" customHeight="1">
      <c r="A597" s="470"/>
      <c r="B597" s="471"/>
      <c r="C597" s="511"/>
      <c r="D597" s="471"/>
      <c r="E597" s="471"/>
      <c r="F597" s="471"/>
      <c r="G597" s="471"/>
      <c r="H597" s="474"/>
      <c r="I597" s="474"/>
      <c r="J597" s="471"/>
      <c r="K597" s="491"/>
      <c r="L597" s="471"/>
      <c r="M597" s="471"/>
      <c r="N597" s="484"/>
      <c r="O597" s="513"/>
      <c r="P597" s="507"/>
      <c r="Q597" s="507"/>
      <c r="R597" s="508"/>
      <c r="S597" s="509"/>
      <c r="T597" s="510"/>
      <c r="U597" s="470"/>
      <c r="V597" s="494" t="s">
        <v>59</v>
      </c>
      <c r="W597" s="471"/>
      <c r="X597" s="483"/>
      <c r="Y597" s="483"/>
      <c r="Z597" s="484"/>
      <c r="AA597" s="471"/>
      <c r="AB597" s="474"/>
      <c r="AC597" s="471"/>
      <c r="AD597" s="471"/>
      <c r="AE597" s="471"/>
      <c r="AF597" s="471"/>
      <c r="AG597" s="471"/>
      <c r="AH597" s="471"/>
      <c r="AY597" s="406">
        <f t="shared" si="3"/>
        <v>0</v>
      </c>
      <c r="AZ597" s="471"/>
      <c r="BA597" s="471"/>
      <c r="BB597" s="471"/>
      <c r="BC597" s="471"/>
      <c r="BD597" s="471"/>
      <c r="BE597" s="471"/>
      <c r="BF597" s="471"/>
      <c r="BG597" s="471"/>
      <c r="BH597" s="471"/>
      <c r="BI597" s="471"/>
      <c r="BJ597" s="471"/>
      <c r="BK597" s="471"/>
      <c r="BL597" s="471"/>
      <c r="BM597" s="471"/>
      <c r="BN597" s="471"/>
      <c r="BO597" s="471"/>
      <c r="BP597" s="471"/>
      <c r="BQ597" s="471"/>
      <c r="BR597" s="471"/>
      <c r="BS597" s="471"/>
      <c r="BT597" s="471"/>
      <c r="BU597" s="471"/>
      <c r="BV597" s="471"/>
      <c r="BW597" s="471"/>
      <c r="BX597" s="471"/>
      <c r="BY597" s="471"/>
      <c r="BZ597" s="471"/>
      <c r="CA597" s="471">
        <f>COUNTIF(AI597:AW597,"*OK*")</f>
        <v>0</v>
      </c>
    </row>
    <row r="598" spans="1:79" ht="15" customHeight="1">
      <c r="A598" s="449"/>
      <c r="B598" s="450"/>
      <c r="C598" s="512"/>
      <c r="D598" s="450"/>
      <c r="E598" s="450"/>
      <c r="F598" s="450"/>
      <c r="G598" s="450"/>
      <c r="H598" s="454"/>
      <c r="I598" s="454"/>
      <c r="J598" s="450"/>
      <c r="K598" s="501"/>
      <c r="L598" s="450"/>
      <c r="M598" s="450"/>
      <c r="N598" s="466"/>
      <c r="O598" s="514"/>
      <c r="P598" s="502"/>
      <c r="Q598" s="502"/>
      <c r="R598" s="503"/>
      <c r="S598" s="504"/>
      <c r="T598" s="505"/>
      <c r="U598" s="449"/>
      <c r="V598" s="496" t="s">
        <v>59</v>
      </c>
      <c r="W598" s="450"/>
      <c r="X598" s="465"/>
      <c r="Y598" s="465"/>
      <c r="Z598" s="466"/>
      <c r="AA598" s="450"/>
      <c r="AB598" s="454"/>
      <c r="AC598" s="450"/>
      <c r="AD598" s="450"/>
      <c r="AE598" s="450"/>
      <c r="AF598" s="450"/>
      <c r="AG598" s="450"/>
      <c r="AH598" s="450"/>
      <c r="AY598" s="406">
        <f t="shared" si="3"/>
        <v>0</v>
      </c>
      <c r="AZ598" s="450"/>
      <c r="BA598" s="450"/>
      <c r="BB598" s="450"/>
      <c r="BC598" s="450"/>
      <c r="BD598" s="450"/>
      <c r="BE598" s="450"/>
      <c r="BF598" s="450"/>
      <c r="BG598" s="450"/>
      <c r="BH598" s="450"/>
      <c r="BI598" s="450"/>
      <c r="BJ598" s="450"/>
      <c r="BK598" s="450"/>
      <c r="BL598" s="450"/>
      <c r="BM598" s="450"/>
      <c r="BN598" s="450"/>
      <c r="BO598" s="450"/>
      <c r="BP598" s="450"/>
      <c r="BQ598" s="450"/>
      <c r="BR598" s="450"/>
      <c r="BS598" s="450"/>
      <c r="BT598" s="450"/>
      <c r="BU598" s="450"/>
      <c r="BV598" s="450"/>
      <c r="BW598" s="450"/>
      <c r="BX598" s="450"/>
      <c r="BY598" s="450"/>
      <c r="BZ598" s="450"/>
      <c r="CA598" s="450">
        <f>COUNTIF(AI598:AW598,"*OK*")</f>
        <v>0</v>
      </c>
    </row>
    <row r="599" spans="1:79" ht="15" customHeight="1">
      <c r="A599" s="470"/>
      <c r="B599" s="471"/>
      <c r="C599" s="511"/>
      <c r="D599" s="471"/>
      <c r="E599" s="471"/>
      <c r="F599" s="471"/>
      <c r="G599" s="471"/>
      <c r="H599" s="474"/>
      <c r="I599" s="474"/>
      <c r="J599" s="471"/>
      <c r="K599" s="491"/>
      <c r="L599" s="471"/>
      <c r="M599" s="471"/>
      <c r="N599" s="484"/>
      <c r="O599" s="513"/>
      <c r="P599" s="507"/>
      <c r="Q599" s="507"/>
      <c r="R599" s="508"/>
      <c r="S599" s="509"/>
      <c r="T599" s="510"/>
      <c r="U599" s="470"/>
      <c r="V599" s="494" t="s">
        <v>59</v>
      </c>
      <c r="W599" s="471"/>
      <c r="X599" s="483"/>
      <c r="Y599" s="483"/>
      <c r="Z599" s="484"/>
      <c r="AA599" s="471"/>
      <c r="AB599" s="474"/>
      <c r="AC599" s="471"/>
      <c r="AD599" s="471"/>
      <c r="AE599" s="471"/>
      <c r="AF599" s="471"/>
      <c r="AG599" s="471"/>
      <c r="AH599" s="471"/>
      <c r="AY599" s="406">
        <f t="shared" si="3"/>
        <v>0</v>
      </c>
      <c r="AZ599" s="471"/>
      <c r="BA599" s="471"/>
      <c r="BB599" s="471"/>
      <c r="BC599" s="471"/>
      <c r="BD599" s="471"/>
      <c r="BE599" s="471"/>
      <c r="BF599" s="471"/>
      <c r="BG599" s="471"/>
      <c r="BH599" s="471"/>
      <c r="BI599" s="471"/>
      <c r="BJ599" s="471"/>
      <c r="BK599" s="471"/>
      <c r="BL599" s="471"/>
      <c r="BM599" s="471"/>
      <c r="BN599" s="471"/>
      <c r="BO599" s="471"/>
      <c r="BP599" s="471"/>
      <c r="BQ599" s="471"/>
      <c r="BR599" s="471"/>
      <c r="BS599" s="471"/>
      <c r="BT599" s="471"/>
      <c r="BU599" s="471"/>
      <c r="BV599" s="471"/>
      <c r="BW599" s="471"/>
      <c r="BX599" s="471"/>
      <c r="BY599" s="471"/>
      <c r="BZ599" s="471"/>
      <c r="CA599" s="471">
        <f>COUNTIF(AI599:AW599,"*OK*")</f>
        <v>0</v>
      </c>
    </row>
    <row r="600" spans="1:79" ht="15" customHeight="1">
      <c r="A600" s="449"/>
      <c r="B600" s="450"/>
      <c r="C600" s="512"/>
      <c r="D600" s="450"/>
      <c r="E600" s="450"/>
      <c r="F600" s="450"/>
      <c r="G600" s="450"/>
      <c r="H600" s="454"/>
      <c r="I600" s="454"/>
      <c r="J600" s="450"/>
      <c r="K600" s="501"/>
      <c r="L600" s="450"/>
      <c r="M600" s="450"/>
      <c r="N600" s="466"/>
      <c r="O600" s="514"/>
      <c r="P600" s="502"/>
      <c r="Q600" s="502"/>
      <c r="R600" s="503"/>
      <c r="S600" s="504"/>
      <c r="T600" s="505"/>
      <c r="U600" s="449"/>
      <c r="V600" s="496" t="s">
        <v>59</v>
      </c>
      <c r="W600" s="450"/>
      <c r="X600" s="465"/>
      <c r="Y600" s="465"/>
      <c r="Z600" s="466"/>
      <c r="AA600" s="450"/>
      <c r="AB600" s="454"/>
      <c r="AC600" s="450"/>
      <c r="AD600" s="450"/>
      <c r="AE600" s="450"/>
      <c r="AF600" s="450"/>
      <c r="AG600" s="450"/>
      <c r="AH600" s="450"/>
      <c r="AY600" s="406">
        <f t="shared" si="3"/>
        <v>0</v>
      </c>
      <c r="AZ600" s="450"/>
      <c r="BA600" s="450"/>
      <c r="BB600" s="450"/>
      <c r="BC600" s="450"/>
      <c r="BD600" s="450"/>
      <c r="BE600" s="450"/>
      <c r="BF600" s="450"/>
      <c r="BG600" s="450"/>
      <c r="BH600" s="450"/>
      <c r="BI600" s="450"/>
      <c r="BJ600" s="450"/>
      <c r="BK600" s="450"/>
      <c r="BL600" s="450"/>
      <c r="BM600" s="450"/>
      <c r="BN600" s="450"/>
      <c r="BO600" s="450"/>
      <c r="BP600" s="450"/>
      <c r="BQ600" s="450"/>
      <c r="BR600" s="450"/>
      <c r="BS600" s="450"/>
      <c r="BT600" s="450"/>
      <c r="BU600" s="450"/>
      <c r="BV600" s="450"/>
      <c r="BW600" s="450"/>
      <c r="BX600" s="450"/>
      <c r="BY600" s="450"/>
      <c r="BZ600" s="450"/>
      <c r="CA600" s="450">
        <f>COUNTIF(AI600:AW600,"*OK*")</f>
        <v>0</v>
      </c>
    </row>
    <row r="601" spans="1:79" ht="15" customHeight="1">
      <c r="A601" s="470"/>
      <c r="B601" s="471"/>
      <c r="C601" s="511"/>
      <c r="D601" s="471"/>
      <c r="E601" s="471"/>
      <c r="F601" s="471"/>
      <c r="G601" s="471"/>
      <c r="H601" s="474"/>
      <c r="I601" s="474"/>
      <c r="J601" s="471"/>
      <c r="K601" s="491"/>
      <c r="L601" s="471"/>
      <c r="M601" s="471"/>
      <c r="N601" s="484"/>
      <c r="O601" s="513"/>
      <c r="P601" s="507"/>
      <c r="Q601" s="507"/>
      <c r="R601" s="508"/>
      <c r="S601" s="509"/>
      <c r="T601" s="510"/>
      <c r="U601" s="470"/>
      <c r="V601" s="494" t="s">
        <v>59</v>
      </c>
      <c r="W601" s="471"/>
      <c r="X601" s="483"/>
      <c r="Y601" s="483"/>
      <c r="Z601" s="484"/>
      <c r="AA601" s="471"/>
      <c r="AB601" s="474"/>
      <c r="AC601" s="471"/>
      <c r="AD601" s="471"/>
      <c r="AE601" s="471"/>
      <c r="AF601" s="471"/>
      <c r="AG601" s="471"/>
      <c r="AH601" s="471"/>
      <c r="AY601" s="406">
        <f t="shared" si="3"/>
        <v>0</v>
      </c>
      <c r="AZ601" s="471"/>
      <c r="BA601" s="471"/>
      <c r="BB601" s="471"/>
      <c r="BC601" s="471"/>
      <c r="BD601" s="471"/>
      <c r="BE601" s="471"/>
      <c r="BF601" s="471"/>
      <c r="BG601" s="471"/>
      <c r="BH601" s="471"/>
      <c r="BI601" s="471"/>
      <c r="BJ601" s="471"/>
      <c r="BK601" s="471"/>
      <c r="BL601" s="471"/>
      <c r="BM601" s="471"/>
      <c r="BN601" s="471"/>
      <c r="BO601" s="471"/>
      <c r="BP601" s="471"/>
      <c r="BQ601" s="471"/>
      <c r="BR601" s="471"/>
      <c r="BS601" s="471"/>
      <c r="BT601" s="471"/>
      <c r="BU601" s="471"/>
      <c r="BV601" s="471"/>
      <c r="BW601" s="471"/>
      <c r="BX601" s="471"/>
      <c r="BY601" s="471"/>
      <c r="BZ601" s="471"/>
      <c r="CA601" s="471">
        <f>COUNTIF(AI601:AW601,"*OK*")</f>
        <v>0</v>
      </c>
    </row>
    <row r="602" spans="1:79" ht="15" customHeight="1">
      <c r="A602" s="449"/>
      <c r="B602" s="450"/>
      <c r="C602" s="512"/>
      <c r="D602" s="450"/>
      <c r="E602" s="450"/>
      <c r="F602" s="450"/>
      <c r="G602" s="450"/>
      <c r="H602" s="454"/>
      <c r="I602" s="454"/>
      <c r="J602" s="450"/>
      <c r="K602" s="501"/>
      <c r="L602" s="450"/>
      <c r="M602" s="450"/>
      <c r="N602" s="466"/>
      <c r="O602" s="514"/>
      <c r="P602" s="502"/>
      <c r="Q602" s="502"/>
      <c r="R602" s="503"/>
      <c r="S602" s="504"/>
      <c r="T602" s="505"/>
      <c r="U602" s="449"/>
      <c r="V602" s="496" t="s">
        <v>59</v>
      </c>
      <c r="W602" s="450"/>
      <c r="X602" s="465"/>
      <c r="Y602" s="465"/>
      <c r="Z602" s="466"/>
      <c r="AA602" s="450"/>
      <c r="AB602" s="454"/>
      <c r="AC602" s="450"/>
      <c r="AD602" s="450"/>
      <c r="AE602" s="450"/>
      <c r="AF602" s="450"/>
      <c r="AG602" s="450"/>
      <c r="AH602" s="450"/>
      <c r="AY602" s="406">
        <f t="shared" si="3"/>
        <v>0</v>
      </c>
      <c r="AZ602" s="450"/>
      <c r="BA602" s="450"/>
      <c r="BB602" s="450"/>
      <c r="BC602" s="450"/>
      <c r="BD602" s="450"/>
      <c r="BE602" s="450"/>
      <c r="BF602" s="450"/>
      <c r="BG602" s="450"/>
      <c r="BH602" s="450"/>
      <c r="BI602" s="450"/>
      <c r="BJ602" s="450"/>
      <c r="BK602" s="450"/>
      <c r="BL602" s="450"/>
      <c r="BM602" s="450"/>
      <c r="BN602" s="450"/>
      <c r="BO602" s="450"/>
      <c r="BP602" s="450"/>
      <c r="BQ602" s="450"/>
      <c r="BR602" s="450"/>
      <c r="BS602" s="450"/>
      <c r="BT602" s="450"/>
      <c r="BU602" s="450"/>
      <c r="BV602" s="450"/>
      <c r="BW602" s="450"/>
      <c r="BX602" s="450"/>
      <c r="BY602" s="450"/>
      <c r="BZ602" s="450"/>
      <c r="CA602" s="450">
        <f>COUNTIF(AI602:AW602,"*OK*")</f>
        <v>0</v>
      </c>
    </row>
    <row r="603" spans="1:79" ht="15" customHeight="1">
      <c r="A603" s="470"/>
      <c r="B603" s="471"/>
      <c r="C603" s="511"/>
      <c r="D603" s="471"/>
      <c r="E603" s="471"/>
      <c r="F603" s="471"/>
      <c r="G603" s="471"/>
      <c r="H603" s="474"/>
      <c r="I603" s="474"/>
      <c r="J603" s="471"/>
      <c r="K603" s="491"/>
      <c r="L603" s="471"/>
      <c r="M603" s="471"/>
      <c r="N603" s="484"/>
      <c r="O603" s="513"/>
      <c r="P603" s="507"/>
      <c r="Q603" s="507"/>
      <c r="R603" s="508"/>
      <c r="S603" s="509"/>
      <c r="T603" s="510"/>
      <c r="U603" s="470"/>
      <c r="V603" s="494" t="s">
        <v>59</v>
      </c>
      <c r="W603" s="471"/>
      <c r="X603" s="483"/>
      <c r="Y603" s="483"/>
      <c r="Z603" s="484"/>
      <c r="AA603" s="471"/>
      <c r="AB603" s="474"/>
      <c r="AC603" s="471"/>
      <c r="AD603" s="471"/>
      <c r="AE603" s="471"/>
      <c r="AF603" s="471"/>
      <c r="AG603" s="471"/>
      <c r="AH603" s="471"/>
      <c r="AY603" s="406">
        <f t="shared" si="3"/>
        <v>0</v>
      </c>
      <c r="AZ603" s="471"/>
      <c r="BA603" s="471"/>
      <c r="BB603" s="471"/>
      <c r="BC603" s="471"/>
      <c r="BD603" s="471"/>
      <c r="BE603" s="471"/>
      <c r="BF603" s="471"/>
      <c r="BG603" s="471"/>
      <c r="BH603" s="471"/>
      <c r="BI603" s="471"/>
      <c r="BJ603" s="471"/>
      <c r="BK603" s="471"/>
      <c r="BL603" s="471"/>
      <c r="BM603" s="471"/>
      <c r="BN603" s="471"/>
      <c r="BO603" s="471"/>
      <c r="BP603" s="471"/>
      <c r="BQ603" s="471"/>
      <c r="BR603" s="471"/>
      <c r="BS603" s="471"/>
      <c r="BT603" s="471"/>
      <c r="BU603" s="471"/>
      <c r="BV603" s="471"/>
      <c r="BW603" s="471"/>
      <c r="BX603" s="471"/>
      <c r="BY603" s="471"/>
      <c r="BZ603" s="471"/>
      <c r="CA603" s="471">
        <f>COUNTIF(AI603:AW603,"*OK*")</f>
        <v>0</v>
      </c>
    </row>
    <row r="604" spans="1:79" ht="15" customHeight="1">
      <c r="A604" s="449"/>
      <c r="B604" s="450"/>
      <c r="C604" s="512"/>
      <c r="D604" s="450"/>
      <c r="E604" s="450"/>
      <c r="F604" s="450"/>
      <c r="G604" s="450"/>
      <c r="H604" s="454"/>
      <c r="I604" s="454"/>
      <c r="J604" s="450"/>
      <c r="K604" s="501"/>
      <c r="L604" s="450"/>
      <c r="M604" s="450"/>
      <c r="N604" s="466"/>
      <c r="O604" s="514"/>
      <c r="P604" s="502"/>
      <c r="Q604" s="502"/>
      <c r="R604" s="503"/>
      <c r="S604" s="504"/>
      <c r="T604" s="505"/>
      <c r="U604" s="449"/>
      <c r="V604" s="496" t="s">
        <v>59</v>
      </c>
      <c r="W604" s="450"/>
      <c r="X604" s="465"/>
      <c r="Y604" s="465"/>
      <c r="Z604" s="466"/>
      <c r="AA604" s="450"/>
      <c r="AB604" s="454"/>
      <c r="AC604" s="450"/>
      <c r="AD604" s="450"/>
      <c r="AE604" s="450"/>
      <c r="AF604" s="450"/>
      <c r="AG604" s="450"/>
      <c r="AH604" s="450"/>
      <c r="AY604" s="406">
        <f t="shared" si="3"/>
        <v>0</v>
      </c>
      <c r="AZ604" s="450"/>
      <c r="BA604" s="450"/>
      <c r="BB604" s="450"/>
      <c r="BC604" s="450"/>
      <c r="BD604" s="450"/>
      <c r="BE604" s="450"/>
      <c r="BF604" s="450"/>
      <c r="BG604" s="450"/>
      <c r="BH604" s="450"/>
      <c r="BI604" s="450"/>
      <c r="BJ604" s="450"/>
      <c r="BK604" s="450"/>
      <c r="BL604" s="450"/>
      <c r="BM604" s="450"/>
      <c r="BN604" s="450"/>
      <c r="BO604" s="450"/>
      <c r="BP604" s="450"/>
      <c r="BQ604" s="450"/>
      <c r="BR604" s="450"/>
      <c r="BS604" s="450"/>
      <c r="BT604" s="450"/>
      <c r="BU604" s="450"/>
      <c r="BV604" s="450"/>
      <c r="BW604" s="450"/>
      <c r="BX604" s="450"/>
      <c r="BY604" s="450"/>
      <c r="BZ604" s="450"/>
      <c r="CA604" s="450">
        <f>COUNTIF(AI604:AW604,"*OK*")</f>
        <v>0</v>
      </c>
    </row>
    <row r="605" spans="1:79" ht="15" customHeight="1">
      <c r="A605" s="470"/>
      <c r="B605" s="471"/>
      <c r="C605" s="511"/>
      <c r="D605" s="471"/>
      <c r="E605" s="471"/>
      <c r="F605" s="471"/>
      <c r="G605" s="471"/>
      <c r="H605" s="474"/>
      <c r="I605" s="474"/>
      <c r="J605" s="471"/>
      <c r="K605" s="491"/>
      <c r="L605" s="471"/>
      <c r="M605" s="471"/>
      <c r="N605" s="484"/>
      <c r="O605" s="513"/>
      <c r="P605" s="507"/>
      <c r="Q605" s="507"/>
      <c r="R605" s="508"/>
      <c r="S605" s="509"/>
      <c r="T605" s="510"/>
      <c r="U605" s="470"/>
      <c r="V605" s="494" t="s">
        <v>59</v>
      </c>
      <c r="W605" s="471"/>
      <c r="X605" s="483"/>
      <c r="Y605" s="483"/>
      <c r="Z605" s="484"/>
      <c r="AA605" s="471"/>
      <c r="AB605" s="474"/>
      <c r="AC605" s="471"/>
      <c r="AD605" s="471"/>
      <c r="AE605" s="471"/>
      <c r="AF605" s="471"/>
      <c r="AG605" s="471"/>
      <c r="AH605" s="471"/>
      <c r="AY605" s="406">
        <f t="shared" si="3"/>
        <v>0</v>
      </c>
      <c r="AZ605" s="471"/>
      <c r="BA605" s="471"/>
      <c r="BB605" s="471"/>
      <c r="BC605" s="471"/>
      <c r="BD605" s="471"/>
      <c r="BE605" s="471"/>
      <c r="BF605" s="471"/>
      <c r="BG605" s="471"/>
      <c r="BH605" s="471"/>
      <c r="BI605" s="471"/>
      <c r="BJ605" s="471"/>
      <c r="BK605" s="471"/>
      <c r="BL605" s="471"/>
      <c r="BM605" s="471"/>
      <c r="BN605" s="471"/>
      <c r="BO605" s="471"/>
      <c r="BP605" s="471"/>
      <c r="BQ605" s="471"/>
      <c r="BR605" s="471"/>
      <c r="BS605" s="471"/>
      <c r="BT605" s="471"/>
      <c r="BU605" s="471"/>
      <c r="BV605" s="471"/>
      <c r="BW605" s="471"/>
      <c r="BX605" s="471"/>
      <c r="BY605" s="471"/>
      <c r="BZ605" s="471"/>
      <c r="CA605" s="471">
        <f>COUNTIF(AI605:AW605,"*OK*")</f>
        <v>0</v>
      </c>
    </row>
    <row r="606" spans="1:79" ht="15" customHeight="1">
      <c r="A606" s="449"/>
      <c r="B606" s="450"/>
      <c r="C606" s="512"/>
      <c r="D606" s="450"/>
      <c r="E606" s="450"/>
      <c r="F606" s="450"/>
      <c r="G606" s="450"/>
      <c r="H606" s="454"/>
      <c r="I606" s="454"/>
      <c r="J606" s="450"/>
      <c r="K606" s="501"/>
      <c r="L606" s="450"/>
      <c r="M606" s="450"/>
      <c r="N606" s="466"/>
      <c r="O606" s="514"/>
      <c r="P606" s="502"/>
      <c r="Q606" s="502"/>
      <c r="R606" s="503"/>
      <c r="S606" s="504"/>
      <c r="T606" s="505"/>
      <c r="U606" s="449"/>
      <c r="V606" s="496" t="s">
        <v>59</v>
      </c>
      <c r="W606" s="450"/>
      <c r="X606" s="465"/>
      <c r="Y606" s="465"/>
      <c r="Z606" s="466"/>
      <c r="AA606" s="450"/>
      <c r="AB606" s="454"/>
      <c r="AC606" s="450"/>
      <c r="AD606" s="450"/>
      <c r="AE606" s="450"/>
      <c r="AF606" s="450"/>
      <c r="AG606" s="450"/>
      <c r="AH606" s="450"/>
      <c r="AY606" s="406">
        <f t="shared" si="3"/>
        <v>0</v>
      </c>
      <c r="AZ606" s="450"/>
      <c r="BA606" s="450"/>
      <c r="BB606" s="450"/>
      <c r="BC606" s="450"/>
      <c r="BD606" s="450"/>
      <c r="BE606" s="450"/>
      <c r="BF606" s="450"/>
      <c r="BG606" s="450"/>
      <c r="BH606" s="450"/>
      <c r="BI606" s="450"/>
      <c r="BJ606" s="450"/>
      <c r="BK606" s="450"/>
      <c r="BL606" s="450"/>
      <c r="BM606" s="450"/>
      <c r="BN606" s="450"/>
      <c r="BO606" s="450"/>
      <c r="BP606" s="450"/>
      <c r="BQ606" s="450"/>
      <c r="BR606" s="450"/>
      <c r="BS606" s="450"/>
      <c r="BT606" s="450"/>
      <c r="BU606" s="450"/>
      <c r="BV606" s="450"/>
      <c r="BW606" s="450"/>
      <c r="BX606" s="450"/>
      <c r="BY606" s="450"/>
      <c r="BZ606" s="450"/>
      <c r="CA606" s="450">
        <f>COUNTIF(AI606:AW606,"*OK*")</f>
        <v>0</v>
      </c>
    </row>
    <row r="607" spans="1:79" ht="15" customHeight="1">
      <c r="A607" s="470"/>
      <c r="B607" s="471"/>
      <c r="C607" s="511"/>
      <c r="D607" s="471"/>
      <c r="E607" s="471"/>
      <c r="F607" s="471"/>
      <c r="G607" s="471"/>
      <c r="H607" s="474"/>
      <c r="I607" s="474"/>
      <c r="J607" s="471"/>
      <c r="K607" s="491"/>
      <c r="L607" s="471"/>
      <c r="M607" s="471"/>
      <c r="N607" s="484"/>
      <c r="O607" s="513"/>
      <c r="P607" s="507"/>
      <c r="Q607" s="507"/>
      <c r="R607" s="508"/>
      <c r="S607" s="509"/>
      <c r="T607" s="510"/>
      <c r="U607" s="470"/>
      <c r="V607" s="494" t="s">
        <v>59</v>
      </c>
      <c r="W607" s="471"/>
      <c r="X607" s="483"/>
      <c r="Y607" s="483"/>
      <c r="Z607" s="484"/>
      <c r="AA607" s="471"/>
      <c r="AB607" s="474"/>
      <c r="AC607" s="471"/>
      <c r="AD607" s="471"/>
      <c r="AE607" s="471"/>
      <c r="AF607" s="471"/>
      <c r="AG607" s="471"/>
      <c r="AH607" s="471"/>
      <c r="AY607" s="406">
        <f t="shared" si="3"/>
        <v>0</v>
      </c>
      <c r="AZ607" s="471"/>
      <c r="BA607" s="471"/>
      <c r="BB607" s="471"/>
      <c r="BC607" s="471"/>
      <c r="BD607" s="471"/>
      <c r="BE607" s="471"/>
      <c r="BF607" s="471"/>
      <c r="BG607" s="471"/>
      <c r="BH607" s="471"/>
      <c r="BI607" s="471"/>
      <c r="BJ607" s="471"/>
      <c r="BK607" s="471"/>
      <c r="BL607" s="471"/>
      <c r="BM607" s="471"/>
      <c r="BN607" s="471"/>
      <c r="BO607" s="471"/>
      <c r="BP607" s="471"/>
      <c r="BQ607" s="471"/>
      <c r="BR607" s="471"/>
      <c r="BS607" s="471"/>
      <c r="BT607" s="471"/>
      <c r="BU607" s="471"/>
      <c r="BV607" s="471"/>
      <c r="BW607" s="471"/>
      <c r="BX607" s="471"/>
      <c r="BY607" s="471"/>
      <c r="BZ607" s="471"/>
      <c r="CA607" s="471">
        <f>COUNTIF(AI607:AW607,"*OK*")</f>
        <v>0</v>
      </c>
    </row>
    <row r="608" spans="1:79" ht="15" customHeight="1">
      <c r="A608" s="449"/>
      <c r="B608" s="450"/>
      <c r="C608" s="512"/>
      <c r="D608" s="450"/>
      <c r="E608" s="450"/>
      <c r="F608" s="450"/>
      <c r="G608" s="450"/>
      <c r="H608" s="454"/>
      <c r="I608" s="454"/>
      <c r="J608" s="450"/>
      <c r="K608" s="501"/>
      <c r="L608" s="450"/>
      <c r="M608" s="450"/>
      <c r="N608" s="466"/>
      <c r="O608" s="514"/>
      <c r="P608" s="502"/>
      <c r="Q608" s="502"/>
      <c r="R608" s="503"/>
      <c r="S608" s="504"/>
      <c r="T608" s="505"/>
      <c r="U608" s="449"/>
      <c r="V608" s="496" t="s">
        <v>59</v>
      </c>
      <c r="W608" s="450"/>
      <c r="X608" s="465"/>
      <c r="Y608" s="465"/>
      <c r="Z608" s="466"/>
      <c r="AA608" s="450"/>
      <c r="AB608" s="454"/>
      <c r="AC608" s="450"/>
      <c r="AD608" s="450"/>
      <c r="AE608" s="450"/>
      <c r="AF608" s="450"/>
      <c r="AG608" s="450"/>
      <c r="AH608" s="450"/>
      <c r="AY608" s="406">
        <f t="shared" si="3"/>
        <v>0</v>
      </c>
      <c r="AZ608" s="450"/>
      <c r="BA608" s="450"/>
      <c r="BB608" s="450"/>
      <c r="BC608" s="450"/>
      <c r="BD608" s="450"/>
      <c r="BE608" s="450"/>
      <c r="BF608" s="450"/>
      <c r="BG608" s="450"/>
      <c r="BH608" s="450"/>
      <c r="BI608" s="450"/>
      <c r="BJ608" s="450"/>
      <c r="BK608" s="450"/>
      <c r="BL608" s="450"/>
      <c r="BM608" s="450"/>
      <c r="BN608" s="450"/>
      <c r="BO608" s="450"/>
      <c r="BP608" s="450"/>
      <c r="BQ608" s="450"/>
      <c r="BR608" s="450"/>
      <c r="BS608" s="450"/>
      <c r="BT608" s="450"/>
      <c r="BU608" s="450"/>
      <c r="BV608" s="450"/>
      <c r="BW608" s="450"/>
      <c r="BX608" s="450"/>
      <c r="BY608" s="450"/>
      <c r="BZ608" s="450"/>
      <c r="CA608" s="450">
        <f>COUNTIF(AI608:AW608,"*OK*")</f>
        <v>0</v>
      </c>
    </row>
    <row r="609" spans="1:79" ht="15" customHeight="1">
      <c r="A609" s="470"/>
      <c r="B609" s="471"/>
      <c r="C609" s="511"/>
      <c r="D609" s="471"/>
      <c r="E609" s="471"/>
      <c r="F609" s="471"/>
      <c r="G609" s="471"/>
      <c r="H609" s="474"/>
      <c r="I609" s="474"/>
      <c r="J609" s="471"/>
      <c r="K609" s="491"/>
      <c r="L609" s="471"/>
      <c r="M609" s="471"/>
      <c r="N609" s="484"/>
      <c r="O609" s="513"/>
      <c r="P609" s="507"/>
      <c r="Q609" s="507"/>
      <c r="R609" s="508"/>
      <c r="S609" s="509"/>
      <c r="T609" s="510"/>
      <c r="U609" s="470"/>
      <c r="V609" s="494" t="s">
        <v>59</v>
      </c>
      <c r="W609" s="471"/>
      <c r="X609" s="483"/>
      <c r="Y609" s="483"/>
      <c r="Z609" s="484"/>
      <c r="AA609" s="471"/>
      <c r="AB609" s="474"/>
      <c r="AC609" s="471"/>
      <c r="AD609" s="471"/>
      <c r="AE609" s="471"/>
      <c r="AF609" s="471"/>
      <c r="AG609" s="471"/>
      <c r="AH609" s="471"/>
      <c r="AY609" s="406">
        <f t="shared" si="3"/>
        <v>0</v>
      </c>
      <c r="AZ609" s="471"/>
      <c r="BA609" s="471"/>
      <c r="BB609" s="471"/>
      <c r="BC609" s="471"/>
      <c r="BD609" s="471"/>
      <c r="BE609" s="471"/>
      <c r="BF609" s="471"/>
      <c r="BG609" s="471"/>
      <c r="BH609" s="471"/>
      <c r="BI609" s="471"/>
      <c r="BJ609" s="471"/>
      <c r="BK609" s="471"/>
      <c r="BL609" s="471"/>
      <c r="BM609" s="471"/>
      <c r="BN609" s="471"/>
      <c r="BO609" s="471"/>
      <c r="BP609" s="471"/>
      <c r="BQ609" s="471"/>
      <c r="BR609" s="471"/>
      <c r="BS609" s="471"/>
      <c r="BT609" s="471"/>
      <c r="BU609" s="471"/>
      <c r="BV609" s="471"/>
      <c r="BW609" s="471"/>
      <c r="BX609" s="471"/>
      <c r="BY609" s="471"/>
      <c r="BZ609" s="471"/>
      <c r="CA609" s="471">
        <f>COUNTIF(AI609:AW609,"*OK*")</f>
        <v>0</v>
      </c>
    </row>
    <row r="610" spans="1:79" ht="15" customHeight="1">
      <c r="A610" s="449"/>
      <c r="B610" s="450"/>
      <c r="C610" s="512"/>
      <c r="D610" s="450"/>
      <c r="E610" s="450"/>
      <c r="F610" s="450"/>
      <c r="G610" s="450"/>
      <c r="H610" s="454"/>
      <c r="I610" s="454"/>
      <c r="J610" s="450"/>
      <c r="K610" s="501"/>
      <c r="L610" s="450"/>
      <c r="M610" s="450"/>
      <c r="N610" s="466"/>
      <c r="O610" s="514"/>
      <c r="P610" s="502"/>
      <c r="Q610" s="502"/>
      <c r="R610" s="503"/>
      <c r="S610" s="504"/>
      <c r="T610" s="505"/>
      <c r="U610" s="449"/>
      <c r="V610" s="496" t="s">
        <v>59</v>
      </c>
      <c r="W610" s="450"/>
      <c r="X610" s="465"/>
      <c r="Y610" s="465"/>
      <c r="Z610" s="466"/>
      <c r="AA610" s="450"/>
      <c r="AB610" s="454"/>
      <c r="AC610" s="450"/>
      <c r="AD610" s="450"/>
      <c r="AE610" s="450"/>
      <c r="AF610" s="450"/>
      <c r="AG610" s="450"/>
      <c r="AH610" s="450"/>
      <c r="AY610" s="406">
        <f t="shared" si="3"/>
        <v>0</v>
      </c>
      <c r="AZ610" s="450"/>
      <c r="BA610" s="450"/>
      <c r="BB610" s="450"/>
      <c r="BC610" s="450"/>
      <c r="BD610" s="450"/>
      <c r="BE610" s="450"/>
      <c r="BF610" s="450"/>
      <c r="BG610" s="450"/>
      <c r="BH610" s="450"/>
      <c r="BI610" s="450"/>
      <c r="BJ610" s="450"/>
      <c r="BK610" s="450"/>
      <c r="BL610" s="450"/>
      <c r="BM610" s="450"/>
      <c r="BN610" s="450"/>
      <c r="BO610" s="450"/>
      <c r="BP610" s="450"/>
      <c r="BQ610" s="450"/>
      <c r="BR610" s="450"/>
      <c r="BS610" s="450"/>
      <c r="BT610" s="450"/>
      <c r="BU610" s="450"/>
      <c r="BV610" s="450"/>
      <c r="BW610" s="450"/>
      <c r="BX610" s="450"/>
      <c r="BY610" s="450"/>
      <c r="BZ610" s="450"/>
      <c r="CA610" s="450">
        <f>COUNTIF(AI610:AW610,"*OK*")</f>
        <v>0</v>
      </c>
    </row>
    <row r="611" spans="1:79" ht="15" customHeight="1">
      <c r="A611" s="470"/>
      <c r="B611" s="471"/>
      <c r="C611" s="511"/>
      <c r="D611" s="471"/>
      <c r="E611" s="471"/>
      <c r="F611" s="471"/>
      <c r="G611" s="471"/>
      <c r="H611" s="474"/>
      <c r="I611" s="474"/>
      <c r="J611" s="471"/>
      <c r="K611" s="491"/>
      <c r="L611" s="471"/>
      <c r="M611" s="471"/>
      <c r="N611" s="484"/>
      <c r="O611" s="513"/>
      <c r="P611" s="507"/>
      <c r="Q611" s="507"/>
      <c r="R611" s="508"/>
      <c r="S611" s="509"/>
      <c r="T611" s="510"/>
      <c r="U611" s="470"/>
      <c r="V611" s="494" t="s">
        <v>59</v>
      </c>
      <c r="W611" s="471"/>
      <c r="X611" s="483"/>
      <c r="Y611" s="483"/>
      <c r="Z611" s="484"/>
      <c r="AA611" s="471"/>
      <c r="AB611" s="474"/>
      <c r="AC611" s="471"/>
      <c r="AD611" s="471"/>
      <c r="AE611" s="471"/>
      <c r="AF611" s="471"/>
      <c r="AG611" s="471"/>
      <c r="AH611" s="471"/>
      <c r="AY611" s="406">
        <f t="shared" si="3"/>
        <v>0</v>
      </c>
      <c r="AZ611" s="471"/>
      <c r="BA611" s="471"/>
      <c r="BB611" s="471"/>
      <c r="BC611" s="471"/>
      <c r="BD611" s="471"/>
      <c r="BE611" s="471"/>
      <c r="BF611" s="471"/>
      <c r="BG611" s="471"/>
      <c r="BH611" s="471"/>
      <c r="BI611" s="471"/>
      <c r="BJ611" s="471"/>
      <c r="BK611" s="471"/>
      <c r="BL611" s="471"/>
      <c r="BM611" s="471"/>
      <c r="BN611" s="471"/>
      <c r="BO611" s="471"/>
      <c r="BP611" s="471"/>
      <c r="BQ611" s="471"/>
      <c r="BR611" s="471"/>
      <c r="BS611" s="471"/>
      <c r="BT611" s="471"/>
      <c r="BU611" s="471"/>
      <c r="BV611" s="471"/>
      <c r="BW611" s="471"/>
      <c r="BX611" s="471"/>
      <c r="BY611" s="471"/>
      <c r="BZ611" s="471"/>
      <c r="CA611" s="471">
        <f>COUNTIF(AI611:AW611,"*OK*")</f>
        <v>0</v>
      </c>
    </row>
    <row r="612" spans="1:79" ht="15" customHeight="1">
      <c r="A612" s="449"/>
      <c r="B612" s="450"/>
      <c r="C612" s="512"/>
      <c r="D612" s="450"/>
      <c r="E612" s="450"/>
      <c r="F612" s="450"/>
      <c r="G612" s="450"/>
      <c r="H612" s="454"/>
      <c r="I612" s="454"/>
      <c r="J612" s="450"/>
      <c r="K612" s="501"/>
      <c r="L612" s="450"/>
      <c r="M612" s="450"/>
      <c r="N612" s="466"/>
      <c r="O612" s="514"/>
      <c r="P612" s="502"/>
      <c r="Q612" s="502"/>
      <c r="R612" s="503"/>
      <c r="S612" s="504"/>
      <c r="T612" s="505"/>
      <c r="U612" s="449"/>
      <c r="V612" s="496" t="s">
        <v>59</v>
      </c>
      <c r="W612" s="450"/>
      <c r="X612" s="465"/>
      <c r="Y612" s="465"/>
      <c r="Z612" s="466"/>
      <c r="AA612" s="450"/>
      <c r="AB612" s="454"/>
      <c r="AC612" s="450"/>
      <c r="AD612" s="450"/>
      <c r="AE612" s="450"/>
      <c r="AF612" s="450"/>
      <c r="AG612" s="450"/>
      <c r="AH612" s="450"/>
      <c r="AY612" s="406">
        <f t="shared" si="3"/>
        <v>0</v>
      </c>
      <c r="AZ612" s="450"/>
      <c r="BA612" s="450"/>
      <c r="BB612" s="450"/>
      <c r="BC612" s="450"/>
      <c r="BD612" s="450"/>
      <c r="BE612" s="450"/>
      <c r="BF612" s="450"/>
      <c r="BG612" s="450"/>
      <c r="BH612" s="450"/>
      <c r="BI612" s="450"/>
      <c r="BJ612" s="450"/>
      <c r="BK612" s="450"/>
      <c r="BL612" s="450"/>
      <c r="BM612" s="450"/>
      <c r="BN612" s="450"/>
      <c r="BO612" s="450"/>
      <c r="BP612" s="450"/>
      <c r="BQ612" s="450"/>
      <c r="BR612" s="450"/>
      <c r="BS612" s="450"/>
      <c r="BT612" s="450"/>
      <c r="BU612" s="450"/>
      <c r="BV612" s="450"/>
      <c r="BW612" s="450"/>
      <c r="BX612" s="450"/>
      <c r="BY612" s="450"/>
      <c r="BZ612" s="450"/>
      <c r="CA612" s="450">
        <f>COUNTIF(AI612:AW612,"*OK*")</f>
        <v>0</v>
      </c>
    </row>
    <row r="613" spans="1:79" ht="15" customHeight="1">
      <c r="A613" s="470"/>
      <c r="B613" s="471"/>
      <c r="C613" s="511"/>
      <c r="D613" s="471"/>
      <c r="E613" s="471"/>
      <c r="F613" s="471"/>
      <c r="G613" s="471"/>
      <c r="H613" s="474"/>
      <c r="I613" s="474"/>
      <c r="J613" s="471"/>
      <c r="K613" s="491"/>
      <c r="L613" s="471"/>
      <c r="M613" s="471"/>
      <c r="N613" s="484"/>
      <c r="O613" s="513"/>
      <c r="P613" s="507"/>
      <c r="Q613" s="507"/>
      <c r="R613" s="508"/>
      <c r="S613" s="509"/>
      <c r="T613" s="510"/>
      <c r="U613" s="470"/>
      <c r="V613" s="494" t="s">
        <v>59</v>
      </c>
      <c r="W613" s="471"/>
      <c r="X613" s="483"/>
      <c r="Y613" s="483"/>
      <c r="Z613" s="484"/>
      <c r="AA613" s="471"/>
      <c r="AB613" s="474"/>
      <c r="AC613" s="471"/>
      <c r="AD613" s="471"/>
      <c r="AE613" s="471"/>
      <c r="AF613" s="471"/>
      <c r="AG613" s="471"/>
      <c r="AH613" s="471"/>
      <c r="AY613" s="406">
        <f t="shared" si="3"/>
        <v>0</v>
      </c>
      <c r="AZ613" s="471"/>
      <c r="BA613" s="471"/>
      <c r="BB613" s="471"/>
      <c r="BC613" s="471"/>
      <c r="BD613" s="471"/>
      <c r="BE613" s="471"/>
      <c r="BF613" s="471"/>
      <c r="BG613" s="471"/>
      <c r="BH613" s="471"/>
      <c r="BI613" s="471"/>
      <c r="BJ613" s="471"/>
      <c r="BK613" s="471"/>
      <c r="BL613" s="471"/>
      <c r="BM613" s="471"/>
      <c r="BN613" s="471"/>
      <c r="BO613" s="471"/>
      <c r="BP613" s="471"/>
      <c r="BQ613" s="471"/>
      <c r="BR613" s="471"/>
      <c r="BS613" s="471"/>
      <c r="BT613" s="471"/>
      <c r="BU613" s="471"/>
      <c r="BV613" s="471"/>
      <c r="BW613" s="471"/>
      <c r="BX613" s="471"/>
      <c r="BY613" s="471"/>
      <c r="BZ613" s="471"/>
      <c r="CA613" s="471">
        <f>COUNTIF(AI613:AW613,"*OK*")</f>
        <v>0</v>
      </c>
    </row>
    <row r="614" spans="1:79" ht="15" customHeight="1">
      <c r="A614" s="449"/>
      <c r="B614" s="450"/>
      <c r="C614" s="512"/>
      <c r="D614" s="450"/>
      <c r="E614" s="450"/>
      <c r="F614" s="450"/>
      <c r="G614" s="450"/>
      <c r="H614" s="454"/>
      <c r="I614" s="454"/>
      <c r="J614" s="450"/>
      <c r="K614" s="501"/>
      <c r="L614" s="450"/>
      <c r="M614" s="450"/>
      <c r="N614" s="466"/>
      <c r="O614" s="514"/>
      <c r="P614" s="502"/>
      <c r="Q614" s="502"/>
      <c r="R614" s="503"/>
      <c r="S614" s="504"/>
      <c r="T614" s="505"/>
      <c r="U614" s="449"/>
      <c r="V614" s="496" t="s">
        <v>59</v>
      </c>
      <c r="W614" s="450"/>
      <c r="X614" s="465"/>
      <c r="Y614" s="465"/>
      <c r="Z614" s="466"/>
      <c r="AA614" s="450"/>
      <c r="AB614" s="454"/>
      <c r="AC614" s="450"/>
      <c r="AD614" s="450"/>
      <c r="AE614" s="450"/>
      <c r="AF614" s="450"/>
      <c r="AG614" s="450"/>
      <c r="AH614" s="450"/>
      <c r="AY614" s="406">
        <f t="shared" si="3"/>
        <v>0</v>
      </c>
      <c r="AZ614" s="450"/>
      <c r="BA614" s="450"/>
      <c r="BB614" s="450"/>
      <c r="BC614" s="450"/>
      <c r="BD614" s="450"/>
      <c r="BE614" s="450"/>
      <c r="BF614" s="450"/>
      <c r="BG614" s="450"/>
      <c r="BH614" s="450"/>
      <c r="BI614" s="450"/>
      <c r="BJ614" s="450"/>
      <c r="BK614" s="450"/>
      <c r="BL614" s="450"/>
      <c r="BM614" s="450"/>
      <c r="BN614" s="450"/>
      <c r="BO614" s="450"/>
      <c r="BP614" s="450"/>
      <c r="BQ614" s="450"/>
      <c r="BR614" s="450"/>
      <c r="BS614" s="450"/>
      <c r="BT614" s="450"/>
      <c r="BU614" s="450"/>
      <c r="BV614" s="450"/>
      <c r="BW614" s="450"/>
      <c r="BX614" s="450"/>
      <c r="BY614" s="450"/>
      <c r="BZ614" s="450"/>
      <c r="CA614" s="450">
        <f>COUNTIF(AI614:AW614,"*OK*")</f>
        <v>0</v>
      </c>
    </row>
    <row r="615" spans="1:79" ht="15" customHeight="1">
      <c r="A615" s="470"/>
      <c r="B615" s="471"/>
      <c r="C615" s="511"/>
      <c r="D615" s="471"/>
      <c r="E615" s="471"/>
      <c r="F615" s="471"/>
      <c r="G615" s="471"/>
      <c r="H615" s="474"/>
      <c r="I615" s="474"/>
      <c r="J615" s="471"/>
      <c r="K615" s="491"/>
      <c r="L615" s="471"/>
      <c r="M615" s="471"/>
      <c r="N615" s="484"/>
      <c r="O615" s="513"/>
      <c r="P615" s="507"/>
      <c r="Q615" s="507"/>
      <c r="R615" s="508"/>
      <c r="S615" s="509"/>
      <c r="T615" s="510"/>
      <c r="U615" s="470"/>
      <c r="V615" s="494" t="s">
        <v>59</v>
      </c>
      <c r="W615" s="471"/>
      <c r="X615" s="483"/>
      <c r="Y615" s="483"/>
      <c r="Z615" s="484"/>
      <c r="AA615" s="471"/>
      <c r="AB615" s="474"/>
      <c r="AC615" s="471"/>
      <c r="AD615" s="471"/>
      <c r="AE615" s="471"/>
      <c r="AF615" s="471"/>
      <c r="AG615" s="471"/>
      <c r="AH615" s="471"/>
      <c r="AY615" s="406">
        <f t="shared" si="3"/>
        <v>0</v>
      </c>
      <c r="AZ615" s="471"/>
      <c r="BA615" s="471"/>
      <c r="BB615" s="471"/>
      <c r="BC615" s="471"/>
      <c r="BD615" s="471"/>
      <c r="BE615" s="471"/>
      <c r="BF615" s="471"/>
      <c r="BG615" s="471"/>
      <c r="BH615" s="471"/>
      <c r="BI615" s="471"/>
      <c r="BJ615" s="471"/>
      <c r="BK615" s="471"/>
      <c r="BL615" s="471"/>
      <c r="BM615" s="471"/>
      <c r="BN615" s="471"/>
      <c r="BO615" s="471"/>
      <c r="BP615" s="471"/>
      <c r="BQ615" s="471"/>
      <c r="BR615" s="471"/>
      <c r="BS615" s="471"/>
      <c r="BT615" s="471"/>
      <c r="BU615" s="471"/>
      <c r="BV615" s="471"/>
      <c r="BW615" s="471"/>
      <c r="BX615" s="471"/>
      <c r="BY615" s="471"/>
      <c r="BZ615" s="471"/>
      <c r="CA615" s="471">
        <f>COUNTIF(AI615:AW615,"*OK*")</f>
        <v>0</v>
      </c>
    </row>
    <row r="616" spans="1:79" ht="15" customHeight="1">
      <c r="A616" s="449"/>
      <c r="B616" s="450"/>
      <c r="C616" s="512"/>
      <c r="D616" s="450"/>
      <c r="E616" s="450"/>
      <c r="F616" s="450"/>
      <c r="G616" s="450"/>
      <c r="H616" s="454"/>
      <c r="I616" s="454"/>
      <c r="J616" s="450"/>
      <c r="K616" s="501"/>
      <c r="L616" s="450"/>
      <c r="M616" s="450"/>
      <c r="N616" s="466"/>
      <c r="O616" s="514"/>
      <c r="P616" s="502"/>
      <c r="Q616" s="502"/>
      <c r="R616" s="503"/>
      <c r="S616" s="504"/>
      <c r="T616" s="505"/>
      <c r="U616" s="449"/>
      <c r="V616" s="496" t="s">
        <v>59</v>
      </c>
      <c r="W616" s="450"/>
      <c r="X616" s="465"/>
      <c r="Y616" s="465"/>
      <c r="Z616" s="466"/>
      <c r="AA616" s="450"/>
      <c r="AB616" s="454"/>
      <c r="AC616" s="450"/>
      <c r="AD616" s="450"/>
      <c r="AE616" s="450"/>
      <c r="AF616" s="450"/>
      <c r="AG616" s="450"/>
      <c r="AH616" s="450"/>
      <c r="AY616" s="406">
        <f t="shared" si="3"/>
        <v>0</v>
      </c>
      <c r="AZ616" s="450"/>
      <c r="BA616" s="450"/>
      <c r="BB616" s="450"/>
      <c r="BC616" s="450"/>
      <c r="BD616" s="450"/>
      <c r="BE616" s="450"/>
      <c r="BF616" s="450"/>
      <c r="BG616" s="450"/>
      <c r="BH616" s="450"/>
      <c r="BI616" s="450"/>
      <c r="BJ616" s="450"/>
      <c r="BK616" s="450"/>
      <c r="BL616" s="450"/>
      <c r="BM616" s="450"/>
      <c r="BN616" s="450"/>
      <c r="BO616" s="450"/>
      <c r="BP616" s="450"/>
      <c r="BQ616" s="450"/>
      <c r="BR616" s="450"/>
      <c r="BS616" s="450"/>
      <c r="BT616" s="450"/>
      <c r="BU616" s="450"/>
      <c r="BV616" s="450"/>
      <c r="BW616" s="450"/>
      <c r="BX616" s="450"/>
      <c r="BY616" s="450"/>
      <c r="BZ616" s="450"/>
      <c r="CA616" s="450">
        <f>COUNTIF(AI616:AW616,"*OK*")</f>
        <v>0</v>
      </c>
    </row>
    <row r="617" spans="1:79" ht="15" customHeight="1">
      <c r="A617" s="470"/>
      <c r="B617" s="471"/>
      <c r="C617" s="511"/>
      <c r="D617" s="471"/>
      <c r="E617" s="471"/>
      <c r="F617" s="471"/>
      <c r="G617" s="471"/>
      <c r="H617" s="474"/>
      <c r="I617" s="474"/>
      <c r="J617" s="471"/>
      <c r="K617" s="491"/>
      <c r="L617" s="471"/>
      <c r="M617" s="471"/>
      <c r="N617" s="484"/>
      <c r="O617" s="513"/>
      <c r="P617" s="507"/>
      <c r="Q617" s="507"/>
      <c r="R617" s="508"/>
      <c r="S617" s="509"/>
      <c r="T617" s="510"/>
      <c r="U617" s="470"/>
      <c r="V617" s="494" t="s">
        <v>59</v>
      </c>
      <c r="W617" s="471"/>
      <c r="X617" s="483"/>
      <c r="Y617" s="483"/>
      <c r="Z617" s="484"/>
      <c r="AA617" s="471"/>
      <c r="AB617" s="474"/>
      <c r="AC617" s="471"/>
      <c r="AD617" s="471"/>
      <c r="AE617" s="471"/>
      <c r="AF617" s="471"/>
      <c r="AG617" s="471"/>
      <c r="AH617" s="471"/>
      <c r="AY617" s="406">
        <f t="shared" si="3"/>
        <v>0</v>
      </c>
      <c r="AZ617" s="471"/>
      <c r="BA617" s="471"/>
      <c r="BB617" s="471"/>
      <c r="BC617" s="471"/>
      <c r="BD617" s="471"/>
      <c r="BE617" s="471"/>
      <c r="BF617" s="471"/>
      <c r="BG617" s="471"/>
      <c r="BH617" s="471"/>
      <c r="BI617" s="471"/>
      <c r="BJ617" s="471"/>
      <c r="BK617" s="471"/>
      <c r="BL617" s="471"/>
      <c r="BM617" s="471"/>
      <c r="BN617" s="471"/>
      <c r="BO617" s="471"/>
      <c r="BP617" s="471"/>
      <c r="BQ617" s="471"/>
      <c r="BR617" s="471"/>
      <c r="BS617" s="471"/>
      <c r="BT617" s="471"/>
      <c r="BU617" s="471"/>
      <c r="BV617" s="471"/>
      <c r="BW617" s="471"/>
      <c r="BX617" s="471"/>
      <c r="BY617" s="471"/>
      <c r="BZ617" s="471"/>
      <c r="CA617" s="471">
        <f>COUNTIF(AI617:AW617,"*OK*")</f>
        <v>0</v>
      </c>
    </row>
    <row r="618" spans="1:79" ht="15" customHeight="1">
      <c r="A618" s="449"/>
      <c r="B618" s="450"/>
      <c r="C618" s="512"/>
      <c r="D618" s="450"/>
      <c r="E618" s="450"/>
      <c r="F618" s="450"/>
      <c r="G618" s="450"/>
      <c r="H618" s="454"/>
      <c r="I618" s="454"/>
      <c r="J618" s="450"/>
      <c r="K618" s="501"/>
      <c r="L618" s="450"/>
      <c r="M618" s="450"/>
      <c r="N618" s="466"/>
      <c r="O618" s="514"/>
      <c r="P618" s="502"/>
      <c r="Q618" s="502"/>
      <c r="R618" s="503"/>
      <c r="S618" s="504"/>
      <c r="T618" s="505"/>
      <c r="U618" s="449"/>
      <c r="V618" s="496" t="s">
        <v>59</v>
      </c>
      <c r="W618" s="450"/>
      <c r="X618" s="465"/>
      <c r="Y618" s="465"/>
      <c r="Z618" s="466"/>
      <c r="AA618" s="450"/>
      <c r="AB618" s="454"/>
      <c r="AC618" s="450"/>
      <c r="AD618" s="450"/>
      <c r="AE618" s="450"/>
      <c r="AF618" s="450"/>
      <c r="AG618" s="450"/>
      <c r="AH618" s="450"/>
      <c r="AY618" s="406">
        <f t="shared" si="3"/>
        <v>0</v>
      </c>
      <c r="AZ618" s="450"/>
      <c r="BA618" s="450"/>
      <c r="BB618" s="450"/>
      <c r="BC618" s="450"/>
      <c r="BD618" s="450"/>
      <c r="BE618" s="450"/>
      <c r="BF618" s="450"/>
      <c r="BG618" s="450"/>
      <c r="BH618" s="450"/>
      <c r="BI618" s="450"/>
      <c r="BJ618" s="450"/>
      <c r="BK618" s="450"/>
      <c r="BL618" s="450"/>
      <c r="BM618" s="450"/>
      <c r="BN618" s="450"/>
      <c r="BO618" s="450"/>
      <c r="BP618" s="450"/>
      <c r="BQ618" s="450"/>
      <c r="BR618" s="450"/>
      <c r="BS618" s="450"/>
      <c r="BT618" s="450"/>
      <c r="BU618" s="450"/>
      <c r="BV618" s="450"/>
      <c r="BW618" s="450"/>
      <c r="BX618" s="450"/>
      <c r="BY618" s="450"/>
      <c r="BZ618" s="450"/>
      <c r="CA618" s="450">
        <f>COUNTIF(AI618:AW618,"*OK*")</f>
        <v>0</v>
      </c>
    </row>
    <row r="619" spans="1:79" ht="15" customHeight="1">
      <c r="A619" s="470"/>
      <c r="B619" s="471"/>
      <c r="C619" s="511"/>
      <c r="D619" s="471"/>
      <c r="E619" s="471"/>
      <c r="F619" s="471"/>
      <c r="G619" s="471"/>
      <c r="H619" s="474"/>
      <c r="I619" s="474"/>
      <c r="J619" s="471"/>
      <c r="K619" s="491"/>
      <c r="L619" s="471"/>
      <c r="M619" s="471"/>
      <c r="N619" s="484"/>
      <c r="O619" s="513"/>
      <c r="P619" s="507"/>
      <c r="Q619" s="507"/>
      <c r="R619" s="508"/>
      <c r="S619" s="509"/>
      <c r="T619" s="510"/>
      <c r="U619" s="470"/>
      <c r="V619" s="494" t="s">
        <v>59</v>
      </c>
      <c r="W619" s="471"/>
      <c r="X619" s="483"/>
      <c r="Y619" s="483"/>
      <c r="Z619" s="484"/>
      <c r="AA619" s="471"/>
      <c r="AB619" s="474"/>
      <c r="AC619" s="471"/>
      <c r="AD619" s="471"/>
      <c r="AE619" s="471"/>
      <c r="AF619" s="471"/>
      <c r="AG619" s="471"/>
      <c r="AH619" s="471"/>
      <c r="AY619" s="406">
        <f t="shared" si="3"/>
        <v>0</v>
      </c>
      <c r="AZ619" s="471"/>
      <c r="BA619" s="471"/>
      <c r="BB619" s="471"/>
      <c r="BC619" s="471"/>
      <c r="BD619" s="471"/>
      <c r="BE619" s="471"/>
      <c r="BF619" s="471"/>
      <c r="BG619" s="471"/>
      <c r="BH619" s="471"/>
      <c r="BI619" s="471"/>
      <c r="BJ619" s="471"/>
      <c r="BK619" s="471"/>
      <c r="BL619" s="471"/>
      <c r="BM619" s="471"/>
      <c r="BN619" s="471"/>
      <c r="BO619" s="471"/>
      <c r="BP619" s="471"/>
      <c r="BQ619" s="471"/>
      <c r="BR619" s="471"/>
      <c r="BS619" s="471"/>
      <c r="BT619" s="471"/>
      <c r="BU619" s="471"/>
      <c r="BV619" s="471"/>
      <c r="BW619" s="471"/>
      <c r="BX619" s="471"/>
      <c r="BY619" s="471"/>
      <c r="BZ619" s="471"/>
      <c r="CA619" s="471">
        <f>COUNTIF(AI619:AW619,"*OK*")</f>
        <v>0</v>
      </c>
    </row>
    <row r="620" spans="1:79" ht="15" customHeight="1">
      <c r="A620" s="449"/>
      <c r="B620" s="450"/>
      <c r="C620" s="512"/>
      <c r="D620" s="450"/>
      <c r="E620" s="450"/>
      <c r="F620" s="450"/>
      <c r="G620" s="450"/>
      <c r="H620" s="454"/>
      <c r="I620" s="454"/>
      <c r="J620" s="450"/>
      <c r="K620" s="501"/>
      <c r="L620" s="450"/>
      <c r="M620" s="450"/>
      <c r="N620" s="466"/>
      <c r="O620" s="514"/>
      <c r="P620" s="502"/>
      <c r="Q620" s="502"/>
      <c r="R620" s="503"/>
      <c r="S620" s="504"/>
      <c r="T620" s="505"/>
      <c r="U620" s="449"/>
      <c r="V620" s="496" t="s">
        <v>59</v>
      </c>
      <c r="W620" s="450"/>
      <c r="X620" s="465"/>
      <c r="Y620" s="465"/>
      <c r="Z620" s="466"/>
      <c r="AA620" s="450"/>
      <c r="AB620" s="454"/>
      <c r="AC620" s="450"/>
      <c r="AD620" s="450"/>
      <c r="AE620" s="450"/>
      <c r="AF620" s="450"/>
      <c r="AG620" s="450"/>
      <c r="AH620" s="450"/>
      <c r="AY620" s="406">
        <f t="shared" si="3"/>
        <v>0</v>
      </c>
      <c r="AZ620" s="450"/>
      <c r="BA620" s="450"/>
      <c r="BB620" s="450"/>
      <c r="BC620" s="450"/>
      <c r="BD620" s="450"/>
      <c r="BE620" s="450"/>
      <c r="BF620" s="450"/>
      <c r="BG620" s="450"/>
      <c r="BH620" s="450"/>
      <c r="BI620" s="450"/>
      <c r="BJ620" s="450"/>
      <c r="BK620" s="450"/>
      <c r="BL620" s="450"/>
      <c r="BM620" s="450"/>
      <c r="BN620" s="450"/>
      <c r="BO620" s="450"/>
      <c r="BP620" s="450"/>
      <c r="BQ620" s="450"/>
      <c r="BR620" s="450"/>
      <c r="BS620" s="450"/>
      <c r="BT620" s="450"/>
      <c r="BU620" s="450"/>
      <c r="BV620" s="450"/>
      <c r="BW620" s="450"/>
      <c r="BX620" s="450"/>
      <c r="BY620" s="450"/>
      <c r="BZ620" s="450"/>
      <c r="CA620" s="450">
        <f>COUNTIF(AI620:AW620,"*OK*")</f>
        <v>0</v>
      </c>
    </row>
    <row r="621" spans="1:79" ht="15" customHeight="1">
      <c r="A621" s="470"/>
      <c r="B621" s="471"/>
      <c r="C621" s="511"/>
      <c r="D621" s="471"/>
      <c r="E621" s="471"/>
      <c r="F621" s="471"/>
      <c r="G621" s="471"/>
      <c r="H621" s="474"/>
      <c r="I621" s="474"/>
      <c r="J621" s="471"/>
      <c r="K621" s="491"/>
      <c r="L621" s="471"/>
      <c r="M621" s="471"/>
      <c r="N621" s="484"/>
      <c r="O621" s="513"/>
      <c r="P621" s="507"/>
      <c r="Q621" s="507"/>
      <c r="R621" s="508"/>
      <c r="S621" s="509"/>
      <c r="T621" s="510"/>
      <c r="U621" s="470"/>
      <c r="V621" s="494" t="s">
        <v>59</v>
      </c>
      <c r="W621" s="471"/>
      <c r="X621" s="483"/>
      <c r="Y621" s="483"/>
      <c r="Z621" s="484"/>
      <c r="AA621" s="471"/>
      <c r="AB621" s="474"/>
      <c r="AC621" s="471"/>
      <c r="AD621" s="471"/>
      <c r="AE621" s="471"/>
      <c r="AF621" s="471"/>
      <c r="AG621" s="471"/>
      <c r="AH621" s="471"/>
      <c r="AY621" s="406">
        <f t="shared" si="3"/>
        <v>0</v>
      </c>
      <c r="AZ621" s="471"/>
      <c r="BA621" s="471"/>
      <c r="BB621" s="471"/>
      <c r="BC621" s="471"/>
      <c r="BD621" s="471"/>
      <c r="BE621" s="471"/>
      <c r="BF621" s="471"/>
      <c r="BG621" s="471"/>
      <c r="BH621" s="471"/>
      <c r="BI621" s="471"/>
      <c r="BJ621" s="471"/>
      <c r="BK621" s="471"/>
      <c r="BL621" s="471"/>
      <c r="BM621" s="471"/>
      <c r="BN621" s="471"/>
      <c r="BO621" s="471"/>
      <c r="BP621" s="471"/>
      <c r="BQ621" s="471"/>
      <c r="BR621" s="471"/>
      <c r="BS621" s="471"/>
      <c r="BT621" s="471"/>
      <c r="BU621" s="471"/>
      <c r="BV621" s="471"/>
      <c r="BW621" s="471"/>
      <c r="BX621" s="471"/>
      <c r="BY621" s="471"/>
      <c r="BZ621" s="471"/>
      <c r="CA621" s="471">
        <f>COUNTIF(AI621:AW621,"*OK*")</f>
        <v>0</v>
      </c>
    </row>
    <row r="622" spans="1:79" ht="15" customHeight="1">
      <c r="A622" s="449"/>
      <c r="B622" s="450"/>
      <c r="C622" s="512"/>
      <c r="D622" s="450"/>
      <c r="E622" s="450"/>
      <c r="F622" s="450"/>
      <c r="G622" s="450"/>
      <c r="H622" s="454"/>
      <c r="I622" s="454"/>
      <c r="J622" s="450"/>
      <c r="K622" s="501"/>
      <c r="L622" s="450"/>
      <c r="M622" s="450"/>
      <c r="N622" s="466"/>
      <c r="O622" s="514"/>
      <c r="P622" s="502"/>
      <c r="Q622" s="502"/>
      <c r="R622" s="503"/>
      <c r="S622" s="504"/>
      <c r="T622" s="505"/>
      <c r="U622" s="449"/>
      <c r="V622" s="496" t="s">
        <v>59</v>
      </c>
      <c r="W622" s="450"/>
      <c r="X622" s="465"/>
      <c r="Y622" s="465"/>
      <c r="Z622" s="466"/>
      <c r="AA622" s="450"/>
      <c r="AB622" s="454"/>
      <c r="AC622" s="450"/>
      <c r="AD622" s="450"/>
      <c r="AE622" s="450"/>
      <c r="AF622" s="450"/>
      <c r="AG622" s="450"/>
      <c r="AH622" s="450"/>
      <c r="AY622" s="406">
        <f t="shared" si="3"/>
        <v>0</v>
      </c>
      <c r="AZ622" s="450"/>
      <c r="BA622" s="450"/>
      <c r="BB622" s="450"/>
      <c r="BC622" s="450"/>
      <c r="BD622" s="450"/>
      <c r="BE622" s="450"/>
      <c r="BF622" s="450"/>
      <c r="BG622" s="450"/>
      <c r="BH622" s="450"/>
      <c r="BI622" s="450"/>
      <c r="BJ622" s="450"/>
      <c r="BK622" s="450"/>
      <c r="BL622" s="450"/>
      <c r="BM622" s="450"/>
      <c r="BN622" s="450"/>
      <c r="BO622" s="450"/>
      <c r="BP622" s="450"/>
      <c r="BQ622" s="450"/>
      <c r="BR622" s="450"/>
      <c r="BS622" s="450"/>
      <c r="BT622" s="450"/>
      <c r="BU622" s="450"/>
      <c r="BV622" s="450"/>
      <c r="BW622" s="450"/>
      <c r="BX622" s="450"/>
      <c r="BY622" s="450"/>
      <c r="BZ622" s="450"/>
      <c r="CA622" s="450">
        <f>COUNTIF(AI622:AW622,"*OK*")</f>
        <v>0</v>
      </c>
    </row>
    <row r="623" spans="1:79" ht="15" customHeight="1">
      <c r="A623" s="470"/>
      <c r="B623" s="471"/>
      <c r="C623" s="511"/>
      <c r="D623" s="471"/>
      <c r="E623" s="471"/>
      <c r="F623" s="471"/>
      <c r="G623" s="471"/>
      <c r="H623" s="474"/>
      <c r="I623" s="474"/>
      <c r="J623" s="471"/>
      <c r="K623" s="491"/>
      <c r="L623" s="471"/>
      <c r="M623" s="471"/>
      <c r="N623" s="484"/>
      <c r="O623" s="513"/>
      <c r="P623" s="507"/>
      <c r="Q623" s="507"/>
      <c r="R623" s="508"/>
      <c r="S623" s="509"/>
      <c r="T623" s="510"/>
      <c r="U623" s="470"/>
      <c r="V623" s="494" t="s">
        <v>59</v>
      </c>
      <c r="W623" s="471"/>
      <c r="X623" s="483"/>
      <c r="Y623" s="483"/>
      <c r="Z623" s="484"/>
      <c r="AA623" s="471"/>
      <c r="AB623" s="474"/>
      <c r="AC623" s="471"/>
      <c r="AD623" s="471"/>
      <c r="AE623" s="471"/>
      <c r="AF623" s="471"/>
      <c r="AG623" s="471"/>
      <c r="AH623" s="471"/>
      <c r="AY623" s="406">
        <f t="shared" si="3"/>
        <v>0</v>
      </c>
      <c r="AZ623" s="471"/>
      <c r="BA623" s="471"/>
      <c r="BB623" s="471"/>
      <c r="BC623" s="471"/>
      <c r="BD623" s="471"/>
      <c r="BE623" s="471"/>
      <c r="BF623" s="471"/>
      <c r="BG623" s="471"/>
      <c r="BH623" s="471"/>
      <c r="BI623" s="471"/>
      <c r="BJ623" s="471"/>
      <c r="BK623" s="471"/>
      <c r="BL623" s="471"/>
      <c r="BM623" s="471"/>
      <c r="BN623" s="471"/>
      <c r="BO623" s="471"/>
      <c r="BP623" s="471"/>
      <c r="BQ623" s="471"/>
      <c r="BR623" s="471"/>
      <c r="BS623" s="471"/>
      <c r="BT623" s="471"/>
      <c r="BU623" s="471"/>
      <c r="BV623" s="471"/>
      <c r="BW623" s="471"/>
      <c r="BX623" s="471"/>
      <c r="BY623" s="471"/>
      <c r="BZ623" s="471"/>
      <c r="CA623" s="471">
        <f>COUNTIF(AI623:AW623,"*OK*")</f>
        <v>0</v>
      </c>
    </row>
    <row r="624" spans="1:79" ht="15" customHeight="1">
      <c r="A624" s="449"/>
      <c r="B624" s="450"/>
      <c r="C624" s="512"/>
      <c r="D624" s="450"/>
      <c r="E624" s="450"/>
      <c r="F624" s="450"/>
      <c r="G624" s="450"/>
      <c r="H624" s="454"/>
      <c r="I624" s="454"/>
      <c r="J624" s="450"/>
      <c r="K624" s="501"/>
      <c r="L624" s="450"/>
      <c r="M624" s="450"/>
      <c r="N624" s="466"/>
      <c r="O624" s="514"/>
      <c r="P624" s="502"/>
      <c r="Q624" s="502"/>
      <c r="R624" s="503"/>
      <c r="S624" s="504"/>
      <c r="T624" s="505"/>
      <c r="U624" s="449"/>
      <c r="V624" s="496" t="s">
        <v>59</v>
      </c>
      <c r="W624" s="450"/>
      <c r="X624" s="465"/>
      <c r="Y624" s="465"/>
      <c r="Z624" s="466"/>
      <c r="AA624" s="450"/>
      <c r="AB624" s="454"/>
      <c r="AC624" s="450"/>
      <c r="AD624" s="450"/>
      <c r="AE624" s="450"/>
      <c r="AF624" s="450"/>
      <c r="AG624" s="450"/>
      <c r="AH624" s="450"/>
      <c r="AY624" s="406">
        <f t="shared" si="3"/>
        <v>0</v>
      </c>
      <c r="AZ624" s="450"/>
      <c r="BA624" s="450"/>
      <c r="BB624" s="450"/>
      <c r="BC624" s="450"/>
      <c r="BD624" s="450"/>
      <c r="BE624" s="450"/>
      <c r="BF624" s="450"/>
      <c r="BG624" s="450"/>
      <c r="BH624" s="450"/>
      <c r="BI624" s="450"/>
      <c r="BJ624" s="450"/>
      <c r="BK624" s="450"/>
      <c r="BL624" s="450"/>
      <c r="BM624" s="450"/>
      <c r="BN624" s="450"/>
      <c r="BO624" s="450"/>
      <c r="BP624" s="450"/>
      <c r="BQ624" s="450"/>
      <c r="BR624" s="450"/>
      <c r="BS624" s="450"/>
      <c r="BT624" s="450"/>
      <c r="BU624" s="450"/>
      <c r="BV624" s="450"/>
      <c r="BW624" s="450"/>
      <c r="BX624" s="450"/>
      <c r="BY624" s="450"/>
      <c r="BZ624" s="450"/>
      <c r="CA624" s="450">
        <f>COUNTIF(AI624:AW624,"*OK*")</f>
        <v>0</v>
      </c>
    </row>
    <row r="625" spans="1:79" ht="15" customHeight="1">
      <c r="A625" s="470"/>
      <c r="B625" s="471"/>
      <c r="C625" s="511"/>
      <c r="D625" s="471"/>
      <c r="E625" s="471"/>
      <c r="F625" s="471"/>
      <c r="G625" s="471"/>
      <c r="H625" s="474"/>
      <c r="I625" s="474"/>
      <c r="J625" s="471"/>
      <c r="K625" s="491"/>
      <c r="L625" s="471"/>
      <c r="M625" s="471"/>
      <c r="N625" s="484"/>
      <c r="O625" s="513"/>
      <c r="P625" s="507"/>
      <c r="Q625" s="507"/>
      <c r="R625" s="508"/>
      <c r="S625" s="509"/>
      <c r="T625" s="510"/>
      <c r="U625" s="470"/>
      <c r="V625" s="494" t="s">
        <v>59</v>
      </c>
      <c r="W625" s="471"/>
      <c r="X625" s="483"/>
      <c r="Y625" s="483"/>
      <c r="Z625" s="484"/>
      <c r="AA625" s="471"/>
      <c r="AB625" s="474"/>
      <c r="AC625" s="471"/>
      <c r="AD625" s="471"/>
      <c r="AE625" s="471"/>
      <c r="AF625" s="471"/>
      <c r="AG625" s="471"/>
      <c r="AH625" s="471"/>
      <c r="AY625" s="406">
        <f t="shared" si="3"/>
        <v>0</v>
      </c>
      <c r="AZ625" s="471"/>
      <c r="BA625" s="471"/>
      <c r="BB625" s="471"/>
      <c r="BC625" s="471"/>
      <c r="BD625" s="471"/>
      <c r="BE625" s="471"/>
      <c r="BF625" s="471"/>
      <c r="BG625" s="471"/>
      <c r="BH625" s="471"/>
      <c r="BI625" s="471"/>
      <c r="BJ625" s="471"/>
      <c r="BK625" s="471"/>
      <c r="BL625" s="471"/>
      <c r="BM625" s="471"/>
      <c r="BN625" s="471"/>
      <c r="BO625" s="471"/>
      <c r="BP625" s="471"/>
      <c r="BQ625" s="471"/>
      <c r="BR625" s="471"/>
      <c r="BS625" s="471"/>
      <c r="BT625" s="471"/>
      <c r="BU625" s="471"/>
      <c r="BV625" s="471"/>
      <c r="BW625" s="471"/>
      <c r="BX625" s="471"/>
      <c r="BY625" s="471"/>
      <c r="BZ625" s="471"/>
      <c r="CA625" s="471">
        <f>COUNTIF(AI625:AW625,"*OK*")</f>
        <v>0</v>
      </c>
    </row>
    <row r="626" spans="1:79" ht="15" customHeight="1">
      <c r="A626" s="449"/>
      <c r="B626" s="450"/>
      <c r="C626" s="512"/>
      <c r="D626" s="450"/>
      <c r="E626" s="450"/>
      <c r="F626" s="450"/>
      <c r="G626" s="450"/>
      <c r="H626" s="454"/>
      <c r="I626" s="454"/>
      <c r="J626" s="450"/>
      <c r="K626" s="501"/>
      <c r="L626" s="450"/>
      <c r="M626" s="450"/>
      <c r="N626" s="466"/>
      <c r="O626" s="514"/>
      <c r="P626" s="502"/>
      <c r="Q626" s="502"/>
      <c r="R626" s="503"/>
      <c r="S626" s="504"/>
      <c r="T626" s="505"/>
      <c r="U626" s="449"/>
      <c r="V626" s="496" t="s">
        <v>59</v>
      </c>
      <c r="W626" s="450"/>
      <c r="X626" s="465"/>
      <c r="Y626" s="465"/>
      <c r="Z626" s="466"/>
      <c r="AA626" s="450"/>
      <c r="AB626" s="454"/>
      <c r="AC626" s="450"/>
      <c r="AD626" s="450"/>
      <c r="AE626" s="450"/>
      <c r="AF626" s="450"/>
      <c r="AG626" s="450"/>
      <c r="AH626" s="450"/>
      <c r="AY626" s="406">
        <f t="shared" si="3"/>
        <v>0</v>
      </c>
      <c r="AZ626" s="450"/>
      <c r="BA626" s="450"/>
      <c r="BB626" s="450"/>
      <c r="BC626" s="450"/>
      <c r="BD626" s="450"/>
      <c r="BE626" s="450"/>
      <c r="BF626" s="450"/>
      <c r="BG626" s="450"/>
      <c r="BH626" s="450"/>
      <c r="BI626" s="450"/>
      <c r="BJ626" s="450"/>
      <c r="BK626" s="450"/>
      <c r="BL626" s="450"/>
      <c r="BM626" s="450"/>
      <c r="BN626" s="450"/>
      <c r="BO626" s="450"/>
      <c r="BP626" s="450"/>
      <c r="BQ626" s="450"/>
      <c r="BR626" s="450"/>
      <c r="BS626" s="450"/>
      <c r="BT626" s="450"/>
      <c r="BU626" s="450"/>
      <c r="BV626" s="450"/>
      <c r="BW626" s="450"/>
      <c r="BX626" s="450"/>
      <c r="BY626" s="450"/>
      <c r="BZ626" s="450"/>
      <c r="CA626" s="450">
        <f>COUNTIF(AI626:AW626,"*OK*")</f>
        <v>0</v>
      </c>
    </row>
    <row r="627" spans="1:79" ht="15" customHeight="1">
      <c r="A627" s="470"/>
      <c r="B627" s="471"/>
      <c r="C627" s="511"/>
      <c r="D627" s="471"/>
      <c r="E627" s="471"/>
      <c r="F627" s="471"/>
      <c r="G627" s="471"/>
      <c r="H627" s="474"/>
      <c r="I627" s="474"/>
      <c r="J627" s="471"/>
      <c r="K627" s="491"/>
      <c r="L627" s="471"/>
      <c r="M627" s="471"/>
      <c r="N627" s="484"/>
      <c r="O627" s="513"/>
      <c r="P627" s="507"/>
      <c r="Q627" s="507"/>
      <c r="R627" s="508"/>
      <c r="S627" s="509"/>
      <c r="T627" s="510"/>
      <c r="U627" s="470"/>
      <c r="V627" s="494" t="s">
        <v>59</v>
      </c>
      <c r="W627" s="471"/>
      <c r="X627" s="483"/>
      <c r="Y627" s="483"/>
      <c r="Z627" s="484"/>
      <c r="AA627" s="471"/>
      <c r="AB627" s="474"/>
      <c r="AC627" s="471"/>
      <c r="AD627" s="471"/>
      <c r="AE627" s="471"/>
      <c r="AF627" s="471"/>
      <c r="AG627" s="471"/>
      <c r="AH627" s="471"/>
      <c r="AY627" s="406">
        <f t="shared" si="3"/>
        <v>0</v>
      </c>
      <c r="AZ627" s="471"/>
      <c r="BA627" s="471"/>
      <c r="BB627" s="471"/>
      <c r="BC627" s="471"/>
      <c r="BD627" s="471"/>
      <c r="BE627" s="471"/>
      <c r="BF627" s="471"/>
      <c r="BG627" s="471"/>
      <c r="BH627" s="471"/>
      <c r="BI627" s="471"/>
      <c r="BJ627" s="471"/>
      <c r="BK627" s="471"/>
      <c r="BL627" s="471"/>
      <c r="BM627" s="471"/>
      <c r="BN627" s="471"/>
      <c r="BO627" s="471"/>
      <c r="BP627" s="471"/>
      <c r="BQ627" s="471"/>
      <c r="BR627" s="471"/>
      <c r="BS627" s="471"/>
      <c r="BT627" s="471"/>
      <c r="BU627" s="471"/>
      <c r="BV627" s="471"/>
      <c r="BW627" s="471"/>
      <c r="BX627" s="471"/>
      <c r="BY627" s="471"/>
      <c r="BZ627" s="471"/>
      <c r="CA627" s="471">
        <f>COUNTIF(AI627:AW627,"*OK*")</f>
        <v>0</v>
      </c>
    </row>
    <row r="628" spans="1:79" ht="15" customHeight="1">
      <c r="A628" s="449"/>
      <c r="B628" s="450"/>
      <c r="C628" s="512"/>
      <c r="D628" s="450"/>
      <c r="E628" s="450"/>
      <c r="F628" s="450"/>
      <c r="G628" s="450"/>
      <c r="H628" s="454"/>
      <c r="I628" s="454"/>
      <c r="J628" s="450"/>
      <c r="K628" s="501"/>
      <c r="L628" s="450"/>
      <c r="M628" s="450"/>
      <c r="N628" s="466"/>
      <c r="O628" s="514"/>
      <c r="P628" s="502"/>
      <c r="Q628" s="502"/>
      <c r="R628" s="503"/>
      <c r="S628" s="504"/>
      <c r="T628" s="505"/>
      <c r="U628" s="449"/>
      <c r="V628" s="496" t="s">
        <v>59</v>
      </c>
      <c r="W628" s="450"/>
      <c r="X628" s="465"/>
      <c r="Y628" s="465"/>
      <c r="Z628" s="466"/>
      <c r="AA628" s="450"/>
      <c r="AB628" s="454"/>
      <c r="AC628" s="450"/>
      <c r="AD628" s="450"/>
      <c r="AE628" s="450"/>
      <c r="AF628" s="450"/>
      <c r="AG628" s="450"/>
      <c r="AH628" s="450"/>
      <c r="AY628" s="406">
        <f t="shared" si="3"/>
        <v>0</v>
      </c>
      <c r="AZ628" s="450"/>
      <c r="BA628" s="450"/>
      <c r="BB628" s="450"/>
      <c r="BC628" s="450"/>
      <c r="BD628" s="450"/>
      <c r="BE628" s="450"/>
      <c r="BF628" s="450"/>
      <c r="BG628" s="450"/>
      <c r="BH628" s="450"/>
      <c r="BI628" s="450"/>
      <c r="BJ628" s="450"/>
      <c r="BK628" s="450"/>
      <c r="BL628" s="450"/>
      <c r="BM628" s="450"/>
      <c r="BN628" s="450"/>
      <c r="BO628" s="450"/>
      <c r="BP628" s="450"/>
      <c r="BQ628" s="450"/>
      <c r="BR628" s="450"/>
      <c r="BS628" s="450"/>
      <c r="BT628" s="450"/>
      <c r="BU628" s="450"/>
      <c r="BV628" s="450"/>
      <c r="BW628" s="450"/>
      <c r="BX628" s="450"/>
      <c r="BY628" s="450"/>
      <c r="BZ628" s="450"/>
      <c r="CA628" s="450">
        <f>COUNTIF(AI628:AW628,"*OK*")</f>
        <v>0</v>
      </c>
    </row>
    <row r="629" spans="1:79" ht="15" customHeight="1">
      <c r="A629" s="470"/>
      <c r="B629" s="471"/>
      <c r="C629" s="511"/>
      <c r="D629" s="471"/>
      <c r="E629" s="471"/>
      <c r="F629" s="471"/>
      <c r="G629" s="471"/>
      <c r="H629" s="474"/>
      <c r="I629" s="474"/>
      <c r="J629" s="471"/>
      <c r="K629" s="491"/>
      <c r="L629" s="471"/>
      <c r="M629" s="471"/>
      <c r="N629" s="484"/>
      <c r="O629" s="513"/>
      <c r="P629" s="507"/>
      <c r="Q629" s="507"/>
      <c r="R629" s="508"/>
      <c r="S629" s="509"/>
      <c r="T629" s="510"/>
      <c r="U629" s="470"/>
      <c r="V629" s="494" t="s">
        <v>59</v>
      </c>
      <c r="W629" s="471"/>
      <c r="X629" s="483"/>
      <c r="Y629" s="483"/>
      <c r="Z629" s="484"/>
      <c r="AA629" s="471"/>
      <c r="AB629" s="474"/>
      <c r="AC629" s="471"/>
      <c r="AD629" s="471"/>
      <c r="AE629" s="471"/>
      <c r="AF629" s="471"/>
      <c r="AG629" s="471"/>
      <c r="AH629" s="471"/>
      <c r="AY629" s="406">
        <f t="shared" si="3"/>
        <v>0</v>
      </c>
      <c r="AZ629" s="471"/>
      <c r="BA629" s="471"/>
      <c r="BB629" s="471"/>
      <c r="BC629" s="471"/>
      <c r="BD629" s="471"/>
      <c r="BE629" s="471"/>
      <c r="BF629" s="471"/>
      <c r="BG629" s="471"/>
      <c r="BH629" s="471"/>
      <c r="BI629" s="471"/>
      <c r="BJ629" s="471"/>
      <c r="BK629" s="471"/>
      <c r="BL629" s="471"/>
      <c r="BM629" s="471"/>
      <c r="BN629" s="471"/>
      <c r="BO629" s="471"/>
      <c r="BP629" s="471"/>
      <c r="BQ629" s="471"/>
      <c r="BR629" s="471"/>
      <c r="BS629" s="471"/>
      <c r="BT629" s="471"/>
      <c r="BU629" s="471"/>
      <c r="BV629" s="471"/>
      <c r="BW629" s="471"/>
      <c r="BX629" s="471"/>
      <c r="BY629" s="471"/>
      <c r="BZ629" s="471"/>
      <c r="CA629" s="471">
        <f>COUNTIF(AI629:AW629,"*OK*")</f>
        <v>0</v>
      </c>
    </row>
    <row r="630" spans="1:79" ht="15" customHeight="1">
      <c r="A630" s="449"/>
      <c r="B630" s="450"/>
      <c r="C630" s="512"/>
      <c r="D630" s="450"/>
      <c r="E630" s="450"/>
      <c r="F630" s="450"/>
      <c r="G630" s="450"/>
      <c r="H630" s="454"/>
      <c r="I630" s="454"/>
      <c r="J630" s="450"/>
      <c r="K630" s="501"/>
      <c r="L630" s="450"/>
      <c r="M630" s="450"/>
      <c r="N630" s="466"/>
      <c r="O630" s="514"/>
      <c r="P630" s="502"/>
      <c r="Q630" s="502"/>
      <c r="R630" s="503"/>
      <c r="S630" s="504"/>
      <c r="T630" s="505"/>
      <c r="U630" s="449"/>
      <c r="V630" s="496" t="s">
        <v>59</v>
      </c>
      <c r="W630" s="450"/>
      <c r="X630" s="465"/>
      <c r="Y630" s="465"/>
      <c r="Z630" s="466"/>
      <c r="AA630" s="450"/>
      <c r="AB630" s="454"/>
      <c r="AC630" s="450"/>
      <c r="AD630" s="450"/>
      <c r="AE630" s="450"/>
      <c r="AF630" s="450"/>
      <c r="AG630" s="450"/>
      <c r="AH630" s="450"/>
      <c r="AY630" s="406">
        <f t="shared" si="3"/>
        <v>0</v>
      </c>
      <c r="AZ630" s="450"/>
      <c r="BA630" s="450"/>
      <c r="BB630" s="450"/>
      <c r="BC630" s="450"/>
      <c r="BD630" s="450"/>
      <c r="BE630" s="450"/>
      <c r="BF630" s="450"/>
      <c r="BG630" s="450"/>
      <c r="BH630" s="450"/>
      <c r="BI630" s="450"/>
      <c r="BJ630" s="450"/>
      <c r="BK630" s="450"/>
      <c r="BL630" s="450"/>
      <c r="BM630" s="450"/>
      <c r="BN630" s="450"/>
      <c r="BO630" s="450"/>
      <c r="BP630" s="450"/>
      <c r="BQ630" s="450"/>
      <c r="BR630" s="450"/>
      <c r="BS630" s="450"/>
      <c r="BT630" s="450"/>
      <c r="BU630" s="450"/>
      <c r="BV630" s="450"/>
      <c r="BW630" s="450"/>
      <c r="BX630" s="450"/>
      <c r="BY630" s="450"/>
      <c r="BZ630" s="450"/>
      <c r="CA630" s="450">
        <f>COUNTIF(AI630:AW630,"*OK*")</f>
        <v>0</v>
      </c>
    </row>
    <row r="631" spans="1:79" ht="15" customHeight="1">
      <c r="A631" s="470"/>
      <c r="B631" s="471"/>
      <c r="C631" s="511"/>
      <c r="D631" s="471"/>
      <c r="E631" s="471"/>
      <c r="F631" s="471"/>
      <c r="G631" s="471"/>
      <c r="H631" s="474"/>
      <c r="I631" s="474"/>
      <c r="J631" s="471"/>
      <c r="K631" s="491"/>
      <c r="L631" s="471"/>
      <c r="M631" s="471"/>
      <c r="N631" s="484"/>
      <c r="O631" s="513"/>
      <c r="P631" s="507"/>
      <c r="Q631" s="507"/>
      <c r="R631" s="508"/>
      <c r="S631" s="509"/>
      <c r="T631" s="510"/>
      <c r="U631" s="470"/>
      <c r="V631" s="494" t="s">
        <v>59</v>
      </c>
      <c r="W631" s="471"/>
      <c r="X631" s="483"/>
      <c r="Y631" s="483"/>
      <c r="Z631" s="484"/>
      <c r="AA631" s="471"/>
      <c r="AB631" s="474"/>
      <c r="AC631" s="471"/>
      <c r="AD631" s="471"/>
      <c r="AE631" s="471"/>
      <c r="AF631" s="471"/>
      <c r="AG631" s="471"/>
      <c r="AH631" s="471"/>
      <c r="AY631" s="406">
        <f t="shared" si="3"/>
        <v>0</v>
      </c>
      <c r="AZ631" s="471"/>
      <c r="BA631" s="471"/>
      <c r="BB631" s="471"/>
      <c r="BC631" s="471"/>
      <c r="BD631" s="471"/>
      <c r="BE631" s="471"/>
      <c r="BF631" s="471"/>
      <c r="BG631" s="471"/>
      <c r="BH631" s="471"/>
      <c r="BI631" s="471"/>
      <c r="BJ631" s="471"/>
      <c r="BK631" s="471"/>
      <c r="BL631" s="471"/>
      <c r="BM631" s="471"/>
      <c r="BN631" s="471"/>
      <c r="BO631" s="471"/>
      <c r="BP631" s="471"/>
      <c r="BQ631" s="471"/>
      <c r="BR631" s="471"/>
      <c r="BS631" s="471"/>
      <c r="BT631" s="471"/>
      <c r="BU631" s="471"/>
      <c r="BV631" s="471"/>
      <c r="BW631" s="471"/>
      <c r="BX631" s="471"/>
      <c r="BY631" s="471"/>
      <c r="BZ631" s="471"/>
      <c r="CA631" s="471">
        <f>COUNTIF(AI631:AW631,"*OK*")</f>
        <v>0</v>
      </c>
    </row>
    <row r="632" spans="1:79" ht="15" customHeight="1">
      <c r="A632" s="449"/>
      <c r="B632" s="450"/>
      <c r="C632" s="512"/>
      <c r="D632" s="450"/>
      <c r="E632" s="450"/>
      <c r="F632" s="450"/>
      <c r="G632" s="450"/>
      <c r="H632" s="454"/>
      <c r="I632" s="454"/>
      <c r="J632" s="450"/>
      <c r="K632" s="501"/>
      <c r="L632" s="450"/>
      <c r="M632" s="450"/>
      <c r="N632" s="466"/>
      <c r="O632" s="514"/>
      <c r="P632" s="502"/>
      <c r="Q632" s="502"/>
      <c r="R632" s="503"/>
      <c r="S632" s="504"/>
      <c r="T632" s="505"/>
      <c r="U632" s="449"/>
      <c r="V632" s="496" t="s">
        <v>59</v>
      </c>
      <c r="W632" s="450"/>
      <c r="X632" s="465"/>
      <c r="Y632" s="465"/>
      <c r="Z632" s="466"/>
      <c r="AA632" s="450"/>
      <c r="AB632" s="454"/>
      <c r="AC632" s="450"/>
      <c r="AD632" s="450"/>
      <c r="AE632" s="450"/>
      <c r="AF632" s="450"/>
      <c r="AG632" s="450"/>
      <c r="AH632" s="450"/>
      <c r="AY632" s="406">
        <f t="shared" si="3"/>
        <v>0</v>
      </c>
      <c r="AZ632" s="450"/>
      <c r="BA632" s="450"/>
      <c r="BB632" s="450"/>
      <c r="BC632" s="450"/>
      <c r="BD632" s="450"/>
      <c r="BE632" s="450"/>
      <c r="BF632" s="450"/>
      <c r="BG632" s="450"/>
      <c r="BH632" s="450"/>
      <c r="BI632" s="450"/>
      <c r="BJ632" s="450"/>
      <c r="BK632" s="450"/>
      <c r="BL632" s="450"/>
      <c r="BM632" s="450"/>
      <c r="BN632" s="450"/>
      <c r="BO632" s="450"/>
      <c r="BP632" s="450"/>
      <c r="BQ632" s="450"/>
      <c r="BR632" s="450"/>
      <c r="BS632" s="450"/>
      <c r="BT632" s="450"/>
      <c r="BU632" s="450"/>
      <c r="BV632" s="450"/>
      <c r="BW632" s="450"/>
      <c r="BX632" s="450"/>
      <c r="BY632" s="450"/>
      <c r="BZ632" s="450"/>
      <c r="CA632" s="450">
        <f>COUNTIF(AI632:AW632,"*OK*")</f>
        <v>0</v>
      </c>
    </row>
    <row r="633" spans="1:79" ht="15" hidden="1" customHeight="1">
      <c r="T633" s="515"/>
      <c r="AY633" s="406">
        <f t="shared" si="3"/>
        <v>0</v>
      </c>
    </row>
    <row r="634" spans="1:79" ht="15" hidden="1" customHeight="1">
      <c r="T634" s="515"/>
      <c r="AY634" s="406">
        <f t="shared" si="3"/>
        <v>0</v>
      </c>
    </row>
    <row r="635" spans="1:79" ht="15" customHeight="1">
      <c r="T635" s="515"/>
      <c r="AY635" s="406">
        <f t="shared" si="3"/>
        <v>0</v>
      </c>
    </row>
    <row r="636" spans="1:79" ht="15" customHeight="1">
      <c r="T636" s="515"/>
      <c r="AY636" s="406">
        <f t="shared" si="3"/>
        <v>0</v>
      </c>
    </row>
    <row r="637" spans="1:79" ht="15" customHeight="1">
      <c r="T637" s="515"/>
      <c r="AY637" s="406">
        <f t="shared" si="3"/>
        <v>0</v>
      </c>
    </row>
    <row r="638" spans="1:79" ht="15" customHeight="1">
      <c r="T638" s="515"/>
      <c r="AY638" s="406">
        <f t="shared" si="3"/>
        <v>0</v>
      </c>
    </row>
    <row r="639" spans="1:79" ht="15" customHeight="1">
      <c r="T639" s="515"/>
      <c r="AY639" s="406">
        <f t="shared" si="3"/>
        <v>0</v>
      </c>
    </row>
    <row r="640" spans="1:79" ht="15" hidden="1" customHeight="1">
      <c r="N640" s="466" t="s">
        <v>103</v>
      </c>
      <c r="T640" s="515"/>
      <c r="AY640" s="406">
        <f t="shared" si="3"/>
        <v>0</v>
      </c>
    </row>
    <row r="641" spans="14:51" ht="15" hidden="1" customHeight="1">
      <c r="N641" s="484" t="s">
        <v>103</v>
      </c>
      <c r="T641" s="515"/>
      <c r="AY641" s="406">
        <f t="shared" si="3"/>
        <v>0</v>
      </c>
    </row>
    <row r="642" spans="14:51" ht="15" hidden="1" customHeight="1">
      <c r="N642" s="466"/>
      <c r="T642" s="515"/>
      <c r="AY642" s="406">
        <f t="shared" si="3"/>
        <v>0</v>
      </c>
    </row>
    <row r="643" spans="14:51" ht="15" hidden="1" customHeight="1">
      <c r="N643" s="484" t="s">
        <v>103</v>
      </c>
      <c r="T643" s="515"/>
      <c r="AY643" s="406">
        <f t="shared" si="3"/>
        <v>0</v>
      </c>
    </row>
    <row r="644" spans="14:51" ht="15" hidden="1" customHeight="1">
      <c r="N644" s="466" t="s">
        <v>117</v>
      </c>
      <c r="T644" s="515"/>
      <c r="AY644" s="406">
        <f t="shared" ref="AY644:AY703" si="4">COUNTIF(AI644:AX644,"*OP*")</f>
        <v>0</v>
      </c>
    </row>
    <row r="645" spans="14:51" ht="15" hidden="1" customHeight="1">
      <c r="N645" s="484" t="s">
        <v>169</v>
      </c>
      <c r="T645" s="515"/>
      <c r="AY645" s="406">
        <f t="shared" si="4"/>
        <v>0</v>
      </c>
    </row>
    <row r="646" spans="14:51" ht="15" hidden="1" customHeight="1">
      <c r="T646" s="515"/>
      <c r="AY646" s="406">
        <f t="shared" si="4"/>
        <v>0</v>
      </c>
    </row>
    <row r="647" spans="14:51" ht="15" hidden="1" customHeight="1">
      <c r="T647" s="515"/>
      <c r="AY647" s="406">
        <f t="shared" si="4"/>
        <v>0</v>
      </c>
    </row>
    <row r="648" spans="14:51" ht="15" hidden="1" customHeight="1">
      <c r="T648" s="515"/>
      <c r="AY648" s="406">
        <f t="shared" si="4"/>
        <v>0</v>
      </c>
    </row>
    <row r="649" spans="14:51" ht="15" hidden="1" customHeight="1">
      <c r="T649" s="515"/>
      <c r="AY649" s="406">
        <f t="shared" si="4"/>
        <v>0</v>
      </c>
    </row>
    <row r="650" spans="14:51" ht="15" hidden="1" customHeight="1">
      <c r="T650" s="515"/>
      <c r="AY650" s="406">
        <f t="shared" si="4"/>
        <v>0</v>
      </c>
    </row>
    <row r="651" spans="14:51" ht="15" hidden="1" customHeight="1">
      <c r="N651" s="484" t="s">
        <v>174</v>
      </c>
      <c r="T651" s="515"/>
      <c r="AY651" s="406">
        <f t="shared" si="4"/>
        <v>0</v>
      </c>
    </row>
    <row r="652" spans="14:51" ht="15" hidden="1" customHeight="1">
      <c r="N652" s="466"/>
      <c r="T652" s="515"/>
      <c r="AY652" s="406">
        <f t="shared" si="4"/>
        <v>0</v>
      </c>
    </row>
    <row r="653" spans="14:51" ht="15" hidden="1" customHeight="1">
      <c r="N653" s="484"/>
      <c r="T653" s="515"/>
      <c r="AY653" s="406">
        <f t="shared" si="4"/>
        <v>0</v>
      </c>
    </row>
    <row r="654" spans="14:51" ht="15" hidden="1" customHeight="1">
      <c r="N654" s="466"/>
      <c r="T654" s="515"/>
      <c r="AY654" s="406">
        <f t="shared" si="4"/>
        <v>0</v>
      </c>
    </row>
    <row r="655" spans="14:51" ht="15" hidden="1" customHeight="1">
      <c r="N655" s="484" t="s">
        <v>156</v>
      </c>
      <c r="T655" s="515"/>
      <c r="AY655" s="406">
        <f t="shared" si="4"/>
        <v>0</v>
      </c>
    </row>
    <row r="656" spans="14:51" ht="15" hidden="1" customHeight="1">
      <c r="N656" s="466" t="s">
        <v>103</v>
      </c>
      <c r="T656" s="515"/>
      <c r="AY656" s="406">
        <f t="shared" si="4"/>
        <v>0</v>
      </c>
    </row>
    <row r="657" spans="14:51" ht="15" hidden="1" customHeight="1">
      <c r="N657" s="484"/>
      <c r="T657" s="515"/>
      <c r="AY657" s="406">
        <f t="shared" si="4"/>
        <v>0</v>
      </c>
    </row>
    <row r="658" spans="14:51" ht="15" hidden="1" customHeight="1">
      <c r="N658" s="466" t="s">
        <v>103</v>
      </c>
      <c r="T658" s="515"/>
      <c r="AY658" s="406">
        <f t="shared" si="4"/>
        <v>0</v>
      </c>
    </row>
    <row r="659" spans="14:51" ht="15" hidden="1" customHeight="1">
      <c r="N659" s="484"/>
      <c r="T659" s="515"/>
      <c r="AY659" s="406">
        <f t="shared" si="4"/>
        <v>0</v>
      </c>
    </row>
    <row r="660" spans="14:51" ht="15" hidden="1" customHeight="1">
      <c r="N660" s="466" t="s">
        <v>103</v>
      </c>
      <c r="T660" s="515"/>
      <c r="AY660" s="406">
        <f t="shared" si="4"/>
        <v>0</v>
      </c>
    </row>
    <row r="661" spans="14:51" ht="15" hidden="1" customHeight="1">
      <c r="N661" s="484" t="s">
        <v>500</v>
      </c>
      <c r="T661" s="515"/>
      <c r="AY661" s="406">
        <f t="shared" si="4"/>
        <v>0</v>
      </c>
    </row>
    <row r="662" spans="14:51" ht="15" hidden="1" customHeight="1">
      <c r="N662" s="466" t="s">
        <v>264</v>
      </c>
      <c r="T662" s="515"/>
      <c r="AY662" s="406">
        <f t="shared" si="4"/>
        <v>0</v>
      </c>
    </row>
    <row r="663" spans="14:51" ht="15" hidden="1" customHeight="1">
      <c r="T663" s="515"/>
      <c r="AY663" s="406">
        <f t="shared" si="4"/>
        <v>0</v>
      </c>
    </row>
    <row r="664" spans="14:51" ht="15" hidden="1" customHeight="1">
      <c r="T664" s="515"/>
      <c r="AY664" s="406">
        <f t="shared" si="4"/>
        <v>0</v>
      </c>
    </row>
    <row r="665" spans="14:51" ht="15" hidden="1" customHeight="1">
      <c r="T665" s="515"/>
      <c r="AY665" s="406">
        <f t="shared" si="4"/>
        <v>0</v>
      </c>
    </row>
    <row r="666" spans="14:51" ht="15" hidden="1" customHeight="1">
      <c r="T666" s="515"/>
      <c r="AY666" s="406">
        <f t="shared" si="4"/>
        <v>0</v>
      </c>
    </row>
    <row r="667" spans="14:51" ht="15" customHeight="1">
      <c r="T667" s="515"/>
      <c r="AY667" s="406">
        <f t="shared" si="4"/>
        <v>0</v>
      </c>
    </row>
    <row r="668" spans="14:51" ht="15" hidden="1" customHeight="1">
      <c r="N668" s="466" t="s">
        <v>174</v>
      </c>
      <c r="T668" s="515"/>
      <c r="AY668" s="406">
        <f t="shared" si="4"/>
        <v>0</v>
      </c>
    </row>
    <row r="669" spans="14:51" ht="15" hidden="1" customHeight="1">
      <c r="N669" s="484"/>
      <c r="T669" s="515"/>
      <c r="AY669" s="406">
        <f t="shared" si="4"/>
        <v>0</v>
      </c>
    </row>
    <row r="670" spans="14:51" ht="15" hidden="1" customHeight="1">
      <c r="N670" s="466"/>
      <c r="T670" s="515"/>
      <c r="AY670" s="406">
        <f t="shared" si="4"/>
        <v>0</v>
      </c>
    </row>
    <row r="671" spans="14:51" ht="15" hidden="1" customHeight="1">
      <c r="N671" s="484" t="s">
        <v>500</v>
      </c>
      <c r="T671" s="515"/>
      <c r="AY671" s="406">
        <f t="shared" si="4"/>
        <v>0</v>
      </c>
    </row>
    <row r="672" spans="14:51" ht="15" hidden="1" customHeight="1">
      <c r="N672" s="466"/>
      <c r="T672" s="515"/>
      <c r="AY672" s="406">
        <f t="shared" si="4"/>
        <v>0</v>
      </c>
    </row>
    <row r="673" spans="14:51" ht="15" hidden="1" customHeight="1">
      <c r="N673" s="484"/>
      <c r="T673" s="515"/>
      <c r="AY673" s="406">
        <f t="shared" si="4"/>
        <v>0</v>
      </c>
    </row>
    <row r="674" spans="14:51" ht="15" hidden="1" customHeight="1">
      <c r="N674" s="466" t="s">
        <v>169</v>
      </c>
      <c r="T674" s="515"/>
      <c r="AY674" s="406">
        <f t="shared" si="4"/>
        <v>0</v>
      </c>
    </row>
    <row r="675" spans="14:51" ht="15" hidden="1" customHeight="1">
      <c r="T675" s="515"/>
      <c r="AY675" s="406">
        <f t="shared" si="4"/>
        <v>0</v>
      </c>
    </row>
    <row r="676" spans="14:51" ht="15" hidden="1" customHeight="1">
      <c r="T676" s="515"/>
      <c r="AY676" s="406">
        <f t="shared" si="4"/>
        <v>0</v>
      </c>
    </row>
    <row r="677" spans="14:51" ht="15" hidden="1" customHeight="1">
      <c r="T677" s="515"/>
      <c r="AY677" s="406">
        <f t="shared" si="4"/>
        <v>0</v>
      </c>
    </row>
    <row r="678" spans="14:51" ht="15" hidden="1" customHeight="1">
      <c r="T678" s="515"/>
      <c r="AY678" s="406">
        <f t="shared" si="4"/>
        <v>0</v>
      </c>
    </row>
    <row r="679" spans="14:51" ht="15" hidden="1" customHeight="1">
      <c r="T679" s="515"/>
      <c r="AY679" s="406">
        <f t="shared" si="4"/>
        <v>0</v>
      </c>
    </row>
    <row r="680" spans="14:51" ht="15" hidden="1" customHeight="1">
      <c r="T680" s="515"/>
      <c r="AY680" s="406">
        <f t="shared" si="4"/>
        <v>0</v>
      </c>
    </row>
    <row r="681" spans="14:51" ht="15" hidden="1" customHeight="1">
      <c r="T681" s="515"/>
      <c r="AY681" s="406">
        <f t="shared" si="4"/>
        <v>0</v>
      </c>
    </row>
    <row r="682" spans="14:51" ht="15" hidden="1" customHeight="1">
      <c r="T682" s="515"/>
      <c r="AY682" s="406">
        <f t="shared" si="4"/>
        <v>0</v>
      </c>
    </row>
    <row r="683" spans="14:51" ht="15" hidden="1" customHeight="1">
      <c r="T683" s="515"/>
      <c r="AY683" s="406">
        <f t="shared" si="4"/>
        <v>0</v>
      </c>
    </row>
    <row r="684" spans="14:51" ht="15" hidden="1" customHeight="1">
      <c r="N684" s="466" t="s">
        <v>237</v>
      </c>
      <c r="T684" s="515"/>
      <c r="AY684" s="406">
        <f t="shared" si="4"/>
        <v>0</v>
      </c>
    </row>
    <row r="685" spans="14:51" ht="15" hidden="1" customHeight="1">
      <c r="N685" s="484" t="s">
        <v>488</v>
      </c>
      <c r="T685" s="515"/>
      <c r="AY685" s="406">
        <f t="shared" si="4"/>
        <v>0</v>
      </c>
    </row>
    <row r="686" spans="14:51" ht="15" hidden="1" customHeight="1">
      <c r="N686" s="466" t="s">
        <v>288</v>
      </c>
      <c r="T686" s="515"/>
      <c r="AY686" s="406">
        <f t="shared" si="4"/>
        <v>0</v>
      </c>
    </row>
    <row r="687" spans="14:51" ht="15" hidden="1" customHeight="1">
      <c r="N687" s="484"/>
      <c r="T687" s="515"/>
      <c r="AY687" s="406">
        <f t="shared" si="4"/>
        <v>0</v>
      </c>
    </row>
    <row r="688" spans="14:51" ht="15" hidden="1" customHeight="1">
      <c r="N688" s="466"/>
      <c r="T688" s="515"/>
      <c r="AY688" s="406">
        <f t="shared" si="4"/>
        <v>0</v>
      </c>
    </row>
    <row r="689" spans="14:51" ht="15" hidden="1" customHeight="1">
      <c r="N689" s="484"/>
      <c r="T689" s="515"/>
      <c r="AY689" s="406">
        <f t="shared" si="4"/>
        <v>0</v>
      </c>
    </row>
    <row r="690" spans="14:51" ht="15" hidden="1" customHeight="1">
      <c r="N690" s="466"/>
      <c r="T690" s="515"/>
      <c r="AY690" s="406">
        <f t="shared" si="4"/>
        <v>0</v>
      </c>
    </row>
    <row r="691" spans="14:51" ht="15" hidden="1" customHeight="1">
      <c r="N691" s="484"/>
      <c r="T691" s="515"/>
      <c r="AY691" s="406">
        <f t="shared" si="4"/>
        <v>0</v>
      </c>
    </row>
    <row r="692" spans="14:51" ht="15" hidden="1" customHeight="1">
      <c r="N692" s="466"/>
      <c r="T692" s="515"/>
      <c r="AY692" s="406">
        <f t="shared" si="4"/>
        <v>0</v>
      </c>
    </row>
    <row r="693" spans="14:51" ht="15" hidden="1" customHeight="1">
      <c r="N693" s="484" t="s">
        <v>103</v>
      </c>
      <c r="T693" s="515"/>
      <c r="AY693" s="406">
        <f t="shared" si="4"/>
        <v>0</v>
      </c>
    </row>
    <row r="694" spans="14:51" ht="15" hidden="1" customHeight="1">
      <c r="T694" s="515"/>
      <c r="AY694" s="406">
        <f t="shared" si="4"/>
        <v>0</v>
      </c>
    </row>
    <row r="695" spans="14:51" ht="15" hidden="1" customHeight="1">
      <c r="T695" s="515"/>
      <c r="AY695" s="406">
        <f t="shared" si="4"/>
        <v>0</v>
      </c>
    </row>
    <row r="696" spans="14:51" ht="15" hidden="1" customHeight="1">
      <c r="T696" s="515"/>
      <c r="AY696" s="406">
        <f t="shared" si="4"/>
        <v>0</v>
      </c>
    </row>
    <row r="697" spans="14:51" ht="15" hidden="1" customHeight="1">
      <c r="T697" s="515"/>
      <c r="AY697" s="406">
        <f t="shared" si="4"/>
        <v>0</v>
      </c>
    </row>
    <row r="698" spans="14:51" ht="15" hidden="1" customHeight="1">
      <c r="N698" s="466" t="s">
        <v>237</v>
      </c>
      <c r="T698" s="515"/>
      <c r="AY698" s="406">
        <f t="shared" si="4"/>
        <v>0</v>
      </c>
    </row>
    <row r="699" spans="14:51" ht="15" customHeight="1">
      <c r="T699" s="515"/>
      <c r="AY699" s="406">
        <f t="shared" si="4"/>
        <v>0</v>
      </c>
    </row>
    <row r="700" spans="14:51" ht="15" customHeight="1">
      <c r="T700" s="515"/>
      <c r="AY700" s="406">
        <f t="shared" si="4"/>
        <v>0</v>
      </c>
    </row>
    <row r="701" spans="14:51" ht="15" customHeight="1">
      <c r="T701" s="515"/>
      <c r="AY701" s="406">
        <f t="shared" si="4"/>
        <v>0</v>
      </c>
    </row>
    <row r="702" spans="14:51" ht="15" customHeight="1">
      <c r="T702" s="515"/>
      <c r="AY702" s="406">
        <f t="shared" si="4"/>
        <v>0</v>
      </c>
    </row>
    <row r="703" spans="14:51" ht="15" customHeight="1">
      <c r="AY703" s="406">
        <f t="shared" si="4"/>
        <v>0</v>
      </c>
    </row>
  </sheetData>
  <protectedRanges>
    <protectedRange sqref="O3:P581" name="Facturación"/>
  </protectedRanges>
  <autoFilter ref="A2:CC475" xr:uid="{00000000-0001-0000-0200-000000000000}"/>
  <sortState xmlns:xlrd2="http://schemas.microsoft.com/office/spreadsheetml/2017/richdata2" ref="A2:BE466">
    <sortCondition ref="L3:L466"/>
    <sortCondition ref="BE3:BE466"/>
    <sortCondition descending="1" ref="C3:C466"/>
  </sortState>
  <conditionalFormatting sqref="A2:B581">
    <cfRule type="containsBlanks" dxfId="151" priority="92">
      <formula>LEN(TRIM(A2))=0</formula>
    </cfRule>
  </conditionalFormatting>
  <conditionalFormatting sqref="BA2:BB2">
    <cfRule type="containsText" dxfId="150" priority="48" operator="containsText" text="NO">
      <formula>NOT(ISERROR(SEARCH("NO",BA2)))</formula>
    </cfRule>
    <cfRule type="containsText" dxfId="149" priority="49" operator="containsText" text="SI">
      <formula>NOT(ISERROR(SEARCH("SI",BA2)))</formula>
    </cfRule>
  </conditionalFormatting>
  <conditionalFormatting sqref="BB1:BB1048576">
    <cfRule type="containsText" dxfId="148" priority="44" operator="containsText" text="Riesgo bajo">
      <formula>NOT(ISERROR(SEARCH("Riesgo bajo",BB1)))</formula>
    </cfRule>
    <cfRule type="containsText" dxfId="147" priority="45" operator="containsText" text="Cliente blindado">
      <formula>NOT(ISERROR(SEARCH("Cliente blindado",BB1)))</formula>
    </cfRule>
    <cfRule type="containsText" dxfId="146" priority="46" operator="containsText" text="Riesgo medio">
      <formula>NOT(ISERROR(SEARCH("Riesgo medio",BB1)))</formula>
    </cfRule>
    <cfRule type="containsText" dxfId="145" priority="47" operator="containsText" text="Demasiado riesgo">
      <formula>NOT(ISERROR(SEARCH("Demasiado riesgo",BB1)))</formula>
    </cfRule>
  </conditionalFormatting>
  <conditionalFormatting sqref="P3:T495">
    <cfRule type="expression" dxfId="144" priority="16">
      <formula>AND(P3&gt;O3, O3&gt;0)</formula>
    </cfRule>
  </conditionalFormatting>
  <conditionalFormatting sqref="P3:T495 Q3:T702">
    <cfRule type="expression" dxfId="143" priority="13">
      <formula>AND(P3&lt;O3, O3&gt;0)</formula>
    </cfRule>
  </conditionalFormatting>
  <conditionalFormatting sqref="AI3:AY698">
    <cfRule type="containsText" dxfId="142" priority="97" operator="containsText" text="OK">
      <formula>NOT(ISERROR(SEARCH("OK",AI3)))</formula>
    </cfRule>
  </conditionalFormatting>
  <conditionalFormatting sqref="AI3:AY698">
    <cfRule type="containsText" dxfId="141" priority="98" operator="containsText" text="OP">
      <formula>NOT(ISERROR(SEARCH("OP",AI3)))</formula>
    </cfRule>
  </conditionalFormatting>
  <conditionalFormatting sqref="AI3:AY698">
    <cfRule type="containsText" dxfId="140" priority="99" operator="containsText" text="NO">
      <formula>NOT(ISERROR(SEARCH("NO",AI3)))</formula>
    </cfRule>
  </conditionalFormatting>
  <conditionalFormatting sqref="T451:T452 U451:AA453 T454:AA475 T3:AA3 U4:AA4 G476:M792 O476:AA792 T5:AA450 AB3:AH792 N3:N792 G3:R12 H13:R15 G16:R475">
    <cfRule type="expression" dxfId="139" priority="43">
      <formula>ISODD(ROW())</formula>
    </cfRule>
  </conditionalFormatting>
  <conditionalFormatting sqref="T451:T452 U451:AA453 T454:AA475 T3:AA3 U4:AA4 G476:M792 O476:AA792 T5:AA450 AB3:AH792 N3:N792 G3:R12 H13:R15 G16:R475">
    <cfRule type="expression" dxfId="138" priority="15">
      <formula>ISEVEN(ROW())</formula>
    </cfRule>
  </conditionalFormatting>
  <conditionalFormatting sqref="AH462">
    <cfRule type="containsText" dxfId="137" priority="9" operator="containsText" text="OK">
      <formula>NOT(ISERROR(SEARCH("OK",AH462)))</formula>
    </cfRule>
  </conditionalFormatting>
  <conditionalFormatting sqref="AH462">
    <cfRule type="containsText" dxfId="136" priority="10" operator="containsText" text="OP">
      <formula>NOT(ISERROR(SEARCH("OP",AH462)))</formula>
    </cfRule>
  </conditionalFormatting>
  <conditionalFormatting sqref="AH462">
    <cfRule type="containsText" dxfId="135" priority="11" operator="containsText" text="NO">
      <formula>NOT(ISERROR(SEARCH("NO",AH462)))</formula>
    </cfRule>
  </conditionalFormatting>
  <conditionalFormatting sqref="AI3:CC792">
    <cfRule type="expression" dxfId="134" priority="8">
      <formula>AND(ISEVEN(ROW()),LEN(TRIM(AI3))=0)</formula>
    </cfRule>
  </conditionalFormatting>
  <conditionalFormatting sqref="AI3:CC792">
    <cfRule type="expression" dxfId="133" priority="7">
      <formula>AND(ISODD(ROW()),LEN(TRIM(AI3))=0)</formula>
    </cfRule>
  </conditionalFormatting>
  <conditionalFormatting sqref="F149">
    <cfRule type="expression" dxfId="132" priority="6">
      <formula>ISODD(ROW())</formula>
    </cfRule>
  </conditionalFormatting>
  <conditionalFormatting sqref="F149">
    <cfRule type="expression" dxfId="131" priority="5">
      <formula>ISEVEN(ROW())</formula>
    </cfRule>
  </conditionalFormatting>
  <conditionalFormatting sqref="G13:G15">
    <cfRule type="expression" dxfId="130" priority="4">
      <formula>ISODD(ROW())</formula>
    </cfRule>
  </conditionalFormatting>
  <conditionalFormatting sqref="G13:G15">
    <cfRule type="expression" dxfId="129" priority="3">
      <formula>ISEVEN(ROW())</formula>
    </cfRule>
  </conditionalFormatting>
  <conditionalFormatting sqref="S3:S475">
    <cfRule type="expression" dxfId="128" priority="2">
      <formula>ISODD(ROW())</formula>
    </cfRule>
    <cfRule type="expression" dxfId="127" priority="103">
      <formula>ISEVEN(ROW())</formula>
    </cfRule>
  </conditionalFormatting>
  <conditionalFormatting sqref="Q3:T702">
    <cfRule type="expression" dxfId="126" priority="101">
      <formula>AND(Q3&gt;P3, P3&gt;0)</formula>
    </cfRule>
  </conditionalFormatting>
  <conditionalFormatting sqref="A3:CC1500">
    <cfRule type="expression" dxfId="125" priority="102">
      <formula>MOD(ROW(),2)=0</formula>
    </cfRule>
  </conditionalFormatting>
  <dataValidations count="2">
    <dataValidation allowBlank="1" showInputMessage="1" showErrorMessage="1" sqref="H1:I1048576" xr:uid="{D034EE26-D0D1-4118-8214-B6C8FF364CD6}"/>
    <dataValidation type="list" allowBlank="1" showInputMessage="1" showErrorMessage="1" sqref="BC3:BC639"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 ref="F106" r:id="rId34" xr:uid="{61705178-5A7E-48F1-82CE-4F30A286C329}"/>
    <hyperlink ref="F107" r:id="rId35" xr:uid="{B7040831-3784-4F51-8E56-27CE8DCACF9E}"/>
    <hyperlink ref="F101" r:id="rId36" xr:uid="{F1E2959A-F3FA-4C45-855E-41246BBFABBD}"/>
    <hyperlink ref="F103" r:id="rId37" xr:uid="{54AF8DD9-F3BD-4855-B27A-CF044FCCC77D}"/>
    <hyperlink ref="F104" r:id="rId38" xr:uid="{7D18DEE3-E01B-4EFF-BD76-D42440256101}"/>
    <hyperlink ref="F105" r:id="rId39" xr:uid="{B5770B17-F791-4E47-BC65-172709E90336}"/>
  </hyperlinks>
  <pageMargins left="0.7" right="0.7" top="0.75" bottom="0.75" header="0.3" footer="0.3"/>
  <legacyDrawing r:id="rId40"/>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AD3:AD632</xm:sqref>
        </x14:dataValidation>
        <x14:dataValidation type="list" allowBlank="1" showInputMessage="1" showErrorMessage="1" xr:uid="{C4747D54-EBFF-4C98-8A69-B02E381F4C0D}">
          <x14:formula1>
            <xm:f>'Info general'!$N$2:$N$7</xm:f>
          </x14:formula1>
          <xm:sqref>AE3:AE632</xm:sqref>
        </x14:dataValidation>
        <x14:dataValidation type="list" allowBlank="1" showInputMessage="1" showErrorMessage="1" xr:uid="{5DF4692F-1D1E-48FB-BDE2-991E1A3437EC}">
          <x14:formula1>
            <xm:f>'Info general'!$G$2:$G$7</xm:f>
          </x14:formula1>
          <xm:sqref>AB3:AC632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11" workbookViewId="0">
      <selection activeCell="D21" sqref="D21"/>
    </sheetView>
  </sheetViews>
  <sheetFormatPr defaultRowHeight="15"/>
  <cols>
    <col min="4" max="4" width="9.140625" style="325"/>
  </cols>
  <sheetData>
    <row r="1" spans="1:9">
      <c r="A1" t="s">
        <v>1323</v>
      </c>
    </row>
    <row r="2" spans="1:9">
      <c r="A2" t="s">
        <v>1324</v>
      </c>
      <c r="D2" s="325" t="s">
        <v>1325</v>
      </c>
    </row>
    <row r="3" spans="1:9">
      <c r="A3" t="s">
        <v>1326</v>
      </c>
      <c r="D3" s="517" t="s">
        <v>1327</v>
      </c>
    </row>
    <row r="4" spans="1:9">
      <c r="A4" t="s">
        <v>1328</v>
      </c>
      <c r="D4" s="517" t="s">
        <v>1329</v>
      </c>
    </row>
    <row r="5" spans="1:9">
      <c r="A5" t="s">
        <v>1330</v>
      </c>
      <c r="D5" s="325" t="s">
        <v>1331</v>
      </c>
      <c r="I5" t="s">
        <v>1332</v>
      </c>
    </row>
    <row r="6" spans="1:9">
      <c r="A6" t="s">
        <v>1333</v>
      </c>
      <c r="D6" s="325" t="s">
        <v>1334</v>
      </c>
      <c r="I6" t="s">
        <v>1332</v>
      </c>
    </row>
    <row r="7" spans="1:9">
      <c r="A7" t="s">
        <v>1335</v>
      </c>
      <c r="D7" s="517" t="s">
        <v>1336</v>
      </c>
    </row>
    <row r="8" spans="1:9">
      <c r="A8" t="s">
        <v>1337</v>
      </c>
      <c r="D8" s="517" t="s">
        <v>1336</v>
      </c>
    </row>
    <row r="9" spans="1:9">
      <c r="A9" t="s">
        <v>1338</v>
      </c>
      <c r="D9" s="325" t="s">
        <v>1339</v>
      </c>
    </row>
    <row r="10" spans="1:9">
      <c r="A10" t="s">
        <v>1340</v>
      </c>
      <c r="D10" s="325" t="s">
        <v>1341</v>
      </c>
    </row>
    <row r="14" spans="1:9">
      <c r="A14" t="s">
        <v>1342</v>
      </c>
    </row>
    <row r="15" spans="1:9">
      <c r="A15" t="s">
        <v>1343</v>
      </c>
      <c r="D15" s="325" t="s">
        <v>1344</v>
      </c>
    </row>
    <row r="16" spans="1:9">
      <c r="A16" t="s">
        <v>1345</v>
      </c>
      <c r="D16" s="517" t="s">
        <v>1346</v>
      </c>
    </row>
    <row r="17" spans="1:4">
      <c r="A17" t="s">
        <v>1347</v>
      </c>
      <c r="D17" s="325" t="s">
        <v>1348</v>
      </c>
    </row>
    <row r="18" spans="1:4">
      <c r="A18" t="s">
        <v>1349</v>
      </c>
      <c r="D18" s="517" t="s">
        <v>1350</v>
      </c>
    </row>
    <row r="19" spans="1:4">
      <c r="A19" t="s">
        <v>1351</v>
      </c>
      <c r="D19" s="325" t="s">
        <v>1352</v>
      </c>
    </row>
    <row r="20" spans="1:4">
      <c r="A20" t="s">
        <v>1353</v>
      </c>
      <c r="D20" s="517" t="s">
        <v>1354</v>
      </c>
    </row>
    <row r="21" spans="1:4">
      <c r="A21" t="s">
        <v>1355</v>
      </c>
      <c r="D21" s="325" t="s">
        <v>1356</v>
      </c>
    </row>
    <row r="22" spans="1:4">
      <c r="A22" t="s">
        <v>1357</v>
      </c>
      <c r="D22" s="325" t="s">
        <v>1356</v>
      </c>
    </row>
    <row r="23" spans="1:4">
      <c r="A23" s="51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12" t="s">
        <v>1358</v>
      </c>
      <c r="B1" s="312"/>
      <c r="C1" s="312"/>
      <c r="D1" s="312"/>
      <c r="E1" s="312"/>
      <c r="F1" s="312"/>
      <c r="G1" s="312"/>
      <c r="H1" s="312"/>
    </row>
    <row r="2" spans="1:15">
      <c r="A2" s="313" t="s">
        <v>1359</v>
      </c>
      <c r="B2" s="313" t="s">
        <v>79</v>
      </c>
      <c r="C2" s="313" t="s">
        <v>68</v>
      </c>
      <c r="D2" s="313" t="s">
        <v>1360</v>
      </c>
      <c r="E2" s="313" t="s">
        <v>1361</v>
      </c>
      <c r="F2" s="313"/>
      <c r="G2" s="313" t="s">
        <v>1362</v>
      </c>
      <c r="H2" s="313" t="s">
        <v>1363</v>
      </c>
      <c r="K2" s="323" t="s">
        <v>1364</v>
      </c>
      <c r="L2" s="67" t="s">
        <v>1365</v>
      </c>
      <c r="M2" s="67" t="s">
        <v>1366</v>
      </c>
      <c r="N2" s="67" t="s">
        <v>1367</v>
      </c>
      <c r="O2" s="324" t="s">
        <v>1368</v>
      </c>
    </row>
    <row r="3" spans="1:15">
      <c r="A3" t="s">
        <v>14</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1364</v>
      </c>
      <c r="H3" s="43">
        <f>SUM(E3:E5)</f>
        <v>2099.9787535410765</v>
      </c>
      <c r="K3" s="325" t="s">
        <v>1323</v>
      </c>
      <c r="L3" s="43">
        <f>B37+B38+B39</f>
        <v>0</v>
      </c>
      <c r="M3" t="s">
        <v>1369</v>
      </c>
      <c r="N3" s="58">
        <f>AVERAGE(G88:G90)</f>
        <v>9.686948225182691E-3</v>
      </c>
      <c r="O3" s="326" t="s">
        <v>1370</v>
      </c>
    </row>
    <row r="4" spans="1:15">
      <c r="A4" t="s">
        <v>15</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1371</v>
      </c>
      <c r="H4" s="43">
        <f>SUM(E6:E8)</f>
        <v>3796.3628571428571</v>
      </c>
      <c r="K4" s="325" t="s">
        <v>1342</v>
      </c>
      <c r="L4" s="43">
        <f>D37+D38+D39</f>
        <v>0</v>
      </c>
      <c r="M4" t="s">
        <v>1372</v>
      </c>
      <c r="N4" s="58">
        <f>AVERAGE(K88:K90)</f>
        <v>4.9700427909639775E-3</v>
      </c>
      <c r="O4" s="326" t="s">
        <v>1370</v>
      </c>
    </row>
    <row r="5" spans="1:15">
      <c r="A5" t="s">
        <v>16</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1373</v>
      </c>
      <c r="H5" s="43">
        <f>SUM(E9:E11)</f>
        <v>6152.0571428571429</v>
      </c>
      <c r="K5" s="327" t="s">
        <v>1374</v>
      </c>
      <c r="L5" s="328">
        <f>SUM(C37:C39)</f>
        <v>0</v>
      </c>
      <c r="M5" s="329" t="s">
        <v>1375</v>
      </c>
      <c r="N5" s="330">
        <f>AVERAGE(I88:I90)</f>
        <v>1.0336250799100862E-2</v>
      </c>
      <c r="O5" s="331" t="s">
        <v>1376</v>
      </c>
    </row>
    <row r="6" spans="1:15">
      <c r="A6" t="s">
        <v>17</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1377</v>
      </c>
      <c r="H6" s="43">
        <f>SUM(E12:E14)</f>
        <v>0</v>
      </c>
    </row>
    <row r="7" spans="1:15">
      <c r="A7" t="s">
        <v>18</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19</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1378</v>
      </c>
    </row>
    <row r="9" spans="1:15">
      <c r="A9" t="s">
        <v>1379</v>
      </c>
      <c r="B9" s="43">
        <f>SUMIFS('Ventas 2026'!$N:$N,'Ventas 2026'!$G:$G,"Cross selling",'Ventas 2026'!$Q:$Q,"ENTERPRISE",'Ventas 2026'!$E:$E,"Julio")</f>
        <v>4143.5428571428574</v>
      </c>
      <c r="C9" s="43">
        <f>SUMIFS('Ventas 2026'!$N:$N,'Ventas 2026'!$G:$G,"Cross selling",'Ventas 2026'!$Q:$Q,"SMB",'Ventas 2026'!$E:$E,"Julio")</f>
        <v>177.2</v>
      </c>
      <c r="D9" s="43">
        <f>SUMIFS('Ventas 2026'!$N:$N,'Ventas 2026'!$G:$G,"Cross selling",'Ventas 2026'!$Q:$Q,"Sin dato",'Ventas 2026'!$E:$E,"Julio")</f>
        <v>292</v>
      </c>
      <c r="E9" s="43">
        <f t="shared" si="0"/>
        <v>4612.7428571428572</v>
      </c>
      <c r="F9" s="43"/>
      <c r="G9" s="43"/>
      <c r="H9" s="43"/>
      <c r="K9" s="323" t="s">
        <v>1371</v>
      </c>
      <c r="L9" s="67" t="s">
        <v>1365</v>
      </c>
      <c r="M9" s="67" t="s">
        <v>1366</v>
      </c>
      <c r="N9" s="67" t="s">
        <v>1367</v>
      </c>
      <c r="O9" s="324" t="s">
        <v>1368</v>
      </c>
    </row>
    <row r="10" spans="1:15">
      <c r="A10" t="s">
        <v>1380</v>
      </c>
      <c r="B10" s="43">
        <f>SUMIFS('Ventas 2026'!$N:$N,'Ventas 2026'!$G:$G,"Cross selling",'Ventas 2026'!$Q:$Q,"ENTERPRISE",'Ventas 2026'!$E:$E,"Agosto")</f>
        <v>1406.2857142857142</v>
      </c>
      <c r="C10" s="43">
        <f>SUMIFS('Ventas 2026'!$N:$N,'Ventas 2026'!$G:$G,"Cross selling",'Ventas 2026'!$Q:$Q,"SMB",'Ventas 2026'!$E:$E,"Agosto")</f>
        <v>0</v>
      </c>
      <c r="D10" s="43">
        <f>SUMIFS('Ventas 2026'!$N:$N,'Ventas 2026'!$G:$G,"Cross selling",'Ventas 2026'!$Q:$Q,"Sin dato",'Ventas 2026'!$E:$E,"Agosto")</f>
        <v>133.02857142857144</v>
      </c>
      <c r="E10" s="43">
        <f t="shared" si="0"/>
        <v>1539.3142857142857</v>
      </c>
      <c r="F10" s="43"/>
      <c r="G10" s="43"/>
      <c r="H10" s="43"/>
      <c r="K10" s="325" t="s">
        <v>1323</v>
      </c>
      <c r="L10" s="43">
        <f>SUM(B40:B42)</f>
        <v>0</v>
      </c>
      <c r="N10" s="58">
        <f>AVERAGE(G91:G93)</f>
        <v>2.2515439681092816E-2</v>
      </c>
      <c r="O10" s="326"/>
    </row>
    <row r="11" spans="1:15">
      <c r="A11" t="s">
        <v>1381</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25" t="s">
        <v>1342</v>
      </c>
      <c r="L11" s="43">
        <f>SUM(D40:D42)</f>
        <v>0</v>
      </c>
      <c r="N11" s="58">
        <f>AVERAGE(I91:I93)</f>
        <v>0</v>
      </c>
      <c r="O11" s="326"/>
    </row>
    <row r="12" spans="1:15">
      <c r="A12" t="s">
        <v>1382</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27" t="s">
        <v>1374</v>
      </c>
      <c r="L12" s="328">
        <f>SUM(C40:C42)</f>
        <v>0</v>
      </c>
      <c r="M12" s="329"/>
      <c r="N12" s="330">
        <f>AVERAGE(H91:H93)</f>
        <v>32960.334949999989</v>
      </c>
      <c r="O12" s="331"/>
    </row>
    <row r="13" spans="1:15">
      <c r="A13" t="s">
        <v>1383</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1384</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1385</v>
      </c>
      <c r="B15" s="43">
        <f>SUM(B3:B14)</f>
        <v>9681.7556859571014</v>
      </c>
      <c r="C15" s="43">
        <f>SUM(C3:C14)</f>
        <v>728.39303925536228</v>
      </c>
      <c r="D15" s="43">
        <f>SUM(D3:D14)</f>
        <v>1638.250028328612</v>
      </c>
      <c r="E15" s="43">
        <f>SUM(E3:E14)</f>
        <v>12048.398753541074</v>
      </c>
      <c r="F15" s="43"/>
      <c r="G15" s="43"/>
      <c r="H15" s="43"/>
    </row>
    <row r="18" spans="1:8" ht="18.399999999999999">
      <c r="A18" s="314" t="s">
        <v>1386</v>
      </c>
      <c r="B18" s="314"/>
      <c r="C18" s="314"/>
      <c r="D18" s="314"/>
      <c r="E18" s="314"/>
      <c r="F18" s="314"/>
      <c r="G18" s="314"/>
      <c r="H18" s="314"/>
    </row>
    <row r="19" spans="1:8">
      <c r="A19" s="315" t="s">
        <v>1359</v>
      </c>
      <c r="B19" s="315" t="s">
        <v>79</v>
      </c>
      <c r="C19" s="315" t="s">
        <v>68</v>
      </c>
      <c r="D19" s="315" t="s">
        <v>1360</v>
      </c>
      <c r="E19" s="315" t="s">
        <v>1361</v>
      </c>
      <c r="F19" s="315"/>
      <c r="G19" s="315" t="s">
        <v>1362</v>
      </c>
      <c r="H19" s="315" t="s">
        <v>1363</v>
      </c>
    </row>
    <row r="20" spans="1:8">
      <c r="A20" t="s">
        <v>14</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1364</v>
      </c>
      <c r="H20" s="43">
        <f>SUM(E20:E22)</f>
        <v>2516.5518413597733</v>
      </c>
    </row>
    <row r="21" spans="1:8">
      <c r="A21" t="s">
        <v>15</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1371</v>
      </c>
      <c r="H21" s="43">
        <f>SUM(E23:E25)</f>
        <v>3755.5542857142859</v>
      </c>
    </row>
    <row r="22" spans="1:8">
      <c r="A22" t="s">
        <v>16</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1373</v>
      </c>
      <c r="H22" s="43">
        <f>SUM(E26:E28)</f>
        <v>4578.5714285714284</v>
      </c>
    </row>
    <row r="23" spans="1:8">
      <c r="A23" t="s">
        <v>17</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1377</v>
      </c>
      <c r="H23" s="43">
        <f>SUM(E29:E31)</f>
        <v>0</v>
      </c>
    </row>
    <row r="24" spans="1:8">
      <c r="A24" t="s">
        <v>18</v>
      </c>
      <c r="B24" s="43">
        <f>SUMIFS('Ventas 2026'!$N:$N,'Ventas 2026'!$G:$G,"Up Selling",'Ventas 2026'!$Q:$Q,"ENTERPRISE",'Ventas 2026'!$E:$E,"Mayo")</f>
        <v>397.37142857142857</v>
      </c>
      <c r="C24" s="43">
        <f>SUMIFS('Ventas 2026'!$N:$N,'Ventas 2026'!$G:$G,"Up Selling",'Ventas 2026'!$Q:$Q,"SMB",'Ventas 2026'!$E:$E,"Mayo")</f>
        <v>356.85714285714289</v>
      </c>
      <c r="D24" s="43">
        <f>SUMIFS('Ventas 2026'!$N:$N,'Ventas 2026'!$G:$G,"Up Selling",'Ventas 2026'!$Q:$Q,"Sin dato",'Ventas 2026'!$E:$E,"Mayo")</f>
        <v>0</v>
      </c>
      <c r="E24" s="43">
        <f t="shared" si="1"/>
        <v>754.22857142857151</v>
      </c>
      <c r="F24" s="43"/>
      <c r="G24" s="43"/>
      <c r="H24" s="43"/>
    </row>
    <row r="25" spans="1:8">
      <c r="A25" t="s">
        <v>19</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1379</v>
      </c>
      <c r="B26" s="43">
        <f>SUMIFS('Ventas 2026'!$N:$N,'Ventas 2026'!$G:$G,"Up Selling",'Ventas 2026'!$Q:$Q,"ENTERPRISE",'Ventas 2026'!$E:$E,"Julio")</f>
        <v>4308.5714285714284</v>
      </c>
      <c r="C26" s="43">
        <f>SUMIFS('Ventas 2026'!$N:$N,'Ventas 2026'!$G:$G,"Up Selling",'Ventas 2026'!$Q:$Q,"SMB",'Ventas 2026'!$E:$E,"Julio")</f>
        <v>64.285714285714292</v>
      </c>
      <c r="D26" s="43">
        <f>SUMIFS('Ventas 2026'!$N:$N,'Ventas 2026'!$G:$G,"Up Selling",'Ventas 2026'!$Q:$Q,"Sin dato",'Ventas 2026'!$E:$E,"Julio")</f>
        <v>205.71428571428572</v>
      </c>
      <c r="E26" s="43">
        <f t="shared" si="1"/>
        <v>4578.5714285714284</v>
      </c>
      <c r="F26" s="43"/>
      <c r="G26" s="43"/>
      <c r="H26" s="43"/>
    </row>
    <row r="27" spans="1:8">
      <c r="A27" t="s">
        <v>1380</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1381</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1382</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1383</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1384</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1385</v>
      </c>
      <c r="B32" s="43">
        <f>SUM(B20:B31)</f>
        <v>9416.340526102791</v>
      </c>
      <c r="C32" s="43">
        <f>SUM(C20:C31)</f>
        <v>658.7360582760017</v>
      </c>
      <c r="D32" s="43">
        <f>SUM(D20:D31)</f>
        <v>775.6009712666937</v>
      </c>
      <c r="E32" s="43">
        <f>SUM(E20:E31)</f>
        <v>10850.677555645489</v>
      </c>
      <c r="F32" s="43"/>
      <c r="G32" s="43"/>
      <c r="H32" s="43"/>
    </row>
    <row r="36" spans="7:8">
      <c r="G36" s="316" t="s">
        <v>1362</v>
      </c>
      <c r="H36" s="316" t="s">
        <v>1363</v>
      </c>
    </row>
    <row r="37" spans="7:8">
      <c r="G37" s="43" t="s">
        <v>1364</v>
      </c>
      <c r="H37" s="43">
        <f>SUM(E37:E39)</f>
        <v>0</v>
      </c>
    </row>
    <row r="38" spans="7:8">
      <c r="G38" s="43" t="s">
        <v>1371</v>
      </c>
      <c r="H38" s="43">
        <f>SUM(E40:E42)</f>
        <v>0</v>
      </c>
    </row>
    <row r="39" spans="7:8">
      <c r="G39" s="43" t="s">
        <v>1373</v>
      </c>
      <c r="H39" s="43">
        <f>SUM(E43:E45)</f>
        <v>0</v>
      </c>
    </row>
    <row r="40" spans="7:8">
      <c r="G40" s="43" t="s">
        <v>1377</v>
      </c>
      <c r="H40" s="43">
        <f>SUM(E46:E48)</f>
        <v>0</v>
      </c>
    </row>
    <row r="53" spans="7:8">
      <c r="G53" s="317" t="s">
        <v>1362</v>
      </c>
      <c r="H53" s="317" t="s">
        <v>1363</v>
      </c>
    </row>
    <row r="54" spans="7:8">
      <c r="G54" s="43" t="s">
        <v>1364</v>
      </c>
      <c r="H54" s="43">
        <f>SUM(E54:E56)</f>
        <v>0</v>
      </c>
    </row>
    <row r="55" spans="7:8">
      <c r="G55" s="43" t="s">
        <v>1371</v>
      </c>
      <c r="H55" s="43">
        <f>SUM(E57:E59)</f>
        <v>0</v>
      </c>
    </row>
    <row r="56" spans="7:8">
      <c r="G56" s="43" t="s">
        <v>1373</v>
      </c>
      <c r="H56" s="43">
        <f>SUM(E60:E62)</f>
        <v>0</v>
      </c>
    </row>
    <row r="57" spans="7:8">
      <c r="G57" s="43" t="s">
        <v>1377</v>
      </c>
      <c r="H57" s="43">
        <f>SUM(E63:E65)</f>
        <v>0</v>
      </c>
    </row>
    <row r="69" spans="1:8">
      <c r="A69" s="519" t="s">
        <v>1387</v>
      </c>
      <c r="B69" s="519"/>
      <c r="C69" s="519"/>
      <c r="D69" s="519"/>
      <c r="E69" s="519"/>
      <c r="F69" s="519"/>
      <c r="G69" s="519"/>
      <c r="H69" s="519"/>
    </row>
    <row r="70" spans="1:8">
      <c r="A70" s="320" t="s">
        <v>1359</v>
      </c>
      <c r="B70" s="320" t="s">
        <v>79</v>
      </c>
      <c r="C70" s="320" t="s">
        <v>68</v>
      </c>
      <c r="D70" s="320" t="s">
        <v>1360</v>
      </c>
      <c r="E70" s="320" t="s">
        <v>1361</v>
      </c>
      <c r="F70" s="320" t="s">
        <v>1388</v>
      </c>
      <c r="G70" s="321"/>
      <c r="H70" s="321"/>
    </row>
    <row r="71" spans="1:8">
      <c r="A71" t="s">
        <v>14</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9">
        <v>153375</v>
      </c>
      <c r="G71" s="43" t="s">
        <v>1364</v>
      </c>
      <c r="H71" s="43">
        <f>SUM(E71:E73)</f>
        <v>9859.2281000000003</v>
      </c>
    </row>
    <row r="72" spans="1:8">
      <c r="A72" t="s">
        <v>15</v>
      </c>
      <c r="B72" s="43">
        <f>SUMIFS('Detalle Fuga 2026'!$I:$I,'Detalle Fuga 2026'!$D:$D,"ENTERPRISE",'Detalle Fuga 2026'!$K:$K,"Febrero")</f>
        <v>675</v>
      </c>
      <c r="C72" s="43">
        <f>SUMIFS('Detalle Fuga 2026'!$I:$I,'Detalle Fuga 2026'!$D:$D,"SMB",'Detalle Fuga 2026'!$K:$K,"Febrero")</f>
        <v>1175</v>
      </c>
      <c r="D72" s="43"/>
      <c r="E72" s="43">
        <f t="shared" si="2"/>
        <v>1850</v>
      </c>
      <c r="F72" s="319">
        <v>154455</v>
      </c>
      <c r="G72" s="43" t="s">
        <v>1371</v>
      </c>
      <c r="H72" s="43">
        <f>SUM(E74:E76)</f>
        <v>2748</v>
      </c>
    </row>
    <row r="73" spans="1:8">
      <c r="A73" t="s">
        <v>16</v>
      </c>
      <c r="B73" s="43">
        <f>SUMIFS('Detalle Fuga 2026'!$I:$I,'Detalle Fuga 2026'!$D:$D,"ENTERPRISE",'Detalle Fuga 2026'!$K:$K,"Marzo")</f>
        <v>0</v>
      </c>
      <c r="C73" s="43">
        <f>SUMIFS('Detalle Fuga 2026'!$I:$I,'Detalle Fuga 2026'!$D:$D,"SMB",'Detalle Fuga 2026'!$K:$K,"Marzo")</f>
        <v>1355.6481000000001</v>
      </c>
      <c r="D73" s="43"/>
      <c r="E73" s="43">
        <f t="shared" si="2"/>
        <v>1355.6481000000001</v>
      </c>
      <c r="F73" s="319">
        <v>162290</v>
      </c>
      <c r="G73" s="43" t="s">
        <v>1373</v>
      </c>
      <c r="H73" s="43">
        <f>SUM(E77:E79)</f>
        <v>0</v>
      </c>
    </row>
    <row r="74" spans="1:8">
      <c r="A74" t="s">
        <v>17</v>
      </c>
      <c r="B74" s="43">
        <f>SUMIFS('Detalle Fuga 2026'!$I:$I,'Detalle Fuga 2026'!$D:$D,"ENTERPRISE",'Detalle Fuga 2026'!$K:$K,"Abril")</f>
        <v>511</v>
      </c>
      <c r="C74" s="43">
        <f>SUMIFS('Detalle Fuga 2026'!$I:$I,'Detalle Fuga 2026'!$D:$D,"SMB",'Detalle Fuga 2026'!$K:$K,"Abril")</f>
        <v>1473</v>
      </c>
      <c r="D74" s="43"/>
      <c r="E74" s="43">
        <f t="shared" si="2"/>
        <v>1984</v>
      </c>
      <c r="F74" s="319">
        <v>162968</v>
      </c>
      <c r="G74" s="43" t="s">
        <v>1377</v>
      </c>
      <c r="H74" s="43">
        <f>SUM(E80:E82)</f>
        <v>0</v>
      </c>
    </row>
    <row r="75" spans="1:8">
      <c r="A75" t="s">
        <v>18</v>
      </c>
      <c r="B75" s="43">
        <f>SUMIFS('Detalle Fuga 2026'!$I:$I,'Detalle Fuga 2026'!$D:$D,"ENTERPRISE",'Detalle Fuga 2026'!$K:$K,"Mayo")</f>
        <v>764</v>
      </c>
      <c r="C75" s="43">
        <f>SUMIFS('Detalle Fuga 2026'!$I:$I,'Detalle Fuga 2026'!$D:$D,"SMB",'Detalle Fuga 2026'!$K:$K,"Mayo")</f>
        <v>0</v>
      </c>
      <c r="D75" s="43"/>
      <c r="E75" s="43">
        <f t="shared" si="2"/>
        <v>764</v>
      </c>
      <c r="F75" s="319">
        <v>170313</v>
      </c>
      <c r="G75" s="43"/>
      <c r="H75" s="43"/>
    </row>
    <row r="76" spans="1:8">
      <c r="A76" t="s">
        <v>19</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1379</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1380</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1381</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1382</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1383</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1384</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1361</v>
      </c>
      <c r="B83" s="43">
        <f>SUM(B71:B82)</f>
        <v>7400.65</v>
      </c>
      <c r="C83" s="43">
        <f>SUM(C71:C82)</f>
        <v>5206.5781000000006</v>
      </c>
      <c r="D83" s="43">
        <f>SUM(D71:D82)</f>
        <v>0</v>
      </c>
      <c r="E83" s="43">
        <f>SUM(E71:E82)</f>
        <v>12607.2281</v>
      </c>
      <c r="F83" s="43"/>
      <c r="G83" s="43"/>
      <c r="H83" s="43"/>
    </row>
    <row r="86" spans="1:15">
      <c r="A86" s="520" t="s">
        <v>1389</v>
      </c>
      <c r="B86" s="520"/>
      <c r="C86" s="520"/>
      <c r="D86" s="520"/>
      <c r="E86" s="520"/>
      <c r="F86" s="520"/>
      <c r="G86" s="520"/>
      <c r="H86" s="520"/>
      <c r="I86" s="520"/>
    </row>
    <row r="87" spans="1:15">
      <c r="A87" s="322" t="s">
        <v>1359</v>
      </c>
      <c r="B87" s="322" t="s">
        <v>69</v>
      </c>
      <c r="C87" s="322" t="s">
        <v>445</v>
      </c>
      <c r="D87" s="322" t="s">
        <v>442</v>
      </c>
      <c r="E87" s="322" t="s">
        <v>1361</v>
      </c>
      <c r="F87" s="322" t="s">
        <v>1388</v>
      </c>
      <c r="G87" s="322" t="s">
        <v>69</v>
      </c>
      <c r="H87" t="s">
        <v>1390</v>
      </c>
      <c r="I87" s="322" t="s">
        <v>445</v>
      </c>
      <c r="J87" t="s">
        <v>1391</v>
      </c>
      <c r="K87" s="322" t="s">
        <v>442</v>
      </c>
    </row>
    <row r="88" spans="1:15">
      <c r="A88" t="s">
        <v>14</v>
      </c>
      <c r="B88" s="43">
        <v>788.66</v>
      </c>
      <c r="C88" s="43">
        <f>SUMIFS('Detalle Fuga 2026'!$I:$I,'Detalle Fuga 2026'!$C:$C,"Karla Patiño",'Detalle Fuga 2026'!$K:$K,"Enero")</f>
        <v>274.07</v>
      </c>
      <c r="D88" s="43">
        <v>0</v>
      </c>
      <c r="E88" s="43">
        <f t="shared" ref="E88:E99" si="3">B88+C88+D88</f>
        <v>1062.73</v>
      </c>
      <c r="F88" s="319">
        <f>SUMIFS('MARE MX'!$O$2:$O$580,'MARE MX'!$L$2:$L$580, "Dafne de la Rosa")</f>
        <v>43411.200000000019</v>
      </c>
      <c r="G88" s="58">
        <f>B88/$F$88</f>
        <v>1.8167201090962693E-2</v>
      </c>
      <c r="H88" s="319">
        <f>SUMIFS('MARE MX'!$O$2:$O$580,'MARE MX'!$L$2:$L$580, "Karla Patiño")</f>
        <v>24992.299999999988</v>
      </c>
      <c r="I88" s="58">
        <f>C88/$F$88</f>
        <v>6.3133477075040514E-3</v>
      </c>
      <c r="J88" s="319">
        <f>SUMIFS('MARE MX'!$O$2:$O$580,'MARE MX'!$L$2:$L$580, "Raúl Campos")</f>
        <v>73733.710000000021</v>
      </c>
      <c r="K88" s="58">
        <f>D88/$F$88</f>
        <v>0</v>
      </c>
      <c r="N88" s="43" t="s">
        <v>1364</v>
      </c>
      <c r="O88" s="43">
        <f>SUM(E88:E90)</f>
        <v>3411.6617999999999</v>
      </c>
    </row>
    <row r="89" spans="1:15">
      <c r="A89" t="s">
        <v>15</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9">
        <f>SUMIFS('MARE MX'!$P$2:$P$580,'MARE MX'!$L$2:$L$580, "Dafne de la Rosa")</f>
        <v>45271.239999999991</v>
      </c>
      <c r="G89" s="58">
        <f>B89/$F89</f>
        <v>7.5544650422652458E-3</v>
      </c>
      <c r="H89" s="319">
        <f>SUMIFS('MARE MX'!$P$2:$P$580,'MARE MX'!$L$2:$L$580, "Karla Patiño")</f>
        <v>26644.80999999999</v>
      </c>
      <c r="I89" s="58">
        <f>C89/$F89</f>
        <v>1.6279651275290893E-2</v>
      </c>
      <c r="J89" s="319">
        <f>SUMIFS('MARE MX'!$P$2:$P$580,'MARE MX'!$L$2:$L$580, "Raúl Campos")</f>
        <v>72768.990000000005</v>
      </c>
      <c r="K89" s="58">
        <f>D89/$F89</f>
        <v>1.4910128372891933E-2</v>
      </c>
      <c r="N89" s="43" t="s">
        <v>1371</v>
      </c>
      <c r="O89" s="43">
        <f>SUM(E91:E93)</f>
        <v>2281</v>
      </c>
    </row>
    <row r="90" spans="1:15">
      <c r="A90" t="s">
        <v>16</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9">
        <f>SUMIFS('MARE MX'!$Q$2:$Q$580,'MARE MX'!$L$2:$L$580, "Dafne de la Rosa")</f>
        <v>50611.250000000007</v>
      </c>
      <c r="G90" s="58">
        <f>B90/$F90</f>
        <v>3.3391785423201358E-3</v>
      </c>
      <c r="H90" s="319">
        <f>SUMIFS('MARE MX'!$Q$2:$Q$580,'MARE MX'!$L$2:$L$580, "Karla Patiño")</f>
        <v>29182.739999999991</v>
      </c>
      <c r="I90" s="58">
        <f>C90/$F90</f>
        <v>8.4157534145076433E-3</v>
      </c>
      <c r="J90" s="319">
        <f>SUMIFS('MARE MX'!$Q$2:$Q$580,'MARE MX'!$L$2:$L$580, "Raúl Campos")</f>
        <v>75172.110000000015</v>
      </c>
      <c r="K90" s="58">
        <f>D90/$F90</f>
        <v>0</v>
      </c>
      <c r="N90" s="43" t="s">
        <v>1373</v>
      </c>
      <c r="O90" s="43">
        <f>SUM(E94:E96)</f>
        <v>0</v>
      </c>
    </row>
    <row r="91" spans="1:15">
      <c r="A91" t="s">
        <v>17</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9">
        <f>SUMIFS('MARE MX'!$R$2:$R$580,'MARE MX'!$L$2:$L$580, "Dafne de la Rosa")</f>
        <v>50672.500000000007</v>
      </c>
      <c r="G91" s="58">
        <f>B91/$F91</f>
        <v>2.9937342740145045E-2</v>
      </c>
      <c r="H91" s="319">
        <f>SUMIFS('MARE MX'!$R$2:$R$580,'MARE MX'!$L$2:$L$580, "Karla Patiño")</f>
        <v>31258.768799999998</v>
      </c>
      <c r="I91" s="58">
        <f>C91/$F91</f>
        <v>0</v>
      </c>
      <c r="J91" s="319">
        <f>SUMIFS('MARE MX'!$R$2:$R$580,'MARE MX'!$L$2:$L$580, "Raúl Campos")</f>
        <v>77250.880000000005</v>
      </c>
      <c r="K91" s="58">
        <f>D91/$F91</f>
        <v>0</v>
      </c>
      <c r="N91" s="43" t="s">
        <v>1377</v>
      </c>
      <c r="O91" s="43">
        <f>SUM(E97:E99)</f>
        <v>0</v>
      </c>
    </row>
    <row r="92" spans="1:15">
      <c r="A92" t="s">
        <v>18</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319">
        <f>SUMIFS('MARE MX'!$S$2:$S$580,'MARE MX'!$L$2:$L$580, "Dafne de la Rosa")</f>
        <v>50617.692799999997</v>
      </c>
      <c r="G92" s="58">
        <f>B92/$F92</f>
        <v>1.5093536622040585E-2</v>
      </c>
      <c r="H92" s="319">
        <f>SUMIFS('MARE MX'!$S$2:$S$580,'MARE MX'!$L$2:$L$580, "Karla Patiño")</f>
        <v>34661.901099999981</v>
      </c>
      <c r="I92" s="58">
        <f>C92/$F92</f>
        <v>0</v>
      </c>
      <c r="J92" s="319">
        <f>SUMIFS('MARE MX'!$S$2:$S$580,'MARE MX'!$L$2:$L$580, "Raúl Campos")</f>
        <v>75967.7399</v>
      </c>
      <c r="K92" s="58">
        <f>D92/$F92</f>
        <v>0</v>
      </c>
    </row>
    <row r="93" spans="1:15">
      <c r="A93" t="s">
        <v>19</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1379</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1380</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1381</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1382</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1383</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1384</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1361</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1392</v>
      </c>
      <c r="C1" s="124" t="s">
        <v>1393</v>
      </c>
      <c r="D1" s="124" t="s">
        <v>1394</v>
      </c>
      <c r="E1" s="124" t="s">
        <v>11</v>
      </c>
    </row>
    <row r="2" spans="1:5">
      <c r="A2" t="s">
        <v>1395</v>
      </c>
      <c r="B2" t="s">
        <v>150</v>
      </c>
      <c r="C2" t="s">
        <v>1396</v>
      </c>
      <c r="D2" t="s">
        <v>176</v>
      </c>
      <c r="E2" t="s">
        <v>1342</v>
      </c>
    </row>
    <row r="3" spans="1:5">
      <c r="A3" t="s">
        <v>1397</v>
      </c>
      <c r="B3" t="s">
        <v>1398</v>
      </c>
      <c r="C3" t="s">
        <v>1399</v>
      </c>
      <c r="D3" t="s">
        <v>127</v>
      </c>
      <c r="E3" t="s">
        <v>1342</v>
      </c>
    </row>
    <row r="4" spans="1:5">
      <c r="A4" t="s">
        <v>1379</v>
      </c>
      <c r="B4" t="s">
        <v>150</v>
      </c>
      <c r="C4" t="s">
        <v>1400</v>
      </c>
      <c r="D4" t="s">
        <v>127</v>
      </c>
      <c r="E4" t="s">
        <v>1342</v>
      </c>
    </row>
    <row r="5" spans="1:5">
      <c r="A5" t="s">
        <v>1379</v>
      </c>
      <c r="B5" t="s">
        <v>150</v>
      </c>
      <c r="C5" t="s">
        <v>1401</v>
      </c>
      <c r="D5" t="s">
        <v>127</v>
      </c>
      <c r="E5" t="s">
        <v>1342</v>
      </c>
    </row>
    <row r="6" spans="1:5">
      <c r="A6" t="s">
        <v>1402</v>
      </c>
      <c r="B6" t="s">
        <v>360</v>
      </c>
      <c r="C6" t="s">
        <v>1403</v>
      </c>
      <c r="D6" t="s">
        <v>176</v>
      </c>
      <c r="E6" t="s">
        <v>1342</v>
      </c>
    </row>
    <row r="7" spans="1:5">
      <c r="A7" t="s">
        <v>1404</v>
      </c>
      <c r="B7" t="s">
        <v>150</v>
      </c>
      <c r="C7" t="s">
        <v>1405</v>
      </c>
      <c r="D7" t="s">
        <v>176</v>
      </c>
      <c r="E7" t="s">
        <v>1342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C10" sqref="C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1406</v>
      </c>
      <c r="B2" s="18" t="s">
        <v>1385</v>
      </c>
      <c r="C2" s="18" t="s">
        <v>14</v>
      </c>
      <c r="D2" s="18" t="s">
        <v>15</v>
      </c>
      <c r="E2" s="18" t="s">
        <v>16</v>
      </c>
      <c r="F2" s="281" t="s">
        <v>1364</v>
      </c>
      <c r="G2" s="18" t="s">
        <v>17</v>
      </c>
      <c r="H2" s="18" t="s">
        <v>18</v>
      </c>
      <c r="I2" s="18" t="s">
        <v>19</v>
      </c>
      <c r="J2" s="281" t="s">
        <v>1371</v>
      </c>
      <c r="K2" s="18" t="s">
        <v>1379</v>
      </c>
      <c r="L2" s="18" t="s">
        <v>1380</v>
      </c>
      <c r="M2" s="18" t="s">
        <v>1381</v>
      </c>
      <c r="N2" s="281" t="s">
        <v>1373</v>
      </c>
      <c r="O2" s="18" t="s">
        <v>1382</v>
      </c>
      <c r="P2" s="18" t="s">
        <v>1383</v>
      </c>
      <c r="Q2" s="19" t="s">
        <v>1384</v>
      </c>
      <c r="R2" s="281" t="s">
        <v>1377</v>
      </c>
    </row>
    <row r="3" spans="1:18">
      <c r="A3" s="20" t="s">
        <v>1407</v>
      </c>
      <c r="B3" s="21">
        <f>SUM(F3,J3,N3,R3)</f>
        <v>11540.106127074059</v>
      </c>
      <c r="C3" s="21">
        <f>SUMIFS('Ventas 2026'!$N:$N,'Ventas 2026'!$E:$E,C2,'Ventas 2026'!$G:$G,$A$3)</f>
        <v>0</v>
      </c>
      <c r="D3" s="21">
        <f>SUMIFS('Ventas 2026'!$N:$N,'Ventas 2026'!$E:$E,D2,'Ventas 2026'!$G:$G,$A$3)</f>
        <v>859.830028328612</v>
      </c>
      <c r="E3" s="21">
        <f>SUMIFS('Ventas 2026'!$N:$N,'Ventas 2026'!$E:$E,E2,'Ventas 2026'!$G:$G,$A$3)</f>
        <v>1656.7218130311614</v>
      </c>
      <c r="F3" s="282">
        <f>SUM(C3:E3)</f>
        <v>2516.5518413597733</v>
      </c>
      <c r="G3" s="21">
        <f>SUMIFS('Ventas 2026'!$N:$N,'Ventas 2026'!$E:$E,G2,'Ventas 2026'!$G:$G,$A$3)</f>
        <v>1103.7257142857143</v>
      </c>
      <c r="H3" s="21">
        <f>SUMIFS('Ventas 2026'!$N:$N,'Ventas 2026'!$E:$E,H2,'Ventas 2026'!$G:$G,$A$3)</f>
        <v>754.22857142857151</v>
      </c>
      <c r="I3" s="21">
        <f>SUMIFS('Ventas 2026'!$N:$N,'Ventas 2026'!$E:$E,I2,'Ventas 2026'!$G:$G,$A$3)</f>
        <v>1924.457142857143</v>
      </c>
      <c r="J3" s="282">
        <f>SUM(G3:I3)</f>
        <v>3782.4114285714286</v>
      </c>
      <c r="K3" s="21">
        <f>SUMIFS('Ventas 2026'!$N:$N,'Ventas 2026'!$E:$E,K2,'Ventas 2026'!$G:$G,$A$3)</f>
        <v>5206.5714285714284</v>
      </c>
      <c r="L3" s="21">
        <f>SUMIFS('Ventas 2026'!$N:$N,'Ventas 2026'!$E:$E,L2,'Ventas 2026'!$G:$G,$A$3)</f>
        <v>0</v>
      </c>
      <c r="M3" s="21">
        <f>SUMIFS('Ventas 2026'!$N:$N,'Ventas 2026'!$E:$E,M2,'Ventas 2026'!$G:$G,$A$3)</f>
        <v>34.571428571428569</v>
      </c>
      <c r="N3" s="282">
        <f t="shared" ref="N3:N4" si="0">SUM(K3:M3)</f>
        <v>5241.1428571428569</v>
      </c>
      <c r="O3" s="21">
        <f>SUMIFS('Ventas 2026'!$N:$N,'Ventas 2026'!$E:$E,O2,'Ventas 2026'!$G:$G,$A$3)</f>
        <v>0</v>
      </c>
      <c r="P3" s="21">
        <f>SUMIFS('Ventas 2026'!$N:$N,'Ventas 2026'!$E:$E,P2,'Ventas 2026'!$G:$G,$A$3)</f>
        <v>0</v>
      </c>
      <c r="Q3" s="21">
        <f>SUMIFS('Ventas 2026'!$N:$N,'Ventas 2026'!$E:$E,Q2,'Ventas 2026'!$G:$G,$A$3)</f>
        <v>0</v>
      </c>
      <c r="R3" s="282">
        <f t="shared" ref="R3:R4" si="1">SUM(O3:Q3)</f>
        <v>0</v>
      </c>
    </row>
    <row r="4" spans="1:18">
      <c r="A4" s="20" t="s">
        <v>1408</v>
      </c>
      <c r="B4" s="21">
        <f>SUM(F4,J4,N4,R4)</f>
        <v>12838.05732496965</v>
      </c>
      <c r="C4" s="21">
        <f>SUMIFS('Ventas 2026'!$N:$N,'Ventas 2026'!$E:$E,C2,'Ventas 2026'!$G:$G,$A$4)</f>
        <v>314.11473087818695</v>
      </c>
      <c r="D4" s="21">
        <f>SUMIFS('Ventas 2026'!$N:$N,'Ventas 2026'!$E:$E,D2,'Ventas 2026'!$G:$G,$A$4)</f>
        <v>442.09631728045332</v>
      </c>
      <c r="E4" s="21">
        <f>SUMIFS('Ventas 2026'!$N:$N,'Ventas 2026'!$E:$E,E2,'Ventas 2026'!$G:$G,$A$4)</f>
        <v>1343.7677053824364</v>
      </c>
      <c r="F4" s="282">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82">
        <f>SUM(G4:I4)</f>
        <v>3796.3628571428576</v>
      </c>
      <c r="K4" s="21">
        <f>SUMIFS('Ventas 2026'!$N:$N,'Ventas 2026'!$E:$E,K2,'Ventas 2026'!$G:$G,$A$4)</f>
        <v>5402.4014285714293</v>
      </c>
      <c r="L4" s="21">
        <f>SUMIFS('Ventas 2026'!$N:$N,'Ventas 2026'!$E:$E,L2,'Ventas 2026'!$G:$G,$A$4)</f>
        <v>1539.3142857142857</v>
      </c>
      <c r="M4" s="21">
        <f>SUMIFS('Ventas 2026'!$N:$N,'Ventas 2026'!$E:$E,M2,'Ventas 2026'!$G:$G,$A$4)</f>
        <v>0</v>
      </c>
      <c r="N4" s="282">
        <f t="shared" si="0"/>
        <v>6941.715714285715</v>
      </c>
      <c r="O4" s="21">
        <f>SUMIFS('Ventas 2026'!$N:$N,'Ventas 2026'!$E:$E,O2,'Ventas 2026'!$G:$G,$A$4)</f>
        <v>0</v>
      </c>
      <c r="P4" s="21">
        <f>SUMIFS('Ventas 2026'!$N:$N,'Ventas 2026'!$E:$E,P2,'Ventas 2026'!$G:$G,$A$4)</f>
        <v>0</v>
      </c>
      <c r="Q4" s="21">
        <f>SUMIFS('Ventas 2026'!$N:$N,'Ventas 2026'!$E:$E,Q2,'Ventas 2026'!$G:$G,$A$4)</f>
        <v>0</v>
      </c>
      <c r="R4" s="282">
        <f t="shared" si="1"/>
        <v>0</v>
      </c>
    </row>
    <row r="5" spans="1:18" s="285" customFormat="1">
      <c r="A5" s="283" t="s">
        <v>1409</v>
      </c>
      <c r="B5" s="284">
        <f>SUM(B3:B4)</f>
        <v>24378.163452043707</v>
      </c>
      <c r="C5" s="284">
        <f t="shared" ref="C5:R5" si="2">SUM(C3:C4)</f>
        <v>314.11473087818695</v>
      </c>
      <c r="D5" s="284">
        <f t="shared" si="2"/>
        <v>1301.9263456090653</v>
      </c>
      <c r="E5" s="284">
        <f t="shared" si="2"/>
        <v>3000.4895184135976</v>
      </c>
      <c r="F5" s="284">
        <f t="shared" si="2"/>
        <v>4616.5305949008507</v>
      </c>
      <c r="G5" s="284">
        <f t="shared" si="2"/>
        <v>1286.5828571428572</v>
      </c>
      <c r="H5" s="284">
        <f t="shared" si="2"/>
        <v>1487.7342857142858</v>
      </c>
      <c r="I5" s="284">
        <f t="shared" si="2"/>
        <v>4804.4571428571435</v>
      </c>
      <c r="J5" s="284">
        <f t="shared" si="2"/>
        <v>7578.7742857142857</v>
      </c>
      <c r="K5" s="284">
        <f t="shared" si="2"/>
        <v>10608.972857142857</v>
      </c>
      <c r="L5" s="284">
        <f t="shared" si="2"/>
        <v>1539.3142857142857</v>
      </c>
      <c r="M5" s="284">
        <f t="shared" si="2"/>
        <v>34.571428571428569</v>
      </c>
      <c r="N5" s="284">
        <f t="shared" si="2"/>
        <v>12182.858571428573</v>
      </c>
      <c r="O5" s="284">
        <f t="shared" si="2"/>
        <v>0</v>
      </c>
      <c r="P5" s="284">
        <f t="shared" si="2"/>
        <v>0</v>
      </c>
      <c r="Q5" s="284">
        <f t="shared" si="2"/>
        <v>0</v>
      </c>
      <c r="R5" s="284">
        <f t="shared" si="2"/>
        <v>0</v>
      </c>
    </row>
    <row r="6" spans="1:18"/>
    <row r="7" spans="1:18"/>
    <row r="8" spans="1:18" s="48" customFormat="1">
      <c r="A8" s="306" t="s">
        <v>1410</v>
      </c>
      <c r="B8" s="307" t="s">
        <v>1385</v>
      </c>
      <c r="C8" s="307" t="s">
        <v>14</v>
      </c>
      <c r="D8" s="307" t="s">
        <v>15</v>
      </c>
      <c r="E8" s="307" t="s">
        <v>16</v>
      </c>
      <c r="F8" s="309" t="s">
        <v>1364</v>
      </c>
      <c r="G8" s="307" t="s">
        <v>17</v>
      </c>
      <c r="H8" s="307" t="s">
        <v>18</v>
      </c>
      <c r="I8" s="307" t="s">
        <v>19</v>
      </c>
      <c r="J8" s="309" t="s">
        <v>1371</v>
      </c>
      <c r="K8" s="307" t="s">
        <v>1379</v>
      </c>
      <c r="L8" s="307" t="s">
        <v>1380</v>
      </c>
      <c r="M8" s="307" t="s">
        <v>1381</v>
      </c>
      <c r="N8" s="309" t="s">
        <v>1373</v>
      </c>
      <c r="O8" s="307" t="s">
        <v>1382</v>
      </c>
      <c r="P8" s="307" t="s">
        <v>1383</v>
      </c>
      <c r="Q8" s="308" t="s">
        <v>1384</v>
      </c>
      <c r="R8" s="309" t="s">
        <v>1377</v>
      </c>
    </row>
    <row r="9" spans="1:18" s="288" customFormat="1">
      <c r="A9" s="286" t="s">
        <v>1411</v>
      </c>
      <c r="B9" s="287"/>
      <c r="C9" s="21">
        <v>153375</v>
      </c>
      <c r="D9" s="21">
        <v>154455</v>
      </c>
      <c r="E9" s="21">
        <v>162290</v>
      </c>
      <c r="F9" s="310"/>
      <c r="G9" s="21">
        <v>162968</v>
      </c>
      <c r="H9" s="21">
        <v>170313</v>
      </c>
      <c r="I9" s="21"/>
      <c r="J9" s="310"/>
      <c r="K9" s="21"/>
      <c r="L9" s="21"/>
      <c r="M9" s="21"/>
      <c r="N9" s="310"/>
      <c r="O9" s="21"/>
      <c r="P9" s="21"/>
      <c r="Q9" s="21"/>
      <c r="R9" s="310"/>
    </row>
    <row r="10" spans="1:18">
      <c r="A10" s="20" t="s">
        <v>1412</v>
      </c>
      <c r="B10" s="21">
        <f>SUM(F10,J10,N10,R10)</f>
        <v>6366.5681000000004</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10">
        <f>SUM(C10:E10)</f>
        <v>4657.5681000000004</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310">
        <f>SUM(G10:I10)</f>
        <v>1525</v>
      </c>
      <c r="K10" s="21">
        <f>SUMIFS('Detalle Fuga 2026'!$I:$I,'Detalle Fuga 2026'!$A:$A,"Baja",'Detalle Fuga 2026'!$K:$K,K8)</f>
        <v>184</v>
      </c>
      <c r="L10" s="21">
        <f>SUMIFS('Detalle Fuga 2026'!$I:$I,'Detalle Fuga 2026'!$A:$A,"Baja",'Detalle Fuga 2026'!$K:$K,L8)</f>
        <v>0</v>
      </c>
      <c r="M10" s="21">
        <f>SUMIFS('Detalle Fuga 2026'!$I:$I,'Detalle Fuga 2026'!$A:$A,"Baja",'Detalle Fuga 2026'!$K:$K,M8)</f>
        <v>0</v>
      </c>
      <c r="N10" s="310">
        <f t="shared" ref="N10:N11" si="3">SUM(K10:M10)</f>
        <v>184</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10">
        <f t="shared" ref="R10:R11" si="4">SUM(O10:Q10)</f>
        <v>0</v>
      </c>
    </row>
    <row r="11" spans="1:18">
      <c r="A11" s="20" t="s">
        <v>1413</v>
      </c>
      <c r="B11" s="21">
        <f>SUM(F11,J11,N11,R11)</f>
        <v>6357.66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10">
        <f>SUM(C11:E11)</f>
        <v>5201.66</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310">
        <f>SUM(G11:I11)</f>
        <v>1156</v>
      </c>
      <c r="K11" s="21">
        <f>SUMIFS('Detalle Fuga 2026'!$I:$I,'Detalle Fuga 2026'!$A:$A,"Disminución",'Detalle Fuga 2026'!$K:$K,K8)</f>
        <v>0</v>
      </c>
      <c r="L11" s="21">
        <f>SUMIFS('Detalle Fuga 2026'!$I:$I,'Detalle Fuga 2026'!$A:$A,"Disminución",'Detalle Fuga 2026'!$K:$K,L8)</f>
        <v>0</v>
      </c>
      <c r="M11" s="21">
        <f>SUMIFS('Detalle Fuga 2026'!$I:$I,'Detalle Fuga 2026'!$A:$A,"Disminución",'Detalle Fuga 2026'!$K:$K,M8)</f>
        <v>0</v>
      </c>
      <c r="N11" s="310">
        <f t="shared" si="3"/>
        <v>0</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10">
        <f t="shared" si="4"/>
        <v>0</v>
      </c>
    </row>
    <row r="12" spans="1:18" s="291" customFormat="1">
      <c r="A12" s="289" t="s">
        <v>1414</v>
      </c>
      <c r="B12" s="290"/>
      <c r="C12" s="292">
        <f>C10/C9</f>
        <v>9.466471067644663E-3</v>
      </c>
      <c r="D12" s="292">
        <f t="shared" ref="D12:R12" si="5">D10/D9</f>
        <v>1.1977598653329449E-2</v>
      </c>
      <c r="E12" s="292">
        <f t="shared" si="5"/>
        <v>8.3532448086758287E-3</v>
      </c>
      <c r="F12" s="292" t="e">
        <f t="shared" si="5"/>
        <v>#DIV/0!</v>
      </c>
      <c r="G12" s="292">
        <f t="shared" si="5"/>
        <v>4.6696283933042072E-3</v>
      </c>
      <c r="H12" s="292">
        <f t="shared" si="5"/>
        <v>4.4858583901405064E-3</v>
      </c>
      <c r="I12" s="292" t="e">
        <f t="shared" si="5"/>
        <v>#DIV/0!</v>
      </c>
      <c r="J12" s="292" t="e">
        <f t="shared" si="5"/>
        <v>#DIV/0!</v>
      </c>
      <c r="K12" s="292" t="e">
        <f t="shared" si="5"/>
        <v>#DIV/0!</v>
      </c>
      <c r="L12" s="292" t="e">
        <f t="shared" si="5"/>
        <v>#DIV/0!</v>
      </c>
      <c r="M12" s="292" t="e">
        <f t="shared" si="5"/>
        <v>#DIV/0!</v>
      </c>
      <c r="N12" s="292" t="e">
        <f t="shared" si="5"/>
        <v>#DIV/0!</v>
      </c>
      <c r="O12" s="292" t="e">
        <f t="shared" si="5"/>
        <v>#DIV/0!</v>
      </c>
      <c r="P12" s="292" t="e">
        <f t="shared" si="5"/>
        <v>#DIV/0!</v>
      </c>
      <c r="Q12" s="292" t="e">
        <f t="shared" si="5"/>
        <v>#DIV/0!</v>
      </c>
      <c r="R12" s="292" t="e">
        <f t="shared" si="5"/>
        <v>#DIV/0!</v>
      </c>
    </row>
    <row r="13" spans="1:18">
      <c r="C13" s="47" t="s">
        <v>1415</v>
      </c>
      <c r="G13" s="47" t="s">
        <v>1416</v>
      </c>
    </row>
    <row r="14" spans="1:18"/>
    <row r="15" spans="1:18">
      <c r="E15" s="58">
        <f>AVERAGE(C12,D12,E12,G12)</f>
        <v>8.616735730738536E-3</v>
      </c>
    </row>
    <row r="17" spans="1:61">
      <c r="A17" s="42" t="s">
        <v>10</v>
      </c>
      <c r="B17" t="s">
        <v>79</v>
      </c>
      <c r="AJ17" s="523" t="s">
        <v>1417</v>
      </c>
      <c r="AK17" s="523"/>
      <c r="AL17" s="523"/>
      <c r="AM17" s="523"/>
      <c r="AN17" s="523"/>
      <c r="AP17" s="523" t="s">
        <v>1418</v>
      </c>
      <c r="AQ17" s="523"/>
      <c r="AR17" s="523"/>
      <c r="AS17" s="523"/>
      <c r="AT17" s="523"/>
      <c r="AU17" s="523"/>
      <c r="AV17" s="523"/>
      <c r="AX17" s="521" t="s">
        <v>1419</v>
      </c>
      <c r="AY17" s="521"/>
      <c r="AZ17" s="521"/>
      <c r="BA17" s="521"/>
      <c r="BB17" s="521"/>
      <c r="BC17" s="521"/>
    </row>
    <row r="18" spans="1:61" s="22" customFormat="1" ht="15" customHeight="1">
      <c r="A18"/>
      <c r="B18"/>
      <c r="C18"/>
      <c r="D18" t="s">
        <v>1420</v>
      </c>
      <c r="E18"/>
      <c r="F18"/>
      <c r="G18"/>
      <c r="H18"/>
      <c r="L18" s="522" t="s">
        <v>1421</v>
      </c>
      <c r="M18" s="522"/>
      <c r="N18"/>
      <c r="P18" s="81" t="s">
        <v>1422</v>
      </c>
      <c r="Q18"/>
      <c r="R18"/>
      <c r="S18"/>
      <c r="T18"/>
      <c r="U18"/>
      <c r="V18"/>
      <c r="W18"/>
      <c r="X18"/>
      <c r="Y18"/>
      <c r="Z18"/>
      <c r="AA18"/>
      <c r="AB18"/>
      <c r="AC18"/>
      <c r="AD18"/>
      <c r="AE18"/>
      <c r="AF18"/>
      <c r="AG18"/>
      <c r="AH18"/>
      <c r="AI18"/>
      <c r="AJ18" s="88" t="s">
        <v>1423</v>
      </c>
      <c r="AK18" s="88" t="s">
        <v>79</v>
      </c>
      <c r="AL18" s="88" t="s">
        <v>1424</v>
      </c>
      <c r="AM18" s="88" t="s">
        <v>68</v>
      </c>
      <c r="AN18" s="88" t="s">
        <v>1425</v>
      </c>
      <c r="AO18"/>
      <c r="AP18" s="91" t="s">
        <v>1423</v>
      </c>
      <c r="AQ18" s="91" t="s">
        <v>69</v>
      </c>
      <c r="AR18" s="91" t="s">
        <v>445</v>
      </c>
      <c r="AS18" s="91" t="s">
        <v>442</v>
      </c>
      <c r="AT18" s="91" t="s">
        <v>461</v>
      </c>
      <c r="AU18" s="91" t="s">
        <v>1426</v>
      </c>
      <c r="AV18" s="91" t="s">
        <v>1385</v>
      </c>
      <c r="AW18"/>
      <c r="AX18" s="95" t="s">
        <v>1423</v>
      </c>
      <c r="AY18" s="95" t="s">
        <v>69</v>
      </c>
      <c r="AZ18" s="95" t="s">
        <v>445</v>
      </c>
      <c r="BA18" s="95" t="s">
        <v>442</v>
      </c>
      <c r="BB18" s="95" t="s">
        <v>461</v>
      </c>
      <c r="BC18" s="95" t="s">
        <v>1385</v>
      </c>
    </row>
    <row r="19" spans="1:61" s="22" customFormat="1" ht="45.2">
      <c r="A19" s="45" t="s">
        <v>27</v>
      </c>
      <c r="B19" s="22" t="s">
        <v>1427</v>
      </c>
      <c r="C19" s="22" t="s">
        <v>1428</v>
      </c>
      <c r="D19" s="22" t="s">
        <v>1429</v>
      </c>
      <c r="F19" s="42" t="s">
        <v>11</v>
      </c>
      <c r="G19" s="45" t="s">
        <v>27</v>
      </c>
      <c r="H19" s="22" t="s">
        <v>1427</v>
      </c>
      <c r="I19" s="22" t="s">
        <v>1428</v>
      </c>
      <c r="J19" s="46" t="s">
        <v>1429</v>
      </c>
      <c r="L19" s="76" t="s">
        <v>1430</v>
      </c>
      <c r="M19" s="76" t="s">
        <v>79</v>
      </c>
      <c r="N19" s="76" t="s">
        <v>68</v>
      </c>
      <c r="O19"/>
      <c r="P19" s="82" t="s">
        <v>1430</v>
      </c>
      <c r="Q19" s="82" t="s">
        <v>284</v>
      </c>
      <c r="R19" s="82" t="s">
        <v>125</v>
      </c>
      <c r="S19" s="82" t="s">
        <v>233</v>
      </c>
      <c r="T19" s="82" t="s">
        <v>161</v>
      </c>
      <c r="U19" s="82" t="s">
        <v>289</v>
      </c>
      <c r="V19" s="82" t="s">
        <v>299</v>
      </c>
      <c r="W19" s="82" t="s">
        <v>310</v>
      </c>
      <c r="X19" s="82" t="s">
        <v>268</v>
      </c>
      <c r="Y19" s="82" t="s">
        <v>80</v>
      </c>
      <c r="Z19" s="82" t="s">
        <v>1431</v>
      </c>
      <c r="AA19" s="82" t="s">
        <v>150</v>
      </c>
      <c r="AB19" s="82" t="s">
        <v>241</v>
      </c>
      <c r="AC19" s="82" t="s">
        <v>95</v>
      </c>
      <c r="AD19" s="82" t="s">
        <v>71</v>
      </c>
      <c r="AE19" s="82" t="s">
        <v>139</v>
      </c>
      <c r="AF19" s="82" t="s">
        <v>108</v>
      </c>
      <c r="AG19" s="82" t="s">
        <v>89</v>
      </c>
      <c r="AH19"/>
      <c r="AI19"/>
      <c r="AJ19">
        <v>0</v>
      </c>
      <c r="AK19">
        <f>COUNTIFS('MARE MX'!$K:$K,"ENTERPRISE",'MARE MX'!$CA:$CA,0)</f>
        <v>91</v>
      </c>
      <c r="AL19" s="58">
        <f>AK19/$AK$24</f>
        <v>0.69465648854961837</v>
      </c>
      <c r="AM19">
        <f>COUNTIFS('MARE MX'!$K:$K,"SMB",'MARE MX'!$CA:$CA,0)</f>
        <v>313</v>
      </c>
      <c r="AN19" s="58">
        <f>AM19/$AM$24</f>
        <v>0.93712574850299402</v>
      </c>
      <c r="AO19"/>
      <c r="AP19" s="92">
        <v>0</v>
      </c>
      <c r="AQ19" s="92">
        <f>COUNTIFS('MARE MX'!K:K,"ENTERPRISE",'MARE MX'!L:L,"Dafne de la Rosa",'MARE MX'!D:D,0)</f>
        <v>37</v>
      </c>
      <c r="AR19" s="92">
        <f>COUNTIFS('MARE MX'!K:K,"ENTERPRISE",'MARE MX'!L:L,"Karla Patiño",'MARE MX'!D:D,0)</f>
        <v>4</v>
      </c>
      <c r="AS19" s="92">
        <f>COUNTIFS('MARE MX'!K:K,"ENTERPRISE",'MARE MX'!L:L,"Raúl Campos",'MARE MX'!CA:CA,0)</f>
        <v>43</v>
      </c>
      <c r="AT19" s="92">
        <f>COUNTIFS('MARE MX'!K:K,"ENTERPRISE",'MARE MX'!L:L,"No Asignado",'MARE MX'!CA:CA,0)</f>
        <v>5</v>
      </c>
      <c r="AU19" s="92">
        <f>COUNTIFS('MARE MX'!K:K,"ENTERPRISE",'MARE MX'!L:L,"Implementando",'MARE MX'!CA:CA,0)</f>
        <v>0</v>
      </c>
      <c r="AV19" s="92">
        <f>SUM(AQ19:AU19)</f>
        <v>89</v>
      </c>
      <c r="AW19"/>
      <c r="AX19" s="90">
        <v>0</v>
      </c>
      <c r="AY19" s="96">
        <f>COUNTIFS('MARE MX'!$K:$K,"SMB",'MARE MX'!$L:$L,"Dafne de la Rosa",'MARE MX'!$CA:$CA,0)</f>
        <v>43</v>
      </c>
      <c r="AZ19" s="96">
        <f>COUNTIFS('MARE MX'!$K:$K,"SMB",'MARE MX'!$L:$L,"Karla Patiño",'MARE MX'!$CA:$CA,0)</f>
        <v>138</v>
      </c>
      <c r="BA19" s="96">
        <f>COUNTIFS('MARE MX'!$K:$K,"SMB",'MARE MX'!$L:$L,"Raúl Campos",'MARE MX'!$CA:$CA,0)</f>
        <v>6</v>
      </c>
      <c r="BB19" s="96">
        <f>COUNTIFS('MARE MX'!$K:$K,"SMB",'MARE MX'!$L:$L,"No Asignado",'MARE MX'!$CA:$CA,0)</f>
        <v>126</v>
      </c>
      <c r="BC19" s="96">
        <f>SUM(AY19:BB19)</f>
        <v>313</v>
      </c>
    </row>
    <row r="20" spans="1:61">
      <c r="A20" t="s">
        <v>84</v>
      </c>
      <c r="B20">
        <v>8</v>
      </c>
      <c r="D20" s="43">
        <v>8275.7982000000011</v>
      </c>
      <c r="F20" t="s">
        <v>69</v>
      </c>
      <c r="G20" t="s">
        <v>84</v>
      </c>
      <c r="H20">
        <v>10</v>
      </c>
      <c r="J20" s="43">
        <v>3216.7566999999999</v>
      </c>
      <c r="L20" s="77" t="s">
        <v>34</v>
      </c>
      <c r="M20" s="79">
        <f>COUNTIFS('MARE MX'!$K:$K,"ENTERPRISE",'MARE MX'!$AI:$AI,"*OK*")</f>
        <v>1</v>
      </c>
      <c r="N20" s="79">
        <f>COUNTIFS('MARE MX'!$K:$K,"SMB",'MARE MX'!$AI:$AI,"*OK*")</f>
        <v>1</v>
      </c>
      <c r="P20" s="83" t="s">
        <v>34</v>
      </c>
      <c r="Q20" s="77">
        <f>COUNTIFS('MARE MX'!$K:$K,"ENTERPRISE",'MARE MX'!$Y:$Y,"Agrícola",'MARE MX'!$AI:$AI,"*OK*")</f>
        <v>0</v>
      </c>
      <c r="R20" s="77">
        <f>COUNTIFS('MARE MX'!$K:$K,"ENTERPRISE",'MARE MX'!$Y:$Y,"Automotriz",'MARE MX'!$AI:$AI,"*OK*")</f>
        <v>0</v>
      </c>
      <c r="S20" s="77">
        <f>COUNTIFS('MARE MX'!$K:$K,"ENTERPRISE",'MARE MX'!$Y:$Y,"Banca y Finanzas",'MARE MX'!$AI:$AI,"*OK*")</f>
        <v>0</v>
      </c>
      <c r="T20" s="77">
        <f>COUNTIFS('MARE MX'!$K:$K,"ENTERPRISE",'MARE MX'!$Y:$Y,"Construcción",'MARE MX'!$AI:$AI,"*OK*")</f>
        <v>0</v>
      </c>
      <c r="U20" s="77">
        <f>COUNTIFS('MARE MX'!$K:$K,"ENTERPRISE",'MARE MX'!$Y:$Y,"Educación",'MARE MX'!$AI:$AI,"*OK*")</f>
        <v>0</v>
      </c>
      <c r="V20" s="77">
        <f>COUNTIFS('MARE MX'!$K:$K,"ENTERPRISE",'MARE MX'!$Y:$Y,"Energía",'MARE MX'!$AI:$AI,"*OK*")</f>
        <v>0</v>
      </c>
      <c r="W20" s="77">
        <f>COUNTIFS('MARE MX'!$K:$K,"ENTERPRISE",'MARE MX'!$Y:$Y,"Gobierno",'MARE MX'!$AI:$AI,"*OK*")</f>
        <v>0</v>
      </c>
      <c r="X20" s="77">
        <f>COUNTIFS('MARE MX'!$K:$K,"ENTERPRISE",'MARE MX'!$Y:$Y,"Logística",'MARE MX'!$AI:$AI,"*OK*")</f>
        <v>0</v>
      </c>
      <c r="Y20" s="77">
        <f>COUNTIFS('MARE MX'!$K:$K,"ENTERPRISE",'MARE MX'!$Y:$Y,"Manufactura",'MARE MX'!$AI:$AI,"*OK*")</f>
        <v>1</v>
      </c>
      <c r="Z20" s="77">
        <f>COUNTIFS('MARE MX'!$K:$K,"ENTERPRISE",'MARE MX'!$Y:$Y,"Outsourcing",'MARE MX'!$AI:$AI,"*OK*")</f>
        <v>0</v>
      </c>
      <c r="AA20" s="77">
        <f>COUNTIFS('MARE MX'!$K:$K,"ENTERPRISE",'MARE MX'!$Y:$Y,"Retail",'MARE MX'!$AI:$AI,"*OK*")</f>
        <v>0</v>
      </c>
      <c r="AB20" s="77">
        <f>COUNTIFS('MARE MX'!$K:$K,"ENTERPRISE",'MARE MX'!$Y:$Y,"Salud",'MARE MX'!$AI:$AI,"*OK*")</f>
        <v>0</v>
      </c>
      <c r="AC20" s="77">
        <f>COUNTIFS('MARE MX'!$K:$K,"ENTERPRISE",'MARE MX'!$Y:$Y,"Seguridad Privada",'MARE MX'!$AI:$AI,"*OK*")</f>
        <v>0</v>
      </c>
      <c r="AD20" s="77">
        <f>COUNTIFS('MARE MX'!$K:$K,"ENTERPRISE",'MARE MX'!$Y:$Y,"Servicios",'MARE MX'!$AI:$AI,"*OK*")</f>
        <v>0</v>
      </c>
      <c r="AE20" s="77">
        <f>COUNTIFS('MARE MX'!$K:$K,"ENTERPRISE",'MARE MX'!$Y:$Y,"Tecnología",'MARE MX'!$AI:$AI,"*OK*")</f>
        <v>0</v>
      </c>
      <c r="AF20" s="77">
        <f>COUNTIFS('MARE MX'!$K:$K,"ENTERPRISE",'MARE MX'!$Y:$Y,"Transporte",'MARE MX'!$AI:$AI,"*OK*")</f>
        <v>0</v>
      </c>
      <c r="AG20" s="77">
        <f>COUNTIFS('MARE MX'!$K:$K,"ENTERPRISE",'MARE MX'!$Y:$Y,"Turismo y Gastronomía",'MARE MX'!$AI:$AI,"*OK*")</f>
        <v>0</v>
      </c>
      <c r="AJ20">
        <v>1</v>
      </c>
      <c r="AK20">
        <f>COUNTIFS('MARE MX'!$K:$K,"ENTERPRISE",'MARE MX'!$CA:$CA,1)</f>
        <v>28</v>
      </c>
      <c r="AL20" s="58">
        <f t="shared" ref="AL20:AL23" si="6">AK20/$AK$24</f>
        <v>0.21374045801526717</v>
      </c>
      <c r="AM20">
        <f>COUNTIFS('MARE MX'!$K:$K,"SMB",'MARE MX'!$CA:$CA,1)</f>
        <v>17</v>
      </c>
      <c r="AN20" s="58">
        <f t="shared" ref="AN20:AN23" si="7">AM20/$AM$24</f>
        <v>5.089820359281437E-2</v>
      </c>
      <c r="AP20" s="93">
        <v>1</v>
      </c>
      <c r="AQ20" s="93">
        <f>COUNTIFS('MARE MX'!K:K,"ENTERPRISE",'MARE MX'!L:L,"Dafne de la Rosa",'MARE MX'!D:D,1)</f>
        <v>10</v>
      </c>
      <c r="AR20" s="93">
        <f>COUNTIFS('MARE MX'!K:K,"ENTERPRISE",'MARE MX'!L:L,"Karla Patiño",'MARE MX'!CA:CA,1)</f>
        <v>0</v>
      </c>
      <c r="AS20" s="93">
        <f>COUNTIFS('MARE MX'!K:K,"ENTERPRISE",'MARE MX'!L:L,"Raúl Campos",'MARE MX'!CA:CA,1)</f>
        <v>19</v>
      </c>
      <c r="AT20" s="93">
        <f>COUNTIFS('MARE MX'!K:K,"ENTERPRISE",'MARE MX'!L:L,"No Asignado",'MARE MX'!CA:CA,1)</f>
        <v>0</v>
      </c>
      <c r="AU20" s="93">
        <f>COUNTIFS('MARE MX'!K:K,"ENTERPRISE",'MARE MX'!L:L,"Implementando",'MARE MX'!CA:CA,1)</f>
        <v>0</v>
      </c>
      <c r="AV20" s="93">
        <f>SUM(AQ20:AU20)</f>
        <v>29</v>
      </c>
      <c r="AX20" s="90">
        <v>1</v>
      </c>
      <c r="AY20" s="90">
        <f>COUNTIFS('MARE MX'!$K:$K,"SMB",'MARE MX'!$L:$L,"Dafne de la Rosa",'MARE MX'!$CA:$CA,1)</f>
        <v>3</v>
      </c>
      <c r="AZ20" s="90">
        <f>COUNTIFS('MARE MX'!$K:$K,"SMB",'MARE MX'!$L:$L,"Karla Patiño",'MARE MX'!$CA:$CA,1)</f>
        <v>8</v>
      </c>
      <c r="BA20" s="90">
        <f>COUNTIFS('MARE MX'!$K:$K,"SMB",'MARE MX'!$L:$L,"Raúl Campos",'MARE MX'!$CA:$CA,1)</f>
        <v>2</v>
      </c>
      <c r="BB20" s="90">
        <f>COUNTIFS('MARE MX'!$K:$K,"SMB",'MARE MX'!$L:$L,"No Asignado",'MARE MX'!$CA:$CA,1)</f>
        <v>4</v>
      </c>
      <c r="BC20" s="90">
        <f>SUM(AY20:BB20)</f>
        <v>17</v>
      </c>
    </row>
    <row r="21" spans="1:61">
      <c r="A21" t="s">
        <v>97</v>
      </c>
      <c r="B21">
        <v>30</v>
      </c>
      <c r="D21" s="43">
        <v>39290.746199999994</v>
      </c>
      <c r="G21" t="s">
        <v>97</v>
      </c>
      <c r="H21">
        <v>16</v>
      </c>
      <c r="J21" s="43">
        <v>16538.4437</v>
      </c>
      <c r="L21" s="77" t="s">
        <v>35</v>
      </c>
      <c r="M21" s="79">
        <f>COUNTIFS('MARE MX'!$K:$K,"ENTERPRISE",'MARE MX'!$AJ:$AJ,"*OK*")</f>
        <v>1</v>
      </c>
      <c r="N21" s="79">
        <f>COUNTIFS('MARE MX'!$K:$K,"SMB",'MARE MX'!$AJ:$AJ,"*OK*")</f>
        <v>0</v>
      </c>
      <c r="P21" s="83" t="s">
        <v>35</v>
      </c>
      <c r="Q21" s="77">
        <f>COUNTIFS('MARE MX'!$K:$K,"ENTERPRISE",'MARE MX'!$Y:$Y,"Agrícola",'MARE MX'!$AJ:$AJ,"*OK*")</f>
        <v>0</v>
      </c>
      <c r="R21" s="77">
        <f>COUNTIFS('MARE MX'!$K:$K,"ENTERPRISE",'MARE MX'!$Y:$Y,"Automotriz",'MARE MX'!$AJ:$AJ,"*OK*")</f>
        <v>0</v>
      </c>
      <c r="S21" s="77">
        <f>COUNTIFS('MARE MX'!$K:$K,"ENTERPRISE",'MARE MX'!$Y:$Y,"Banca y Finanzas",'MARE MX'!$AJ:$AJ,"*OK*")</f>
        <v>0</v>
      </c>
      <c r="T21" s="77">
        <f>COUNTIFS('MARE MX'!$K:$K,"ENTERPRISE",'MARE MX'!$Y:$Y,"Construcción",'MARE MX'!$AJ:$AJ,"*OK*")</f>
        <v>0</v>
      </c>
      <c r="U21" s="77">
        <f>COUNTIFS('MARE MX'!$K:$K,"ENTERPRISE",'MARE MX'!$Y:$Y,"Educación",'MARE MX'!$AJ:$AJ,"*OK*")</f>
        <v>0</v>
      </c>
      <c r="V21" s="77">
        <f>COUNTIFS('MARE MX'!$K:$K,"ENTERPRISE",'MARE MX'!$Y:$Y,"Energía",'MARE MX'!$AJ:$AJ,"*OK*")</f>
        <v>0</v>
      </c>
      <c r="W21" s="77">
        <f>COUNTIFS('MARE MX'!$K:$K,"ENTERPRISE",'MARE MX'!$Y:$Y,"Gobierno",'MARE MX'!$AJ:$AJ,"*OK*")</f>
        <v>0</v>
      </c>
      <c r="X21" s="77">
        <f>COUNTIFS('MARE MX'!$K:$K,"ENTERPRISE",'MARE MX'!$Y:$Y,"Logística",'MARE MX'!$AJ:$AJ,"*OK*")</f>
        <v>0</v>
      </c>
      <c r="Y21" s="77">
        <f>COUNTIFS('MARE MX'!$K:$K,"ENTERPRISE",'MARE MX'!$Y:$Y,"Manufactura",'MARE MX'!$AJ:$AJ,"*OK*")</f>
        <v>0</v>
      </c>
      <c r="Z21" s="77">
        <f>COUNTIFS('MARE MX'!$K:$K,"ENTERPRISE",'MARE MX'!$Y:$Y,"Outsourcing",'MARE MX'!$AJ:$AJ,"*OK*")</f>
        <v>0</v>
      </c>
      <c r="AA21" s="77">
        <f>COUNTIFS('MARE MX'!$K:$K,"ENTERPRISE",'MARE MX'!$Y:$Y,"Retail",'MARE MX'!$AJ:$AJ,"*OK*")</f>
        <v>0</v>
      </c>
      <c r="AB21" s="77">
        <f>COUNTIFS('MARE MX'!$K:$K,"ENTERPRISE",'MARE MX'!$Y:$Y,"Salud",'MARE MX'!$AJ:$AJ,"*OK*")</f>
        <v>0</v>
      </c>
      <c r="AC21" s="77">
        <f>COUNTIFS('MARE MX'!$K:$K,"ENTERPRISE",'MARE MX'!$Y:$Y,"Seguridad Privada",'MARE MX'!$AJ:$AJ,"*OK*")</f>
        <v>0</v>
      </c>
      <c r="AD21" s="77">
        <f>COUNTIFS('MARE MX'!$K:$K,"ENTERPRISE",'MARE MX'!$Y:$Y,"Servicios",'MARE MX'!$AJ:$AJ,"*OK*")</f>
        <v>1</v>
      </c>
      <c r="AE21" s="77">
        <f>COUNTIFS('MARE MX'!$K:$K,"ENTERPRISE",'MARE MX'!$Y:$Y,"Tecnología",'MARE MX'!$AJ:$AJ,"*OK*")</f>
        <v>0</v>
      </c>
      <c r="AF21" s="77">
        <f>COUNTIFS('MARE MX'!$K:$K,"ENTERPRISE",'MARE MX'!$Y:$Y,"Transporte",'MARE MX'!$AJ:$AJ,"*OK*")</f>
        <v>0</v>
      </c>
      <c r="AG21" s="77">
        <f>COUNTIFS('MARE MX'!$K:$K,"ENTERPRISE",'MARE MX'!$Y:$Y,"Turismo y Gastronomía",'MARE MX'!$AJ:$AJ,"*OK*")</f>
        <v>0</v>
      </c>
      <c r="AJ21">
        <v>2</v>
      </c>
      <c r="AK21">
        <f>COUNTIFS('MARE MX'!$K:$K,"ENTERPRISE",'MARE MX'!$CA:$CA,2)</f>
        <v>9</v>
      </c>
      <c r="AL21" s="58">
        <f t="shared" si="6"/>
        <v>6.8702290076335881E-2</v>
      </c>
      <c r="AM21">
        <f>COUNTIFS('MARE MX'!$K:$K,"SMB",'MARE MX'!$CA:$CA,2)</f>
        <v>3</v>
      </c>
      <c r="AN21" s="58">
        <f t="shared" si="7"/>
        <v>8.9820359281437123E-3</v>
      </c>
      <c r="AP21" s="92">
        <v>2</v>
      </c>
      <c r="AQ21" s="92">
        <f>COUNTIFS('MARE MX'!K:K,"ENTERPRISE",'MARE MX'!L:L,"Dafne de la Rosa",'MARE MX'!D:D,2)</f>
        <v>3</v>
      </c>
      <c r="AR21" s="92">
        <f>COUNTIFS('MARE MX'!K:K,"ENTERPRISE",'MARE MX'!L:L,"Karla Patiño",'MARE MX'!CA:CA,2)</f>
        <v>1</v>
      </c>
      <c r="AS21" s="92">
        <f>COUNTIFS('MARE MX'!K:K,"ENTERPRISE",'MARE MX'!L:L,"Raúl Campos",'MARE MX'!CA:CA,2)</f>
        <v>5</v>
      </c>
      <c r="AT21" s="92">
        <f>COUNTIFS('MARE MX'!K:K,"ENTERPRISE",'MARE MX'!L:L,"No Asignado",'MARE MX'!CA:CA,2)</f>
        <v>0</v>
      </c>
      <c r="AU21" s="92">
        <f>COUNTIFS('MARE MX'!K:K,"ENTERPRISE",'MARE MX'!L:L,"Implementando",'MARE MX'!CA:CA,2)</f>
        <v>0</v>
      </c>
      <c r="AV21" s="92">
        <f>SUM(AQ21:AU21)</f>
        <v>9</v>
      </c>
      <c r="AX21" s="90">
        <v>2</v>
      </c>
      <c r="AY21" s="90">
        <f>COUNTIFS('MARE MX'!$K:$K,"SMB",'MARE MX'!$L:$L,"Dafne de la Rosa",'MARE MX'!$CA:$CA,2)</f>
        <v>1</v>
      </c>
      <c r="AZ21" s="90">
        <f>COUNTIFS('MARE MX'!$K:$K,"SMB",'MARE MX'!$L:$L,"Karla Patiño",'MARE MX'!$CA:$CA,2)</f>
        <v>1</v>
      </c>
      <c r="BA21" s="90">
        <f>COUNTIFS('MARE MX'!$K:$K,"SMB",'MARE MX'!$L:$L,"Raúl Campos",'MARE MX'!$CA:$CA,2)</f>
        <v>1</v>
      </c>
      <c r="BB21" s="90">
        <f>COUNTIFS('MARE MX'!$K:$K,"SMB",'MARE MX'!$L:$L,"No Asignado",'MARE MX'!$CA:$CA,2)</f>
        <v>0</v>
      </c>
      <c r="BC21" s="90">
        <f>SUM(AY21:BB21)</f>
        <v>3</v>
      </c>
    </row>
    <row r="22" spans="1:61">
      <c r="A22" t="s">
        <v>92</v>
      </c>
      <c r="B22">
        <v>65</v>
      </c>
      <c r="D22" s="43">
        <v>52098.481700000004</v>
      </c>
      <c r="G22" t="s">
        <v>92</v>
      </c>
      <c r="H22">
        <v>45</v>
      </c>
      <c r="J22" s="43">
        <v>20471.957399999999</v>
      </c>
      <c r="L22" s="77" t="s">
        <v>36</v>
      </c>
      <c r="M22" s="79">
        <f>COUNTIFS('MARE MX'!$K:$K,"ENTERPRISE",'MARE MX'!$AK:$AK,"*OK*")</f>
        <v>12</v>
      </c>
      <c r="N22" s="79">
        <f>COUNTIFS('MARE MX'!$K:$K,"SMB",'MARE MX'!$AK:$AK,"*OK*")</f>
        <v>11</v>
      </c>
      <c r="P22" s="83" t="s">
        <v>36</v>
      </c>
      <c r="Q22" s="77">
        <f>COUNTIFS('MARE MX'!$K:$K,"ENTERPRISE",'MARE MX'!$Y:$Y,"Agrícola",'MARE MX'!$AK:$AK,"*OK*")</f>
        <v>0</v>
      </c>
      <c r="R22" s="77">
        <f>COUNTIFS('MARE MX'!$K:$K,"ENTERPRISE",'MARE MX'!$Y:$Y,"Automotriz",'MARE MX'!$AK:$AK,"*OK*")</f>
        <v>0</v>
      </c>
      <c r="S22" s="77">
        <f>COUNTIFS('MARE MX'!$K:$K,"ENTERPRISE",'MARE MX'!$Y:$Y,"Banca y Finanzas",'MARE MX'!$AK:$AK,"*OK*")</f>
        <v>1</v>
      </c>
      <c r="T22" s="77">
        <f>COUNTIFS('MARE MX'!$K:$K,"ENTERPRISE",'MARE MX'!$Y:$Y,"Construcción",'MARE MX'!$AK:$AK,"*OK*")</f>
        <v>0</v>
      </c>
      <c r="U22" s="77">
        <f>COUNTIFS('MARE MX'!$K:$K,"ENTERPRISE",'MARE MX'!$Y:$Y,"Educación",'MARE MX'!$AK:$AK,"*OK*")</f>
        <v>0</v>
      </c>
      <c r="V22" s="77">
        <f>COUNTIFS('MARE MX'!$K:$K,"ENTERPRISE",'MARE MX'!$Y:$Y,"Energía",'MARE MX'!$AK:$AK,"*OK*")</f>
        <v>0</v>
      </c>
      <c r="W22" s="77">
        <f>COUNTIFS('MARE MX'!$K:$K,"ENTERPRISE",'MARE MX'!$Y:$Y,"Gobierno",'MARE MX'!$AK:$AK,"*OK*")</f>
        <v>0</v>
      </c>
      <c r="X22" s="77">
        <f>COUNTIFS('MARE MX'!$K:$K,"ENTERPRISE",'MARE MX'!$Y:$Y,"Logística",'MARE MX'!$AK:$AK,"*OK*")</f>
        <v>1</v>
      </c>
      <c r="Y22" s="77">
        <f>COUNTIFS('MARE MX'!$K:$K,"ENTERPRISE",'MARE MX'!$Y:$Y,"Manufactura",'MARE MX'!$AK:$AK,"*OK*")</f>
        <v>4</v>
      </c>
      <c r="Z22" s="77">
        <f>COUNTIFS('MARE MX'!$K:$K,"ENTERPRISE",'MARE MX'!$Y:$Y,"Outsourcing",'MARE MX'!$AK:$AK,"*OK*")</f>
        <v>0</v>
      </c>
      <c r="AA22" s="77">
        <f>COUNTIFS('MARE MX'!$K:$K,"ENTERPRISE",'MARE MX'!$Y:$Y,"Retail",'MARE MX'!$AK:$AK,"*OK*")</f>
        <v>3</v>
      </c>
      <c r="AB22" s="77">
        <f>COUNTIFS('MARE MX'!$K:$K,"ENTERPRISE",'MARE MX'!$Y:$Y,"Salud",'MARE MX'!$AK:$AK,"*OK*")</f>
        <v>0</v>
      </c>
      <c r="AC22" s="77">
        <f>COUNTIFS('MARE MX'!$K:$K,"ENTERPRISE",'MARE MX'!$Y:$Y,"Seguridad Privada",'MARE MX'!$AK:$AK,"*OK*")</f>
        <v>0</v>
      </c>
      <c r="AD22" s="77">
        <f>COUNTIFS('MARE MX'!$K:$K,"ENTERPRISE",'MARE MX'!$Y:$Y,"Servicios",'MARE MX'!$AK:$AK,"*OK*")</f>
        <v>1</v>
      </c>
      <c r="AE22" s="77">
        <f>COUNTIFS('MARE MX'!$K:$K,"ENTERPRISE",'MARE MX'!$Y:$Y,"Tecnología",'MARE MX'!$AK:$AK,"*OK*")</f>
        <v>1</v>
      </c>
      <c r="AF22" s="77">
        <f>COUNTIFS('MARE MX'!$K:$K,"ENTERPRISE",'MARE MX'!$Y:$Y,"Transporte",'MARE MX'!$AK:$AK,"*OK*")</f>
        <v>1</v>
      </c>
      <c r="AG22" s="77">
        <f>COUNTIFS('MARE MX'!$K:$K,"ENTERPRISE",'MARE MX'!$Y:$Y,"Turismo y Gastronomía",'MARE MX'!$AK:$AK,"*OK*")</f>
        <v>0</v>
      </c>
      <c r="AJ22">
        <v>3</v>
      </c>
      <c r="AK22">
        <f>COUNTIFS('MARE MX'!$K:$K,"ENTERPRISE",'MARE MX'!$CA:$CA,3)</f>
        <v>3</v>
      </c>
      <c r="AL22" s="58">
        <f t="shared" si="6"/>
        <v>2.2900763358778626E-2</v>
      </c>
      <c r="AM22">
        <f>COUNTIFS('MARE MX'!$K:$K,"SMB",'MARE MX'!$CA:$CA,3)</f>
        <v>1</v>
      </c>
      <c r="AN22" s="58">
        <f t="shared" si="7"/>
        <v>2.9940119760479044E-3</v>
      </c>
      <c r="AP22" s="93">
        <v>3</v>
      </c>
      <c r="AQ22" s="93">
        <f>COUNTIFS('MARE MX'!K:K,"ENTERPRISE",'MARE MX'!L:L,"Dafne de la Rosa",'MARE MX'!D:D,3)</f>
        <v>0</v>
      </c>
      <c r="AR22" s="93">
        <f>COUNTIFS('MARE MX'!K:K,"ENTERPRISE",'MARE MX'!L:L,"Karla Patiño",'MARE MX'!CA:CA,3)</f>
        <v>0</v>
      </c>
      <c r="AS22" s="93">
        <f>COUNTIFS('MARE MX'!K:K,"ENTERPRISE",'MARE MX'!L:L,"Raúl Campos",'MARE MX'!CA:CA,3)</f>
        <v>3</v>
      </c>
      <c r="AT22" s="93">
        <f>COUNTIFS('MARE MX'!K:K,"ENTERPRISE",'MARE MX'!L:L,"No Asignado",'MARE MX'!CA:CA,3)</f>
        <v>0</v>
      </c>
      <c r="AU22" s="93">
        <f>COUNTIFS('MARE MX'!K:K,"ENTERPRISE",'MARE MX'!L:L,"Implementando",'MARE MX'!CA:CA,3)</f>
        <v>0</v>
      </c>
      <c r="AV22" s="93">
        <f>SUM(AQ22:AU22)</f>
        <v>3</v>
      </c>
      <c r="AX22" s="90">
        <v>3</v>
      </c>
      <c r="AY22" s="90">
        <f>COUNTIFS('MARE MX'!$K:$K,"SMB",'MARE MX'!$L:$L,"Dafne de la Rosa",'MARE MX'!$CA:$CA,3)</f>
        <v>0</v>
      </c>
      <c r="AZ22" s="90">
        <f>COUNTIFS('MARE MX'!$K:$K,"SMB",'MARE MX'!$L:$L,"Karla Patiño",'MARE MX'!$CA:$CA,3)</f>
        <v>1</v>
      </c>
      <c r="BA22" s="90">
        <f>COUNTIFS('MARE MX'!$K:$K,"SMB",'MARE MX'!$L:$L,"Raúl Campos",'MARE MX'!$CA:$CA,3)</f>
        <v>0</v>
      </c>
      <c r="BB22" s="90">
        <f>COUNTIFS('MARE MX'!$K:$K,"SMB",'MARE MX'!$L:$L,"No Asignado",'MARE MX'!$CA:$CA,3)</f>
        <v>0</v>
      </c>
      <c r="BC22" s="90">
        <f>SUM(AY22:BB22)</f>
        <v>1</v>
      </c>
    </row>
    <row r="23" spans="1:61">
      <c r="A23" t="s">
        <v>1432</v>
      </c>
      <c r="B23">
        <v>1</v>
      </c>
      <c r="D23" s="43">
        <v>652.53129999999999</v>
      </c>
      <c r="G23" t="s">
        <v>1432</v>
      </c>
      <c r="H23">
        <v>6</v>
      </c>
      <c r="J23" s="43">
        <v>1189.6942999999999</v>
      </c>
      <c r="L23" s="77" t="s">
        <v>1433</v>
      </c>
      <c r="M23" s="79">
        <f>COUNTIFS('MARE MX'!$K:$K,"ENTERPRISE",'MARE MX'!$AL:$AL,"*OK*")</f>
        <v>4</v>
      </c>
      <c r="N23" s="79">
        <f>COUNTIFS('MARE MX'!$K:$K,"SMB",'MARE MX'!$AL:$AL,"*OK*")</f>
        <v>0</v>
      </c>
      <c r="P23" s="83" t="s">
        <v>1433</v>
      </c>
      <c r="Q23" s="77">
        <f>COUNTIFS('MARE MX'!$K:$K,"ENTERPRISE",'MARE MX'!$Y:$Y,"Agrícola",'MARE MX'!$AL:$AL,"*OK*")</f>
        <v>0</v>
      </c>
      <c r="R23" s="77">
        <f>COUNTIFS('MARE MX'!$K:$K,"ENTERPRISE",'MARE MX'!$Y:$Y,"Automotriz",'MARE MX'!$AL:$AL,"*OK*")</f>
        <v>0</v>
      </c>
      <c r="S23" s="77">
        <f>COUNTIFS('MARE MX'!$K:$K,"ENTERPRISE",'MARE MX'!$Y:$Y,"Banca y Finanzas",'MARE MX'!$AL:$AL,"*OK*")</f>
        <v>0</v>
      </c>
      <c r="T23" s="77">
        <f>COUNTIFS('MARE MX'!$K:$K,"ENTERPRISE",'MARE MX'!$Y:$Y,"Construcción",'MARE MX'!$AL:$AL,"*OK*")</f>
        <v>0</v>
      </c>
      <c r="U23" s="77">
        <f>COUNTIFS('MARE MX'!$K:$K,"ENTERPRISE",'MARE MX'!$Y:$Y,"Educación",'MARE MX'!$AL:$AL,"*OK*")</f>
        <v>0</v>
      </c>
      <c r="V23" s="77">
        <f>COUNTIFS('MARE MX'!$K:$K,"ENTERPRISE",'MARE MX'!$Y:$Y,"Energía",'MARE MX'!$AL:$AL,"*OK*")</f>
        <v>0</v>
      </c>
      <c r="W23" s="77">
        <f>COUNTIFS('MARE MX'!$K:$K,"ENTERPRISE",'MARE MX'!$Y:$Y,"Gobierno",'MARE MX'!$AL:$AL,"*OK*")</f>
        <v>0</v>
      </c>
      <c r="X23" s="77">
        <f>COUNTIFS('MARE MX'!$K:$K,"ENTERPRISE",'MARE MX'!$Y:$Y,"Logística",'MARE MX'!$AL:$AL,"*OK*")</f>
        <v>1</v>
      </c>
      <c r="Y23" s="77">
        <f>COUNTIFS('MARE MX'!$K:$K,"ENTERPRISE",'MARE MX'!$Y:$Y,"Manufactura",'MARE MX'!$AL:$AL,"*OK*")</f>
        <v>0</v>
      </c>
      <c r="Z23" s="77">
        <f>COUNTIFS('MARE MX'!$K:$K,"ENTERPRISE",'MARE MX'!$Y:$Y,"Outsourcing",'MARE MX'!$AL:$AL,"*OK*")</f>
        <v>0</v>
      </c>
      <c r="AA23" s="77">
        <f>COUNTIFS('MARE MX'!$K:$K,"ENTERPRISE",'MARE MX'!$Y:$Y,"Retail",'MARE MX'!$AL:$AL,"*OK*")</f>
        <v>1</v>
      </c>
      <c r="AB23" s="77">
        <f>COUNTIFS('MARE MX'!$K:$K,"ENTERPRISE",'MARE MX'!$Y:$Y,"Salud",'MARE MX'!$AL:$AL,"*OK*")</f>
        <v>0</v>
      </c>
      <c r="AC23" s="77">
        <f>COUNTIFS('MARE MX'!$K:$K,"ENTERPRISE",'MARE MX'!$Y:$Y,"Seguridad Privada",'MARE MX'!$AL:$AL,"*OK*")</f>
        <v>0</v>
      </c>
      <c r="AD23" s="77">
        <f>COUNTIFS('MARE MX'!$K:$K,"ENTERPRISE",'MARE MX'!$Y:$Y,"Servicios",'MARE MX'!$AL:$AL,"*OK*")</f>
        <v>1</v>
      </c>
      <c r="AE23" s="77">
        <f>COUNTIFS('MARE MX'!$K:$K,"ENTERPRISE",'MARE MX'!$Y:$Y,"Tecnología",'MARE MX'!$AL:$AL,"*OK*")</f>
        <v>0</v>
      </c>
      <c r="AF23" s="77">
        <f>COUNTIFS('MARE MX'!$K:$K,"ENTERPRISE",'MARE MX'!$Y:$Y,"Transporte",'MARE MX'!$AL:$AL,"*OK*")</f>
        <v>0</v>
      </c>
      <c r="AG23" s="77">
        <f>COUNTIFS('MARE MX'!$K:$K,"ENTERPRISE",'MARE MX'!$Y:$Y,"Turismo y Gastronomía",'MARE MX'!$AL:$AL,"*OK*")</f>
        <v>1</v>
      </c>
      <c r="AJ23">
        <v>4</v>
      </c>
      <c r="AK23">
        <f>COUNTIFS('MARE MX'!$K:$K,"ENTERPRISE",'MARE MX'!$CA:$CA,4)</f>
        <v>0</v>
      </c>
      <c r="AL23" s="58">
        <f t="shared" si="6"/>
        <v>0</v>
      </c>
      <c r="AM23">
        <f>COUNTIFS('MARE MX'!$K:$K,"SMB",'MARE MX'!$CA:$CA,4)</f>
        <v>0</v>
      </c>
      <c r="AN23" s="58">
        <f t="shared" si="7"/>
        <v>0</v>
      </c>
      <c r="AP23" s="92">
        <v>4</v>
      </c>
      <c r="AQ23" s="92">
        <f>COUNTIFS('MARE MX'!K:K,"ENTERPRISE",'MARE MX'!L:L,"Dafne de la Rosa",'MARE MX'!D:D,4)</f>
        <v>0</v>
      </c>
      <c r="AR23" s="92">
        <f>COUNTIFS('MARE MX'!K:K,"ENTERPRISE",'MARE MX'!L:L,"Karla Patiño",'MARE MX'!CA:CA,4)</f>
        <v>0</v>
      </c>
      <c r="AS23" s="92">
        <f>COUNTIFS('MARE MX'!K:K,"ENTERPRISE",'MARE MX'!L:L,"Raúl Campos",'MARE MX'!CA:CA,4)</f>
        <v>0</v>
      </c>
      <c r="AT23" s="92">
        <f>COUNTIFS('MARE MX'!K:K,"ENTERPRISE",'MARE MX'!L:L,"No Asignado",'MARE MX'!CA:CA,4)</f>
        <v>0</v>
      </c>
      <c r="AU23" s="92">
        <f>COUNTIFS('MARE MX'!K:K,"ENTERPRISE",'MARE MX'!L:L,"Implementando",'MARE MX'!CA:CA,4)</f>
        <v>0</v>
      </c>
      <c r="AV23" s="92">
        <f>SUM(AQ23:AU23)</f>
        <v>0</v>
      </c>
      <c r="AX23" s="90">
        <v>4</v>
      </c>
      <c r="AY23" s="90">
        <f>COUNTIFS('MARE MX'!$K:$K,"SMB",'MARE MX'!$L:$L,"Dafne de la Rosa",'MARE MX'!$CA:$CA,4)</f>
        <v>0</v>
      </c>
      <c r="AZ23" s="90">
        <f>COUNTIFS('MARE MX'!$K:$K,"SMB",'MARE MX'!$L:$L,"Karla Patiño",'MARE MX'!$CA:$CA,4)</f>
        <v>0</v>
      </c>
      <c r="BA23" s="90">
        <f>COUNTIFS('MARE MX'!$K:$K,"SMB",'MARE MX'!$L:$L,"Raúl Campos",'MARE MX'!$CA:$CA,4)</f>
        <v>0</v>
      </c>
      <c r="BB23" s="90">
        <f>COUNTIFS('MARE MX'!$K:$K,"SMB",'MARE MX'!$L:$L,"No Asignado",'MARE MX'!$CA:$CA,4)</f>
        <v>0</v>
      </c>
      <c r="BC23" s="90">
        <f>SUM(AY23:BB23)</f>
        <v>0</v>
      </c>
    </row>
    <row r="24" spans="1:61" ht="14.25" customHeight="1">
      <c r="A24" t="s">
        <v>1434</v>
      </c>
      <c r="B24">
        <v>13</v>
      </c>
      <c r="D24" s="43">
        <v>13647.3752</v>
      </c>
      <c r="G24" t="s">
        <v>1434</v>
      </c>
      <c r="H24">
        <v>11</v>
      </c>
      <c r="J24" s="43">
        <v>2187.7210999999998</v>
      </c>
      <c r="L24" s="77" t="s">
        <v>38</v>
      </c>
      <c r="M24" s="79">
        <f>COUNTIFS('MARE MX'!$K:$K,"ENTERPRISE",'MARE MX'!$AM:$AM,"*OK*")</f>
        <v>8</v>
      </c>
      <c r="N24" s="79">
        <f>COUNTIFS('MARE MX'!$K:$K,"SMB",'MARE MX'!$AM:$AM,"*OK*")</f>
        <v>2</v>
      </c>
      <c r="P24" s="83" t="s">
        <v>38</v>
      </c>
      <c r="Q24" s="77">
        <f>COUNTIFS('MARE MX'!$K:$K,"ENTERPRISE",'MARE MX'!$Y:$Y,"Agrícola",'MARE MX'!$AM:$AM,"*OK*")</f>
        <v>0</v>
      </c>
      <c r="R24" s="77">
        <f>COUNTIFS('MARE MX'!$K:$K,"ENTERPRISE",'MARE MX'!$Y:$Y,"Automotriz",'MARE MX'!$AM:$AM,"*OK*")</f>
        <v>0</v>
      </c>
      <c r="S24" s="77">
        <f>COUNTIFS('MARE MX'!$K:$K,"ENTERPRISE",'MARE MX'!$Y:$Y,"Banca y Finanzas",'MARE MX'!$AM:$AM,"*OK*")</f>
        <v>0</v>
      </c>
      <c r="T24" s="77">
        <f>COUNTIFS('MARE MX'!$K:$K,"ENTERPRISE",'MARE MX'!$Y:$Y,"Construcción",'MARE MX'!$AM:$AM,"*OK*")</f>
        <v>2</v>
      </c>
      <c r="U24" s="77">
        <f>COUNTIFS('MARE MX'!$K:$K,"ENTERPRISE",'MARE MX'!$Y:$Y,"Educación",'MARE MX'!$AM:$AM,"*OK*")</f>
        <v>0</v>
      </c>
      <c r="V24" s="77">
        <f>COUNTIFS('MARE MX'!$K:$K,"ENTERPRISE",'MARE MX'!$Y:$Y,"Energía",'MARE MX'!$AM:$AM,"*OK*")</f>
        <v>0</v>
      </c>
      <c r="W24" s="77">
        <f>COUNTIFS('MARE MX'!$K:$K,"ENTERPRISE",'MARE MX'!$Y:$Y,"Gobierno",'MARE MX'!$AM:$AM,"*OK*")</f>
        <v>0</v>
      </c>
      <c r="X24" s="77">
        <f>COUNTIFS('MARE MX'!$K:$K,"ENTERPRISE",'MARE MX'!$Y:$Y,"Logística",'MARE MX'!$AM:$AM,"*OK*")</f>
        <v>0</v>
      </c>
      <c r="Y24" s="77">
        <f>COUNTIFS('MARE MX'!$K:$K,"ENTERPRISE",'MARE MX'!$Y:$Y,"Manufactura",'MARE MX'!$AM:$AM,"*OK*")</f>
        <v>3</v>
      </c>
      <c r="Z24" s="77">
        <f>COUNTIFS('MARE MX'!$K:$K,"ENTERPRISE",'MARE MX'!$Y:$Y,"Outsourcing",'MARE MX'!$AM:$AM,"*OK*")</f>
        <v>0</v>
      </c>
      <c r="AA24" s="77">
        <f>COUNTIFS('MARE MX'!$K:$K,"ENTERPRISE",'MARE MX'!$Y:$Y,"Retail",'MARE MX'!$AM:$AM,"*OK*")</f>
        <v>0</v>
      </c>
      <c r="AB24" s="77">
        <f>COUNTIFS('MARE MX'!$K:$K,"ENTERPRISE",'MARE MX'!$Y:$Y,"Salud",'MARE MX'!$AM:$AM,"*OK*")</f>
        <v>0</v>
      </c>
      <c r="AC24" s="77">
        <f>COUNTIFS('MARE MX'!$K:$K,"ENTERPRISE",'MARE MX'!$Y:$Y,"Seguridad Privada",'MARE MX'!$AM:$AM,"*OK*")</f>
        <v>1</v>
      </c>
      <c r="AD24" s="77">
        <f>COUNTIFS('MARE MX'!$K:$K,"ENTERPRISE",'MARE MX'!$Y:$Y,"Servicios",'MARE MX'!$AM:$AM,"*OK*")</f>
        <v>0</v>
      </c>
      <c r="AE24" s="77">
        <f>COUNTIFS('MARE MX'!$K:$K,"ENTERPRISE",'MARE MX'!$Y:$Y,"Tecnología",'MARE MX'!$AM:$AM,"*OK*")</f>
        <v>2</v>
      </c>
      <c r="AF24" s="77">
        <f>COUNTIFS('MARE MX'!$K:$K,"ENTERPRISE",'MARE MX'!$Y:$Y,"Transporte",'MARE MX'!$AM:$AM,"*OK*")</f>
        <v>0</v>
      </c>
      <c r="AG24" s="77">
        <f>COUNTIFS('MARE MX'!$K:$K,"ENTERPRISE",'MARE MX'!$Y:$Y,"Turismo y Gastronomía",'MARE MX'!$AM:$AM,"*OK*")</f>
        <v>0</v>
      </c>
      <c r="AJ24" s="72" t="s">
        <v>1385</v>
      </c>
      <c r="AK24" s="72">
        <f>SUM(AK19:AK23)</f>
        <v>131</v>
      </c>
      <c r="AL24" s="72"/>
      <c r="AM24" s="72">
        <f>SUM(AM19:AM23)</f>
        <v>334</v>
      </c>
      <c r="AN24" s="72"/>
      <c r="AP24" s="81" t="s">
        <v>1385</v>
      </c>
      <c r="AQ24" s="89">
        <f t="shared" ref="AQ24:AV24" si="8">SUM(AQ19:AQ23)</f>
        <v>50</v>
      </c>
      <c r="AR24" s="89">
        <f t="shared" si="8"/>
        <v>5</v>
      </c>
      <c r="AS24" s="89">
        <f t="shared" si="8"/>
        <v>70</v>
      </c>
      <c r="AT24" s="89">
        <f t="shared" si="8"/>
        <v>5</v>
      </c>
      <c r="AU24" s="89">
        <f t="shared" si="8"/>
        <v>0</v>
      </c>
      <c r="AV24" s="89">
        <f t="shared" si="8"/>
        <v>130</v>
      </c>
      <c r="AX24" s="97" t="s">
        <v>1385</v>
      </c>
      <c r="AY24" s="97">
        <f>SUM(AY19:AY23)</f>
        <v>47</v>
      </c>
      <c r="AZ24" s="97">
        <f>SUM(AZ19:AZ23)</f>
        <v>148</v>
      </c>
      <c r="BA24" s="97">
        <f>SUM(BA19:BA23)</f>
        <v>9</v>
      </c>
      <c r="BB24" s="97">
        <f>SUM(BB19:BB23)</f>
        <v>130</v>
      </c>
      <c r="BC24" s="97">
        <f>SUM(BC19:BC23)</f>
        <v>334</v>
      </c>
    </row>
    <row r="25" spans="1:61" ht="14.25" customHeight="1">
      <c r="A25" t="s">
        <v>137</v>
      </c>
      <c r="B25">
        <v>2</v>
      </c>
      <c r="D25" s="43">
        <v>1793.5662</v>
      </c>
      <c r="G25" t="s">
        <v>137</v>
      </c>
      <c r="H25">
        <v>8</v>
      </c>
      <c r="J25" s="43">
        <v>3065.2405000000003</v>
      </c>
      <c r="L25" s="77" t="s">
        <v>39</v>
      </c>
      <c r="M25" s="79">
        <f>COUNTIFS('MARE MX'!$K:$K,"ENTERPRISE",'MARE MX'!$AN:$AN,"*OK*")</f>
        <v>5</v>
      </c>
      <c r="N25" s="79">
        <f>COUNTIFS('MARE MX'!$K:$K,"SMB",'MARE MX'!$AN:$AN,"*OK*")</f>
        <v>3</v>
      </c>
      <c r="P25" s="83" t="s">
        <v>39</v>
      </c>
      <c r="Q25" s="77">
        <f>COUNTIFS('MARE MX'!$K:$K,"ENTERPRISE",'MARE MX'!$Y:$Y,"Agrícola",'MARE MX'!$AN:$AN,"*OK*")</f>
        <v>0</v>
      </c>
      <c r="R25" s="77">
        <f>COUNTIFS('MARE MX'!$K:$K,"ENTERPRISE",'MARE MX'!$Y:$Y,"Automotriz",'MARE MX'!$AN:$AN,"*OK*")</f>
        <v>0</v>
      </c>
      <c r="S25" s="77">
        <f>COUNTIFS('MARE MX'!$K:$K,"ENTERPRISE",'MARE MX'!$Y:$Y,"Banca y Finanzas",'MARE MX'!$AN:$AN,"*OK*")</f>
        <v>0</v>
      </c>
      <c r="T25" s="77">
        <f>COUNTIFS('MARE MX'!$K:$K,"ENTERPRISE",'MARE MX'!$Y:$Y,"Construcción",'MARE MX'!$AN:$AN,"*OK*")</f>
        <v>1</v>
      </c>
      <c r="U25" s="77">
        <f>COUNTIFS('MARE MX'!$K:$K,"ENTERPRISE",'MARE MX'!$Y:$Y,"Educación",'MARE MX'!$AN:$AN,"*OK*")</f>
        <v>0</v>
      </c>
      <c r="V25" s="77">
        <f>COUNTIFS('MARE MX'!$K:$K,"ENTERPRISE",'MARE MX'!$Y:$Y,"Energía",'MARE MX'!$AN:$AN,"*OK*")</f>
        <v>0</v>
      </c>
      <c r="W25" s="77">
        <f>COUNTIFS('MARE MX'!$K:$K,"ENTERPRISE",'MARE MX'!$Y:$Y,"Gobierno",'MARE MX'!$AN:$AN,"*OK*")</f>
        <v>0</v>
      </c>
      <c r="X25" s="77">
        <f>COUNTIFS('MARE MX'!$K:$K,"ENTERPRISE",'MARE MX'!$Y:$Y,"Logística",'MARE MX'!$AN:$AN,"*OK*")</f>
        <v>0</v>
      </c>
      <c r="Y25" s="77">
        <f>COUNTIFS('MARE MX'!$K:$K,"ENTERPRISE",'MARE MX'!$Y:$Y,"Manufactura",'MARE MX'!$AN:$AN,"*OK*")</f>
        <v>0</v>
      </c>
      <c r="Z25" s="77">
        <f>COUNTIFS('MARE MX'!$K:$K,"ENTERPRISE",'MARE MX'!$Y:$Y,"Outsourcing",'MARE MX'!$AN:$AN,"*OK*")</f>
        <v>1</v>
      </c>
      <c r="AA25" s="77">
        <f>COUNTIFS('MARE MX'!$K:$K,"ENTERPRISE",'MARE MX'!$Y:$Y,"Retail",'MARE MX'!$AN:$AN,"*OK*")</f>
        <v>2</v>
      </c>
      <c r="AB25" s="77">
        <f>COUNTIFS('MARE MX'!$K:$K,"ENTERPRISE",'MARE MX'!$Y:$Y,"Salud",'MARE MX'!$AN:$AN,"*OK*")</f>
        <v>0</v>
      </c>
      <c r="AC25" s="77">
        <f>COUNTIFS('MARE MX'!$K:$K,"ENTERPRISE",'MARE MX'!$Y:$Y,"Seguridad Privada",'MARE MX'!$AN:$AN,"*OK*")</f>
        <v>0</v>
      </c>
      <c r="AD25" s="77">
        <f>COUNTIFS('MARE MX'!$K:$K,"ENTERPRISE",'MARE MX'!$Y:$Y,"Servicios",'MARE MX'!$AN:$AN,"*OK*")</f>
        <v>0</v>
      </c>
      <c r="AE25" s="77">
        <f>COUNTIFS('MARE MX'!$K:$K,"ENTERPRISE",'MARE MX'!$Y:$Y,"Tecnología",'MARE MX'!$AN:$AN,"*OK*")</f>
        <v>0</v>
      </c>
      <c r="AF25" s="77">
        <f>COUNTIFS('MARE MX'!$K:$K,"ENTERPRISE",'MARE MX'!$Y:$Y,"Transporte",'MARE MX'!$AN:$AN,"*OK*")</f>
        <v>0</v>
      </c>
      <c r="AG25" s="77">
        <f>COUNTIFS('MARE MX'!$K:$K,"ENTERPRISE",'MARE MX'!$Y:$Y,"Turismo y Gastronomía",'MARE MX'!$AN:$AN,"*OK*")</f>
        <v>1</v>
      </c>
    </row>
    <row r="26" spans="1:61" ht="14.25" customHeight="1">
      <c r="A26" t="s">
        <v>1409</v>
      </c>
      <c r="B26">
        <v>119</v>
      </c>
      <c r="D26" s="43">
        <v>115758.4988</v>
      </c>
      <c r="F26" t="s">
        <v>1435</v>
      </c>
      <c r="H26">
        <v>96</v>
      </c>
      <c r="J26" s="43">
        <v>46669.813700000006</v>
      </c>
      <c r="L26" s="77" t="s">
        <v>40</v>
      </c>
      <c r="M26" s="79">
        <f>COUNTIFS('MARE MX'!$K:$K,"ENTERPRISE",'MARE MX'!$AO:$AO,"*OK*")</f>
        <v>13</v>
      </c>
      <c r="N26" s="79">
        <f>COUNTIFS('MARE MX'!$K:$K,"SMB",'MARE MX'!$AO:$AO,"*OK*")</f>
        <v>2</v>
      </c>
      <c r="P26" s="83" t="s">
        <v>40</v>
      </c>
      <c r="Q26" s="77">
        <f>COUNTIFS('MARE MX'!$K:$K,"ENTERPRISE",'MARE MX'!$Y:$Y,"Agrícola",'MARE MX'!$AO:$AO,"*OK*")</f>
        <v>1</v>
      </c>
      <c r="R26" s="77">
        <f>COUNTIFS('MARE MX'!$K:$K,"ENTERPRISE",'MARE MX'!$Y:$Y,"Automotriz",'MARE MX'!$AO:$AO,"*OK*")</f>
        <v>0</v>
      </c>
      <c r="S26" s="77">
        <f>COUNTIFS('MARE MX'!$K:$K,"ENTERPRISE",'MARE MX'!$Y:$Y,"Banca y Finanzas",'MARE MX'!$AO:$AO,"*OK*")</f>
        <v>0</v>
      </c>
      <c r="T26" s="77">
        <f>COUNTIFS('MARE MX'!$K:$K,"ENTERPRISE",'MARE MX'!$Y:$Y,"Construcción",'MARE MX'!$AO:$AO,"*OK*")</f>
        <v>0</v>
      </c>
      <c r="U26" s="77">
        <f>COUNTIFS('MARE MX'!$K:$K,"ENTERPRISE",'MARE MX'!$Y:$Y,"Educación",'MARE MX'!$AO:$AO,"*OK*")</f>
        <v>0</v>
      </c>
      <c r="V26" s="77">
        <f>COUNTIFS('MARE MX'!$K:$K,"ENTERPRISE",'MARE MX'!$Y:$Y,"Energía",'MARE MX'!$AO:$AO,"*OK*")</f>
        <v>0</v>
      </c>
      <c r="W26" s="77">
        <f>COUNTIFS('MARE MX'!$K:$K,"ENTERPRISE",'MARE MX'!$Y:$Y,"Gobierno",'MARE MX'!$AO:$AO,"*OK*")</f>
        <v>0</v>
      </c>
      <c r="X26" s="77">
        <f>COUNTIFS('MARE MX'!$K:$K,"ENTERPRISE",'MARE MX'!$Y:$Y,"Logística",'MARE MX'!$AO:$AO,"*OK*")</f>
        <v>0</v>
      </c>
      <c r="Y26" s="77">
        <f>COUNTIFS('MARE MX'!$K:$K,"ENTERPRISE",'MARE MX'!$Y:$Y,"Manufactura",'MARE MX'!$AO:$AO,"*OK*")</f>
        <v>5</v>
      </c>
      <c r="Z26" s="77">
        <f>COUNTIFS('MARE MX'!$K:$K,"ENTERPRISE",'MARE MX'!$Y:$Y,"Outsourcing",'MARE MX'!$AO:$AO,"*OK*")</f>
        <v>2</v>
      </c>
      <c r="AA26" s="77">
        <f>COUNTIFS('MARE MX'!$K:$K,"ENTERPRISE",'MARE MX'!$Y:$Y,"Retail",'MARE MX'!$AO:$AO,"*OK*")</f>
        <v>3</v>
      </c>
      <c r="AB26" s="77">
        <f>COUNTIFS('MARE MX'!$K:$K,"ENTERPRISE",'MARE MX'!$Y:$Y,"Salud",'MARE MX'!$AO:$AO,"*OK*")</f>
        <v>2</v>
      </c>
      <c r="AC26" s="77">
        <f>COUNTIFS('MARE MX'!$K:$K,"ENTERPRISE",'MARE MX'!$Y:$Y,"Seguridad Privada",'MARE MX'!$AO:$AO,"*OK*")</f>
        <v>0</v>
      </c>
      <c r="AD26" s="77">
        <f>COUNTIFS('MARE MX'!$K:$K,"ENTERPRISE",'MARE MX'!$Y:$Y,"Servicios",'MARE MX'!$AO:$AO,"*OK*")</f>
        <v>0</v>
      </c>
      <c r="AE26" s="77">
        <f>COUNTIFS('MARE MX'!$K:$K,"ENTERPRISE",'MARE MX'!$Y:$Y,"Tecnología",'MARE MX'!$AO:$AO,"*OK*")</f>
        <v>0</v>
      </c>
      <c r="AF26" s="77">
        <f>COUNTIFS('MARE MX'!$K:$K,"ENTERPRISE",'MARE MX'!$Y:$Y,"Transporte",'MARE MX'!$AO:$AO,"*OK*")</f>
        <v>0</v>
      </c>
      <c r="AG26" s="77">
        <f>COUNTIFS('MARE MX'!$K:$K,"ENTERPRISE",'MARE MX'!$Y:$Y,"Turismo y Gastronomía",'MARE MX'!$AO:$AO,"*OK*")</f>
        <v>0</v>
      </c>
      <c r="AP26" s="98" t="s">
        <v>1436</v>
      </c>
      <c r="AQ26" s="99">
        <f>SUM(AQ20:AQ23)/AQ24</f>
        <v>0.26</v>
      </c>
      <c r="AR26" s="99">
        <f t="shared" ref="AR26:AU26" si="9">SUM(AR20:AR23)/AR24</f>
        <v>0.2</v>
      </c>
      <c r="AS26" s="99">
        <f t="shared" si="9"/>
        <v>0.38571428571428573</v>
      </c>
      <c r="AT26" s="99">
        <f t="shared" si="9"/>
        <v>0</v>
      </c>
      <c r="AU26" s="99" t="e">
        <f t="shared" si="9"/>
        <v>#DIV/0!</v>
      </c>
      <c r="AV26" s="90"/>
      <c r="AW26" s="90"/>
      <c r="AX26" s="98" t="s">
        <v>1436</v>
      </c>
      <c r="AY26" s="99">
        <f>SUM(AY20:AY23)/AY24</f>
        <v>8.5106382978723402E-2</v>
      </c>
      <c r="AZ26" s="99">
        <f t="shared" ref="AZ26:BC26" si="10">SUM(AZ20:AZ23)/AZ24</f>
        <v>6.7567567567567571E-2</v>
      </c>
      <c r="BA26" s="99">
        <f t="shared" si="10"/>
        <v>0.33333333333333331</v>
      </c>
      <c r="BB26" s="99">
        <f t="shared" si="10"/>
        <v>3.0769230769230771E-2</v>
      </c>
      <c r="BC26" s="99">
        <f t="shared" si="10"/>
        <v>6.2874251497005984E-2</v>
      </c>
    </row>
    <row r="27" spans="1:61" ht="15" customHeight="1">
      <c r="F27" t="s">
        <v>445</v>
      </c>
      <c r="G27" t="s">
        <v>84</v>
      </c>
      <c r="H27">
        <v>12</v>
      </c>
      <c r="J27" s="43">
        <v>2652.2347</v>
      </c>
      <c r="L27" s="77" t="s">
        <v>41</v>
      </c>
      <c r="M27" s="79">
        <f>COUNTIFS('MARE MX'!$K:$K,"ENTERPRISE",'MARE MX'!$AP:$AP,"*OK*")</f>
        <v>9</v>
      </c>
      <c r="N27" s="79">
        <f>COUNTIFS('MARE MX'!$K:$K,"SMB",'MARE MX'!$AP:$AP,"*OK*")</f>
        <v>4</v>
      </c>
      <c r="P27" s="83" t="s">
        <v>41</v>
      </c>
      <c r="Q27" s="77">
        <f>COUNTIFS('MARE MX'!$K:$K,"ENTERPRISE",'MARE MX'!$Y:$Y,"Agrícola",'MARE MX'!$AP:$AP,"*OK*")</f>
        <v>0</v>
      </c>
      <c r="R27" s="77">
        <f>COUNTIFS('MARE MX'!$K:$K,"ENTERPRISE",'MARE MX'!$Y:$Y,"Automotriz",'MARE MX'!$AP:$AP,"*OK*")</f>
        <v>0</v>
      </c>
      <c r="S27" s="77">
        <f>COUNTIFS('MARE MX'!$K:$K,"ENTERPRISE",'MARE MX'!$Y:$Y,"Banca y Finanzas",'MARE MX'!$AP:$AP,"*OK*")</f>
        <v>0</v>
      </c>
      <c r="T27" s="77">
        <f>COUNTIFS('MARE MX'!$K:$K,"ENTERPRISE",'MARE MX'!$Y:$Y,"Construcción",'MARE MX'!$AP:$AP,"*OK*")</f>
        <v>0</v>
      </c>
      <c r="U27" s="77">
        <f>COUNTIFS('MARE MX'!$K:$K,"ENTERPRISE",'MARE MX'!$Y:$Y,"Educación",'MARE MX'!$AP:$AP,"*OK*")</f>
        <v>0</v>
      </c>
      <c r="V27" s="77">
        <f>COUNTIFS('MARE MX'!$K:$K,"ENTERPRISE",'MARE MX'!$Y:$Y,"Energía",'MARE MX'!$AP:$AP,"*OK*")</f>
        <v>0</v>
      </c>
      <c r="W27" s="77">
        <f>COUNTIFS('MARE MX'!$K:$K,"ENTERPRISE",'MARE MX'!$Y:$Y,"Gobierno",'MARE MX'!$AP:$AP,"*OK*")</f>
        <v>0</v>
      </c>
      <c r="X27" s="77">
        <f>COUNTIFS('MARE MX'!$K:$K,"ENTERPRISE",'MARE MX'!$Y:$Y,"Logística",'MARE MX'!$AP:$AP,"*OK*")</f>
        <v>1</v>
      </c>
      <c r="Y27" s="77">
        <f>COUNTIFS('MARE MX'!$K:$K,"ENTERPRISE",'MARE MX'!$Y:$Y,"Manufactura",'MARE MX'!$AP:$AP,"*OK*")</f>
        <v>5</v>
      </c>
      <c r="Z27" s="77">
        <f>COUNTIFS('MARE MX'!$K:$K,"ENTERPRISE",'MARE MX'!$Y:$Y,"Outsourcing",'MARE MX'!$AP:$AP,"*OK*")</f>
        <v>0</v>
      </c>
      <c r="AA27" s="77">
        <f>COUNTIFS('MARE MX'!$K:$K,"ENTERPRISE",'MARE MX'!$Y:$Y,"Retail",'MARE MX'!$AP:$AP,"*OK*")</f>
        <v>2</v>
      </c>
      <c r="AB27" s="77">
        <f>COUNTIFS('MARE MX'!$K:$K,"ENTERPRISE",'MARE MX'!$Y:$Y,"Salud",'MARE MX'!$AP:$AP,"*OK*")</f>
        <v>0</v>
      </c>
      <c r="AC27" s="77">
        <f>COUNTIFS('MARE MX'!$K:$K,"ENTERPRISE",'MARE MX'!$Y:$Y,"Seguridad Privada",'MARE MX'!$AP:$AP,"*OK*")</f>
        <v>0</v>
      </c>
      <c r="AD27" s="77">
        <f>COUNTIFS('MARE MX'!$K:$K,"ENTERPRISE",'MARE MX'!$Y:$Y,"Servicios",'MARE MX'!$AP:$AP,"*OK*")</f>
        <v>0</v>
      </c>
      <c r="AE27" s="77">
        <f>COUNTIFS('MARE MX'!$K:$K,"ENTERPRISE",'MARE MX'!$Y:$Y,"Tecnología",'MARE MX'!$AP:$AP,"*OK*")</f>
        <v>0</v>
      </c>
      <c r="AF27" s="77">
        <f>COUNTIFS('MARE MX'!$K:$K,"ENTERPRISE",'MARE MX'!$Y:$Y,"Transporte",'MARE MX'!$AP:$AP,"*OK*")</f>
        <v>1</v>
      </c>
      <c r="AG27" s="77">
        <f>COUNTIFS('MARE MX'!$K:$K,"ENTERPRISE",'MARE MX'!$Y:$Y,"Turismo y Gastronomía",'MARE MX'!$AP:$AP,"*OK*")</f>
        <v>0</v>
      </c>
      <c r="AP27" s="90"/>
      <c r="AQ27" s="90"/>
      <c r="AR27" s="90"/>
      <c r="AS27" s="90"/>
      <c r="AT27" s="90"/>
      <c r="AU27" s="90"/>
      <c r="AV27" s="90"/>
      <c r="AW27" s="90"/>
      <c r="AX27" s="90"/>
      <c r="AY27" s="90"/>
      <c r="AZ27" s="90"/>
      <c r="BA27" s="90"/>
      <c r="BB27" s="90"/>
      <c r="BC27" s="90"/>
    </row>
    <row r="28" spans="1:61" ht="14.25" customHeight="1">
      <c r="G28" t="s">
        <v>521</v>
      </c>
      <c r="H28">
        <v>1</v>
      </c>
      <c r="J28" s="43">
        <v>142.02889999999999</v>
      </c>
      <c r="L28" s="77" t="s">
        <v>42</v>
      </c>
      <c r="M28" s="79">
        <f>COUNTIFS('MARE MX'!$K:$K,"ENTERPRISE",'MARE MX'!$AQ:$AQ,"*OK*")</f>
        <v>0</v>
      </c>
      <c r="N28" s="79">
        <f>COUNTIFS('MARE MX'!$K:$K,"SMB",'MARE MX'!$AQ:$AQ,"*OK*")</f>
        <v>0</v>
      </c>
      <c r="P28" s="83" t="s">
        <v>42</v>
      </c>
      <c r="Q28" s="77">
        <f>COUNTIFS('MARE MX'!$K:$K,"ENTERPRISE",'MARE MX'!$Y:$Y,"Agrícola",'MARE MX'!$AQ:$AQ,"*OK*")</f>
        <v>0</v>
      </c>
      <c r="R28" s="77">
        <f>COUNTIFS('MARE MX'!$K:$K,"ENTERPRISE",'MARE MX'!$Y:$Y,"Automotriz",'MARE MX'!$AQ:$AQ,"*OK*")</f>
        <v>0</v>
      </c>
      <c r="S28" s="77">
        <f>COUNTIFS('MARE MX'!$K:$K,"ENTERPRISE",'MARE MX'!$Y:$Y,"Banca y Finanzas",'MARE MX'!$AQ:$AQ,"*OK*")</f>
        <v>0</v>
      </c>
      <c r="T28" s="77">
        <f>COUNTIFS('MARE MX'!$K:$K,"ENTERPRISE",'MARE MX'!$Y:$Y,"Construcción",'MARE MX'!$AQ:$AQ,"*OK*")</f>
        <v>0</v>
      </c>
      <c r="U28" s="77">
        <f>COUNTIFS('MARE MX'!$K:$K,"ENTERPRISE",'MARE MX'!$Y:$Y,"Educación",'MARE MX'!$AQ:$AQ,"*OK*")</f>
        <v>0</v>
      </c>
      <c r="V28" s="77">
        <f>COUNTIFS('MARE MX'!$K:$K,"ENTERPRISE",'MARE MX'!$Y:$Y,"Energía",'MARE MX'!$AQ:$AQ,"*OK*")</f>
        <v>0</v>
      </c>
      <c r="W28" s="77">
        <f>COUNTIFS('MARE MX'!$K:$K,"ENTERPRISE",'MARE MX'!$Y:$Y,"Gobierno",'MARE MX'!$AQ:$AQ,"*OK*")</f>
        <v>0</v>
      </c>
      <c r="X28" s="77">
        <f>COUNTIFS('MARE MX'!$K:$K,"ENTERPRISE",'MARE MX'!$Y:$Y,"Logística",'MARE MX'!$AQ:$AQ,"*OK*")</f>
        <v>0</v>
      </c>
      <c r="Y28" s="77">
        <f>COUNTIFS('MARE MX'!$K:$K,"ENTERPRISE",'MARE MX'!$Y:$Y,"Manufactura",'MARE MX'!$AQ:$AQ,"*OK*")</f>
        <v>0</v>
      </c>
      <c r="Z28" s="77">
        <f>COUNTIFS('MARE MX'!$K:$K,"ENTERPRISE",'MARE MX'!$Y:$Y,"Outsourcing",'MARE MX'!$AQ:$AQ,"*OK*")</f>
        <v>0</v>
      </c>
      <c r="AA28" s="77">
        <f>COUNTIFS('MARE MX'!$K:$K,"ENTERPRISE",'MARE MX'!$Y:$Y,"Retail",'MARE MX'!$AQ:$AQ,"*OK*")</f>
        <v>0</v>
      </c>
      <c r="AB28" s="77">
        <f>COUNTIFS('MARE MX'!$K:$K,"ENTERPRISE",'MARE MX'!$Y:$Y,"Salud",'MARE MX'!$AQ:$AQ,"*OK*")</f>
        <v>0</v>
      </c>
      <c r="AC28" s="77">
        <f>COUNTIFS('MARE MX'!$K:$K,"ENTERPRISE",'MARE MX'!$Y:$Y,"Seguridad Privada",'MARE MX'!$AQ:$AQ,"*OK*")</f>
        <v>0</v>
      </c>
      <c r="AD28" s="77">
        <f>COUNTIFS('MARE MX'!$K:$K,"ENTERPRISE",'MARE MX'!$Y:$Y,"Servicios",'MARE MX'!$AQ:$AQ,"*OK*")</f>
        <v>0</v>
      </c>
      <c r="AE28" s="77">
        <f>COUNTIFS('MARE MX'!$K:$K,"ENTERPRISE",'MARE MX'!$Y:$Y,"Tecnología",'MARE MX'!$AQ:$AQ,"*OK*")</f>
        <v>0</v>
      </c>
      <c r="AF28" s="77">
        <f>COUNTIFS('MARE MX'!$K:$K,"ENTERPRISE",'MARE MX'!$Y:$Y,"Transporte",'MARE MX'!$AQ:$AQ,"*OK*")</f>
        <v>0</v>
      </c>
      <c r="AG28" s="77">
        <f>COUNTIFS('MARE MX'!$K:$K,"ENTERPRISE",'MARE MX'!$Y:$Y,"Turismo y Gastronomía",'MARE MX'!$AQ:$AQ,"*OK*")</f>
        <v>0</v>
      </c>
      <c r="AP28" s="90"/>
      <c r="AQ28" s="90"/>
      <c r="AR28" s="90"/>
      <c r="AS28" s="90"/>
      <c r="AT28" s="90"/>
      <c r="AU28" s="90"/>
      <c r="AV28" s="90"/>
      <c r="AW28" s="90"/>
      <c r="AX28" s="90"/>
      <c r="AY28" s="90"/>
      <c r="AZ28" s="90"/>
      <c r="BA28" s="90"/>
      <c r="BB28" s="90"/>
      <c r="BC28" s="90"/>
    </row>
    <row r="29" spans="1:61" ht="14.25" customHeight="1">
      <c r="D29" s="43"/>
      <c r="G29" t="s">
        <v>97</v>
      </c>
      <c r="H29">
        <v>26</v>
      </c>
      <c r="J29" s="43">
        <v>6669.9067999999997</v>
      </c>
      <c r="L29" s="77" t="s">
        <v>43</v>
      </c>
      <c r="M29" s="79">
        <f>COUNTIFS('MARE MX'!$K:$K,"ENTERPRISE",'MARE MX'!$AR:$AR,"*OK*")</f>
        <v>0</v>
      </c>
      <c r="N29" s="79">
        <f>COUNTIFS('MARE MX'!$K:$K,"SMB",'MARE MX'!$AR:$AR,"*OK*")</f>
        <v>0</v>
      </c>
      <c r="P29" s="83" t="s">
        <v>43</v>
      </c>
      <c r="Q29" s="77">
        <f>COUNTIFS('MARE MX'!$K:$K,"ENTERPRISE",'MARE MX'!$Y:$Y,"Agrícola",'MARE MX'!$AR:$AR,"*OK*")</f>
        <v>0</v>
      </c>
      <c r="R29" s="77">
        <f>COUNTIFS('MARE MX'!$K:$K,"ENTERPRISE",'MARE MX'!$Y:$Y,"Automotriz",'MARE MX'!$AR:$AR,"*OK*")</f>
        <v>0</v>
      </c>
      <c r="S29" s="77">
        <f>COUNTIFS('MARE MX'!$K:$K,"ENTERPRISE",'MARE MX'!$Y:$Y,"Banca y Finanzas",'MARE MX'!$AR:$AR,"*OK*")</f>
        <v>0</v>
      </c>
      <c r="T29" s="77">
        <f>COUNTIFS('MARE MX'!$K:$K,"ENTERPRISE",'MARE MX'!$Y:$Y,"Construcción",'MARE MX'!$AR:$AR,"*OK*")</f>
        <v>0</v>
      </c>
      <c r="U29" s="77">
        <f>COUNTIFS('MARE MX'!$K:$K,"ENTERPRISE",'MARE MX'!$Y:$Y,"Educación",'MARE MX'!$AR:$AR,"*OK*")</f>
        <v>0</v>
      </c>
      <c r="V29" s="77">
        <f>COUNTIFS('MARE MX'!$K:$K,"ENTERPRISE",'MARE MX'!$Y:$Y,"Energía",'MARE MX'!$AR:$AR,"*OK*")</f>
        <v>0</v>
      </c>
      <c r="W29" s="77">
        <f>COUNTIFS('MARE MX'!$K:$K,"ENTERPRISE",'MARE MX'!$Y:$Y,"Gobierno",'MARE MX'!$AR:$AR,"*OK*")</f>
        <v>0</v>
      </c>
      <c r="X29" s="77">
        <f>COUNTIFS('MARE MX'!$K:$K,"ENTERPRISE",'MARE MX'!$Y:$Y,"Logística",'MARE MX'!$AR:$AR,"*OK*")</f>
        <v>0</v>
      </c>
      <c r="Y29" s="77">
        <f>COUNTIFS('MARE MX'!$K:$K,"ENTERPRISE",'MARE MX'!$Y:$Y,"Manufactura",'MARE MX'!$AR:$AR,"*OK*")</f>
        <v>0</v>
      </c>
      <c r="Z29" s="77">
        <f>COUNTIFS('MARE MX'!$K:$K,"ENTERPRISE",'MARE MX'!$Y:$Y,"Outsourcing",'MARE MX'!$AR:$AR,"*OK*")</f>
        <v>0</v>
      </c>
      <c r="AA29" s="77">
        <f>COUNTIFS('MARE MX'!$K:$K,"ENTERPRISE",'MARE MX'!$Y:$Y,"Retail",'MARE MX'!$AR:$AR,"*OK*")</f>
        <v>0</v>
      </c>
      <c r="AB29" s="77">
        <f>COUNTIFS('MARE MX'!$K:$K,"ENTERPRISE",'MARE MX'!$Y:$Y,"Salud",'MARE MX'!$AR:$AR,"*OK*")</f>
        <v>0</v>
      </c>
      <c r="AC29" s="77">
        <f>COUNTIFS('MARE MX'!$K:$K,"ENTERPRISE",'MARE MX'!$Y:$Y,"Seguridad Privada",'MARE MX'!$AR:$AR,"*OK*")</f>
        <v>0</v>
      </c>
      <c r="AD29" s="77">
        <f>COUNTIFS('MARE MX'!$K:$K,"ENTERPRISE",'MARE MX'!$Y:$Y,"Servicios",'MARE MX'!$AR:$AR,"*OK*")</f>
        <v>0</v>
      </c>
      <c r="AE29" s="77">
        <f>COUNTIFS('MARE MX'!$K:$K,"ENTERPRISE",'MARE MX'!$Y:$Y,"Tecnología",'MARE MX'!$AR:$AR,"*OK*")</f>
        <v>0</v>
      </c>
      <c r="AF29" s="77">
        <f>COUNTIFS('MARE MX'!$K:$K,"ENTERPRISE",'MARE MX'!$Y:$Y,"Transporte",'MARE MX'!$AR:$AR,"*OK*")</f>
        <v>0</v>
      </c>
      <c r="AG29" s="77">
        <f>COUNTIFS('MARE MX'!$K:$K,"ENTERPRISE",'MARE MX'!$Y:$Y,"Turismo y Gastronomía",'MARE MX'!$AR:$AR,"*OK*")</f>
        <v>0</v>
      </c>
      <c r="AP29" s="90"/>
      <c r="AQ29" s="90"/>
      <c r="AR29" s="90"/>
      <c r="AS29" s="90"/>
      <c r="AT29" s="90"/>
      <c r="AU29" s="90"/>
      <c r="AV29" s="90"/>
      <c r="AW29" s="90"/>
      <c r="AX29" s="90"/>
      <c r="AY29" s="90"/>
      <c r="AZ29" s="90"/>
      <c r="BA29" s="90"/>
      <c r="BB29" s="90"/>
      <c r="BC29" s="90"/>
    </row>
    <row r="30" spans="1:61" ht="14.25" customHeight="1">
      <c r="A30" s="42" t="s">
        <v>10</v>
      </c>
      <c r="B30" t="s">
        <v>68</v>
      </c>
      <c r="D30" s="43"/>
      <c r="G30" t="s">
        <v>568</v>
      </c>
      <c r="H30">
        <v>5</v>
      </c>
      <c r="J30" s="43">
        <v>1210.5227</v>
      </c>
      <c r="L30" s="77" t="s">
        <v>44</v>
      </c>
      <c r="M30" s="79">
        <f>COUNTIFS('MARE MX'!$K:$K,"ENTERPRISE",'MARE MX'!$AS:$AS,"*OK*")</f>
        <v>1</v>
      </c>
      <c r="N30" s="79">
        <f>COUNTIFS('MARE MX'!$K:$K,"SMB",'MARE MX'!$AS:$AS,"*OK*")</f>
        <v>2</v>
      </c>
      <c r="P30" s="83" t="s">
        <v>44</v>
      </c>
      <c r="Q30" s="77">
        <f>COUNTIFS('MARE MX'!$K:$K,"ENTERPRISE",'MARE MX'!$Y:$Y,"Agrícola",'MARE MX'!$AS:$AS,"*OK*")</f>
        <v>0</v>
      </c>
      <c r="R30" s="77">
        <f>COUNTIFS('MARE MX'!$K:$K,"ENTERPRISE",'MARE MX'!$Y:$Y,"Automotriz",'MARE MX'!$AS:$AS,"*OK*")</f>
        <v>0</v>
      </c>
      <c r="S30" s="77">
        <f>COUNTIFS('MARE MX'!$K:$K,"ENTERPRISE",'MARE MX'!$Y:$Y,"Banca y Finanzas",'MARE MX'!$AS:$AS,"*OK*")</f>
        <v>0</v>
      </c>
      <c r="T30" s="77">
        <f>COUNTIFS('MARE MX'!$K:$K,"ENTERPRISE",'MARE MX'!$Y:$Y,"Construcción",'MARE MX'!$AS:$AS,"*OK*")</f>
        <v>0</v>
      </c>
      <c r="U30" s="77">
        <f>COUNTIFS('MARE MX'!$K:$K,"ENTERPRISE",'MARE MX'!$Y:$Y,"Educación",'MARE MX'!$AS:$AS,"*OK*")</f>
        <v>0</v>
      </c>
      <c r="V30" s="77">
        <f>COUNTIFS('MARE MX'!$K:$K,"ENTERPRISE",'MARE MX'!$Y:$Y,"Energía",'MARE MX'!$AS:$AS,"*OK*")</f>
        <v>0</v>
      </c>
      <c r="W30" s="77">
        <f>COUNTIFS('MARE MX'!$K:$K,"ENTERPRISE",'MARE MX'!$Y:$Y,"Gobierno",'MARE MX'!$AS:$AS,"*OK*")</f>
        <v>0</v>
      </c>
      <c r="X30" s="77">
        <f>COUNTIFS('MARE MX'!$K:$K,"ENTERPRISE",'MARE MX'!$Y:$Y,"Logística",'MARE MX'!$AS:$AS,"*OK*")</f>
        <v>0</v>
      </c>
      <c r="Y30" s="77">
        <f>COUNTIFS('MARE MX'!$K:$K,"ENTERPRISE",'MARE MX'!$Y:$Y,"Manufactura",'MARE MX'!$AS:$AS,"*OK*")</f>
        <v>0</v>
      </c>
      <c r="Z30" s="77">
        <f>COUNTIFS('MARE MX'!$K:$K,"ENTERPRISE",'MARE MX'!$Y:$Y,"Outsourcing",'MARE MX'!$AS:$AS,"*OK*")</f>
        <v>1</v>
      </c>
      <c r="AA30" s="77">
        <f>COUNTIFS('MARE MX'!$K:$K,"ENTERPRISE",'MARE MX'!$Y:$Y,"Retail",'MARE MX'!$AS:$AS,"*OK*")</f>
        <v>0</v>
      </c>
      <c r="AB30" s="77">
        <f>COUNTIFS('MARE MX'!$K:$K,"ENTERPRISE",'MARE MX'!$Y:$Y,"Salud",'MARE MX'!$AS:$AS,"*OK*")</f>
        <v>0</v>
      </c>
      <c r="AC30" s="77">
        <f>COUNTIFS('MARE MX'!$K:$K,"ENTERPRISE",'MARE MX'!$Y:$Y,"Seguridad Privada",'MARE MX'!$AS:$AS,"*OK*")</f>
        <v>0</v>
      </c>
      <c r="AD30" s="77">
        <f>COUNTIFS('MARE MX'!$K:$K,"ENTERPRISE",'MARE MX'!$Y:$Y,"Servicios",'MARE MX'!$AS:$AS,"*OK*")</f>
        <v>0</v>
      </c>
      <c r="AE30" s="77">
        <f>COUNTIFS('MARE MX'!$K:$K,"ENTERPRISE",'MARE MX'!$Y:$Y,"Tecnología",'MARE MX'!$AS:$AS,"*OK*")</f>
        <v>0</v>
      </c>
      <c r="AF30" s="77">
        <f>COUNTIFS('MARE MX'!$K:$K,"ENTERPRISE",'MARE MX'!$Y:$Y,"Transporte",'MARE MX'!$AS:$AS,"*OK*")</f>
        <v>0</v>
      </c>
      <c r="AG30" s="77">
        <f>COUNTIFS('MARE MX'!$K:$K,"ENTERPRISE",'MARE MX'!$Y:$Y,"Turismo y Gastronomía",'MARE MX'!$AS:$AS,"*OK*")</f>
        <v>0</v>
      </c>
      <c r="AP30" s="90"/>
      <c r="AQ30" s="90"/>
      <c r="AR30" s="90"/>
      <c r="AS30" s="90"/>
      <c r="AT30" s="90"/>
      <c r="AU30" s="90"/>
      <c r="AV30" s="90"/>
      <c r="AW30" s="90"/>
      <c r="AX30" s="90"/>
      <c r="AY30" s="90"/>
      <c r="AZ30" s="90"/>
      <c r="BA30" s="90"/>
      <c r="BB30" s="90"/>
      <c r="BC30" s="90"/>
    </row>
    <row r="31" spans="1:61">
      <c r="A31" s="22"/>
      <c r="D31" s="43"/>
      <c r="G31" t="s">
        <v>92</v>
      </c>
      <c r="H31">
        <v>27</v>
      </c>
      <c r="J31" s="43">
        <v>5235.6856999999991</v>
      </c>
      <c r="L31" s="77" t="s">
        <v>45</v>
      </c>
      <c r="M31" s="79">
        <f>COUNTIFS('MARE MX'!$K:$K,"ENTERPRISE",'MARE MX'!$AT:$AT,"*OK*")</f>
        <v>1</v>
      </c>
      <c r="N31" s="79">
        <f>COUNTIFS('MARE MX'!$K:$K,"SMB",'MARE MX'!$AT:$AT,"*OK*")</f>
        <v>0</v>
      </c>
      <c r="P31" s="83" t="s">
        <v>45</v>
      </c>
      <c r="Q31" s="77">
        <f>COUNTIFS('MARE MX'!$K:$K,"ENTERPRISE",'MARE MX'!$Y:$Y,"Agrícola",'MARE MX'!$AT:$AT,"*OK*")</f>
        <v>0</v>
      </c>
      <c r="R31" s="77">
        <f>COUNTIFS('MARE MX'!$K:$K,"ENTERPRISE",'MARE MX'!$Y:$Y,"Automotriz",'MARE MX'!$AT:$AT,"*OK*")</f>
        <v>0</v>
      </c>
      <c r="S31" s="77">
        <f>COUNTIFS('MARE MX'!$K:$K,"ENTERPRISE",'MARE MX'!$Y:$Y,"Banca y Finanzas",'MARE MX'!$AT:$AT,"*OK*")</f>
        <v>0</v>
      </c>
      <c r="T31" s="77">
        <f>COUNTIFS('MARE MX'!$K:$K,"ENTERPRISE",'MARE MX'!$Y:$Y,"Construcción",'MARE MX'!$AT:$AT,"*OK*")</f>
        <v>0</v>
      </c>
      <c r="U31" s="77">
        <f>COUNTIFS('MARE MX'!$K:$K,"ENTERPRISE",'MARE MX'!$Y:$Y,"Educación",'MARE MX'!$AT:$AT,"*OK*")</f>
        <v>0</v>
      </c>
      <c r="V31" s="77">
        <f>COUNTIFS('MARE MX'!$K:$K,"ENTERPRISE",'MARE MX'!$Y:$Y,"Energía",'MARE MX'!$AT:$AT,"*OK*")</f>
        <v>0</v>
      </c>
      <c r="W31" s="77">
        <f>COUNTIFS('MARE MX'!$K:$K,"ENTERPRISE",'MARE MX'!$Y:$Y,"Gobierno",'MARE MX'!$AT:$AT,"*OK*")</f>
        <v>0</v>
      </c>
      <c r="X31" s="77">
        <f>COUNTIFS('MARE MX'!$K:$K,"ENTERPRISE",'MARE MX'!$Y:$Y,"Logística",'MARE MX'!$AT:$AT,"*OK*")</f>
        <v>0</v>
      </c>
      <c r="Y31" s="77">
        <f>COUNTIFS('MARE MX'!$K:$K,"ENTERPRISE",'MARE MX'!$Y:$Y,"Manufactura",'MARE MX'!$AT:$AT,"*OK*")</f>
        <v>1</v>
      </c>
      <c r="Z31" s="77">
        <f>COUNTIFS('MARE MX'!$K:$K,"ENTERPRISE",'MARE MX'!$Y:$Y,"Outsourcing",'MARE MX'!$AT:$AT,"*OK*")</f>
        <v>0</v>
      </c>
      <c r="AA31" s="77">
        <f>COUNTIFS('MARE MX'!$K:$K,"ENTERPRISE",'MARE MX'!$Y:$Y,"Retail",'MARE MX'!$AT:$AT,"*OK*")</f>
        <v>0</v>
      </c>
      <c r="AB31" s="77">
        <f>COUNTIFS('MARE MX'!$K:$K,"ENTERPRISE",'MARE MX'!$Y:$Y,"Salud",'MARE MX'!$AT:$AT,"*OK*")</f>
        <v>0</v>
      </c>
      <c r="AC31" s="77">
        <f>COUNTIFS('MARE MX'!$K:$K,"ENTERPRISE",'MARE MX'!$Y:$Y,"Seguridad Privada",'MARE MX'!$AT:$AT,"*OK*")</f>
        <v>0</v>
      </c>
      <c r="AD31" s="77">
        <f>COUNTIFS('MARE MX'!$K:$K,"ENTERPRISE",'MARE MX'!$Y:$Y,"Servicios",'MARE MX'!$AT:$AT,"*OK*")</f>
        <v>0</v>
      </c>
      <c r="AE31" s="77">
        <f>COUNTIFS('MARE MX'!$K:$K,"ENTERPRISE",'MARE MX'!$Y:$Y,"Tecnología",'MARE MX'!$AT:$AT,"*OK*")</f>
        <v>0</v>
      </c>
      <c r="AF31" s="77">
        <f>COUNTIFS('MARE MX'!$K:$K,"ENTERPRISE",'MARE MX'!$Y:$Y,"Transporte",'MARE MX'!$AT:$AT,"*OK*")</f>
        <v>0</v>
      </c>
      <c r="AG31" s="77">
        <f>COUNTIFS('MARE MX'!$K:$K,"ENTERPRISE",'MARE MX'!$Y:$Y,"Turismo y Gastronomía",'MARE MX'!$AT:$AT,"*OK*")</f>
        <v>0</v>
      </c>
      <c r="AJ31" s="523" t="s">
        <v>1437</v>
      </c>
      <c r="AK31" s="523"/>
      <c r="AL31" s="523"/>
      <c r="AM31" s="523"/>
      <c r="AN31" s="523"/>
      <c r="AP31" s="523" t="s">
        <v>1438</v>
      </c>
      <c r="AQ31" s="523"/>
      <c r="AR31" s="523"/>
      <c r="AS31" s="523"/>
      <c r="AT31" s="523"/>
      <c r="AU31" s="523"/>
      <c r="AV31" s="523"/>
      <c r="AW31" s="90"/>
      <c r="AX31" s="521" t="s">
        <v>1439</v>
      </c>
      <c r="AY31" s="521"/>
      <c r="AZ31" s="521"/>
      <c r="BA31" s="521"/>
      <c r="BB31" s="521"/>
      <c r="BC31" s="521"/>
      <c r="BE31" s="522" t="s">
        <v>1440</v>
      </c>
      <c r="BF31" s="522"/>
      <c r="BG31" s="89"/>
    </row>
    <row r="32" spans="1:61" s="22" customFormat="1" ht="45.2">
      <c r="A32" s="45" t="s">
        <v>27</v>
      </c>
      <c r="B32" s="22" t="s">
        <v>1427</v>
      </c>
      <c r="C32" s="22" t="s">
        <v>1428</v>
      </c>
      <c r="D32" s="46" t="s">
        <v>1429</v>
      </c>
      <c r="F32"/>
      <c r="G32" t="s">
        <v>517</v>
      </c>
      <c r="H32">
        <v>2</v>
      </c>
      <c r="I32"/>
      <c r="J32" s="43">
        <v>386.09949999999998</v>
      </c>
      <c r="L32" s="77" t="s">
        <v>46</v>
      </c>
      <c r="M32" s="79">
        <f>COUNTIFS('MARE MX'!$K:$K,"ENTERPRISE",'MARE MX'!$AU:$AU,"*OK*")</f>
        <v>0</v>
      </c>
      <c r="N32" s="79">
        <f>COUNTIFS('MARE MX'!$K:$K,"SMB",'MARE MX'!$AU:$AU,"*OK*")</f>
        <v>0</v>
      </c>
      <c r="P32" s="83" t="s">
        <v>46</v>
      </c>
      <c r="Q32" s="77">
        <f>COUNTIFS('MARE MX'!$K:$K,"ENTERPRISE",'MARE MX'!$Y:$Y,"Agrícola",'MARE MX'!$AU:$AU,"*OK*")</f>
        <v>0</v>
      </c>
      <c r="R32" s="77">
        <f>COUNTIFS('MARE MX'!$K:$K,"ENTERPRISE",'MARE MX'!$Y:$Y,"Automotriz",'MARE MX'!$AU:$AU,"*OK*")</f>
        <v>0</v>
      </c>
      <c r="S32" s="77">
        <f>COUNTIFS('MARE MX'!$K:$K,"ENTERPRISE",'MARE MX'!$Y:$Y,"Banca y Finanzas",'MARE MX'!$AU:$AU,"*OK*")</f>
        <v>0</v>
      </c>
      <c r="T32" s="77">
        <f>COUNTIFS('MARE MX'!$K:$K,"ENTERPRISE",'MARE MX'!$Y:$Y,"Construcción",'MARE MX'!$AU:$AU,"*OK*")</f>
        <v>0</v>
      </c>
      <c r="U32" s="77">
        <f>COUNTIFS('MARE MX'!$K:$K,"ENTERPRISE",'MARE MX'!$Y:$Y,"Educación",'MARE MX'!$AU:$AU,"*OK*")</f>
        <v>0</v>
      </c>
      <c r="V32" s="77">
        <f>COUNTIFS('MARE MX'!$K:$K,"ENTERPRISE",'MARE MX'!$Y:$Y,"Energía",'MARE MX'!$AU:$AU,"*OK*")</f>
        <v>0</v>
      </c>
      <c r="W32" s="77">
        <f>COUNTIFS('MARE MX'!$K:$K,"ENTERPRISE",'MARE MX'!$Y:$Y,"Gobierno",'MARE MX'!$AU:$AU,"*OK*")</f>
        <v>0</v>
      </c>
      <c r="X32" s="77">
        <f>COUNTIFS('MARE MX'!$K:$K,"ENTERPRISE",'MARE MX'!$Y:$Y,"Logística",'MARE MX'!$AU:$AU,"*OK*")</f>
        <v>0</v>
      </c>
      <c r="Y32" s="77">
        <f>COUNTIFS('MARE MX'!$K:$K,"ENTERPRISE",'MARE MX'!$Y:$Y,"Manufactura",'MARE MX'!$AU:$AU,"*OK*")</f>
        <v>0</v>
      </c>
      <c r="Z32" s="77">
        <f>COUNTIFS('MARE MX'!$K:$K,"ENTERPRISE",'MARE MX'!$Y:$Y,"Outsourcing",'MARE MX'!$AU:$AU,"*OK*")</f>
        <v>0</v>
      </c>
      <c r="AA32" s="77">
        <f>COUNTIFS('MARE MX'!$K:$K,"ENTERPRISE",'MARE MX'!$Y:$Y,"Retail",'MARE MX'!$AU:$AU,"*OK*")</f>
        <v>0</v>
      </c>
      <c r="AB32" s="77">
        <f>COUNTIFS('MARE MX'!$K:$K,"ENTERPRISE",'MARE MX'!$Y:$Y,"Salud",'MARE MX'!$AU:$AU,"*OK*")</f>
        <v>0</v>
      </c>
      <c r="AC32" s="77">
        <f>COUNTIFS('MARE MX'!$K:$K,"ENTERPRISE",'MARE MX'!$Y:$Y,"Seguridad Privada",'MARE MX'!$AU:$AU,"*OK*")</f>
        <v>0</v>
      </c>
      <c r="AD32" s="77">
        <f>COUNTIFS('MARE MX'!$K:$K,"ENTERPRISE",'MARE MX'!$Y:$Y,"Servicios",'MARE MX'!$AU:$AU,"*OK*")</f>
        <v>0</v>
      </c>
      <c r="AE32" s="77">
        <f>COUNTIFS('MARE MX'!$K:$K,"ENTERPRISE",'MARE MX'!$Y:$Y,"Tecnología",'MARE MX'!$AU:$AU,"*OK*")</f>
        <v>0</v>
      </c>
      <c r="AF32" s="77">
        <f>COUNTIFS('MARE MX'!$K:$K,"ENTERPRISE",'MARE MX'!$Y:$Y,"Transporte",'MARE MX'!$AU:$AU,"*OK*")</f>
        <v>0</v>
      </c>
      <c r="AG32" s="77">
        <f>COUNTIFS('MARE MX'!$K:$K,"ENTERPRISE",'MARE MX'!$Y:$Y,"Turismo y Gastronomía",'MARE MX'!$AU:$AU,"*OK*")</f>
        <v>0</v>
      </c>
      <c r="AJ32" s="88" t="s">
        <v>1423</v>
      </c>
      <c r="AK32" s="88" t="s">
        <v>79</v>
      </c>
      <c r="AL32" s="88" t="s">
        <v>1424</v>
      </c>
      <c r="AM32" s="88" t="s">
        <v>68</v>
      </c>
      <c r="AN32" s="88" t="s">
        <v>1425</v>
      </c>
      <c r="AO32"/>
      <c r="AP32" s="91" t="s">
        <v>1423</v>
      </c>
      <c r="AQ32" s="91" t="s">
        <v>69</v>
      </c>
      <c r="AR32" s="91" t="s">
        <v>445</v>
      </c>
      <c r="AS32" s="91" t="s">
        <v>442</v>
      </c>
      <c r="AT32" s="91" t="s">
        <v>461</v>
      </c>
      <c r="AU32" s="91" t="s">
        <v>1426</v>
      </c>
      <c r="AV32" s="91" t="s">
        <v>1385</v>
      </c>
      <c r="AW32" s="90"/>
      <c r="AX32" s="95" t="s">
        <v>1423</v>
      </c>
      <c r="AY32" s="95" t="s">
        <v>69</v>
      </c>
      <c r="AZ32" s="95" t="s">
        <v>445</v>
      </c>
      <c r="BA32" s="95" t="s">
        <v>442</v>
      </c>
      <c r="BB32" s="95" t="s">
        <v>461</v>
      </c>
      <c r="BC32" s="95" t="s">
        <v>1385</v>
      </c>
      <c r="BE32" s="76" t="s">
        <v>1430</v>
      </c>
      <c r="BF32" s="76" t="s">
        <v>79</v>
      </c>
      <c r="BG32" s="76" t="s">
        <v>1441</v>
      </c>
      <c r="BH32" s="76" t="s">
        <v>68</v>
      </c>
      <c r="BI32" s="76" t="s">
        <v>1441</v>
      </c>
    </row>
    <row r="33" spans="1:61" ht="14.25" customHeight="1">
      <c r="A33" t="s">
        <v>84</v>
      </c>
      <c r="B33">
        <v>22</v>
      </c>
      <c r="D33" s="43">
        <v>5430.0419999999995</v>
      </c>
      <c r="G33" t="s">
        <v>1432</v>
      </c>
      <c r="H33">
        <v>2</v>
      </c>
      <c r="J33" s="43">
        <v>0</v>
      </c>
      <c r="L33" s="77" t="s">
        <v>47</v>
      </c>
      <c r="M33" s="79">
        <f>COUNTIFS('MARE MX'!$K:$K,"ENTERPRISE",'MARE MX'!$AV:$AV,"*OK*")</f>
        <v>0</v>
      </c>
      <c r="N33" s="79">
        <f>COUNTIFS('MARE MX'!$K:$K,"SMB",'MARE MX'!$AV:$AV,"*OK*")</f>
        <v>0</v>
      </c>
      <c r="P33" s="83" t="s">
        <v>47</v>
      </c>
      <c r="Q33" s="77">
        <f>COUNTIFS('MARE MX'!$K:$K,"ENTERPRISE",'MARE MX'!$Y:$Y,"Agrícola",'MARE MX'!$AV:$AV,"*OK*")</f>
        <v>0</v>
      </c>
      <c r="R33" s="77">
        <f>COUNTIFS('MARE MX'!$K:$K,"ENTERPRISE",'MARE MX'!$Y:$Y,"Automotriz",'MARE MX'!$AV:$AV,"*OK*")</f>
        <v>0</v>
      </c>
      <c r="S33" s="77">
        <f>COUNTIFS('MARE MX'!$K:$K,"ENTERPRISE",'MARE MX'!$Y:$Y,"Banca y Finanzas",'MARE MX'!$AV:$AV,"*OK*")</f>
        <v>0</v>
      </c>
      <c r="T33" s="77">
        <f>COUNTIFS('MARE MX'!$K:$K,"ENTERPRISE",'MARE MX'!$Y:$Y,"Construcción",'MARE MX'!$AV:$AV,"*OK*")</f>
        <v>0</v>
      </c>
      <c r="U33" s="77">
        <f>COUNTIFS('MARE MX'!$K:$K,"ENTERPRISE",'MARE MX'!$Y:$Y,"Educación",'MARE MX'!$AV:$AV,"*OK*")</f>
        <v>0</v>
      </c>
      <c r="V33" s="77">
        <f>COUNTIFS('MARE MX'!$K:$K,"ENTERPRISE",'MARE MX'!$Y:$Y,"Energía",'MARE MX'!$AV:$AV,"*OK*")</f>
        <v>0</v>
      </c>
      <c r="W33" s="77">
        <f>COUNTIFS('MARE MX'!$K:$K,"ENTERPRISE",'MARE MX'!$Y:$Y,"Gobierno",'MARE MX'!$AV:$AV,"*OK*")</f>
        <v>0</v>
      </c>
      <c r="X33" s="77">
        <f>COUNTIFS('MARE MX'!$K:$K,"ENTERPRISE",'MARE MX'!$Y:$Y,"Logística",'MARE MX'!$AV:$AV,"*OK*")</f>
        <v>0</v>
      </c>
      <c r="Y33" s="77">
        <f>COUNTIFS('MARE MX'!$K:$K,"ENTERPRISE",'MARE MX'!$Y:$Y,"Manufactura",'MARE MX'!$AV:$AV,"*OK*")</f>
        <v>0</v>
      </c>
      <c r="Z33" s="77">
        <f>COUNTIFS('MARE MX'!$K:$K,"ENTERPRISE",'MARE MX'!$Y:$Y,"Outsourcing",'MARE MX'!$AV:$AV,"*OK*")</f>
        <v>0</v>
      </c>
      <c r="AA33" s="77">
        <f>COUNTIFS('MARE MX'!$K:$K,"ENTERPRISE",'MARE MX'!$Y:$Y,"Retail",'MARE MX'!$AV:$AV,"*OK*")</f>
        <v>0</v>
      </c>
      <c r="AB33" s="77">
        <f>COUNTIFS('MARE MX'!$K:$K,"ENTERPRISE",'MARE MX'!$Y:$Y,"Salud",'MARE MX'!$AV:$AV,"*OK*")</f>
        <v>0</v>
      </c>
      <c r="AC33" s="77">
        <f>COUNTIFS('MARE MX'!$K:$K,"ENTERPRISE",'MARE MX'!$Y:$Y,"Seguridad Privada",'MARE MX'!$AV:$AV,"*OK*")</f>
        <v>0</v>
      </c>
      <c r="AD33" s="77">
        <f>COUNTIFS('MARE MX'!$K:$K,"ENTERPRISE",'MARE MX'!$Y:$Y,"Servicios",'MARE MX'!$AV:$AV,"*OK*")</f>
        <v>0</v>
      </c>
      <c r="AE33" s="77">
        <f>COUNTIFS('MARE MX'!$K:$K,"ENTERPRISE",'MARE MX'!$Y:$Y,"Tecnología",'MARE MX'!$AV:$AV,"*OK*")</f>
        <v>0</v>
      </c>
      <c r="AF33" s="77">
        <f>COUNTIFS('MARE MX'!$K:$K,"ENTERPRISE",'MARE MX'!$Y:$Y,"Transporte",'MARE MX'!$AV:$AV,"*OK*")</f>
        <v>0</v>
      </c>
      <c r="AG33" s="77">
        <f>COUNTIFS('MARE MX'!$K:$K,"ENTERPRISE",'MARE MX'!$Y:$Y,"Turismo y Gastronomía",'MARE MX'!$AV:$AV,"*OK*")</f>
        <v>0</v>
      </c>
      <c r="AJ33">
        <v>0</v>
      </c>
      <c r="AK33">
        <f>COUNTIFS('MARE MX'!$K:$K,"ENTERPRISE",'MARE MX'!$CC:$CC,0)</f>
        <v>95</v>
      </c>
      <c r="AL33" s="58">
        <f>AK33/$AK$24</f>
        <v>0.72519083969465647</v>
      </c>
      <c r="AM33">
        <f>COUNTIFS('MARE MX'!$K:$K,"SMB",'MARE MX'!$CC:$CC,0)</f>
        <v>300</v>
      </c>
      <c r="AN33" s="58">
        <f>AM33/$AM$24</f>
        <v>0.89820359281437123</v>
      </c>
      <c r="AP33" s="92">
        <v>0</v>
      </c>
      <c r="AQ33" s="92">
        <f>COUNTIFS('MARE MX'!K:K,"ENTERPRISE",'MARE MX'!L:L,"Dafne de la Rosa",'MARE MX'!CC:CC,0)</f>
        <v>38</v>
      </c>
      <c r="AR33" s="92">
        <f>COUNTIFS('MARE MX'!K:K,"ENTERPRISE",'MARE MX'!L:L,"Karla Patiño",'MARE MX'!CC:CC,0)</f>
        <v>3</v>
      </c>
      <c r="AS33" s="92">
        <f>COUNTIFS('MARE MX'!K:K,"ENTERPRISE",'MARE MX'!L:L,"Raúl Campos",'MARE MX'!CC:CC,0)</f>
        <v>50</v>
      </c>
      <c r="AT33" s="92">
        <f>COUNTIFS('MARE MX'!K:K,"ENTERPRISE",'MARE MX'!L:L,"No Asignado",'MARE MX'!CC:CC,0)</f>
        <v>3</v>
      </c>
      <c r="AU33" s="92">
        <f>COUNTIFS('MARE MX'!K:K,"ENTERPRISE",'MARE MX'!L:L,"Implementando",'MARE MX'!CC:CC,0)</f>
        <v>0</v>
      </c>
      <c r="AV33" s="92">
        <f>SUM(AQ33:AU33)</f>
        <v>94</v>
      </c>
      <c r="AW33" s="90"/>
      <c r="AX33" s="90">
        <v>0</v>
      </c>
      <c r="AY33" s="96">
        <f>COUNTIFS('MARE MX'!$K:$K,"SMB",'MARE MX'!$L:$L,"Dafne de la Rosa",'MARE MX'!$CC:$CC,0)</f>
        <v>46</v>
      </c>
      <c r="AZ33" s="96">
        <f>COUNTIFS('MARE MX'!$K:$K,"SMB",'MARE MX'!$L:$L,"Karla Patiño",'MARE MX'!$CC:$CC,0)</f>
        <v>122</v>
      </c>
      <c r="BA33" s="96">
        <f>COUNTIFS('MARE MX'!$K:$K,"SMB",'MARE MX'!$L:$L,"Raúl Campos",'MARE MX'!$CC:$CC,0)</f>
        <v>8</v>
      </c>
      <c r="BB33" s="96">
        <f>COUNTIFS('MARE MX'!$K:$K,"SMB",'MARE MX'!$L:$L,"No Asignado",'MARE MX'!$CC:$CC,0)</f>
        <v>124</v>
      </c>
      <c r="BC33" s="96">
        <f>SUM(AY33:BB33)</f>
        <v>300</v>
      </c>
      <c r="BE33" s="77" t="s">
        <v>34</v>
      </c>
      <c r="BF33" s="79">
        <f>COUNTIFS('MARE MX'!$K:$K,"ENTERPRISE",'MARE MX'!$AI:$AI,"*OP*")</f>
        <v>7</v>
      </c>
      <c r="BG33" s="100">
        <f>BF33/$BF$49</f>
        <v>0.12280701754385964</v>
      </c>
      <c r="BH33" s="79">
        <f>COUNTIFS('MARE MX'!$K:$K,"SMB",'MARE MX'!$AI:$AI,"*OP*")</f>
        <v>3</v>
      </c>
      <c r="BI33" s="100">
        <f>BH33/$BH$49</f>
        <v>8.1081081081081086E-2</v>
      </c>
    </row>
    <row r="34" spans="1:61" ht="14.25" customHeight="1">
      <c r="A34" t="s">
        <v>521</v>
      </c>
      <c r="B34">
        <v>1</v>
      </c>
      <c r="D34" s="43">
        <v>142.02889999999999</v>
      </c>
      <c r="G34" t="s">
        <v>1434</v>
      </c>
      <c r="H34">
        <v>6</v>
      </c>
      <c r="J34" s="43">
        <v>1650.1166999999998</v>
      </c>
      <c r="L34" s="77" t="s">
        <v>48</v>
      </c>
      <c r="M34" s="79">
        <f>COUNTIFS('MARE MX'!$K:$K,"ENTERPRISE",'MARE MX'!$AW:$AW,"*OK*")</f>
        <v>0</v>
      </c>
      <c r="N34" s="79">
        <f>COUNTIFS('MARE MX'!$K:$K,"SMB",'MARE MX'!$AW:$AW,"*OK*")</f>
        <v>1</v>
      </c>
      <c r="P34" s="83" t="s">
        <v>48</v>
      </c>
      <c r="Q34" s="77">
        <f>COUNTIFS('MARE MX'!$K:$K,"ENTERPRISE",'MARE MX'!$Y:$Y,"Agrícola",'MARE MX'!$AW:$AW,"*OK*")</f>
        <v>0</v>
      </c>
      <c r="R34" s="77">
        <f>COUNTIFS('MARE MX'!$K:$K,"ENTERPRISE",'MARE MX'!$Y:$Y,"Automotriz",'MARE MX'!$AW:$AW,"*OK*")</f>
        <v>0</v>
      </c>
      <c r="S34" s="77">
        <f>COUNTIFS('MARE MX'!$K:$K,"ENTERPRISE",'MARE MX'!$Y:$Y,"Banca y Finanzas",'MARE MX'!$AW:$AW,"*OK*")</f>
        <v>0</v>
      </c>
      <c r="T34" s="77">
        <f>COUNTIFS('MARE MX'!$K:$K,"ENTERPRISE",'MARE MX'!$Y:$Y,"Construcción",'MARE MX'!$AW:$AW,"*OK*")</f>
        <v>0</v>
      </c>
      <c r="U34" s="77">
        <f>COUNTIFS('MARE MX'!$K:$K,"ENTERPRISE",'MARE MX'!$Y:$Y,"Educación",'MARE MX'!$AW:$AW,"*OK*")</f>
        <v>0</v>
      </c>
      <c r="V34" s="77">
        <f>COUNTIFS('MARE MX'!$K:$K,"ENTERPRISE",'MARE MX'!$Y:$Y,"Energía",'MARE MX'!$AW:$AW,"*OK*")</f>
        <v>0</v>
      </c>
      <c r="W34" s="77">
        <f>COUNTIFS('MARE MX'!$K:$K,"ENTERPRISE",'MARE MX'!$Y:$Y,"Gobierno",'MARE MX'!$AW:$AW,"*OK*")</f>
        <v>0</v>
      </c>
      <c r="X34" s="77">
        <f>COUNTIFS('MARE MX'!$K:$K,"ENTERPRISE",'MARE MX'!$Y:$Y,"Logística",'MARE MX'!$AW:$AW,"*OK*")</f>
        <v>0</v>
      </c>
      <c r="Y34" s="77">
        <f>COUNTIFS('MARE MX'!$K:$K,"ENTERPRISE",'MARE MX'!$Y:$Y,"Manufactura",'MARE MX'!$AW:$AW,"*OK*")</f>
        <v>0</v>
      </c>
      <c r="Z34" s="77">
        <f>COUNTIFS('MARE MX'!$K:$K,"ENTERPRISE",'MARE MX'!$Y:$Y,"Outsourcing",'MARE MX'!$AW:$AW,"*OK*")</f>
        <v>0</v>
      </c>
      <c r="AA34" s="77">
        <f>COUNTIFS('MARE MX'!$K:$K,"ENTERPRISE",'MARE MX'!$Y:$Y,"Retail",'MARE MX'!$AW:$AW,"*OK*")</f>
        <v>0</v>
      </c>
      <c r="AB34" s="77">
        <f>COUNTIFS('MARE MX'!$K:$K,"ENTERPRISE",'MARE MX'!$Y:$Y,"Salud",'MARE MX'!$AW:$AW,"*OK*")</f>
        <v>0</v>
      </c>
      <c r="AC34" s="77">
        <f>COUNTIFS('MARE MX'!$K:$K,"ENTERPRISE",'MARE MX'!$Y:$Y,"Seguridad Privada",'MARE MX'!$AW:$AW,"*OK*")</f>
        <v>0</v>
      </c>
      <c r="AD34" s="77">
        <f>COUNTIFS('MARE MX'!$K:$K,"ENTERPRISE",'MARE MX'!$Y:$Y,"Servicios",'MARE MX'!$AW:$AW,"*OK*")</f>
        <v>0</v>
      </c>
      <c r="AE34" s="77">
        <f>COUNTIFS('MARE MX'!$K:$K,"ENTERPRISE",'MARE MX'!$Y:$Y,"Tecnología",'MARE MX'!$AW:$AW,"*OK*")</f>
        <v>0</v>
      </c>
      <c r="AF34" s="77">
        <f>COUNTIFS('MARE MX'!$K:$K,"ENTERPRISE",'MARE MX'!$Y:$Y,"Transporte",'MARE MX'!$AW:$AW,"*OK*")</f>
        <v>0</v>
      </c>
      <c r="AG34" s="77">
        <f>COUNTIFS('MARE MX'!$K:$K,"ENTERPRISE",'MARE MX'!$Y:$Y,"Turismo y Gastronomía",'MARE MX'!$AW:$AW,"*OK*")</f>
        <v>0</v>
      </c>
      <c r="AJ34">
        <v>1</v>
      </c>
      <c r="AK34">
        <f>COUNTIFS('MARE MX'!$K:$K,"ENTERPRISE",'MARE MX'!$CC:$CC,1)</f>
        <v>16</v>
      </c>
      <c r="AL34" s="58">
        <f t="shared" ref="AL34:AL37" si="11">AK34/$AK$24</f>
        <v>0.12213740458015267</v>
      </c>
      <c r="AM34">
        <f>COUNTIFS('MARE MX'!$K:$K,"SMB",'MARE MX'!$CC:$CC,1)</f>
        <v>23</v>
      </c>
      <c r="AN34" s="58">
        <f t="shared" ref="AN34:AN37" si="12">AM34/$AM$24</f>
        <v>6.8862275449101798E-2</v>
      </c>
      <c r="AP34" s="93">
        <v>1</v>
      </c>
      <c r="AQ34" s="93">
        <f>COUNTIFS('MARE MX'!K:K,"ENTERPRISE",'MARE MX'!L:L,"Dafne de la Rosa",'MARE MX'!CC:CC,1)</f>
        <v>5</v>
      </c>
      <c r="AR34" s="93">
        <f>COUNTIFS('MARE MX'!K:K,"ENTERPRISE",'MARE MX'!L:L,"Karla Patiño",'MARE MX'!CC:CC,1)</f>
        <v>1</v>
      </c>
      <c r="AS34" s="93">
        <f>COUNTIFS('MARE MX'!K:K,"ENTERPRISE",'MARE MX'!L:L,"Raúl Campos",'MARE MX'!CC:CC,1)</f>
        <v>10</v>
      </c>
      <c r="AT34" s="93">
        <f>COUNTIFS('MARE MX'!K:K,"ENTERPRISE",'MARE MX'!L:L,"No Asignado",'MARE MX'!CC:CC,1)</f>
        <v>0</v>
      </c>
      <c r="AU34" s="93">
        <f>COUNTIFS('MARE MX'!K:K,"ENTERPRISE",'MARE MX'!L:L,"Implementando",'MARE MX'!CC:CC,1)</f>
        <v>0</v>
      </c>
      <c r="AV34" s="93">
        <f>SUM(AQ34:AU34)</f>
        <v>16</v>
      </c>
      <c r="AW34" s="90"/>
      <c r="AX34" s="90">
        <v>1</v>
      </c>
      <c r="AY34" s="90">
        <f>COUNTIFS('MARE MX'!$K:$K,"SMB",'MARE MX'!$L:$L,"Dafne de la Rosa",'MARE MX'!$CC:$CC,1)</f>
        <v>1</v>
      </c>
      <c r="AZ34" s="90">
        <f>COUNTIFS('MARE MX'!$K:$K,"SMB",'MARE MX'!$L:$L,"Karla Patiño",'MARE MX'!$CC:$CC,1)</f>
        <v>20</v>
      </c>
      <c r="BA34" s="90">
        <f>COUNTIFS('MARE MX'!$K:$K,"SMB",'MARE MX'!$L:$L,"Raúl Campos",'MARE MX'!$CC:$CC,1)</f>
        <v>1</v>
      </c>
      <c r="BB34" s="90">
        <f>COUNTIFS('MARE MX'!$K:$K,"SMB",'MARE MX'!$L:$L,"No Asignado",'MARE MX'!$CC:$CC,1)</f>
        <v>1</v>
      </c>
      <c r="BC34" s="90">
        <f>SUM(AY34:BB34)</f>
        <v>23</v>
      </c>
      <c r="BE34" s="77" t="s">
        <v>35</v>
      </c>
      <c r="BF34" s="79">
        <f>COUNTIFS('MARE MX'!$K:$K,"ENTERPRISE",'MARE MX'!$AJ:$AJ,"*OP*")</f>
        <v>9</v>
      </c>
      <c r="BG34" s="100">
        <f t="shared" ref="BG34:BG47" si="13">BF34/$BF$49</f>
        <v>0.15789473684210525</v>
      </c>
      <c r="BH34" s="79">
        <f>COUNTIFS('MARE MX'!$K:$K,"SMB",'MARE MX'!$AJ:$AJ,"*OP*")</f>
        <v>4</v>
      </c>
      <c r="BI34" s="100">
        <f t="shared" ref="BI34:BI47" si="14">BH34/$BH$49</f>
        <v>0.10810810810810811</v>
      </c>
    </row>
    <row r="35" spans="1:61">
      <c r="A35" t="s">
        <v>97</v>
      </c>
      <c r="B35">
        <v>31</v>
      </c>
      <c r="D35" s="43">
        <v>6174.6441999999988</v>
      </c>
      <c r="G35" t="s">
        <v>137</v>
      </c>
      <c r="H35">
        <v>3</v>
      </c>
      <c r="I35">
        <v>3</v>
      </c>
      <c r="J35" s="43">
        <v>546.95180000000005</v>
      </c>
      <c r="L35" s="78" t="s">
        <v>49</v>
      </c>
      <c r="M35" s="80">
        <f>COUNTIFS('MARE MX'!$K:$K,"ENTERPRISE",'MARE MX'!$AX:$AX,"*OK*")</f>
        <v>2</v>
      </c>
      <c r="N35" s="80">
        <f>COUNTIFS('MARE MX'!$K:$K,"SMB",'MARE MX'!$AX:$AX,"*OK*")</f>
        <v>0</v>
      </c>
      <c r="P35" s="83" t="s">
        <v>49</v>
      </c>
      <c r="Q35" s="77">
        <f>COUNTIFS('MARE MX'!$K:$K,"ENTERPRISE",'MARE MX'!$Y:$Y,"Agrícola",'MARE MX'!$AX:$AX,"*OK*")</f>
        <v>0</v>
      </c>
      <c r="R35" s="77">
        <f>COUNTIFS('MARE MX'!$K:$K,"ENTERPRISE",'MARE MX'!$Y:$Y,"Automotriz",'MARE MX'!$AX:$AX,"*OK*")</f>
        <v>0</v>
      </c>
      <c r="S35" s="77">
        <f>COUNTIFS('MARE MX'!$K:$K,"ENTERPRISE",'MARE MX'!$Y:$Y,"Banca y Finanzas",'MARE MX'!$AX:$AX,"*OK*")</f>
        <v>0</v>
      </c>
      <c r="T35" s="77">
        <f>COUNTIFS('MARE MX'!$K:$K,"ENTERPRISE",'MARE MX'!$Y:$Y,"Construcción",'MARE MX'!$AX:$AX,"*OK*")</f>
        <v>0</v>
      </c>
      <c r="U35" s="77">
        <f>COUNTIFS('MARE MX'!$K:$K,"ENTERPRISE",'MARE MX'!$Y:$Y,"Educación",'MARE MX'!$AX:$AX,"*OK*")</f>
        <v>0</v>
      </c>
      <c r="V35" s="77">
        <f>COUNTIFS('MARE MX'!$K:$K,"ENTERPRISE",'MARE MX'!$Y:$Y,"Energía",'MARE MX'!$AX:$AX,"*OK*")</f>
        <v>0</v>
      </c>
      <c r="W35" s="77">
        <f>COUNTIFS('MARE MX'!$K:$K,"ENTERPRISE",'MARE MX'!$Y:$Y,"Gobierno",'MARE MX'!$AX:$AX,"*OK*")</f>
        <v>0</v>
      </c>
      <c r="X35" s="77">
        <f>COUNTIFS('MARE MX'!$K:$K,"ENTERPRISE",'MARE MX'!$Y:$Y,"Logística",'MARE MX'!$AX:$AX,"*OK*")</f>
        <v>1</v>
      </c>
      <c r="Y35" s="77">
        <f>COUNTIFS('MARE MX'!$K:$K,"ENTERPRISE",'MARE MX'!$Y:$Y,"Manufactura",'MARE MX'!$AX:$AX,"*OK*")</f>
        <v>0</v>
      </c>
      <c r="Z35" s="77">
        <f>COUNTIFS('MARE MX'!$K:$K,"ENTERPRISE",'MARE MX'!$Y:$Y,"Outsourcing",'MARE MX'!$AX:$AX,"*OK*")</f>
        <v>0</v>
      </c>
      <c r="AA35" s="77">
        <f>COUNTIFS('MARE MX'!$K:$K,"ENTERPRISE",'MARE MX'!$Y:$Y,"Retail",'MARE MX'!$AX:$AX,"*OK*")</f>
        <v>1</v>
      </c>
      <c r="AB35" s="77">
        <f>COUNTIFS('MARE MX'!$K:$K,"ENTERPRISE",'MARE MX'!$Y:$Y,"Salud",'MARE MX'!$AX:$AX,"*OK*")</f>
        <v>0</v>
      </c>
      <c r="AC35" s="77">
        <f>COUNTIFS('MARE MX'!$K:$K,"ENTERPRISE",'MARE MX'!$Y:$Y,"Seguridad Privada",'MARE MX'!$AX:$AX,"*OK*")</f>
        <v>0</v>
      </c>
      <c r="AD35" s="77">
        <f>COUNTIFS('MARE MX'!$K:$K,"ENTERPRISE",'MARE MX'!$Y:$Y,"Servicios",'MARE MX'!$AX:$AX,"*OK*")</f>
        <v>0</v>
      </c>
      <c r="AE35" s="77">
        <f>COUNTIFS('MARE MX'!$K:$K,"ENTERPRISE",'MARE MX'!$Y:$Y,"Tecnología",'MARE MX'!$AX:$AX,"*OK*")</f>
        <v>0</v>
      </c>
      <c r="AF35" s="77">
        <f>COUNTIFS('MARE MX'!$K:$K,"ENTERPRISE",'MARE MX'!$Y:$Y,"Transporte",'MARE MX'!$AX:$AX,"*OK*")</f>
        <v>0</v>
      </c>
      <c r="AG35" s="77">
        <f>COUNTIFS('MARE MX'!$K:$K,"ENTERPRISE",'MARE MX'!$Y:$Y,"Turismo y Gastronomía",'MARE MX'!$AX:$AX,"*OK*")</f>
        <v>0</v>
      </c>
      <c r="AJ35">
        <v>2</v>
      </c>
      <c r="AK35">
        <f>COUNTIFS('MARE MX'!$K:$K,"ENTERPRISE",'MARE MX'!$CC:$CC,2)</f>
        <v>12</v>
      </c>
      <c r="AL35" s="58">
        <f t="shared" si="11"/>
        <v>9.1603053435114504E-2</v>
      </c>
      <c r="AM35">
        <f>COUNTIFS('MARE MX'!$K:$K,"SMB",'MARE MX'!$CC:$CC,2)</f>
        <v>4</v>
      </c>
      <c r="AN35" s="58">
        <f t="shared" si="12"/>
        <v>1.1976047904191617E-2</v>
      </c>
      <c r="AP35" s="92">
        <v>2</v>
      </c>
      <c r="AQ35" s="92">
        <f>COUNTIFS('MARE MX'!K:K,"ENTERPRISE",'MARE MX'!L:L,"Dafne de la Rosa",'MARE MX'!CC:CC,2)</f>
        <v>5</v>
      </c>
      <c r="AR35" s="92">
        <f>COUNTIFS('MARE MX'!K:K,"ENTERPRISE",'MARE MX'!L:L,"Karla Patiño",'MARE MX'!CC:CC,2)</f>
        <v>1</v>
      </c>
      <c r="AS35" s="92">
        <f>COUNTIFS('MARE MX'!K:K,"ENTERPRISE",'MARE MX'!L:L,"Raúl Campos",'MARE MX'!CC:CC,2)</f>
        <v>6</v>
      </c>
      <c r="AT35" s="92">
        <f>COUNTIFS('MARE MX'!K:K,"ENTERPRISE",'MARE MX'!L:L,"No Asignado",'MARE MX'!CC:CC,2)</f>
        <v>0</v>
      </c>
      <c r="AU35" s="92">
        <f>COUNTIFS('MARE MX'!K:K,"ENTERPRISE",'MARE MX'!L:L,"Implementando",'MARE MX'!CC:CC,2)</f>
        <v>0</v>
      </c>
      <c r="AV35" s="92">
        <f>SUM(AQ35:AU35)</f>
        <v>12</v>
      </c>
      <c r="AW35" s="90"/>
      <c r="AX35" s="90">
        <v>2</v>
      </c>
      <c r="AY35" s="90">
        <f>COUNTIFS('MARE MX'!$K:$K,"SMB",'MARE MX'!$L:$L,"Dafne de la Rosa",'MARE MX'!$CC:$CC,2)</f>
        <v>0</v>
      </c>
      <c r="AZ35" s="90">
        <f>COUNTIFS('MARE MX'!$K:$K,"SMB",'MARE MX'!$L:$L,"Karla Patiño",'MARE MX'!$CC:$CC,2)</f>
        <v>4</v>
      </c>
      <c r="BA35" s="90">
        <f>COUNTIFS('MARE MX'!$K:$K,"SMB",'MARE MX'!$L:$L,"Raúl Campos",'MARE MX'!$CC:$CC,2)</f>
        <v>0</v>
      </c>
      <c r="BB35" s="90">
        <f>COUNTIFS('MARE MX'!$K:$K,"SMB",'MARE MX'!$L:$L,"No Asignado",'MARE MX'!$CC:$CC,2)</f>
        <v>0</v>
      </c>
      <c r="BC35" s="90">
        <f>SUM(AY35:BB35)</f>
        <v>4</v>
      </c>
      <c r="BE35" s="77" t="s">
        <v>36</v>
      </c>
      <c r="BF35" s="79">
        <f>COUNTIFS('MARE MX'!$K:$K,"ENTERPRISE",'MARE MX'!$AK:$AK,"*OP*")</f>
        <v>13</v>
      </c>
      <c r="BG35" s="100">
        <f t="shared" si="13"/>
        <v>0.22807017543859648</v>
      </c>
      <c r="BH35" s="79">
        <f>COUNTIFS('MARE MX'!$K:$K,"SMB",'MARE MX'!$AK:$AK,"*OP*")</f>
        <v>15</v>
      </c>
      <c r="BI35" s="100">
        <f t="shared" si="14"/>
        <v>0.40540540540540543</v>
      </c>
    </row>
    <row r="36" spans="1:61" ht="14.25" customHeight="1">
      <c r="A36" t="s">
        <v>568</v>
      </c>
      <c r="B36">
        <v>5</v>
      </c>
      <c r="D36" s="43">
        <v>1210.5227</v>
      </c>
      <c r="F36" t="s">
        <v>1442</v>
      </c>
      <c r="H36">
        <v>84</v>
      </c>
      <c r="I36">
        <v>3</v>
      </c>
      <c r="J36" s="43">
        <v>18493.546800000007</v>
      </c>
      <c r="L36" t="s">
        <v>1385</v>
      </c>
      <c r="M36">
        <f>SUM(M20:M35)</f>
        <v>57</v>
      </c>
      <c r="N36">
        <f>SUM(N20:N35)</f>
        <v>26</v>
      </c>
      <c r="P36" s="84" t="s">
        <v>1385</v>
      </c>
      <c r="Q36" s="84">
        <f t="shared" ref="Q36:AG36" si="15">SUM(Q20:Q35)</f>
        <v>1</v>
      </c>
      <c r="R36" s="84">
        <f t="shared" si="15"/>
        <v>0</v>
      </c>
      <c r="S36" s="84">
        <f t="shared" si="15"/>
        <v>1</v>
      </c>
      <c r="T36" s="84">
        <f t="shared" si="15"/>
        <v>3</v>
      </c>
      <c r="U36" s="84">
        <f t="shared" si="15"/>
        <v>0</v>
      </c>
      <c r="V36" s="84">
        <f t="shared" si="15"/>
        <v>0</v>
      </c>
      <c r="W36" s="84">
        <f t="shared" si="15"/>
        <v>0</v>
      </c>
      <c r="X36" s="84">
        <f t="shared" si="15"/>
        <v>4</v>
      </c>
      <c r="Y36" s="84">
        <f t="shared" si="15"/>
        <v>19</v>
      </c>
      <c r="Z36" s="84">
        <f t="shared" si="15"/>
        <v>4</v>
      </c>
      <c r="AA36" s="84">
        <f t="shared" si="15"/>
        <v>12</v>
      </c>
      <c r="AB36" s="84">
        <f t="shared" si="15"/>
        <v>2</v>
      </c>
      <c r="AC36" s="84">
        <f t="shared" si="15"/>
        <v>1</v>
      </c>
      <c r="AD36" s="84">
        <f t="shared" si="15"/>
        <v>3</v>
      </c>
      <c r="AE36" s="84">
        <f t="shared" si="15"/>
        <v>3</v>
      </c>
      <c r="AF36" s="84">
        <f t="shared" si="15"/>
        <v>2</v>
      </c>
      <c r="AG36" s="84">
        <f t="shared" si="15"/>
        <v>2</v>
      </c>
      <c r="AJ36">
        <v>3</v>
      </c>
      <c r="AK36">
        <f>COUNTIFS('MARE MX'!$K:$K,"ENTERPRISE",'MARE MX'!$CC:$CC,3)</f>
        <v>5</v>
      </c>
      <c r="AL36" s="58">
        <f t="shared" si="11"/>
        <v>3.8167938931297711E-2</v>
      </c>
      <c r="AM36">
        <f>COUNTIFS('MARE MX'!$K:$K,"SMB",'MARE MX'!$CC:$CC,3)</f>
        <v>0</v>
      </c>
      <c r="AN36" s="58">
        <f t="shared" si="12"/>
        <v>0</v>
      </c>
      <c r="AP36" s="93">
        <v>3</v>
      </c>
      <c r="AQ36" s="93">
        <f>COUNTIFS('MARE MX'!K:K,"ENTERPRISE",'MARE MX'!L:L,"Dafne de la Rosa",'MARE MX'!CC:CC,3)</f>
        <v>1</v>
      </c>
      <c r="AR36" s="93">
        <f>COUNTIFS('MARE MX'!K:K,"ENTERPRISE",'MARE MX'!L:L,"Karla Patiño",'MARE MX'!CC:CC,3)</f>
        <v>0</v>
      </c>
      <c r="AS36" s="93">
        <f>COUNTIFS('MARE MX'!K:K,"ENTERPRISE",'MARE MX'!L:L,"Raúl Campos",'MARE MX'!CC:CC,3)</f>
        <v>4</v>
      </c>
      <c r="AT36" s="93">
        <f>COUNTIFS('MARE MX'!K:K,"ENTERPRISE",'MARE MX'!L:L,"No Asignado",'MARE MX'!CC:CC,3)</f>
        <v>0</v>
      </c>
      <c r="AU36" s="93">
        <f>COUNTIFS('MARE MX'!K:K,"ENTERPRISE",'MARE MX'!L:L,"Implementando",'MARE MX'!CC:CC,3)</f>
        <v>0</v>
      </c>
      <c r="AV36" s="93">
        <f>SUM(AQ36:AU36)</f>
        <v>5</v>
      </c>
      <c r="AW36" s="90"/>
      <c r="AX36" s="90">
        <v>3</v>
      </c>
      <c r="AY36" s="90">
        <f>COUNTIFS('MARE MX'!$K:$K,"SMB",'MARE MX'!$L:$L,"Dafne de la Rosa",'MARE MX'!$CC:$CC,3)</f>
        <v>0</v>
      </c>
      <c r="AZ36" s="90">
        <f>COUNTIFS('MARE MX'!$K:$K,"SMB",'MARE MX'!$L:$L,"Karla Patiño",'MARE MX'!$CC:$CC,3)</f>
        <v>0</v>
      </c>
      <c r="BA36" s="90">
        <f>COUNTIFS('MARE MX'!$K:$K,"SMB",'MARE MX'!$L:$L,"Raúl Campos",'MARE MX'!$CC:$CC,3)</f>
        <v>0</v>
      </c>
      <c r="BB36" s="90">
        <f>COUNTIFS('MARE MX'!$K:$K,"SMB",'MARE MX'!$L:$L,"No Asignado",'MARE MX'!$CC:$CC,3)</f>
        <v>0</v>
      </c>
      <c r="BC36" s="90">
        <f>SUM(AY36:BB36)</f>
        <v>0</v>
      </c>
      <c r="BE36" s="77" t="s">
        <v>1433</v>
      </c>
      <c r="BF36" s="79">
        <f>COUNTIFS('MARE MX'!$K:$K,"ENTERPRISE",'MARE MX'!$AL:$AL,"*OP*")</f>
        <v>16</v>
      </c>
      <c r="BG36" s="100">
        <f t="shared" si="13"/>
        <v>0.2807017543859649</v>
      </c>
      <c r="BH36" s="79">
        <f>COUNTIFS('MARE MX'!$K:$K,"SMB",'MARE MX'!$AL:$AL,"*OP*")</f>
        <v>8</v>
      </c>
      <c r="BI36" s="100">
        <f t="shared" si="14"/>
        <v>0.21621621621621623</v>
      </c>
    </row>
    <row r="37" spans="1:61" ht="14.25" customHeight="1">
      <c r="A37" t="s">
        <v>92</v>
      </c>
      <c r="B37">
        <v>52</v>
      </c>
      <c r="D37" s="43">
        <v>10953.939600000002</v>
      </c>
      <c r="F37" t="s">
        <v>726</v>
      </c>
      <c r="G37" t="s">
        <v>1434</v>
      </c>
      <c r="H37">
        <v>1</v>
      </c>
      <c r="J37" s="43">
        <v>319.36290000000002</v>
      </c>
      <c r="P37" s="77" t="s">
        <v>1443</v>
      </c>
      <c r="Q37" s="77">
        <f>COUNTIFS('MARE MX'!$K:$K,"ENTERPRISE",'MARE MX'!$Y:$Y,"Agrícola")</f>
        <v>3</v>
      </c>
      <c r="R37" s="77">
        <f>COUNTIFS('MARE MX'!$K:$K,"ENTERPRISE",'MARE MX'!$Y:$Y,"Automotriz")</f>
        <v>5</v>
      </c>
      <c r="S37" s="77">
        <f>COUNTIFS('MARE MX'!$K:$K,"ENTERPRISE",'MARE MX'!$Y:$Y,"Banca y Finanzas")</f>
        <v>1</v>
      </c>
      <c r="T37" s="77">
        <f>COUNTIFS('MARE MX'!$K:$K,"ENTERPRISE",'MARE MX'!$Y:$Y,"Construcción")</f>
        <v>6</v>
      </c>
      <c r="U37" s="77">
        <f>COUNTIFS('MARE MX'!$K:$K,"ENTERPRISE",'MARE MX'!$Y:$Y,"Educación")</f>
        <v>2</v>
      </c>
      <c r="V37" s="77">
        <f>COUNTIFS('MARE MX'!$K:$K,"ENTERPRISE",'MARE MX'!$Y:$Y,"Energía")</f>
        <v>3</v>
      </c>
      <c r="W37" s="77">
        <f>COUNTIFS('MARE MX'!$K:$K,"ENTERPRISE",'MARE MX'!$Y:$Y,"Gobierno")</f>
        <v>1</v>
      </c>
      <c r="X37" s="77">
        <f>COUNTIFS('MARE MX'!$K:$K,"ENTERPRISE",'MARE MX'!$Y:$Y,"Logística")</f>
        <v>6</v>
      </c>
      <c r="Y37" s="77">
        <f>COUNTIFS('MARE MX'!$K:$K,"ENTERPRISE",'MARE MX'!$Y:$Y,"Manufactura")</f>
        <v>23</v>
      </c>
      <c r="Z37" s="77">
        <f>COUNTIFS('MARE MX'!$K:$K,"ENTERPRISE",'MARE MX'!$Y:$Y,"Outsourcing")</f>
        <v>10</v>
      </c>
      <c r="AA37" s="77">
        <f>COUNTIFS('MARE MX'!$K:$K,"ENTERPRISE",'MARE MX'!$Y:$Y,"Retail")</f>
        <v>14</v>
      </c>
      <c r="AB37" s="77">
        <f>COUNTIFS('MARE MX'!$K:$K,"ENTERPRISE",'MARE MX'!$Y:$Y,"Salud")</f>
        <v>10</v>
      </c>
      <c r="AC37" s="77">
        <f>COUNTIFS('MARE MX'!$K:$K,"ENTERPRISE",'MARE MX'!$Y:$Y,"Seguridad Privada")</f>
        <v>2</v>
      </c>
      <c r="AD37" s="77">
        <f>COUNTIFS('MARE MX'!$K:$K,"ENTERPRISE",'MARE MX'!$Y:$Y,"Servicios")</f>
        <v>13</v>
      </c>
      <c r="AE37" s="77">
        <f>COUNTIFS('MARE MX'!$K:$K,"ENTERPRISE",'MARE MX'!$Y:$Y,"Tecnología")</f>
        <v>6</v>
      </c>
      <c r="AF37" s="77">
        <f>COUNTIFS('MARE MX'!$K:$K,"ENTERPRISE",'MARE MX'!$Y:$Y,"Transporte")</f>
        <v>8</v>
      </c>
      <c r="AG37" s="77">
        <f>COUNTIFS('MARE MX'!$K:$K,"ENTERPRISE",'MARE MX'!$Y:$Y,"Turismo y Gastronomía")</f>
        <v>10</v>
      </c>
      <c r="AJ37">
        <v>4</v>
      </c>
      <c r="AK37">
        <f>COUNTIFS('MARE MX'!$K:$K,"ENTERPRISE",'MARE MX'!$CC:$CC,4)</f>
        <v>0</v>
      </c>
      <c r="AL37" s="58">
        <f t="shared" si="11"/>
        <v>0</v>
      </c>
      <c r="AM37">
        <f>COUNTIFS('MARE MX'!$K:$K,"SMB",'MARE MX'!$CC:$CC,4)</f>
        <v>0</v>
      </c>
      <c r="AN37" s="58">
        <f t="shared" si="12"/>
        <v>0</v>
      </c>
      <c r="AP37" s="92">
        <v>4</v>
      </c>
      <c r="AQ37" s="92">
        <f>COUNTIFS('MARE MX'!K:K,"ENTERPRISE",'MARE MX'!L:L,"Dafne de la Rosa",'MARE MX'!CC:CC,4)</f>
        <v>0</v>
      </c>
      <c r="AR37" s="92">
        <f>COUNTIFS('MARE MX'!K:K,"ENTERPRISE",'MARE MX'!L:L,"Karla Patiño",'MARE MX'!CC:CC,4)</f>
        <v>0</v>
      </c>
      <c r="AS37" s="92">
        <f>COUNTIFS('MARE MX'!K:K,"ENTERPRISE",'MARE MX'!L:L,"Raúl Campos",'MARE MX'!CC:CC,4)</f>
        <v>0</v>
      </c>
      <c r="AT37" s="92">
        <f>COUNTIFS('MARE MX'!K:K,"ENTERPRISE",'MARE MX'!L:L,"No Asignado",'MARE MX'!CC:CC,4)</f>
        <v>0</v>
      </c>
      <c r="AU37" s="92">
        <f>COUNTIFS('MARE MX'!K:K,"ENTERPRISE",'MARE MX'!L:L,"Implementando",'MARE MX'!CC:CC,4)</f>
        <v>0</v>
      </c>
      <c r="AV37" s="92">
        <f>SUM(AQ37:AU37)</f>
        <v>0</v>
      </c>
      <c r="AW37" s="90"/>
      <c r="AX37" s="90">
        <v>4</v>
      </c>
      <c r="AY37" s="90">
        <f>COUNTIFS('MARE MX'!$K:$K,"SMB",'MARE MX'!$L:$L,"Dafne de la Rosa",'MARE MX'!$CC:$CC,4)</f>
        <v>0</v>
      </c>
      <c r="AZ37" s="90">
        <f>COUNTIFS('MARE MX'!$K:$K,"SMB",'MARE MX'!$L:$L,"Karla Patiño",'MARE MX'!$CC:$CC,4)</f>
        <v>0</v>
      </c>
      <c r="BA37" s="90">
        <f>COUNTIFS('MARE MX'!$K:$K,"SMB",'MARE MX'!$L:$L,"Raúl Campos",'MARE MX'!$CC:$CC,4)</f>
        <v>0</v>
      </c>
      <c r="BB37" s="90">
        <f>COUNTIFS('MARE MX'!$K:$K,"SMB",'MARE MX'!$L:$L,"No Asignado",'MARE MX'!$CC:$CC,4)</f>
        <v>0</v>
      </c>
      <c r="BC37" s="90">
        <f>SUM(AY37:BB37)</f>
        <v>0</v>
      </c>
      <c r="BE37" s="77" t="s">
        <v>38</v>
      </c>
      <c r="BF37" s="79">
        <f>COUNTIFS('MARE MX'!$K:$K,"ENTERPRISE",'MARE MX'!$AM:$AM,"*OP*")</f>
        <v>4</v>
      </c>
      <c r="BG37" s="100">
        <f t="shared" si="13"/>
        <v>7.0175438596491224E-2</v>
      </c>
      <c r="BH37" s="79">
        <f>COUNTIFS('MARE MX'!$K:$K,"SMB",'MARE MX'!$AM:$AM,"*OP*")</f>
        <v>0</v>
      </c>
      <c r="BI37" s="100">
        <f t="shared" si="14"/>
        <v>0</v>
      </c>
    </row>
    <row r="38" spans="1:61" ht="14.25" customHeight="1">
      <c r="A38" t="s">
        <v>517</v>
      </c>
      <c r="B38">
        <v>2</v>
      </c>
      <c r="D38" s="43">
        <v>386.09949999999998</v>
      </c>
      <c r="F38" t="s">
        <v>1444</v>
      </c>
      <c r="H38">
        <v>1</v>
      </c>
      <c r="J38" s="43">
        <v>319.36290000000002</v>
      </c>
      <c r="AJ38" s="72" t="s">
        <v>1385</v>
      </c>
      <c r="AK38" s="72">
        <f>SUM(AK33:AK37)</f>
        <v>128</v>
      </c>
      <c r="AL38" s="72"/>
      <c r="AM38" s="72">
        <f>SUM(AM33:AM37)</f>
        <v>327</v>
      </c>
      <c r="AN38" s="72"/>
      <c r="AP38" s="89" t="s">
        <v>1385</v>
      </c>
      <c r="AQ38" s="89">
        <f t="shared" ref="AQ38:AV38" si="16">SUM(AQ33:AQ37)</f>
        <v>49</v>
      </c>
      <c r="AR38" s="89">
        <f t="shared" si="16"/>
        <v>5</v>
      </c>
      <c r="AS38" s="89">
        <f t="shared" si="16"/>
        <v>70</v>
      </c>
      <c r="AT38" s="89">
        <f t="shared" si="16"/>
        <v>3</v>
      </c>
      <c r="AU38" s="89">
        <f t="shared" si="16"/>
        <v>0</v>
      </c>
      <c r="AV38" s="89">
        <f t="shared" si="16"/>
        <v>127</v>
      </c>
      <c r="AW38" s="90"/>
      <c r="AX38" s="97" t="s">
        <v>1385</v>
      </c>
      <c r="AY38" s="97">
        <f>SUM(AY33:AY37)</f>
        <v>47</v>
      </c>
      <c r="AZ38" s="97">
        <f>SUM(AZ33:AZ37)</f>
        <v>146</v>
      </c>
      <c r="BA38" s="97">
        <f>SUM(BA33:BA37)</f>
        <v>9</v>
      </c>
      <c r="BB38" s="97">
        <f>SUM(BB33:BB37)</f>
        <v>125</v>
      </c>
      <c r="BC38" s="97">
        <f>SUM(BC33:BC37)</f>
        <v>327</v>
      </c>
      <c r="BE38" s="77" t="s">
        <v>39</v>
      </c>
      <c r="BF38" s="79">
        <f>COUNTIFS('MARE MX'!$K:$K,"ENTERPRISE",'MARE MX'!$AN:$AN,"*OP*")</f>
        <v>1</v>
      </c>
      <c r="BG38" s="100">
        <f t="shared" si="13"/>
        <v>1.7543859649122806E-2</v>
      </c>
      <c r="BH38" s="79">
        <f>COUNTIFS('MARE MX'!$K:$K,"SMB",'MARE MX'!$AN:$AN,"*OP*")</f>
        <v>1</v>
      </c>
      <c r="BI38" s="100">
        <f t="shared" si="14"/>
        <v>2.7027027027027029E-2</v>
      </c>
    </row>
    <row r="39" spans="1:61" ht="14.25" customHeight="1">
      <c r="A39" t="s">
        <v>1432</v>
      </c>
      <c r="B39">
        <v>7</v>
      </c>
      <c r="D39" s="43">
        <v>537.1629999999999</v>
      </c>
      <c r="F39" t="s">
        <v>461</v>
      </c>
      <c r="G39" t="s">
        <v>1434</v>
      </c>
      <c r="H39">
        <v>185</v>
      </c>
      <c r="J39" s="43">
        <v>18244.459599999998</v>
      </c>
      <c r="AP39" s="90"/>
      <c r="AQ39" s="90"/>
      <c r="AR39" s="90"/>
      <c r="AS39" s="90"/>
      <c r="AT39" s="90"/>
      <c r="AU39" s="90"/>
      <c r="AV39" s="90"/>
      <c r="AW39" s="90"/>
      <c r="AX39" s="90"/>
      <c r="AY39" s="90"/>
      <c r="AZ39" s="90"/>
      <c r="BA39" s="90"/>
      <c r="BB39" s="90"/>
      <c r="BC39" s="90"/>
      <c r="BE39" s="77" t="s">
        <v>40</v>
      </c>
      <c r="BF39" s="79">
        <f>COUNTIFS('MARE MX'!$K:$K,"ENTERPRISE",'MARE MX'!$AO:$AO,"*OP*")</f>
        <v>1</v>
      </c>
      <c r="BG39" s="100">
        <f t="shared" si="13"/>
        <v>1.7543859649122806E-2</v>
      </c>
      <c r="BH39" s="79">
        <f>COUNTIFS('MARE MX'!$K:$K,"SMB",'MARE MX'!$AO:$AO,"*OP*")</f>
        <v>0</v>
      </c>
      <c r="BI39" s="100">
        <f t="shared" si="14"/>
        <v>0</v>
      </c>
    </row>
    <row r="40" spans="1:61">
      <c r="A40" t="s">
        <v>1434</v>
      </c>
      <c r="B40">
        <v>197</v>
      </c>
      <c r="D40" s="43">
        <v>18096.47849999999</v>
      </c>
      <c r="F40" t="s">
        <v>1445</v>
      </c>
      <c r="H40">
        <v>185</v>
      </c>
      <c r="J40" s="43">
        <v>18244.459599999998</v>
      </c>
      <c r="AP40" s="98" t="s">
        <v>1436</v>
      </c>
      <c r="AQ40" s="99">
        <f>SUM(AQ34:AQ37)/AQ38</f>
        <v>0.22448979591836735</v>
      </c>
      <c r="AR40" s="99">
        <f t="shared" ref="AR40:AU40" si="17">SUM(AR34:AR37)/AR38</f>
        <v>0.4</v>
      </c>
      <c r="AS40" s="99">
        <f t="shared" si="17"/>
        <v>0.2857142857142857</v>
      </c>
      <c r="AT40" s="99">
        <f t="shared" si="17"/>
        <v>0</v>
      </c>
      <c r="AU40" s="99" t="e">
        <f t="shared" si="17"/>
        <v>#DIV/0!</v>
      </c>
      <c r="AV40" s="90"/>
      <c r="AW40" s="90"/>
      <c r="AX40" s="98" t="s">
        <v>1436</v>
      </c>
      <c r="AY40" s="99">
        <f>SUM(AY34:AY37)/AY38</f>
        <v>2.1276595744680851E-2</v>
      </c>
      <c r="AZ40" s="99">
        <f t="shared" ref="AZ40:BC40" si="18">SUM(AZ34:AZ37)/AZ38</f>
        <v>0.16438356164383561</v>
      </c>
      <c r="BA40" s="99">
        <f t="shared" si="18"/>
        <v>0.1111111111111111</v>
      </c>
      <c r="BB40" s="99">
        <f t="shared" si="18"/>
        <v>8.0000000000000002E-3</v>
      </c>
      <c r="BC40" s="99">
        <f t="shared" si="18"/>
        <v>8.2568807339449546E-2</v>
      </c>
      <c r="BE40" s="77" t="s">
        <v>41</v>
      </c>
      <c r="BF40" s="79">
        <f>COUNTIFS('MARE MX'!$K:$K,"ENTERPRISE",'MARE MX'!$AP:$AP,"*OP*")</f>
        <v>2</v>
      </c>
      <c r="BG40" s="100">
        <f t="shared" si="13"/>
        <v>3.5087719298245612E-2</v>
      </c>
      <c r="BH40" s="79">
        <f>COUNTIFS('MARE MX'!$K:$K,"SMB",'MARE MX'!$AP:$AP,"*OP*")</f>
        <v>0</v>
      </c>
      <c r="BI40" s="100">
        <f t="shared" si="14"/>
        <v>0</v>
      </c>
    </row>
    <row r="41" spans="1:61">
      <c r="A41" t="s">
        <v>137</v>
      </c>
      <c r="B41">
        <v>10</v>
      </c>
      <c r="C41">
        <v>3</v>
      </c>
      <c r="D41" s="43">
        <v>2004.3418000000001</v>
      </c>
      <c r="F41" t="s">
        <v>442</v>
      </c>
      <c r="G41" t="s">
        <v>84</v>
      </c>
      <c r="H41">
        <v>8</v>
      </c>
      <c r="J41" s="43">
        <v>7836.8487999999998</v>
      </c>
      <c r="BE41" s="77" t="s">
        <v>42</v>
      </c>
      <c r="BF41" s="79">
        <f>COUNTIFS('MARE MX'!$K:$K,"ENTERPRISE",'MARE MX'!$AQ:$AQ,"*OP*")</f>
        <v>2</v>
      </c>
      <c r="BG41" s="100">
        <f t="shared" si="13"/>
        <v>3.5087719298245612E-2</v>
      </c>
      <c r="BH41" s="79">
        <f>COUNTIFS('MARE MX'!$K:$K,"SMB",'MARE MX'!$AQ:$AQ,"*OP*")</f>
        <v>0</v>
      </c>
      <c r="BI41" s="100">
        <f t="shared" si="14"/>
        <v>0</v>
      </c>
    </row>
    <row r="42" spans="1:61">
      <c r="A42" t="s">
        <v>1409</v>
      </c>
      <c r="B42">
        <v>327</v>
      </c>
      <c r="C42">
        <v>3</v>
      </c>
      <c r="D42" s="43">
        <v>44935.260200000019</v>
      </c>
      <c r="G42" t="s">
        <v>97</v>
      </c>
      <c r="H42">
        <v>19</v>
      </c>
      <c r="J42" s="43">
        <v>22257.039900000003</v>
      </c>
      <c r="BE42" s="77" t="s">
        <v>43</v>
      </c>
      <c r="BF42" s="79">
        <f>COUNTIFS('MARE MX'!$K:$K,"ENTERPRISE",'MARE MX'!$AR:$AR,"*OP*")</f>
        <v>0</v>
      </c>
      <c r="BG42" s="100">
        <f t="shared" si="13"/>
        <v>0</v>
      </c>
      <c r="BH42" s="79">
        <f>COUNTIFS('MARE MX'!$K:$K,"SMB",'MARE MX'!$AR:$AR,"*OP*")</f>
        <v>0</v>
      </c>
      <c r="BI42" s="100">
        <f t="shared" si="14"/>
        <v>0</v>
      </c>
    </row>
    <row r="43" spans="1:61">
      <c r="G43" t="s">
        <v>92</v>
      </c>
      <c r="H43">
        <v>45</v>
      </c>
      <c r="J43" s="43">
        <v>37344.778199999986</v>
      </c>
      <c r="BE43" s="77" t="s">
        <v>44</v>
      </c>
      <c r="BF43" s="79">
        <f>COUNTIFS('MARE MX'!$K:$K,"ENTERPRISE",'MARE MX'!$AS:$AS,"*OP*")</f>
        <v>0</v>
      </c>
      <c r="BG43" s="100">
        <f t="shared" si="13"/>
        <v>0</v>
      </c>
      <c r="BH43" s="79">
        <f>COUNTIFS('MARE MX'!$K:$K,"SMB",'MARE MX'!$AS:$AS,"*OP*")</f>
        <v>0</v>
      </c>
      <c r="BI43" s="100">
        <f t="shared" si="14"/>
        <v>0</v>
      </c>
    </row>
    <row r="44" spans="1:61">
      <c r="G44" t="s">
        <v>1434</v>
      </c>
      <c r="H44">
        <v>2</v>
      </c>
      <c r="J44" s="43">
        <v>4103.2622000000001</v>
      </c>
      <c r="BE44" s="77" t="s">
        <v>45</v>
      </c>
      <c r="BF44" s="79">
        <f>COUNTIFS('MARE MX'!$K:$K,"ENTERPRISE",'MARE MX'!$AT:$AT,"*OP*")</f>
        <v>0</v>
      </c>
      <c r="BG44" s="100">
        <f t="shared" si="13"/>
        <v>0</v>
      </c>
      <c r="BH44" s="79">
        <f>COUNTIFS('MARE MX'!$K:$K,"SMB",'MARE MX'!$AT:$AT,"*OP*")</f>
        <v>0</v>
      </c>
      <c r="BI44" s="100">
        <f t="shared" si="14"/>
        <v>0</v>
      </c>
    </row>
    <row r="45" spans="1:61" s="22" customFormat="1">
      <c r="F45"/>
      <c r="G45" t="s">
        <v>137</v>
      </c>
      <c r="H45">
        <v>1</v>
      </c>
      <c r="I45"/>
      <c r="J45" s="43">
        <v>185.7157</v>
      </c>
      <c r="BE45" s="77" t="s">
        <v>46</v>
      </c>
      <c r="BF45" s="79">
        <f>COUNTIFS('MARE MX'!$K:$K,"ENTERPRISE",'MARE MX'!$AU:$AU,"*OP*")</f>
        <v>0</v>
      </c>
      <c r="BG45" s="100">
        <f t="shared" si="13"/>
        <v>0</v>
      </c>
      <c r="BH45" s="79">
        <f>COUNTIFS('MARE MX'!$K:$K,"SMB",'MARE MX'!$AU:$AU,"*OP*")</f>
        <v>0</v>
      </c>
      <c r="BI45" s="100">
        <f t="shared" si="14"/>
        <v>0</v>
      </c>
    </row>
    <row r="46" spans="1:61">
      <c r="F46" t="s">
        <v>1446</v>
      </c>
      <c r="H46">
        <v>75</v>
      </c>
      <c r="J46" s="43">
        <v>71727.64479999998</v>
      </c>
      <c r="AJ46" t="s">
        <v>1447</v>
      </c>
      <c r="BE46" s="77" t="s">
        <v>47</v>
      </c>
      <c r="BF46" s="79">
        <f>COUNTIFS('MARE MX'!$K:$K,"ENTERPRISE",'MARE MX'!$AV:$AV,"*OP*")</f>
        <v>0</v>
      </c>
      <c r="BG46" s="100">
        <f t="shared" si="13"/>
        <v>0</v>
      </c>
      <c r="BH46" s="79">
        <f>COUNTIFS('MARE MX'!$K:$K,"SMB",'MARE MX'!$AV:$AV,"*OP*")</f>
        <v>0</v>
      </c>
      <c r="BI46" s="100">
        <f t="shared" si="14"/>
        <v>0</v>
      </c>
    </row>
    <row r="47" spans="1:61">
      <c r="F47" t="s">
        <v>1434</v>
      </c>
      <c r="G47" t="s">
        <v>1434</v>
      </c>
      <c r="J47" s="43"/>
      <c r="BE47" s="77" t="s">
        <v>48</v>
      </c>
      <c r="BF47" s="79">
        <f>COUNTIFS('MARE MX'!$K:$K,"ENTERPRISE",'MARE MX'!$AW:$AW,"*OP*")</f>
        <v>0</v>
      </c>
      <c r="BG47" s="100">
        <f t="shared" si="13"/>
        <v>0</v>
      </c>
      <c r="BH47" s="79">
        <f>COUNTIFS('MARE MX'!$K:$K,"SMB",'MARE MX'!$AW:$AW,"*OP*")</f>
        <v>0</v>
      </c>
      <c r="BI47" s="100">
        <f t="shared" si="14"/>
        <v>0</v>
      </c>
    </row>
    <row r="48" spans="1:61">
      <c r="F48" t="s">
        <v>1448</v>
      </c>
      <c r="J48" s="43"/>
      <c r="BE48" s="78" t="s">
        <v>49</v>
      </c>
      <c r="BF48" s="80">
        <f>COUNTIFS('MARE MX'!$K:$K,"ENTERPRISE",'MARE MX'!$AX:$AX,"*OK*")</f>
        <v>2</v>
      </c>
      <c r="BG48" s="80"/>
      <c r="BH48" s="80">
        <f>COUNTIFS('MARE MX'!$K:$K,"SMB",'MARE MX'!$AX:$AX,"*OP*")</f>
        <v>6</v>
      </c>
    </row>
    <row r="49" spans="1:60">
      <c r="A49" t="s">
        <v>1449</v>
      </c>
      <c r="F49" t="s">
        <v>1426</v>
      </c>
      <c r="G49" t="s">
        <v>1434</v>
      </c>
      <c r="H49">
        <v>5</v>
      </c>
      <c r="J49" s="43">
        <v>5238.9311999999991</v>
      </c>
      <c r="BE49" t="s">
        <v>1385</v>
      </c>
      <c r="BF49" s="90">
        <f>SUM(BF33:BF48)</f>
        <v>57</v>
      </c>
      <c r="BG49" s="90"/>
      <c r="BH49" s="90">
        <f>SUM(BH33:BH48)</f>
        <v>37</v>
      </c>
    </row>
    <row r="50" spans="1:60">
      <c r="A50" s="42" t="s">
        <v>10</v>
      </c>
      <c r="B50" t="s">
        <v>1450</v>
      </c>
      <c r="F50" t="s">
        <v>1451</v>
      </c>
      <c r="H50">
        <v>5</v>
      </c>
      <c r="J50" s="43">
        <v>5238.9311999999991</v>
      </c>
    </row>
    <row r="51" spans="1:60">
      <c r="F51" t="s">
        <v>1409</v>
      </c>
      <c r="H51">
        <v>446</v>
      </c>
      <c r="I51">
        <v>3</v>
      </c>
      <c r="J51" s="43">
        <v>160693.7589999999</v>
      </c>
    </row>
    <row r="52" spans="1:60" ht="45.2">
      <c r="A52" s="45" t="s">
        <v>27</v>
      </c>
      <c r="B52" s="22" t="s">
        <v>1427</v>
      </c>
      <c r="C52" s="22" t="s">
        <v>1428</v>
      </c>
      <c r="D52" s="46" t="s">
        <v>1429</v>
      </c>
    </row>
    <row r="53" spans="1:60">
      <c r="A53" t="s">
        <v>1409</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dimension ref="A1:X143"/>
  <sheetViews>
    <sheetView workbookViewId="0">
      <pane ySplit="1" topLeftCell="G113" activePane="bottomLeft" state="frozen"/>
      <selection pane="bottomLeft" activeCell="N121" sqref="N121:N123"/>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297" customWidth="1"/>
    <col min="15" max="15" width="16.5703125" style="297"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57" customFormat="1">
      <c r="B1" s="256" t="s">
        <v>1452</v>
      </c>
      <c r="C1" s="256" t="s">
        <v>22</v>
      </c>
      <c r="D1" s="256" t="s">
        <v>1362</v>
      </c>
      <c r="E1" s="256" t="s">
        <v>1453</v>
      </c>
      <c r="F1" s="256" t="s">
        <v>11</v>
      </c>
      <c r="G1" s="256" t="s">
        <v>1454</v>
      </c>
      <c r="H1" s="256" t="s">
        <v>1430</v>
      </c>
      <c r="I1" s="256" t="s">
        <v>1455</v>
      </c>
      <c r="J1" s="256"/>
      <c r="K1" s="256" t="s">
        <v>1456</v>
      </c>
      <c r="L1" s="256" t="s">
        <v>1457</v>
      </c>
      <c r="M1" s="256" t="s">
        <v>1458</v>
      </c>
      <c r="N1" s="293" t="s">
        <v>1459</v>
      </c>
      <c r="O1" s="256" t="s">
        <v>1394</v>
      </c>
      <c r="P1" s="256" t="s">
        <v>1460</v>
      </c>
      <c r="Q1" s="256" t="s">
        <v>1461</v>
      </c>
      <c r="R1" s="257" t="s">
        <v>8</v>
      </c>
      <c r="S1" s="257" t="s">
        <v>1462</v>
      </c>
      <c r="T1" s="257" t="s">
        <v>1463</v>
      </c>
      <c r="U1" s="269" t="s">
        <v>1464</v>
      </c>
      <c r="V1" s="270">
        <v>17.649999999999999</v>
      </c>
    </row>
    <row r="2" spans="1:22" s="120" customFormat="1">
      <c r="A2" s="299" t="b">
        <v>1</v>
      </c>
      <c r="C2" s="120" t="s">
        <v>1465</v>
      </c>
      <c r="D2" s="120" t="s">
        <v>1364</v>
      </c>
      <c r="E2" s="120" t="s">
        <v>14</v>
      </c>
      <c r="F2" s="120" t="s">
        <v>69</v>
      </c>
      <c r="G2" s="120" t="s">
        <v>1408</v>
      </c>
      <c r="H2" s="120" t="s">
        <v>41</v>
      </c>
      <c r="I2" s="120" t="s">
        <v>1466</v>
      </c>
      <c r="K2" s="120">
        <v>197</v>
      </c>
      <c r="L2" s="120">
        <v>10</v>
      </c>
      <c r="M2" s="119">
        <f>L2*K2</f>
        <v>1970</v>
      </c>
      <c r="N2" s="353">
        <f t="shared" ref="N2:N18" si="0">M2/$V$1</f>
        <v>111.61473087818698</v>
      </c>
      <c r="O2" s="120" t="s">
        <v>1467</v>
      </c>
      <c r="Q2" s="120" t="str">
        <f>IFERROR(INDEX('MARE MX'!$K:$K,MATCH("*"&amp;I2&amp;"*",'MARE MX'!$F:$F,0)),"Sin dato")</f>
        <v>ENTERPRISE</v>
      </c>
    </row>
    <row r="3" spans="1:22" s="120" customFormat="1">
      <c r="A3" s="299" t="b">
        <v>1</v>
      </c>
      <c r="C3" s="120" t="s">
        <v>1465</v>
      </c>
      <c r="D3" s="120" t="s">
        <v>1364</v>
      </c>
      <c r="E3" s="120" t="s">
        <v>15</v>
      </c>
      <c r="F3" s="120" t="s">
        <v>69</v>
      </c>
      <c r="G3" s="120" t="s">
        <v>1408</v>
      </c>
      <c r="H3" s="120" t="s">
        <v>1468</v>
      </c>
      <c r="I3" s="120" t="s">
        <v>1469</v>
      </c>
      <c r="K3" s="120">
        <v>197</v>
      </c>
      <c r="L3" s="120">
        <v>10</v>
      </c>
      <c r="M3" s="119">
        <f>L3*K3</f>
        <v>1970</v>
      </c>
      <c r="N3" s="353">
        <f t="shared" si="0"/>
        <v>111.61473087818698</v>
      </c>
      <c r="O3" s="120" t="s">
        <v>1467</v>
      </c>
      <c r="Q3" s="120" t="str">
        <f>IFERROR(INDEX('MARE MX'!$K:$K,MATCH("*"&amp;I3&amp;"*",'MARE MX'!$F:$F,0)),"Sin dato")</f>
        <v>ENTERPRISE</v>
      </c>
      <c r="U3" s="275" t="s">
        <v>1470</v>
      </c>
      <c r="V3" s="276">
        <f>SUMIFS(N:N,G:G,U3,D:D,"Q1")</f>
        <v>2516.5518413597738</v>
      </c>
    </row>
    <row r="4" spans="1:22" s="120" customFormat="1">
      <c r="A4" s="299" t="b">
        <v>1</v>
      </c>
      <c r="C4" s="120" t="s">
        <v>1465</v>
      </c>
      <c r="D4" s="120" t="s">
        <v>1364</v>
      </c>
      <c r="E4" s="120" t="s">
        <v>15</v>
      </c>
      <c r="F4" s="120" t="s">
        <v>69</v>
      </c>
      <c r="G4" s="120" t="s">
        <v>1408</v>
      </c>
      <c r="H4" s="120" t="s">
        <v>1471</v>
      </c>
      <c r="I4" s="120" t="s">
        <v>1472</v>
      </c>
      <c r="M4" s="119">
        <v>5389</v>
      </c>
      <c r="N4" s="353">
        <f t="shared" si="0"/>
        <v>305.32577903682721</v>
      </c>
      <c r="O4" s="120" t="s">
        <v>1467</v>
      </c>
      <c r="Q4" s="120" t="str">
        <f>IFERROR(INDEX('MARE MX'!$K:$K,MATCH("*"&amp;I4&amp;"*",'MARE MX'!$F:$F,0)),"Sin dato")</f>
        <v>ENTERPRISE</v>
      </c>
      <c r="U4" s="277" t="s">
        <v>1408</v>
      </c>
      <c r="V4" s="278">
        <f>SUMIFS(N:N,G:G,U4,D:D,"Q1")</f>
        <v>2099.9787535410769</v>
      </c>
    </row>
    <row r="5" spans="1:22" s="120" customFormat="1">
      <c r="A5" s="299" t="b">
        <v>1</v>
      </c>
      <c r="B5" s="247" t="s">
        <v>1473</v>
      </c>
      <c r="C5" s="120" t="s">
        <v>1465</v>
      </c>
      <c r="D5" s="120" t="s">
        <v>1364</v>
      </c>
      <c r="E5" s="120" t="s">
        <v>15</v>
      </c>
      <c r="F5" s="120" t="s">
        <v>69</v>
      </c>
      <c r="G5" s="120" t="s">
        <v>1407</v>
      </c>
      <c r="H5" s="120" t="s">
        <v>1474</v>
      </c>
      <c r="I5" s="120" t="s">
        <v>1475</v>
      </c>
      <c r="K5" s="120">
        <v>558</v>
      </c>
      <c r="L5" s="120">
        <v>22</v>
      </c>
      <c r="M5" s="119">
        <f t="shared" ref="M5:M20" si="1">L5*K5</f>
        <v>12276</v>
      </c>
      <c r="N5" s="353">
        <f t="shared" si="0"/>
        <v>695.5240793201134</v>
      </c>
      <c r="O5" s="120" t="s">
        <v>1476</v>
      </c>
      <c r="Q5" s="120" t="str">
        <f>IFERROR(INDEX('MARE MX'!$K:$K,MATCH("*"&amp;I5&amp;"*",'MARE MX'!$F:$F,0)),"Sin dato")</f>
        <v>ENTERPRISE</v>
      </c>
      <c r="U5" s="279" t="s">
        <v>1477</v>
      </c>
      <c r="V5" s="280">
        <f>V4+V3</f>
        <v>4616.5305949008507</v>
      </c>
    </row>
    <row r="6" spans="1:22" s="120" customFormat="1">
      <c r="A6" s="299" t="b">
        <v>1</v>
      </c>
      <c r="B6" s="247" t="s">
        <v>1478</v>
      </c>
      <c r="C6" s="120" t="s">
        <v>1465</v>
      </c>
      <c r="D6" s="120" t="s">
        <v>1364</v>
      </c>
      <c r="E6" s="120" t="s">
        <v>16</v>
      </c>
      <c r="F6" s="120" t="s">
        <v>69</v>
      </c>
      <c r="G6" s="120" t="s">
        <v>1408</v>
      </c>
      <c r="H6" s="120" t="s">
        <v>1468</v>
      </c>
      <c r="I6" s="120" t="s">
        <v>1475</v>
      </c>
      <c r="K6" s="120">
        <v>15</v>
      </c>
      <c r="L6" s="120">
        <v>22</v>
      </c>
      <c r="M6" s="119">
        <f t="shared" si="1"/>
        <v>330</v>
      </c>
      <c r="N6" s="353">
        <f t="shared" si="0"/>
        <v>18.696883852691219</v>
      </c>
      <c r="O6" s="120" t="s">
        <v>1467</v>
      </c>
      <c r="Q6" s="120" t="str">
        <f>IFERROR(INDEX('MARE MX'!$K:$K,MATCH("*"&amp;I6&amp;"*",'MARE MX'!$F:$F,0)),"Sin dato")</f>
        <v>ENTERPRISE</v>
      </c>
    </row>
    <row r="7" spans="1:22" s="120" customFormat="1">
      <c r="A7" s="299" t="b">
        <v>1</v>
      </c>
      <c r="B7" s="247" t="s">
        <v>1473</v>
      </c>
      <c r="C7" s="120" t="s">
        <v>1465</v>
      </c>
      <c r="D7" s="120" t="s">
        <v>1364</v>
      </c>
      <c r="E7" s="120" t="s">
        <v>16</v>
      </c>
      <c r="F7" s="120" t="s">
        <v>69</v>
      </c>
      <c r="G7" s="120" t="s">
        <v>1407</v>
      </c>
      <c r="H7" s="120" t="s">
        <v>1479</v>
      </c>
      <c r="I7" s="120" t="s">
        <v>1475</v>
      </c>
      <c r="K7" s="120">
        <v>200</v>
      </c>
      <c r="L7" s="120">
        <v>22</v>
      </c>
      <c r="M7" s="119">
        <f t="shared" si="1"/>
        <v>4400</v>
      </c>
      <c r="N7" s="353">
        <f t="shared" si="0"/>
        <v>249.29178470254959</v>
      </c>
      <c r="O7" s="120" t="s">
        <v>1476</v>
      </c>
      <c r="Q7" s="120" t="str">
        <f>IFERROR(INDEX('MARE MX'!$K:$K,MATCH("*"&amp;I7&amp;"*",'MARE MX'!$F:$F,0)),"Sin dato")</f>
        <v>ENTERPRISE</v>
      </c>
      <c r="V7" s="119"/>
    </row>
    <row r="8" spans="1:22" s="120" customFormat="1">
      <c r="A8" s="299" t="b">
        <v>1</v>
      </c>
      <c r="B8" s="247" t="s">
        <v>1480</v>
      </c>
      <c r="C8" s="120" t="s">
        <v>1465</v>
      </c>
      <c r="D8" s="120" t="s">
        <v>1364</v>
      </c>
      <c r="E8" s="120" t="s">
        <v>16</v>
      </c>
      <c r="F8" s="120" t="s">
        <v>69</v>
      </c>
      <c r="G8" s="120" t="s">
        <v>1408</v>
      </c>
      <c r="H8" s="120" t="s">
        <v>1481</v>
      </c>
      <c r="I8" s="120" t="s">
        <v>1482</v>
      </c>
      <c r="K8" s="120">
        <v>228</v>
      </c>
      <c r="L8" s="120">
        <v>12</v>
      </c>
      <c r="M8" s="119">
        <f t="shared" si="1"/>
        <v>2736</v>
      </c>
      <c r="N8" s="353">
        <f t="shared" si="0"/>
        <v>155.01416430594901</v>
      </c>
      <c r="O8" s="120" t="s">
        <v>1467</v>
      </c>
      <c r="Q8" s="120" t="str">
        <f>IFERROR(INDEX('MARE MX'!$K:$K,MATCH("*"&amp;I8&amp;"*",'MARE MX'!$F:$F,0)),"Sin dato")</f>
        <v>ENTERPRISE</v>
      </c>
      <c r="V8" s="119"/>
    </row>
    <row r="9" spans="1:22" s="120" customFormat="1">
      <c r="A9" s="299" t="b">
        <v>1</v>
      </c>
      <c r="B9" s="247" t="s">
        <v>1483</v>
      </c>
      <c r="C9" s="247" t="s">
        <v>1465</v>
      </c>
      <c r="D9" s="120" t="s">
        <v>1364</v>
      </c>
      <c r="E9" s="120" t="s">
        <v>16</v>
      </c>
      <c r="F9" s="120" t="s">
        <v>69</v>
      </c>
      <c r="G9" s="120" t="s">
        <v>1407</v>
      </c>
      <c r="H9" s="120" t="s">
        <v>1484</v>
      </c>
      <c r="I9" s="120" t="s">
        <v>1482</v>
      </c>
      <c r="K9" s="120">
        <v>228</v>
      </c>
      <c r="L9" s="120">
        <v>32</v>
      </c>
      <c r="M9" s="119">
        <f t="shared" si="1"/>
        <v>7296</v>
      </c>
      <c r="N9" s="353">
        <f t="shared" si="0"/>
        <v>413.37110481586404</v>
      </c>
      <c r="O9" s="120" t="s">
        <v>1476</v>
      </c>
      <c r="Q9" s="120" t="str">
        <f>IFERROR(INDEX('MARE MX'!$K:$K,MATCH("*"&amp;I9&amp;"*",'MARE MX'!$F:$F,0)),"Sin dato")</f>
        <v>ENTERPRISE</v>
      </c>
      <c r="V9" s="119"/>
    </row>
    <row r="10" spans="1:22" s="120" customFormat="1">
      <c r="A10" s="299" t="b">
        <v>1</v>
      </c>
      <c r="B10" s="247" t="s">
        <v>1485</v>
      </c>
      <c r="C10" s="247" t="s">
        <v>1465</v>
      </c>
      <c r="D10" s="120" t="s">
        <v>1364</v>
      </c>
      <c r="E10" s="120" t="s">
        <v>16</v>
      </c>
      <c r="F10" s="120" t="s">
        <v>69</v>
      </c>
      <c r="G10" s="120" t="s">
        <v>1407</v>
      </c>
      <c r="H10" s="120" t="s">
        <v>1486</v>
      </c>
      <c r="I10" s="120" t="s">
        <v>1482</v>
      </c>
      <c r="K10" s="120">
        <v>319</v>
      </c>
      <c r="L10" s="120">
        <v>32</v>
      </c>
      <c r="M10" s="119">
        <f t="shared" si="1"/>
        <v>10208</v>
      </c>
      <c r="N10" s="353">
        <f t="shared" si="0"/>
        <v>578.35694050991503</v>
      </c>
      <c r="O10" s="120" t="s">
        <v>1476</v>
      </c>
      <c r="Q10" s="120" t="str">
        <f>IFERROR(INDEX('MARE MX'!$K:$K,MATCH("*"&amp;I10&amp;"*",'MARE MX'!$F:$F,0)),"Sin dato")</f>
        <v>ENTERPRISE</v>
      </c>
      <c r="V10" s="119"/>
    </row>
    <row r="11" spans="1:22" s="120" customFormat="1">
      <c r="A11" s="299" t="b">
        <v>1</v>
      </c>
      <c r="C11" s="120" t="s">
        <v>1465</v>
      </c>
      <c r="D11" s="120" t="s">
        <v>1364</v>
      </c>
      <c r="E11" s="120" t="s">
        <v>16</v>
      </c>
      <c r="F11" s="120" t="s">
        <v>69</v>
      </c>
      <c r="G11" s="120" t="s">
        <v>1408</v>
      </c>
      <c r="H11" s="120" t="s">
        <v>1487</v>
      </c>
      <c r="I11" s="120" t="s">
        <v>1488</v>
      </c>
      <c r="K11" s="120">
        <v>97</v>
      </c>
      <c r="L11" s="120">
        <v>10</v>
      </c>
      <c r="M11" s="119">
        <f t="shared" si="1"/>
        <v>970</v>
      </c>
      <c r="N11" s="353">
        <f t="shared" si="0"/>
        <v>54.957507082152979</v>
      </c>
      <c r="O11" s="120" t="s">
        <v>1467</v>
      </c>
      <c r="Q11" s="120" t="str">
        <f>IFERROR(INDEX('MARE MX'!$K:$K,MATCH("*"&amp;I11&amp;"*",'MARE MX'!$F:$F,0)),"Sin dato")</f>
        <v>SMB</v>
      </c>
    </row>
    <row r="12" spans="1:22" s="120" customFormat="1">
      <c r="A12" s="299" t="b">
        <v>1</v>
      </c>
      <c r="C12" s="120" t="s">
        <v>1465</v>
      </c>
      <c r="D12" s="120" t="s">
        <v>1364</v>
      </c>
      <c r="E12" s="120" t="s">
        <v>16</v>
      </c>
      <c r="F12" s="120" t="s">
        <v>69</v>
      </c>
      <c r="G12" s="120" t="s">
        <v>1408</v>
      </c>
      <c r="H12" s="120" t="s">
        <v>42</v>
      </c>
      <c r="I12" s="120" t="s">
        <v>1488</v>
      </c>
      <c r="K12" s="120">
        <v>97</v>
      </c>
      <c r="L12" s="120">
        <v>10</v>
      </c>
      <c r="M12" s="119">
        <f t="shared" si="1"/>
        <v>970</v>
      </c>
      <c r="N12" s="353">
        <f t="shared" si="0"/>
        <v>54.957507082152979</v>
      </c>
      <c r="O12" s="120" t="s">
        <v>1467</v>
      </c>
      <c r="Q12" s="120" t="str">
        <f>IFERROR(INDEX('MARE MX'!$K:$K,MATCH("*"&amp;I12&amp;"*",'MARE MX'!$F:$F,0)),"Sin dato")</f>
        <v>SMB</v>
      </c>
      <c r="V12" s="119"/>
    </row>
    <row r="13" spans="1:22" s="249" customFormat="1">
      <c r="A13" s="299" t="b">
        <v>1</v>
      </c>
      <c r="B13" s="248" t="s">
        <v>1489</v>
      </c>
      <c r="C13" s="248" t="s">
        <v>1465</v>
      </c>
      <c r="D13" s="249" t="s">
        <v>1364</v>
      </c>
      <c r="E13" s="249" t="s">
        <v>14</v>
      </c>
      <c r="F13" s="249" t="s">
        <v>445</v>
      </c>
      <c r="G13" s="249" t="s">
        <v>1490</v>
      </c>
      <c r="H13" s="249" t="s">
        <v>1491</v>
      </c>
      <c r="I13" s="249" t="s">
        <v>1492</v>
      </c>
      <c r="K13" s="249">
        <v>7</v>
      </c>
      <c r="L13" s="249">
        <v>287</v>
      </c>
      <c r="M13" s="250">
        <f t="shared" si="1"/>
        <v>2009</v>
      </c>
      <c r="N13" s="251">
        <f t="shared" si="0"/>
        <v>113.8243626062323</v>
      </c>
      <c r="Q13" s="249" t="str">
        <f>IFERROR(INDEX('MARE MX'!$K:$K,MATCH("*"&amp;I13&amp;"*",'MARE MX'!$F:$F,0)),"Sin dato")</f>
        <v>SMB</v>
      </c>
      <c r="V13" s="250"/>
    </row>
    <row r="14" spans="1:22" s="249" customFormat="1">
      <c r="A14" s="299" t="b">
        <v>1</v>
      </c>
      <c r="B14" s="248" t="s">
        <v>1493</v>
      </c>
      <c r="C14" s="248" t="s">
        <v>1465</v>
      </c>
      <c r="D14" s="249" t="s">
        <v>1364</v>
      </c>
      <c r="E14" s="249" t="s">
        <v>15</v>
      </c>
      <c r="F14" s="249" t="s">
        <v>445</v>
      </c>
      <c r="G14" s="249" t="s">
        <v>1408</v>
      </c>
      <c r="H14" s="249" t="s">
        <v>1494</v>
      </c>
      <c r="I14" s="249" t="s">
        <v>1495</v>
      </c>
      <c r="K14" s="249">
        <v>74</v>
      </c>
      <c r="L14" s="249">
        <v>6</v>
      </c>
      <c r="M14" s="249">
        <f t="shared" si="1"/>
        <v>444</v>
      </c>
      <c r="N14" s="250">
        <f t="shared" si="0"/>
        <v>25.155807365439095</v>
      </c>
      <c r="O14" s="249" t="s">
        <v>1496</v>
      </c>
      <c r="Q14" s="249" t="str">
        <f>IFERROR(INDEX('MARE MX'!$K:$K,MATCH("*"&amp;I14&amp;"*",'MARE MX'!$F:$F,0)),"Sin dato")</f>
        <v>SMB</v>
      </c>
      <c r="V14" s="250"/>
    </row>
    <row r="15" spans="1:22" s="249" customFormat="1">
      <c r="A15" s="299" t="b">
        <v>1</v>
      </c>
      <c r="B15" s="248" t="s">
        <v>1497</v>
      </c>
      <c r="C15" s="248" t="s">
        <v>1465</v>
      </c>
      <c r="D15" s="249" t="s">
        <v>1364</v>
      </c>
      <c r="E15" s="249" t="s">
        <v>15</v>
      </c>
      <c r="F15" s="249" t="s">
        <v>445</v>
      </c>
      <c r="G15" s="249" t="s">
        <v>1407</v>
      </c>
      <c r="H15" s="249" t="s">
        <v>1498</v>
      </c>
      <c r="I15" s="249" t="s">
        <v>1499</v>
      </c>
      <c r="K15" s="249">
        <v>100</v>
      </c>
      <c r="L15" s="249">
        <v>29</v>
      </c>
      <c r="M15" s="250">
        <f t="shared" si="1"/>
        <v>2900</v>
      </c>
      <c r="N15" s="251">
        <f t="shared" si="0"/>
        <v>164.3059490084986</v>
      </c>
      <c r="Q15" s="249" t="str">
        <f>IFERROR(INDEX('MARE MX'!$K:$K,MATCH("*"&amp;I15&amp;"*",'MARE MX'!$F:$F,0)),"Sin dato")</f>
        <v>SMB</v>
      </c>
    </row>
    <row r="16" spans="1:22" s="249" customFormat="1">
      <c r="A16" s="299" t="b">
        <v>1</v>
      </c>
      <c r="B16" s="248" t="s">
        <v>1500</v>
      </c>
      <c r="C16" s="248" t="s">
        <v>1465</v>
      </c>
      <c r="D16" s="249" t="s">
        <v>1364</v>
      </c>
      <c r="E16" s="249" t="s">
        <v>16</v>
      </c>
      <c r="F16" s="249" t="s">
        <v>445</v>
      </c>
      <c r="G16" s="249" t="s">
        <v>1407</v>
      </c>
      <c r="H16" s="249" t="s">
        <v>1498</v>
      </c>
      <c r="I16" s="249" t="s">
        <v>1501</v>
      </c>
      <c r="K16" s="249">
        <v>38</v>
      </c>
      <c r="L16" s="249">
        <v>34.04</v>
      </c>
      <c r="M16" s="250">
        <f t="shared" si="1"/>
        <v>1293.52</v>
      </c>
      <c r="N16" s="251">
        <f t="shared" si="0"/>
        <v>73.287252124645903</v>
      </c>
      <c r="Q16" s="249" t="str">
        <f>IFERROR(INDEX('MARE MX'!$K:$K,MATCH("*"&amp;I16&amp;"*",'MARE MX'!$F:$F,0)),"Sin dato")</f>
        <v>SMB</v>
      </c>
    </row>
    <row r="17" spans="1:22" s="249" customFormat="1">
      <c r="A17" s="299" t="b">
        <v>1</v>
      </c>
      <c r="B17" s="248" t="s">
        <v>1502</v>
      </c>
      <c r="C17" s="248" t="s">
        <v>1465</v>
      </c>
      <c r="D17" s="249" t="s">
        <v>1364</v>
      </c>
      <c r="E17" s="249" t="s">
        <v>16</v>
      </c>
      <c r="F17" s="249" t="s">
        <v>445</v>
      </c>
      <c r="G17" s="249" t="s">
        <v>1407</v>
      </c>
      <c r="H17" s="249" t="s">
        <v>1498</v>
      </c>
      <c r="I17" s="249" t="s">
        <v>1503</v>
      </c>
      <c r="K17" s="249">
        <v>57</v>
      </c>
      <c r="L17" s="249">
        <v>46.66</v>
      </c>
      <c r="M17" s="250">
        <f t="shared" si="1"/>
        <v>2659.62</v>
      </c>
      <c r="N17" s="251">
        <f t="shared" si="0"/>
        <v>150.68668555240794</v>
      </c>
      <c r="Q17" s="249" t="str">
        <f>IFERROR(INDEX('MARE MX'!$K:$K,MATCH("*"&amp;I17&amp;"*",'MARE MX'!$F:$F,0)),"Sin dato")</f>
        <v>Sin dato</v>
      </c>
    </row>
    <row r="18" spans="1:22" s="249" customFormat="1">
      <c r="A18" s="299" t="b">
        <v>1</v>
      </c>
      <c r="B18" s="248" t="s">
        <v>1502</v>
      </c>
      <c r="C18" s="248" t="s">
        <v>1465</v>
      </c>
      <c r="D18" s="249" t="s">
        <v>1364</v>
      </c>
      <c r="E18" s="249" t="s">
        <v>16</v>
      </c>
      <c r="F18" s="249" t="s">
        <v>445</v>
      </c>
      <c r="G18" s="249" t="s">
        <v>1408</v>
      </c>
      <c r="H18" s="249" t="s">
        <v>1468</v>
      </c>
      <c r="I18" s="249" t="s">
        <v>1504</v>
      </c>
      <c r="K18" s="249">
        <v>40</v>
      </c>
      <c r="L18" s="249">
        <v>10</v>
      </c>
      <c r="M18" s="250">
        <f t="shared" si="1"/>
        <v>400</v>
      </c>
      <c r="N18" s="250">
        <f t="shared" si="0"/>
        <v>22.6628895184136</v>
      </c>
      <c r="Q18" s="249" t="str">
        <f>IFERROR(INDEX('MARE MX'!$K:$K,MATCH("*"&amp;I18&amp;"*",'MARE MX'!$F:$F,0)),"Sin dato")</f>
        <v>SMB</v>
      </c>
    </row>
    <row r="19" spans="1:22" s="249" customFormat="1">
      <c r="A19" s="299" t="b">
        <v>1</v>
      </c>
      <c r="B19" s="248" t="s">
        <v>1505</v>
      </c>
      <c r="C19" s="249" t="s">
        <v>1465</v>
      </c>
      <c r="D19" s="249" t="s">
        <v>1364</v>
      </c>
      <c r="E19" s="249" t="s">
        <v>16</v>
      </c>
      <c r="F19" s="249" t="s">
        <v>445</v>
      </c>
      <c r="G19" s="249" t="s">
        <v>1408</v>
      </c>
      <c r="H19" s="249" t="s">
        <v>1487</v>
      </c>
      <c r="I19" s="249" t="s">
        <v>1506</v>
      </c>
      <c r="K19" s="249">
        <v>10</v>
      </c>
      <c r="L19" s="249">
        <v>35</v>
      </c>
      <c r="M19" s="250">
        <f t="shared" si="1"/>
        <v>350</v>
      </c>
      <c r="N19" s="250">
        <f>K19*L19/$V$1</f>
        <v>19.830028328611899</v>
      </c>
      <c r="O19" s="249" t="s">
        <v>1507</v>
      </c>
      <c r="Q19" s="249" t="str">
        <f>IFERROR(INDEX('MARE MX'!$K:$K,MATCH("*"&amp;I19&amp;"*",'MARE MX'!$F:$F,0)),"Sin dato")</f>
        <v>Sin dato</v>
      </c>
    </row>
    <row r="20" spans="1:22" s="249" customFormat="1">
      <c r="A20" s="299" t="b">
        <v>1</v>
      </c>
      <c r="B20" s="248" t="s">
        <v>1508</v>
      </c>
      <c r="C20" s="249" t="s">
        <v>1465</v>
      </c>
      <c r="D20" s="249" t="s">
        <v>1364</v>
      </c>
      <c r="E20" s="249" t="s">
        <v>16</v>
      </c>
      <c r="F20" s="249" t="s">
        <v>445</v>
      </c>
      <c r="G20" s="249" t="s">
        <v>1408</v>
      </c>
      <c r="H20" s="249" t="s">
        <v>1487</v>
      </c>
      <c r="I20" s="249" t="s">
        <v>1509</v>
      </c>
      <c r="K20" s="249">
        <v>35</v>
      </c>
      <c r="L20" s="249">
        <v>15</v>
      </c>
      <c r="M20" s="250">
        <f t="shared" si="1"/>
        <v>525</v>
      </c>
      <c r="N20" s="250">
        <f>K20*L20/$V$1</f>
        <v>29.74504249291785</v>
      </c>
      <c r="O20" s="249" t="s">
        <v>1510</v>
      </c>
      <c r="Q20" s="249" t="str">
        <f>IFERROR(INDEX('MARE MX'!$K:$K,MATCH("*"&amp;I20&amp;"*",'MARE MX'!$F:$F,0)),"Sin dato")</f>
        <v>SMB</v>
      </c>
    </row>
    <row r="21" spans="1:22" s="253" customFormat="1">
      <c r="A21" s="299" t="b">
        <v>1</v>
      </c>
      <c r="B21" s="252" t="s">
        <v>1511</v>
      </c>
      <c r="C21" s="253" t="s">
        <v>1465</v>
      </c>
      <c r="D21" s="253" t="s">
        <v>1364</v>
      </c>
      <c r="E21" s="253" t="s">
        <v>14</v>
      </c>
      <c r="F21" s="253" t="s">
        <v>442</v>
      </c>
      <c r="G21" s="253" t="s">
        <v>1408</v>
      </c>
      <c r="H21" s="253" t="s">
        <v>1512</v>
      </c>
      <c r="I21" s="253" t="s">
        <v>1513</v>
      </c>
      <c r="J21" s="253" t="s">
        <v>1514</v>
      </c>
      <c r="K21" s="253">
        <v>900</v>
      </c>
      <c r="L21" s="253">
        <f>0.25*0.9</f>
        <v>0.22500000000000001</v>
      </c>
      <c r="N21" s="255">
        <f>K21*L21</f>
        <v>202.5</v>
      </c>
      <c r="O21" s="253" t="s">
        <v>1467</v>
      </c>
      <c r="Q21" s="253" t="str">
        <f>IFERROR(INDEX('MARE MX'!$K:$K,MATCH("*"&amp;I21&amp;"*",'MARE MX'!$F:$F,0)),"Sin dato")</f>
        <v>ENTERPRISE</v>
      </c>
    </row>
    <row r="22" spans="1:22" s="253" customFormat="1">
      <c r="A22" s="299" t="b">
        <v>1</v>
      </c>
      <c r="B22" s="252" t="s">
        <v>1515</v>
      </c>
      <c r="C22" s="253" t="s">
        <v>1465</v>
      </c>
      <c r="D22" s="253" t="s">
        <v>1364</v>
      </c>
      <c r="E22" s="253" t="s">
        <v>16</v>
      </c>
      <c r="F22" s="253" t="s">
        <v>442</v>
      </c>
      <c r="G22" s="253" t="s">
        <v>1408</v>
      </c>
      <c r="H22" s="253" t="s">
        <v>39</v>
      </c>
      <c r="I22" s="253" t="s">
        <v>1304</v>
      </c>
      <c r="J22" s="253" t="s">
        <v>1397</v>
      </c>
      <c r="K22" s="253">
        <v>5071</v>
      </c>
      <c r="L22" s="253">
        <v>2</v>
      </c>
      <c r="M22" s="255">
        <f>L22*K22</f>
        <v>10142</v>
      </c>
      <c r="N22" s="255">
        <f>M22/$V$1</f>
        <v>574.61756373937681</v>
      </c>
      <c r="O22" s="253" t="s">
        <v>1467</v>
      </c>
      <c r="Q22" s="253" t="str">
        <f>IFERROR(INDEX('MARE MX'!$K:$K,MATCH("*"&amp;I22&amp;"*",'MARE MX'!$F:$F,0)),"Sin dato")</f>
        <v>ENTERPRISE</v>
      </c>
    </row>
    <row r="23" spans="1:22" s="253" customFormat="1">
      <c r="A23" s="299" t="b">
        <v>1</v>
      </c>
      <c r="B23" s="252" t="s">
        <v>1516</v>
      </c>
      <c r="C23" s="253" t="s">
        <v>1465</v>
      </c>
      <c r="D23" s="253" t="s">
        <v>1364</v>
      </c>
      <c r="E23" s="253" t="s">
        <v>16</v>
      </c>
      <c r="F23" s="253" t="s">
        <v>442</v>
      </c>
      <c r="G23" s="253" t="s">
        <v>1408</v>
      </c>
      <c r="H23" s="253" t="s">
        <v>1512</v>
      </c>
      <c r="I23" s="253" t="s">
        <v>1206</v>
      </c>
      <c r="K23" s="253">
        <v>714</v>
      </c>
      <c r="L23" s="253">
        <v>4.5</v>
      </c>
      <c r="M23" s="255">
        <f>L23*K23</f>
        <v>3213</v>
      </c>
      <c r="N23" s="255">
        <f>M23/$V$1</f>
        <v>182.03966005665723</v>
      </c>
      <c r="O23" s="253" t="s">
        <v>1467</v>
      </c>
      <c r="Q23" s="253" t="str">
        <f>IFERROR(INDEX('MARE MX'!$K:$K,MATCH("*"&amp;I23&amp;"*",'MARE MX'!$F:$F,0)),"Sin dato")</f>
        <v>ENTERPRISE</v>
      </c>
    </row>
    <row r="24" spans="1:22" s="253" customFormat="1">
      <c r="A24" s="299" t="b">
        <v>1</v>
      </c>
      <c r="B24" s="252" t="s">
        <v>1517</v>
      </c>
      <c r="C24" s="252" t="s">
        <v>1465</v>
      </c>
      <c r="D24" s="253" t="s">
        <v>1364</v>
      </c>
      <c r="E24" s="253" t="s">
        <v>16</v>
      </c>
      <c r="F24" s="253" t="s">
        <v>442</v>
      </c>
      <c r="G24" s="253" t="s">
        <v>1407</v>
      </c>
      <c r="H24" s="253" t="s">
        <v>1498</v>
      </c>
      <c r="I24" s="253" t="s">
        <v>1214</v>
      </c>
      <c r="K24" s="253">
        <v>72</v>
      </c>
      <c r="L24" s="253">
        <v>47</v>
      </c>
      <c r="M24" s="255">
        <f>L24*K24</f>
        <v>3384</v>
      </c>
      <c r="N24" s="254">
        <f>M24/$V$1</f>
        <v>191.72804532577905</v>
      </c>
      <c r="Q24" s="253" t="str">
        <f>IFERROR(INDEX('MARE MX'!$K:$K,MATCH("*"&amp;I24&amp;"*",'MARE MX'!$F:$F,0)),"Sin dato")</f>
        <v>ENTERPRISE</v>
      </c>
    </row>
    <row r="25" spans="1:22" s="253" customFormat="1">
      <c r="A25" s="299" t="b">
        <v>1</v>
      </c>
      <c r="B25" s="252" t="s">
        <v>1518</v>
      </c>
      <c r="C25" s="253" t="s">
        <v>1465</v>
      </c>
      <c r="D25" s="253" t="s">
        <v>1364</v>
      </c>
      <c r="E25" s="253" t="s">
        <v>16</v>
      </c>
      <c r="F25" s="253" t="s">
        <v>442</v>
      </c>
      <c r="G25" s="253" t="s">
        <v>1408</v>
      </c>
      <c r="H25" s="253" t="s">
        <v>1519</v>
      </c>
      <c r="I25" s="253" t="s">
        <v>1520</v>
      </c>
      <c r="N25" s="255">
        <v>30</v>
      </c>
      <c r="O25" s="253" t="s">
        <v>1467</v>
      </c>
      <c r="Q25" s="253" t="str">
        <f>IFERROR(INDEX('MARE MX'!$K:$K,MATCH("*"&amp;I25&amp;"*",'MARE MX'!$F:$F,0)),"Sin dato")</f>
        <v>SMB</v>
      </c>
    </row>
    <row r="26" spans="1:22" s="253" customFormat="1">
      <c r="A26" s="299" t="b">
        <v>1</v>
      </c>
      <c r="B26" s="252" t="s">
        <v>1517</v>
      </c>
      <c r="C26" s="252" t="s">
        <v>1465</v>
      </c>
      <c r="D26" s="253" t="s">
        <v>1364</v>
      </c>
      <c r="E26" s="253" t="s">
        <v>16</v>
      </c>
      <c r="F26" s="253" t="s">
        <v>442</v>
      </c>
      <c r="G26" s="253" t="s">
        <v>1408</v>
      </c>
      <c r="H26" s="253" t="s">
        <v>41</v>
      </c>
      <c r="I26" s="253" t="s">
        <v>1521</v>
      </c>
      <c r="K26" s="253">
        <v>444</v>
      </c>
      <c r="L26" s="253">
        <v>8</v>
      </c>
      <c r="M26" s="255">
        <f t="shared" ref="M26:M38" si="2">L26*K26</f>
        <v>3552</v>
      </c>
      <c r="N26" s="255">
        <f>M26/$V$1</f>
        <v>201.24645892351276</v>
      </c>
      <c r="O26" s="253" t="s">
        <v>1467</v>
      </c>
      <c r="Q26" s="253" t="str">
        <f>IFERROR(INDEX('MARE MX'!$K:$K,MATCH("*"&amp;I26&amp;"*",'MARE MX'!$F:$F,0)),"Sin dato")</f>
        <v>ENTERPRISE</v>
      </c>
    </row>
    <row r="27" spans="1:22" s="264" customFormat="1">
      <c r="A27" s="302" t="b">
        <v>0</v>
      </c>
      <c r="B27" s="264" t="s">
        <v>1522</v>
      </c>
      <c r="C27" s="265" t="s">
        <v>1523</v>
      </c>
      <c r="D27" s="264" t="s">
        <v>1371</v>
      </c>
      <c r="E27" s="264" t="s">
        <v>17</v>
      </c>
      <c r="F27" s="264" t="s">
        <v>69</v>
      </c>
      <c r="G27" s="264" t="s">
        <v>1408</v>
      </c>
      <c r="H27" s="264" t="s">
        <v>42</v>
      </c>
      <c r="I27" s="264" t="s">
        <v>1524</v>
      </c>
      <c r="K27" s="264">
        <v>0</v>
      </c>
      <c r="L27" s="264">
        <v>0</v>
      </c>
      <c r="M27" s="266">
        <f t="shared" si="2"/>
        <v>0</v>
      </c>
      <c r="N27" s="294">
        <f t="shared" ref="N27:N51" si="3">M27/$V$27</f>
        <v>0</v>
      </c>
      <c r="O27" s="370"/>
      <c r="P27" s="264" t="s">
        <v>1525</v>
      </c>
      <c r="Q27" s="264" t="str">
        <f>IFERROR(INDEX('MARE MX'!$K:$K,MATCH("*"&amp;I27&amp;"*",'MARE MX'!$F:$F,0)),"Sin dato")</f>
        <v>SMB</v>
      </c>
      <c r="U27" s="267" t="s">
        <v>1526</v>
      </c>
      <c r="V27" s="268">
        <v>17.5</v>
      </c>
    </row>
    <row r="28" spans="1:22" s="264" customFormat="1">
      <c r="A28" s="302" t="b">
        <v>1</v>
      </c>
      <c r="B28" s="265" t="s">
        <v>1527</v>
      </c>
      <c r="C28" s="265" t="s">
        <v>1465</v>
      </c>
      <c r="D28" s="264" t="s">
        <v>1371</v>
      </c>
      <c r="E28" s="264" t="s">
        <v>19</v>
      </c>
      <c r="F28" s="264" t="s">
        <v>69</v>
      </c>
      <c r="G28" s="264" t="s">
        <v>1408</v>
      </c>
      <c r="H28" s="264" t="s">
        <v>38</v>
      </c>
      <c r="I28" s="264" t="s">
        <v>1475</v>
      </c>
      <c r="K28" s="264">
        <v>2200</v>
      </c>
      <c r="L28" s="264">
        <v>8</v>
      </c>
      <c r="M28" s="266">
        <f t="shared" si="2"/>
        <v>17600</v>
      </c>
      <c r="N28" s="298">
        <f>M28/$V$27</f>
        <v>1005.7142857142857</v>
      </c>
      <c r="O28" s="370" t="s">
        <v>1528</v>
      </c>
      <c r="P28" s="266" t="s">
        <v>1529</v>
      </c>
      <c r="Q28" s="264" t="str">
        <f>IFERROR(INDEX('MARE MX'!$K:$K,MATCH("*"&amp;I28&amp;"*",'MARE MX'!$F:$F,0)),"Sin dato")</f>
        <v>ENTERPRISE</v>
      </c>
      <c r="S28" s="264" t="s">
        <v>127</v>
      </c>
      <c r="U28" s="271" t="s">
        <v>1408</v>
      </c>
      <c r="V28" s="272">
        <f>SUMIFS(N:N,G:G,U28,D:D,"Q2")</f>
        <v>3796.3628571428576</v>
      </c>
    </row>
    <row r="29" spans="1:22" s="264" customFormat="1">
      <c r="A29" s="302" t="b">
        <v>0</v>
      </c>
      <c r="B29" s="265" t="s">
        <v>1530</v>
      </c>
      <c r="C29" s="265" t="s">
        <v>1465</v>
      </c>
      <c r="D29" s="264" t="s">
        <v>1371</v>
      </c>
      <c r="E29" s="264" t="s">
        <v>19</v>
      </c>
      <c r="F29" s="264" t="s">
        <v>69</v>
      </c>
      <c r="G29" s="264" t="s">
        <v>1407</v>
      </c>
      <c r="H29" s="264" t="s">
        <v>1531</v>
      </c>
      <c r="I29" s="264" t="s">
        <v>1482</v>
      </c>
      <c r="K29" s="264">
        <v>224</v>
      </c>
      <c r="L29" s="264">
        <v>28</v>
      </c>
      <c r="M29" s="266">
        <f t="shared" si="2"/>
        <v>6272</v>
      </c>
      <c r="N29" s="294">
        <f t="shared" si="3"/>
        <v>358.4</v>
      </c>
      <c r="O29" s="370" t="s">
        <v>1532</v>
      </c>
      <c r="P29" s="264" t="s">
        <v>1533</v>
      </c>
      <c r="Q29" s="264" t="str">
        <f>IFERROR(INDEX('MARE MX'!$K:$K,MATCH("*"&amp;I29&amp;"*",'MARE MX'!$F:$F,0)),"Sin dato")</f>
        <v>ENTERPRISE</v>
      </c>
      <c r="S29" s="264" t="s">
        <v>127</v>
      </c>
      <c r="U29" s="271" t="s">
        <v>1470</v>
      </c>
      <c r="V29" s="272">
        <f>SUMIFS(N:N,G:G,U29,D:D,"Q2")</f>
        <v>3782.411428571429</v>
      </c>
    </row>
    <row r="30" spans="1:22" s="264" customFormat="1">
      <c r="A30" s="302" t="b">
        <v>0</v>
      </c>
      <c r="B30" s="265" t="s">
        <v>1534</v>
      </c>
      <c r="C30" s="265"/>
      <c r="D30" s="264" t="s">
        <v>1371</v>
      </c>
      <c r="E30" s="264" t="s">
        <v>19</v>
      </c>
      <c r="F30" s="264" t="s">
        <v>69</v>
      </c>
      <c r="G30" s="264" t="s">
        <v>1408</v>
      </c>
      <c r="H30" s="264" t="s">
        <v>1535</v>
      </c>
      <c r="I30" s="264" t="s">
        <v>1482</v>
      </c>
      <c r="K30" s="264">
        <v>130</v>
      </c>
      <c r="L30" s="264">
        <v>8</v>
      </c>
      <c r="M30" s="266">
        <f t="shared" si="2"/>
        <v>1040</v>
      </c>
      <c r="N30" s="298">
        <f t="shared" si="3"/>
        <v>59.428571428571431</v>
      </c>
      <c r="O30" s="370" t="s">
        <v>1536</v>
      </c>
      <c r="P30" s="264" t="s">
        <v>1537</v>
      </c>
      <c r="Q30" s="264" t="str">
        <f>IFERROR(INDEX('MARE MX'!$K:$K,MATCH("*"&amp;I30&amp;"*",'MARE MX'!$F:$F,0)),"Sin dato")</f>
        <v>ENTERPRISE</v>
      </c>
      <c r="S30" s="264" t="s">
        <v>127</v>
      </c>
      <c r="U30" s="273" t="s">
        <v>1477</v>
      </c>
      <c r="V30" s="274">
        <f>V28+V29</f>
        <v>7578.7742857142866</v>
      </c>
    </row>
    <row r="31" spans="1:22" s="264" customFormat="1">
      <c r="A31" s="302" t="b">
        <v>0</v>
      </c>
      <c r="B31" s="265" t="s">
        <v>1538</v>
      </c>
      <c r="C31" s="265" t="s">
        <v>1465</v>
      </c>
      <c r="D31" s="264" t="s">
        <v>1371</v>
      </c>
      <c r="E31" s="264" t="s">
        <v>19</v>
      </c>
      <c r="F31" s="264" t="s">
        <v>69</v>
      </c>
      <c r="G31" s="264" t="s">
        <v>1407</v>
      </c>
      <c r="H31" s="264" t="s">
        <v>1539</v>
      </c>
      <c r="I31" s="264" t="s">
        <v>1482</v>
      </c>
      <c r="K31" s="264">
        <v>575</v>
      </c>
      <c r="L31" s="264">
        <v>28</v>
      </c>
      <c r="M31" s="266">
        <f t="shared" si="2"/>
        <v>16100</v>
      </c>
      <c r="N31" s="294">
        <f t="shared" si="3"/>
        <v>920</v>
      </c>
      <c r="O31" s="370" t="s">
        <v>1540</v>
      </c>
      <c r="P31" s="264" t="s">
        <v>1533</v>
      </c>
      <c r="Q31" s="264" t="str">
        <f>IFERROR(INDEX('MARE MX'!$K:$K,MATCH("*"&amp;I31&amp;"*",'MARE MX'!$F:$F,0)),"Sin dato")</f>
        <v>ENTERPRISE</v>
      </c>
      <c r="S31" s="264" t="s">
        <v>127</v>
      </c>
    </row>
    <row r="32" spans="1:22" s="264" customFormat="1">
      <c r="A32" s="302" t="b">
        <v>0</v>
      </c>
      <c r="B32" s="354" t="s">
        <v>1541</v>
      </c>
      <c r="C32" s="265" t="s">
        <v>1465</v>
      </c>
      <c r="D32" s="264" t="s">
        <v>1371</v>
      </c>
      <c r="E32" s="264" t="s">
        <v>19</v>
      </c>
      <c r="F32" s="264" t="s">
        <v>69</v>
      </c>
      <c r="G32" s="264" t="s">
        <v>1408</v>
      </c>
      <c r="H32" s="264" t="s">
        <v>1542</v>
      </c>
      <c r="I32" s="264" t="s">
        <v>1482</v>
      </c>
      <c r="K32" s="264">
        <v>575</v>
      </c>
      <c r="L32" s="264">
        <v>8</v>
      </c>
      <c r="M32" s="266">
        <f t="shared" si="2"/>
        <v>4600</v>
      </c>
      <c r="N32" s="298">
        <f t="shared" si="3"/>
        <v>262.85714285714283</v>
      </c>
      <c r="O32" s="370" t="s">
        <v>1540</v>
      </c>
      <c r="P32" s="264" t="s">
        <v>1543</v>
      </c>
      <c r="Q32" s="264" t="str">
        <f>IFERROR(INDEX('MARE MX'!$K:$K,MATCH("*"&amp;I32&amp;"*",'MARE MX'!$F:$F,0)),"Sin dato")</f>
        <v>ENTERPRISE</v>
      </c>
      <c r="S32" s="264" t="s">
        <v>127</v>
      </c>
    </row>
    <row r="33" spans="1:19" s="264" customFormat="1">
      <c r="A33" s="302" t="b">
        <v>0</v>
      </c>
      <c r="B33" s="265" t="s">
        <v>1544</v>
      </c>
      <c r="C33" s="265" t="s">
        <v>1465</v>
      </c>
      <c r="D33" s="264" t="s">
        <v>1371</v>
      </c>
      <c r="E33" s="264" t="s">
        <v>19</v>
      </c>
      <c r="F33" s="264" t="s">
        <v>69</v>
      </c>
      <c r="G33" s="264" t="s">
        <v>1408</v>
      </c>
      <c r="H33" s="264" t="s">
        <v>1545</v>
      </c>
      <c r="I33" s="264" t="s">
        <v>1482</v>
      </c>
      <c r="K33" s="264">
        <v>575</v>
      </c>
      <c r="L33" s="264">
        <v>8</v>
      </c>
      <c r="M33" s="266">
        <f t="shared" si="2"/>
        <v>4600</v>
      </c>
      <c r="N33" s="298">
        <f t="shared" si="3"/>
        <v>262.85714285714283</v>
      </c>
      <c r="O33" s="370" t="s">
        <v>1540</v>
      </c>
      <c r="P33" s="264" t="s">
        <v>1546</v>
      </c>
      <c r="Q33" s="264" t="str">
        <f>IFERROR(INDEX('MARE MX'!$K:$K,MATCH("*"&amp;I33&amp;"*",'MARE MX'!$F:$F,0)),"Sin dato")</f>
        <v>ENTERPRISE</v>
      </c>
      <c r="S33" s="264" t="s">
        <v>127</v>
      </c>
    </row>
    <row r="34" spans="1:19" s="264" customFormat="1">
      <c r="A34" s="302" t="b">
        <v>0</v>
      </c>
      <c r="B34" s="265" t="s">
        <v>1547</v>
      </c>
      <c r="C34" s="265" t="s">
        <v>1465</v>
      </c>
      <c r="D34" s="264" t="s">
        <v>1371</v>
      </c>
      <c r="E34" s="264" t="s">
        <v>19</v>
      </c>
      <c r="F34" s="264" t="s">
        <v>69</v>
      </c>
      <c r="G34" s="264" t="s">
        <v>1407</v>
      </c>
      <c r="H34" s="264" t="s">
        <v>1548</v>
      </c>
      <c r="I34" s="264" t="s">
        <v>1482</v>
      </c>
      <c r="K34" s="264">
        <v>125</v>
      </c>
      <c r="L34" s="264">
        <v>28</v>
      </c>
      <c r="M34" s="266">
        <f t="shared" si="2"/>
        <v>3500</v>
      </c>
      <c r="N34" s="294">
        <f t="shared" si="3"/>
        <v>200</v>
      </c>
      <c r="O34" s="370" t="s">
        <v>1549</v>
      </c>
      <c r="P34" s="264" t="s">
        <v>1533</v>
      </c>
      <c r="Q34" s="264" t="str">
        <f>IFERROR(INDEX('MARE MX'!$K:$K,MATCH("*"&amp;I34&amp;"*",'MARE MX'!$F:$F,0)),"Sin dato")</f>
        <v>ENTERPRISE</v>
      </c>
      <c r="S34" s="264" t="s">
        <v>127</v>
      </c>
    </row>
    <row r="35" spans="1:19" s="264" customFormat="1">
      <c r="A35" s="302" t="b">
        <v>0</v>
      </c>
      <c r="B35" s="354" t="s">
        <v>1550</v>
      </c>
      <c r="C35" s="265" t="s">
        <v>1465</v>
      </c>
      <c r="D35" s="264" t="s">
        <v>1371</v>
      </c>
      <c r="E35" s="264" t="s">
        <v>19</v>
      </c>
      <c r="F35" s="264" t="s">
        <v>69</v>
      </c>
      <c r="G35" s="264" t="s">
        <v>1408</v>
      </c>
      <c r="H35" s="264" t="s">
        <v>1551</v>
      </c>
      <c r="I35" s="264" t="s">
        <v>1482</v>
      </c>
      <c r="K35" s="264">
        <v>125</v>
      </c>
      <c r="L35" s="264">
        <v>8</v>
      </c>
      <c r="M35" s="266">
        <f t="shared" si="2"/>
        <v>1000</v>
      </c>
      <c r="N35" s="298">
        <f t="shared" si="3"/>
        <v>57.142857142857146</v>
      </c>
      <c r="O35" s="370" t="s">
        <v>1549</v>
      </c>
      <c r="P35" s="264" t="s">
        <v>1552</v>
      </c>
      <c r="Q35" s="264" t="str">
        <f>IFERROR(INDEX('MARE MX'!$K:$K,MATCH("*"&amp;I35&amp;"*",'MARE MX'!$F:$F,0)),"Sin dato")</f>
        <v>ENTERPRISE</v>
      </c>
      <c r="S35" s="264" t="s">
        <v>127</v>
      </c>
    </row>
    <row r="36" spans="1:19" s="120" customFormat="1">
      <c r="A36" s="299" t="b">
        <v>0</v>
      </c>
      <c r="B36" s="247" t="s">
        <v>1553</v>
      </c>
      <c r="C36" s="265" t="s">
        <v>1465</v>
      </c>
      <c r="D36" s="264" t="s">
        <v>1371</v>
      </c>
      <c r="E36" s="264" t="s">
        <v>19</v>
      </c>
      <c r="F36" s="120" t="s">
        <v>69</v>
      </c>
      <c r="G36" s="120" t="s">
        <v>1407</v>
      </c>
      <c r="H36" s="120" t="s">
        <v>1498</v>
      </c>
      <c r="I36" s="120" t="s">
        <v>1554</v>
      </c>
      <c r="K36" s="120">
        <v>262</v>
      </c>
      <c r="L36" s="120">
        <v>28</v>
      </c>
      <c r="M36" s="119">
        <f>L36*K36</f>
        <v>7336</v>
      </c>
      <c r="N36" s="353">
        <f>M36/$V$27</f>
        <v>419.2</v>
      </c>
      <c r="O36" s="370" t="s">
        <v>1555</v>
      </c>
      <c r="P36" s="120" t="s">
        <v>1556</v>
      </c>
      <c r="Q36" s="120" t="str">
        <f>IFERROR(INDEX('MARE MX'!$K:$K,MATCH("*"&amp;I36&amp;"*",'MARE MX'!$F:$F,0)),"Sin dato")</f>
        <v>Sin dato</v>
      </c>
    </row>
    <row r="37" spans="1:19" s="262" customFormat="1">
      <c r="A37" s="303" t="b">
        <v>1</v>
      </c>
      <c r="B37" s="261" t="s">
        <v>1557</v>
      </c>
      <c r="C37" s="261" t="s">
        <v>1465</v>
      </c>
      <c r="D37" s="262" t="s">
        <v>1371</v>
      </c>
      <c r="E37" s="262" t="s">
        <v>17</v>
      </c>
      <c r="F37" s="262" t="s">
        <v>445</v>
      </c>
      <c r="G37" s="262" t="s">
        <v>1407</v>
      </c>
      <c r="H37" s="262" t="s">
        <v>1498</v>
      </c>
      <c r="I37" s="262" t="s">
        <v>1558</v>
      </c>
      <c r="K37" s="262">
        <v>216</v>
      </c>
      <c r="L37" s="262">
        <v>57</v>
      </c>
      <c r="M37" s="263">
        <f t="shared" si="2"/>
        <v>12312</v>
      </c>
      <c r="N37" s="295">
        <f t="shared" si="3"/>
        <v>703.54285714285709</v>
      </c>
      <c r="O37" s="263"/>
      <c r="Q37" s="262" t="str">
        <f>IFERROR(INDEX('MARE MX'!$K:$K,MATCH("*"&amp;I37&amp;"*",'MARE MX'!$F:$F,0)),"Sin dato")</f>
        <v>ENTERPRISE</v>
      </c>
    </row>
    <row r="38" spans="1:19" s="262" customFormat="1">
      <c r="A38" s="303" t="b">
        <v>1</v>
      </c>
      <c r="B38" s="261" t="s">
        <v>1559</v>
      </c>
      <c r="C38" s="262" t="s">
        <v>1465</v>
      </c>
      <c r="D38" s="262" t="s">
        <v>1371</v>
      </c>
      <c r="E38" s="262" t="s">
        <v>17</v>
      </c>
      <c r="F38" s="262" t="s">
        <v>445</v>
      </c>
      <c r="G38" s="262" t="s">
        <v>1407</v>
      </c>
      <c r="H38" s="262" t="s">
        <v>1498</v>
      </c>
      <c r="I38" s="262" t="s">
        <v>695</v>
      </c>
      <c r="J38" s="262" t="s">
        <v>1560</v>
      </c>
      <c r="K38" s="262">
        <v>160</v>
      </c>
      <c r="L38" s="262">
        <v>43.77</v>
      </c>
      <c r="M38" s="263">
        <f t="shared" si="2"/>
        <v>7003.2000000000007</v>
      </c>
      <c r="N38" s="295">
        <f t="shared" si="3"/>
        <v>400.18285714285719</v>
      </c>
      <c r="O38" s="263" t="s">
        <v>1561</v>
      </c>
      <c r="Q38" s="262" t="str">
        <f>IFERROR(INDEX('MARE MX'!$K:$K,MATCH("*"&amp;I38&amp;"*",'MARE MX'!$F:$F,0)),"Sin dato")</f>
        <v>ENTERPRISE</v>
      </c>
    </row>
    <row r="39" spans="1:19" s="262" customFormat="1">
      <c r="A39" s="303" t="b">
        <v>1</v>
      </c>
      <c r="B39" s="261" t="s">
        <v>1562</v>
      </c>
      <c r="C39" s="262" t="s">
        <v>1465</v>
      </c>
      <c r="D39" s="262" t="s">
        <v>1371</v>
      </c>
      <c r="E39" s="262" t="s">
        <v>17</v>
      </c>
      <c r="F39" s="262" t="s">
        <v>445</v>
      </c>
      <c r="G39" s="262" t="s">
        <v>1408</v>
      </c>
      <c r="H39" s="262" t="s">
        <v>34</v>
      </c>
      <c r="I39" s="262" t="s">
        <v>695</v>
      </c>
      <c r="J39" s="262" t="s">
        <v>1563</v>
      </c>
      <c r="K39" s="262">
        <v>160</v>
      </c>
      <c r="L39" s="262">
        <v>10</v>
      </c>
      <c r="M39" s="263">
        <f>K39*L39</f>
        <v>1600</v>
      </c>
      <c r="N39" s="351">
        <f t="shared" si="3"/>
        <v>91.428571428571431</v>
      </c>
      <c r="O39" s="263" t="s">
        <v>1561</v>
      </c>
      <c r="P39" s="262" t="s">
        <v>1564</v>
      </c>
      <c r="Q39" s="262" t="str">
        <f>IFERROR(INDEX('MARE MX'!$K:$K,MATCH("*"&amp;I39&amp;"*",'MARE MX'!$F:$F,0)),"Sin dato")</f>
        <v>ENTERPRISE</v>
      </c>
      <c r="S39" s="262" t="s">
        <v>127</v>
      </c>
    </row>
    <row r="40" spans="1:19" s="262" customFormat="1">
      <c r="A40" s="303" t="b">
        <v>1</v>
      </c>
      <c r="B40" s="261" t="s">
        <v>1565</v>
      </c>
      <c r="C40" s="262" t="s">
        <v>1465</v>
      </c>
      <c r="D40" s="262" t="s">
        <v>1371</v>
      </c>
      <c r="E40" s="262" t="s">
        <v>17</v>
      </c>
      <c r="F40" s="262" t="s">
        <v>445</v>
      </c>
      <c r="G40" s="262" t="s">
        <v>1408</v>
      </c>
      <c r="H40" s="262" t="s">
        <v>1487</v>
      </c>
      <c r="I40" s="262" t="s">
        <v>695</v>
      </c>
      <c r="J40" s="262" t="s">
        <v>1563</v>
      </c>
      <c r="K40" s="262">
        <v>160</v>
      </c>
      <c r="L40" s="262">
        <v>10</v>
      </c>
      <c r="M40" s="263">
        <f>L40*K40</f>
        <v>1600</v>
      </c>
      <c r="N40" s="351">
        <f t="shared" si="3"/>
        <v>91.428571428571431</v>
      </c>
      <c r="O40" s="263" t="s">
        <v>1561</v>
      </c>
      <c r="P40" s="262" t="s">
        <v>1564</v>
      </c>
      <c r="Q40" s="262" t="str">
        <f>IFERROR(INDEX('MARE MX'!$K:$K,MATCH("*"&amp;I40&amp;"*",'MARE MX'!$F:$F,0)),"Sin dato")</f>
        <v>ENTERPRISE</v>
      </c>
      <c r="S40" s="262" t="s">
        <v>127</v>
      </c>
    </row>
    <row r="41" spans="1:19" s="262" customFormat="1">
      <c r="A41" s="303" t="b">
        <v>1</v>
      </c>
      <c r="B41" s="261" t="s">
        <v>1566</v>
      </c>
      <c r="C41" s="262" t="s">
        <v>1465</v>
      </c>
      <c r="D41" s="262" t="s">
        <v>1371</v>
      </c>
      <c r="E41" s="262" t="s">
        <v>17</v>
      </c>
      <c r="F41" s="262" t="s">
        <v>445</v>
      </c>
      <c r="G41" s="262" t="s">
        <v>1490</v>
      </c>
      <c r="H41" s="262" t="s">
        <v>1567</v>
      </c>
      <c r="I41" s="262" t="s">
        <v>695</v>
      </c>
      <c r="J41" s="262" t="s">
        <v>1563</v>
      </c>
      <c r="M41" s="263">
        <v>1925</v>
      </c>
      <c r="N41" s="295">
        <f t="shared" si="3"/>
        <v>110</v>
      </c>
      <c r="O41" s="263" t="s">
        <v>1561</v>
      </c>
      <c r="P41" s="262" t="s">
        <v>1568</v>
      </c>
      <c r="Q41" s="262" t="str">
        <f>IFERROR(INDEX('MARE MX'!$K:$K,MATCH("*"&amp;I41&amp;"*",'MARE MX'!$F:$F,0)),"Sin dato")</f>
        <v>ENTERPRISE</v>
      </c>
    </row>
    <row r="42" spans="1:19" s="262" customFormat="1">
      <c r="A42" s="303" t="b">
        <v>0</v>
      </c>
      <c r="B42" s="261" t="s">
        <v>1569</v>
      </c>
      <c r="C42" s="262" t="s">
        <v>1465</v>
      </c>
      <c r="D42" s="262" t="s">
        <v>1371</v>
      </c>
      <c r="E42" s="262" t="s">
        <v>19</v>
      </c>
      <c r="F42" s="262" t="s">
        <v>445</v>
      </c>
      <c r="G42" s="262" t="s">
        <v>1408</v>
      </c>
      <c r="H42" s="262" t="s">
        <v>38</v>
      </c>
      <c r="I42" s="262" t="s">
        <v>695</v>
      </c>
      <c r="K42" s="262">
        <v>150</v>
      </c>
      <c r="L42" s="262">
        <v>8</v>
      </c>
      <c r="M42" s="263">
        <f>L42*K42</f>
        <v>1200</v>
      </c>
      <c r="N42" s="351">
        <f t="shared" ref="N42" si="4">M42/$V$27</f>
        <v>68.571428571428569</v>
      </c>
      <c r="O42" s="263" t="s">
        <v>1570</v>
      </c>
      <c r="Q42" s="262" t="str">
        <f>IFERROR(INDEX('MARE MX'!$K:$K,MATCH("*"&amp;I42&amp;"*",'MARE MX'!$F:$F,0)),"Sin dato")</f>
        <v>ENTERPRISE</v>
      </c>
    </row>
    <row r="43" spans="1:19" s="262" customFormat="1">
      <c r="A43" s="303" t="b">
        <v>1</v>
      </c>
      <c r="B43" s="261" t="s">
        <v>1571</v>
      </c>
      <c r="C43" s="262" t="s">
        <v>1465</v>
      </c>
      <c r="D43" s="262" t="s">
        <v>1371</v>
      </c>
      <c r="E43" s="262" t="s">
        <v>18</v>
      </c>
      <c r="F43" s="262" t="s">
        <v>445</v>
      </c>
      <c r="G43" s="262" t="s">
        <v>1408</v>
      </c>
      <c r="H43" s="262" t="s">
        <v>1572</v>
      </c>
      <c r="I43" s="262" t="s">
        <v>1573</v>
      </c>
      <c r="K43" s="262">
        <v>10</v>
      </c>
      <c r="L43" s="262">
        <v>10</v>
      </c>
      <c r="M43" s="263">
        <f>L43*K43</f>
        <v>100</v>
      </c>
      <c r="N43" s="351">
        <f t="shared" si="3"/>
        <v>5.7142857142857144</v>
      </c>
      <c r="O43" s="263" t="s">
        <v>1574</v>
      </c>
      <c r="P43" s="262" t="s">
        <v>1575</v>
      </c>
      <c r="Q43" s="262" t="str">
        <f>IFERROR(INDEX('MARE MX'!$K:$K,MATCH("*"&amp;I43&amp;"*",'MARE MX'!$F:$F,0)),"Sin dato")</f>
        <v>Sin dato</v>
      </c>
      <c r="S43" s="262" t="s">
        <v>127</v>
      </c>
    </row>
    <row r="44" spans="1:19" s="262" customFormat="1">
      <c r="A44" s="303" t="b">
        <v>1</v>
      </c>
      <c r="B44" s="261" t="s">
        <v>1576</v>
      </c>
      <c r="C44" s="262" t="s">
        <v>1465</v>
      </c>
      <c r="D44" s="262" t="s">
        <v>1371</v>
      </c>
      <c r="E44" s="262" t="s">
        <v>18</v>
      </c>
      <c r="F44" s="262" t="s">
        <v>445</v>
      </c>
      <c r="G44" s="262" t="s">
        <v>1407</v>
      </c>
      <c r="H44" s="262" t="s">
        <v>1498</v>
      </c>
      <c r="I44" s="262" t="s">
        <v>1577</v>
      </c>
      <c r="K44" s="262">
        <v>170</v>
      </c>
      <c r="L44" s="262">
        <v>31</v>
      </c>
      <c r="M44" s="263">
        <f>K44*L44</f>
        <v>5270</v>
      </c>
      <c r="N44" s="295">
        <f t="shared" si="3"/>
        <v>301.14285714285717</v>
      </c>
      <c r="O44" s="311" t="s">
        <v>1578</v>
      </c>
      <c r="P44" s="262" t="s">
        <v>1579</v>
      </c>
      <c r="Q44" s="262" t="str">
        <f>IFERROR(INDEX('MARE MX'!$K:$K,MATCH("*"&amp;I44&amp;"*",'MARE MX'!$F:$F,0)),"Sin dato")</f>
        <v>SMB</v>
      </c>
    </row>
    <row r="45" spans="1:19" s="262" customFormat="1">
      <c r="A45" s="303" t="b">
        <v>1</v>
      </c>
      <c r="B45" s="261" t="s">
        <v>1580</v>
      </c>
      <c r="C45" s="262" t="s">
        <v>1465</v>
      </c>
      <c r="D45" s="262" t="s">
        <v>1371</v>
      </c>
      <c r="E45" s="262" t="s">
        <v>18</v>
      </c>
      <c r="F45" s="262" t="s">
        <v>445</v>
      </c>
      <c r="G45" s="262" t="s">
        <v>1490</v>
      </c>
      <c r="H45" s="262" t="s">
        <v>1567</v>
      </c>
      <c r="I45" s="262" t="s">
        <v>1581</v>
      </c>
      <c r="K45" s="262">
        <v>15</v>
      </c>
      <c r="M45" s="263">
        <v>300</v>
      </c>
      <c r="N45" s="295">
        <f t="shared" si="3"/>
        <v>17.142857142857142</v>
      </c>
      <c r="Q45" s="262" t="str">
        <f>IFERROR(INDEX('MARE MX'!$K:$K,MATCH("*"&amp;I45&amp;"*",'MARE MX'!$F:$F,0)),"Sin dato")</f>
        <v>SMB</v>
      </c>
    </row>
    <row r="46" spans="1:19" s="262" customFormat="1">
      <c r="A46" s="303" t="b">
        <v>1</v>
      </c>
      <c r="B46" s="261" t="s">
        <v>1582</v>
      </c>
      <c r="C46" s="262" t="s">
        <v>1465</v>
      </c>
      <c r="D46" s="262" t="s">
        <v>1371</v>
      </c>
      <c r="E46" s="262" t="s">
        <v>18</v>
      </c>
      <c r="F46" s="262" t="s">
        <v>445</v>
      </c>
      <c r="G46" s="262" t="s">
        <v>1407</v>
      </c>
      <c r="H46" s="262" t="s">
        <v>1407</v>
      </c>
      <c r="I46" s="262" t="s">
        <v>1581</v>
      </c>
      <c r="K46" s="262">
        <v>15</v>
      </c>
      <c r="L46" s="262">
        <v>65</v>
      </c>
      <c r="M46" s="263">
        <f>K46*L46</f>
        <v>975</v>
      </c>
      <c r="N46" s="295">
        <f t="shared" si="3"/>
        <v>55.714285714285715</v>
      </c>
      <c r="Q46" s="262" t="str">
        <f>IFERROR(INDEX('MARE MX'!$K:$K,MATCH("*"&amp;I46&amp;"*",'MARE MX'!$F:$F,0)),"Sin dato")</f>
        <v>SMB</v>
      </c>
    </row>
    <row r="47" spans="1:19" s="262" customFormat="1">
      <c r="A47" s="303" t="b">
        <v>0</v>
      </c>
      <c r="B47" s="261" t="s">
        <v>1583</v>
      </c>
      <c r="C47" s="262" t="s">
        <v>1465</v>
      </c>
      <c r="D47" s="262" t="s">
        <v>1371</v>
      </c>
      <c r="E47" s="262" t="s">
        <v>19</v>
      </c>
      <c r="F47" s="262" t="s">
        <v>445</v>
      </c>
      <c r="G47" s="262" t="s">
        <v>1408</v>
      </c>
      <c r="H47" s="262" t="s">
        <v>1468</v>
      </c>
      <c r="I47" s="262" t="s">
        <v>1584</v>
      </c>
      <c r="K47" s="262">
        <v>25</v>
      </c>
      <c r="L47" s="262">
        <v>20</v>
      </c>
      <c r="M47" s="263">
        <f>L47*K47</f>
        <v>500</v>
      </c>
      <c r="N47" s="351">
        <f t="shared" si="3"/>
        <v>28.571428571428573</v>
      </c>
      <c r="O47" s="262" t="s">
        <v>1585</v>
      </c>
      <c r="P47" s="262" t="s">
        <v>1586</v>
      </c>
      <c r="Q47" s="262" t="str">
        <f>IFERROR(INDEX('MARE MX'!$K:$K,MATCH("*"&amp;I47&amp;"*",'MARE MX'!$F:$F,0)),"Sin dato")</f>
        <v>SMB</v>
      </c>
      <c r="S47" s="262" t="s">
        <v>127</v>
      </c>
    </row>
    <row r="48" spans="1:19" s="262" customFormat="1">
      <c r="A48" s="303" t="b">
        <v>0</v>
      </c>
      <c r="B48" s="261" t="s">
        <v>1587</v>
      </c>
      <c r="C48" s="262" t="s">
        <v>1465</v>
      </c>
      <c r="D48" s="262" t="s">
        <v>1371</v>
      </c>
      <c r="E48" s="262" t="s">
        <v>19</v>
      </c>
      <c r="F48" s="262" t="s">
        <v>445</v>
      </c>
      <c r="G48" s="262" t="s">
        <v>1408</v>
      </c>
      <c r="H48" s="262" t="s">
        <v>1572</v>
      </c>
      <c r="I48" s="262" t="s">
        <v>1588</v>
      </c>
      <c r="K48" s="262">
        <v>150</v>
      </c>
      <c r="L48" s="262">
        <v>12</v>
      </c>
      <c r="M48" s="263">
        <f>L48*K48</f>
        <v>1800</v>
      </c>
      <c r="N48" s="351">
        <f t="shared" si="3"/>
        <v>102.85714285714286</v>
      </c>
      <c r="O48" s="263" t="s">
        <v>1589</v>
      </c>
      <c r="P48" s="262" t="s">
        <v>1590</v>
      </c>
      <c r="Q48" s="262" t="str">
        <f>IFERROR(INDEX('MARE MX'!$K:$K,MATCH("*"&amp;I48&amp;"*",'MARE MX'!$F:$F,0)),"Sin dato")</f>
        <v>Sin dato</v>
      </c>
      <c r="S48" s="262" t="s">
        <v>127</v>
      </c>
    </row>
    <row r="49" spans="1:24" s="262" customFormat="1">
      <c r="A49" s="303" t="b">
        <v>0</v>
      </c>
      <c r="B49" s="261" t="s">
        <v>1591</v>
      </c>
      <c r="C49" s="262" t="s">
        <v>1465</v>
      </c>
      <c r="D49" s="262" t="s">
        <v>1371</v>
      </c>
      <c r="E49" s="262" t="s">
        <v>19</v>
      </c>
      <c r="F49" s="262" t="s">
        <v>445</v>
      </c>
      <c r="G49" s="262" t="s">
        <v>1408</v>
      </c>
      <c r="H49" s="262" t="s">
        <v>34</v>
      </c>
      <c r="I49" s="262" t="s">
        <v>1592</v>
      </c>
      <c r="K49" s="262">
        <v>300</v>
      </c>
      <c r="L49" s="262">
        <v>8</v>
      </c>
      <c r="M49" s="263">
        <f>L49*K49</f>
        <v>2400</v>
      </c>
      <c r="N49" s="351">
        <f t="shared" si="3"/>
        <v>137.14285714285714</v>
      </c>
      <c r="O49" s="263" t="s">
        <v>1593</v>
      </c>
      <c r="P49" s="262" t="s">
        <v>1594</v>
      </c>
      <c r="Q49" s="262" t="str">
        <f>IFERROR(INDEX('MARE MX'!$K:$K,MATCH("*"&amp;I49&amp;"*",'MARE MX'!$F:$F,0)),"Sin dato")</f>
        <v>Sin dato</v>
      </c>
      <c r="S49" s="262" t="s">
        <v>127</v>
      </c>
    </row>
    <row r="50" spans="1:24" s="262" customFormat="1">
      <c r="A50" s="303" t="b">
        <v>0</v>
      </c>
      <c r="B50" s="261" t="s">
        <v>1595</v>
      </c>
      <c r="C50" s="262" t="s">
        <v>1465</v>
      </c>
      <c r="D50" s="262" t="s">
        <v>1371</v>
      </c>
      <c r="E50" s="262" t="s">
        <v>19</v>
      </c>
      <c r="F50" s="262" t="s">
        <v>445</v>
      </c>
      <c r="G50" s="262" t="s">
        <v>1408</v>
      </c>
      <c r="H50" s="262" t="s">
        <v>1487</v>
      </c>
      <c r="I50" s="262" t="s">
        <v>1592</v>
      </c>
      <c r="K50" s="262">
        <v>300</v>
      </c>
      <c r="L50" s="262">
        <v>6</v>
      </c>
      <c r="M50" s="263">
        <f>L50*K50</f>
        <v>1800</v>
      </c>
      <c r="N50" s="351">
        <f t="shared" si="3"/>
        <v>102.85714285714286</v>
      </c>
      <c r="O50" s="263" t="s">
        <v>1596</v>
      </c>
      <c r="P50" s="262" t="s">
        <v>1594</v>
      </c>
      <c r="Q50" s="262" t="str">
        <f>IFERROR(INDEX('MARE MX'!$K:$K,MATCH("*"&amp;I50&amp;"*",'MARE MX'!$F:$F,0)),"Sin dato")</f>
        <v>Sin dato</v>
      </c>
      <c r="S50" s="262" t="s">
        <v>127</v>
      </c>
    </row>
    <row r="51" spans="1:24" s="262" customFormat="1">
      <c r="A51" s="303" t="b">
        <v>0</v>
      </c>
      <c r="B51" s="261" t="s">
        <v>1597</v>
      </c>
      <c r="C51" s="262" t="s">
        <v>1465</v>
      </c>
      <c r="D51" s="262" t="s">
        <v>1371</v>
      </c>
      <c r="E51" s="262" t="s">
        <v>19</v>
      </c>
      <c r="F51" s="262" t="s">
        <v>445</v>
      </c>
      <c r="G51" s="262" t="s">
        <v>1408</v>
      </c>
      <c r="H51" s="262" t="s">
        <v>41</v>
      </c>
      <c r="I51" s="262" t="s">
        <v>1577</v>
      </c>
      <c r="K51" s="262">
        <v>220</v>
      </c>
      <c r="L51" s="262">
        <v>12</v>
      </c>
      <c r="M51" s="263">
        <f>K51*L51</f>
        <v>2640</v>
      </c>
      <c r="N51" s="351">
        <f t="shared" si="3"/>
        <v>150.85714285714286</v>
      </c>
      <c r="O51" s="262" t="s">
        <v>1598</v>
      </c>
      <c r="P51" s="262" t="s">
        <v>1599</v>
      </c>
      <c r="Q51" s="262" t="str">
        <f>IFERROR(INDEX('MARE MX'!$K:$K,MATCH("*"&amp;I51&amp;"*",'MARE MX'!$F:$F,0)),"Sin dato")</f>
        <v>SMB</v>
      </c>
      <c r="S51" s="262" t="s">
        <v>127</v>
      </c>
    </row>
    <row r="52" spans="1:24" s="262" customFormat="1">
      <c r="A52" s="303" t="b">
        <v>0</v>
      </c>
      <c r="B52" s="261"/>
      <c r="D52" s="262" t="s">
        <v>1371</v>
      </c>
      <c r="E52" s="262" t="s">
        <v>19</v>
      </c>
      <c r="F52" s="262" t="s">
        <v>445</v>
      </c>
      <c r="G52" s="262" t="s">
        <v>1408</v>
      </c>
      <c r="H52" s="262" t="s">
        <v>39</v>
      </c>
      <c r="I52" s="262" t="s">
        <v>1577</v>
      </c>
      <c r="M52" s="263"/>
      <c r="N52" s="351">
        <v>0</v>
      </c>
      <c r="P52" s="262" t="s">
        <v>1600</v>
      </c>
    </row>
    <row r="53" spans="1:24" s="262" customFormat="1">
      <c r="A53" s="303" t="b">
        <v>0</v>
      </c>
      <c r="B53" s="261" t="s">
        <v>1601</v>
      </c>
      <c r="C53" s="262" t="s">
        <v>1465</v>
      </c>
      <c r="D53" s="262" t="s">
        <v>1371</v>
      </c>
      <c r="E53" s="262" t="s">
        <v>19</v>
      </c>
      <c r="F53" s="262" t="s">
        <v>445</v>
      </c>
      <c r="G53" s="262" t="s">
        <v>1408</v>
      </c>
      <c r="H53" s="262" t="s">
        <v>1602</v>
      </c>
      <c r="I53" s="262" t="s">
        <v>1577</v>
      </c>
      <c r="K53" s="262">
        <v>220</v>
      </c>
      <c r="L53" s="262">
        <v>9</v>
      </c>
      <c r="M53" s="263">
        <f>K53*L53</f>
        <v>1980</v>
      </c>
      <c r="N53" s="351">
        <f t="shared" ref="N53:N58" si="5">M53/$V$27</f>
        <v>113.14285714285714</v>
      </c>
      <c r="O53" s="262" t="s">
        <v>1598</v>
      </c>
      <c r="P53" s="262" t="s">
        <v>1599</v>
      </c>
      <c r="Q53" s="262" t="str">
        <f>IFERROR(INDEX('MARE MX'!$K:$K,MATCH("*"&amp;I53&amp;"*",'MARE MX'!$F:$F,0)),"Sin dato")</f>
        <v>SMB</v>
      </c>
      <c r="S53" s="262" t="s">
        <v>127</v>
      </c>
    </row>
    <row r="54" spans="1:24" s="262" customFormat="1">
      <c r="A54" s="303" t="b">
        <v>0</v>
      </c>
      <c r="B54" s="261" t="s">
        <v>1603</v>
      </c>
      <c r="C54" s="262" t="s">
        <v>1465</v>
      </c>
      <c r="D54" s="262" t="s">
        <v>1371</v>
      </c>
      <c r="E54" s="262" t="s">
        <v>19</v>
      </c>
      <c r="F54" s="262" t="s">
        <v>445</v>
      </c>
      <c r="G54" s="262" t="s">
        <v>1408</v>
      </c>
      <c r="H54" s="262" t="s">
        <v>39</v>
      </c>
      <c r="I54" s="262" t="s">
        <v>1604</v>
      </c>
      <c r="M54" s="263">
        <v>720</v>
      </c>
      <c r="N54" s="351">
        <f t="shared" si="5"/>
        <v>41.142857142857146</v>
      </c>
      <c r="O54" s="263" t="s">
        <v>1605</v>
      </c>
      <c r="P54" s="262" t="s">
        <v>1606</v>
      </c>
      <c r="Q54" s="262" t="str">
        <f>IFERROR(INDEX('MARE MX'!$K:$K,MATCH("*"&amp;I54&amp;"*",'MARE MX'!$F:$F,0)),"Sin dato")</f>
        <v>SMB</v>
      </c>
      <c r="S54" s="262" t="s">
        <v>127</v>
      </c>
    </row>
    <row r="55" spans="1:24" s="249" customFormat="1">
      <c r="A55" s="300"/>
      <c r="B55" s="248" t="s">
        <v>1580</v>
      </c>
      <c r="C55" s="249" t="s">
        <v>1465</v>
      </c>
      <c r="D55" s="249" t="s">
        <v>1371</v>
      </c>
      <c r="E55" s="249" t="s">
        <v>19</v>
      </c>
      <c r="F55" s="249" t="s">
        <v>445</v>
      </c>
      <c r="G55" s="249" t="s">
        <v>1490</v>
      </c>
      <c r="H55" s="249" t="s">
        <v>1567</v>
      </c>
      <c r="I55" s="249" t="s">
        <v>1607</v>
      </c>
      <c r="L55" s="249">
        <v>300</v>
      </c>
      <c r="M55" s="250">
        <v>300</v>
      </c>
      <c r="N55" s="359">
        <f t="shared" ref="N55:N56" si="6">M55/$V$27</f>
        <v>17.142857142857142</v>
      </c>
      <c r="P55" s="249" t="s">
        <v>1608</v>
      </c>
      <c r="S55" s="249" t="s">
        <v>127</v>
      </c>
      <c r="T55" s="120"/>
      <c r="U55" s="120"/>
      <c r="V55" s="120"/>
      <c r="W55" s="120"/>
      <c r="X55" s="120"/>
    </row>
    <row r="56" spans="1:24" s="249" customFormat="1">
      <c r="A56" s="300"/>
      <c r="B56" s="248"/>
      <c r="C56" s="249" t="s">
        <v>1465</v>
      </c>
      <c r="D56" s="249" t="s">
        <v>1371</v>
      </c>
      <c r="E56" s="249" t="s">
        <v>19</v>
      </c>
      <c r="F56" s="249" t="s">
        <v>445</v>
      </c>
      <c r="G56" s="249" t="s">
        <v>1407</v>
      </c>
      <c r="H56" s="249" t="s">
        <v>1407</v>
      </c>
      <c r="I56" s="249" t="s">
        <v>1609</v>
      </c>
      <c r="K56" s="249">
        <v>10</v>
      </c>
      <c r="L56" s="249">
        <v>47</v>
      </c>
      <c r="M56" s="250">
        <f>K56*L56</f>
        <v>470</v>
      </c>
      <c r="N56" s="359">
        <f t="shared" si="6"/>
        <v>26.857142857142858</v>
      </c>
      <c r="P56" s="249" t="s">
        <v>1608</v>
      </c>
      <c r="S56" s="249" t="s">
        <v>127</v>
      </c>
      <c r="T56" s="120"/>
      <c r="U56" s="120"/>
      <c r="V56" s="120"/>
      <c r="W56" s="120"/>
      <c r="X56" s="120"/>
    </row>
    <row r="57" spans="1:24" s="259" customFormat="1">
      <c r="A57" s="304" t="b">
        <v>0</v>
      </c>
      <c r="B57" s="258" t="s">
        <v>1610</v>
      </c>
      <c r="C57" s="259" t="s">
        <v>1465</v>
      </c>
      <c r="D57" s="259" t="s">
        <v>1371</v>
      </c>
      <c r="E57" s="259" t="s">
        <v>19</v>
      </c>
      <c r="F57" s="259" t="s">
        <v>442</v>
      </c>
      <c r="G57" s="259" t="s">
        <v>1408</v>
      </c>
      <c r="H57" s="259" t="s">
        <v>1512</v>
      </c>
      <c r="I57" s="259" t="s">
        <v>1611</v>
      </c>
      <c r="K57" s="259">
        <v>1255</v>
      </c>
      <c r="L57" s="259">
        <v>2</v>
      </c>
      <c r="M57" s="260">
        <f>L57*K57</f>
        <v>2510</v>
      </c>
      <c r="N57" s="352">
        <f t="shared" si="5"/>
        <v>143.42857142857142</v>
      </c>
      <c r="O57" s="259" t="s">
        <v>1612</v>
      </c>
      <c r="Q57" s="259" t="str">
        <f>IFERROR(INDEX('MARE MX'!$K:$K,MATCH("*"&amp;I57&amp;"*",'MARE MX'!$F:$F,0)),"Sin dato")</f>
        <v>ENTERPRISE</v>
      </c>
    </row>
    <row r="58" spans="1:24" s="259" customFormat="1">
      <c r="A58" s="304" t="b">
        <v>0</v>
      </c>
      <c r="B58" s="258" t="s">
        <v>1613</v>
      </c>
      <c r="C58" s="259" t="s">
        <v>1465</v>
      </c>
      <c r="D58" s="259" t="s">
        <v>1371</v>
      </c>
      <c r="E58" s="259" t="s">
        <v>19</v>
      </c>
      <c r="F58" s="259" t="s">
        <v>442</v>
      </c>
      <c r="G58" s="259" t="s">
        <v>1408</v>
      </c>
      <c r="H58" s="259" t="s">
        <v>34</v>
      </c>
      <c r="I58" s="259" t="s">
        <v>1611</v>
      </c>
      <c r="K58" s="259">
        <v>1255</v>
      </c>
      <c r="L58" s="259">
        <v>2</v>
      </c>
      <c r="M58" s="260">
        <f>L58*K58</f>
        <v>2510</v>
      </c>
      <c r="N58" s="352">
        <f t="shared" si="5"/>
        <v>143.42857142857142</v>
      </c>
      <c r="O58" s="259" t="s">
        <v>1612</v>
      </c>
      <c r="Q58" s="259" t="str">
        <f>IFERROR(INDEX('MARE MX'!$K:$K,MATCH("*"&amp;I58&amp;"*",'MARE MX'!$F:$F,0)),"Sin dato")</f>
        <v>ENTERPRISE</v>
      </c>
    </row>
    <row r="59" spans="1:24" s="259" customFormat="1">
      <c r="A59" s="304" t="b">
        <v>0</v>
      </c>
      <c r="B59" s="258" t="s">
        <v>1614</v>
      </c>
      <c r="C59" s="259" t="s">
        <v>1465</v>
      </c>
      <c r="D59" s="259" t="s">
        <v>1371</v>
      </c>
      <c r="E59" s="259" t="s">
        <v>18</v>
      </c>
      <c r="F59" s="259" t="s">
        <v>442</v>
      </c>
      <c r="G59" s="259" t="s">
        <v>1407</v>
      </c>
      <c r="H59" s="259" t="s">
        <v>1498</v>
      </c>
      <c r="I59" s="259" t="s">
        <v>1615</v>
      </c>
      <c r="K59" s="259">
        <v>366</v>
      </c>
      <c r="L59" s="259">
        <v>19</v>
      </c>
      <c r="M59" s="260">
        <f>K59*L59</f>
        <v>6954</v>
      </c>
      <c r="N59" s="296">
        <f>M59/$V$27</f>
        <v>397.37142857142857</v>
      </c>
      <c r="P59" s="259" t="s">
        <v>1616</v>
      </c>
      <c r="Q59" s="259" t="str">
        <f>IFERROR(INDEX('MARE MX'!$K:$K,MATCH("*"&amp;I59&amp;"*",'MARE MX'!$F:$F,0)),"Sin dato")</f>
        <v>ENTERPRISE</v>
      </c>
    </row>
    <row r="60" spans="1:24" s="259" customFormat="1">
      <c r="A60" s="304" t="b">
        <v>0</v>
      </c>
      <c r="B60" s="258" t="s">
        <v>1617</v>
      </c>
      <c r="C60" s="259" t="s">
        <v>1465</v>
      </c>
      <c r="D60" s="259" t="s">
        <v>1371</v>
      </c>
      <c r="E60" s="259" t="s">
        <v>19</v>
      </c>
      <c r="F60" s="259" t="s">
        <v>442</v>
      </c>
      <c r="G60" s="259" t="s">
        <v>1408</v>
      </c>
      <c r="H60" s="259" t="s">
        <v>1618</v>
      </c>
      <c r="I60" s="259" t="s">
        <v>1619</v>
      </c>
      <c r="M60" s="260"/>
      <c r="N60" s="352">
        <v>200</v>
      </c>
      <c r="O60" s="260" t="s">
        <v>1620</v>
      </c>
      <c r="P60" s="259" t="s">
        <v>1621</v>
      </c>
      <c r="Q60" s="259" t="str">
        <f>IFERROR(INDEX('MARE MX'!$K:$K,MATCH("*"&amp;I60&amp;"*",'MARE MX'!$F:$F,0)),"Sin dato")</f>
        <v>Sin dato</v>
      </c>
      <c r="S60" s="262" t="s">
        <v>127</v>
      </c>
    </row>
    <row r="61" spans="1:24" s="259" customFormat="1">
      <c r="A61" s="304" t="b">
        <v>1</v>
      </c>
      <c r="B61" s="258" t="s">
        <v>1622</v>
      </c>
      <c r="C61" s="259" t="s">
        <v>1465</v>
      </c>
      <c r="D61" s="259" t="s">
        <v>1371</v>
      </c>
      <c r="E61" s="259" t="s">
        <v>18</v>
      </c>
      <c r="F61" s="259" t="s">
        <v>442</v>
      </c>
      <c r="G61" s="259" t="s">
        <v>1408</v>
      </c>
      <c r="H61" s="259" t="s">
        <v>1512</v>
      </c>
      <c r="I61" s="259" t="s">
        <v>1623</v>
      </c>
      <c r="K61" s="259">
        <v>363</v>
      </c>
      <c r="L61" s="259">
        <v>4</v>
      </c>
      <c r="M61" s="260">
        <f>L61*K61</f>
        <v>1452</v>
      </c>
      <c r="N61" s="352">
        <f>M61/$V$27</f>
        <v>82.971428571428575</v>
      </c>
      <c r="O61" s="260" t="s">
        <v>1624</v>
      </c>
      <c r="P61" s="260" t="s">
        <v>1625</v>
      </c>
      <c r="Q61" s="259" t="str">
        <f>IFERROR(INDEX('MARE MX'!$K:$K,MATCH("*"&amp;I61&amp;"*",'MARE MX'!$F:$F,0)),"Sin dato")</f>
        <v>ENTERPRISE</v>
      </c>
    </row>
    <row r="62" spans="1:24" s="259" customFormat="1">
      <c r="A62" s="304" t="b">
        <v>1</v>
      </c>
      <c r="B62" s="258" t="s">
        <v>1626</v>
      </c>
      <c r="C62" s="259" t="s">
        <v>1465</v>
      </c>
      <c r="D62" s="259" t="s">
        <v>1371</v>
      </c>
      <c r="E62" s="259" t="s">
        <v>18</v>
      </c>
      <c r="F62" s="259" t="s">
        <v>442</v>
      </c>
      <c r="G62" s="259" t="s">
        <v>1408</v>
      </c>
      <c r="H62" s="259" t="s">
        <v>1468</v>
      </c>
      <c r="I62" s="259" t="s">
        <v>1619</v>
      </c>
      <c r="K62" s="259">
        <v>1954</v>
      </c>
      <c r="L62" s="259">
        <v>0.33</v>
      </c>
      <c r="N62" s="352">
        <f>L62*K62</f>
        <v>644.82000000000005</v>
      </c>
      <c r="O62" s="260" t="s">
        <v>1627</v>
      </c>
      <c r="P62" s="259" t="s">
        <v>1628</v>
      </c>
      <c r="Q62" s="259" t="str">
        <f>IFERROR(INDEX('MARE MX'!$K:$K,MATCH("*"&amp;I62&amp;"*",'MARE MX'!$F:$F,0)),"Sin dato")</f>
        <v>Sin dato</v>
      </c>
    </row>
    <row r="63" spans="1:24" s="264" customFormat="1">
      <c r="A63" s="299" t="b">
        <v>0</v>
      </c>
      <c r="B63" s="120" t="s">
        <v>1629</v>
      </c>
      <c r="C63" s="247" t="s">
        <v>1523</v>
      </c>
      <c r="D63" s="120" t="s">
        <v>1373</v>
      </c>
      <c r="E63" s="120" t="s">
        <v>1379</v>
      </c>
      <c r="F63" s="120" t="s">
        <v>69</v>
      </c>
      <c r="G63" s="120" t="s">
        <v>1408</v>
      </c>
      <c r="H63" s="120" t="s">
        <v>36</v>
      </c>
      <c r="I63" s="120" t="s">
        <v>1630</v>
      </c>
      <c r="J63" s="120"/>
      <c r="K63" s="120">
        <v>500</v>
      </c>
      <c r="L63" s="120">
        <v>9</v>
      </c>
      <c r="M63" s="119">
        <f>L63*K63</f>
        <v>4500</v>
      </c>
      <c r="N63" s="353">
        <f t="shared" ref="N63:N69" si="7">M63/$V$27</f>
        <v>257.14285714285717</v>
      </c>
      <c r="O63" s="120"/>
      <c r="P63" s="120" t="s">
        <v>1631</v>
      </c>
      <c r="Q63" s="120" t="str">
        <f>IFERROR(INDEX('MARE MX'!$K:$K,MATCH("*"&amp;I63&amp;"*",'MARE MX'!$F:$F,0)),"Sin dato")</f>
        <v>ENTERPRISE</v>
      </c>
      <c r="R63" s="120"/>
      <c r="S63" s="120"/>
      <c r="T63" s="120"/>
      <c r="U63" s="120"/>
      <c r="V63" s="120"/>
      <c r="W63" s="120"/>
      <c r="X63" s="120"/>
    </row>
    <row r="64" spans="1:24" s="264" customFormat="1">
      <c r="A64" s="390" t="b">
        <v>0</v>
      </c>
      <c r="B64" s="391" t="s">
        <v>1632</v>
      </c>
      <c r="C64" s="391" t="s">
        <v>1523</v>
      </c>
      <c r="D64" s="369" t="s">
        <v>1373</v>
      </c>
      <c r="E64" s="369"/>
      <c r="F64" s="369" t="s">
        <v>69</v>
      </c>
      <c r="G64" s="369" t="s">
        <v>1408</v>
      </c>
      <c r="H64" s="369" t="s">
        <v>1512</v>
      </c>
      <c r="I64" s="369" t="s">
        <v>1633</v>
      </c>
      <c r="J64" s="369"/>
      <c r="K64" s="369">
        <v>182</v>
      </c>
      <c r="L64" s="369">
        <v>15</v>
      </c>
      <c r="M64" s="392"/>
      <c r="N64" s="393">
        <f t="shared" si="7"/>
        <v>0</v>
      </c>
      <c r="O64" s="394"/>
      <c r="P64" s="392" t="s">
        <v>1634</v>
      </c>
      <c r="Q64" s="369" t="str">
        <f>IFERROR(INDEX('MARE MX'!$K:$K,MATCH("*"&amp;I64&amp;"*",'MARE MX'!$F:$F,0)),"Sin dato")</f>
        <v>Sin dato</v>
      </c>
      <c r="R64" s="369"/>
      <c r="S64" s="369"/>
      <c r="T64" s="369"/>
      <c r="U64" s="369"/>
      <c r="V64" s="369"/>
      <c r="W64" s="369"/>
      <c r="X64" s="369"/>
    </row>
    <row r="65" spans="1:24" s="264" customFormat="1">
      <c r="A65" s="299" t="b">
        <v>0</v>
      </c>
      <c r="B65" s="120" t="s">
        <v>1635</v>
      </c>
      <c r="C65" s="247" t="s">
        <v>1523</v>
      </c>
      <c r="D65" s="120" t="s">
        <v>1373</v>
      </c>
      <c r="E65" s="120" t="s">
        <v>1379</v>
      </c>
      <c r="F65" s="120" t="s">
        <v>69</v>
      </c>
      <c r="G65" s="120" t="s">
        <v>1408</v>
      </c>
      <c r="H65" s="120" t="s">
        <v>1487</v>
      </c>
      <c r="I65" s="120" t="s">
        <v>1636</v>
      </c>
      <c r="J65" s="120"/>
      <c r="K65" s="120">
        <v>400</v>
      </c>
      <c r="L65" s="120">
        <v>10</v>
      </c>
      <c r="M65" s="119">
        <f>L65*K65</f>
        <v>4000</v>
      </c>
      <c r="N65" s="353">
        <f t="shared" si="7"/>
        <v>228.57142857142858</v>
      </c>
      <c r="O65" s="120"/>
      <c r="P65" s="120" t="s">
        <v>1637</v>
      </c>
      <c r="Q65" s="120" t="str">
        <f>IFERROR(INDEX('MARE MX'!$K:$K,MATCH("*"&amp;I65&amp;"*",'MARE MX'!$F:$F,0)),"Sin dato")</f>
        <v>ENTERPRISE</v>
      </c>
      <c r="R65" s="120" t="s">
        <v>1638</v>
      </c>
      <c r="S65" s="120"/>
      <c r="T65" s="120"/>
      <c r="U65" s="120"/>
      <c r="V65" s="120"/>
      <c r="W65" s="120"/>
      <c r="X65" s="120"/>
    </row>
    <row r="66" spans="1:24" s="120" customFormat="1">
      <c r="A66" s="299" t="b">
        <v>0</v>
      </c>
      <c r="B66" s="120" t="s">
        <v>1639</v>
      </c>
      <c r="C66" s="247" t="s">
        <v>1523</v>
      </c>
      <c r="D66" s="120" t="s">
        <v>1373</v>
      </c>
      <c r="E66" s="120" t="s">
        <v>1379</v>
      </c>
      <c r="F66" s="120" t="s">
        <v>69</v>
      </c>
      <c r="G66" s="120" t="s">
        <v>1407</v>
      </c>
      <c r="H66" s="120" t="s">
        <v>1498</v>
      </c>
      <c r="I66" s="120" t="s">
        <v>1640</v>
      </c>
      <c r="K66" s="120">
        <v>135</v>
      </c>
      <c r="L66" s="120">
        <v>40</v>
      </c>
      <c r="M66" s="119">
        <f>L66*K66</f>
        <v>5400</v>
      </c>
      <c r="N66" s="353">
        <f t="shared" si="7"/>
        <v>308.57142857142856</v>
      </c>
      <c r="P66" s="120" t="s">
        <v>1641</v>
      </c>
      <c r="Q66" s="120" t="str">
        <f>IFERROR(INDEX('MARE MX'!$K:$K,MATCH("*"&amp;I66&amp;"*",'MARE MX'!$F:$F,0)),"Sin dato")</f>
        <v>ENTERPRISE</v>
      </c>
      <c r="U66" s="120" t="s">
        <v>1642</v>
      </c>
      <c r="V66" s="120">
        <v>18</v>
      </c>
    </row>
    <row r="67" spans="1:24" s="120" customFormat="1">
      <c r="A67" s="299" t="b">
        <v>0</v>
      </c>
      <c r="B67" s="120" t="s">
        <v>1639</v>
      </c>
      <c r="C67" s="247" t="s">
        <v>1523</v>
      </c>
      <c r="D67" s="120" t="s">
        <v>1373</v>
      </c>
      <c r="E67" s="120" t="s">
        <v>1379</v>
      </c>
      <c r="F67" s="120" t="s">
        <v>69</v>
      </c>
      <c r="G67" s="120" t="s">
        <v>1643</v>
      </c>
      <c r="H67" s="120" t="s">
        <v>40</v>
      </c>
      <c r="I67" s="120" t="s">
        <v>1640</v>
      </c>
      <c r="K67" s="120">
        <v>135</v>
      </c>
      <c r="L67" s="120">
        <v>10</v>
      </c>
      <c r="M67" s="119">
        <f>L67*K67</f>
        <v>1350</v>
      </c>
      <c r="N67" s="353">
        <f t="shared" si="7"/>
        <v>77.142857142857139</v>
      </c>
      <c r="P67" s="120" t="s">
        <v>1644</v>
      </c>
      <c r="Q67" s="120" t="str">
        <f>IFERROR(INDEX('MARE MX'!$K:$K,MATCH("*"&amp;I67&amp;"*",'MARE MX'!$F:$F,0)),"Sin dato")</f>
        <v>ENTERPRISE</v>
      </c>
      <c r="U67" s="120" t="s">
        <v>1408</v>
      </c>
      <c r="V67" s="119">
        <f>SUMIFS(N:N,G:G,U67,D:D,"Q3")</f>
        <v>11234.172857142856</v>
      </c>
    </row>
    <row r="68" spans="1:24" s="120" customFormat="1">
      <c r="A68" s="299" t="b">
        <v>0</v>
      </c>
      <c r="B68" s="120" t="s">
        <v>1639</v>
      </c>
      <c r="C68" s="247" t="s">
        <v>1523</v>
      </c>
      <c r="D68" s="120" t="s">
        <v>1373</v>
      </c>
      <c r="E68" s="120" t="s">
        <v>1379</v>
      </c>
      <c r="F68" s="120" t="s">
        <v>69</v>
      </c>
      <c r="G68" s="120" t="s">
        <v>1490</v>
      </c>
      <c r="H68" s="120" t="s">
        <v>1491</v>
      </c>
      <c r="I68" s="120" t="s">
        <v>1640</v>
      </c>
      <c r="K68" s="120">
        <v>30</v>
      </c>
      <c r="L68" s="120">
        <v>300</v>
      </c>
      <c r="M68" s="119">
        <f>L68*K68</f>
        <v>9000</v>
      </c>
      <c r="N68" s="353">
        <f t="shared" ref="N68" si="8">M68/$V$27</f>
        <v>514.28571428571433</v>
      </c>
      <c r="P68" s="120" t="s">
        <v>1645</v>
      </c>
      <c r="Q68" s="120" t="str">
        <f>IFERROR(INDEX('MARE MX'!$K:$K,MATCH("*"&amp;I68&amp;"*",'MARE MX'!$F:$F,0)),"Sin dato")</f>
        <v>ENTERPRISE</v>
      </c>
      <c r="U68" s="120" t="s">
        <v>1408</v>
      </c>
      <c r="V68" s="119">
        <f>SUMIFS(N:N,G:G,U68,D:D,"Q3")</f>
        <v>11234.172857142856</v>
      </c>
    </row>
    <row r="69" spans="1:24" s="120" customFormat="1">
      <c r="A69" s="299" t="b">
        <v>0</v>
      </c>
      <c r="C69" s="247" t="s">
        <v>1523</v>
      </c>
      <c r="D69" s="120" t="s">
        <v>1373</v>
      </c>
      <c r="E69" s="120" t="s">
        <v>1379</v>
      </c>
      <c r="F69" s="120" t="s">
        <v>69</v>
      </c>
      <c r="G69" s="120" t="s">
        <v>1407</v>
      </c>
      <c r="H69" s="120" t="s">
        <v>1498</v>
      </c>
      <c r="I69" s="120" t="s">
        <v>1646</v>
      </c>
      <c r="K69" s="120">
        <v>700</v>
      </c>
      <c r="M69" s="119"/>
      <c r="N69" s="353">
        <f t="shared" si="7"/>
        <v>0</v>
      </c>
      <c r="P69" s="120" t="s">
        <v>1647</v>
      </c>
      <c r="Q69" s="120" t="str">
        <f>IFERROR(INDEX('MARE MX'!$K:$K,MATCH("*"&amp;I69&amp;"*",'MARE MX'!$F:$F,0)),"Sin dato")</f>
        <v>Sin dato</v>
      </c>
      <c r="U69" s="120" t="s">
        <v>1470</v>
      </c>
      <c r="V69" s="119">
        <f>SUMIFS(N:N,G:G,U69,D:D,"Q3")</f>
        <v>18319.314285714285</v>
      </c>
    </row>
    <row r="70" spans="1:24" s="264" customFormat="1">
      <c r="A70" s="299" t="b">
        <v>0</v>
      </c>
      <c r="B70" s="247" t="s">
        <v>1648</v>
      </c>
      <c r="C70" s="247" t="s">
        <v>1523</v>
      </c>
      <c r="D70" s="120" t="s">
        <v>1373</v>
      </c>
      <c r="E70" s="120" t="s">
        <v>1379</v>
      </c>
      <c r="F70" s="120" t="s">
        <v>69</v>
      </c>
      <c r="G70" s="120" t="s">
        <v>1408</v>
      </c>
      <c r="H70" s="120" t="s">
        <v>1649</v>
      </c>
      <c r="I70" s="120" t="s">
        <v>1482</v>
      </c>
      <c r="J70" s="120"/>
      <c r="K70" s="120">
        <v>210</v>
      </c>
      <c r="L70" s="120">
        <v>12</v>
      </c>
      <c r="M70" s="119">
        <f>L70*K70</f>
        <v>2520</v>
      </c>
      <c r="N70" s="353">
        <f>M70/$V$27</f>
        <v>144</v>
      </c>
      <c r="O70" s="246"/>
      <c r="P70" s="120" t="s">
        <v>1650</v>
      </c>
      <c r="Q70" s="120" t="str">
        <f>IFERROR(INDEX('MARE MX'!$K:$K,MATCH("*"&amp;I70&amp;"*",'MARE MX'!$F:$F,0)),"Sin dato")</f>
        <v>ENTERPRISE</v>
      </c>
      <c r="R70" s="120"/>
      <c r="S70" s="120"/>
      <c r="T70" s="120"/>
      <c r="U70" s="120"/>
      <c r="V70" s="120"/>
      <c r="W70" s="120"/>
      <c r="X70" s="120"/>
    </row>
    <row r="71" spans="1:24" s="264" customFormat="1">
      <c r="A71" s="299" t="b">
        <v>0</v>
      </c>
      <c r="B71" s="247" t="s">
        <v>1651</v>
      </c>
      <c r="C71" s="247" t="s">
        <v>1523</v>
      </c>
      <c r="D71" s="120" t="s">
        <v>1373</v>
      </c>
      <c r="E71" s="120" t="s">
        <v>1379</v>
      </c>
      <c r="F71" s="120" t="s">
        <v>69</v>
      </c>
      <c r="G71" s="120" t="s">
        <v>1408</v>
      </c>
      <c r="H71" s="120" t="s">
        <v>1487</v>
      </c>
      <c r="I71" s="120" t="s">
        <v>377</v>
      </c>
      <c r="J71" s="120" t="s">
        <v>1652</v>
      </c>
      <c r="K71" s="120">
        <v>282</v>
      </c>
      <c r="L71" s="120">
        <v>10</v>
      </c>
      <c r="M71" s="119">
        <f>L71*K71</f>
        <v>2820</v>
      </c>
      <c r="N71" s="353">
        <f>M71/$V$27</f>
        <v>161.14285714285714</v>
      </c>
      <c r="O71" s="246"/>
      <c r="P71" s="120" t="s">
        <v>1653</v>
      </c>
      <c r="Q71" s="120" t="str">
        <f>IFERROR(INDEX('MARE MX'!$K:$K,MATCH("*"&amp;I71&amp;"*",'MARE MX'!$F:$F,0)),"Sin dato")</f>
        <v>ENTERPRISE</v>
      </c>
      <c r="R71" s="120" t="s">
        <v>1638</v>
      </c>
      <c r="S71" s="120"/>
      <c r="T71" s="120"/>
      <c r="U71" s="120"/>
      <c r="V71" s="120"/>
      <c r="W71" s="120"/>
      <c r="X71" s="120"/>
    </row>
    <row r="72" spans="1:24" s="264" customFormat="1">
      <c r="A72" s="299" t="b">
        <v>0</v>
      </c>
      <c r="B72" s="247" t="s">
        <v>1654</v>
      </c>
      <c r="C72" s="247" t="s">
        <v>1523</v>
      </c>
      <c r="D72" s="120" t="s">
        <v>1373</v>
      </c>
      <c r="E72" s="120" t="s">
        <v>1379</v>
      </c>
      <c r="F72" s="120" t="s">
        <v>69</v>
      </c>
      <c r="G72" s="120" t="s">
        <v>1408</v>
      </c>
      <c r="H72" s="120" t="s">
        <v>1512</v>
      </c>
      <c r="I72" s="120" t="s">
        <v>377</v>
      </c>
      <c r="J72" s="120" t="s">
        <v>1652</v>
      </c>
      <c r="K72" s="120">
        <v>282</v>
      </c>
      <c r="L72" s="369">
        <v>10</v>
      </c>
      <c r="M72" s="119">
        <f>L72*K72</f>
        <v>2820</v>
      </c>
      <c r="N72" s="353">
        <f>M72/$V$27</f>
        <v>161.14285714285714</v>
      </c>
      <c r="O72" s="246"/>
      <c r="P72" s="119" t="s">
        <v>1655</v>
      </c>
      <c r="Q72" s="120" t="str">
        <f>IFERROR(INDEX('MARE MX'!$K:$K,MATCH("*"&amp;I72&amp;"*",'MARE MX'!$F:$F,0)),"Sin dato")</f>
        <v>ENTERPRISE</v>
      </c>
      <c r="R72" s="120" t="s">
        <v>1638</v>
      </c>
      <c r="S72" s="120"/>
      <c r="T72" s="120"/>
      <c r="U72" s="120"/>
      <c r="V72" s="120"/>
      <c r="W72" s="120"/>
      <c r="X72" s="120"/>
    </row>
    <row r="73" spans="1:24" s="264" customFormat="1">
      <c r="A73" s="299" t="b">
        <v>0</v>
      </c>
      <c r="B73" s="247"/>
      <c r="C73" s="247"/>
      <c r="D73" s="120" t="s">
        <v>1373</v>
      </c>
      <c r="E73" s="120" t="s">
        <v>1379</v>
      </c>
      <c r="F73" s="120" t="s">
        <v>69</v>
      </c>
      <c r="G73" s="120" t="s">
        <v>1408</v>
      </c>
      <c r="H73" s="120" t="s">
        <v>1487</v>
      </c>
      <c r="I73" s="120" t="s">
        <v>352</v>
      </c>
      <c r="J73" s="120"/>
      <c r="K73" s="120"/>
      <c r="L73" s="120"/>
      <c r="M73" s="119"/>
      <c r="N73" s="353"/>
      <c r="O73" s="246"/>
      <c r="P73" s="119" t="s">
        <v>1656</v>
      </c>
      <c r="Q73" s="120"/>
      <c r="R73" s="120"/>
      <c r="S73" s="120"/>
      <c r="T73" s="120"/>
      <c r="U73" s="120"/>
      <c r="V73" s="120"/>
      <c r="W73" s="120"/>
      <c r="X73" s="120"/>
    </row>
    <row r="74" spans="1:24" s="264" customFormat="1">
      <c r="A74" s="390" t="b">
        <v>0</v>
      </c>
      <c r="B74" s="391" t="s">
        <v>1657</v>
      </c>
      <c r="C74" s="391" t="s">
        <v>1523</v>
      </c>
      <c r="D74" s="369" t="s">
        <v>1373</v>
      </c>
      <c r="E74" s="369" t="s">
        <v>1381</v>
      </c>
      <c r="F74" s="369" t="s">
        <v>69</v>
      </c>
      <c r="G74" s="369" t="s">
        <v>1408</v>
      </c>
      <c r="H74" s="369" t="s">
        <v>40</v>
      </c>
      <c r="I74" s="369" t="s">
        <v>1658</v>
      </c>
      <c r="J74" s="369"/>
      <c r="K74" s="369">
        <v>0</v>
      </c>
      <c r="L74" s="369">
        <v>0</v>
      </c>
      <c r="M74" s="392">
        <f>L74*K74</f>
        <v>0</v>
      </c>
      <c r="N74" s="393">
        <f>M74/$V$27</f>
        <v>0</v>
      </c>
      <c r="O74" s="369"/>
      <c r="P74" s="369" t="s">
        <v>1659</v>
      </c>
      <c r="Q74" s="369" t="str">
        <f>IFERROR(INDEX('MARE MX'!$K:$K,MATCH("*"&amp;I74&amp;"*",'MARE MX'!$F:$F,0)),"Sin dato")</f>
        <v>ENTERPRISE</v>
      </c>
      <c r="R74" s="369" t="s">
        <v>1660</v>
      </c>
      <c r="S74" s="369"/>
      <c r="T74" s="369"/>
      <c r="U74" s="369"/>
      <c r="V74" s="369"/>
      <c r="W74" s="369"/>
      <c r="X74" s="369"/>
    </row>
    <row r="75" spans="1:24">
      <c r="A75" s="299"/>
      <c r="B75" s="247"/>
      <c r="C75" s="247"/>
      <c r="D75" s="120" t="s">
        <v>1373</v>
      </c>
      <c r="E75" s="120"/>
      <c r="F75" s="120" t="s">
        <v>69</v>
      </c>
      <c r="G75" s="120" t="s">
        <v>1408</v>
      </c>
      <c r="H75" s="120" t="s">
        <v>1487</v>
      </c>
      <c r="I75" s="120" t="s">
        <v>1661</v>
      </c>
      <c r="J75" s="120"/>
      <c r="K75" s="120"/>
      <c r="L75" s="120"/>
      <c r="M75" s="119"/>
      <c r="N75" s="353"/>
      <c r="O75" s="120"/>
      <c r="P75" s="120"/>
      <c r="Q75" s="120"/>
      <c r="R75" s="120"/>
      <c r="S75" s="120"/>
      <c r="T75" s="120"/>
      <c r="U75" s="120"/>
      <c r="V75" s="120"/>
      <c r="W75" s="120"/>
      <c r="X75" s="120"/>
    </row>
    <row r="76" spans="1:24">
      <c r="A76" s="299"/>
      <c r="B76" s="247"/>
      <c r="C76" s="247"/>
      <c r="D76" s="120" t="s">
        <v>1373</v>
      </c>
      <c r="E76" s="120"/>
      <c r="F76" s="120" t="s">
        <v>69</v>
      </c>
      <c r="G76" s="120" t="s">
        <v>1407</v>
      </c>
      <c r="H76" s="120" t="s">
        <v>1662</v>
      </c>
      <c r="I76" s="120" t="s">
        <v>1482</v>
      </c>
      <c r="J76" s="120"/>
      <c r="K76" s="120">
        <v>250</v>
      </c>
      <c r="L76" s="120">
        <v>23</v>
      </c>
      <c r="M76" s="119">
        <f t="shared" ref="M76:M79" si="9">L76*K76</f>
        <v>5750</v>
      </c>
      <c r="N76" s="353">
        <f t="shared" ref="N76:N81" si="10">M76/$V$27</f>
        <v>328.57142857142856</v>
      </c>
      <c r="O76" s="120"/>
      <c r="P76" s="120" t="s">
        <v>1663</v>
      </c>
      <c r="Q76" s="120"/>
      <c r="R76" s="120"/>
      <c r="S76" s="120"/>
      <c r="T76" s="120"/>
      <c r="U76" s="120"/>
      <c r="V76" s="120"/>
      <c r="W76" s="120"/>
      <c r="X76" s="120"/>
    </row>
    <row r="77" spans="1:24">
      <c r="A77" s="299"/>
      <c r="B77" s="247"/>
      <c r="C77" s="247"/>
      <c r="D77" s="120" t="s">
        <v>1373</v>
      </c>
      <c r="E77" s="120"/>
      <c r="F77" s="120" t="s">
        <v>69</v>
      </c>
      <c r="G77" s="120" t="s">
        <v>1407</v>
      </c>
      <c r="H77" s="120" t="s">
        <v>1664</v>
      </c>
      <c r="I77" s="120" t="s">
        <v>1482</v>
      </c>
      <c r="J77" s="120"/>
      <c r="K77" s="120">
        <v>100</v>
      </c>
      <c r="L77" s="120">
        <v>23</v>
      </c>
      <c r="M77" s="119">
        <f t="shared" si="9"/>
        <v>2300</v>
      </c>
      <c r="N77" s="353">
        <f t="shared" si="10"/>
        <v>131.42857142857142</v>
      </c>
      <c r="O77" s="120"/>
      <c r="P77" s="120" t="s">
        <v>1665</v>
      </c>
      <c r="Q77" s="120"/>
      <c r="R77" s="120"/>
      <c r="S77" s="120"/>
      <c r="T77" s="120"/>
      <c r="U77" s="120"/>
      <c r="V77" s="120"/>
      <c r="W77" s="120"/>
      <c r="X77" s="120"/>
    </row>
    <row r="78" spans="1:24">
      <c r="A78" s="299"/>
      <c r="B78" s="247"/>
      <c r="C78" s="247"/>
      <c r="D78" s="120" t="s">
        <v>1373</v>
      </c>
      <c r="E78" s="120"/>
      <c r="F78" s="120" t="s">
        <v>69</v>
      </c>
      <c r="G78" s="120" t="s">
        <v>1408</v>
      </c>
      <c r="H78" s="120" t="s">
        <v>1666</v>
      </c>
      <c r="I78" s="120" t="s">
        <v>1482</v>
      </c>
      <c r="J78" s="120"/>
      <c r="K78" s="120">
        <v>250</v>
      </c>
      <c r="L78" s="120">
        <v>8</v>
      </c>
      <c r="M78" s="119">
        <f t="shared" si="9"/>
        <v>2000</v>
      </c>
      <c r="N78" s="353">
        <f t="shared" si="10"/>
        <v>114.28571428571429</v>
      </c>
      <c r="O78" s="120"/>
      <c r="P78" s="120" t="s">
        <v>1663</v>
      </c>
      <c r="Q78" s="120"/>
      <c r="R78" s="120"/>
      <c r="S78" s="120"/>
      <c r="T78" s="120"/>
      <c r="U78" s="120"/>
      <c r="V78" s="120"/>
      <c r="W78" s="120"/>
      <c r="X78" s="120"/>
    </row>
    <row r="79" spans="1:24">
      <c r="A79" s="299"/>
      <c r="B79" s="247"/>
      <c r="C79" s="247"/>
      <c r="D79" s="120" t="s">
        <v>1373</v>
      </c>
      <c r="E79" s="120"/>
      <c r="F79" s="120" t="s">
        <v>69</v>
      </c>
      <c r="G79" s="120" t="s">
        <v>1408</v>
      </c>
      <c r="H79" s="120" t="s">
        <v>1667</v>
      </c>
      <c r="I79" s="120" t="s">
        <v>1482</v>
      </c>
      <c r="J79" s="120"/>
      <c r="K79" s="120">
        <v>100</v>
      </c>
      <c r="L79" s="120">
        <v>8</v>
      </c>
      <c r="M79" s="119">
        <f t="shared" si="9"/>
        <v>800</v>
      </c>
      <c r="N79" s="353">
        <f t="shared" si="10"/>
        <v>45.714285714285715</v>
      </c>
      <c r="O79" s="120"/>
      <c r="P79" s="120" t="s">
        <v>1665</v>
      </c>
      <c r="Q79" s="120"/>
      <c r="R79" s="120"/>
      <c r="S79" s="120"/>
      <c r="T79" s="120"/>
      <c r="U79" s="120"/>
      <c r="V79" s="120"/>
      <c r="W79" s="120"/>
      <c r="X79" s="120"/>
    </row>
    <row r="80" spans="1:24">
      <c r="A80" s="299"/>
      <c r="B80" s="247"/>
      <c r="C80" s="247"/>
      <c r="D80" s="120" t="s">
        <v>1373</v>
      </c>
      <c r="E80" s="120"/>
      <c r="F80" s="120" t="s">
        <v>69</v>
      </c>
      <c r="G80" s="120" t="s">
        <v>1407</v>
      </c>
      <c r="H80" s="120" t="s">
        <v>1498</v>
      </c>
      <c r="I80" s="120" t="s">
        <v>1466</v>
      </c>
      <c r="J80" s="120"/>
      <c r="K80" s="120"/>
      <c r="L80" s="120"/>
      <c r="M80" s="119"/>
      <c r="N80" s="353">
        <f t="shared" si="10"/>
        <v>0</v>
      </c>
      <c r="O80" s="120"/>
      <c r="P80" s="120" t="s">
        <v>1668</v>
      </c>
      <c r="Q80" s="120"/>
      <c r="R80" s="120"/>
      <c r="S80" s="120"/>
      <c r="T80" s="120"/>
      <c r="U80" s="120"/>
      <c r="V80" s="120"/>
      <c r="W80" s="120"/>
      <c r="X80" s="120"/>
    </row>
    <row r="81" spans="1:24">
      <c r="A81" s="299"/>
      <c r="B81" s="247"/>
      <c r="C81" s="247"/>
      <c r="D81" s="120" t="s">
        <v>1373</v>
      </c>
      <c r="E81" s="120"/>
      <c r="F81" s="120" t="s">
        <v>69</v>
      </c>
      <c r="G81" s="120" t="s">
        <v>1407</v>
      </c>
      <c r="H81" s="120" t="s">
        <v>1498</v>
      </c>
      <c r="I81" s="120" t="s">
        <v>1669</v>
      </c>
      <c r="J81" s="120"/>
      <c r="K81" s="120">
        <v>60</v>
      </c>
      <c r="L81" s="120"/>
      <c r="M81" s="119"/>
      <c r="N81" s="353"/>
      <c r="O81" s="120"/>
      <c r="P81" s="120" t="s">
        <v>1670</v>
      </c>
      <c r="Q81" s="120"/>
      <c r="R81" s="120"/>
      <c r="S81" s="120"/>
      <c r="T81" s="120"/>
      <c r="U81" s="120"/>
      <c r="V81" s="120"/>
      <c r="W81" s="120"/>
      <c r="X81" s="120"/>
    </row>
    <row r="82" spans="1:24" s="375" customFormat="1">
      <c r="A82" s="371" t="b">
        <v>0</v>
      </c>
      <c r="B82" s="372" t="s">
        <v>1671</v>
      </c>
      <c r="C82" s="373" t="s">
        <v>1523</v>
      </c>
      <c r="D82" s="373" t="s">
        <v>1373</v>
      </c>
      <c r="E82" s="373"/>
      <c r="F82" s="373" t="s">
        <v>445</v>
      </c>
      <c r="G82" s="373" t="s">
        <v>1408</v>
      </c>
      <c r="H82" s="373" t="s">
        <v>1487</v>
      </c>
      <c r="I82" s="373" t="s">
        <v>1672</v>
      </c>
      <c r="J82" s="373"/>
      <c r="K82" s="373">
        <v>70</v>
      </c>
      <c r="L82" s="373">
        <v>15</v>
      </c>
      <c r="M82" s="374">
        <f>L82*K82</f>
        <v>1050</v>
      </c>
      <c r="N82" s="374">
        <f t="shared" ref="N82:N106" si="11">M82/$V$27</f>
        <v>60</v>
      </c>
      <c r="O82" s="374"/>
      <c r="P82" s="373" t="s">
        <v>1673</v>
      </c>
      <c r="Q82" s="373" t="str">
        <f>IFERROR(INDEX('MARE MX'!$K:$K,MATCH("*"&amp;I82&amp;"*",'MARE MX'!$F:$F,0)),"Sin dato")</f>
        <v>SMB</v>
      </c>
      <c r="R82" s="373"/>
      <c r="S82" s="373" t="s">
        <v>127</v>
      </c>
      <c r="T82" s="369"/>
      <c r="U82" s="369"/>
      <c r="V82" s="369"/>
      <c r="W82" s="369"/>
      <c r="X82" s="369"/>
    </row>
    <row r="83" spans="1:24" s="262" customFormat="1">
      <c r="A83" s="303" t="b">
        <v>0</v>
      </c>
      <c r="B83" s="318" t="s">
        <v>1674</v>
      </c>
      <c r="C83" s="262" t="s">
        <v>1523</v>
      </c>
      <c r="D83" s="262" t="s">
        <v>1373</v>
      </c>
      <c r="E83" s="262" t="s">
        <v>1379</v>
      </c>
      <c r="F83" s="262" t="s">
        <v>445</v>
      </c>
      <c r="G83" s="262" t="s">
        <v>1408</v>
      </c>
      <c r="H83" s="262" t="s">
        <v>1675</v>
      </c>
      <c r="I83" s="262" t="s">
        <v>1676</v>
      </c>
      <c r="K83" s="262">
        <v>89</v>
      </c>
      <c r="L83" s="262">
        <v>12</v>
      </c>
      <c r="M83" s="263">
        <f>K83*L83</f>
        <v>1068</v>
      </c>
      <c r="N83" s="263">
        <f>M83/$V$27</f>
        <v>61.028571428571432</v>
      </c>
      <c r="O83" s="263"/>
      <c r="P83" s="262" t="s">
        <v>1608</v>
      </c>
      <c r="Q83" s="262" t="s">
        <v>1660</v>
      </c>
      <c r="S83" s="262" t="s">
        <v>127</v>
      </c>
    </row>
    <row r="84" spans="1:24" s="262" customFormat="1">
      <c r="A84" s="303" t="b">
        <v>0</v>
      </c>
      <c r="B84" s="261" t="s">
        <v>1677</v>
      </c>
      <c r="D84" s="262" t="s">
        <v>1373</v>
      </c>
      <c r="E84" s="262" t="s">
        <v>1379</v>
      </c>
      <c r="F84" s="262" t="s">
        <v>445</v>
      </c>
      <c r="G84" s="262" t="s">
        <v>1408</v>
      </c>
      <c r="H84" s="262" t="s">
        <v>39</v>
      </c>
      <c r="I84" s="262" t="s">
        <v>1678</v>
      </c>
      <c r="K84" s="262">
        <v>200</v>
      </c>
      <c r="L84" s="262">
        <v>5</v>
      </c>
      <c r="M84" s="263">
        <f>L84*K84</f>
        <v>1000</v>
      </c>
      <c r="N84" s="263">
        <f>M84/$V$27</f>
        <v>57.142857142857146</v>
      </c>
      <c r="O84" s="263"/>
      <c r="P84" s="262" t="s">
        <v>1679</v>
      </c>
      <c r="Q84" s="262" t="str">
        <f>IFERROR(INDEX('MARE MX'!$K:$K,MATCH("*"&amp;I84&amp;"*",'MARE MX'!$F:$F,0)),"Sin dato")</f>
        <v>SMB</v>
      </c>
      <c r="R84" s="262" t="s">
        <v>1638</v>
      </c>
      <c r="S84" s="262" t="s">
        <v>127</v>
      </c>
    </row>
    <row r="85" spans="1:24" s="262" customFormat="1">
      <c r="A85" s="371" t="b">
        <v>0</v>
      </c>
      <c r="B85" s="372" t="s">
        <v>1680</v>
      </c>
      <c r="C85" s="373" t="s">
        <v>1523</v>
      </c>
      <c r="D85" s="373" t="s">
        <v>1373</v>
      </c>
      <c r="E85" s="373" t="s">
        <v>1379</v>
      </c>
      <c r="F85" s="373" t="s">
        <v>445</v>
      </c>
      <c r="G85" s="373" t="s">
        <v>1408</v>
      </c>
      <c r="H85" s="373" t="s">
        <v>34</v>
      </c>
      <c r="I85" s="373" t="s">
        <v>820</v>
      </c>
      <c r="J85" s="373"/>
      <c r="K85" s="373">
        <v>20</v>
      </c>
      <c r="L85" s="373">
        <v>10</v>
      </c>
      <c r="M85" s="374">
        <f>L85*K85</f>
        <v>200</v>
      </c>
      <c r="N85" s="374">
        <f t="shared" si="11"/>
        <v>11.428571428571429</v>
      </c>
      <c r="O85" s="374"/>
      <c r="P85" s="373" t="s">
        <v>1681</v>
      </c>
      <c r="Q85" s="373" t="str">
        <f>IFERROR(INDEX('MARE MX'!$K:$K,MATCH("*"&amp;I85&amp;"*",'MARE MX'!$F:$F,0)),"Sin dato")</f>
        <v>SMB</v>
      </c>
      <c r="R85" s="373"/>
      <c r="S85" s="373"/>
      <c r="T85" s="369"/>
      <c r="U85" s="369"/>
      <c r="V85" s="369"/>
      <c r="W85" s="369"/>
      <c r="X85" s="369"/>
    </row>
    <row r="86" spans="1:24" s="262" customFormat="1">
      <c r="A86" s="300" t="b">
        <v>0</v>
      </c>
      <c r="B86" s="248" t="s">
        <v>1682</v>
      </c>
      <c r="C86" s="249" t="s">
        <v>1523</v>
      </c>
      <c r="D86" s="249" t="s">
        <v>1373</v>
      </c>
      <c r="E86" s="249" t="s">
        <v>1379</v>
      </c>
      <c r="F86" s="249" t="s">
        <v>445</v>
      </c>
      <c r="G86" s="249" t="s">
        <v>1408</v>
      </c>
      <c r="H86" s="249" t="s">
        <v>39</v>
      </c>
      <c r="I86" s="249" t="s">
        <v>1683</v>
      </c>
      <c r="J86" s="249"/>
      <c r="K86" s="249"/>
      <c r="L86" s="249"/>
      <c r="M86" s="250">
        <v>560</v>
      </c>
      <c r="N86" s="250">
        <f t="shared" si="11"/>
        <v>32</v>
      </c>
      <c r="O86" s="250"/>
      <c r="P86" s="249" t="s">
        <v>1684</v>
      </c>
      <c r="Q86" s="249" t="str">
        <f>IFERROR(INDEX('MARE MX'!$K:$K,MATCH("*"&amp;I86&amp;"*",'MARE MX'!$F:$F,0)),"Sin dato")</f>
        <v>Sin dato</v>
      </c>
      <c r="R86" s="249"/>
      <c r="S86" s="249"/>
      <c r="T86" s="120"/>
      <c r="U86" s="120"/>
      <c r="V86" s="120"/>
      <c r="W86" s="120"/>
      <c r="X86" s="120"/>
    </row>
    <row r="87" spans="1:24" s="249" customFormat="1">
      <c r="A87" s="300" t="b">
        <v>0</v>
      </c>
      <c r="B87" s="248" t="s">
        <v>1685</v>
      </c>
      <c r="C87" s="249" t="s">
        <v>1523</v>
      </c>
      <c r="D87" s="249" t="s">
        <v>1373</v>
      </c>
      <c r="E87" s="249" t="s">
        <v>1379</v>
      </c>
      <c r="F87" s="249" t="s">
        <v>445</v>
      </c>
      <c r="G87" s="249" t="s">
        <v>1408</v>
      </c>
      <c r="H87" s="249" t="s">
        <v>1512</v>
      </c>
      <c r="I87" s="249" t="s">
        <v>1678</v>
      </c>
      <c r="K87" s="249">
        <v>139</v>
      </c>
      <c r="L87" s="249">
        <v>9</v>
      </c>
      <c r="M87" s="250">
        <f>L87*K87</f>
        <v>1251</v>
      </c>
      <c r="N87" s="250">
        <f t="shared" si="11"/>
        <v>71.48571428571428</v>
      </c>
      <c r="O87" s="250"/>
      <c r="P87" s="249" t="s">
        <v>1686</v>
      </c>
      <c r="Q87" s="249" t="str">
        <f>IFERROR(INDEX('MARE MX'!$K:$K,MATCH("*"&amp;I87&amp;"*",'MARE MX'!$F:$F,0)),"Sin dato")</f>
        <v>SMB</v>
      </c>
      <c r="R87" s="249" t="s">
        <v>1638</v>
      </c>
      <c r="T87" s="120"/>
      <c r="U87" s="120" t="s">
        <v>1477</v>
      </c>
      <c r="V87" s="120">
        <f>V67+V69</f>
        <v>29553.487142857142</v>
      </c>
      <c r="W87" s="120"/>
      <c r="X87" s="120"/>
    </row>
    <row r="88" spans="1:24">
      <c r="A88" s="371" t="b">
        <v>0</v>
      </c>
      <c r="B88" s="372" t="s">
        <v>1687</v>
      </c>
      <c r="C88" s="373" t="s">
        <v>1523</v>
      </c>
      <c r="D88" s="373" t="s">
        <v>1373</v>
      </c>
      <c r="E88" s="373" t="s">
        <v>1379</v>
      </c>
      <c r="F88" s="373" t="s">
        <v>445</v>
      </c>
      <c r="G88" s="373" t="s">
        <v>1408</v>
      </c>
      <c r="H88" s="373" t="s">
        <v>1487</v>
      </c>
      <c r="I88" s="373" t="s">
        <v>1688</v>
      </c>
      <c r="J88" s="373"/>
      <c r="K88" s="373">
        <v>270</v>
      </c>
      <c r="L88" s="373">
        <v>13</v>
      </c>
      <c r="M88" s="374">
        <f>K88*L88</f>
        <v>3510</v>
      </c>
      <c r="N88" s="374">
        <f t="shared" si="11"/>
        <v>200.57142857142858</v>
      </c>
      <c r="O88" s="373"/>
      <c r="P88" s="373" t="s">
        <v>1689</v>
      </c>
      <c r="Q88" s="373"/>
      <c r="R88" s="373" t="s">
        <v>1660</v>
      </c>
      <c r="S88" s="373"/>
      <c r="T88" s="369"/>
      <c r="U88" s="369"/>
      <c r="V88" s="369"/>
      <c r="W88" s="369"/>
      <c r="X88" s="369"/>
    </row>
    <row r="89" spans="1:24" s="249" customFormat="1">
      <c r="A89" s="300" t="b">
        <v>0</v>
      </c>
      <c r="B89" s="248" t="s">
        <v>1690</v>
      </c>
      <c r="C89" s="249" t="s">
        <v>1523</v>
      </c>
      <c r="D89" s="249" t="s">
        <v>1373</v>
      </c>
      <c r="E89" s="249" t="s">
        <v>1379</v>
      </c>
      <c r="F89" s="249" t="s">
        <v>445</v>
      </c>
      <c r="G89" s="249" t="s">
        <v>1408</v>
      </c>
      <c r="H89" s="249" t="s">
        <v>1512</v>
      </c>
      <c r="I89" s="249" t="s">
        <v>1691</v>
      </c>
      <c r="K89" s="249">
        <v>65</v>
      </c>
      <c r="L89" s="249">
        <v>10</v>
      </c>
      <c r="M89" s="250">
        <f>L89*K89</f>
        <v>650</v>
      </c>
      <c r="N89" s="250">
        <f t="shared" si="11"/>
        <v>37.142857142857146</v>
      </c>
      <c r="O89" s="250"/>
      <c r="P89" s="249" t="s">
        <v>1692</v>
      </c>
      <c r="Q89" s="249" t="str">
        <f>IFERROR(INDEX('MARE MX'!$K:$K,MATCH("*"&amp;I89&amp;"*",'MARE MX'!$F:$F,0)),"Sin dato")</f>
        <v>SMB</v>
      </c>
      <c r="R89" s="249" t="s">
        <v>1638</v>
      </c>
      <c r="T89" s="120"/>
      <c r="U89" s="120"/>
      <c r="V89" s="120"/>
      <c r="W89" s="120"/>
      <c r="X89" s="120"/>
    </row>
    <row r="90" spans="1:24" s="249" customFormat="1">
      <c r="A90" s="300" t="b">
        <v>0</v>
      </c>
      <c r="B90" s="248"/>
      <c r="C90" s="249" t="s">
        <v>1523</v>
      </c>
      <c r="D90" s="249" t="s">
        <v>1373</v>
      </c>
      <c r="E90" s="249" t="s">
        <v>1379</v>
      </c>
      <c r="F90" s="249" t="s">
        <v>445</v>
      </c>
      <c r="G90" s="249" t="s">
        <v>1407</v>
      </c>
      <c r="H90" s="249" t="s">
        <v>1498</v>
      </c>
      <c r="I90" s="249" t="s">
        <v>1693</v>
      </c>
      <c r="K90" s="249">
        <v>15</v>
      </c>
      <c r="L90" s="249">
        <v>75</v>
      </c>
      <c r="M90" s="250">
        <f>K90*L90</f>
        <v>1125</v>
      </c>
      <c r="N90" s="251">
        <f t="shared" si="11"/>
        <v>64.285714285714292</v>
      </c>
      <c r="O90" s="250"/>
      <c r="P90" s="249" t="s">
        <v>1694</v>
      </c>
      <c r="Q90" s="249" t="str">
        <f>IFERROR(INDEX('MARE MX'!$K:$K,MATCH("*"&amp;I90&amp;"*",'MARE MX'!$F:$F,0)),"Sin dato")</f>
        <v>SMB</v>
      </c>
      <c r="R90" s="249" t="s">
        <v>1660</v>
      </c>
      <c r="T90" s="120"/>
      <c r="U90" s="120"/>
      <c r="V90" s="120"/>
      <c r="W90" s="120"/>
      <c r="X90" s="120"/>
    </row>
    <row r="91" spans="1:24" s="262" customFormat="1">
      <c r="A91" s="303" t="b">
        <v>0</v>
      </c>
      <c r="B91" s="261" t="s">
        <v>1695</v>
      </c>
      <c r="C91" s="262" t="s">
        <v>1523</v>
      </c>
      <c r="D91" s="262" t="s">
        <v>1373</v>
      </c>
      <c r="E91" s="249" t="s">
        <v>1379</v>
      </c>
      <c r="F91" s="262" t="s">
        <v>445</v>
      </c>
      <c r="G91" s="262" t="s">
        <v>1408</v>
      </c>
      <c r="H91" s="262" t="s">
        <v>1675</v>
      </c>
      <c r="I91" s="262" t="s">
        <v>1693</v>
      </c>
      <c r="K91" s="262">
        <v>15</v>
      </c>
      <c r="L91" s="262">
        <v>20</v>
      </c>
      <c r="M91" s="263">
        <f>L91*K91</f>
        <v>300</v>
      </c>
      <c r="N91" s="263">
        <f>M91/$V$27</f>
        <v>17.142857142857142</v>
      </c>
      <c r="P91" s="262" t="s">
        <v>1696</v>
      </c>
      <c r="R91" s="262" t="s">
        <v>1660</v>
      </c>
    </row>
    <row r="92" spans="1:24" s="249" customFormat="1">
      <c r="A92" s="300" t="b">
        <v>0</v>
      </c>
      <c r="B92" s="248" t="s">
        <v>1697</v>
      </c>
      <c r="C92" s="249" t="s">
        <v>1523</v>
      </c>
      <c r="D92" s="249" t="s">
        <v>1373</v>
      </c>
      <c r="E92" s="249" t="s">
        <v>1379</v>
      </c>
      <c r="F92" s="249" t="s">
        <v>445</v>
      </c>
      <c r="G92" s="249" t="s">
        <v>1408</v>
      </c>
      <c r="H92" s="249" t="s">
        <v>1487</v>
      </c>
      <c r="I92" s="249" t="s">
        <v>1698</v>
      </c>
      <c r="K92" s="249">
        <v>47</v>
      </c>
      <c r="L92" s="249">
        <v>13</v>
      </c>
      <c r="M92" s="250">
        <f>K92*L92</f>
        <v>611</v>
      </c>
      <c r="N92" s="250">
        <f>M92/$V$27</f>
        <v>34.914285714285711</v>
      </c>
      <c r="O92" s="250"/>
      <c r="P92" s="249" t="s">
        <v>1699</v>
      </c>
      <c r="T92" s="120"/>
      <c r="U92" s="120"/>
      <c r="V92" s="120"/>
      <c r="W92" s="120"/>
      <c r="X92" s="120"/>
    </row>
    <row r="93" spans="1:24">
      <c r="A93" s="249"/>
      <c r="B93" s="249"/>
      <c r="C93" s="249" t="s">
        <v>1523</v>
      </c>
      <c r="D93" s="249" t="s">
        <v>1373</v>
      </c>
      <c r="E93" s="249" t="s">
        <v>1379</v>
      </c>
      <c r="F93" s="249" t="s">
        <v>445</v>
      </c>
      <c r="G93" s="249" t="s">
        <v>1408</v>
      </c>
      <c r="H93" s="249" t="s">
        <v>1700</v>
      </c>
      <c r="I93" s="249" t="s">
        <v>1701</v>
      </c>
      <c r="J93" s="249"/>
      <c r="K93" s="249"/>
      <c r="L93" s="249"/>
      <c r="M93" s="250">
        <v>450</v>
      </c>
      <c r="N93" s="251">
        <f t="shared" ref="N93:N94" si="12">M93/$V$27</f>
        <v>25.714285714285715</v>
      </c>
      <c r="O93" s="249"/>
      <c r="P93" s="249" t="s">
        <v>1702</v>
      </c>
      <c r="Q93" s="249"/>
      <c r="R93" s="249"/>
      <c r="S93" s="249"/>
    </row>
    <row r="94" spans="1:24">
      <c r="A94" s="249"/>
      <c r="B94" s="249"/>
      <c r="C94" s="249" t="s">
        <v>1523</v>
      </c>
      <c r="D94" s="249" t="s">
        <v>1373</v>
      </c>
      <c r="E94" s="249" t="s">
        <v>1379</v>
      </c>
      <c r="F94" s="249" t="s">
        <v>445</v>
      </c>
      <c r="G94" s="249" t="s">
        <v>1408</v>
      </c>
      <c r="H94" s="249" t="s">
        <v>1572</v>
      </c>
      <c r="I94" s="249" t="s">
        <v>1701</v>
      </c>
      <c r="J94" s="249"/>
      <c r="K94" s="249"/>
      <c r="L94" s="249"/>
      <c r="M94" s="250">
        <v>350</v>
      </c>
      <c r="N94" s="251">
        <f t="shared" si="12"/>
        <v>20</v>
      </c>
      <c r="O94" s="249"/>
      <c r="P94" s="249" t="s">
        <v>1703</v>
      </c>
      <c r="Q94" s="249"/>
      <c r="R94" s="249"/>
      <c r="S94" s="249"/>
    </row>
    <row r="95" spans="1:24">
      <c r="A95" s="249"/>
      <c r="B95" s="249"/>
      <c r="C95" s="249" t="s">
        <v>1523</v>
      </c>
      <c r="D95" s="249" t="s">
        <v>1373</v>
      </c>
      <c r="E95" s="249" t="s">
        <v>1379</v>
      </c>
      <c r="F95" s="249" t="s">
        <v>445</v>
      </c>
      <c r="G95" s="249" t="s">
        <v>1408</v>
      </c>
      <c r="H95" s="249" t="s">
        <v>1572</v>
      </c>
      <c r="I95" s="249" t="s">
        <v>1704</v>
      </c>
      <c r="J95" s="249"/>
      <c r="K95" s="249">
        <v>19</v>
      </c>
      <c r="L95" s="249">
        <v>10</v>
      </c>
      <c r="M95" s="395">
        <f>K95*L95</f>
        <v>190</v>
      </c>
      <c r="N95" s="395">
        <f>M95/$V$27</f>
        <v>10.857142857142858</v>
      </c>
      <c r="O95" s="249"/>
      <c r="P95" s="249" t="s">
        <v>1705</v>
      </c>
      <c r="Q95" s="249"/>
      <c r="R95" s="249"/>
      <c r="S95" s="249"/>
    </row>
    <row r="96" spans="1:24">
      <c r="A96" s="249"/>
      <c r="B96" s="249"/>
      <c r="C96" s="249" t="s">
        <v>1523</v>
      </c>
      <c r="D96" s="249" t="s">
        <v>1373</v>
      </c>
      <c r="E96" s="249" t="s">
        <v>1381</v>
      </c>
      <c r="F96" s="249" t="s">
        <v>445</v>
      </c>
      <c r="G96" s="249" t="s">
        <v>1407</v>
      </c>
      <c r="H96" s="249" t="s">
        <v>1498</v>
      </c>
      <c r="I96" s="249" t="s">
        <v>1704</v>
      </c>
      <c r="J96" s="249"/>
      <c r="K96" s="249">
        <v>11</v>
      </c>
      <c r="L96" s="249">
        <v>55</v>
      </c>
      <c r="M96" s="250">
        <f>K96*L96</f>
        <v>605</v>
      </c>
      <c r="N96" s="250">
        <f>M96/$V$27</f>
        <v>34.571428571428569</v>
      </c>
      <c r="O96" s="249"/>
      <c r="P96" s="249" t="s">
        <v>1706</v>
      </c>
      <c r="Q96" s="249"/>
      <c r="R96" s="249"/>
      <c r="S96" s="249"/>
    </row>
    <row r="97" spans="1:24">
      <c r="A97" s="249"/>
      <c r="B97" s="249"/>
      <c r="C97" s="249" t="s">
        <v>1523</v>
      </c>
      <c r="D97" s="249" t="s">
        <v>1373</v>
      </c>
      <c r="E97" s="249" t="s">
        <v>1379</v>
      </c>
      <c r="F97" s="249" t="s">
        <v>445</v>
      </c>
      <c r="G97" s="249" t="s">
        <v>1407</v>
      </c>
      <c r="H97" s="249" t="s">
        <v>1498</v>
      </c>
      <c r="I97" s="249" t="s">
        <v>1707</v>
      </c>
      <c r="J97" s="249"/>
      <c r="K97" s="249">
        <v>186</v>
      </c>
      <c r="L97" s="249">
        <v>35</v>
      </c>
      <c r="M97" s="250">
        <f>K97*L97</f>
        <v>6510</v>
      </c>
      <c r="N97" s="250">
        <f>M97/$V$27</f>
        <v>372</v>
      </c>
      <c r="O97" s="249"/>
      <c r="P97" s="249" t="s">
        <v>1708</v>
      </c>
      <c r="Q97" s="249"/>
      <c r="R97" s="249"/>
      <c r="S97" s="249"/>
    </row>
    <row r="98" spans="1:24">
      <c r="A98" s="249"/>
      <c r="B98" s="249"/>
      <c r="C98" s="249" t="s">
        <v>1523</v>
      </c>
      <c r="D98" s="249" t="s">
        <v>1373</v>
      </c>
      <c r="E98" s="249" t="s">
        <v>1379</v>
      </c>
      <c r="F98" s="249" t="s">
        <v>445</v>
      </c>
      <c r="G98" s="249" t="s">
        <v>1407</v>
      </c>
      <c r="H98" s="249" t="s">
        <v>1498</v>
      </c>
      <c r="I98" s="249" t="s">
        <v>1709</v>
      </c>
      <c r="J98" s="249"/>
      <c r="K98" s="249">
        <v>28</v>
      </c>
      <c r="L98" s="249">
        <v>60</v>
      </c>
      <c r="M98" s="250">
        <f>K98*L98</f>
        <v>1680</v>
      </c>
      <c r="N98" s="250">
        <f>M98/$V$27</f>
        <v>96</v>
      </c>
      <c r="O98" s="249"/>
      <c r="P98" s="249" t="s">
        <v>1710</v>
      </c>
      <c r="Q98" s="249"/>
      <c r="R98" s="249"/>
      <c r="S98" s="249"/>
    </row>
    <row r="99" spans="1:24">
      <c r="A99" s="249"/>
      <c r="B99" s="249"/>
      <c r="C99" s="249" t="s">
        <v>1523</v>
      </c>
      <c r="D99" s="249" t="s">
        <v>1373</v>
      </c>
      <c r="E99" s="249" t="s">
        <v>1379</v>
      </c>
      <c r="F99" s="249" t="s">
        <v>445</v>
      </c>
      <c r="G99" s="249" t="s">
        <v>1407</v>
      </c>
      <c r="H99" s="249" t="s">
        <v>1498</v>
      </c>
      <c r="I99" s="249" t="s">
        <v>1711</v>
      </c>
      <c r="J99" s="249"/>
      <c r="K99" s="249">
        <v>70</v>
      </c>
      <c r="L99" s="249">
        <v>40</v>
      </c>
      <c r="M99" s="250">
        <f>K99*L99</f>
        <v>2800</v>
      </c>
      <c r="N99" s="250">
        <f>M99/$V$27</f>
        <v>160</v>
      </c>
      <c r="O99" s="249"/>
      <c r="P99" s="249"/>
      <c r="Q99" s="249"/>
      <c r="R99" s="249"/>
      <c r="S99" s="249"/>
    </row>
    <row r="100" spans="1:24" s="262" customFormat="1">
      <c r="A100" s="303" t="b">
        <v>0</v>
      </c>
      <c r="B100" s="261" t="s">
        <v>1712</v>
      </c>
      <c r="C100" s="262" t="s">
        <v>1523</v>
      </c>
      <c r="D100" s="262" t="s">
        <v>1373</v>
      </c>
      <c r="E100" s="249" t="s">
        <v>1379</v>
      </c>
      <c r="F100" s="262" t="s">
        <v>445</v>
      </c>
      <c r="G100" s="262" t="s">
        <v>1408</v>
      </c>
      <c r="H100" s="262" t="s">
        <v>1512</v>
      </c>
      <c r="I100" s="262" t="s">
        <v>1713</v>
      </c>
      <c r="K100" s="262">
        <v>100</v>
      </c>
      <c r="L100" s="262">
        <v>10</v>
      </c>
      <c r="M100" s="263">
        <f>L100*K100</f>
        <v>1000</v>
      </c>
      <c r="N100" s="263">
        <f>M100/$V$27</f>
        <v>57.142857142857146</v>
      </c>
      <c r="P100" s="262" t="s">
        <v>1714</v>
      </c>
      <c r="Q100" s="262" t="str">
        <f>IFERROR(INDEX('MARE MX'!$K:$K,MATCH("*"&amp;I100&amp;"*",'MARE MX'!$F:$F,0)),"Sin dato")</f>
        <v>ENTERPRISE</v>
      </c>
      <c r="R100" s="262" t="s">
        <v>1638</v>
      </c>
    </row>
    <row r="101" spans="1:24" s="259" customFormat="1">
      <c r="A101" s="304" t="b">
        <v>0</v>
      </c>
      <c r="B101" s="258" t="s">
        <v>1715</v>
      </c>
      <c r="C101" s="259" t="s">
        <v>1523</v>
      </c>
      <c r="D101" s="259" t="s">
        <v>1373</v>
      </c>
      <c r="E101" s="259" t="s">
        <v>1379</v>
      </c>
      <c r="F101" s="259" t="s">
        <v>442</v>
      </c>
      <c r="G101" s="259" t="s">
        <v>1407</v>
      </c>
      <c r="H101" s="259" t="s">
        <v>1498</v>
      </c>
      <c r="I101" s="259" t="s">
        <v>1611</v>
      </c>
      <c r="K101" s="259">
        <v>5000</v>
      </c>
      <c r="L101" s="259">
        <v>14</v>
      </c>
      <c r="M101" s="260">
        <f>L101*K101</f>
        <v>70000</v>
      </c>
      <c r="N101" s="296">
        <f>M101/$V$27</f>
        <v>4000</v>
      </c>
      <c r="Q101" s="259" t="str">
        <f>IFERROR(INDEX('MARE MX'!$K:$K,MATCH("*"&amp;I101&amp;"*",'MARE MX'!$F:$F,0)),"Sin dato")</f>
        <v>ENTERPRISE</v>
      </c>
    </row>
    <row r="102" spans="1:24" s="259" customFormat="1">
      <c r="A102" s="304" t="b">
        <v>0</v>
      </c>
      <c r="B102" s="258" t="s">
        <v>1715</v>
      </c>
      <c r="C102" s="259" t="s">
        <v>1523</v>
      </c>
      <c r="D102" s="259" t="s">
        <v>1373</v>
      </c>
      <c r="E102" s="259" t="s">
        <v>1379</v>
      </c>
      <c r="F102" s="259" t="s">
        <v>442</v>
      </c>
      <c r="G102" s="259" t="s">
        <v>1408</v>
      </c>
      <c r="H102" s="259" t="s">
        <v>1716</v>
      </c>
      <c r="I102" s="259" t="s">
        <v>1611</v>
      </c>
      <c r="K102" s="259">
        <v>5000</v>
      </c>
      <c r="L102" s="259">
        <v>3</v>
      </c>
      <c r="M102" s="260">
        <f>L102*K102</f>
        <v>15000</v>
      </c>
      <c r="N102" s="296">
        <f>M102/$V$27</f>
        <v>857.14285714285711</v>
      </c>
      <c r="Q102" s="259" t="str">
        <f>IFERROR(INDEX('MARE MX'!$K:$K,MATCH("*"&amp;I102&amp;"*",'MARE MX'!$F:$F,0)),"Sin dato")</f>
        <v>ENTERPRISE</v>
      </c>
    </row>
    <row r="103" spans="1:24" s="259" customFormat="1">
      <c r="A103" s="304" t="b">
        <v>0</v>
      </c>
      <c r="B103" s="258" t="s">
        <v>1717</v>
      </c>
      <c r="C103" s="259" t="s">
        <v>1523</v>
      </c>
      <c r="D103" s="259" t="s">
        <v>1373</v>
      </c>
      <c r="E103" s="259" t="s">
        <v>1718</v>
      </c>
      <c r="F103" s="259" t="s">
        <v>442</v>
      </c>
      <c r="G103" s="259" t="s">
        <v>1408</v>
      </c>
      <c r="H103" s="259" t="s">
        <v>36</v>
      </c>
      <c r="I103" s="259" t="s">
        <v>1719</v>
      </c>
      <c r="L103" s="259">
        <v>0</v>
      </c>
      <c r="M103" s="260"/>
      <c r="N103" s="260"/>
      <c r="P103" s="259" t="s">
        <v>1720</v>
      </c>
      <c r="Q103" s="259" t="str">
        <f>IFERROR(INDEX('MARE MX'!$K:$K,MATCH("*"&amp;I103&amp;"*",'MARE MX'!$F:$F,0)),"Sin dato")</f>
        <v>ENTERPRISE</v>
      </c>
      <c r="R103" s="259" t="s">
        <v>1660</v>
      </c>
    </row>
    <row r="104" spans="1:24" s="259" customFormat="1">
      <c r="A104" s="304" t="b">
        <v>0</v>
      </c>
      <c r="B104" s="258" t="s">
        <v>1721</v>
      </c>
      <c r="C104" s="259" t="s">
        <v>1523</v>
      </c>
      <c r="D104" s="259" t="s">
        <v>1373</v>
      </c>
      <c r="E104" s="249" t="s">
        <v>1379</v>
      </c>
      <c r="F104" s="259" t="s">
        <v>442</v>
      </c>
      <c r="G104" s="259" t="s">
        <v>1408</v>
      </c>
      <c r="H104" s="259" t="s">
        <v>1468</v>
      </c>
      <c r="I104" s="259" t="s">
        <v>1615</v>
      </c>
      <c r="M104" s="260">
        <v>5500</v>
      </c>
      <c r="N104" s="260">
        <f>M104/$V$27</f>
        <v>314.28571428571428</v>
      </c>
      <c r="O104" s="260"/>
      <c r="P104" s="259" t="s">
        <v>1722</v>
      </c>
      <c r="Q104" s="259" t="str">
        <f>IFERROR(INDEX('MARE MX'!$K:$K,MATCH("*"&amp;I104&amp;"*",'MARE MX'!$F:$F,0)),"Sin dato")</f>
        <v>ENTERPRISE</v>
      </c>
    </row>
    <row r="105" spans="1:24" s="259" customFormat="1">
      <c r="A105" s="301" t="b">
        <v>0</v>
      </c>
      <c r="B105" s="252" t="s">
        <v>1723</v>
      </c>
      <c r="C105" s="253" t="s">
        <v>1523</v>
      </c>
      <c r="D105" s="253" t="s">
        <v>1373</v>
      </c>
      <c r="E105" s="253" t="s">
        <v>1379</v>
      </c>
      <c r="F105" s="253" t="s">
        <v>442</v>
      </c>
      <c r="G105" s="253" t="s">
        <v>1408</v>
      </c>
      <c r="H105" s="253" t="s">
        <v>1512</v>
      </c>
      <c r="I105" s="253" t="s">
        <v>1166</v>
      </c>
      <c r="J105" s="253"/>
      <c r="K105" s="253">
        <v>1027</v>
      </c>
      <c r="L105" s="253">
        <v>6</v>
      </c>
      <c r="M105" s="255">
        <f>L105*K105</f>
        <v>6162</v>
      </c>
      <c r="N105" s="255">
        <f t="shared" si="11"/>
        <v>352.1142857142857</v>
      </c>
      <c r="O105" s="253"/>
      <c r="P105" s="253" t="s">
        <v>1724</v>
      </c>
      <c r="Q105" s="253" t="str">
        <f>IFERROR(INDEX('MARE MX'!$K:$K,MATCH("*"&amp;I105&amp;"*",'MARE MX'!$F:$F,0)),"Sin dato")</f>
        <v>ENTERPRISE</v>
      </c>
      <c r="R105" s="253"/>
      <c r="S105" s="253"/>
      <c r="T105" s="120"/>
      <c r="U105" s="120"/>
      <c r="V105" s="120"/>
      <c r="W105" s="120"/>
      <c r="X105" s="120"/>
    </row>
    <row r="106" spans="1:24" s="259" customFormat="1">
      <c r="A106" s="301" t="b">
        <v>0</v>
      </c>
      <c r="B106" s="252" t="s">
        <v>1725</v>
      </c>
      <c r="C106" s="253" t="s">
        <v>1523</v>
      </c>
      <c r="D106" s="253" t="s">
        <v>1373</v>
      </c>
      <c r="E106" s="253" t="s">
        <v>1380</v>
      </c>
      <c r="F106" s="253" t="s">
        <v>442</v>
      </c>
      <c r="G106" s="253" t="s">
        <v>1408</v>
      </c>
      <c r="H106" s="253" t="s">
        <v>36</v>
      </c>
      <c r="I106" s="253" t="s">
        <v>1726</v>
      </c>
      <c r="J106" s="253"/>
      <c r="K106" s="253"/>
      <c r="L106" s="253">
        <v>0</v>
      </c>
      <c r="M106" s="253"/>
      <c r="N106" s="255">
        <f t="shared" si="11"/>
        <v>0</v>
      </c>
      <c r="O106" s="253"/>
      <c r="P106" s="253" t="s">
        <v>1727</v>
      </c>
      <c r="Q106" s="253" t="str">
        <f>IFERROR(INDEX('MARE MX'!$K:$K,MATCH("*"&amp;I106&amp;"*",'MARE MX'!$F:$F,0)),"Sin dato")</f>
        <v>Enterprise</v>
      </c>
      <c r="R106" s="253" t="s">
        <v>1660</v>
      </c>
      <c r="S106" s="253"/>
      <c r="T106" s="120"/>
      <c r="U106" s="120"/>
      <c r="V106" s="120"/>
      <c r="W106" s="120"/>
      <c r="X106" s="120"/>
    </row>
    <row r="107" spans="1:24" s="253" customFormat="1">
      <c r="A107" s="301" t="b">
        <v>0</v>
      </c>
      <c r="B107" s="252" t="s">
        <v>1728</v>
      </c>
      <c r="C107" s="253" t="s">
        <v>1523</v>
      </c>
      <c r="D107" s="253" t="s">
        <v>1373</v>
      </c>
      <c r="E107" s="253" t="s">
        <v>1380</v>
      </c>
      <c r="F107" s="253" t="s">
        <v>442</v>
      </c>
      <c r="G107" s="253" t="s">
        <v>1408</v>
      </c>
      <c r="H107" s="253" t="s">
        <v>1729</v>
      </c>
      <c r="I107" s="253" t="s">
        <v>1730</v>
      </c>
      <c r="K107" s="253">
        <v>3000</v>
      </c>
      <c r="L107" s="253">
        <v>2</v>
      </c>
      <c r="M107" s="255">
        <f>K107*L107</f>
        <v>6000</v>
      </c>
      <c r="N107" s="255">
        <v>200</v>
      </c>
      <c r="P107" s="253" t="s">
        <v>1731</v>
      </c>
      <c r="Q107" s="253" t="str">
        <f>IFERROR(INDEX('MARE MX'!$K:$K,MATCH("*"&amp;I107&amp;"*",'MARE MX'!$F:$F,0)),"Sin dato")</f>
        <v>ENTERPRISE</v>
      </c>
      <c r="T107" s="120"/>
      <c r="U107" s="120"/>
      <c r="V107" s="120"/>
      <c r="W107" s="120"/>
      <c r="X107" s="120"/>
    </row>
    <row r="108" spans="1:24" s="259" customFormat="1">
      <c r="A108" s="301" t="b">
        <v>0</v>
      </c>
      <c r="B108" s="252" t="s">
        <v>1732</v>
      </c>
      <c r="C108" s="253" t="s">
        <v>1523</v>
      </c>
      <c r="D108" s="253" t="s">
        <v>1373</v>
      </c>
      <c r="E108" s="253" t="s">
        <v>1379</v>
      </c>
      <c r="F108" s="253" t="s">
        <v>442</v>
      </c>
      <c r="G108" s="253" t="s">
        <v>1408</v>
      </c>
      <c r="H108" s="253" t="s">
        <v>1700</v>
      </c>
      <c r="I108" s="253" t="s">
        <v>1733</v>
      </c>
      <c r="J108" s="253"/>
      <c r="K108" s="253">
        <v>1030</v>
      </c>
      <c r="L108" s="253">
        <v>8</v>
      </c>
      <c r="M108" s="253">
        <f>L108*K108</f>
        <v>8240</v>
      </c>
      <c r="N108" s="255">
        <f>M108/$V$27</f>
        <v>470.85714285714283</v>
      </c>
      <c r="O108" s="255"/>
      <c r="P108" s="253" t="s">
        <v>1734</v>
      </c>
      <c r="Q108" s="253" t="str">
        <f>IFERROR(INDEX('MARE MX'!$K:$K,MATCH("*"&amp;I108&amp;"*",'MARE MX'!$F:$F,0)),"Sin dato")</f>
        <v>ENTERPRISE</v>
      </c>
      <c r="R108" s="253"/>
      <c r="S108" s="253"/>
      <c r="T108" s="120"/>
      <c r="U108" s="120"/>
      <c r="V108" s="120"/>
      <c r="W108" s="120"/>
      <c r="X108" s="120"/>
    </row>
    <row r="109" spans="1:24" s="253" customFormat="1">
      <c r="A109" s="301" t="b">
        <v>0</v>
      </c>
      <c r="B109" s="252" t="s">
        <v>1735</v>
      </c>
      <c r="C109" s="253" t="s">
        <v>1523</v>
      </c>
      <c r="D109" s="253" t="s">
        <v>1373</v>
      </c>
      <c r="E109" s="253" t="s">
        <v>1380</v>
      </c>
      <c r="F109" s="253" t="s">
        <v>442</v>
      </c>
      <c r="G109" s="253" t="s">
        <v>1408</v>
      </c>
      <c r="H109" s="253" t="s">
        <v>41</v>
      </c>
      <c r="I109" s="253" t="s">
        <v>1736</v>
      </c>
      <c r="K109" s="253">
        <v>800</v>
      </c>
      <c r="L109" s="253">
        <v>10</v>
      </c>
      <c r="M109" s="255">
        <f>K109*L109</f>
        <v>8000</v>
      </c>
      <c r="N109" s="255">
        <v>200</v>
      </c>
      <c r="P109" s="253" t="s">
        <v>1737</v>
      </c>
      <c r="Q109" s="253" t="str">
        <f>IFERROR(INDEX('MARE MX'!$K:$K,MATCH("*"&amp;I109&amp;"*",'MARE MX'!$F:$F,0)),"Sin dato")</f>
        <v>ENTERPRISE</v>
      </c>
      <c r="R109" s="253" t="s">
        <v>1638</v>
      </c>
      <c r="T109" s="120"/>
      <c r="U109" s="120"/>
      <c r="V109" s="120"/>
      <c r="W109" s="120"/>
      <c r="X109" s="120"/>
    </row>
    <row r="110" spans="1:24" s="253" customFormat="1">
      <c r="A110" s="301" t="b">
        <v>0</v>
      </c>
      <c r="B110" s="252" t="s">
        <v>1738</v>
      </c>
      <c r="C110" s="253" t="s">
        <v>1523</v>
      </c>
      <c r="D110" s="253" t="s">
        <v>1373</v>
      </c>
      <c r="E110" s="253" t="s">
        <v>1380</v>
      </c>
      <c r="F110" s="253" t="s">
        <v>442</v>
      </c>
      <c r="G110" s="253" t="s">
        <v>1408</v>
      </c>
      <c r="H110" s="253" t="s">
        <v>1512</v>
      </c>
      <c r="I110" s="253" t="s">
        <v>1736</v>
      </c>
      <c r="K110" s="253">
        <v>1156</v>
      </c>
      <c r="L110" s="253">
        <v>0.25</v>
      </c>
      <c r="M110" s="255"/>
      <c r="N110" s="255">
        <f>L110*K110</f>
        <v>289</v>
      </c>
      <c r="P110" s="253" t="s">
        <v>1739</v>
      </c>
      <c r="Q110" s="253" t="str">
        <f>IFERROR(INDEX('MARE MX'!$K:$K,MATCH("*"&amp;I110&amp;"*",'MARE MX'!$F:$F,0)),"Sin dato")</f>
        <v>ENTERPRISE</v>
      </c>
      <c r="R110" s="253" t="s">
        <v>1638</v>
      </c>
      <c r="T110" s="120"/>
      <c r="U110" s="120"/>
      <c r="V110" s="120"/>
      <c r="W110" s="120"/>
      <c r="X110" s="120"/>
    </row>
    <row r="111" spans="1:24" s="253" customFormat="1">
      <c r="A111" s="301" t="b">
        <v>0</v>
      </c>
      <c r="B111" s="252" t="s">
        <v>1740</v>
      </c>
      <c r="C111" s="253" t="s">
        <v>1523</v>
      </c>
      <c r="D111" s="253" t="s">
        <v>1373</v>
      </c>
      <c r="E111" s="253" t="s">
        <v>1380</v>
      </c>
      <c r="F111" s="253" t="s">
        <v>442</v>
      </c>
      <c r="G111" s="253" t="s">
        <v>1408</v>
      </c>
      <c r="H111" s="253" t="s">
        <v>1487</v>
      </c>
      <c r="I111" s="253" t="s">
        <v>1736</v>
      </c>
      <c r="K111" s="253">
        <v>1156</v>
      </c>
      <c r="L111" s="253">
        <v>0.35</v>
      </c>
      <c r="M111" s="255"/>
      <c r="N111" s="255">
        <f>L111*K111</f>
        <v>404.59999999999997</v>
      </c>
      <c r="P111" s="253" t="s">
        <v>1739</v>
      </c>
      <c r="Q111" s="253" t="str">
        <f>IFERROR(INDEX('MARE MX'!$K:$K,MATCH("*"&amp;I111&amp;"*",'MARE MX'!$F:$F,0)),"Sin dato")</f>
        <v>ENTERPRISE</v>
      </c>
      <c r="R111" s="253" t="s">
        <v>1638</v>
      </c>
      <c r="T111" s="120"/>
      <c r="U111" s="120"/>
      <c r="V111" s="120"/>
      <c r="W111" s="120"/>
      <c r="X111" s="120"/>
    </row>
    <row r="112" spans="1:24" s="253" customFormat="1">
      <c r="A112" s="362" t="b">
        <v>0</v>
      </c>
      <c r="B112" s="363" t="s">
        <v>1741</v>
      </c>
      <c r="C112" s="361" t="s">
        <v>1523</v>
      </c>
      <c r="D112" s="361" t="s">
        <v>1373</v>
      </c>
      <c r="E112" s="361"/>
      <c r="F112" s="361" t="s">
        <v>442</v>
      </c>
      <c r="G112" s="361" t="s">
        <v>1408</v>
      </c>
      <c r="H112" s="361" t="s">
        <v>1512</v>
      </c>
      <c r="I112" s="361" t="s">
        <v>1742</v>
      </c>
      <c r="J112" s="361"/>
      <c r="K112" s="361">
        <v>900</v>
      </c>
      <c r="L112" s="361">
        <v>5</v>
      </c>
      <c r="M112" s="361">
        <f>L112*K112</f>
        <v>4500</v>
      </c>
      <c r="N112" s="364">
        <f>M112/$V$27</f>
        <v>257.14285714285717</v>
      </c>
      <c r="O112" s="364"/>
      <c r="P112" s="361" t="s">
        <v>1743</v>
      </c>
      <c r="Q112" s="361" t="str">
        <f>IFERROR(INDEX('MARE MX'!$K:$K,MATCH("*"&amp;I112&amp;"*",'MARE MX'!$F:$F,0)),"Sin dato")</f>
        <v>ENTERPRISE</v>
      </c>
      <c r="R112" s="361"/>
      <c r="S112" s="361"/>
      <c r="T112" s="361"/>
      <c r="U112" s="361"/>
      <c r="V112" s="361"/>
      <c r="W112" s="361"/>
      <c r="X112" s="361"/>
    </row>
    <row r="113" spans="1:24" s="253" customFormat="1">
      <c r="A113" s="365" t="b">
        <v>0</v>
      </c>
      <c r="B113" s="366" t="s">
        <v>1744</v>
      </c>
      <c r="C113" s="367" t="s">
        <v>1523</v>
      </c>
      <c r="D113" s="367" t="s">
        <v>1373</v>
      </c>
      <c r="E113" s="367"/>
      <c r="F113" s="367" t="s">
        <v>442</v>
      </c>
      <c r="G113" s="367" t="s">
        <v>1408</v>
      </c>
      <c r="H113" s="367" t="s">
        <v>1512</v>
      </c>
      <c r="I113" s="367" t="s">
        <v>1745</v>
      </c>
      <c r="J113" s="367"/>
      <c r="K113" s="367">
        <v>300</v>
      </c>
      <c r="L113" s="367">
        <v>5</v>
      </c>
      <c r="M113" s="368">
        <f t="shared" ref="M113:M120" si="13">L113*K113</f>
        <v>1500</v>
      </c>
      <c r="N113" s="368">
        <f t="shared" ref="N113:N120" si="14">M113/$V$27</f>
        <v>85.714285714285708</v>
      </c>
      <c r="O113" s="367"/>
      <c r="P113" s="367" t="s">
        <v>1746</v>
      </c>
      <c r="Q113" s="367" t="str">
        <f>IFERROR(INDEX('MARE MX'!$K:$K,MATCH("*"&amp;I113&amp;"*",'MARE MX'!$F:$F,0)),"Sin dato")</f>
        <v>ENTERPRISE</v>
      </c>
      <c r="R113" s="367"/>
      <c r="S113" s="367"/>
      <c r="T113" s="369"/>
      <c r="U113" s="369"/>
      <c r="V113" s="369"/>
      <c r="W113" s="369"/>
      <c r="X113" s="369"/>
    </row>
    <row r="114" spans="1:24" s="253" customFormat="1">
      <c r="A114" s="301" t="b">
        <v>0</v>
      </c>
      <c r="B114" s="252" t="s">
        <v>1747</v>
      </c>
      <c r="C114" s="253" t="s">
        <v>1523</v>
      </c>
      <c r="D114" s="253" t="s">
        <v>1373</v>
      </c>
      <c r="E114" s="253" t="s">
        <v>1380</v>
      </c>
      <c r="F114" s="253" t="s">
        <v>442</v>
      </c>
      <c r="G114" s="253" t="s">
        <v>1408</v>
      </c>
      <c r="H114" s="253" t="s">
        <v>1468</v>
      </c>
      <c r="I114" s="253" t="s">
        <v>1748</v>
      </c>
      <c r="K114" s="253">
        <v>291</v>
      </c>
      <c r="L114" s="253">
        <v>8</v>
      </c>
      <c r="M114" s="255">
        <f t="shared" si="13"/>
        <v>2328</v>
      </c>
      <c r="N114" s="255">
        <f t="shared" si="14"/>
        <v>133.02857142857144</v>
      </c>
      <c r="P114" s="253" t="s">
        <v>1734</v>
      </c>
      <c r="Q114" s="253" t="str">
        <f>IFERROR(INDEX('MARE MX'!$K:$K,MATCH("*"&amp;I114&amp;"*",'MARE MX'!$F:$F,0)),"Sin dato")</f>
        <v>Sin dato</v>
      </c>
      <c r="T114" s="120"/>
      <c r="U114" s="120"/>
      <c r="V114" s="120"/>
      <c r="W114" s="120"/>
      <c r="X114" s="120"/>
    </row>
    <row r="115" spans="1:24" s="253" customFormat="1">
      <c r="A115" s="301" t="b">
        <v>0</v>
      </c>
      <c r="B115" s="252" t="s">
        <v>1749</v>
      </c>
      <c r="C115" s="253" t="s">
        <v>1523</v>
      </c>
      <c r="D115" s="253" t="s">
        <v>1373</v>
      </c>
      <c r="E115" s="253" t="s">
        <v>1750</v>
      </c>
      <c r="F115" s="253" t="s">
        <v>442</v>
      </c>
      <c r="G115" s="253" t="s">
        <v>1408</v>
      </c>
      <c r="H115" s="253" t="s">
        <v>1700</v>
      </c>
      <c r="I115" s="253" t="s">
        <v>1751</v>
      </c>
      <c r="K115" s="253">
        <v>912</v>
      </c>
      <c r="L115" s="253">
        <v>10</v>
      </c>
      <c r="M115" s="255">
        <f t="shared" si="13"/>
        <v>9120</v>
      </c>
      <c r="N115" s="255">
        <f t="shared" si="14"/>
        <v>521.14285714285711</v>
      </c>
      <c r="P115" s="253" t="s">
        <v>1752</v>
      </c>
      <c r="Q115" s="253" t="str">
        <f>IFERROR(INDEX('MARE MX'!$K:$K,MATCH("*"&amp;I115&amp;"*",'MARE MX'!$F:$F,0)),"Sin dato")</f>
        <v>ENTERPRISE</v>
      </c>
      <c r="R115" s="253" t="s">
        <v>1638</v>
      </c>
      <c r="T115" s="120"/>
      <c r="U115" s="120"/>
      <c r="V115" s="120"/>
      <c r="W115" s="120"/>
      <c r="X115" s="120"/>
    </row>
    <row r="116" spans="1:24" s="253" customFormat="1">
      <c r="A116" s="301" t="b">
        <v>0</v>
      </c>
      <c r="B116" s="252" t="s">
        <v>1753</v>
      </c>
      <c r="C116" s="253" t="s">
        <v>1523</v>
      </c>
      <c r="D116" s="253" t="s">
        <v>1373</v>
      </c>
      <c r="E116" s="253" t="s">
        <v>1380</v>
      </c>
      <c r="F116" s="253" t="s">
        <v>442</v>
      </c>
      <c r="G116" s="253" t="s">
        <v>1408</v>
      </c>
      <c r="H116" s="253" t="s">
        <v>1487</v>
      </c>
      <c r="I116" s="253" t="s">
        <v>1751</v>
      </c>
      <c r="K116" s="253">
        <v>912</v>
      </c>
      <c r="L116" s="253">
        <v>6</v>
      </c>
      <c r="M116" s="255">
        <f t="shared" si="13"/>
        <v>5472</v>
      </c>
      <c r="N116" s="255">
        <f t="shared" si="14"/>
        <v>312.68571428571431</v>
      </c>
      <c r="P116" s="253" t="s">
        <v>1754</v>
      </c>
      <c r="Q116" s="253" t="str">
        <f>IFERROR(INDEX('MARE MX'!$K:$K,MATCH("*"&amp;I116&amp;"*",'MARE MX'!$F:$F,0)),"Sin dato")</f>
        <v>ENTERPRISE</v>
      </c>
      <c r="R116" s="253" t="s">
        <v>1638</v>
      </c>
      <c r="T116" s="120"/>
      <c r="U116" s="120"/>
      <c r="V116" s="120"/>
      <c r="W116" s="120"/>
      <c r="X116" s="120"/>
    </row>
    <row r="117" spans="1:24" s="253" customFormat="1">
      <c r="A117" s="376" t="b">
        <v>0</v>
      </c>
      <c r="B117" s="377" t="s">
        <v>1755</v>
      </c>
      <c r="C117" s="378"/>
      <c r="D117" s="378" t="s">
        <v>1373</v>
      </c>
      <c r="E117" s="378"/>
      <c r="F117" s="378" t="s">
        <v>442</v>
      </c>
      <c r="G117" s="378" t="s">
        <v>1408</v>
      </c>
      <c r="H117" s="378" t="s">
        <v>1487</v>
      </c>
      <c r="I117" s="378" t="s">
        <v>1379</v>
      </c>
      <c r="J117" s="378"/>
      <c r="K117" s="378">
        <v>1569</v>
      </c>
      <c r="L117" s="378">
        <v>4</v>
      </c>
      <c r="M117" s="379">
        <f t="shared" si="13"/>
        <v>6276</v>
      </c>
      <c r="N117" s="379">
        <f t="shared" si="14"/>
        <v>358.62857142857143</v>
      </c>
      <c r="O117" s="378"/>
      <c r="P117" s="379" t="s">
        <v>1756</v>
      </c>
      <c r="Q117" s="378" t="str">
        <f>IFERROR(INDEX('MARE MX'!$K:$K,MATCH("*"&amp;I117&amp;"*",'MARE MX'!$F:$F,0)),"Sin dato")</f>
        <v>ENTERPRISE</v>
      </c>
      <c r="R117" s="378"/>
      <c r="S117" s="378"/>
      <c r="T117" s="380"/>
      <c r="U117" s="380"/>
      <c r="V117" s="380"/>
      <c r="W117" s="380"/>
      <c r="X117" s="380"/>
    </row>
    <row r="118" spans="1:24" s="253" customFormat="1">
      <c r="A118" s="376" t="b">
        <v>0</v>
      </c>
      <c r="B118" s="377" t="s">
        <v>1757</v>
      </c>
      <c r="C118" s="377"/>
      <c r="D118" s="378" t="s">
        <v>1373</v>
      </c>
      <c r="E118" s="378"/>
      <c r="F118" s="378" t="s">
        <v>442</v>
      </c>
      <c r="G118" s="378" t="s">
        <v>1408</v>
      </c>
      <c r="H118" s="378" t="s">
        <v>38</v>
      </c>
      <c r="I118" s="378" t="s">
        <v>1379</v>
      </c>
      <c r="J118" s="378"/>
      <c r="K118" s="378">
        <v>1569</v>
      </c>
      <c r="L118" s="378">
        <v>4</v>
      </c>
      <c r="M118" s="379">
        <f t="shared" si="13"/>
        <v>6276</v>
      </c>
      <c r="N118" s="379">
        <f t="shared" si="14"/>
        <v>358.62857142857143</v>
      </c>
      <c r="O118" s="379"/>
      <c r="P118" s="378"/>
      <c r="Q118" s="378" t="str">
        <f>IFERROR(INDEX('MARE MX'!$K:$K,MATCH("*"&amp;I118&amp;"*",'MARE MX'!$F:$F,0)),"Sin dato")</f>
        <v>ENTERPRISE</v>
      </c>
      <c r="R118" s="378"/>
      <c r="S118" s="378"/>
      <c r="T118" s="380"/>
      <c r="U118" s="380"/>
      <c r="V118" s="380"/>
      <c r="W118" s="380"/>
      <c r="X118" s="380"/>
    </row>
    <row r="119" spans="1:24">
      <c r="A119" s="301" t="b">
        <v>0</v>
      </c>
      <c r="B119" s="252" t="s">
        <v>1758</v>
      </c>
      <c r="C119" s="252" t="s">
        <v>1523</v>
      </c>
      <c r="D119" s="253" t="s">
        <v>1373</v>
      </c>
      <c r="E119" s="253" t="s">
        <v>1750</v>
      </c>
      <c r="F119" s="253" t="s">
        <v>442</v>
      </c>
      <c r="G119" s="253" t="s">
        <v>1408</v>
      </c>
      <c r="H119" s="253" t="s">
        <v>1512</v>
      </c>
      <c r="I119" s="253" t="s">
        <v>1759</v>
      </c>
      <c r="J119" s="253"/>
      <c r="K119" s="253">
        <v>964</v>
      </c>
      <c r="L119" s="253">
        <v>6</v>
      </c>
      <c r="M119" s="255">
        <f t="shared" si="13"/>
        <v>5784</v>
      </c>
      <c r="N119" s="255">
        <f t="shared" si="14"/>
        <v>330.51428571428573</v>
      </c>
      <c r="O119" s="255"/>
      <c r="P119" s="253" t="s">
        <v>1760</v>
      </c>
      <c r="Q119" s="253" t="str">
        <f>IFERROR(INDEX('MARE MX'!$K:$K,MATCH("*"&amp;I119&amp;"*",'MARE MX'!$F:$F,0)),"Sin dato")</f>
        <v>ENTERPRISE</v>
      </c>
      <c r="R119" s="253" t="s">
        <v>1638</v>
      </c>
      <c r="T119" s="120"/>
      <c r="U119" s="120"/>
      <c r="V119" s="120"/>
      <c r="W119" s="120"/>
      <c r="X119" s="120"/>
    </row>
    <row r="120" spans="1:24">
      <c r="A120" s="301" t="b">
        <v>0</v>
      </c>
      <c r="B120" s="252" t="s">
        <v>1761</v>
      </c>
      <c r="C120" s="252" t="s">
        <v>1523</v>
      </c>
      <c r="D120" s="253" t="s">
        <v>1373</v>
      </c>
      <c r="E120" s="253" t="s">
        <v>1750</v>
      </c>
      <c r="F120" s="253" t="s">
        <v>442</v>
      </c>
      <c r="G120" s="253" t="s">
        <v>1408</v>
      </c>
      <c r="H120" s="253" t="s">
        <v>1700</v>
      </c>
      <c r="I120" s="253" t="s">
        <v>1759</v>
      </c>
      <c r="J120" s="253"/>
      <c r="K120" s="253">
        <v>964</v>
      </c>
      <c r="L120" s="253">
        <v>8</v>
      </c>
      <c r="M120" s="255">
        <f t="shared" si="13"/>
        <v>7712</v>
      </c>
      <c r="N120" s="255">
        <f t="shared" si="14"/>
        <v>440.68571428571431</v>
      </c>
      <c r="O120" s="255"/>
      <c r="P120" s="253" t="s">
        <v>1762</v>
      </c>
      <c r="Q120" s="253" t="str">
        <f>IFERROR(INDEX('MARE MX'!$K:$K,MATCH("*"&amp;I120&amp;"*",'MARE MX'!$F:$F,0)),"Sin dato")</f>
        <v>ENTERPRISE</v>
      </c>
      <c r="R120" s="253" t="s">
        <v>1638</v>
      </c>
      <c r="S120" s="252"/>
      <c r="T120" s="120"/>
      <c r="U120" s="120"/>
      <c r="V120" s="120"/>
      <c r="W120" s="120"/>
      <c r="X120" s="120"/>
    </row>
    <row r="121" spans="1:24" s="253" customFormat="1">
      <c r="A121" s="301" t="b">
        <v>0</v>
      </c>
      <c r="B121" s="252" t="s">
        <v>1763</v>
      </c>
      <c r="C121" s="252" t="s">
        <v>1523</v>
      </c>
      <c r="D121" s="253" t="s">
        <v>1373</v>
      </c>
      <c r="E121" s="253" t="s">
        <v>1379</v>
      </c>
      <c r="F121" s="253" t="s">
        <v>442</v>
      </c>
      <c r="G121" s="253" t="s">
        <v>1407</v>
      </c>
      <c r="H121" s="253" t="s">
        <v>1498</v>
      </c>
      <c r="I121" s="253" t="s">
        <v>1764</v>
      </c>
      <c r="K121" s="253">
        <v>150</v>
      </c>
      <c r="L121" s="253">
        <v>24</v>
      </c>
      <c r="M121" s="255">
        <f>L121*K121</f>
        <v>3600</v>
      </c>
      <c r="N121" s="254">
        <f>M121/$V$27</f>
        <v>205.71428571428572</v>
      </c>
      <c r="O121" s="255"/>
      <c r="P121" s="253" t="s">
        <v>1765</v>
      </c>
      <c r="Q121" s="253" t="str">
        <f>IFERROR(INDEX('MARE MX'!$K:$K,MATCH("*"&amp;I121&amp;"*",'MARE MX'!$F:$F,0)),"Sin dato")</f>
        <v>Sin dato</v>
      </c>
      <c r="T121" s="120"/>
      <c r="U121" s="120"/>
      <c r="V121" s="120"/>
      <c r="W121" s="120"/>
      <c r="X121" s="120"/>
    </row>
    <row r="122" spans="1:24" s="253" customFormat="1">
      <c r="A122" s="301" t="b">
        <v>0</v>
      </c>
      <c r="B122" s="252" t="s">
        <v>1766</v>
      </c>
      <c r="C122" s="252" t="s">
        <v>1523</v>
      </c>
      <c r="D122" s="253" t="s">
        <v>1373</v>
      </c>
      <c r="E122" s="253" t="s">
        <v>1379</v>
      </c>
      <c r="F122" s="253" t="s">
        <v>442</v>
      </c>
      <c r="G122" s="253" t="s">
        <v>1408</v>
      </c>
      <c r="H122" s="253" t="s">
        <v>1487</v>
      </c>
      <c r="I122" s="253" t="s">
        <v>1764</v>
      </c>
      <c r="K122" s="253">
        <v>230</v>
      </c>
      <c r="L122" s="253">
        <v>10</v>
      </c>
      <c r="M122" s="255">
        <f>L122*K122</f>
        <v>2300</v>
      </c>
      <c r="N122" s="355">
        <f>M122/$V$27</f>
        <v>131.42857142857142</v>
      </c>
      <c r="O122" s="255"/>
      <c r="P122" s="253" t="s">
        <v>1765</v>
      </c>
      <c r="Q122" s="253" t="str">
        <f>IFERROR(INDEX('MARE MX'!$K:$K,MATCH("*"&amp;I122&amp;"*",'MARE MX'!$F:$F,0)),"Sin dato")</f>
        <v>Sin dato</v>
      </c>
      <c r="T122" s="120"/>
      <c r="U122" s="120"/>
      <c r="V122" s="120"/>
      <c r="W122" s="120"/>
      <c r="X122" s="120"/>
    </row>
    <row r="123" spans="1:24" s="253" customFormat="1">
      <c r="A123" s="301" t="b">
        <v>0</v>
      </c>
      <c r="B123" s="252" t="s">
        <v>1767</v>
      </c>
      <c r="C123" s="252" t="s">
        <v>1523</v>
      </c>
      <c r="D123" s="253" t="s">
        <v>1373</v>
      </c>
      <c r="E123" s="253" t="s">
        <v>1379</v>
      </c>
      <c r="F123" s="253" t="s">
        <v>442</v>
      </c>
      <c r="G123" s="253" t="s">
        <v>1408</v>
      </c>
      <c r="H123" s="253" t="s">
        <v>1468</v>
      </c>
      <c r="I123" s="253" t="s">
        <v>1764</v>
      </c>
      <c r="K123" s="253">
        <v>150</v>
      </c>
      <c r="L123" s="253">
        <v>15</v>
      </c>
      <c r="M123" s="255">
        <f>L123*K123</f>
        <v>2250</v>
      </c>
      <c r="N123" s="355">
        <f>M123/$V$27</f>
        <v>128.57142857142858</v>
      </c>
      <c r="O123" s="255"/>
      <c r="P123" s="253" t="s">
        <v>1765</v>
      </c>
      <c r="Q123" s="253" t="str">
        <f>IFERROR(INDEX('MARE MX'!$K:$K,MATCH("*"&amp;I123&amp;"*",'MARE MX'!$F:$F,0)),"Sin dato")</f>
        <v>Sin dato</v>
      </c>
      <c r="T123" s="120"/>
      <c r="U123" s="120"/>
      <c r="V123" s="120"/>
      <c r="W123" s="120"/>
      <c r="X123" s="120"/>
    </row>
    <row r="124" spans="1:24" s="259" customFormat="1">
      <c r="A124" s="301" t="b">
        <v>0</v>
      </c>
      <c r="B124" s="252" t="s">
        <v>1768</v>
      </c>
      <c r="C124" s="253" t="s">
        <v>1523</v>
      </c>
      <c r="D124" s="253" t="s">
        <v>1373</v>
      </c>
      <c r="E124" s="253" t="s">
        <v>1379</v>
      </c>
      <c r="F124" s="253" t="s">
        <v>442</v>
      </c>
      <c r="G124" s="253" t="s">
        <v>1408</v>
      </c>
      <c r="H124" s="253" t="s">
        <v>1512</v>
      </c>
      <c r="I124" s="253" t="s">
        <v>1730</v>
      </c>
      <c r="J124" s="253"/>
      <c r="K124" s="253">
        <v>3100</v>
      </c>
      <c r="L124" s="253">
        <v>6</v>
      </c>
      <c r="M124" s="255">
        <f>L124*K124</f>
        <v>18600</v>
      </c>
      <c r="N124" s="255">
        <f>M124/$V$27</f>
        <v>1062.8571428571429</v>
      </c>
      <c r="O124" s="255"/>
      <c r="P124" s="255" t="s">
        <v>1769</v>
      </c>
      <c r="Q124" s="253" t="str">
        <f>IFERROR(INDEX('MARE MX'!$K:$K,MATCH("*"&amp;I124&amp;"*",'MARE MX'!$F:$F,0)),"Sin dato")</f>
        <v>ENTERPRISE</v>
      </c>
      <c r="R124" s="253"/>
      <c r="S124" s="253"/>
      <c r="T124" s="120"/>
      <c r="U124" s="120"/>
      <c r="V124" s="120"/>
      <c r="W124" s="120"/>
      <c r="X124" s="120"/>
    </row>
    <row r="125" spans="1:24">
      <c r="A125" s="305" t="b">
        <v>0</v>
      </c>
      <c r="B125" s="354" t="s">
        <v>1770</v>
      </c>
      <c r="D125" s="253" t="s">
        <v>1373</v>
      </c>
      <c r="E125" s="253" t="s">
        <v>1379</v>
      </c>
      <c r="F125" s="253" t="s">
        <v>442</v>
      </c>
      <c r="G125" s="253" t="s">
        <v>1408</v>
      </c>
      <c r="H125" s="253" t="s">
        <v>1468</v>
      </c>
      <c r="I125" s="253" t="s">
        <v>1619</v>
      </c>
      <c r="K125">
        <v>1271</v>
      </c>
      <c r="L125">
        <v>0.33</v>
      </c>
      <c r="M125" s="255"/>
      <c r="N125" s="255">
        <f>L125*K125</f>
        <v>419.43</v>
      </c>
      <c r="O125"/>
      <c r="P125" t="s">
        <v>1771</v>
      </c>
      <c r="T125" s="120" t="s">
        <v>1772</v>
      </c>
      <c r="U125" s="120"/>
      <c r="V125" s="120"/>
      <c r="W125" s="120"/>
      <c r="X125" s="120"/>
    </row>
    <row r="126" spans="1:24">
      <c r="A126" s="305" t="b">
        <v>0</v>
      </c>
      <c r="B126" s="354"/>
      <c r="C126" t="s">
        <v>1523</v>
      </c>
      <c r="D126" s="253" t="s">
        <v>1373</v>
      </c>
      <c r="E126" s="253" t="s">
        <v>1379</v>
      </c>
      <c r="F126" s="253" t="s">
        <v>442</v>
      </c>
      <c r="G126" s="253" t="s">
        <v>1408</v>
      </c>
      <c r="H126" s="253" t="s">
        <v>1618</v>
      </c>
      <c r="I126" s="253" t="s">
        <v>1619</v>
      </c>
      <c r="K126">
        <v>200</v>
      </c>
      <c r="M126" s="255"/>
      <c r="N126" s="255">
        <f>L126*K126</f>
        <v>0</v>
      </c>
      <c r="O126"/>
      <c r="P126" t="s">
        <v>1773</v>
      </c>
      <c r="T126" s="120" t="s">
        <v>1772</v>
      </c>
      <c r="U126" s="120"/>
      <c r="V126" s="120"/>
      <c r="W126" s="120"/>
      <c r="X126" s="120"/>
    </row>
    <row r="127" spans="1:24">
      <c r="A127" s="305" t="b">
        <v>0</v>
      </c>
      <c r="B127" s="354" t="s">
        <v>1774</v>
      </c>
      <c r="D127" s="253" t="s">
        <v>1373</v>
      </c>
      <c r="E127" s="253" t="s">
        <v>1750</v>
      </c>
      <c r="F127" s="253" t="s">
        <v>442</v>
      </c>
      <c r="G127" s="253" t="s">
        <v>1408</v>
      </c>
      <c r="H127" s="253" t="s">
        <v>34</v>
      </c>
      <c r="I127" s="253" t="s">
        <v>1775</v>
      </c>
      <c r="K127">
        <v>1420</v>
      </c>
      <c r="L127">
        <v>8</v>
      </c>
      <c r="M127" s="255">
        <f>L127*K127</f>
        <v>11360</v>
      </c>
      <c r="N127" s="255">
        <f>M127/$V$27</f>
        <v>649.14285714285711</v>
      </c>
      <c r="O127"/>
      <c r="P127" t="s">
        <v>1776</v>
      </c>
      <c r="T127" s="120"/>
      <c r="U127" s="120"/>
      <c r="V127" s="120"/>
      <c r="W127" s="120"/>
      <c r="X127" s="120"/>
    </row>
    <row r="128" spans="1:24">
      <c r="A128" s="305" t="b">
        <v>0</v>
      </c>
      <c r="B128" s="354" t="s">
        <v>1777</v>
      </c>
      <c r="D128" s="253" t="s">
        <v>1373</v>
      </c>
      <c r="E128" s="253" t="s">
        <v>1750</v>
      </c>
      <c r="F128" s="253" t="s">
        <v>442</v>
      </c>
      <c r="G128" s="253" t="s">
        <v>1408</v>
      </c>
      <c r="H128" s="253" t="s">
        <v>1778</v>
      </c>
      <c r="I128" s="253" t="s">
        <v>1775</v>
      </c>
      <c r="K128">
        <v>1420</v>
      </c>
      <c r="L128">
        <v>5</v>
      </c>
      <c r="M128" s="255">
        <f>L128*K128</f>
        <v>7100</v>
      </c>
      <c r="N128" s="255">
        <f>M128/$V$27</f>
        <v>405.71428571428572</v>
      </c>
      <c r="O128"/>
      <c r="P128" t="s">
        <v>1776</v>
      </c>
      <c r="T128" s="120"/>
      <c r="U128" s="120"/>
      <c r="V128" s="120"/>
      <c r="W128" s="120"/>
      <c r="X128" s="120"/>
    </row>
    <row r="129" spans="1:24">
      <c r="A129" s="305" t="b">
        <v>0</v>
      </c>
      <c r="B129" s="354" t="s">
        <v>1779</v>
      </c>
      <c r="D129" s="253" t="s">
        <v>1373</v>
      </c>
      <c r="E129" s="253" t="s">
        <v>1750</v>
      </c>
      <c r="F129" s="253" t="s">
        <v>442</v>
      </c>
      <c r="G129" s="253" t="s">
        <v>1408</v>
      </c>
      <c r="H129" s="253" t="s">
        <v>1778</v>
      </c>
      <c r="I129" s="253" t="s">
        <v>1780</v>
      </c>
      <c r="K129">
        <v>1164</v>
      </c>
      <c r="L129">
        <v>4</v>
      </c>
      <c r="M129" s="255">
        <f>L129*K129</f>
        <v>4656</v>
      </c>
      <c r="N129" s="255">
        <f>M129/$V$27</f>
        <v>266.05714285714288</v>
      </c>
      <c r="O129"/>
      <c r="P129" t="s">
        <v>1781</v>
      </c>
      <c r="T129" s="120"/>
      <c r="U129" s="120"/>
      <c r="V129" s="120"/>
      <c r="W129" s="120"/>
      <c r="X129" s="120"/>
    </row>
    <row r="130" spans="1:24">
      <c r="A130" s="305" t="b">
        <v>0</v>
      </c>
      <c r="B130" s="354" t="s">
        <v>1782</v>
      </c>
      <c r="D130" s="253" t="s">
        <v>1373</v>
      </c>
      <c r="E130" s="253" t="s">
        <v>1750</v>
      </c>
      <c r="F130" s="253" t="s">
        <v>442</v>
      </c>
      <c r="G130" s="253" t="s">
        <v>1408</v>
      </c>
      <c r="H130" s="253" t="s">
        <v>38</v>
      </c>
      <c r="I130" s="253" t="s">
        <v>1780</v>
      </c>
      <c r="K130">
        <v>1164</v>
      </c>
      <c r="L130">
        <v>6</v>
      </c>
      <c r="M130" s="255">
        <f>L130*K130</f>
        <v>6984</v>
      </c>
      <c r="N130" s="255">
        <f>M130/$V$27</f>
        <v>399.08571428571429</v>
      </c>
      <c r="O130"/>
      <c r="T130" s="120"/>
      <c r="U130" s="120"/>
      <c r="V130" s="120"/>
      <c r="W130" s="120"/>
      <c r="X130" s="120"/>
    </row>
    <row r="131" spans="1:24">
      <c r="A131" s="305" t="b">
        <v>0</v>
      </c>
      <c r="B131" s="354" t="s">
        <v>1783</v>
      </c>
      <c r="D131" t="s">
        <v>1373</v>
      </c>
      <c r="E131" s="253" t="s">
        <v>1750</v>
      </c>
      <c r="F131" s="253" t="s">
        <v>442</v>
      </c>
      <c r="G131" s="253" t="s">
        <v>1408</v>
      </c>
      <c r="H131" s="253" t="s">
        <v>1778</v>
      </c>
      <c r="I131" s="253" t="s">
        <v>1775</v>
      </c>
      <c r="K131">
        <v>1414</v>
      </c>
      <c r="L131">
        <v>8</v>
      </c>
      <c r="O131"/>
      <c r="T131" s="120"/>
      <c r="U131" s="120"/>
      <c r="V131" s="120"/>
      <c r="W131" s="120"/>
      <c r="X131" s="120"/>
    </row>
    <row r="132" spans="1:24">
      <c r="A132" s="305" t="b">
        <v>0</v>
      </c>
      <c r="O132"/>
      <c r="T132" s="120"/>
      <c r="U132" s="120"/>
      <c r="V132" s="120"/>
      <c r="W132" s="120"/>
      <c r="X132" s="120"/>
    </row>
    <row r="133" spans="1:24">
      <c r="A133" s="305" t="b">
        <v>0</v>
      </c>
      <c r="O133"/>
      <c r="T133" s="120"/>
      <c r="U133" s="120"/>
      <c r="V133" s="120"/>
      <c r="W133" s="120"/>
      <c r="X133" s="120"/>
    </row>
    <row r="134" spans="1:24">
      <c r="A134" s="305" t="b">
        <v>0</v>
      </c>
      <c r="O134"/>
      <c r="T134" s="120"/>
      <c r="U134" s="120"/>
      <c r="V134" s="120"/>
      <c r="W134" s="120"/>
      <c r="X134" s="120"/>
    </row>
    <row r="135" spans="1:24">
      <c r="A135" s="305" t="b">
        <v>0</v>
      </c>
      <c r="O135"/>
      <c r="T135" s="120"/>
      <c r="U135" s="120"/>
      <c r="V135" s="120"/>
      <c r="W135" s="120"/>
      <c r="X135" s="120"/>
    </row>
    <row r="136" spans="1:24">
      <c r="A136" s="305" t="b">
        <v>0</v>
      </c>
      <c r="O136"/>
      <c r="T136" s="120"/>
      <c r="U136" s="120"/>
      <c r="V136" s="120"/>
      <c r="W136" s="120"/>
      <c r="X136" s="120"/>
    </row>
    <row r="137" spans="1:24">
      <c r="A137" s="305" t="b">
        <v>0</v>
      </c>
      <c r="O137"/>
      <c r="T137" s="120"/>
      <c r="U137" s="120"/>
      <c r="V137" s="120"/>
      <c r="W137" s="120"/>
      <c r="X137" s="120"/>
    </row>
    <row r="138" spans="1:24">
      <c r="A138" s="305" t="b">
        <v>0</v>
      </c>
      <c r="O138"/>
      <c r="T138" s="120"/>
      <c r="U138" s="120"/>
      <c r="V138" s="120"/>
      <c r="W138" s="120"/>
      <c r="X138" s="120"/>
    </row>
    <row r="139" spans="1:24">
      <c r="A139" s="305" t="b">
        <v>0</v>
      </c>
      <c r="O139"/>
      <c r="T139" s="120"/>
      <c r="U139" s="120"/>
      <c r="V139" s="120"/>
      <c r="W139" s="120"/>
      <c r="X139" s="120"/>
    </row>
    <row r="140" spans="1:24">
      <c r="A140" s="305" t="b">
        <v>0</v>
      </c>
      <c r="O140"/>
      <c r="T140" s="120"/>
      <c r="U140" s="120"/>
      <c r="V140" s="120"/>
      <c r="W140" s="120"/>
      <c r="X140" s="120"/>
    </row>
    <row r="141" spans="1:24">
      <c r="A141" s="305" t="b">
        <v>0</v>
      </c>
      <c r="O141"/>
      <c r="T141" s="120"/>
      <c r="U141" s="120"/>
      <c r="V141" s="120"/>
      <c r="W141" s="120"/>
      <c r="X141" s="120"/>
    </row>
    <row r="142" spans="1:24" s="259" customFormat="1">
      <c r="A142" s="304" t="b">
        <v>0</v>
      </c>
      <c r="B142" s="258" t="s">
        <v>1784</v>
      </c>
      <c r="C142" s="259" t="s">
        <v>1523</v>
      </c>
      <c r="D142" s="259" t="s">
        <v>1373</v>
      </c>
      <c r="F142" s="259" t="s">
        <v>442</v>
      </c>
      <c r="G142" s="259" t="s">
        <v>1408</v>
      </c>
      <c r="H142" s="259" t="s">
        <v>36</v>
      </c>
      <c r="I142" s="259" t="s">
        <v>1785</v>
      </c>
      <c r="M142" s="260">
        <f>L142*K142</f>
        <v>0</v>
      </c>
      <c r="N142" s="260">
        <f>M142/$V$27</f>
        <v>0</v>
      </c>
      <c r="P142" s="524"/>
      <c r="Q142" s="259" t="str">
        <f>IFERROR(INDEX('MARE MX'!$K:$K,MATCH("*"&amp;I142&amp;"*",'MARE MX'!$F:$F,0)),"Sin dato")</f>
        <v>Sin dato</v>
      </c>
    </row>
    <row r="143" spans="1:24" s="259" customFormat="1">
      <c r="A143" s="304" t="b">
        <v>0</v>
      </c>
      <c r="B143" s="258" t="s">
        <v>1786</v>
      </c>
      <c r="C143" s="259" t="s">
        <v>1523</v>
      </c>
      <c r="D143" s="259" t="s">
        <v>1373</v>
      </c>
      <c r="F143" s="259" t="s">
        <v>442</v>
      </c>
      <c r="G143" s="259" t="s">
        <v>1407</v>
      </c>
      <c r="H143" s="259" t="s">
        <v>1498</v>
      </c>
      <c r="I143" s="259" t="s">
        <v>1785</v>
      </c>
      <c r="K143" s="259">
        <v>11622</v>
      </c>
      <c r="L143" s="259">
        <v>19</v>
      </c>
      <c r="M143" s="260">
        <f>L143*K143</f>
        <v>220818</v>
      </c>
      <c r="N143" s="296">
        <f>M143/$V$27</f>
        <v>12618.171428571428</v>
      </c>
      <c r="P143" s="524"/>
      <c r="Q143" s="259" t="str">
        <f>IFERROR(INDEX('MARE MX'!$K:$K,MATCH("*"&amp;I143&amp;"*",'MARE MX'!$F:$F,0)),"Sin dato")</f>
        <v>Sin dato</v>
      </c>
    </row>
  </sheetData>
  <autoFilter ref="A1:S143" xr:uid="{87DD4A04-C65E-4490-AE7B-491C3F9C82F1}"/>
  <sortState xmlns:xlrd2="http://schemas.microsoft.com/office/spreadsheetml/2017/richdata2" ref="B1:V118">
    <sortCondition ref="D2:D118"/>
    <sortCondition ref="F2:F118"/>
    <sortCondition ref="E2:E118"/>
    <sortCondition ref="I2:I118"/>
  </sortState>
  <mergeCells count="1">
    <mergeCell ref="P142:P143"/>
  </mergeCells>
  <conditionalFormatting sqref="W36:X36 P36:T36 P31:X35 A2:X27 A28:N28 P28:X28 O27:O36 D29:X30 D31:N36 A29:C36 A37:X143">
    <cfRule type="expression" dxfId="88" priority="157">
      <formula>AND($D2="Q1",$F2="Dafne de la Rosa")</formula>
    </cfRule>
  </conditionalFormatting>
  <conditionalFormatting sqref="W36:X36 P36:T36 P31:X35 A2:X27 A28:N28 P28:X28 O27:O36 D29:X30 D31:N36 A29:C36 A37:X143">
    <cfRule type="expression" dxfId="87" priority="158">
      <formula>AND($D2="Q1",$F2="Karla Patiño")</formula>
    </cfRule>
  </conditionalFormatting>
  <conditionalFormatting sqref="W36:X36 P36:T36 P31:X35 A2:X27 A28:N28 P28:X28 O27:O36 D29:X30 D31:N36 A29:C36 A37:X143">
    <cfRule type="expression" dxfId="86" priority="159">
      <formula>AND($D2="Q1",$F2="Raúl Campos")</formula>
    </cfRule>
  </conditionalFormatting>
  <conditionalFormatting sqref="W36:X36 P36:T36 P31:X35 A2:X27 A28:N28 P28:X28 O27:O36 D29:X30 D31:N36 A29:C36 A37:X143">
    <cfRule type="expression" dxfId="85" priority="160">
      <formula>AND($D2="Q2",$F2="Dafne de la Rosa")</formula>
    </cfRule>
  </conditionalFormatting>
  <conditionalFormatting sqref="W36:X36 P36:T36 P31:X35 A2:X27 A28:N28 P28:X28 O27:O36 D29:X30 D31:N36 A29:C36 A37:X143">
    <cfRule type="expression" dxfId="84" priority="161">
      <formula>AND($D2="Q2",$F2="Karla Patiño")</formula>
    </cfRule>
  </conditionalFormatting>
  <conditionalFormatting sqref="W36:X36 P36:T36 P31:X35 A2:X27 A28:N28 P28:X28 O27:O36 D29:X30 D31:N36 A29:C36 A37:X143">
    <cfRule type="expression" dxfId="83" priority="162">
      <formula>AND($D2="Q2",$F2="Raúl Campos")</formula>
    </cfRule>
  </conditionalFormatting>
  <conditionalFormatting sqref="W36:X36 P36:T36 P31:X35 A2:X27 A28:N28 P28:X28 O27:O36 D29:X30 D31:N36 A29:C36 A37:X143">
    <cfRule type="expression" dxfId="82" priority="163">
      <formula>AND($D2="Q3",$F2="Dafne de la Rosa")</formula>
    </cfRule>
  </conditionalFormatting>
  <conditionalFormatting sqref="W36:X36 P36:T36 P31:X35 A2:X27 A28:N28 P28:X28 O27:O36 D29:X30 D31:N36 A29:C36 A37:X143">
    <cfRule type="expression" dxfId="81" priority="164">
      <formula>AND($D2="Q3",$F2="Karla Patiño")</formula>
    </cfRule>
  </conditionalFormatting>
  <conditionalFormatting sqref="W36:X36 P36:T36 P31:X35 A2:X27 A28:N28 P28:X28 O27:O36 D29:X30 D31:N36 A29:C36 A37:X143">
    <cfRule type="expression" dxfId="80" priority="165">
      <formula>AND($D2="Q3",$F2="Raúl Campos")</formula>
    </cfRule>
  </conditionalFormatting>
  <conditionalFormatting sqref="W36:X36 P36:T36 P31:X35 A2:X27 A28:N28 P28:X28 O27:O36 D29:X30 D31:N36 A29:C36 A37:X143">
    <cfRule type="expression" dxfId="79" priority="166">
      <formula>AND($D2="Q4",$F2="Dafne de la Rosa")</formula>
    </cfRule>
  </conditionalFormatting>
  <conditionalFormatting sqref="W36:X36 P36:T36 P31:X35 A2:X27 A28:N28 P28:X28 O27:O36 D29:X30 D31:N36 A29:C36 A37:X143">
    <cfRule type="expression" dxfId="78" priority="167">
      <formula>AND($D2="Q4",$F2="Karla Patiño")</formula>
    </cfRule>
  </conditionalFormatting>
  <conditionalFormatting sqref="W36:X36 P36:T36 P31:X35 A2:X27 A28:N28 P28:X28 O27:O36 D29:X30 D31:N36 A29:C36 A37:X143">
    <cfRule type="expression" dxfId="77" priority="168">
      <formula>AND($D2="Q4",$F2="Raúl Campos")</formula>
    </cfRule>
  </conditionalFormatting>
  <dataValidations count="3">
    <dataValidation type="list" allowBlank="1" showInputMessage="1" showErrorMessage="1" sqref="C2:C26 C64 C37:C38 C43:C53 C55:C62 C83 C69:C81 C85:C1048576" xr:uid="{5644D294-132D-424E-90EF-FD782EFE8CC8}">
      <formula1>"Facturado,Proyectado"</formula1>
    </dataValidation>
    <dataValidation type="list" allowBlank="1" showInputMessage="1" showErrorMessage="1" sqref="C82:C84"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24"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87" r:id="rId28" xr:uid="{9A613451-7BC7-452F-AC52-CD249B8F62D4}"/>
    <hyperlink ref="B84" r:id="rId29" xr:uid="{78A601A1-929D-4D62-8AD7-54307849D196}"/>
    <hyperlink ref="B89"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08" r:id="rId40" xr:uid="{1BF9BD13-1CA8-4C65-ABE9-C3AA6C51F0DF}"/>
    <hyperlink ref="B112" r:id="rId41" xr:uid="{A76B212D-BC43-417B-B76D-7004D85091DB}"/>
    <hyperlink ref="B104" r:id="rId42" xr:uid="{954DA0A1-D451-45C7-A03D-F6B68133362E}"/>
    <hyperlink ref="B60" r:id="rId43" xr:uid="{54DB8CF5-A467-4DD7-97A7-AFBCE0473A5B}"/>
    <hyperlink ref="B109"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07" r:id="rId53" xr:uid="{D9A0221A-B850-4B00-BEDC-1F236B0F369E}"/>
    <hyperlink ref="B105" r:id="rId54" xr:uid="{54E011C2-FCD3-4968-834A-3176F822855C}"/>
    <hyperlink ref="B110" r:id="rId55" xr:uid="{089130A9-ED7E-4B6E-A0DB-85647B940EA5}"/>
    <hyperlink ref="B111" r:id="rId56" xr:uid="{026FD33C-CC56-45F6-99E2-093BB47D195A}"/>
    <hyperlink ref="B113" r:id="rId57" xr:uid="{FCC56229-D805-43AF-8830-C862C484E8B2}"/>
    <hyperlink ref="B114" r:id="rId58" xr:uid="{967827F9-6816-407A-B159-48178DF6A744}"/>
    <hyperlink ref="B82" r:id="rId59" xr:uid="{EE32B895-9E5C-4E6A-8A76-C9C92B1FAA15}"/>
    <hyperlink ref="B53" r:id="rId60" xr:uid="{57D816B7-B763-43FF-AF88-69A87ED0B436}"/>
    <hyperlink ref="B85" r:id="rId61" xr:uid="{D6F8C627-54A5-4382-8DD6-BCF055DE7241}"/>
    <hyperlink ref="B91" r:id="rId62" xr:uid="{13021D4C-2E10-4663-82CA-6EE49DA1473D}"/>
    <hyperlink ref="C40:C47" r:id="rId63" display="Facturado" xr:uid="{25CDF0CC-0C8C-4337-A2B9-A780B24C2568}"/>
    <hyperlink ref="C69" r:id="rId64" xr:uid="{3F898230-224A-41B5-B711-B6CC01FB73E6}"/>
    <hyperlink ref="C66" r:id="rId65" xr:uid="{03A192CD-81C6-426D-8B29-2793C998DB1C}"/>
    <hyperlink ref="C67" r:id="rId66" xr:uid="{0A756D70-9AEC-48AE-BD75-BFA09C3932B1}"/>
    <hyperlink ref="C63" r:id="rId67" xr:uid="{05571440-19F1-4F4C-B0BB-67EB0FB29178}"/>
    <hyperlink ref="C74" r:id="rId68" xr:uid="{751654C8-85A1-43E9-B928-24B71B875096}"/>
    <hyperlink ref="B33" r:id="rId69" xr:uid="{D9CA2E8B-A558-437F-9A3A-032E40F2E87E}"/>
    <hyperlink ref="B63" r:id="rId70" xr:uid="{343BDC44-03A2-43D7-83CF-B9E6C0A5616A}"/>
    <hyperlink ref="B74" r:id="rId71" xr:uid="{6C3F30FE-B067-459B-B511-C73DC61FDFE6}"/>
    <hyperlink ref="C65" r:id="rId72" xr:uid="{6A5E63A6-D3C8-48EC-A3A9-84F168AD1D40}"/>
    <hyperlink ref="B65" r:id="rId73" xr:uid="{20E51F9F-3D7F-4D12-ABD6-DE03106BB262}"/>
    <hyperlink ref="B45" r:id="rId74" xr:uid="{763900C5-B147-446F-8CBC-5A537F62F185}"/>
    <hyperlink ref="B46" r:id="rId75" xr:uid="{42E97652-A004-4E8D-B754-BB4A14C30C92}"/>
    <hyperlink ref="B100" r:id="rId76" xr:uid="{A7034D31-CD36-441D-99CB-69EDCA30B8F1}"/>
    <hyperlink ref="B47" r:id="rId77" xr:uid="{9AFE2D56-777F-4E25-ACF8-CABD6A98A8D5}"/>
    <hyperlink ref="B121" r:id="rId78" xr:uid="{F6133754-597F-4C2E-8038-A3E5D275A552}"/>
    <hyperlink ref="B122" r:id="rId79" xr:uid="{91D218BC-7BA9-4696-90BE-EBE6829220C8}"/>
    <hyperlink ref="B123" r:id="rId80" xr:uid="{D74A1B6B-7C1A-41EC-9AE9-353F7B6111BA}"/>
    <hyperlink ref="B117" r:id="rId81" xr:uid="{A34DECD8-EBD4-4ADA-BC08-16533E52729F}"/>
    <hyperlink ref="B118" r:id="rId82" xr:uid="{A70F6CC6-AAE0-48E3-AE53-7BEA701F110B}"/>
    <hyperlink ref="B115" r:id="rId83" xr:uid="{E06D3A54-A7AF-4B04-BB12-F568E1CBDA0A}"/>
    <hyperlink ref="B116" r:id="rId84" xr:uid="{FB96FC2D-024B-4003-ABD6-2E5088678DC2}"/>
    <hyperlink ref="B57" r:id="rId85" xr:uid="{1377EAE4-8B8A-453D-9191-2F77ADF2A2DC}"/>
    <hyperlink ref="B58" r:id="rId86" xr:uid="{8AD07025-F20C-440D-A035-4271547E2971}"/>
    <hyperlink ref="B101" r:id="rId87" xr:uid="{4942CAF5-BBDC-447F-9700-BC561573F976}"/>
    <hyperlink ref="B142" r:id="rId88" xr:uid="{B09D5A16-57CA-4E03-8053-E3D59BFEA779}"/>
    <hyperlink ref="B143" r:id="rId89" xr:uid="{ED701FA0-BF14-4C99-BBBE-5E0FBC20E356}"/>
    <hyperlink ref="B119" r:id="rId90" xr:uid="{011EA455-EF4E-4D8B-8DC2-518913E38FE4}"/>
    <hyperlink ref="B120" r:id="rId91" xr:uid="{8EF9FCB2-2723-4DDC-9CDB-9917E764534E}"/>
    <hyperlink ref="B86" r:id="rId92" xr:uid="{48006D37-188A-449E-943D-87C5349B42D2}"/>
    <hyperlink ref="B54" r:id="rId93" xr:uid="{BBDF8E0F-6F7B-4B2E-B226-E58178FD44AD}"/>
    <hyperlink ref="B106" r:id="rId94" xr:uid="{7F2E6CAA-7AB7-4ADE-9BC4-AA0B1ADBA3B2}"/>
    <hyperlink ref="B88" r:id="rId95" xr:uid="{5C15634F-930D-4C56-843C-4652D65B73FE}"/>
    <hyperlink ref="B83" r:id="rId96" xr:uid="{CA76A34B-DA2C-43CF-BC8E-C957CE98F1BA}"/>
    <hyperlink ref="B103" r:id="rId97" xr:uid="{0D8E1ADF-6C3D-4130-AA4C-B7540DAB68C4}"/>
    <hyperlink ref="B55" r:id="rId98" xr:uid="{31722B41-4A4F-46A2-9A6D-30D4D59DFBF7}"/>
    <hyperlink ref="B32" r:id="rId99" xr:uid="{05EF86B0-A3EA-455A-BE4B-7BEDBF876B3C}"/>
    <hyperlink ref="B35" r:id="rId100" xr:uid="{513C0050-AA2E-4F2C-8578-2E2FA19AF202}"/>
    <hyperlink ref="B92" r:id="rId101" xr:uid="{0D1C47A4-7983-4AEF-9B49-4478D1687075}"/>
    <hyperlink ref="B125" r:id="rId102" xr:uid="{30882995-A287-4CF7-9EFD-74199BE8F95C}"/>
    <hyperlink ref="B127" r:id="rId103" xr:uid="{D713DBD6-17FE-43FF-AA7B-591954871D1A}"/>
    <hyperlink ref="B128" r:id="rId104" xr:uid="{4F338DCF-D5A3-4069-BF2D-4A6941392158}"/>
    <hyperlink ref="B129" r:id="rId105" xr:uid="{25B45EF4-D0C9-4DA2-B4A0-52BA7975A484}"/>
    <hyperlink ref="B130" r:id="rId106" xr:uid="{E869CA36-468E-4337-BF6D-22C275538D9B}"/>
    <hyperlink ref="B42" r:id="rId107" xr:uid="{94495544-0226-418B-BC04-ABC70CC5926D}"/>
    <hyperlink ref="C68" r:id="rId108" xr:uid="{0E082FE2-5468-4A04-B5B4-8A19C47BC084}"/>
    <hyperlink ref="B102" r:id="rId109" xr:uid="{06E27575-439F-4F83-83CF-BAC19E31FA13}"/>
    <hyperlink ref="B131" r:id="rId110" xr:uid="{AC97A29F-33C3-45EE-BF13-16B2C262CC5F}"/>
  </hyperlinks>
  <pageMargins left="0.7" right="0.7" top="0.75" bottom="0.75" header="0.3" footer="0.3"/>
  <legacyDrawing r:id="rId11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8"/>
  <sheetViews>
    <sheetView workbookViewId="0">
      <pane ySplit="1" topLeftCell="A11" activePane="bottomLeft" state="frozen"/>
      <selection pane="bottomLeft" activeCell="C51" sqref="C51"/>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4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1454</v>
      </c>
      <c r="B1" s="213" t="s">
        <v>1787</v>
      </c>
      <c r="C1" s="213" t="s">
        <v>11</v>
      </c>
      <c r="D1" s="213" t="s">
        <v>1788</v>
      </c>
      <c r="E1" s="213" t="s">
        <v>1392</v>
      </c>
      <c r="F1" s="213" t="s">
        <v>1456</v>
      </c>
      <c r="G1" s="214" t="s">
        <v>1789</v>
      </c>
      <c r="H1" s="214" t="s">
        <v>1790</v>
      </c>
      <c r="I1" s="214" t="s">
        <v>1791</v>
      </c>
      <c r="J1" s="214" t="s">
        <v>1792</v>
      </c>
      <c r="K1" s="215" t="s">
        <v>1793</v>
      </c>
      <c r="L1" s="215" t="s">
        <v>1362</v>
      </c>
      <c r="M1" s="215" t="s">
        <v>1794</v>
      </c>
      <c r="N1" s="215" t="s">
        <v>1795</v>
      </c>
      <c r="O1" s="404" t="s">
        <v>1460</v>
      </c>
      <c r="P1" s="403"/>
      <c r="Q1" s="403"/>
      <c r="R1" s="403"/>
      <c r="S1" s="403"/>
      <c r="T1" s="403" t="s">
        <v>1796</v>
      </c>
      <c r="U1" s="48">
        <v>17.850000000000001</v>
      </c>
      <c r="V1" s="48"/>
      <c r="W1" s="48"/>
      <c r="X1" s="48"/>
    </row>
    <row r="2" spans="1:24" s="123" customFormat="1" hidden="1">
      <c r="A2" s="226" t="s">
        <v>1413</v>
      </c>
      <c r="B2" s="402" t="s">
        <v>1797</v>
      </c>
      <c r="C2" s="226" t="s">
        <v>445</v>
      </c>
      <c r="D2" s="226" t="s">
        <v>68</v>
      </c>
      <c r="E2" s="226"/>
      <c r="F2" s="227"/>
      <c r="G2" s="228"/>
      <c r="H2" s="228"/>
      <c r="I2" s="338">
        <v>167.66</v>
      </c>
      <c r="J2" s="226" t="s">
        <v>1384</v>
      </c>
      <c r="K2" s="226" t="s">
        <v>14</v>
      </c>
      <c r="L2" s="226" t="s">
        <v>1798</v>
      </c>
      <c r="M2" s="226"/>
      <c r="N2" s="226" t="s">
        <v>1799</v>
      </c>
      <c r="O2" s="226" t="s">
        <v>1800</v>
      </c>
      <c r="P2" s="158"/>
      <c r="Q2" s="158"/>
      <c r="R2" s="158"/>
      <c r="S2" s="158"/>
      <c r="T2" s="158"/>
      <c r="U2" s="158"/>
    </row>
    <row r="3" spans="1:24" hidden="1">
      <c r="A3" s="217" t="s">
        <v>1412</v>
      </c>
      <c r="B3" s="218" t="s">
        <v>1801</v>
      </c>
      <c r="C3" s="218" t="s">
        <v>1802</v>
      </c>
      <c r="D3" s="218" t="s">
        <v>68</v>
      </c>
      <c r="E3" s="218" t="s">
        <v>150</v>
      </c>
      <c r="F3" s="219">
        <v>19</v>
      </c>
      <c r="G3" s="220">
        <v>60</v>
      </c>
      <c r="H3" s="220"/>
      <c r="I3" s="337">
        <v>63.39</v>
      </c>
      <c r="J3" s="218" t="s">
        <v>1384</v>
      </c>
      <c r="K3" s="217" t="s">
        <v>14</v>
      </c>
      <c r="L3" s="217" t="s">
        <v>1798</v>
      </c>
      <c r="M3" s="222">
        <v>46029</v>
      </c>
      <c r="N3" s="218" t="s">
        <v>1799</v>
      </c>
      <c r="O3" s="218" t="s">
        <v>1803</v>
      </c>
      <c r="P3" s="221"/>
      <c r="Q3" s="221"/>
    </row>
    <row r="4" spans="1:24" hidden="1">
      <c r="A4" s="217" t="s">
        <v>1412</v>
      </c>
      <c r="B4" s="218" t="s">
        <v>1804</v>
      </c>
      <c r="C4" s="217" t="s">
        <v>1802</v>
      </c>
      <c r="D4" s="217" t="s">
        <v>68</v>
      </c>
      <c r="E4" s="217" t="s">
        <v>71</v>
      </c>
      <c r="F4" s="219">
        <v>4</v>
      </c>
      <c r="G4" s="220">
        <v>70</v>
      </c>
      <c r="H4" s="220"/>
      <c r="I4" s="337">
        <v>15.57</v>
      </c>
      <c r="J4" s="217" t="s">
        <v>1384</v>
      </c>
      <c r="K4" s="217" t="s">
        <v>14</v>
      </c>
      <c r="L4" s="217" t="s">
        <v>1798</v>
      </c>
      <c r="M4" s="222">
        <v>46052</v>
      </c>
      <c r="N4" s="217" t="s">
        <v>1799</v>
      </c>
      <c r="O4" s="217" t="s">
        <v>1805</v>
      </c>
      <c r="P4" s="221"/>
      <c r="Q4" s="221"/>
      <c r="V4" s="217" t="s">
        <v>1799</v>
      </c>
      <c r="W4" s="216">
        <f t="shared" ref="W4:W15" si="0">COUNTIF($N$2:$N$33,V4)</f>
        <v>8</v>
      </c>
    </row>
    <row r="5" spans="1:24" hidden="1">
      <c r="A5" s="217" t="s">
        <v>1412</v>
      </c>
      <c r="B5" s="218" t="s">
        <v>1806</v>
      </c>
      <c r="C5" s="217" t="s">
        <v>1802</v>
      </c>
      <c r="D5" s="217" t="s">
        <v>68</v>
      </c>
      <c r="E5" s="217"/>
      <c r="F5" s="219"/>
      <c r="G5" s="220"/>
      <c r="H5" s="220"/>
      <c r="I5" s="337">
        <v>4.8899999999999997</v>
      </c>
      <c r="J5" s="217" t="s">
        <v>1384</v>
      </c>
      <c r="K5" s="217" t="s">
        <v>14</v>
      </c>
      <c r="L5" s="217" t="s">
        <v>1798</v>
      </c>
      <c r="M5" s="217"/>
      <c r="N5" s="217" t="s">
        <v>1799</v>
      </c>
      <c r="O5" s="217"/>
      <c r="P5" s="221"/>
      <c r="Q5" s="221"/>
      <c r="V5" s="217" t="s">
        <v>1807</v>
      </c>
      <c r="W5" s="216">
        <f t="shared" si="0"/>
        <v>2</v>
      </c>
    </row>
    <row r="6" spans="1:24" hidden="1">
      <c r="A6" s="217" t="s">
        <v>1412</v>
      </c>
      <c r="B6" s="218" t="s">
        <v>1808</v>
      </c>
      <c r="C6" s="217" t="s">
        <v>1802</v>
      </c>
      <c r="D6" s="217" t="s">
        <v>68</v>
      </c>
      <c r="E6" s="217"/>
      <c r="F6" s="219"/>
      <c r="G6" s="220"/>
      <c r="H6" s="220"/>
      <c r="I6" s="337">
        <v>36.700000000000003</v>
      </c>
      <c r="J6" s="217" t="s">
        <v>1384</v>
      </c>
      <c r="K6" s="217" t="s">
        <v>14</v>
      </c>
      <c r="L6" s="217" t="s">
        <v>1798</v>
      </c>
      <c r="M6" s="217"/>
      <c r="N6" s="217" t="s">
        <v>1807</v>
      </c>
      <c r="O6" s="217" t="s">
        <v>1809</v>
      </c>
      <c r="P6" s="221"/>
      <c r="Q6" s="221"/>
      <c r="V6" s="217" t="s">
        <v>1810</v>
      </c>
      <c r="W6" s="216">
        <f t="shared" si="0"/>
        <v>1</v>
      </c>
    </row>
    <row r="7" spans="1:24" hidden="1">
      <c r="A7" s="217" t="s">
        <v>1412</v>
      </c>
      <c r="B7" s="218" t="s">
        <v>1811</v>
      </c>
      <c r="C7" s="217" t="s">
        <v>1802</v>
      </c>
      <c r="D7" s="217" t="s">
        <v>68</v>
      </c>
      <c r="E7" s="217"/>
      <c r="F7" s="219">
        <v>41</v>
      </c>
      <c r="G7" s="220">
        <v>35</v>
      </c>
      <c r="H7" s="220">
        <v>1435</v>
      </c>
      <c r="I7" s="337">
        <v>79.8</v>
      </c>
      <c r="J7" s="217" t="s">
        <v>1384</v>
      </c>
      <c r="K7" s="217" t="s">
        <v>14</v>
      </c>
      <c r="L7" s="217" t="s">
        <v>1798</v>
      </c>
      <c r="M7" s="217"/>
      <c r="N7" s="217"/>
      <c r="O7" s="217" t="s">
        <v>1812</v>
      </c>
      <c r="P7" s="221"/>
      <c r="Q7" s="221"/>
      <c r="R7" s="221"/>
      <c r="S7" s="221"/>
      <c r="T7" s="221"/>
      <c r="U7" s="221"/>
      <c r="V7" s="217" t="s">
        <v>1813</v>
      </c>
      <c r="W7" s="216">
        <f t="shared" si="0"/>
        <v>8</v>
      </c>
    </row>
    <row r="8" spans="1:24" hidden="1">
      <c r="A8" s="217" t="s">
        <v>1412</v>
      </c>
      <c r="B8" s="218" t="s">
        <v>1814</v>
      </c>
      <c r="C8" s="217" t="s">
        <v>1802</v>
      </c>
      <c r="D8" s="217" t="s">
        <v>68</v>
      </c>
      <c r="E8" s="217" t="s">
        <v>289</v>
      </c>
      <c r="F8" s="219">
        <v>14</v>
      </c>
      <c r="G8" s="220">
        <v>61.1</v>
      </c>
      <c r="H8" s="220">
        <v>855.45</v>
      </c>
      <c r="I8" s="337">
        <v>45.88</v>
      </c>
      <c r="J8" s="217" t="s">
        <v>1384</v>
      </c>
      <c r="K8" s="217" t="s">
        <v>14</v>
      </c>
      <c r="L8" s="217" t="s">
        <v>1798</v>
      </c>
      <c r="M8" s="217"/>
      <c r="N8" s="217" t="s">
        <v>1810</v>
      </c>
      <c r="O8" s="217" t="s">
        <v>1815</v>
      </c>
      <c r="P8" s="221"/>
      <c r="Q8" s="221"/>
      <c r="R8" s="221"/>
      <c r="S8" s="221"/>
      <c r="T8" s="221"/>
      <c r="U8" s="221"/>
      <c r="V8" s="217" t="s">
        <v>1816</v>
      </c>
      <c r="W8" s="216">
        <f t="shared" si="0"/>
        <v>1</v>
      </c>
    </row>
    <row r="9" spans="1:24" hidden="1">
      <c r="A9" s="217" t="s">
        <v>1412</v>
      </c>
      <c r="B9" s="217" t="s">
        <v>1817</v>
      </c>
      <c r="C9" s="217" t="s">
        <v>1802</v>
      </c>
      <c r="D9" s="217" t="s">
        <v>68</v>
      </c>
      <c r="E9" s="217"/>
      <c r="F9" s="219"/>
      <c r="G9" s="220"/>
      <c r="H9" s="220"/>
      <c r="I9" s="337">
        <v>42.54</v>
      </c>
      <c r="J9" s="217" t="s">
        <v>1384</v>
      </c>
      <c r="K9" s="217" t="s">
        <v>14</v>
      </c>
      <c r="L9" s="217" t="s">
        <v>1798</v>
      </c>
      <c r="M9" s="217"/>
      <c r="N9" s="217" t="s">
        <v>1807</v>
      </c>
      <c r="O9" s="217" t="s">
        <v>1809</v>
      </c>
      <c r="P9" s="221"/>
      <c r="Q9" s="221"/>
      <c r="R9" s="221"/>
      <c r="S9" s="221"/>
      <c r="T9" s="221"/>
      <c r="U9" s="221"/>
      <c r="V9" s="217" t="s">
        <v>1818</v>
      </c>
      <c r="W9" s="216">
        <f t="shared" si="0"/>
        <v>0</v>
      </c>
    </row>
    <row r="10" spans="1:24" hidden="1">
      <c r="A10" s="217" t="s">
        <v>1412</v>
      </c>
      <c r="B10" s="217" t="s">
        <v>1819</v>
      </c>
      <c r="C10" s="217" t="s">
        <v>1802</v>
      </c>
      <c r="D10" s="217" t="s">
        <v>68</v>
      </c>
      <c r="E10" s="217" t="s">
        <v>71</v>
      </c>
      <c r="F10" s="219">
        <v>4</v>
      </c>
      <c r="G10" s="220">
        <v>67.739999999999995</v>
      </c>
      <c r="H10" s="220">
        <v>270.95999999999998</v>
      </c>
      <c r="I10" s="337">
        <v>15.07</v>
      </c>
      <c r="J10" s="217" t="s">
        <v>1384</v>
      </c>
      <c r="K10" s="217" t="s">
        <v>14</v>
      </c>
      <c r="L10" s="217" t="s">
        <v>1798</v>
      </c>
      <c r="M10" s="222">
        <v>46052</v>
      </c>
      <c r="N10" s="217" t="s">
        <v>1813</v>
      </c>
      <c r="O10" s="217" t="s">
        <v>1820</v>
      </c>
      <c r="P10" s="221"/>
      <c r="Q10" s="221"/>
      <c r="R10" s="221"/>
      <c r="S10" s="221"/>
      <c r="T10" s="221"/>
      <c r="U10" s="221"/>
      <c r="V10" s="223" t="s">
        <v>1821</v>
      </c>
      <c r="W10" s="216">
        <f t="shared" si="0"/>
        <v>1</v>
      </c>
    </row>
    <row r="11" spans="1:24">
      <c r="A11" s="217" t="s">
        <v>1412</v>
      </c>
      <c r="B11" s="217" t="s">
        <v>1822</v>
      </c>
      <c r="C11" s="217" t="s">
        <v>69</v>
      </c>
      <c r="D11" s="217" t="s">
        <v>1031</v>
      </c>
      <c r="E11" s="217" t="s">
        <v>145</v>
      </c>
      <c r="F11" s="219">
        <v>112</v>
      </c>
      <c r="G11" s="220">
        <v>66.900000000000006</v>
      </c>
      <c r="H11" s="220">
        <v>7492.8</v>
      </c>
      <c r="I11" s="337">
        <v>416.65</v>
      </c>
      <c r="J11" s="217" t="s">
        <v>1384</v>
      </c>
      <c r="K11" s="217" t="s">
        <v>14</v>
      </c>
      <c r="L11" s="217" t="s">
        <v>1798</v>
      </c>
      <c r="M11" s="222">
        <v>46052</v>
      </c>
      <c r="N11" s="217" t="s">
        <v>1816</v>
      </c>
      <c r="O11" s="217" t="s">
        <v>1823</v>
      </c>
      <c r="P11" s="221"/>
      <c r="Q11" s="221"/>
      <c r="R11" s="221"/>
      <c r="S11" s="221"/>
      <c r="T11" s="221"/>
      <c r="U11" s="221"/>
      <c r="V11" s="223" t="s">
        <v>1824</v>
      </c>
      <c r="W11" s="216">
        <f t="shared" si="0"/>
        <v>1</v>
      </c>
    </row>
    <row r="12" spans="1:24">
      <c r="A12" s="217" t="s">
        <v>1412</v>
      </c>
      <c r="B12" s="217" t="s">
        <v>1825</v>
      </c>
      <c r="C12" s="217" t="s">
        <v>69</v>
      </c>
      <c r="D12" s="217" t="s">
        <v>68</v>
      </c>
      <c r="E12" s="217" t="s">
        <v>1826</v>
      </c>
      <c r="F12" s="219">
        <v>100</v>
      </c>
      <c r="G12" s="220">
        <v>67</v>
      </c>
      <c r="H12" s="220">
        <v>6690</v>
      </c>
      <c r="I12" s="337">
        <v>372.01</v>
      </c>
      <c r="J12" s="217" t="s">
        <v>1384</v>
      </c>
      <c r="K12" s="217" t="s">
        <v>14</v>
      </c>
      <c r="L12" s="217" t="s">
        <v>1798</v>
      </c>
      <c r="M12" s="217"/>
      <c r="N12" s="217" t="s">
        <v>1813</v>
      </c>
      <c r="O12" s="217" t="s">
        <v>1827</v>
      </c>
      <c r="P12" s="221"/>
      <c r="Q12" s="221"/>
      <c r="R12" s="221"/>
      <c r="S12" s="221"/>
      <c r="T12" s="221"/>
      <c r="U12" s="221"/>
      <c r="V12" s="223" t="s">
        <v>1828</v>
      </c>
      <c r="W12" s="216">
        <f t="shared" si="0"/>
        <v>1</v>
      </c>
    </row>
    <row r="13" spans="1:24" hidden="1">
      <c r="A13" s="217" t="s">
        <v>1412</v>
      </c>
      <c r="B13" s="217" t="s">
        <v>1829</v>
      </c>
      <c r="C13" s="217" t="s">
        <v>1802</v>
      </c>
      <c r="D13" s="217" t="s">
        <v>68</v>
      </c>
      <c r="E13" s="217"/>
      <c r="F13" s="219"/>
      <c r="G13" s="220"/>
      <c r="H13" s="220"/>
      <c r="I13" s="337">
        <v>177.11</v>
      </c>
      <c r="J13" s="217" t="s">
        <v>1384</v>
      </c>
      <c r="K13" s="217" t="s">
        <v>14</v>
      </c>
      <c r="L13" s="217" t="s">
        <v>1798</v>
      </c>
      <c r="M13" s="217"/>
      <c r="N13" s="217" t="s">
        <v>1799</v>
      </c>
      <c r="O13" s="217"/>
      <c r="P13" s="221"/>
      <c r="Q13" s="221"/>
      <c r="R13" s="221"/>
      <c r="S13" s="221"/>
      <c r="T13" s="221"/>
      <c r="U13" s="221"/>
      <c r="V13" s="223" t="s">
        <v>1830</v>
      </c>
      <c r="W13" s="216">
        <f t="shared" si="0"/>
        <v>0</v>
      </c>
    </row>
    <row r="14" spans="1:24" hidden="1">
      <c r="A14" s="217" t="s">
        <v>1412</v>
      </c>
      <c r="B14" s="217" t="s">
        <v>1831</v>
      </c>
      <c r="C14" s="217" t="s">
        <v>1802</v>
      </c>
      <c r="D14" s="217" t="s">
        <v>68</v>
      </c>
      <c r="E14" s="217"/>
      <c r="F14" s="219"/>
      <c r="G14" s="220"/>
      <c r="H14" s="220"/>
      <c r="I14" s="337">
        <v>75.900000000000006</v>
      </c>
      <c r="J14" s="217" t="s">
        <v>1384</v>
      </c>
      <c r="K14" s="217" t="s">
        <v>14</v>
      </c>
      <c r="L14" s="217" t="s">
        <v>1798</v>
      </c>
      <c r="M14" s="217"/>
      <c r="N14" s="217" t="s">
        <v>1799</v>
      </c>
      <c r="O14" s="217"/>
      <c r="P14" s="221"/>
      <c r="Q14" s="221"/>
      <c r="R14" s="221"/>
      <c r="S14" s="221"/>
      <c r="T14" s="221"/>
      <c r="U14" s="221"/>
      <c r="V14" s="224" t="s">
        <v>1832</v>
      </c>
      <c r="W14" s="216">
        <f t="shared" si="0"/>
        <v>1</v>
      </c>
    </row>
    <row r="15" spans="1:24" hidden="1">
      <c r="A15" s="217" t="s">
        <v>1412</v>
      </c>
      <c r="B15" s="217" t="s">
        <v>1833</v>
      </c>
      <c r="C15" s="217" t="s">
        <v>445</v>
      </c>
      <c r="D15" s="217" t="s">
        <v>68</v>
      </c>
      <c r="E15" s="217" t="s">
        <v>71</v>
      </c>
      <c r="F15" s="219">
        <v>83</v>
      </c>
      <c r="G15" s="220">
        <v>23.05</v>
      </c>
      <c r="H15" s="220">
        <v>1913</v>
      </c>
      <c r="I15" s="337">
        <v>106.41</v>
      </c>
      <c r="J15" s="217" t="s">
        <v>1384</v>
      </c>
      <c r="K15" s="217" t="s">
        <v>14</v>
      </c>
      <c r="L15" s="217" t="s">
        <v>1798</v>
      </c>
      <c r="M15" s="222">
        <v>46045</v>
      </c>
      <c r="N15" s="217" t="s">
        <v>1813</v>
      </c>
      <c r="O15" s="217" t="s">
        <v>1834</v>
      </c>
      <c r="P15" s="221"/>
      <c r="Q15" s="221"/>
      <c r="R15" s="221"/>
      <c r="S15" s="221"/>
      <c r="T15" s="221"/>
      <c r="U15" s="221"/>
      <c r="V15" s="224" t="s">
        <v>1835</v>
      </c>
      <c r="W15" s="216">
        <f t="shared" si="0"/>
        <v>0</v>
      </c>
    </row>
    <row r="16" spans="1:24" s="225" customFormat="1">
      <c r="A16" s="225" t="s">
        <v>1413</v>
      </c>
      <c r="B16" s="226" t="s">
        <v>1836</v>
      </c>
      <c r="C16" s="226" t="s">
        <v>69</v>
      </c>
      <c r="D16" s="226" t="s">
        <v>1031</v>
      </c>
      <c r="E16" s="226"/>
      <c r="F16" s="227"/>
      <c r="G16" s="228"/>
      <c r="H16" s="228"/>
      <c r="I16" s="338">
        <v>1078</v>
      </c>
      <c r="J16" s="226" t="s">
        <v>1384</v>
      </c>
      <c r="K16" s="226" t="s">
        <v>14</v>
      </c>
      <c r="L16" s="226"/>
      <c r="M16" s="226"/>
      <c r="N16" s="226"/>
      <c r="O16" s="226"/>
      <c r="P16" s="226"/>
      <c r="Q16" s="226"/>
      <c r="R16" s="226"/>
      <c r="S16" s="226"/>
      <c r="T16" s="226"/>
      <c r="U16" s="226"/>
    </row>
    <row r="17" spans="1:15" s="225" customFormat="1" hidden="1">
      <c r="A17" s="225" t="s">
        <v>1413</v>
      </c>
      <c r="B17" s="226" t="s">
        <v>1837</v>
      </c>
      <c r="C17" s="226" t="s">
        <v>442</v>
      </c>
      <c r="D17" s="226" t="s">
        <v>1031</v>
      </c>
      <c r="E17" s="226"/>
      <c r="F17" s="227"/>
      <c r="G17" s="228"/>
      <c r="H17" s="228"/>
      <c r="I17" s="338">
        <v>3956</v>
      </c>
      <c r="J17" s="226" t="s">
        <v>1384</v>
      </c>
      <c r="K17" s="226" t="s">
        <v>14</v>
      </c>
      <c r="L17" s="226"/>
      <c r="M17" s="226"/>
      <c r="N17" s="226"/>
      <c r="O17" s="226"/>
    </row>
    <row r="18" spans="1:15" hidden="1">
      <c r="A18" s="223" t="s">
        <v>1412</v>
      </c>
      <c r="B18" s="223" t="s">
        <v>1838</v>
      </c>
      <c r="C18" s="223" t="s">
        <v>445</v>
      </c>
      <c r="D18" s="223" t="s">
        <v>68</v>
      </c>
      <c r="E18" s="223"/>
      <c r="F18" s="229"/>
      <c r="G18" s="230"/>
      <c r="H18" s="230"/>
      <c r="I18" s="339">
        <v>110</v>
      </c>
      <c r="J18" s="223" t="s">
        <v>14</v>
      </c>
      <c r="K18" s="223" t="s">
        <v>15</v>
      </c>
      <c r="L18" s="223" t="s">
        <v>1798</v>
      </c>
      <c r="M18" s="223"/>
      <c r="N18" s="223" t="s">
        <v>1821</v>
      </c>
      <c r="O18" s="223" t="s">
        <v>1839</v>
      </c>
    </row>
    <row r="19" spans="1:15" hidden="1">
      <c r="A19" s="223" t="s">
        <v>1412</v>
      </c>
      <c r="B19" s="223" t="s">
        <v>1840</v>
      </c>
      <c r="C19" s="223" t="s">
        <v>442</v>
      </c>
      <c r="D19" s="223" t="s">
        <v>1031</v>
      </c>
      <c r="E19" s="223" t="s">
        <v>119</v>
      </c>
      <c r="F19" s="229"/>
      <c r="G19" s="230"/>
      <c r="H19" s="230"/>
      <c r="I19" s="339">
        <v>256</v>
      </c>
      <c r="J19" s="223" t="s">
        <v>14</v>
      </c>
      <c r="K19" s="223" t="s">
        <v>15</v>
      </c>
      <c r="L19" s="223" t="s">
        <v>1798</v>
      </c>
      <c r="M19" s="223"/>
      <c r="N19" s="223" t="s">
        <v>1813</v>
      </c>
      <c r="O19" s="223" t="s">
        <v>1841</v>
      </c>
    </row>
    <row r="20" spans="1:15" hidden="1">
      <c r="A20" s="223" t="s">
        <v>1412</v>
      </c>
      <c r="B20" s="223" t="s">
        <v>1842</v>
      </c>
      <c r="C20" s="223" t="s">
        <v>442</v>
      </c>
      <c r="D20" s="223" t="s">
        <v>1031</v>
      </c>
      <c r="E20" s="223" t="s">
        <v>119</v>
      </c>
      <c r="F20" s="229"/>
      <c r="G20" s="230"/>
      <c r="H20" s="230"/>
      <c r="I20" s="339">
        <v>268</v>
      </c>
      <c r="J20" s="223" t="s">
        <v>14</v>
      </c>
      <c r="K20" s="223" t="s">
        <v>15</v>
      </c>
      <c r="L20" s="223" t="s">
        <v>1798</v>
      </c>
      <c r="M20" s="223"/>
      <c r="N20" s="223" t="s">
        <v>1813</v>
      </c>
      <c r="O20" s="223" t="s">
        <v>1841</v>
      </c>
    </row>
    <row r="21" spans="1:15" hidden="1">
      <c r="A21" s="223" t="s">
        <v>1412</v>
      </c>
      <c r="B21" s="223" t="s">
        <v>1843</v>
      </c>
      <c r="C21" s="223" t="s">
        <v>442</v>
      </c>
      <c r="D21" s="223" t="s">
        <v>1031</v>
      </c>
      <c r="E21" s="223" t="s">
        <v>119</v>
      </c>
      <c r="F21" s="229"/>
      <c r="G21" s="230"/>
      <c r="H21" s="230"/>
      <c r="I21" s="339">
        <v>151</v>
      </c>
      <c r="J21" s="223" t="s">
        <v>14</v>
      </c>
      <c r="K21" s="223" t="s">
        <v>15</v>
      </c>
      <c r="L21" s="223" t="s">
        <v>1798</v>
      </c>
      <c r="M21" s="223"/>
      <c r="N21" s="223" t="s">
        <v>1813</v>
      </c>
      <c r="O21" s="223" t="s">
        <v>1841</v>
      </c>
    </row>
    <row r="22" spans="1:15" hidden="1">
      <c r="A22" s="223" t="s">
        <v>1412</v>
      </c>
      <c r="B22" s="223" t="s">
        <v>1844</v>
      </c>
      <c r="C22" s="223" t="s">
        <v>1802</v>
      </c>
      <c r="D22" s="223" t="s">
        <v>68</v>
      </c>
      <c r="E22" s="223"/>
      <c r="F22" s="229"/>
      <c r="G22" s="230"/>
      <c r="H22" s="230"/>
      <c r="I22" s="339">
        <v>33</v>
      </c>
      <c r="J22" s="223" t="s">
        <v>14</v>
      </c>
      <c r="K22" s="223" t="s">
        <v>15</v>
      </c>
      <c r="L22" s="223" t="s">
        <v>1798</v>
      </c>
      <c r="M22" s="223"/>
      <c r="N22" s="223" t="s">
        <v>1799</v>
      </c>
      <c r="O22" s="223"/>
    </row>
    <row r="23" spans="1:15" hidden="1">
      <c r="A23" s="223" t="s">
        <v>1412</v>
      </c>
      <c r="B23" s="223" t="s">
        <v>1845</v>
      </c>
      <c r="C23" s="223" t="s">
        <v>445</v>
      </c>
      <c r="D23" s="223" t="s">
        <v>68</v>
      </c>
      <c r="E23" s="223"/>
      <c r="F23" s="229"/>
      <c r="G23" s="230"/>
      <c r="H23" s="230"/>
      <c r="I23" s="339">
        <v>87</v>
      </c>
      <c r="J23" s="223" t="s">
        <v>14</v>
      </c>
      <c r="K23" s="223" t="s">
        <v>15</v>
      </c>
      <c r="L23" s="223" t="s">
        <v>1798</v>
      </c>
      <c r="M23" s="223"/>
      <c r="N23" s="223" t="s">
        <v>1799</v>
      </c>
      <c r="O23" s="223"/>
    </row>
    <row r="24" spans="1:15" hidden="1">
      <c r="A24" s="223" t="s">
        <v>1412</v>
      </c>
      <c r="B24" s="223" t="s">
        <v>1846</v>
      </c>
      <c r="C24" s="223" t="s">
        <v>445</v>
      </c>
      <c r="D24" s="223" t="s">
        <v>68</v>
      </c>
      <c r="E24" s="223"/>
      <c r="F24" s="229"/>
      <c r="G24" s="230"/>
      <c r="H24" s="230"/>
      <c r="I24" s="339">
        <v>298</v>
      </c>
      <c r="J24" s="223" t="s">
        <v>14</v>
      </c>
      <c r="K24" s="223" t="s">
        <v>15</v>
      </c>
      <c r="L24" s="223" t="s">
        <v>1798</v>
      </c>
      <c r="M24" s="223"/>
      <c r="N24" s="223"/>
      <c r="O24" s="223"/>
    </row>
    <row r="25" spans="1:15" hidden="1">
      <c r="A25" s="223" t="s">
        <v>1412</v>
      </c>
      <c r="B25" s="223" t="s">
        <v>1847</v>
      </c>
      <c r="C25" s="223" t="s">
        <v>1802</v>
      </c>
      <c r="D25" s="223" t="s">
        <v>68</v>
      </c>
      <c r="E25" s="223"/>
      <c r="F25" s="229"/>
      <c r="G25" s="230"/>
      <c r="H25" s="230"/>
      <c r="I25" s="339">
        <v>20</v>
      </c>
      <c r="J25" s="223" t="s">
        <v>14</v>
      </c>
      <c r="K25" s="223" t="s">
        <v>15</v>
      </c>
      <c r="L25" s="223" t="s">
        <v>1798</v>
      </c>
      <c r="M25" s="223"/>
      <c r="N25" s="223" t="s">
        <v>1813</v>
      </c>
      <c r="O25" s="223" t="s">
        <v>1848</v>
      </c>
    </row>
    <row r="26" spans="1:15" hidden="1">
      <c r="A26" s="223" t="s">
        <v>1412</v>
      </c>
      <c r="B26" s="223" t="s">
        <v>1849</v>
      </c>
      <c r="C26" s="223" t="s">
        <v>445</v>
      </c>
      <c r="D26" s="223" t="s">
        <v>68</v>
      </c>
      <c r="E26" s="223" t="s">
        <v>71</v>
      </c>
      <c r="F26" s="229">
        <v>102</v>
      </c>
      <c r="G26" s="230">
        <v>40.94</v>
      </c>
      <c r="H26" s="230">
        <v>4176</v>
      </c>
      <c r="I26" s="339">
        <v>242</v>
      </c>
      <c r="J26" s="223" t="s">
        <v>14</v>
      </c>
      <c r="K26" s="223" t="s">
        <v>15</v>
      </c>
      <c r="L26" s="223" t="s">
        <v>1798</v>
      </c>
      <c r="M26" s="231">
        <v>46052</v>
      </c>
      <c r="N26" s="223" t="s">
        <v>1824</v>
      </c>
      <c r="O26" s="223" t="s">
        <v>1850</v>
      </c>
    </row>
    <row r="27" spans="1:15" hidden="1">
      <c r="A27" s="223" t="s">
        <v>1412</v>
      </c>
      <c r="B27" s="223" t="s">
        <v>1851</v>
      </c>
      <c r="C27" s="223" t="s">
        <v>1802</v>
      </c>
      <c r="D27" s="223" t="s">
        <v>68</v>
      </c>
      <c r="E27" s="223"/>
      <c r="F27" s="229"/>
      <c r="G27" s="230"/>
      <c r="H27" s="230"/>
      <c r="I27" s="339">
        <v>43</v>
      </c>
      <c r="J27" s="223" t="s">
        <v>14</v>
      </c>
      <c r="K27" s="223" t="s">
        <v>15</v>
      </c>
      <c r="L27" s="223" t="s">
        <v>1798</v>
      </c>
      <c r="M27" s="223"/>
      <c r="N27" s="223" t="s">
        <v>1828</v>
      </c>
      <c r="O27" s="223" t="s">
        <v>1852</v>
      </c>
    </row>
    <row r="28" spans="1:15">
      <c r="A28" s="223" t="s">
        <v>1412</v>
      </c>
      <c r="B28" s="223" t="s">
        <v>1853</v>
      </c>
      <c r="C28" s="223" t="s">
        <v>69</v>
      </c>
      <c r="D28" s="223" t="s">
        <v>68</v>
      </c>
      <c r="E28" s="223"/>
      <c r="F28" s="229"/>
      <c r="G28" s="230"/>
      <c r="H28" s="230"/>
      <c r="I28" s="339">
        <v>342</v>
      </c>
      <c r="J28" s="223" t="s">
        <v>14</v>
      </c>
      <c r="K28" s="223" t="s">
        <v>15</v>
      </c>
      <c r="L28" s="223" t="s">
        <v>1798</v>
      </c>
      <c r="M28" s="223"/>
      <c r="N28" s="223" t="s">
        <v>1854</v>
      </c>
      <c r="O28" s="223" t="s">
        <v>1855</v>
      </c>
    </row>
    <row r="29" spans="1:15" hidden="1">
      <c r="A29" s="224" t="s">
        <v>1412</v>
      </c>
      <c r="B29" s="224" t="s">
        <v>1856</v>
      </c>
      <c r="C29" s="224" t="s">
        <v>1802</v>
      </c>
      <c r="D29" s="224" t="s">
        <v>68</v>
      </c>
      <c r="E29" s="224"/>
      <c r="F29" s="232"/>
      <c r="G29" s="233"/>
      <c r="H29" s="233"/>
      <c r="I29" s="340">
        <v>630</v>
      </c>
      <c r="J29" s="224" t="s">
        <v>15</v>
      </c>
      <c r="K29" s="224" t="s">
        <v>16</v>
      </c>
      <c r="L29" s="224" t="s">
        <v>1798</v>
      </c>
      <c r="M29" s="224"/>
      <c r="N29" s="224"/>
      <c r="O29" s="224" t="s">
        <v>1857</v>
      </c>
    </row>
    <row r="30" spans="1:15" hidden="1">
      <c r="A30" s="224" t="s">
        <v>1412</v>
      </c>
      <c r="B30" s="224" t="s">
        <v>1858</v>
      </c>
      <c r="C30" s="224" t="s">
        <v>1802</v>
      </c>
      <c r="D30" s="224" t="s">
        <v>68</v>
      </c>
      <c r="E30" s="224"/>
      <c r="F30" s="232"/>
      <c r="G30" s="233"/>
      <c r="H30" s="233">
        <v>1587</v>
      </c>
      <c r="I30" s="340">
        <v>17.850000000000001</v>
      </c>
      <c r="J30" s="224" t="s">
        <v>15</v>
      </c>
      <c r="K30" s="224" t="s">
        <v>16</v>
      </c>
      <c r="L30" s="224" t="s">
        <v>1798</v>
      </c>
      <c r="M30" s="224"/>
      <c r="N30" s="224"/>
      <c r="O30" s="224" t="s">
        <v>1859</v>
      </c>
    </row>
    <row r="31" spans="1:15">
      <c r="A31" s="224" t="s">
        <v>1412</v>
      </c>
      <c r="B31" s="224" t="s">
        <v>1860</v>
      </c>
      <c r="C31" s="224" t="s">
        <v>69</v>
      </c>
      <c r="D31" s="224" t="s">
        <v>68</v>
      </c>
      <c r="E31" s="224"/>
      <c r="F31" s="232"/>
      <c r="G31" s="233"/>
      <c r="H31" s="233"/>
      <c r="I31" s="340">
        <v>169</v>
      </c>
      <c r="J31" s="224" t="s">
        <v>15</v>
      </c>
      <c r="K31" s="224" t="s">
        <v>16</v>
      </c>
      <c r="L31" s="224" t="s">
        <v>1798</v>
      </c>
      <c r="M31" s="224"/>
      <c r="N31" s="224" t="s">
        <v>1861</v>
      </c>
      <c r="O31" s="224" t="s">
        <v>1859</v>
      </c>
    </row>
    <row r="32" spans="1:15" hidden="1">
      <c r="A32" s="224" t="s">
        <v>1412</v>
      </c>
      <c r="B32" s="234" t="s">
        <v>1862</v>
      </c>
      <c r="C32" s="224" t="s">
        <v>445</v>
      </c>
      <c r="D32" s="224" t="s">
        <v>68</v>
      </c>
      <c r="E32" s="224"/>
      <c r="F32" s="232"/>
      <c r="G32" s="233"/>
      <c r="H32" s="233"/>
      <c r="I32" s="340">
        <v>175</v>
      </c>
      <c r="J32" s="224" t="s">
        <v>15</v>
      </c>
      <c r="K32" s="224" t="s">
        <v>16</v>
      </c>
      <c r="L32" s="224" t="s">
        <v>1798</v>
      </c>
      <c r="M32" s="224"/>
      <c r="N32" s="224" t="s">
        <v>1813</v>
      </c>
      <c r="O32" s="235" t="s">
        <v>1863</v>
      </c>
    </row>
    <row r="33" spans="1:15" hidden="1">
      <c r="A33" s="224" t="s">
        <v>1412</v>
      </c>
      <c r="B33" s="234" t="s">
        <v>1864</v>
      </c>
      <c r="C33" s="236" t="s">
        <v>445</v>
      </c>
      <c r="D33" s="234" t="s">
        <v>68</v>
      </c>
      <c r="E33" s="236"/>
      <c r="F33" s="237"/>
      <c r="G33" s="238"/>
      <c r="H33" s="232"/>
      <c r="I33" s="340">
        <v>250.93180000000001</v>
      </c>
      <c r="J33" s="234" t="s">
        <v>15</v>
      </c>
      <c r="K33" s="224" t="s">
        <v>16</v>
      </c>
      <c r="L33" s="224" t="s">
        <v>1798</v>
      </c>
      <c r="M33" s="224"/>
      <c r="N33" s="224" t="s">
        <v>1832</v>
      </c>
      <c r="O33" s="224"/>
    </row>
    <row r="34" spans="1:15" hidden="1">
      <c r="A34" s="224" t="s">
        <v>1412</v>
      </c>
      <c r="B34" s="234" t="s">
        <v>1865</v>
      </c>
      <c r="C34" s="236" t="s">
        <v>1802</v>
      </c>
      <c r="D34" s="234" t="s">
        <v>68</v>
      </c>
      <c r="E34" s="236"/>
      <c r="F34" s="237"/>
      <c r="G34" s="238"/>
      <c r="H34" s="232"/>
      <c r="I34" s="340">
        <v>52.764299999999999</v>
      </c>
      <c r="J34" s="224" t="s">
        <v>15</v>
      </c>
      <c r="K34" s="224" t="s">
        <v>16</v>
      </c>
      <c r="L34" s="224" t="s">
        <v>1798</v>
      </c>
      <c r="M34" s="224"/>
      <c r="N34" s="224"/>
      <c r="O34" s="224"/>
    </row>
    <row r="35" spans="1:15" hidden="1">
      <c r="A35" s="224" t="s">
        <v>1412</v>
      </c>
      <c r="B35" s="234" t="s">
        <v>1070</v>
      </c>
      <c r="C35" s="236" t="s">
        <v>1802</v>
      </c>
      <c r="D35" s="234" t="s">
        <v>68</v>
      </c>
      <c r="E35" s="236"/>
      <c r="F35" s="237"/>
      <c r="G35" s="238"/>
      <c r="H35" s="232"/>
      <c r="I35" s="340">
        <v>39.058900000000001</v>
      </c>
      <c r="J35" s="224" t="s">
        <v>15</v>
      </c>
      <c r="K35" s="224" t="s">
        <v>16</v>
      </c>
      <c r="L35" s="224" t="s">
        <v>1798</v>
      </c>
      <c r="M35" s="224"/>
      <c r="N35" s="224"/>
      <c r="O35" s="224"/>
    </row>
    <row r="36" spans="1:15" hidden="1">
      <c r="A36" s="224" t="s">
        <v>1412</v>
      </c>
      <c r="B36" s="234" t="s">
        <v>1866</v>
      </c>
      <c r="C36" s="236" t="s">
        <v>1802</v>
      </c>
      <c r="D36" s="234" t="s">
        <v>68</v>
      </c>
      <c r="E36" s="236"/>
      <c r="F36" s="237"/>
      <c r="G36" s="238"/>
      <c r="H36" s="232"/>
      <c r="I36" s="340">
        <v>21.043099999999999</v>
      </c>
      <c r="J36" s="224" t="s">
        <v>15</v>
      </c>
      <c r="K36" s="224" t="s">
        <v>16</v>
      </c>
      <c r="L36" s="224" t="s">
        <v>1798</v>
      </c>
      <c r="M36" s="224"/>
      <c r="N36" s="224"/>
      <c r="O36" s="224"/>
    </row>
    <row r="37" spans="1:15" s="123" customFormat="1">
      <c r="A37" s="217" t="s">
        <v>1412</v>
      </c>
      <c r="B37" s="239" t="s">
        <v>1867</v>
      </c>
      <c r="C37" s="217" t="s">
        <v>69</v>
      </c>
      <c r="D37" s="217" t="s">
        <v>68</v>
      </c>
      <c r="E37" s="217"/>
      <c r="F37" s="219"/>
      <c r="G37" s="217"/>
      <c r="H37" s="217"/>
      <c r="I37" s="337">
        <v>361</v>
      </c>
      <c r="J37" s="240" t="s">
        <v>16</v>
      </c>
      <c r="K37" s="240" t="s">
        <v>17</v>
      </c>
      <c r="L37" s="217" t="s">
        <v>1868</v>
      </c>
      <c r="M37" s="217"/>
      <c r="N37" s="217" t="s">
        <v>1869</v>
      </c>
      <c r="O37" s="217" t="s">
        <v>1870</v>
      </c>
    </row>
    <row r="38" spans="1:15" s="123" customFormat="1" hidden="1">
      <c r="A38" s="217" t="s">
        <v>1412</v>
      </c>
      <c r="B38" s="239" t="s">
        <v>1058</v>
      </c>
      <c r="C38" s="240" t="str">
        <f>INDEX('MARE MX'!$L$2:$L$575,MATCH("*"&amp;B38&amp;"*",'MARE MX'!$F$2:$F$575,0))</f>
        <v>No Asignado</v>
      </c>
      <c r="D38" s="240" t="str">
        <f>INDEX('MARE MX'!$K$2:$K$575,MATCH("*"&amp;B38&amp;"*",'MARE MX'!$F$2:$F$575,0))</f>
        <v>SMB</v>
      </c>
      <c r="E38" s="240"/>
      <c r="F38" s="240"/>
      <c r="G38" s="240"/>
      <c r="H38" s="240"/>
      <c r="I38" s="337">
        <v>75</v>
      </c>
      <c r="J38" s="240" t="s">
        <v>16</v>
      </c>
      <c r="K38" s="240" t="s">
        <v>17</v>
      </c>
      <c r="L38" s="217" t="s">
        <v>1868</v>
      </c>
      <c r="M38" s="240"/>
      <c r="N38" s="240"/>
      <c r="O38" s="240" t="s">
        <v>1412</v>
      </c>
    </row>
    <row r="39" spans="1:15" s="123" customFormat="1" hidden="1">
      <c r="A39" s="217" t="s">
        <v>1412</v>
      </c>
      <c r="B39" s="239" t="s">
        <v>1060</v>
      </c>
      <c r="C39" s="240" t="str">
        <f>INDEX('MARE MX'!$L$2:$L$575,MATCH("*"&amp;B39&amp;"*",'MARE MX'!$F$2:$F$575,0))</f>
        <v>No Asignado</v>
      </c>
      <c r="D39" s="240" t="str">
        <f>INDEX('MARE MX'!$K$2:$K$575,MATCH("*"&amp;B39&amp;"*",'MARE MX'!$F$2:$F$575,0))</f>
        <v>SMB</v>
      </c>
      <c r="E39" s="240"/>
      <c r="F39" s="240"/>
      <c r="G39" s="240"/>
      <c r="H39" s="240"/>
      <c r="I39" s="337">
        <v>74</v>
      </c>
      <c r="J39" s="240" t="s">
        <v>16</v>
      </c>
      <c r="K39" s="240" t="s">
        <v>17</v>
      </c>
      <c r="L39" s="217" t="s">
        <v>1868</v>
      </c>
      <c r="M39" s="240"/>
      <c r="N39" s="240"/>
      <c r="O39" s="240" t="s">
        <v>1412</v>
      </c>
    </row>
    <row r="40" spans="1:15" s="123" customFormat="1" hidden="1">
      <c r="A40" s="217" t="s">
        <v>1412</v>
      </c>
      <c r="B40" s="239" t="s">
        <v>1062</v>
      </c>
      <c r="C40" s="240" t="str">
        <f>INDEX('MARE MX'!$L$2:$L$575,MATCH("*"&amp;B40&amp;"*",'MARE MX'!$F$2:$F$575,0))</f>
        <v>No Asignado</v>
      </c>
      <c r="D40" s="240" t="str">
        <f>INDEX('MARE MX'!$K$2:$K$575,MATCH("*"&amp;B40&amp;"*",'MARE MX'!$F$2:$F$575,0))</f>
        <v>SMB</v>
      </c>
      <c r="E40" s="240"/>
      <c r="F40" s="240"/>
      <c r="G40" s="240"/>
      <c r="H40" s="240"/>
      <c r="I40" s="337">
        <v>64</v>
      </c>
      <c r="J40" s="240" t="s">
        <v>16</v>
      </c>
      <c r="K40" s="240" t="s">
        <v>17</v>
      </c>
      <c r="L40" s="217" t="s">
        <v>1868</v>
      </c>
      <c r="M40" s="240"/>
      <c r="N40" s="240"/>
      <c r="O40" s="240" t="s">
        <v>1412</v>
      </c>
    </row>
    <row r="41" spans="1:15" s="123" customFormat="1" hidden="1">
      <c r="A41" s="217" t="s">
        <v>1412</v>
      </c>
      <c r="B41" s="239" t="s">
        <v>1064</v>
      </c>
      <c r="C41" s="240" t="str">
        <f>INDEX('MARE MX'!$L$2:$L$575,MATCH("*"&amp;B41&amp;"*",'MARE MX'!$F$2:$F$575,0))</f>
        <v>No Asignado</v>
      </c>
      <c r="D41" s="240" t="str">
        <f>INDEX('MARE MX'!$K$2:$K$575,MATCH("*"&amp;B41&amp;"*",'MARE MX'!$F$2:$F$575,0))</f>
        <v>SMB</v>
      </c>
      <c r="E41" s="240"/>
      <c r="F41" s="240"/>
      <c r="G41" s="240"/>
      <c r="H41" s="240"/>
      <c r="I41" s="337">
        <v>58</v>
      </c>
      <c r="J41" s="240" t="s">
        <v>16</v>
      </c>
      <c r="K41" s="240" t="s">
        <v>17</v>
      </c>
      <c r="L41" s="217" t="s">
        <v>1868</v>
      </c>
      <c r="M41" s="240"/>
      <c r="N41" s="240"/>
      <c r="O41" s="240" t="s">
        <v>1412</v>
      </c>
    </row>
    <row r="42" spans="1:15" s="123" customFormat="1" hidden="1">
      <c r="A42" s="217" t="s">
        <v>1412</v>
      </c>
      <c r="B42" s="239" t="s">
        <v>1066</v>
      </c>
      <c r="C42" s="240" t="str">
        <f>INDEX('MARE MX'!$L$2:$L$575,MATCH("*"&amp;B42&amp;"*",'MARE MX'!$F$2:$F$575,0))</f>
        <v>No Asignado</v>
      </c>
      <c r="D42" s="240" t="str">
        <f>INDEX('MARE MX'!$K$2:$K$575,MATCH("*"&amp;B42&amp;"*",'MARE MX'!$F$2:$F$575,0))</f>
        <v>SMB</v>
      </c>
      <c r="E42" s="240"/>
      <c r="F42" s="240"/>
      <c r="G42" s="240"/>
      <c r="H42" s="240"/>
      <c r="I42" s="337">
        <v>54</v>
      </c>
      <c r="J42" s="240" t="s">
        <v>16</v>
      </c>
      <c r="K42" s="240" t="s">
        <v>17</v>
      </c>
      <c r="L42" s="217" t="s">
        <v>1868</v>
      </c>
      <c r="M42" s="240"/>
      <c r="N42" s="240"/>
      <c r="O42" s="240" t="s">
        <v>1412</v>
      </c>
    </row>
    <row r="43" spans="1:15" s="123" customFormat="1" hidden="1">
      <c r="A43" s="217" t="s">
        <v>1412</v>
      </c>
      <c r="B43" s="239" t="s">
        <v>1058</v>
      </c>
      <c r="C43" s="240" t="s">
        <v>461</v>
      </c>
      <c r="D43" s="240" t="s">
        <v>68</v>
      </c>
      <c r="E43" s="240"/>
      <c r="F43" s="240"/>
      <c r="G43" s="240"/>
      <c r="H43" s="240"/>
      <c r="I43" s="337">
        <v>75</v>
      </c>
      <c r="J43" s="240" t="s">
        <v>16</v>
      </c>
      <c r="K43" s="240" t="s">
        <v>17</v>
      </c>
      <c r="L43" s="217" t="s">
        <v>1868</v>
      </c>
      <c r="M43" s="240"/>
      <c r="N43" s="240"/>
      <c r="O43" s="240" t="s">
        <v>1871</v>
      </c>
    </row>
    <row r="44" spans="1:15" s="243" customFormat="1" hidden="1">
      <c r="A44" s="241" t="s">
        <v>1872</v>
      </c>
      <c r="B44" s="242" t="s">
        <v>881</v>
      </c>
      <c r="C44" s="243" t="str">
        <f>INDEX('MARE MX'!$L$2:$L$575,MATCH("*"&amp;B44&amp;"*",'MARE MX'!$F$2:$F$575,0))</f>
        <v>No Asignado</v>
      </c>
      <c r="D44" s="243" t="str">
        <f>INDEX('MARE MX'!$K$2:$K$575,MATCH("*"&amp;B44&amp;"*",'MARE MX'!$F$2:$F$575,0))</f>
        <v>SMB</v>
      </c>
      <c r="I44" s="341">
        <v>67</v>
      </c>
      <c r="J44" s="243" t="s">
        <v>16</v>
      </c>
      <c r="K44" s="243" t="s">
        <v>17</v>
      </c>
      <c r="L44" s="241" t="s">
        <v>1868</v>
      </c>
      <c r="O44" s="243" t="s">
        <v>1873</v>
      </c>
    </row>
    <row r="45" spans="1:15">
      <c r="A45" s="244" t="s">
        <v>1413</v>
      </c>
      <c r="B45" s="244" t="s">
        <v>99</v>
      </c>
      <c r="C45" s="225" t="str">
        <f>INDEX('MARE MX'!$L$2:$L$575,MATCH("*"&amp;B45&amp;"*",'MARE MX'!$F$2:$F$575,0))</f>
        <v>Dafne de la Rosa</v>
      </c>
      <c r="D45" s="225" t="str">
        <f>INDEX('MARE MX'!$K$2:$K$575,MATCH("*"&amp;B45&amp;"*",'MARE MX'!$F$2:$F$575,0))</f>
        <v>SMB</v>
      </c>
      <c r="E45" s="226"/>
      <c r="F45" s="227"/>
      <c r="G45" s="226"/>
      <c r="H45" s="226"/>
      <c r="I45" s="338">
        <v>308</v>
      </c>
      <c r="J45" s="225" t="s">
        <v>16</v>
      </c>
      <c r="K45" s="225" t="s">
        <v>17</v>
      </c>
      <c r="L45" s="226" t="s">
        <v>1868</v>
      </c>
      <c r="M45" s="226"/>
      <c r="N45" s="226"/>
      <c r="O45" s="226" t="s">
        <v>1874</v>
      </c>
    </row>
    <row r="46" spans="1:15">
      <c r="A46" s="244" t="s">
        <v>1413</v>
      </c>
      <c r="B46" s="244" t="s">
        <v>98</v>
      </c>
      <c r="C46" s="225" t="str">
        <f>INDEX('MARE MX'!$L$2:$L$575,MATCH("*"&amp;B46&amp;"*",'MARE MX'!$F$2:$F$575,0))</f>
        <v>Dafne de la Rosa</v>
      </c>
      <c r="D46" s="225" t="str">
        <f>INDEX('MARE MX'!$K$2:$K$575,MATCH("*"&amp;B46&amp;"*",'MARE MX'!$F$2:$F$575,0))</f>
        <v>SMB</v>
      </c>
      <c r="E46" s="225"/>
      <c r="F46" s="225"/>
      <c r="G46" s="225"/>
      <c r="H46" s="225"/>
      <c r="I46" s="338">
        <v>41</v>
      </c>
      <c r="J46" s="225" t="s">
        <v>16</v>
      </c>
      <c r="K46" s="225" t="s">
        <v>17</v>
      </c>
      <c r="L46" s="225" t="s">
        <v>1868</v>
      </c>
      <c r="M46" s="225"/>
      <c r="N46" s="225"/>
      <c r="O46" s="225" t="s">
        <v>1875</v>
      </c>
    </row>
    <row r="47" spans="1:15">
      <c r="A47" s="244" t="s">
        <v>1413</v>
      </c>
      <c r="B47" s="244" t="s">
        <v>193</v>
      </c>
      <c r="C47" s="225" t="str">
        <f>INDEX('MARE MX'!$L$2:$L$575,MATCH("*"&amp;B47&amp;"*",'MARE MX'!$F$2:$F$575,0))</f>
        <v>Dafne de la Rosa</v>
      </c>
      <c r="D47" s="225" t="str">
        <f>INDEX('MARE MX'!$K$2:$K$575,MATCH("*"&amp;B47&amp;"*",'MARE MX'!$F$2:$F$575,0))</f>
        <v>SMB</v>
      </c>
      <c r="E47" s="225"/>
      <c r="F47" s="225"/>
      <c r="G47" s="225"/>
      <c r="H47" s="225"/>
      <c r="I47" s="338">
        <v>296</v>
      </c>
      <c r="J47" s="225" t="s">
        <v>16</v>
      </c>
      <c r="K47" s="225" t="s">
        <v>17</v>
      </c>
      <c r="L47" s="225" t="s">
        <v>1868</v>
      </c>
      <c r="M47" s="225"/>
      <c r="N47" s="225"/>
      <c r="O47" s="226" t="s">
        <v>1876</v>
      </c>
    </row>
    <row r="48" spans="1:15">
      <c r="A48" s="244" t="s">
        <v>1413</v>
      </c>
      <c r="B48" s="244" t="s">
        <v>1877</v>
      </c>
      <c r="C48" s="225" t="s">
        <v>69</v>
      </c>
      <c r="D48" s="225" t="s">
        <v>1031</v>
      </c>
      <c r="E48" s="225"/>
      <c r="F48" s="225"/>
      <c r="G48" s="225"/>
      <c r="H48" s="225"/>
      <c r="I48" s="338">
        <v>511</v>
      </c>
      <c r="J48" s="225" t="s">
        <v>16</v>
      </c>
      <c r="K48" s="225" t="s">
        <v>17</v>
      </c>
      <c r="L48" s="225" t="s">
        <v>1868</v>
      </c>
      <c r="M48" s="225"/>
      <c r="N48" s="225"/>
      <c r="O48" s="226" t="s">
        <v>1878</v>
      </c>
    </row>
    <row r="49" spans="1:15" s="234" customFormat="1" ht="15" customHeight="1">
      <c r="A49" s="224" t="s">
        <v>1412</v>
      </c>
      <c r="B49" s="245" t="s">
        <v>1879</v>
      </c>
      <c r="C49" s="234" t="s">
        <v>69</v>
      </c>
      <c r="D49" s="234" t="s">
        <v>1031</v>
      </c>
      <c r="I49" s="340">
        <v>13</v>
      </c>
      <c r="J49" s="234" t="s">
        <v>17</v>
      </c>
      <c r="K49" s="234" t="s">
        <v>18</v>
      </c>
      <c r="L49" s="224" t="s">
        <v>1868</v>
      </c>
      <c r="N49" s="234" t="s">
        <v>1813</v>
      </c>
      <c r="O49" s="518" t="s">
        <v>1880</v>
      </c>
    </row>
    <row r="50" spans="1:15" s="234" customFormat="1">
      <c r="A50" s="224" t="s">
        <v>1412</v>
      </c>
      <c r="B50" s="245" t="s">
        <v>1881</v>
      </c>
      <c r="C50" s="234" t="s">
        <v>69</v>
      </c>
      <c r="D50" s="234" t="s">
        <v>1031</v>
      </c>
      <c r="I50" s="340">
        <v>44</v>
      </c>
      <c r="J50" s="234" t="s">
        <v>17</v>
      </c>
      <c r="K50" s="234" t="s">
        <v>18</v>
      </c>
      <c r="L50" s="224" t="s">
        <v>1868</v>
      </c>
      <c r="N50" s="234" t="s">
        <v>1813</v>
      </c>
      <c r="O50" s="224" t="s">
        <v>1880</v>
      </c>
    </row>
    <row r="51" spans="1:15" s="234" customFormat="1">
      <c r="A51" s="224" t="s">
        <v>1412</v>
      </c>
      <c r="B51" s="245" t="s">
        <v>1882</v>
      </c>
      <c r="C51" s="234" t="s">
        <v>69</v>
      </c>
      <c r="D51" s="234" t="s">
        <v>1031</v>
      </c>
      <c r="E51" s="224"/>
      <c r="F51" s="232"/>
      <c r="G51" s="232"/>
      <c r="H51" s="232"/>
      <c r="I51" s="340">
        <v>646</v>
      </c>
      <c r="J51" s="234" t="s">
        <v>17</v>
      </c>
      <c r="K51" s="234" t="s">
        <v>18</v>
      </c>
      <c r="L51" s="224" t="s">
        <v>1868</v>
      </c>
      <c r="M51" s="224"/>
      <c r="N51" s="234" t="s">
        <v>1813</v>
      </c>
      <c r="O51" s="224" t="s">
        <v>1880</v>
      </c>
    </row>
    <row r="52" spans="1:15" s="234" customFormat="1">
      <c r="A52" s="224" t="s">
        <v>1412</v>
      </c>
      <c r="B52" s="245" t="s">
        <v>1883</v>
      </c>
      <c r="C52" s="234" t="s">
        <v>69</v>
      </c>
      <c r="D52" s="234" t="s">
        <v>1031</v>
      </c>
      <c r="I52" s="340">
        <f>53+8</f>
        <v>61</v>
      </c>
      <c r="J52" s="234" t="s">
        <v>17</v>
      </c>
      <c r="K52" s="234" t="s">
        <v>18</v>
      </c>
      <c r="L52" s="224" t="s">
        <v>1868</v>
      </c>
      <c r="N52" s="234" t="s">
        <v>1813</v>
      </c>
      <c r="O52" s="224" t="s">
        <v>1880</v>
      </c>
    </row>
    <row r="53" spans="1:15" ht="15" hidden="1" customHeight="1">
      <c r="A53" s="216" t="s">
        <v>1412</v>
      </c>
      <c r="B53" s="216" t="s">
        <v>1086</v>
      </c>
      <c r="I53" s="343">
        <v>45</v>
      </c>
      <c r="O53" s="216" t="s">
        <v>1884</v>
      </c>
    </row>
    <row r="54" spans="1:15" ht="15" hidden="1" customHeight="1">
      <c r="A54" s="216" t="s">
        <v>1412</v>
      </c>
      <c r="B54" s="216" t="s">
        <v>1095</v>
      </c>
      <c r="I54" s="343">
        <v>18</v>
      </c>
      <c r="O54" s="216" t="s">
        <v>1885</v>
      </c>
    </row>
    <row r="55" spans="1:15" s="347" customFormat="1" ht="15" hidden="1" customHeight="1">
      <c r="A55" s="344" t="s">
        <v>1872</v>
      </c>
      <c r="B55" s="345" t="s">
        <v>713</v>
      </c>
      <c r="C55" s="346" t="s">
        <v>445</v>
      </c>
      <c r="D55" s="346" t="s">
        <v>1031</v>
      </c>
      <c r="I55" s="348">
        <v>518</v>
      </c>
      <c r="L55" s="344"/>
      <c r="N55" s="349"/>
      <c r="O55" s="350"/>
    </row>
    <row r="56" spans="1:15" s="347" customFormat="1" ht="15" hidden="1" customHeight="1">
      <c r="A56" s="347" t="s">
        <v>1872</v>
      </c>
      <c r="B56" s="347" t="s">
        <v>1102</v>
      </c>
      <c r="I56" s="356">
        <v>657</v>
      </c>
      <c r="O56" s="347" t="s">
        <v>1886</v>
      </c>
    </row>
    <row r="57" spans="1:15" s="347" customFormat="1" ht="15" hidden="1" customHeight="1">
      <c r="A57" s="347" t="s">
        <v>1872</v>
      </c>
      <c r="B57" s="347" t="s">
        <v>1318</v>
      </c>
      <c r="I57" s="356">
        <v>160</v>
      </c>
      <c r="O57" s="347" t="s">
        <v>1886</v>
      </c>
    </row>
    <row r="58" spans="1:15" s="347" customFormat="1" ht="15" hidden="1" customHeight="1">
      <c r="A58" s="347" t="s">
        <v>1872</v>
      </c>
      <c r="B58" s="347" t="s">
        <v>928</v>
      </c>
      <c r="I58" s="356">
        <v>102</v>
      </c>
      <c r="O58" s="347" t="s">
        <v>1887</v>
      </c>
    </row>
    <row r="59" spans="1:15" s="225" customFormat="1" ht="15" hidden="1" customHeight="1">
      <c r="A59" s="225" t="s">
        <v>1413</v>
      </c>
      <c r="B59" s="225" t="s">
        <v>1888</v>
      </c>
      <c r="C59" s="225" t="s">
        <v>445</v>
      </c>
      <c r="D59" s="225" t="s">
        <v>68</v>
      </c>
      <c r="I59" s="357">
        <v>302</v>
      </c>
      <c r="O59" s="225" t="s">
        <v>1889</v>
      </c>
    </row>
    <row r="60" spans="1:15" s="225" customFormat="1" ht="15" hidden="1" customHeight="1">
      <c r="A60" s="225" t="s">
        <v>1413</v>
      </c>
      <c r="B60" s="225" t="s">
        <v>1077</v>
      </c>
      <c r="I60" s="357">
        <v>143</v>
      </c>
      <c r="O60" s="225" t="s">
        <v>1890</v>
      </c>
    </row>
    <row r="61" spans="1:15" s="225" customFormat="1" ht="15" hidden="1" customHeight="1">
      <c r="A61" s="225" t="s">
        <v>1413</v>
      </c>
      <c r="B61" s="225" t="s">
        <v>1081</v>
      </c>
      <c r="I61" s="357">
        <v>56</v>
      </c>
      <c r="O61" s="225" t="s">
        <v>1891</v>
      </c>
    </row>
    <row r="62" spans="1:15" s="225" customFormat="1" ht="15" hidden="1" customHeight="1">
      <c r="A62" s="225" t="s">
        <v>1413</v>
      </c>
      <c r="B62" s="225" t="s">
        <v>1093</v>
      </c>
      <c r="I62" s="357">
        <v>25</v>
      </c>
      <c r="O62" s="225" t="s">
        <v>1892</v>
      </c>
    </row>
    <row r="63" spans="1:15" s="225" customFormat="1" ht="15" hidden="1" customHeight="1">
      <c r="A63" s="225" t="s">
        <v>1413</v>
      </c>
      <c r="B63" s="225" t="s">
        <v>1091</v>
      </c>
      <c r="I63" s="357">
        <v>30</v>
      </c>
      <c r="O63" s="225" t="s">
        <v>1892</v>
      </c>
    </row>
    <row r="64" spans="1:15" s="225" customFormat="1" ht="15" hidden="1" customHeight="1">
      <c r="A64" s="225" t="s">
        <v>1413</v>
      </c>
      <c r="B64" s="225" t="s">
        <v>1089</v>
      </c>
      <c r="I64" s="357">
        <v>31</v>
      </c>
      <c r="O64" s="225" t="s">
        <v>1892</v>
      </c>
    </row>
    <row r="65" spans="1:15" ht="15" hidden="1" customHeight="1">
      <c r="A65" s="216" t="s">
        <v>1412</v>
      </c>
      <c r="B65" s="216" t="s">
        <v>1893</v>
      </c>
      <c r="I65" s="343">
        <v>184</v>
      </c>
      <c r="J65" s="216" t="s">
        <v>19</v>
      </c>
      <c r="K65" s="216" t="s">
        <v>1379</v>
      </c>
      <c r="L65" s="216" t="s">
        <v>1894</v>
      </c>
      <c r="O65" s="216" t="s">
        <v>1895</v>
      </c>
    </row>
    <row r="66" spans="1:15" ht="15" hidden="1" customHeight="1">
      <c r="B66" s="216" t="s">
        <v>165</v>
      </c>
    </row>
    <row r="67" spans="1:15" ht="15" hidden="1" customHeight="1">
      <c r="B67" s="216" t="s">
        <v>1896</v>
      </c>
    </row>
    <row r="68" spans="1:15" ht="15" hidden="1" customHeight="1">
      <c r="B68" s="216" t="s">
        <v>1897</v>
      </c>
    </row>
  </sheetData>
  <autoFilter ref="A1:O68" xr:uid="{00000000-0001-0000-0300-000000000000}">
    <filterColumn colId="2">
      <filters>
        <filter val="Dafne de la Rosa"/>
      </filters>
    </filterColumn>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16</v>
      </c>
    </row>
    <row r="3" spans="1:7">
      <c r="A3" s="63" t="s">
        <v>106</v>
      </c>
      <c r="B3" s="53"/>
      <c r="C3" s="53"/>
      <c r="D3" s="54" t="s">
        <v>68</v>
      </c>
      <c r="E3" s="53" t="s">
        <v>69</v>
      </c>
      <c r="F3" s="53"/>
      <c r="G3" s="71">
        <v>38.44</v>
      </c>
    </row>
    <row r="4" spans="1:7">
      <c r="A4" s="53" t="s">
        <v>721</v>
      </c>
      <c r="B4" s="53"/>
      <c r="C4" s="53"/>
      <c r="D4" s="62" t="s">
        <v>68</v>
      </c>
      <c r="E4" s="53" t="s">
        <v>445</v>
      </c>
      <c r="F4" s="41"/>
      <c r="G4" s="70">
        <v>70.09</v>
      </c>
    </row>
    <row r="5" spans="1:7">
      <c r="A5" s="63" t="s">
        <v>483</v>
      </c>
      <c r="B5" s="53"/>
      <c r="C5" s="53"/>
      <c r="D5" s="62" t="s">
        <v>68</v>
      </c>
      <c r="E5" s="53" t="s">
        <v>445</v>
      </c>
      <c r="F5" s="40"/>
      <c r="G5" s="69">
        <v>62.96</v>
      </c>
    </row>
    <row r="6" spans="1:7">
      <c r="A6" s="53" t="s">
        <v>480</v>
      </c>
      <c r="B6" s="53"/>
      <c r="C6" s="53"/>
      <c r="D6" s="61" t="s">
        <v>68</v>
      </c>
      <c r="E6" s="53" t="s">
        <v>445</v>
      </c>
      <c r="F6" s="41"/>
      <c r="G6" s="70">
        <v>54.9</v>
      </c>
    </row>
    <row r="7" spans="1:7">
      <c r="A7" s="53" t="s">
        <v>467</v>
      </c>
      <c r="B7" s="53"/>
      <c r="C7" s="53"/>
      <c r="D7" s="62" t="s">
        <v>68</v>
      </c>
      <c r="E7" s="53" t="s">
        <v>445</v>
      </c>
      <c r="F7" s="53"/>
      <c r="G7" s="71">
        <v>28.64</v>
      </c>
    </row>
    <row r="8" spans="1:7">
      <c r="A8" s="53" t="s">
        <v>1058</v>
      </c>
      <c r="B8" s="53"/>
      <c r="C8" s="53"/>
      <c r="D8" s="61" t="s">
        <v>68</v>
      </c>
      <c r="E8" s="53" t="s">
        <v>461</v>
      </c>
      <c r="F8" s="41"/>
      <c r="G8" s="70">
        <v>75.38</v>
      </c>
    </row>
    <row r="9" spans="1:7">
      <c r="A9" s="53" t="s">
        <v>1060</v>
      </c>
      <c r="B9" s="53"/>
      <c r="C9" s="53"/>
      <c r="D9" s="53" t="s">
        <v>68</v>
      </c>
      <c r="E9" s="53" t="s">
        <v>461</v>
      </c>
      <c r="F9" s="40"/>
      <c r="G9" s="69">
        <v>74.44</v>
      </c>
    </row>
    <row r="10" spans="1:7">
      <c r="A10" s="53" t="s">
        <v>881</v>
      </c>
      <c r="B10" s="53"/>
      <c r="C10" s="53"/>
      <c r="D10" s="61" t="s">
        <v>68</v>
      </c>
      <c r="E10" s="53" t="s">
        <v>461</v>
      </c>
      <c r="F10" s="41"/>
      <c r="G10" s="70">
        <v>67</v>
      </c>
    </row>
    <row r="11" spans="1:7">
      <c r="A11" s="53" t="s">
        <v>1062</v>
      </c>
      <c r="B11" s="53"/>
      <c r="C11" s="53"/>
      <c r="D11" s="53" t="s">
        <v>68</v>
      </c>
      <c r="E11" s="53" t="s">
        <v>461</v>
      </c>
      <c r="F11" s="41"/>
      <c r="G11" s="70">
        <v>63.79</v>
      </c>
    </row>
    <row r="12" spans="1:7">
      <c r="A12" s="53" t="s">
        <v>1064</v>
      </c>
      <c r="B12" s="53"/>
      <c r="C12" s="53"/>
      <c r="D12" s="53" t="s">
        <v>68</v>
      </c>
      <c r="E12" s="53" t="s">
        <v>461</v>
      </c>
      <c r="F12" s="40"/>
      <c r="G12" s="69">
        <v>58.41</v>
      </c>
    </row>
    <row r="13" spans="1:7">
      <c r="A13" s="53" t="s">
        <v>1066</v>
      </c>
      <c r="B13" s="53"/>
      <c r="C13" s="53"/>
      <c r="D13" s="53" t="s">
        <v>68</v>
      </c>
      <c r="E13" s="53" t="s">
        <v>461</v>
      </c>
      <c r="F13" s="40"/>
      <c r="G13" s="69">
        <v>53.85</v>
      </c>
    </row>
    <row r="14" spans="1:7">
      <c r="A14" s="53" t="s">
        <v>844</v>
      </c>
      <c r="B14" s="53"/>
      <c r="C14" s="53"/>
      <c r="D14" s="61" t="s">
        <v>68</v>
      </c>
      <c r="E14" s="53" t="s">
        <v>461</v>
      </c>
      <c r="F14" s="40"/>
      <c r="G14" s="69">
        <v>39.89</v>
      </c>
    </row>
    <row r="15" spans="1:7">
      <c r="A15" s="53" t="s">
        <v>756</v>
      </c>
      <c r="B15" s="53"/>
      <c r="C15" s="53"/>
      <c r="D15" s="61" t="s">
        <v>68</v>
      </c>
      <c r="E15" s="53" t="s">
        <v>461</v>
      </c>
      <c r="F15" s="40"/>
      <c r="G15" s="69">
        <v>20.100000000000001</v>
      </c>
    </row>
    <row r="16" spans="1:7">
      <c r="A16" s="53" t="s">
        <v>1037</v>
      </c>
      <c r="B16" s="53"/>
      <c r="C16" s="53"/>
      <c r="D16" s="61" t="s">
        <v>68</v>
      </c>
      <c r="E16" s="53" t="s">
        <v>461</v>
      </c>
      <c r="F16" s="40"/>
      <c r="G16" s="69">
        <v>24.3</v>
      </c>
    </row>
    <row r="17" spans="1:7">
      <c r="A17" s="53" t="s">
        <v>1022</v>
      </c>
      <c r="B17" s="53"/>
      <c r="C17" s="53"/>
      <c r="D17" s="53" t="s">
        <v>68</v>
      </c>
      <c r="E17" s="53" t="s">
        <v>461</v>
      </c>
      <c r="F17" s="40"/>
      <c r="G17" s="69">
        <v>65.849999999999994</v>
      </c>
    </row>
    <row r="18" spans="1:7">
      <c r="A18" s="63" t="s">
        <v>964</v>
      </c>
      <c r="B18" s="53"/>
      <c r="C18" s="53"/>
      <c r="D18" s="61" t="s">
        <v>68</v>
      </c>
      <c r="E18" s="53" t="s">
        <v>461</v>
      </c>
      <c r="F18" s="40"/>
      <c r="G18" s="69">
        <v>69.86</v>
      </c>
    </row>
    <row r="19" spans="1:7">
      <c r="A19" s="53" t="s">
        <v>1898</v>
      </c>
      <c r="B19" s="53"/>
      <c r="C19" s="53"/>
      <c r="D19" s="53" t="s">
        <v>68</v>
      </c>
      <c r="E19" s="53" t="s">
        <v>461</v>
      </c>
      <c r="F19" s="41"/>
      <c r="G19" s="70">
        <v>96.92</v>
      </c>
    </row>
    <row r="20" spans="1:7">
      <c r="A20" s="53" t="s">
        <v>920</v>
      </c>
      <c r="B20" s="53"/>
      <c r="C20" s="53"/>
      <c r="D20" s="61" t="s">
        <v>68</v>
      </c>
      <c r="E20" s="53" t="s">
        <v>461</v>
      </c>
      <c r="F20" s="41"/>
      <c r="G20" s="70">
        <v>99.41</v>
      </c>
    </row>
    <row r="21" spans="1:7">
      <c r="A21" s="53" t="s">
        <v>930</v>
      </c>
      <c r="B21" s="53"/>
      <c r="C21" s="53"/>
      <c r="D21" s="54" t="s">
        <v>68</v>
      </c>
      <c r="E21" s="53" t="s">
        <v>461</v>
      </c>
      <c r="F21" s="41"/>
      <c r="G21" s="70">
        <v>93.1</v>
      </c>
    </row>
    <row r="22" spans="1:7">
      <c r="A22" s="53" t="s">
        <v>782</v>
      </c>
      <c r="B22" s="53"/>
      <c r="C22" s="53"/>
      <c r="D22" s="53" t="s">
        <v>68</v>
      </c>
      <c r="E22" s="53" t="s">
        <v>461</v>
      </c>
      <c r="F22" s="40"/>
      <c r="G22" s="69">
        <v>91.62</v>
      </c>
    </row>
    <row r="23" spans="1:7">
      <c r="A23" s="53" t="s">
        <v>924</v>
      </c>
      <c r="B23" s="53"/>
      <c r="C23" s="53"/>
      <c r="D23" s="53" t="s">
        <v>68</v>
      </c>
      <c r="E23" s="53" t="s">
        <v>461</v>
      </c>
      <c r="F23" s="41"/>
      <c r="G23" s="70">
        <v>90.86</v>
      </c>
    </row>
    <row r="24" spans="1:7">
      <c r="A24" s="53" t="s">
        <v>918</v>
      </c>
      <c r="B24" s="53"/>
      <c r="C24" s="53"/>
      <c r="D24" s="53" t="s">
        <v>68</v>
      </c>
      <c r="E24" s="53" t="s">
        <v>461</v>
      </c>
      <c r="F24" s="40"/>
      <c r="G24" s="69">
        <v>90.46</v>
      </c>
    </row>
    <row r="25" spans="1:7">
      <c r="A25" s="53" t="s">
        <v>916</v>
      </c>
      <c r="B25" s="53"/>
      <c r="C25" s="53"/>
      <c r="D25" s="53" t="s">
        <v>68</v>
      </c>
      <c r="E25" s="53" t="s">
        <v>461</v>
      </c>
      <c r="F25" s="40"/>
      <c r="G25" s="69">
        <v>89.51</v>
      </c>
    </row>
    <row r="26" spans="1:7">
      <c r="A26" s="53" t="s">
        <v>869</v>
      </c>
      <c r="B26" s="53"/>
      <c r="C26" s="53"/>
      <c r="D26" s="53" t="s">
        <v>68</v>
      </c>
      <c r="E26" s="53" t="s">
        <v>461</v>
      </c>
      <c r="F26" s="41"/>
      <c r="G26" s="70">
        <v>88.61</v>
      </c>
    </row>
    <row r="27" spans="1:7">
      <c r="A27" s="53" t="s">
        <v>914</v>
      </c>
      <c r="B27" s="53"/>
      <c r="C27" s="53"/>
      <c r="D27" s="53" t="s">
        <v>68</v>
      </c>
      <c r="E27" s="53" t="s">
        <v>461</v>
      </c>
      <c r="F27" s="40"/>
      <c r="G27" s="69">
        <v>85.92</v>
      </c>
    </row>
    <row r="28" spans="1:7">
      <c r="A28" s="53" t="s">
        <v>905</v>
      </c>
      <c r="B28" s="53"/>
      <c r="C28" s="53"/>
      <c r="D28" s="53" t="s">
        <v>68</v>
      </c>
      <c r="E28" s="53" t="s">
        <v>461</v>
      </c>
      <c r="F28" s="41"/>
      <c r="G28" s="70">
        <v>82.07</v>
      </c>
    </row>
    <row r="29" spans="1:7">
      <c r="A29" s="53" t="s">
        <v>908</v>
      </c>
      <c r="B29" s="53"/>
      <c r="C29" s="53"/>
      <c r="D29" s="61" t="s">
        <v>68</v>
      </c>
      <c r="E29" s="53" t="s">
        <v>461</v>
      </c>
      <c r="F29" s="41"/>
      <c r="G29" s="70">
        <v>83.94</v>
      </c>
    </row>
    <row r="30" spans="1:7">
      <c r="A30" s="53" t="s">
        <v>884</v>
      </c>
      <c r="B30" s="53"/>
      <c r="C30" s="53"/>
      <c r="D30" s="61" t="s">
        <v>68</v>
      </c>
      <c r="E30" s="53" t="s">
        <v>461</v>
      </c>
      <c r="F30" s="41"/>
      <c r="G30" s="70">
        <v>69.86</v>
      </c>
    </row>
    <row r="31" spans="1:7">
      <c r="A31" s="53" t="s">
        <v>901</v>
      </c>
      <c r="B31" s="53"/>
      <c r="C31" s="53"/>
      <c r="D31" s="53" t="s">
        <v>68</v>
      </c>
      <c r="E31" s="53" t="s">
        <v>461</v>
      </c>
      <c r="F31" s="41"/>
      <c r="G31" s="70">
        <v>81.89</v>
      </c>
    </row>
    <row r="32" spans="1:7">
      <c r="A32" s="53" t="s">
        <v>903</v>
      </c>
      <c r="B32" s="53"/>
      <c r="C32" s="53"/>
      <c r="D32" s="53" t="s">
        <v>68</v>
      </c>
      <c r="E32" s="53" t="s">
        <v>461</v>
      </c>
      <c r="F32" s="41"/>
      <c r="G32" s="70">
        <v>78.739999999999995</v>
      </c>
    </row>
    <row r="33" spans="1:7">
      <c r="A33" s="53" t="s">
        <v>899</v>
      </c>
      <c r="B33" s="53"/>
      <c r="C33" s="53"/>
      <c r="D33" s="53" t="s">
        <v>68</v>
      </c>
      <c r="E33" s="53" t="s">
        <v>461</v>
      </c>
      <c r="F33" s="40"/>
      <c r="G33" s="69">
        <v>81.16</v>
      </c>
    </row>
    <row r="34" spans="1:7">
      <c r="A34" s="53" t="s">
        <v>897</v>
      </c>
      <c r="B34" s="53"/>
      <c r="C34" s="53"/>
      <c r="D34" s="53" t="s">
        <v>68</v>
      </c>
      <c r="E34" s="53" t="s">
        <v>461</v>
      </c>
      <c r="F34" s="41"/>
      <c r="G34" s="70">
        <v>80.77</v>
      </c>
    </row>
    <row r="35" spans="1:7">
      <c r="A35" s="53" t="s">
        <v>895</v>
      </c>
      <c r="B35" s="53"/>
      <c r="C35" s="53"/>
      <c r="D35" s="61" t="s">
        <v>68</v>
      </c>
      <c r="E35" s="53" t="s">
        <v>461</v>
      </c>
      <c r="F35" s="41"/>
      <c r="G35" s="70">
        <v>71.790000000000006</v>
      </c>
    </row>
    <row r="36" spans="1:7">
      <c r="A36" s="53" t="s">
        <v>893</v>
      </c>
      <c r="B36" s="53"/>
      <c r="C36" s="53"/>
      <c r="D36" s="53" t="s">
        <v>68</v>
      </c>
      <c r="E36" s="53" t="s">
        <v>461</v>
      </c>
      <c r="F36" s="41"/>
      <c r="G36" s="70">
        <v>75.2</v>
      </c>
    </row>
    <row r="37" spans="1:7">
      <c r="A37" s="53" t="s">
        <v>912</v>
      </c>
      <c r="B37" s="53"/>
      <c r="C37" s="53"/>
      <c r="D37" s="61" t="s">
        <v>68</v>
      </c>
      <c r="E37" s="53" t="s">
        <v>461</v>
      </c>
      <c r="F37" s="41"/>
      <c r="G37" s="70">
        <v>74.56</v>
      </c>
    </row>
    <row r="38" spans="1:7">
      <c r="A38" s="53" t="s">
        <v>994</v>
      </c>
      <c r="B38" s="53"/>
      <c r="C38" s="53"/>
      <c r="D38" s="61" t="s">
        <v>68</v>
      </c>
      <c r="E38" s="53" t="s">
        <v>461</v>
      </c>
      <c r="F38" s="41"/>
      <c r="G38" s="70">
        <v>70.41</v>
      </c>
    </row>
    <row r="39" spans="1:7">
      <c r="A39" s="53" t="s">
        <v>891</v>
      </c>
      <c r="B39" s="53"/>
      <c r="C39" s="53"/>
      <c r="D39" s="53" t="s">
        <v>68</v>
      </c>
      <c r="E39" s="53" t="s">
        <v>461</v>
      </c>
      <c r="F39" s="40"/>
      <c r="G39" s="69">
        <v>72.150000000000006</v>
      </c>
    </row>
    <row r="40" spans="1:7">
      <c r="A40" s="53" t="s">
        <v>888</v>
      </c>
      <c r="B40" s="53"/>
      <c r="C40" s="53"/>
      <c r="D40" s="53" t="s">
        <v>68</v>
      </c>
      <c r="E40" s="53" t="s">
        <v>461</v>
      </c>
      <c r="F40" s="41"/>
      <c r="G40" s="70">
        <v>71.61</v>
      </c>
    </row>
    <row r="41" spans="1:7">
      <c r="A41" s="53" t="s">
        <v>1079</v>
      </c>
      <c r="B41" s="53"/>
      <c r="C41" s="53"/>
      <c r="D41" s="53" t="s">
        <v>68</v>
      </c>
      <c r="E41" s="53" t="s">
        <v>461</v>
      </c>
      <c r="F41" s="40"/>
      <c r="G41" s="69">
        <v>74.45</v>
      </c>
    </row>
    <row r="42" spans="1:7">
      <c r="A42" s="53" t="s">
        <v>910</v>
      </c>
      <c r="B42" s="53"/>
      <c r="C42" s="53"/>
      <c r="D42" s="61" t="s">
        <v>68</v>
      </c>
      <c r="E42" s="53" t="s">
        <v>461</v>
      </c>
      <c r="F42" s="40"/>
      <c r="G42" s="69">
        <v>75.11</v>
      </c>
    </row>
    <row r="43" spans="1:7">
      <c r="A43" s="53" t="s">
        <v>879</v>
      </c>
      <c r="B43" s="53"/>
      <c r="C43" s="53"/>
      <c r="D43" s="61" t="s">
        <v>68</v>
      </c>
      <c r="E43" s="53" t="s">
        <v>461</v>
      </c>
      <c r="F43" s="41"/>
      <c r="G43" s="70">
        <v>66.819999999999993</v>
      </c>
    </row>
    <row r="44" spans="1:7">
      <c r="A44" s="53" t="s">
        <v>877</v>
      </c>
      <c r="B44" s="53"/>
      <c r="C44" s="53"/>
      <c r="D44" s="61" t="s">
        <v>68</v>
      </c>
      <c r="E44" s="53" t="s">
        <v>461</v>
      </c>
      <c r="F44" s="40"/>
      <c r="G44" s="69">
        <v>66.27</v>
      </c>
    </row>
    <row r="45" spans="1:7">
      <c r="A45" s="53" t="s">
        <v>861</v>
      </c>
      <c r="B45" s="53"/>
      <c r="C45" s="53"/>
      <c r="D45" s="61" t="s">
        <v>68</v>
      </c>
      <c r="E45" s="53" t="s">
        <v>461</v>
      </c>
      <c r="F45" s="40"/>
      <c r="G45" s="69">
        <v>62.41</v>
      </c>
    </row>
    <row r="46" spans="1:7">
      <c r="A46" s="53" t="s">
        <v>873</v>
      </c>
      <c r="B46" s="53"/>
      <c r="C46" s="53"/>
      <c r="D46" s="53" t="s">
        <v>68</v>
      </c>
      <c r="E46" s="53" t="s">
        <v>461</v>
      </c>
      <c r="F46" s="41"/>
      <c r="G46" s="70">
        <v>65.38</v>
      </c>
    </row>
    <row r="47" spans="1:7">
      <c r="A47" s="53" t="s">
        <v>871</v>
      </c>
      <c r="B47" s="53"/>
      <c r="C47" s="53"/>
      <c r="D47" s="53" t="s">
        <v>68</v>
      </c>
      <c r="E47" s="53" t="s">
        <v>461</v>
      </c>
      <c r="F47" s="41"/>
      <c r="G47" s="70">
        <v>58.41</v>
      </c>
    </row>
    <row r="48" spans="1:7">
      <c r="A48" s="53" t="s">
        <v>856</v>
      </c>
      <c r="B48" s="53"/>
      <c r="C48" s="53"/>
      <c r="D48" s="53" t="s">
        <v>68</v>
      </c>
      <c r="E48" s="53" t="s">
        <v>461</v>
      </c>
      <c r="F48" s="41"/>
      <c r="G48" s="70">
        <v>64.42</v>
      </c>
    </row>
    <row r="49" spans="1:7">
      <c r="A49" s="53" t="s">
        <v>867</v>
      </c>
      <c r="B49" s="53"/>
      <c r="C49" s="53"/>
      <c r="D49" s="61" t="s">
        <v>68</v>
      </c>
      <c r="E49" s="53" t="s">
        <v>461</v>
      </c>
      <c r="F49" s="41"/>
      <c r="G49" s="70">
        <v>75.38</v>
      </c>
    </row>
    <row r="50" spans="1:7">
      <c r="A50" s="53" t="s">
        <v>848</v>
      </c>
      <c r="B50" s="53"/>
      <c r="C50" s="53"/>
      <c r="D50" s="61" t="s">
        <v>68</v>
      </c>
      <c r="E50" s="53" t="s">
        <v>461</v>
      </c>
      <c r="F50" s="41"/>
      <c r="G50" s="70">
        <v>55.23</v>
      </c>
    </row>
    <row r="51" spans="1:7">
      <c r="A51" s="53" t="s">
        <v>865</v>
      </c>
      <c r="B51" s="53"/>
      <c r="C51" s="53"/>
      <c r="D51" s="53" t="s">
        <v>68</v>
      </c>
      <c r="E51" s="53" t="s">
        <v>461</v>
      </c>
      <c r="F51" s="41"/>
      <c r="G51" s="70">
        <v>61.87</v>
      </c>
    </row>
    <row r="52" spans="1:7">
      <c r="A52" s="53" t="s">
        <v>886</v>
      </c>
      <c r="B52" s="53"/>
      <c r="C52" s="53"/>
      <c r="D52" s="53" t="s">
        <v>68</v>
      </c>
      <c r="E52" s="53" t="s">
        <v>461</v>
      </c>
      <c r="F52" s="40"/>
      <c r="G52" s="69">
        <v>53.87</v>
      </c>
    </row>
    <row r="53" spans="1:7">
      <c r="A53" s="53" t="s">
        <v>863</v>
      </c>
      <c r="B53" s="53"/>
      <c r="C53" s="53"/>
      <c r="D53" s="53" t="s">
        <v>68</v>
      </c>
      <c r="E53" s="53" t="s">
        <v>461</v>
      </c>
      <c r="F53" s="40"/>
      <c r="G53" s="69">
        <v>60.12</v>
      </c>
    </row>
    <row r="54" spans="1:7">
      <c r="A54" s="53" t="s">
        <v>860</v>
      </c>
      <c r="B54" s="53"/>
      <c r="C54" s="53"/>
      <c r="D54" s="61" t="s">
        <v>68</v>
      </c>
      <c r="E54" s="53" t="s">
        <v>461</v>
      </c>
      <c r="F54" s="41"/>
      <c r="G54" s="70">
        <v>57.99</v>
      </c>
    </row>
    <row r="55" spans="1:7">
      <c r="A55" s="53" t="s">
        <v>1047</v>
      </c>
      <c r="B55" s="53"/>
      <c r="C55" s="53"/>
      <c r="D55" s="61" t="s">
        <v>68</v>
      </c>
      <c r="E55" s="53" t="s">
        <v>461</v>
      </c>
      <c r="F55" s="40"/>
      <c r="G55" s="69">
        <v>57.99</v>
      </c>
    </row>
    <row r="56" spans="1:7">
      <c r="A56" s="53" t="s">
        <v>801</v>
      </c>
      <c r="B56" s="53"/>
      <c r="C56" s="53"/>
      <c r="D56" s="61" t="s">
        <v>68</v>
      </c>
      <c r="E56" s="53" t="s">
        <v>461</v>
      </c>
      <c r="F56" s="40"/>
      <c r="G56" s="69">
        <v>55.91</v>
      </c>
    </row>
    <row r="57" spans="1:7">
      <c r="A57" s="63" t="s">
        <v>838</v>
      </c>
      <c r="B57" s="53"/>
      <c r="C57" s="53"/>
      <c r="D57" s="53" t="s">
        <v>68</v>
      </c>
      <c r="E57" s="53" t="s">
        <v>461</v>
      </c>
      <c r="F57" s="40"/>
      <c r="G57" s="69">
        <v>48.34</v>
      </c>
    </row>
    <row r="58" spans="1:7">
      <c r="A58" s="53" t="s">
        <v>850</v>
      </c>
      <c r="B58" s="53"/>
      <c r="C58" s="53"/>
      <c r="D58" s="61" t="s">
        <v>68</v>
      </c>
      <c r="E58" s="53" t="s">
        <v>461</v>
      </c>
      <c r="F58" s="40"/>
      <c r="G58" s="69">
        <v>55.23</v>
      </c>
    </row>
    <row r="59" spans="1:7">
      <c r="A59" s="53" t="s">
        <v>852</v>
      </c>
      <c r="B59" s="53"/>
      <c r="C59" s="53"/>
      <c r="D59" s="53" t="s">
        <v>68</v>
      </c>
      <c r="E59" s="53" t="s">
        <v>461</v>
      </c>
      <c r="F59" s="40"/>
      <c r="G59" s="69">
        <v>55.23</v>
      </c>
    </row>
    <row r="60" spans="1:7">
      <c r="A60" s="53" t="s">
        <v>846</v>
      </c>
      <c r="B60" s="53"/>
      <c r="C60" s="53"/>
      <c r="D60" s="53" t="s">
        <v>68</v>
      </c>
      <c r="E60" s="53" t="s">
        <v>461</v>
      </c>
      <c r="F60" s="40"/>
      <c r="G60" s="69">
        <v>55.09</v>
      </c>
    </row>
    <row r="61" spans="1:7">
      <c r="A61" s="53" t="s">
        <v>842</v>
      </c>
      <c r="B61" s="53"/>
      <c r="C61" s="53"/>
      <c r="D61" s="53" t="s">
        <v>68</v>
      </c>
      <c r="E61" s="53" t="s">
        <v>461</v>
      </c>
      <c r="F61" s="40"/>
      <c r="G61" s="69">
        <v>54.97</v>
      </c>
    </row>
    <row r="62" spans="1:7">
      <c r="A62" s="53" t="s">
        <v>822</v>
      </c>
      <c r="B62" s="53"/>
      <c r="C62" s="53"/>
      <c r="D62" s="53" t="s">
        <v>68</v>
      </c>
      <c r="E62" s="53" t="s">
        <v>461</v>
      </c>
      <c r="F62" s="40"/>
      <c r="G62" s="69">
        <v>51.53</v>
      </c>
    </row>
    <row r="63" spans="1:7">
      <c r="A63" s="53" t="s">
        <v>840</v>
      </c>
      <c r="B63" s="53"/>
      <c r="C63" s="53"/>
      <c r="D63" s="53" t="s">
        <v>68</v>
      </c>
      <c r="E63" s="53" t="s">
        <v>461</v>
      </c>
      <c r="F63" s="41"/>
      <c r="G63" s="70">
        <v>41.06</v>
      </c>
    </row>
    <row r="64" spans="1:7">
      <c r="A64" s="53" t="s">
        <v>875</v>
      </c>
      <c r="B64" s="53"/>
      <c r="C64" s="53"/>
      <c r="D64" s="53" t="s">
        <v>68</v>
      </c>
      <c r="E64" s="53" t="s">
        <v>461</v>
      </c>
      <c r="F64" s="40"/>
      <c r="G64" s="69">
        <v>57.26</v>
      </c>
    </row>
    <row r="65" spans="1:7">
      <c r="A65" s="53" t="s">
        <v>1081</v>
      </c>
      <c r="B65" s="53"/>
      <c r="C65" s="53"/>
      <c r="D65" s="61" t="s">
        <v>68</v>
      </c>
      <c r="E65" s="53" t="s">
        <v>461</v>
      </c>
      <c r="F65" s="40"/>
      <c r="G65" s="69">
        <v>53.85</v>
      </c>
    </row>
    <row r="66" spans="1:7">
      <c r="A66" s="53" t="s">
        <v>858</v>
      </c>
      <c r="B66" s="53"/>
      <c r="C66" s="53"/>
      <c r="D66" s="53" t="s">
        <v>68</v>
      </c>
      <c r="E66" s="53" t="s">
        <v>461</v>
      </c>
      <c r="F66" s="41"/>
      <c r="G66" s="70">
        <v>53.75</v>
      </c>
    </row>
    <row r="67" spans="1:7">
      <c r="A67" s="53" t="s">
        <v>834</v>
      </c>
      <c r="B67" s="53"/>
      <c r="C67" s="53"/>
      <c r="D67" s="53" t="s">
        <v>68</v>
      </c>
      <c r="E67" s="53" t="s">
        <v>461</v>
      </c>
      <c r="F67" s="40"/>
      <c r="G67" s="69">
        <v>53.3</v>
      </c>
    </row>
    <row r="68" spans="1:7">
      <c r="A68" s="53" t="s">
        <v>836</v>
      </c>
      <c r="B68" s="53"/>
      <c r="C68" s="53"/>
      <c r="D68" s="53" t="s">
        <v>68</v>
      </c>
      <c r="E68" s="53" t="s">
        <v>461</v>
      </c>
      <c r="F68" s="40"/>
      <c r="G68" s="69">
        <v>53.3</v>
      </c>
    </row>
    <row r="69" spans="1:7">
      <c r="A69" s="53" t="s">
        <v>832</v>
      </c>
      <c r="B69" s="53"/>
      <c r="C69" s="53"/>
      <c r="D69" s="53" t="s">
        <v>68</v>
      </c>
      <c r="E69" s="53" t="s">
        <v>461</v>
      </c>
      <c r="F69" s="41"/>
      <c r="G69" s="70">
        <v>53.26</v>
      </c>
    </row>
    <row r="70" spans="1:7">
      <c r="A70" s="53" t="s">
        <v>827</v>
      </c>
      <c r="B70" s="53"/>
      <c r="C70" s="53"/>
      <c r="D70" s="53" t="s">
        <v>68</v>
      </c>
      <c r="E70" s="53" t="s">
        <v>461</v>
      </c>
      <c r="F70" s="41"/>
      <c r="G70" s="70">
        <v>51.92</v>
      </c>
    </row>
    <row r="71" spans="1:7">
      <c r="A71" s="53" t="s">
        <v>814</v>
      </c>
      <c r="B71" s="53"/>
      <c r="C71" s="53"/>
      <c r="D71" s="53" t="s">
        <v>68</v>
      </c>
      <c r="E71" s="53" t="s">
        <v>461</v>
      </c>
      <c r="F71" s="40"/>
      <c r="G71" s="69">
        <v>50.28</v>
      </c>
    </row>
    <row r="72" spans="1:7">
      <c r="A72" s="53" t="s">
        <v>816</v>
      </c>
      <c r="B72" s="53"/>
      <c r="C72" s="53"/>
      <c r="D72" s="53" t="s">
        <v>68</v>
      </c>
      <c r="E72" s="53" t="s">
        <v>461</v>
      </c>
      <c r="F72" s="41"/>
      <c r="G72" s="70">
        <v>50.28</v>
      </c>
    </row>
    <row r="73" spans="1:7">
      <c r="A73" s="53" t="s">
        <v>818</v>
      </c>
      <c r="B73" s="53"/>
      <c r="C73" s="53"/>
      <c r="D73" s="53" t="s">
        <v>68</v>
      </c>
      <c r="E73" s="53" t="s">
        <v>461</v>
      </c>
      <c r="F73" s="40"/>
      <c r="G73" s="69">
        <v>50.28</v>
      </c>
    </row>
    <row r="74" spans="1:7">
      <c r="A74" s="53" t="s">
        <v>780</v>
      </c>
      <c r="B74" s="53"/>
      <c r="C74" s="53"/>
      <c r="D74" s="61" t="s">
        <v>68</v>
      </c>
      <c r="E74" s="53" t="s">
        <v>461</v>
      </c>
      <c r="F74" s="41"/>
      <c r="G74" s="70">
        <v>50.26</v>
      </c>
    </row>
    <row r="75" spans="1:7">
      <c r="A75" s="53" t="s">
        <v>812</v>
      </c>
      <c r="B75" s="53"/>
      <c r="C75" s="53"/>
      <c r="D75" s="53" t="s">
        <v>68</v>
      </c>
      <c r="E75" s="53" t="s">
        <v>461</v>
      </c>
      <c r="F75" s="41"/>
      <c r="G75" s="70">
        <v>49.7</v>
      </c>
    </row>
    <row r="76" spans="1:7">
      <c r="A76" s="53" t="s">
        <v>830</v>
      </c>
      <c r="B76" s="53"/>
      <c r="C76" s="53"/>
      <c r="D76" s="54" t="s">
        <v>68</v>
      </c>
      <c r="E76" s="53" t="s">
        <v>461</v>
      </c>
      <c r="F76" s="40"/>
      <c r="G76" s="69">
        <v>39.76</v>
      </c>
    </row>
    <row r="77" spans="1:7">
      <c r="A77" s="53" t="s">
        <v>784</v>
      </c>
      <c r="B77" s="53"/>
      <c r="C77" s="53"/>
      <c r="D77" s="53" t="s">
        <v>68</v>
      </c>
      <c r="E77" s="53" t="s">
        <v>461</v>
      </c>
      <c r="F77" s="41"/>
      <c r="G77" s="70">
        <v>42.67</v>
      </c>
    </row>
    <row r="78" spans="1:7">
      <c r="A78" s="53" t="s">
        <v>1082</v>
      </c>
      <c r="B78" s="53"/>
      <c r="C78" s="53"/>
      <c r="D78" s="53" t="s">
        <v>68</v>
      </c>
      <c r="E78" s="53" t="s">
        <v>461</v>
      </c>
      <c r="F78" s="41"/>
      <c r="G78" s="70">
        <v>48.68</v>
      </c>
    </row>
    <row r="79" spans="1:7">
      <c r="A79" s="53" t="s">
        <v>824</v>
      </c>
      <c r="B79" s="53"/>
      <c r="C79" s="53"/>
      <c r="D79" s="53" t="s">
        <v>68</v>
      </c>
      <c r="E79" s="53" t="s">
        <v>461</v>
      </c>
      <c r="F79" s="41"/>
      <c r="G79" s="70">
        <v>42.94</v>
      </c>
    </row>
    <row r="80" spans="1:7">
      <c r="A80" s="53" t="s">
        <v>799</v>
      </c>
      <c r="B80" s="53"/>
      <c r="C80" s="53"/>
      <c r="D80" s="61" t="s">
        <v>68</v>
      </c>
      <c r="E80" s="53" t="s">
        <v>461</v>
      </c>
      <c r="F80" s="41"/>
      <c r="G80" s="70">
        <v>46.17</v>
      </c>
    </row>
    <row r="81" spans="1:7">
      <c r="A81" s="53" t="s">
        <v>1084</v>
      </c>
      <c r="B81" s="53"/>
      <c r="C81" s="53"/>
      <c r="D81" s="53" t="s">
        <v>68</v>
      </c>
      <c r="E81" s="53" t="s">
        <v>461</v>
      </c>
      <c r="F81" s="41"/>
      <c r="G81" s="70">
        <v>47.91</v>
      </c>
    </row>
    <row r="82" spans="1:7">
      <c r="A82" s="53" t="s">
        <v>806</v>
      </c>
      <c r="B82" s="53"/>
      <c r="C82" s="53"/>
      <c r="D82" s="61" t="s">
        <v>68</v>
      </c>
      <c r="E82" s="53" t="s">
        <v>461</v>
      </c>
      <c r="F82" s="41"/>
      <c r="G82" s="70">
        <v>51.69</v>
      </c>
    </row>
    <row r="83" spans="1:7">
      <c r="A83" s="53" t="s">
        <v>803</v>
      </c>
      <c r="B83" s="53"/>
      <c r="C83" s="53"/>
      <c r="D83" s="53" t="s">
        <v>68</v>
      </c>
      <c r="E83" s="53" t="s">
        <v>461</v>
      </c>
      <c r="F83" s="40"/>
      <c r="G83" s="69">
        <v>46.99</v>
      </c>
    </row>
    <row r="84" spans="1:7">
      <c r="A84" s="53" t="s">
        <v>820</v>
      </c>
      <c r="B84" s="53"/>
      <c r="C84" s="53"/>
      <c r="D84" s="53" t="s">
        <v>68</v>
      </c>
      <c r="E84" s="53" t="s">
        <v>461</v>
      </c>
      <c r="F84" s="40"/>
      <c r="G84" s="69">
        <v>37.590000000000003</v>
      </c>
    </row>
    <row r="85" spans="1:7">
      <c r="A85" s="53" t="s">
        <v>826</v>
      </c>
      <c r="B85" s="53"/>
      <c r="C85" s="53"/>
      <c r="D85" s="53" t="s">
        <v>68</v>
      </c>
      <c r="E85" s="53" t="s">
        <v>461</v>
      </c>
      <c r="F85" s="41"/>
      <c r="G85" s="70">
        <v>44.8</v>
      </c>
    </row>
    <row r="86" spans="1:7">
      <c r="A86" s="53" t="s">
        <v>789</v>
      </c>
      <c r="B86" s="53"/>
      <c r="C86" s="53"/>
      <c r="D86" s="53" t="s">
        <v>68</v>
      </c>
      <c r="E86" s="53" t="s">
        <v>461</v>
      </c>
      <c r="F86" s="41"/>
      <c r="G86" s="70">
        <v>44.76</v>
      </c>
    </row>
    <row r="87" spans="1:7">
      <c r="A87" s="53" t="s">
        <v>791</v>
      </c>
      <c r="B87" s="53"/>
      <c r="C87" s="53"/>
      <c r="D87" s="53" t="s">
        <v>68</v>
      </c>
      <c r="E87" s="53" t="s">
        <v>461</v>
      </c>
      <c r="F87" s="41"/>
      <c r="G87" s="70">
        <v>44.76</v>
      </c>
    </row>
    <row r="88" spans="1:7">
      <c r="A88" s="53" t="s">
        <v>793</v>
      </c>
      <c r="B88" s="53"/>
      <c r="C88" s="53"/>
      <c r="D88" s="53" t="s">
        <v>68</v>
      </c>
      <c r="E88" s="53" t="s">
        <v>461</v>
      </c>
      <c r="F88" s="41"/>
      <c r="G88" s="70">
        <v>44.76</v>
      </c>
    </row>
    <row r="89" spans="1:7">
      <c r="A89" s="53" t="s">
        <v>808</v>
      </c>
      <c r="B89" s="53"/>
      <c r="C89" s="53"/>
      <c r="D89" s="53" t="s">
        <v>68</v>
      </c>
      <c r="E89" s="53" t="s">
        <v>461</v>
      </c>
      <c r="F89" s="41"/>
      <c r="G89" s="70">
        <v>48.1</v>
      </c>
    </row>
    <row r="90" spans="1:7">
      <c r="A90" s="53" t="s">
        <v>787</v>
      </c>
      <c r="B90" s="53"/>
      <c r="C90" s="53"/>
      <c r="D90" s="53" t="s">
        <v>68</v>
      </c>
      <c r="E90" s="53" t="s">
        <v>461</v>
      </c>
      <c r="F90" s="40"/>
      <c r="G90" s="69">
        <v>44.66</v>
      </c>
    </row>
    <row r="91" spans="1:7">
      <c r="A91" s="53" t="s">
        <v>785</v>
      </c>
      <c r="B91" s="53"/>
      <c r="C91" s="53"/>
      <c r="D91" s="61" t="s">
        <v>68</v>
      </c>
      <c r="E91" s="53" t="s">
        <v>461</v>
      </c>
      <c r="F91" s="40"/>
      <c r="G91" s="69">
        <v>44.18</v>
      </c>
    </row>
    <row r="92" spans="1:7">
      <c r="A92" s="53" t="s">
        <v>1086</v>
      </c>
      <c r="B92" s="53"/>
      <c r="C92" s="53"/>
      <c r="D92" s="53" t="s">
        <v>68</v>
      </c>
      <c r="E92" s="53" t="s">
        <v>461</v>
      </c>
      <c r="F92" s="41"/>
      <c r="G92" s="70">
        <v>43.29</v>
      </c>
    </row>
    <row r="93" spans="1:7">
      <c r="A93" s="53" t="s">
        <v>795</v>
      </c>
      <c r="B93" s="53"/>
      <c r="C93" s="53"/>
      <c r="D93" s="53" t="s">
        <v>68</v>
      </c>
      <c r="E93" s="53" t="s">
        <v>461</v>
      </c>
      <c r="F93" s="41"/>
      <c r="G93" s="70">
        <v>40.28</v>
      </c>
    </row>
    <row r="94" spans="1:7">
      <c r="A94" s="53" t="s">
        <v>810</v>
      </c>
      <c r="B94" s="53"/>
      <c r="C94" s="53"/>
      <c r="D94" s="53" t="s">
        <v>68</v>
      </c>
      <c r="E94" s="53" t="s">
        <v>461</v>
      </c>
      <c r="F94" s="40"/>
      <c r="G94" s="69">
        <v>42.89</v>
      </c>
    </row>
    <row r="95" spans="1:7">
      <c r="A95" s="53" t="s">
        <v>797</v>
      </c>
      <c r="B95" s="53"/>
      <c r="C95" s="53"/>
      <c r="D95" s="53" t="s">
        <v>68</v>
      </c>
      <c r="E95" s="53" t="s">
        <v>461</v>
      </c>
      <c r="F95" s="41"/>
      <c r="G95" s="70">
        <v>40.28</v>
      </c>
    </row>
    <row r="96" spans="1:7">
      <c r="A96" s="53" t="s">
        <v>804</v>
      </c>
      <c r="B96" s="53"/>
      <c r="C96" s="53"/>
      <c r="D96" s="53" t="s">
        <v>68</v>
      </c>
      <c r="E96" s="53" t="s">
        <v>461</v>
      </c>
      <c r="F96" s="40"/>
      <c r="G96" s="69">
        <v>38.65</v>
      </c>
    </row>
    <row r="97" spans="1:7">
      <c r="A97" s="53" t="s">
        <v>1087</v>
      </c>
      <c r="B97" s="53"/>
      <c r="C97" s="53"/>
      <c r="D97" s="53" t="s">
        <v>68</v>
      </c>
      <c r="E97" s="53" t="s">
        <v>461</v>
      </c>
      <c r="F97" s="40"/>
      <c r="G97" s="69">
        <v>37.79</v>
      </c>
    </row>
    <row r="98" spans="1:7">
      <c r="A98" s="53" t="s">
        <v>778</v>
      </c>
      <c r="B98" s="53"/>
      <c r="C98" s="53"/>
      <c r="D98" s="61" t="s">
        <v>68</v>
      </c>
      <c r="E98" s="53" t="s">
        <v>461</v>
      </c>
      <c r="F98" s="41"/>
      <c r="G98" s="70">
        <v>44.18</v>
      </c>
    </row>
    <row r="99" spans="1:7">
      <c r="A99" s="53" t="s">
        <v>777</v>
      </c>
      <c r="B99" s="53"/>
      <c r="C99" s="53"/>
      <c r="D99" s="53" t="s">
        <v>68</v>
      </c>
      <c r="E99" s="53" t="s">
        <v>461</v>
      </c>
      <c r="F99" s="41"/>
      <c r="G99" s="70">
        <v>30.04</v>
      </c>
    </row>
    <row r="100" spans="1:7">
      <c r="A100" s="53" t="s">
        <v>774</v>
      </c>
      <c r="B100" s="53"/>
      <c r="C100" s="53"/>
      <c r="D100" s="61" t="s">
        <v>68</v>
      </c>
      <c r="E100" s="53" t="s">
        <v>461</v>
      </c>
      <c r="F100" s="41"/>
      <c r="G100" s="70">
        <v>34.79</v>
      </c>
    </row>
    <row r="101" spans="1:7">
      <c r="A101" s="53" t="s">
        <v>767</v>
      </c>
      <c r="B101" s="53"/>
      <c r="C101" s="53"/>
      <c r="D101" s="53" t="s">
        <v>68</v>
      </c>
      <c r="E101" s="53" t="s">
        <v>461</v>
      </c>
      <c r="F101" s="40"/>
      <c r="G101" s="69">
        <v>34.36</v>
      </c>
    </row>
    <row r="102" spans="1:7">
      <c r="A102" s="53" t="s">
        <v>772</v>
      </c>
      <c r="B102" s="53"/>
      <c r="C102" s="53"/>
      <c r="D102" s="53" t="s">
        <v>68</v>
      </c>
      <c r="E102" s="53" t="s">
        <v>461</v>
      </c>
      <c r="F102" s="41" t="s">
        <v>1899</v>
      </c>
      <c r="G102" s="70">
        <v>32.47</v>
      </c>
    </row>
    <row r="103" spans="1:7">
      <c r="A103" s="53" t="s">
        <v>771</v>
      </c>
      <c r="B103" s="53"/>
      <c r="C103" s="53"/>
      <c r="D103" s="61" t="s">
        <v>68</v>
      </c>
      <c r="E103" s="53" t="s">
        <v>461</v>
      </c>
      <c r="F103" s="40"/>
      <c r="G103" s="69">
        <v>30.93</v>
      </c>
    </row>
    <row r="104" spans="1:7">
      <c r="A104" s="53" t="s">
        <v>1089</v>
      </c>
      <c r="B104" s="53"/>
      <c r="C104" s="53"/>
      <c r="D104" s="53" t="s">
        <v>68</v>
      </c>
      <c r="E104" s="53" t="s">
        <v>461</v>
      </c>
      <c r="F104" s="40"/>
      <c r="G104" s="69">
        <v>84.72</v>
      </c>
    </row>
    <row r="105" spans="1:7">
      <c r="A105" s="53" t="s">
        <v>1091</v>
      </c>
      <c r="B105" s="53"/>
      <c r="C105" s="53"/>
      <c r="D105" s="61" t="s">
        <v>68</v>
      </c>
      <c r="E105" s="53" t="s">
        <v>461</v>
      </c>
      <c r="F105" s="41"/>
      <c r="G105" s="70">
        <v>28.72</v>
      </c>
    </row>
    <row r="106" spans="1:7">
      <c r="A106" s="53" t="s">
        <v>765</v>
      </c>
      <c r="B106" s="53"/>
      <c r="C106" s="53"/>
      <c r="D106" s="62" t="s">
        <v>68</v>
      </c>
      <c r="E106" s="53" t="s">
        <v>461</v>
      </c>
      <c r="F106" s="40"/>
      <c r="G106" s="69">
        <v>28.29</v>
      </c>
    </row>
    <row r="107" spans="1:7">
      <c r="A107" s="53" t="s">
        <v>763</v>
      </c>
      <c r="B107" s="53"/>
      <c r="C107" s="53"/>
      <c r="D107" s="62" t="s">
        <v>68</v>
      </c>
      <c r="E107" s="53" t="s">
        <v>461</v>
      </c>
      <c r="F107" s="41"/>
      <c r="G107" s="70">
        <v>25.77</v>
      </c>
    </row>
    <row r="108" spans="1:7">
      <c r="A108" s="53" t="s">
        <v>1093</v>
      </c>
      <c r="B108" s="53"/>
      <c r="C108" s="53"/>
      <c r="D108" s="62" t="s">
        <v>68</v>
      </c>
      <c r="E108" s="53" t="s">
        <v>461</v>
      </c>
      <c r="F108" s="40"/>
      <c r="G108" s="69">
        <v>28.06</v>
      </c>
    </row>
    <row r="109" spans="1:7">
      <c r="A109" s="53" t="s">
        <v>760</v>
      </c>
      <c r="B109" s="53"/>
      <c r="C109" s="53"/>
      <c r="D109" s="62" t="s">
        <v>68</v>
      </c>
      <c r="E109" s="53" t="s">
        <v>461</v>
      </c>
      <c r="F109" s="40"/>
      <c r="G109" s="69">
        <v>24.43</v>
      </c>
    </row>
    <row r="110" spans="1:7">
      <c r="A110" s="53" t="s">
        <v>758</v>
      </c>
      <c r="B110" s="53"/>
      <c r="C110" s="53"/>
      <c r="D110" s="62" t="s">
        <v>68</v>
      </c>
      <c r="E110" s="53" t="s">
        <v>461</v>
      </c>
      <c r="F110" s="40"/>
      <c r="G110" s="69">
        <v>20.05</v>
      </c>
    </row>
    <row r="111" spans="1:7">
      <c r="A111" s="53" t="s">
        <v>754</v>
      </c>
      <c r="B111" s="53"/>
      <c r="C111" s="53"/>
      <c r="D111" s="62" t="s">
        <v>68</v>
      </c>
      <c r="E111" s="53" t="s">
        <v>461</v>
      </c>
      <c r="F111" s="40"/>
      <c r="G111" s="69">
        <v>17.899999999999999</v>
      </c>
    </row>
    <row r="112" spans="1:7">
      <c r="A112" s="53" t="s">
        <v>1095</v>
      </c>
      <c r="B112" s="53"/>
      <c r="C112" s="53"/>
      <c r="D112" s="62" t="s">
        <v>68</v>
      </c>
      <c r="E112" s="53" t="s">
        <v>461</v>
      </c>
      <c r="F112" s="41"/>
      <c r="G112" s="70">
        <v>17.18</v>
      </c>
    </row>
    <row r="113" spans="1:7">
      <c r="A113" s="53" t="s">
        <v>752</v>
      </c>
      <c r="B113" s="53"/>
      <c r="C113" s="53"/>
      <c r="D113" s="62" t="s">
        <v>68</v>
      </c>
      <c r="E113" s="53" t="s">
        <v>461</v>
      </c>
      <c r="F113" s="40"/>
      <c r="G113" s="69">
        <v>16.920000000000002</v>
      </c>
    </row>
    <row r="114" spans="1:7">
      <c r="A114" s="53" t="s">
        <v>769</v>
      </c>
      <c r="B114" s="53"/>
      <c r="C114" s="53"/>
      <c r="D114" s="61" t="s">
        <v>68</v>
      </c>
      <c r="E114" s="53" t="s">
        <v>461</v>
      </c>
      <c r="F114" s="40"/>
      <c r="G114" s="69">
        <v>16.57</v>
      </c>
    </row>
    <row r="115" spans="1:7">
      <c r="A115" s="53" t="s">
        <v>750</v>
      </c>
      <c r="B115" s="53"/>
      <c r="C115" s="53"/>
      <c r="D115" s="61" t="s">
        <v>68</v>
      </c>
      <c r="E115" s="53" t="s">
        <v>461</v>
      </c>
      <c r="F115" s="40"/>
      <c r="G115" s="69">
        <v>16.57</v>
      </c>
    </row>
    <row r="116" spans="1:7">
      <c r="A116" s="53" t="s">
        <v>748</v>
      </c>
      <c r="B116" s="53"/>
      <c r="C116" s="53"/>
      <c r="D116" s="62" t="s">
        <v>68</v>
      </c>
      <c r="E116" s="53" t="s">
        <v>461</v>
      </c>
      <c r="F116" s="40"/>
      <c r="G116" s="69">
        <v>14.6</v>
      </c>
    </row>
    <row r="117" spans="1:7">
      <c r="A117" s="53" t="s">
        <v>746</v>
      </c>
      <c r="B117" s="53"/>
      <c r="C117" s="53"/>
      <c r="D117" s="62" t="s">
        <v>68</v>
      </c>
      <c r="E117" s="53" t="s">
        <v>461</v>
      </c>
      <c r="F117" s="40"/>
      <c r="G117" s="69">
        <v>13.74</v>
      </c>
    </row>
    <row r="118" spans="1:7">
      <c r="A118" s="53" t="s">
        <v>745</v>
      </c>
      <c r="B118" s="53"/>
      <c r="C118" s="53"/>
      <c r="D118" s="62" t="s">
        <v>68</v>
      </c>
      <c r="E118" s="53" t="s">
        <v>461</v>
      </c>
      <c r="F118" s="41"/>
      <c r="G118" s="70">
        <v>16.03</v>
      </c>
    </row>
    <row r="119" spans="1:7">
      <c r="A119" s="53" t="s">
        <v>743</v>
      </c>
      <c r="B119" s="53"/>
      <c r="C119" s="53"/>
      <c r="D119" s="61" t="s">
        <v>68</v>
      </c>
      <c r="E119" s="53" t="s">
        <v>461</v>
      </c>
      <c r="F119" s="40"/>
      <c r="G119" s="69">
        <v>10.44</v>
      </c>
    </row>
    <row r="120" spans="1:7">
      <c r="A120" s="53" t="s">
        <v>741</v>
      </c>
      <c r="B120" s="53"/>
      <c r="C120" s="53"/>
      <c r="D120" s="61" t="s">
        <v>68</v>
      </c>
      <c r="E120" s="53" t="s">
        <v>461</v>
      </c>
      <c r="F120" s="40"/>
      <c r="G120" s="69">
        <v>8.9499999999999993</v>
      </c>
    </row>
    <row r="121" spans="1:7">
      <c r="A121" s="53" t="s">
        <v>740</v>
      </c>
      <c r="B121" s="53"/>
      <c r="C121" s="53"/>
      <c r="D121" s="62" t="s">
        <v>68</v>
      </c>
      <c r="E121" s="53" t="s">
        <v>461</v>
      </c>
      <c r="F121" s="41"/>
      <c r="G121" s="70">
        <v>7.52</v>
      </c>
    </row>
    <row r="122" spans="1:7">
      <c r="A122" s="53" t="s">
        <v>732</v>
      </c>
      <c r="B122" s="53"/>
      <c r="C122" s="53"/>
      <c r="D122" s="61" t="s">
        <v>68</v>
      </c>
      <c r="E122" s="53" t="s">
        <v>461</v>
      </c>
      <c r="F122" s="41"/>
      <c r="G122" s="70">
        <v>7.46</v>
      </c>
    </row>
    <row r="123" spans="1:7">
      <c r="A123" s="53" t="s">
        <v>738</v>
      </c>
      <c r="B123" s="53"/>
      <c r="C123" s="53"/>
      <c r="D123" s="61" t="s">
        <v>68</v>
      </c>
      <c r="E123" s="53" t="s">
        <v>461</v>
      </c>
      <c r="F123" s="41"/>
      <c r="G123" s="70">
        <v>7.46</v>
      </c>
    </row>
    <row r="124" spans="1:7">
      <c r="A124" s="53" t="s">
        <v>734</v>
      </c>
      <c r="B124" s="53"/>
      <c r="C124" s="53"/>
      <c r="D124" s="61" t="s">
        <v>68</v>
      </c>
      <c r="E124" s="53" t="s">
        <v>461</v>
      </c>
      <c r="F124" s="40"/>
      <c r="G124" s="69">
        <v>5.96</v>
      </c>
    </row>
    <row r="125" spans="1:7">
      <c r="A125" s="53" t="s">
        <v>736</v>
      </c>
      <c r="B125" s="53"/>
      <c r="C125" s="53"/>
      <c r="D125" s="61" t="s">
        <v>68</v>
      </c>
      <c r="E125" s="53" t="s">
        <v>461</v>
      </c>
      <c r="F125" s="40"/>
      <c r="G125" s="69">
        <v>5.96</v>
      </c>
    </row>
    <row r="126" spans="1:7">
      <c r="A126" s="53" t="s">
        <v>730</v>
      </c>
      <c r="B126" s="53"/>
      <c r="C126" s="53"/>
      <c r="D126" s="61" t="s">
        <v>68</v>
      </c>
      <c r="E126" s="53" t="s">
        <v>461</v>
      </c>
      <c r="F126" s="40"/>
      <c r="G126" s="69">
        <v>4.47</v>
      </c>
    </row>
    <row r="127" spans="1:7">
      <c r="A127" s="53" t="s">
        <v>728</v>
      </c>
      <c r="B127" s="53"/>
      <c r="C127" s="53"/>
      <c r="D127" s="62" t="s">
        <v>68</v>
      </c>
      <c r="E127" s="53" t="s">
        <v>461</v>
      </c>
      <c r="F127" s="40"/>
      <c r="G127" s="69">
        <v>3.44</v>
      </c>
    </row>
  </sheetData>
  <sheetProtection sheet="1" objects="1" scenarios="1"/>
  <conditionalFormatting sqref="G3:G127">
    <cfRule type="expression" dxfId="76" priority="79">
      <formula>AND(G3&lt;#REF!, #REF!&gt;0)</formula>
    </cfRule>
    <cfRule type="expression" dxfId="75"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1900</v>
      </c>
      <c r="B2" t="s">
        <v>6</v>
      </c>
      <c r="C2" t="s">
        <v>1901</v>
      </c>
      <c r="D2" t="s">
        <v>11</v>
      </c>
      <c r="E2" t="s">
        <v>1459</v>
      </c>
    </row>
    <row r="3" spans="1:5" hidden="1">
      <c r="A3" s="50" t="s">
        <v>1045</v>
      </c>
      <c r="B3" s="50"/>
      <c r="C3" s="50" t="s">
        <v>68</v>
      </c>
      <c r="D3" s="50" t="s">
        <v>461</v>
      </c>
      <c r="E3" s="104">
        <v>365.11</v>
      </c>
    </row>
    <row r="4" spans="1:5" hidden="1">
      <c r="A4" s="50" t="s">
        <v>1043</v>
      </c>
      <c r="B4" s="50"/>
      <c r="C4" s="51" t="s">
        <v>68</v>
      </c>
      <c r="D4" s="50" t="s">
        <v>461</v>
      </c>
      <c r="E4" s="105">
        <v>362.55</v>
      </c>
    </row>
    <row r="5" spans="1:5" hidden="1">
      <c r="A5" s="50" t="s">
        <v>1041</v>
      </c>
      <c r="B5" s="50"/>
      <c r="C5" s="51" t="s">
        <v>68</v>
      </c>
      <c r="D5" s="50" t="s">
        <v>461</v>
      </c>
      <c r="E5" s="104">
        <v>353.23</v>
      </c>
    </row>
    <row r="6" spans="1:5" hidden="1">
      <c r="A6" s="50" t="s">
        <v>1039</v>
      </c>
      <c r="B6" s="50"/>
      <c r="C6" s="51" t="s">
        <v>68</v>
      </c>
      <c r="D6" s="50" t="s">
        <v>461</v>
      </c>
      <c r="E6" s="104">
        <v>329.03</v>
      </c>
    </row>
    <row r="7" spans="1:5" hidden="1">
      <c r="A7" s="50" t="s">
        <v>1032</v>
      </c>
      <c r="B7" s="50"/>
      <c r="C7" s="50" t="s">
        <v>68</v>
      </c>
      <c r="D7" s="50" t="s">
        <v>461</v>
      </c>
      <c r="E7" s="104">
        <v>321.5</v>
      </c>
    </row>
    <row r="8" spans="1:5" hidden="1">
      <c r="A8" s="50" t="s">
        <v>1035</v>
      </c>
      <c r="B8" s="50"/>
      <c r="C8" s="50" t="s">
        <v>68</v>
      </c>
      <c r="D8" s="50" t="s">
        <v>461</v>
      </c>
      <c r="E8" s="105">
        <v>313.45999999999998</v>
      </c>
    </row>
    <row r="9" spans="1:5" hidden="1">
      <c r="A9" s="50" t="s">
        <v>1033</v>
      </c>
      <c r="B9" s="50"/>
      <c r="C9" s="52" t="s">
        <v>68</v>
      </c>
      <c r="D9" s="50" t="s">
        <v>461</v>
      </c>
      <c r="E9" s="105">
        <v>308</v>
      </c>
    </row>
    <row r="10" spans="1:5" hidden="1">
      <c r="A10" s="50" t="s">
        <v>1018</v>
      </c>
      <c r="B10" s="50"/>
      <c r="C10" s="50" t="s">
        <v>68</v>
      </c>
      <c r="D10" s="50" t="s">
        <v>461</v>
      </c>
      <c r="E10" s="104">
        <v>283.69</v>
      </c>
    </row>
    <row r="11" spans="1:5" hidden="1">
      <c r="A11" s="50" t="s">
        <v>1014</v>
      </c>
      <c r="B11" s="50"/>
      <c r="C11" s="50" t="s">
        <v>68</v>
      </c>
      <c r="D11" s="50" t="s">
        <v>461</v>
      </c>
      <c r="E11" s="104">
        <v>276.61</v>
      </c>
    </row>
    <row r="12" spans="1:5" hidden="1">
      <c r="A12" s="50" t="s">
        <v>1026</v>
      </c>
      <c r="B12" s="50"/>
      <c r="C12" s="51" t="s">
        <v>68</v>
      </c>
      <c r="D12" s="50" t="s">
        <v>461</v>
      </c>
      <c r="E12" s="104">
        <v>270.2</v>
      </c>
    </row>
    <row r="13" spans="1:5">
      <c r="A13" s="114" t="s">
        <v>188</v>
      </c>
      <c r="B13" s="114"/>
      <c r="C13" s="115" t="s">
        <v>68</v>
      </c>
      <c r="D13" s="114" t="s">
        <v>69</v>
      </c>
      <c r="E13" s="116">
        <v>267.82</v>
      </c>
    </row>
    <row r="14" spans="1:5">
      <c r="A14" s="114" t="s">
        <v>180</v>
      </c>
      <c r="B14" s="114"/>
      <c r="C14" s="115" t="s">
        <v>68</v>
      </c>
      <c r="D14" s="114" t="s">
        <v>69</v>
      </c>
      <c r="E14" s="116">
        <v>264.33</v>
      </c>
    </row>
    <row r="15" spans="1:5" hidden="1">
      <c r="A15" s="50" t="s">
        <v>1020</v>
      </c>
      <c r="B15" s="50"/>
      <c r="C15" s="51" t="s">
        <v>68</v>
      </c>
      <c r="D15" s="50" t="s">
        <v>461</v>
      </c>
      <c r="E15" s="104">
        <v>238.68</v>
      </c>
    </row>
    <row r="16" spans="1:5">
      <c r="A16" s="114" t="s">
        <v>184</v>
      </c>
      <c r="B16" s="114"/>
      <c r="C16" s="115" t="s">
        <v>68</v>
      </c>
      <c r="D16" s="114" t="s">
        <v>69</v>
      </c>
      <c r="E16" s="116">
        <v>230.72</v>
      </c>
    </row>
    <row r="17" spans="1:5" hidden="1">
      <c r="A17" s="50" t="s">
        <v>1009</v>
      </c>
      <c r="B17" s="50"/>
      <c r="C17" s="51" t="s">
        <v>68</v>
      </c>
      <c r="D17" s="50" t="s">
        <v>461</v>
      </c>
      <c r="E17" s="104">
        <v>228.02</v>
      </c>
    </row>
    <row r="18" spans="1:5">
      <c r="A18" s="114" t="s">
        <v>159</v>
      </c>
      <c r="B18" s="114"/>
      <c r="C18" s="115" t="s">
        <v>68</v>
      </c>
      <c r="D18" s="114" t="s">
        <v>69</v>
      </c>
      <c r="E18" s="116">
        <v>219.87</v>
      </c>
    </row>
    <row r="19" spans="1:5" hidden="1">
      <c r="A19" s="50" t="s">
        <v>997</v>
      </c>
      <c r="B19" s="50"/>
      <c r="C19" s="51" t="s">
        <v>68</v>
      </c>
      <c r="D19" s="50" t="s">
        <v>461</v>
      </c>
      <c r="E19" s="104">
        <v>214.91</v>
      </c>
    </row>
    <row r="20" spans="1:5" hidden="1">
      <c r="A20" s="50" t="s">
        <v>1007</v>
      </c>
      <c r="B20" s="50"/>
      <c r="C20" s="50" t="s">
        <v>68</v>
      </c>
      <c r="D20" s="50" t="s">
        <v>461</v>
      </c>
      <c r="E20" s="105">
        <v>208.54</v>
      </c>
    </row>
    <row r="21" spans="1:5" hidden="1">
      <c r="A21" s="50" t="s">
        <v>1011</v>
      </c>
      <c r="B21" s="50"/>
      <c r="C21" s="51" t="s">
        <v>68</v>
      </c>
      <c r="D21" s="50" t="s">
        <v>461</v>
      </c>
      <c r="E21" s="104">
        <v>208.06</v>
      </c>
    </row>
    <row r="22" spans="1:5" hidden="1">
      <c r="A22" s="50" t="s">
        <v>1016</v>
      </c>
      <c r="B22" s="50"/>
      <c r="C22" s="50" t="s">
        <v>68</v>
      </c>
      <c r="D22" s="50" t="s">
        <v>461</v>
      </c>
      <c r="E22" s="104">
        <v>199.51</v>
      </c>
    </row>
    <row r="23" spans="1:5">
      <c r="A23" s="114" t="s">
        <v>155</v>
      </c>
      <c r="B23" s="114"/>
      <c r="C23" s="117" t="s">
        <v>68</v>
      </c>
      <c r="D23" s="114" t="s">
        <v>69</v>
      </c>
      <c r="E23" s="116">
        <v>192.08</v>
      </c>
    </row>
    <row r="24" spans="1:5" hidden="1">
      <c r="A24" s="50" t="s">
        <v>999</v>
      </c>
      <c r="B24" s="50"/>
      <c r="C24" s="51" t="s">
        <v>68</v>
      </c>
      <c r="D24" s="50" t="s">
        <v>461</v>
      </c>
      <c r="E24" s="105">
        <v>186.23</v>
      </c>
    </row>
    <row r="25" spans="1:5" hidden="1">
      <c r="A25" s="50" t="s">
        <v>989</v>
      </c>
      <c r="B25" s="50"/>
      <c r="C25" s="51" t="s">
        <v>68</v>
      </c>
      <c r="D25" s="50" t="s">
        <v>461</v>
      </c>
      <c r="E25" s="105">
        <v>185.26</v>
      </c>
    </row>
    <row r="26" spans="1:5" hidden="1">
      <c r="A26" s="50" t="s">
        <v>1024</v>
      </c>
      <c r="B26" s="50"/>
      <c r="C26" s="50" t="s">
        <v>68</v>
      </c>
      <c r="D26" s="50" t="s">
        <v>461</v>
      </c>
      <c r="E26" s="105">
        <v>183.34</v>
      </c>
    </row>
    <row r="27" spans="1:5" hidden="1">
      <c r="A27" s="50" t="s">
        <v>981</v>
      </c>
      <c r="B27" s="50"/>
      <c r="C27" s="51" t="s">
        <v>68</v>
      </c>
      <c r="D27" s="50" t="s">
        <v>461</v>
      </c>
      <c r="E27" s="105">
        <v>177.17</v>
      </c>
    </row>
    <row r="28" spans="1:5" hidden="1">
      <c r="A28" s="50" t="s">
        <v>1075</v>
      </c>
      <c r="B28" s="50"/>
      <c r="C28" s="50" t="s">
        <v>68</v>
      </c>
      <c r="D28" s="50" t="s">
        <v>461</v>
      </c>
      <c r="E28" s="105">
        <v>174.15</v>
      </c>
    </row>
    <row r="29" spans="1:5" hidden="1">
      <c r="A29" s="50" t="s">
        <v>1003</v>
      </c>
      <c r="B29" s="50"/>
      <c r="C29" s="50" t="s">
        <v>68</v>
      </c>
      <c r="D29" s="50" t="s">
        <v>461</v>
      </c>
      <c r="E29" s="104">
        <v>173.76</v>
      </c>
    </row>
    <row r="30" spans="1:5" hidden="1">
      <c r="A30" s="50" t="s">
        <v>969</v>
      </c>
      <c r="B30" s="50"/>
      <c r="C30" s="50" t="s">
        <v>68</v>
      </c>
      <c r="D30" s="50" t="s">
        <v>461</v>
      </c>
      <c r="E30" s="105">
        <v>166.34</v>
      </c>
    </row>
    <row r="31" spans="1:5" hidden="1">
      <c r="A31" s="50" t="s">
        <v>979</v>
      </c>
      <c r="B31" s="50"/>
      <c r="C31" s="50" t="s">
        <v>68</v>
      </c>
      <c r="D31" s="50" t="s">
        <v>461</v>
      </c>
      <c r="E31" s="104">
        <v>165.51</v>
      </c>
    </row>
    <row r="32" spans="1:5" hidden="1">
      <c r="A32" s="50" t="s">
        <v>977</v>
      </c>
      <c r="B32" s="50"/>
      <c r="C32" s="50" t="s">
        <v>68</v>
      </c>
      <c r="D32" s="50" t="s">
        <v>461</v>
      </c>
      <c r="E32" s="104">
        <v>165</v>
      </c>
    </row>
    <row r="33" spans="1:5" hidden="1">
      <c r="A33" s="50" t="s">
        <v>958</v>
      </c>
      <c r="B33" s="50"/>
      <c r="C33" s="51" t="s">
        <v>68</v>
      </c>
      <c r="D33" s="50" t="s">
        <v>461</v>
      </c>
      <c r="E33" s="104">
        <v>160.75</v>
      </c>
    </row>
    <row r="34" spans="1:5">
      <c r="A34" s="114" t="s">
        <v>142</v>
      </c>
      <c r="B34" s="114"/>
      <c r="C34" s="115" t="s">
        <v>68</v>
      </c>
      <c r="D34" s="114" t="s">
        <v>69</v>
      </c>
      <c r="E34" s="116">
        <v>160.61000000000001</v>
      </c>
    </row>
    <row r="35" spans="1:5" hidden="1">
      <c r="A35" s="50" t="s">
        <v>992</v>
      </c>
      <c r="B35" s="50"/>
      <c r="C35" s="50" t="s">
        <v>68</v>
      </c>
      <c r="D35" s="50" t="s">
        <v>461</v>
      </c>
      <c r="E35" s="104">
        <v>160.16</v>
      </c>
    </row>
    <row r="36" spans="1:5" hidden="1">
      <c r="A36" s="50" t="s">
        <v>975</v>
      </c>
      <c r="B36" s="50"/>
      <c r="C36" s="50" t="s">
        <v>68</v>
      </c>
      <c r="D36" s="50" t="s">
        <v>461</v>
      </c>
      <c r="E36" s="105">
        <v>159.61000000000001</v>
      </c>
    </row>
    <row r="37" spans="1:5" hidden="1">
      <c r="A37" s="50" t="s">
        <v>973</v>
      </c>
      <c r="B37" s="50"/>
      <c r="C37" s="50" t="s">
        <v>68</v>
      </c>
      <c r="D37" s="50" t="s">
        <v>461</v>
      </c>
      <c r="E37" s="105">
        <v>159.25</v>
      </c>
    </row>
    <row r="38" spans="1:5">
      <c r="A38" s="118" t="s">
        <v>431</v>
      </c>
      <c r="B38" s="114"/>
      <c r="C38" s="115" t="s">
        <v>68</v>
      </c>
      <c r="D38" s="114" t="s">
        <v>69</v>
      </c>
      <c r="E38" s="116">
        <v>158</v>
      </c>
    </row>
    <row r="39" spans="1:5" hidden="1">
      <c r="A39" s="50" t="s">
        <v>985</v>
      </c>
      <c r="B39" s="50"/>
      <c r="C39" s="50" t="s">
        <v>68</v>
      </c>
      <c r="D39" s="50" t="s">
        <v>461</v>
      </c>
      <c r="E39" s="105">
        <v>156.59</v>
      </c>
    </row>
    <row r="40" spans="1:5" hidden="1">
      <c r="A40" s="50" t="s">
        <v>548</v>
      </c>
      <c r="B40" s="50"/>
      <c r="C40" s="51" t="s">
        <v>68</v>
      </c>
      <c r="D40" s="50" t="s">
        <v>461</v>
      </c>
      <c r="E40" s="105">
        <v>151.06</v>
      </c>
    </row>
    <row r="41" spans="1:5" hidden="1">
      <c r="A41" s="50" t="s">
        <v>966</v>
      </c>
      <c r="B41" s="50"/>
      <c r="C41" s="51" t="s">
        <v>68</v>
      </c>
      <c r="D41" s="50" t="s">
        <v>461</v>
      </c>
      <c r="E41" s="104">
        <v>148.93</v>
      </c>
    </row>
    <row r="42" spans="1:5" hidden="1">
      <c r="A42" s="50" t="s">
        <v>954</v>
      </c>
      <c r="B42" s="50"/>
      <c r="C42" s="51" t="s">
        <v>68</v>
      </c>
      <c r="D42" s="50" t="s">
        <v>461</v>
      </c>
      <c r="E42" s="104">
        <v>147.63999999999999</v>
      </c>
    </row>
    <row r="43" spans="1:5" hidden="1">
      <c r="A43" s="50" t="s">
        <v>962</v>
      </c>
      <c r="B43" s="50"/>
      <c r="C43" s="51" t="s">
        <v>68</v>
      </c>
      <c r="D43" s="50" t="s">
        <v>461</v>
      </c>
      <c r="E43" s="104">
        <v>145.59</v>
      </c>
    </row>
    <row r="44" spans="1:5" hidden="1">
      <c r="A44" s="50" t="s">
        <v>960</v>
      </c>
      <c r="B44" s="50"/>
      <c r="C44" s="51" t="s">
        <v>68</v>
      </c>
      <c r="D44" s="50" t="s">
        <v>461</v>
      </c>
      <c r="E44" s="105">
        <v>145.08000000000001</v>
      </c>
    </row>
    <row r="45" spans="1:5" hidden="1">
      <c r="A45" s="114" t="s">
        <v>1134</v>
      </c>
      <c r="B45" s="114"/>
      <c r="C45" s="115" t="s">
        <v>68</v>
      </c>
      <c r="D45" s="114" t="s">
        <v>442</v>
      </c>
      <c r="E45" s="116">
        <v>144.79</v>
      </c>
    </row>
    <row r="46" spans="1:5" hidden="1">
      <c r="A46" s="50" t="s">
        <v>971</v>
      </c>
      <c r="B46" s="50"/>
      <c r="C46" s="50" t="s">
        <v>68</v>
      </c>
      <c r="D46" s="50" t="s">
        <v>461</v>
      </c>
      <c r="E46" s="105">
        <v>143.4</v>
      </c>
    </row>
    <row r="47" spans="1:5" hidden="1">
      <c r="A47" s="50" t="s">
        <v>1077</v>
      </c>
      <c r="B47" s="50"/>
      <c r="C47" s="51" t="s">
        <v>68</v>
      </c>
      <c r="D47" s="50" t="s">
        <v>461</v>
      </c>
      <c r="E47" s="105">
        <v>142.51</v>
      </c>
    </row>
    <row r="48" spans="1:5" hidden="1">
      <c r="A48" s="50" t="s">
        <v>956</v>
      </c>
      <c r="B48" s="50"/>
      <c r="C48" s="50" t="s">
        <v>68</v>
      </c>
      <c r="D48" s="50" t="s">
        <v>461</v>
      </c>
      <c r="E48" s="104">
        <v>132.82</v>
      </c>
    </row>
    <row r="49" spans="1:5" hidden="1">
      <c r="A49" s="50" t="s">
        <v>941</v>
      </c>
      <c r="B49" s="50"/>
      <c r="C49" s="50" t="s">
        <v>68</v>
      </c>
      <c r="D49" s="50" t="s">
        <v>461</v>
      </c>
      <c r="E49" s="104">
        <v>130.49</v>
      </c>
    </row>
    <row r="50" spans="1:5" hidden="1">
      <c r="A50" s="50" t="s">
        <v>987</v>
      </c>
      <c r="B50" s="50"/>
      <c r="C50" s="51" t="s">
        <v>68</v>
      </c>
      <c r="D50" s="50" t="s">
        <v>461</v>
      </c>
      <c r="E50" s="105">
        <v>128.83000000000001</v>
      </c>
    </row>
    <row r="51" spans="1:5" hidden="1">
      <c r="A51" s="50" t="s">
        <v>952</v>
      </c>
      <c r="B51" s="50"/>
      <c r="C51" s="50" t="s">
        <v>68</v>
      </c>
      <c r="D51" s="50" t="s">
        <v>461</v>
      </c>
      <c r="E51" s="104">
        <v>126.83</v>
      </c>
    </row>
    <row r="52" spans="1:5" hidden="1">
      <c r="A52" s="50" t="s">
        <v>948</v>
      </c>
      <c r="B52" s="50"/>
      <c r="C52" s="50" t="s">
        <v>68</v>
      </c>
      <c r="D52" s="50" t="s">
        <v>461</v>
      </c>
      <c r="E52" s="104">
        <v>125.51</v>
      </c>
    </row>
    <row r="53" spans="1:5">
      <c r="A53" s="114" t="s">
        <v>129</v>
      </c>
      <c r="B53" s="114"/>
      <c r="C53" s="117" t="s">
        <v>68</v>
      </c>
      <c r="D53" s="114" t="s">
        <v>69</v>
      </c>
      <c r="E53" s="116">
        <v>124.71</v>
      </c>
    </row>
    <row r="54" spans="1:5" hidden="1">
      <c r="A54" s="50" t="s">
        <v>950</v>
      </c>
      <c r="B54" s="50"/>
      <c r="C54" s="50" t="s">
        <v>68</v>
      </c>
      <c r="D54" s="50" t="s">
        <v>461</v>
      </c>
      <c r="E54" s="104">
        <v>122.59</v>
      </c>
    </row>
    <row r="55" spans="1:5" hidden="1">
      <c r="A55" s="50" t="s">
        <v>946</v>
      </c>
      <c r="B55" s="50"/>
      <c r="C55" s="50" t="s">
        <v>68</v>
      </c>
      <c r="D55" s="50" t="s">
        <v>461</v>
      </c>
      <c r="E55" s="105">
        <v>121.16</v>
      </c>
    </row>
    <row r="56" spans="1:5" hidden="1">
      <c r="A56" s="50" t="s">
        <v>939</v>
      </c>
      <c r="B56" s="50"/>
      <c r="C56" s="50" t="s">
        <v>68</v>
      </c>
      <c r="D56" s="50" t="s">
        <v>461</v>
      </c>
      <c r="E56" s="105">
        <v>118.2</v>
      </c>
    </row>
    <row r="57" spans="1:5" hidden="1">
      <c r="A57" s="114" t="s">
        <v>1099</v>
      </c>
      <c r="B57" s="114"/>
      <c r="C57" s="115" t="s">
        <v>68</v>
      </c>
      <c r="D57" s="114" t="s">
        <v>442</v>
      </c>
      <c r="E57" s="116">
        <v>116.24</v>
      </c>
    </row>
    <row r="58" spans="1:5" hidden="1">
      <c r="A58" s="50" t="s">
        <v>943</v>
      </c>
      <c r="B58" s="50"/>
      <c r="C58" s="51" t="s">
        <v>68</v>
      </c>
      <c r="D58" s="50" t="s">
        <v>461</v>
      </c>
      <c r="E58" s="105">
        <v>111.16</v>
      </c>
    </row>
    <row r="59" spans="1:5" hidden="1">
      <c r="A59" s="50" t="s">
        <v>933</v>
      </c>
      <c r="B59" s="50"/>
      <c r="C59" s="50" t="s">
        <v>68</v>
      </c>
      <c r="D59" s="50" t="s">
        <v>461</v>
      </c>
      <c r="E59" s="104">
        <v>108.1</v>
      </c>
    </row>
    <row r="60" spans="1:5" hidden="1">
      <c r="A60" s="50" t="s">
        <v>922</v>
      </c>
      <c r="B60" s="50"/>
      <c r="C60" s="50" t="s">
        <v>68</v>
      </c>
      <c r="D60" s="50" t="s">
        <v>461</v>
      </c>
      <c r="E60" s="105">
        <v>107.28</v>
      </c>
    </row>
    <row r="61" spans="1:5" hidden="1">
      <c r="A61" s="50" t="s">
        <v>937</v>
      </c>
      <c r="B61" s="50"/>
      <c r="C61" s="50" t="s">
        <v>68</v>
      </c>
      <c r="D61" s="50" t="s">
        <v>461</v>
      </c>
      <c r="E61" s="105">
        <v>106.77</v>
      </c>
    </row>
    <row r="62" spans="1:5" hidden="1">
      <c r="A62" s="50" t="s">
        <v>935</v>
      </c>
      <c r="B62" s="50"/>
      <c r="C62" s="51" t="s">
        <v>68</v>
      </c>
      <c r="D62" s="50" t="s">
        <v>461</v>
      </c>
      <c r="E62" s="104">
        <v>105.8</v>
      </c>
    </row>
    <row r="63" spans="1:5" hidden="1">
      <c r="A63" s="110" t="s">
        <v>926</v>
      </c>
      <c r="B63" s="111"/>
      <c r="C63" s="111" t="s">
        <v>68</v>
      </c>
      <c r="D63" s="111" t="s">
        <v>461</v>
      </c>
      <c r="E63" s="113">
        <v>103.43</v>
      </c>
    </row>
    <row r="64" spans="1:5" hidden="1">
      <c r="A64" s="110" t="s">
        <v>444</v>
      </c>
      <c r="B64" s="111"/>
      <c r="C64" s="112" t="s">
        <v>68</v>
      </c>
      <c r="D64" s="111" t="s">
        <v>461</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74" priority="83">
      <formula>AND(E3&lt;#REF!, #REF!&gt;0,NOT(ISBLANK(#REF!)))</formula>
    </cfRule>
    <cfRule type="expression" dxfId="73" priority="84">
      <formula>AND(E3&gt;#REF!, #REF!&gt;0)</formula>
    </cfRule>
  </conditionalFormatting>
  <conditionalFormatting sqref="E65">
    <cfRule type="containsBlanks" dxfId="72"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9"/>
  <sheetViews>
    <sheetView topLeftCell="A13" workbookViewId="0">
      <selection activeCell="D23" sqref="B23:D23"/>
    </sheetView>
  </sheetViews>
  <sheetFormatPr defaultColWidth="8.85546875" defaultRowHeight="15"/>
  <cols>
    <col min="1" max="1" width="19" customWidth="1"/>
    <col min="2" max="7" width="12" customWidth="1"/>
    <col min="8" max="8" width="17.140625" style="15" customWidth="1"/>
    <col min="10" max="10" width="12.28515625" customWidth="1"/>
    <col min="12" max="12" width="10.85546875" customWidth="1"/>
    <col min="14" max="14" width="11.7109375" customWidth="1"/>
    <col min="15" max="15" width="14.28515625" customWidth="1"/>
  </cols>
  <sheetData>
    <row r="1" spans="1:15" ht="18.399999999999999">
      <c r="A1" s="312"/>
      <c r="B1" s="312" t="s">
        <v>1902</v>
      </c>
      <c r="C1" s="312"/>
      <c r="D1" s="312"/>
      <c r="E1" s="312"/>
      <c r="F1" s="312"/>
      <c r="G1" s="312"/>
      <c r="H1" s="396"/>
    </row>
    <row r="2" spans="1:15">
      <c r="A2" s="313" t="s">
        <v>11</v>
      </c>
      <c r="B2" s="313" t="s">
        <v>14</v>
      </c>
      <c r="C2" s="313" t="s">
        <v>15</v>
      </c>
      <c r="D2" s="313" t="s">
        <v>16</v>
      </c>
      <c r="E2" s="313" t="s">
        <v>17</v>
      </c>
      <c r="F2" s="313" t="s">
        <v>18</v>
      </c>
      <c r="G2" s="313" t="s">
        <v>19</v>
      </c>
      <c r="H2" s="397" t="s">
        <v>1379</v>
      </c>
    </row>
    <row r="3" spans="1:15">
      <c r="A3" s="388" t="s">
        <v>445</v>
      </c>
      <c r="B3" s="388"/>
      <c r="C3" s="388"/>
      <c r="D3" s="388"/>
      <c r="E3" s="388"/>
      <c r="F3" s="388"/>
      <c r="G3" s="388"/>
      <c r="H3" s="397"/>
      <c r="L3" s="43"/>
      <c r="N3" s="389"/>
      <c r="O3" s="43"/>
    </row>
    <row r="4" spans="1:15">
      <c r="A4" t="s">
        <v>1903</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356.85714285714289</v>
      </c>
      <c r="G4" s="43">
        <f>SUMIFS('Ventas 2026'!$N:$N,'Ventas 2026'!$G:$G,"Up Selling",'Ventas 2026'!$F:$F,$A3,'Ventas 2026'!$E:$E,G2)</f>
        <v>26.857142857142858</v>
      </c>
      <c r="H4" s="398">
        <f>SUMIFS('Ventas 2026'!$N:$N,'Ventas 2026'!$G:$G,"Up Selling",'Ventas 2026'!$F:$F,$A3,'Ventas 2026'!$E:$E,H2)</f>
        <v>692.28571428571422</v>
      </c>
      <c r="L4" s="43"/>
      <c r="N4" s="389"/>
      <c r="O4" s="43"/>
    </row>
    <row r="5" spans="1:15">
      <c r="A5" t="s">
        <v>1904</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398">
        <f>SUMIFS('Ventas 2026'!$N:$N,'Ventas 2026'!$G:$G,"Cross selling",'Ventas 2026'!$F:$F,$A3,'Ventas 2026'!$E:$E,H2)</f>
        <v>636.57142857142856</v>
      </c>
      <c r="L5" s="43"/>
      <c r="M5" s="55"/>
      <c r="N5" s="43"/>
      <c r="O5" s="43"/>
    </row>
    <row r="6" spans="1:15">
      <c r="A6" t="s">
        <v>1490</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398">
        <f>SUMIFS('Ventas 2026'!$N:$N,'Ventas 2026'!$G:$G,"Arriendo",'Ventas 2026'!$F:$F,$A3,'Ventas 2026'!$E:$E,H2)</f>
        <v>0</v>
      </c>
      <c r="L6" s="43"/>
      <c r="M6" s="55"/>
      <c r="N6" s="43"/>
      <c r="O6" s="43"/>
    </row>
    <row r="7" spans="1:15">
      <c r="A7" t="s">
        <v>1905</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398">
        <f>SUMIFS('Ventas 2026'!$N:$N,'Ventas 2026'!$G:$G,"Referidos",'Ventas 2026'!$F:$F,$A$3,'Ventas 2026'!$E:$E,H2)</f>
        <v>0</v>
      </c>
      <c r="L7" s="43"/>
      <c r="M7" s="55"/>
      <c r="N7" s="43"/>
      <c r="O7" s="43"/>
    </row>
    <row r="8" spans="1:15">
      <c r="A8" s="384" t="s">
        <v>1906</v>
      </c>
      <c r="B8" s="385">
        <f>SUMIFS('Detalle Fuga 2026'!$I:$I,'Detalle Fuga 2026'!$C:$C,$A3,'Detalle Fuga 2026'!$K:$K,B2,'Detalle Fuga 2026'!$A:$A,"Baja")</f>
        <v>106.41</v>
      </c>
      <c r="C8" s="385">
        <f>SUMIFS('Detalle Fuga 2026'!$I:$I,'Detalle Fuga 2026'!$C:$C,$A3,'Detalle Fuga 2026'!$K:$K,C2,'Detalle Fuga 2026'!$A:$A,"Baja")</f>
        <v>737</v>
      </c>
      <c r="D8" s="385">
        <f>SUMIFS('Detalle Fuga 2026'!$I:$I,'Detalle Fuga 2026'!$C:$C,$A3,'Detalle Fuga 2026'!$K:$K,D2,'Detalle Fuga 2026'!$A:$A,"Baja")</f>
        <v>425.93180000000001</v>
      </c>
      <c r="E8" s="385">
        <f>SUMIFS('Detalle Fuga 2026'!$I:$I,'Detalle Fuga 2026'!$C:$C,$A3,'Detalle Fuga 2026'!$K:$K,E2,'Detalle Fuga 2026'!$A:$A,"Baja")</f>
        <v>0</v>
      </c>
      <c r="F8" s="385">
        <f>SUMIFS('Detalle Fuga 2026'!$I:$I,'Detalle Fuga 2026'!$C:$C,$A3,'Detalle Fuga 2026'!$K:$K,F2,'Detalle Fuga 2026'!$A:$A,"Baja")</f>
        <v>0</v>
      </c>
      <c r="G8" s="385">
        <f>SUMIFS('Detalle Fuga 2026'!$I:$I,'Detalle Fuga 2026'!$C:$C,$A3,'Detalle Fuga 2026'!$K:$K,G2,'Detalle Fuga 2026'!$A:$A,"Baja")</f>
        <v>0</v>
      </c>
      <c r="H8" s="398">
        <f>SUMIFS('Detalle Fuga 2026'!$I:$I,'Detalle Fuga 2026'!$C:$C,$A3,'Detalle Fuga 2026'!$K:$K,H2,'Detalle Fuga 2026'!$A:$A,"Baja")</f>
        <v>0</v>
      </c>
      <c r="N8" s="43"/>
      <c r="O8" s="43"/>
    </row>
    <row r="9" spans="1:15">
      <c r="A9" s="384" t="s">
        <v>1907</v>
      </c>
      <c r="B9" s="386">
        <v>18081.080000000002</v>
      </c>
      <c r="C9" s="386">
        <v>18213.400000000001</v>
      </c>
      <c r="D9" s="386">
        <v>18703.82</v>
      </c>
      <c r="E9" s="386">
        <v>19318.499999999996</v>
      </c>
      <c r="F9" s="386">
        <v>19668.613399999991</v>
      </c>
      <c r="G9" s="386">
        <v>19409.809999999998</v>
      </c>
      <c r="H9" s="399">
        <v>19409.809999999998</v>
      </c>
      <c r="N9" s="43"/>
      <c r="O9" s="43"/>
    </row>
    <row r="10" spans="1:15">
      <c r="A10" s="384" t="s">
        <v>1908</v>
      </c>
      <c r="B10" s="387">
        <f t="shared" ref="B10:G10" si="0">B8/B9</f>
        <v>5.8851573025505109E-3</v>
      </c>
      <c r="C10" s="387">
        <f t="shared" si="0"/>
        <v>4.0464712793877033E-2</v>
      </c>
      <c r="D10" s="387">
        <f t="shared" si="0"/>
        <v>2.2772449692094986E-2</v>
      </c>
      <c r="E10" s="387">
        <f t="shared" si="0"/>
        <v>0</v>
      </c>
      <c r="F10" s="387">
        <f t="shared" si="0"/>
        <v>0</v>
      </c>
      <c r="G10" s="387">
        <f t="shared" si="0"/>
        <v>0</v>
      </c>
      <c r="H10" s="400">
        <f t="shared" ref="H10" si="1">H8/H9</f>
        <v>0</v>
      </c>
      <c r="N10" s="43"/>
      <c r="O10" s="43"/>
    </row>
    <row r="11" spans="1:15">
      <c r="A11" s="382" t="s">
        <v>1909</v>
      </c>
      <c r="B11" s="383">
        <f>B4+B5+B6+B7-B8</f>
        <v>7.4143626062323023</v>
      </c>
      <c r="C11" s="383">
        <f t="shared" ref="C11:G11" si="2">C4+C5+C6+C7-C8</f>
        <v>-547.53824362606224</v>
      </c>
      <c r="D11" s="383">
        <f t="shared" si="2"/>
        <v>-129.71990198300284</v>
      </c>
      <c r="E11" s="383">
        <f t="shared" si="2"/>
        <v>1396.5828571428572</v>
      </c>
      <c r="F11" s="383">
        <f t="shared" si="2"/>
        <v>379.71428571428578</v>
      </c>
      <c r="G11" s="383">
        <f t="shared" si="2"/>
        <v>789.14285714285711</v>
      </c>
      <c r="H11" s="401">
        <f t="shared" ref="H11" si="3">H4+H5+H6+H7-H8</f>
        <v>1328.8571428571427</v>
      </c>
      <c r="N11" s="43"/>
      <c r="O11" s="43"/>
    </row>
    <row r="12" spans="1:15">
      <c r="A12" s="388" t="s">
        <v>69</v>
      </c>
      <c r="B12" s="388"/>
      <c r="C12" s="388"/>
      <c r="D12" s="388"/>
      <c r="E12" s="388"/>
      <c r="F12" s="388"/>
      <c r="G12" s="388"/>
      <c r="H12" s="397"/>
      <c r="N12" s="319"/>
      <c r="O12" s="319"/>
    </row>
    <row r="13" spans="1:15">
      <c r="A13" t="s">
        <v>1903</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398">
        <f>SUMIFS('Ventas 2026'!$N:$N,'Ventas 2026'!$G:$G,"Up Selling",'Ventas 2026'!$F:$F,"Dafne de la Rosa",'Ventas 2026'!$E:$E,H2)</f>
        <v>308.57142857142856</v>
      </c>
      <c r="N13" s="58"/>
      <c r="O13" s="58"/>
    </row>
    <row r="14" spans="1:15">
      <c r="A14" t="s">
        <v>1904</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398">
        <f>SUMIFS('Ventas 2026'!$N:$N,'Ventas 2026'!$G:$G,"Cross selling",'Ventas 2026'!$F:$F,$A12,'Ventas 2026'!$E:$E,H2)</f>
        <v>1029.1428571428571</v>
      </c>
      <c r="M14" s="55"/>
      <c r="N14" s="43"/>
      <c r="O14" s="43"/>
    </row>
    <row r="15" spans="1:15">
      <c r="A15" t="s">
        <v>1490</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398">
        <f>SUMIFS('Ventas 2026'!$N:$N,'Ventas 2026'!$G:$G,"Arriendo",'Ventas 2026'!$F:$F,$A12,'Ventas 2026'!$E:$E,H2)</f>
        <v>514.28571428571433</v>
      </c>
      <c r="M15" s="55"/>
      <c r="N15" s="43"/>
      <c r="O15" s="43"/>
    </row>
    <row r="16" spans="1:15">
      <c r="A16" t="s">
        <v>1905</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398">
        <f>SUMIFS('Ventas 2026'!$N:$N,'Ventas 2026'!$G:$G,"Referidos",'Ventas 2026'!$F:$F,$A$12,'Ventas 2026'!$E:$E,H2)</f>
        <v>0</v>
      </c>
      <c r="M16" s="55"/>
      <c r="N16" s="43"/>
      <c r="O16" s="43"/>
    </row>
    <row r="17" spans="1:15">
      <c r="A17" s="384" t="s">
        <v>1906</v>
      </c>
      <c r="B17" s="385">
        <f>SUMIFS('Detalle Fuga 2026'!$I:$I,'Detalle Fuga 2026'!$C:$C,$A12,'Detalle Fuga 2026'!$K:$K,B2,'Detalle Fuga 2026'!$A:$A,"Baja")</f>
        <v>788.66</v>
      </c>
      <c r="C17" s="385">
        <f>SUMIFS('Detalle Fuga 2026'!$I:$I,'Detalle Fuga 2026'!$C:$C,$A12,'Detalle Fuga 2026'!$K:$K,C2,'Detalle Fuga 2026'!$A:$A,"Baja")</f>
        <v>342</v>
      </c>
      <c r="D17" s="385">
        <f>SUMIFS('Detalle Fuga 2026'!$I:$I,'Detalle Fuga 2026'!$C:$C,$A12,'Detalle Fuga 2026'!$K:$K,D2,'Detalle Fuga 2026'!$A:$A,"Baja")</f>
        <v>169</v>
      </c>
      <c r="E17" s="385">
        <f>SUMIFS('Detalle Fuga 2026'!$I:$I,'Detalle Fuga 2026'!$C:$C,$A12,'Detalle Fuga 2026'!$K:$K,E2,'Detalle Fuga 2026'!$A:$A,"Baja")</f>
        <v>361</v>
      </c>
      <c r="F17" s="385">
        <f>SUMIFS('Detalle Fuga 2026'!$I:$I,'Detalle Fuga 2026'!$C:$C,$A12,'Detalle Fuga 2026'!$K:$K,F2,'Detalle Fuga 2026'!$A:$A,"Baja")</f>
        <v>764</v>
      </c>
      <c r="G17" s="385">
        <f>SUMIFS('Detalle Fuga 2026'!$I:$I,'Detalle Fuga 2026'!$C:$C,$A12,'Detalle Fuga 2026'!$K:$K,G2,'Detalle Fuga 2026'!$A:$A,"Baja")</f>
        <v>0</v>
      </c>
      <c r="H17" s="398">
        <f>SUMIFS('Detalle Fuga 2026'!$I:$I,'Detalle Fuga 2026'!$C:$C,$A12,'Detalle Fuga 2026'!$K:$K,H2,'Detalle Fuga 2026'!$A:$A,"Baja")</f>
        <v>0</v>
      </c>
      <c r="L17" s="43"/>
      <c r="N17" s="58"/>
      <c r="O17" s="43"/>
    </row>
    <row r="18" spans="1:15">
      <c r="A18" s="384" t="s">
        <v>1907</v>
      </c>
      <c r="B18" s="386">
        <f>SUMIFS('MARE MX'!$O$2:$O$580,'MARE MX'!$L$2:$L$580, $A12)</f>
        <v>43411.200000000019</v>
      </c>
      <c r="C18" s="386">
        <f>SUMIFS('MARE MX'!$P$2:$P$580,'MARE MX'!$L$2:$L$580, $A12)</f>
        <v>45271.239999999991</v>
      </c>
      <c r="D18" s="386">
        <f>SUMIFS('MARE MX'!$Q$2:$Q$580,'MARE MX'!$L$2:$L$580, $A12)</f>
        <v>50611.250000000007</v>
      </c>
      <c r="E18" s="386">
        <f>SUMIFS('MARE MX'!$R$2:$R$580,'MARE MX'!$L$2:$L$580, $A12)</f>
        <v>50672.500000000007</v>
      </c>
      <c r="F18" s="386">
        <f>SUMIFS('MARE MX'!$S$2:$S$580,'MARE MX'!$L$2:$L$580, $A12)</f>
        <v>50617.692799999997</v>
      </c>
      <c r="G18" s="386">
        <f>SUMIFS('MARE MX'!$T$2:$T$580,'MARE MX'!$L$2:$L$580, $A12)</f>
        <v>51867.921099999992</v>
      </c>
      <c r="H18" s="399">
        <f>SUMIFS('MARE MX'!$T$2:$T$580,'MARE MX'!$L$2:$L$580, $A12)</f>
        <v>51867.921099999992</v>
      </c>
      <c r="L18" s="43"/>
      <c r="N18" s="58"/>
      <c r="O18" s="43"/>
    </row>
    <row r="19" spans="1:15">
      <c r="A19" s="384" t="s">
        <v>1908</v>
      </c>
      <c r="B19" s="387">
        <f t="shared" ref="B19:G19" si="4">B17/B18</f>
        <v>1.8167201090962693E-2</v>
      </c>
      <c r="C19" s="387">
        <f t="shared" si="4"/>
        <v>7.5544650422652458E-3</v>
      </c>
      <c r="D19" s="387">
        <f t="shared" si="4"/>
        <v>3.3391785423201358E-3</v>
      </c>
      <c r="E19" s="387">
        <f t="shared" si="4"/>
        <v>7.1241797819329997E-3</v>
      </c>
      <c r="F19" s="387">
        <f t="shared" si="4"/>
        <v>1.5093536622040585E-2</v>
      </c>
      <c r="G19" s="387">
        <f t="shared" si="4"/>
        <v>0</v>
      </c>
      <c r="H19" s="400">
        <f t="shared" ref="H19" si="5">H17/H18</f>
        <v>0</v>
      </c>
      <c r="L19" s="43"/>
      <c r="N19" s="43"/>
      <c r="O19" s="43"/>
    </row>
    <row r="20" spans="1:15">
      <c r="A20" s="382" t="s">
        <v>1909</v>
      </c>
      <c r="B20" s="383">
        <f>B13+B14+B15+B16-B17</f>
        <v>-677.04526912181302</v>
      </c>
      <c r="C20" s="383">
        <f t="shared" ref="C20:G20" si="6">C13+C14+C15+C16-C17</f>
        <v>770.46458923512773</v>
      </c>
      <c r="D20" s="383">
        <f t="shared" si="6"/>
        <v>1355.6458923512748</v>
      </c>
      <c r="E20" s="383">
        <f t="shared" si="6"/>
        <v>-361</v>
      </c>
      <c r="F20" s="383">
        <f t="shared" si="6"/>
        <v>-764</v>
      </c>
      <c r="G20" s="383">
        <f t="shared" si="6"/>
        <v>3545.6000000000004</v>
      </c>
      <c r="H20" s="401">
        <f t="shared" ref="H20" si="7">H13+H14+H15+H16-H17</f>
        <v>1852</v>
      </c>
      <c r="L20" s="43"/>
      <c r="N20" s="43"/>
      <c r="O20" s="43"/>
    </row>
    <row r="21" spans="1:15">
      <c r="A21" s="388" t="s">
        <v>442</v>
      </c>
      <c r="B21" s="388"/>
      <c r="C21" s="388"/>
      <c r="D21" s="388"/>
      <c r="E21" s="388"/>
      <c r="F21" s="388"/>
      <c r="G21" s="388"/>
      <c r="H21" s="397"/>
      <c r="N21" s="319"/>
      <c r="O21" s="319"/>
    </row>
    <row r="22" spans="1:15">
      <c r="A22" t="s">
        <v>1903</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398">
        <f>SUMIFS('Ventas 2026'!$N:$N,'Ventas 2026'!$G:$G,"Up Selling",'Ventas 2026'!$F:$F,$A21,'Ventas 2026'!$E:$E,H2)</f>
        <v>4205.7142857142853</v>
      </c>
      <c r="N22" s="58"/>
      <c r="O22" s="58"/>
    </row>
    <row r="23" spans="1:15">
      <c r="A23" t="s">
        <v>1904</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398">
        <f>SUMIFS('Ventas 2026'!$N:$N,'Ventas 2026'!$G:$G,"Cross selling",'Ventas 2026'!$F:$F,$A21,'Ventas 2026'!$E:$E,H2)</f>
        <v>3736.6871428571426</v>
      </c>
    </row>
    <row r="24" spans="1:15">
      <c r="A24" t="s">
        <v>1490</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398">
        <f>SUMIFS('Ventas 2026'!$N:$N,'Ventas 2026'!$G:$G,"Arriendo",'Ventas 2026'!$F:$F,$A21,'Ventas 2026'!$E:$E,H2)</f>
        <v>0</v>
      </c>
    </row>
    <row r="25" spans="1:15">
      <c r="A25" t="s">
        <v>1905</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398">
        <f>SUMIFS('Ventas 2026'!$N:$N,'Ventas 2026'!$G:$G,"Referidos",'Ventas 2026'!$F:$F,$A$21,'Ventas 2026'!$E:$E,H2)</f>
        <v>0</v>
      </c>
    </row>
    <row r="26" spans="1:15">
      <c r="A26" s="384" t="s">
        <v>1906</v>
      </c>
      <c r="B26" s="385">
        <f>SUMIFS('Detalle Fuga 2026'!$I:$I,'Detalle Fuga 2026'!$C:$C,$A21,'Detalle Fuga 2026'!$K:$K,B2,'Detalle Fuga 2026'!$A:$A,"Baja")</f>
        <v>0</v>
      </c>
      <c r="C26" s="385">
        <f>SUMIFS('Detalle Fuga 2026'!$I:$I,'Detalle Fuga 2026'!$C:$C,$A21,'Detalle Fuga 2026'!$K:$K,C2,'Detalle Fuga 2026'!$A:$A,"Baja")</f>
        <v>675</v>
      </c>
      <c r="D26" s="385">
        <f>SUMIFS('Detalle Fuga 2026'!$I:$I,'Detalle Fuga 2026'!$C:$C,$A21,'Detalle Fuga 2026'!$K:$K,D2,'Detalle Fuga 2026'!$A:$A,"Baja")</f>
        <v>0</v>
      </c>
      <c r="E26" s="385">
        <f>SUMIFS('Detalle Fuga 2026'!$I:$I,'Detalle Fuga 2026'!$C:$C,$A21,'Detalle Fuga 2026'!$K:$K,E2,'Detalle Fuga 2026'!$A:$A,"Baja")</f>
        <v>0</v>
      </c>
      <c r="F26" s="385">
        <f>SUMIFS('Detalle Fuga 2026'!$I:$I,'Detalle Fuga 2026'!$C:$C,$A21,'Detalle Fuga 2026'!$K:$K,F2,'Detalle Fuga 2026'!$A:$A,"Baja")</f>
        <v>0</v>
      </c>
      <c r="G26" s="385">
        <f>SUMIFS('Detalle Fuga 2026'!$I:$I,'Detalle Fuga 2026'!$C:$C,$A21,'Detalle Fuga 2026'!$K:$K,G2,'Detalle Fuga 2026'!$A:$A,"Baja")</f>
        <v>0</v>
      </c>
      <c r="H26" s="398">
        <f>SUMIFS('Detalle Fuga 2026'!$I:$I,'Detalle Fuga 2026'!$C:$C,$A21,'Detalle Fuga 2026'!$K:$K,H2,'Detalle Fuga 2026'!$A:$A,"Baja")</f>
        <v>0</v>
      </c>
    </row>
    <row r="27" spans="1:15">
      <c r="A27" s="384" t="s">
        <v>1907</v>
      </c>
      <c r="B27" s="386">
        <f>SUMIFS('MARE MX'!$O$2:$O$580,'MARE MX'!$L$2:$L$580, $A21)</f>
        <v>73733.710000000021</v>
      </c>
      <c r="C27" s="386">
        <f>SUMIFS('MARE MX'!$P$2:$P$580,'MARE MX'!$L$2:$L$580, $A21)</f>
        <v>72768.990000000005</v>
      </c>
      <c r="D27" s="386">
        <f>SUMIFS('MARE MX'!$Q$2:$Q$580,'MARE MX'!$L$2:$L$580, $A21)</f>
        <v>75172.110000000015</v>
      </c>
      <c r="E27" s="386">
        <f>SUMIFS('MARE MX'!$R$2:$R$580,'MARE MX'!$L$2:$L$580, $A21)</f>
        <v>77250.880000000005</v>
      </c>
      <c r="F27" s="386">
        <f>SUMIFS('MARE MX'!$S$2:$S$580,'MARE MX'!$L$2:$L$580, $A21)</f>
        <v>75967.7399</v>
      </c>
      <c r="G27" s="386">
        <f>SUMIFS('MARE MX'!$T$2:$T$580,'MARE MX'!$L$2:$L$580, $A21)</f>
        <v>77203.330000000016</v>
      </c>
      <c r="H27" s="399">
        <f>SUMIFS('MARE MX'!$T$2:$T$580,'MARE MX'!$L$2:$L$580, $A21)</f>
        <v>77203.330000000016</v>
      </c>
    </row>
    <row r="28" spans="1:15">
      <c r="A28" s="384" t="s">
        <v>1908</v>
      </c>
      <c r="B28" s="387">
        <f t="shared" ref="B28:G28" si="8">B26/B27</f>
        <v>0</v>
      </c>
      <c r="C28" s="387">
        <f t="shared" si="8"/>
        <v>9.2759292110554236E-3</v>
      </c>
      <c r="D28" s="387">
        <f t="shared" si="8"/>
        <v>0</v>
      </c>
      <c r="E28" s="387">
        <f t="shared" si="8"/>
        <v>0</v>
      </c>
      <c r="F28" s="387">
        <f t="shared" si="8"/>
        <v>0</v>
      </c>
      <c r="G28" s="387">
        <f t="shared" si="8"/>
        <v>0</v>
      </c>
      <c r="H28" s="400">
        <f t="shared" ref="H28" si="9">H26/H27</f>
        <v>0</v>
      </c>
    </row>
    <row r="29" spans="1:15">
      <c r="A29" s="382" t="s">
        <v>1909</v>
      </c>
      <c r="B29" s="383">
        <f>B22+B23+B24+B25-B26</f>
        <v>202.5</v>
      </c>
      <c r="C29" s="383">
        <f t="shared" ref="C29:G29" si="10">C22+C23+C24+C25-C26</f>
        <v>-675</v>
      </c>
      <c r="D29" s="383">
        <f t="shared" si="10"/>
        <v>1179.6317280453259</v>
      </c>
      <c r="E29" s="383">
        <f t="shared" si="10"/>
        <v>0</v>
      </c>
      <c r="F29" s="383">
        <f t="shared" si="10"/>
        <v>1125.1628571428571</v>
      </c>
      <c r="G29" s="383">
        <f t="shared" si="10"/>
        <v>486.85714285714283</v>
      </c>
      <c r="H29" s="401">
        <f t="shared" ref="H29" si="11">H22+H23+H24+H25-H26</f>
        <v>7942.4014285714275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U50"/>
  <sheetViews>
    <sheetView topLeftCell="G1" workbookViewId="0">
      <selection activeCell="U4" sqref="U4"/>
    </sheetView>
  </sheetViews>
  <sheetFormatPr defaultColWidth="8.85546875" defaultRowHeight="15"/>
  <cols>
    <col min="1" max="1" width="21.42578125" customWidth="1"/>
    <col min="8" max="8" width="24.85546875" customWidth="1"/>
    <col min="11" max="11" width="9.7109375" bestFit="1" customWidth="1"/>
    <col min="16" max="16" width="12.42578125" customWidth="1"/>
  </cols>
  <sheetData>
    <row r="1" spans="1:21">
      <c r="S1" s="336">
        <f>SUM(S4:S30)</f>
        <v>-2155</v>
      </c>
    </row>
    <row r="2" spans="1:21">
      <c r="A2" s="56" t="s">
        <v>1910</v>
      </c>
      <c r="B2" s="56"/>
      <c r="C2" s="56"/>
      <c r="D2" s="56"/>
      <c r="E2" s="57" t="s">
        <v>16</v>
      </c>
      <c r="H2" s="56" t="s">
        <v>1910</v>
      </c>
      <c r="I2" s="56"/>
      <c r="J2" s="56"/>
      <c r="K2" s="56"/>
      <c r="L2" s="57" t="s">
        <v>17</v>
      </c>
      <c r="P2" s="56" t="s">
        <v>1910</v>
      </c>
      <c r="Q2" s="56"/>
      <c r="R2" s="56"/>
      <c r="S2" s="56"/>
      <c r="T2" s="57" t="s">
        <v>18</v>
      </c>
    </row>
    <row r="3" spans="1:21">
      <c r="A3" s="107" t="s">
        <v>1455</v>
      </c>
      <c r="B3" s="107" t="s">
        <v>16</v>
      </c>
      <c r="C3" s="107" t="s">
        <v>15</v>
      </c>
      <c r="D3" s="107" t="s">
        <v>1911</v>
      </c>
      <c r="E3" s="107" t="s">
        <v>1912</v>
      </c>
      <c r="H3" s="107" t="s">
        <v>1455</v>
      </c>
      <c r="I3" s="107" t="s">
        <v>17</v>
      </c>
      <c r="J3" s="107" t="s">
        <v>16</v>
      </c>
      <c r="K3" s="107" t="s">
        <v>1911</v>
      </c>
      <c r="L3" s="107" t="s">
        <v>1912</v>
      </c>
      <c r="P3" s="107" t="s">
        <v>1455</v>
      </c>
      <c r="Q3" s="107" t="s">
        <v>18</v>
      </c>
      <c r="R3" s="107" t="s">
        <v>17</v>
      </c>
      <c r="S3" s="107" t="s">
        <v>1911</v>
      </c>
      <c r="T3" s="107" t="s">
        <v>1912</v>
      </c>
    </row>
    <row r="4" spans="1:21">
      <c r="A4" s="44" t="s">
        <v>725</v>
      </c>
      <c r="B4" s="44">
        <v>319</v>
      </c>
      <c r="C4" s="44">
        <v>1.07</v>
      </c>
      <c r="D4" s="44">
        <v>-750</v>
      </c>
      <c r="E4" s="49">
        <v>-0.7</v>
      </c>
      <c r="H4" s="106" t="s">
        <v>444</v>
      </c>
      <c r="I4" s="163">
        <v>21</v>
      </c>
      <c r="J4" s="163">
        <v>323</v>
      </c>
      <c r="K4" s="163">
        <f>J4-I4</f>
        <v>302</v>
      </c>
      <c r="L4" s="108">
        <v>-0.94</v>
      </c>
      <c r="M4" t="s">
        <v>1913</v>
      </c>
      <c r="P4" s="334" t="s">
        <v>1075</v>
      </c>
      <c r="Q4" s="335">
        <v>4</v>
      </c>
      <c r="R4" s="335">
        <v>174</v>
      </c>
      <c r="S4" s="335">
        <v>-170</v>
      </c>
      <c r="T4" s="291">
        <f>(Q4-R4)/R4</f>
        <v>-0.97701149425287359</v>
      </c>
      <c r="U4" s="291" t="s">
        <v>1914</v>
      </c>
    </row>
    <row r="5" spans="1:21">
      <c r="A5" s="44" t="s">
        <v>400</v>
      </c>
      <c r="B5" s="44">
        <v>1.7210000000000001</v>
      </c>
      <c r="C5" s="44">
        <v>2.0960000000000001</v>
      </c>
      <c r="D5" s="44">
        <v>-374</v>
      </c>
      <c r="E5" s="49">
        <v>-0.18</v>
      </c>
      <c r="H5" s="106" t="s">
        <v>1915</v>
      </c>
      <c r="I5" s="163">
        <v>8</v>
      </c>
      <c r="J5" s="163">
        <v>77</v>
      </c>
      <c r="K5" s="163">
        <f t="shared" ref="K5:K33" si="0">J5-I5</f>
        <v>69</v>
      </c>
      <c r="L5" s="108">
        <v>-0.9</v>
      </c>
      <c r="M5" t="s">
        <v>1916</v>
      </c>
      <c r="P5" s="334" t="s">
        <v>1099</v>
      </c>
      <c r="Q5" s="335">
        <v>41</v>
      </c>
      <c r="R5" s="335">
        <v>116</v>
      </c>
      <c r="S5" s="335">
        <v>-75</v>
      </c>
      <c r="T5" s="291">
        <f t="shared" ref="T5:T27" si="1">(Q5-R5)/R5</f>
        <v>-0.64655172413793105</v>
      </c>
      <c r="U5" t="s">
        <v>1917</v>
      </c>
    </row>
    <row r="6" spans="1:21">
      <c r="A6" s="44" t="s">
        <v>1918</v>
      </c>
      <c r="B6" s="44">
        <v>1.18</v>
      </c>
      <c r="C6" s="44">
        <v>1.389</v>
      </c>
      <c r="D6" s="44">
        <v>-209</v>
      </c>
      <c r="E6" s="49">
        <v>-0.15</v>
      </c>
      <c r="H6" s="106" t="s">
        <v>504</v>
      </c>
      <c r="I6" s="163">
        <v>80</v>
      </c>
      <c r="J6" s="163">
        <v>243</v>
      </c>
      <c r="K6" s="163">
        <f t="shared" si="0"/>
        <v>163</v>
      </c>
      <c r="L6" s="108">
        <v>-0.67</v>
      </c>
      <c r="P6" s="334" t="s">
        <v>222</v>
      </c>
      <c r="Q6" s="335">
        <v>363</v>
      </c>
      <c r="R6" s="335">
        <v>717</v>
      </c>
      <c r="S6" s="335">
        <v>-354</v>
      </c>
      <c r="T6" s="291">
        <f t="shared" si="1"/>
        <v>-0.49372384937238495</v>
      </c>
      <c r="U6" t="s">
        <v>1919</v>
      </c>
    </row>
    <row r="7" spans="1:21">
      <c r="A7" s="44" t="s">
        <v>1920</v>
      </c>
      <c r="B7" s="44">
        <v>644</v>
      </c>
      <c r="C7" s="44">
        <v>788</v>
      </c>
      <c r="D7" s="44">
        <v>-144</v>
      </c>
      <c r="E7" s="49">
        <v>-0.18</v>
      </c>
      <c r="H7" s="106" t="s">
        <v>1089</v>
      </c>
      <c r="I7" s="163">
        <v>31</v>
      </c>
      <c r="J7" s="163">
        <v>85</v>
      </c>
      <c r="K7" s="163">
        <f t="shared" si="0"/>
        <v>54</v>
      </c>
      <c r="L7" s="108">
        <v>-0.64</v>
      </c>
      <c r="P7" s="334" t="s">
        <v>527</v>
      </c>
      <c r="Q7" s="335">
        <v>144</v>
      </c>
      <c r="R7" s="335">
        <v>250</v>
      </c>
      <c r="S7" s="335">
        <v>-106</v>
      </c>
      <c r="T7" s="291">
        <f t="shared" si="1"/>
        <v>-0.42399999999999999</v>
      </c>
      <c r="U7" t="s">
        <v>1921</v>
      </c>
    </row>
    <row r="8" spans="1:21">
      <c r="A8" s="44" t="s">
        <v>1922</v>
      </c>
      <c r="B8" s="44">
        <v>297</v>
      </c>
      <c r="C8" s="44">
        <v>423</v>
      </c>
      <c r="D8" s="44">
        <v>-125</v>
      </c>
      <c r="E8" s="49">
        <v>-0.3</v>
      </c>
      <c r="H8" s="106" t="s">
        <v>457</v>
      </c>
      <c r="I8" s="163">
        <v>622</v>
      </c>
      <c r="J8" s="163">
        <v>1.5860000000000001</v>
      </c>
      <c r="K8" s="163">
        <f t="shared" si="0"/>
        <v>-620.41399999999999</v>
      </c>
      <c r="L8" s="108">
        <v>-0.61</v>
      </c>
      <c r="M8" s="44" t="s">
        <v>1913</v>
      </c>
      <c r="P8" s="334" t="s">
        <v>67</v>
      </c>
      <c r="Q8" s="335">
        <v>15</v>
      </c>
      <c r="R8" s="335">
        <v>24</v>
      </c>
      <c r="S8" s="335">
        <v>-8</v>
      </c>
      <c r="T8" s="291">
        <f t="shared" si="1"/>
        <v>-0.375</v>
      </c>
    </row>
    <row r="9" spans="1:21">
      <c r="A9" s="44" t="s">
        <v>1194</v>
      </c>
      <c r="B9" s="44">
        <v>664</v>
      </c>
      <c r="C9" s="44">
        <v>788</v>
      </c>
      <c r="D9" s="44">
        <v>-124</v>
      </c>
      <c r="E9" s="49">
        <v>-0.16</v>
      </c>
      <c r="H9" s="106" t="s">
        <v>713</v>
      </c>
      <c r="I9" s="163">
        <v>215</v>
      </c>
      <c r="J9" s="163">
        <v>507</v>
      </c>
      <c r="K9" s="163">
        <f t="shared" si="0"/>
        <v>292</v>
      </c>
      <c r="L9" s="108">
        <v>-0.57999999999999996</v>
      </c>
      <c r="M9" s="44" t="s">
        <v>1923</v>
      </c>
      <c r="P9" s="334" t="s">
        <v>450</v>
      </c>
      <c r="Q9" s="335">
        <v>222</v>
      </c>
      <c r="R9" s="335">
        <v>313</v>
      </c>
      <c r="S9" s="335">
        <v>-91</v>
      </c>
      <c r="T9" s="291">
        <f t="shared" si="1"/>
        <v>-0.29073482428115016</v>
      </c>
    </row>
    <row r="10" spans="1:21">
      <c r="A10" s="44" t="s">
        <v>1924</v>
      </c>
      <c r="B10" s="44">
        <v>775</v>
      </c>
      <c r="C10" s="44">
        <v>877</v>
      </c>
      <c r="D10" s="44">
        <v>-102</v>
      </c>
      <c r="E10" s="49">
        <v>-0.12</v>
      </c>
      <c r="H10" s="106" t="s">
        <v>328</v>
      </c>
      <c r="I10" s="163">
        <v>756</v>
      </c>
      <c r="J10" s="163">
        <v>1.5740000000000001</v>
      </c>
      <c r="K10" s="163">
        <f t="shared" si="0"/>
        <v>-754.42600000000004</v>
      </c>
      <c r="L10" s="108">
        <v>-0.52</v>
      </c>
      <c r="M10" s="44" t="s">
        <v>1913</v>
      </c>
      <c r="P10" s="334" t="s">
        <v>1925</v>
      </c>
      <c r="Q10" s="335">
        <v>252</v>
      </c>
      <c r="R10" s="335">
        <v>329</v>
      </c>
      <c r="S10" s="335">
        <v>-77</v>
      </c>
      <c r="T10" s="291">
        <f t="shared" si="1"/>
        <v>-0.23404255319148937</v>
      </c>
    </row>
    <row r="11" spans="1:21">
      <c r="A11" s="44" t="s">
        <v>1011</v>
      </c>
      <c r="B11" s="44">
        <v>204</v>
      </c>
      <c r="C11" s="44">
        <v>284</v>
      </c>
      <c r="D11" s="44">
        <v>-80</v>
      </c>
      <c r="E11" s="49">
        <v>-0.28000000000000003</v>
      </c>
      <c r="H11" s="44" t="s">
        <v>1926</v>
      </c>
      <c r="I11" s="163">
        <v>389</v>
      </c>
      <c r="J11" s="163">
        <v>729</v>
      </c>
      <c r="K11" s="163">
        <f t="shared" si="0"/>
        <v>340</v>
      </c>
      <c r="L11" s="108">
        <v>-0.47</v>
      </c>
      <c r="M11" s="44" t="s">
        <v>1927</v>
      </c>
      <c r="P11" s="334" t="s">
        <v>279</v>
      </c>
      <c r="Q11" s="335">
        <v>506</v>
      </c>
      <c r="R11" s="335">
        <v>659</v>
      </c>
      <c r="S11" s="335">
        <v>-153</v>
      </c>
      <c r="T11" s="291">
        <f t="shared" si="1"/>
        <v>-0.23216995447647951</v>
      </c>
    </row>
    <row r="12" spans="1:21">
      <c r="A12" s="44" t="s">
        <v>657</v>
      </c>
      <c r="B12" s="44">
        <v>335</v>
      </c>
      <c r="C12" s="44">
        <v>400</v>
      </c>
      <c r="D12" s="44">
        <v>-65</v>
      </c>
      <c r="E12" s="49">
        <v>-0.16</v>
      </c>
      <c r="H12" s="44" t="s">
        <v>987</v>
      </c>
      <c r="I12" s="163">
        <v>129</v>
      </c>
      <c r="J12" s="163">
        <v>237</v>
      </c>
      <c r="K12" s="163">
        <f t="shared" si="0"/>
        <v>108</v>
      </c>
      <c r="L12" s="108">
        <v>-0.46</v>
      </c>
      <c r="M12" s="44"/>
      <c r="P12" s="334" t="s">
        <v>86</v>
      </c>
      <c r="Q12" s="335">
        <v>57</v>
      </c>
      <c r="R12" s="335">
        <v>73</v>
      </c>
      <c r="S12" s="335">
        <v>-16</v>
      </c>
      <c r="T12" s="291">
        <f t="shared" si="1"/>
        <v>-0.21917808219178081</v>
      </c>
    </row>
    <row r="13" spans="1:21">
      <c r="A13" s="44" t="s">
        <v>566</v>
      </c>
      <c r="B13" s="44">
        <v>132</v>
      </c>
      <c r="C13" s="44">
        <v>180</v>
      </c>
      <c r="D13" s="44">
        <v>-48</v>
      </c>
      <c r="E13" s="49">
        <v>-0.27</v>
      </c>
      <c r="H13" s="44" t="s">
        <v>1099</v>
      </c>
      <c r="I13" s="163">
        <v>116</v>
      </c>
      <c r="J13" s="163">
        <v>198</v>
      </c>
      <c r="K13" s="163">
        <f t="shared" si="0"/>
        <v>82</v>
      </c>
      <c r="L13" s="108">
        <v>-0.41</v>
      </c>
      <c r="M13" s="44"/>
      <c r="P13" s="334" t="s">
        <v>780</v>
      </c>
      <c r="Q13" s="335">
        <v>40</v>
      </c>
      <c r="R13" s="335">
        <v>52</v>
      </c>
      <c r="S13" s="335">
        <v>-11</v>
      </c>
      <c r="T13" s="291">
        <f t="shared" si="1"/>
        <v>-0.23076923076923078</v>
      </c>
    </row>
    <row r="14" spans="1:21">
      <c r="A14" s="44" t="s">
        <v>1099</v>
      </c>
      <c r="B14" s="44">
        <v>198</v>
      </c>
      <c r="C14" s="44">
        <v>246</v>
      </c>
      <c r="D14" s="44">
        <v>-48</v>
      </c>
      <c r="E14" s="49">
        <v>-0.2</v>
      </c>
      <c r="H14" s="44" t="s">
        <v>1928</v>
      </c>
      <c r="I14" s="163">
        <v>132</v>
      </c>
      <c r="J14" s="163">
        <v>222</v>
      </c>
      <c r="K14" s="163">
        <f t="shared" si="0"/>
        <v>90</v>
      </c>
      <c r="L14" s="108">
        <v>-0.4</v>
      </c>
      <c r="M14" s="44"/>
      <c r="P14" s="334" t="s">
        <v>1929</v>
      </c>
      <c r="Q14" s="335">
        <v>75</v>
      </c>
      <c r="R14" s="335">
        <v>96</v>
      </c>
      <c r="S14" s="335">
        <v>-21</v>
      </c>
      <c r="T14" s="291">
        <f t="shared" si="1"/>
        <v>-0.21875</v>
      </c>
    </row>
    <row r="15" spans="1:21">
      <c r="A15" s="44" t="s">
        <v>1075</v>
      </c>
      <c r="B15" s="44">
        <v>140</v>
      </c>
      <c r="C15" s="44">
        <v>185</v>
      </c>
      <c r="D15" s="44">
        <v>-45</v>
      </c>
      <c r="E15" s="49">
        <v>-0.24</v>
      </c>
      <c r="H15" s="44" t="s">
        <v>655</v>
      </c>
      <c r="I15" s="163">
        <v>235</v>
      </c>
      <c r="J15" s="163">
        <v>359</v>
      </c>
      <c r="K15" s="163">
        <f t="shared" si="0"/>
        <v>124</v>
      </c>
      <c r="L15" s="108">
        <v>-0.35</v>
      </c>
      <c r="M15" s="44" t="s">
        <v>1930</v>
      </c>
      <c r="P15" s="334" t="s">
        <v>345</v>
      </c>
      <c r="Q15" s="335">
        <v>831</v>
      </c>
      <c r="R15" s="335">
        <v>1061</v>
      </c>
      <c r="S15" s="335">
        <v>-230</v>
      </c>
      <c r="T15" s="291">
        <f t="shared" si="1"/>
        <v>-0.21677662582469368</v>
      </c>
      <c r="U15" t="s">
        <v>1931</v>
      </c>
    </row>
    <row r="16" spans="1:21">
      <c r="A16" s="44" t="s">
        <v>594</v>
      </c>
      <c r="B16" s="44">
        <v>186</v>
      </c>
      <c r="C16" s="44">
        <v>227</v>
      </c>
      <c r="D16" s="44">
        <v>-42</v>
      </c>
      <c r="E16" s="49">
        <v>-0.18</v>
      </c>
      <c r="H16" s="44" t="s">
        <v>745</v>
      </c>
      <c r="I16" s="163">
        <v>12</v>
      </c>
      <c r="J16" s="163">
        <v>16</v>
      </c>
      <c r="K16" s="163">
        <f t="shared" si="0"/>
        <v>4</v>
      </c>
      <c r="L16" s="108">
        <v>-0.23</v>
      </c>
      <c r="M16" s="44"/>
      <c r="P16" s="334" t="s">
        <v>313</v>
      </c>
      <c r="Q16" s="335">
        <v>638</v>
      </c>
      <c r="R16" s="335">
        <v>810</v>
      </c>
      <c r="S16" s="335">
        <v>-171</v>
      </c>
      <c r="T16" s="291">
        <f t="shared" si="1"/>
        <v>-0.21234567901234569</v>
      </c>
    </row>
    <row r="17" spans="1:21">
      <c r="A17" s="44" t="s">
        <v>778</v>
      </c>
      <c r="B17" s="44">
        <v>44</v>
      </c>
      <c r="C17" s="44">
        <v>85</v>
      </c>
      <c r="D17" s="44">
        <v>-41</v>
      </c>
      <c r="E17" s="49">
        <v>-0.48</v>
      </c>
      <c r="H17" s="44" t="s">
        <v>215</v>
      </c>
      <c r="I17" s="163">
        <v>302</v>
      </c>
      <c r="J17" s="163">
        <v>388</v>
      </c>
      <c r="K17" s="163">
        <f t="shared" si="0"/>
        <v>86</v>
      </c>
      <c r="L17" s="108">
        <v>-0.22</v>
      </c>
      <c r="M17" s="44"/>
      <c r="P17" s="334" t="s">
        <v>856</v>
      </c>
      <c r="Q17" s="335">
        <v>54</v>
      </c>
      <c r="R17" s="335">
        <v>66</v>
      </c>
      <c r="S17" s="335">
        <v>-13</v>
      </c>
      <c r="T17" s="291">
        <f t="shared" si="1"/>
        <v>-0.18181818181818182</v>
      </c>
    </row>
    <row r="18" spans="1:21">
      <c r="A18" s="44" t="s">
        <v>591</v>
      </c>
      <c r="B18" s="44">
        <v>278</v>
      </c>
      <c r="C18" s="44">
        <v>316</v>
      </c>
      <c r="D18" s="44">
        <v>-38</v>
      </c>
      <c r="E18" s="49">
        <v>-0.12</v>
      </c>
      <c r="H18" s="44" t="s">
        <v>1932</v>
      </c>
      <c r="I18" s="163">
        <v>1.0089999999999999</v>
      </c>
      <c r="J18" s="163">
        <v>1.2549999999999999</v>
      </c>
      <c r="K18" s="163">
        <f t="shared" si="0"/>
        <v>0.246</v>
      </c>
      <c r="L18" s="108">
        <v>-0.2</v>
      </c>
      <c r="M18" s="44" t="s">
        <v>1933</v>
      </c>
      <c r="P18" s="334" t="s">
        <v>439</v>
      </c>
      <c r="Q18" s="335">
        <v>9</v>
      </c>
      <c r="R18" s="335">
        <v>11</v>
      </c>
      <c r="S18" s="335">
        <v>-2</v>
      </c>
      <c r="T18" s="291">
        <f t="shared" si="1"/>
        <v>-0.18181818181818182</v>
      </c>
    </row>
    <row r="19" spans="1:21">
      <c r="A19" s="44" t="s">
        <v>504</v>
      </c>
      <c r="B19" s="44">
        <v>243</v>
      </c>
      <c r="C19" s="44">
        <v>270</v>
      </c>
      <c r="D19" s="44">
        <v>-27</v>
      </c>
      <c r="E19" s="49">
        <v>-0.1</v>
      </c>
      <c r="H19" s="44" t="s">
        <v>279</v>
      </c>
      <c r="I19" s="163">
        <v>659</v>
      </c>
      <c r="J19" s="163">
        <v>807</v>
      </c>
      <c r="K19" s="163">
        <f t="shared" si="0"/>
        <v>148</v>
      </c>
      <c r="L19" s="108">
        <v>-0.18</v>
      </c>
      <c r="M19" s="44" t="s">
        <v>1933</v>
      </c>
      <c r="P19" s="334" t="s">
        <v>782</v>
      </c>
      <c r="Q19" s="335">
        <v>77</v>
      </c>
      <c r="R19" s="335">
        <v>95</v>
      </c>
      <c r="S19" s="335">
        <v>-18</v>
      </c>
      <c r="T19" s="291">
        <f t="shared" si="1"/>
        <v>-0.18947368421052632</v>
      </c>
    </row>
    <row r="20" spans="1:21">
      <c r="A20" s="44" t="s">
        <v>569</v>
      </c>
      <c r="B20" s="44">
        <v>178</v>
      </c>
      <c r="C20" s="44">
        <v>204</v>
      </c>
      <c r="D20" s="44">
        <v>-26</v>
      </c>
      <c r="E20" s="49">
        <v>-0.13</v>
      </c>
      <c r="H20" s="44" t="s">
        <v>1179</v>
      </c>
      <c r="I20" s="163">
        <v>433</v>
      </c>
      <c r="J20" s="163">
        <v>517</v>
      </c>
      <c r="K20" s="163">
        <f t="shared" si="0"/>
        <v>84</v>
      </c>
      <c r="L20" s="108">
        <v>-0.16</v>
      </c>
      <c r="M20" s="44"/>
      <c r="P20" s="334" t="s">
        <v>1934</v>
      </c>
      <c r="Q20" s="335">
        <v>916</v>
      </c>
      <c r="R20" s="335">
        <v>1128</v>
      </c>
      <c r="S20" s="335">
        <v>-212</v>
      </c>
      <c r="T20" s="291">
        <f t="shared" si="1"/>
        <v>-0.18794326241134751</v>
      </c>
      <c r="U20" t="s">
        <v>1935</v>
      </c>
    </row>
    <row r="21" spans="1:21">
      <c r="A21" s="44" t="s">
        <v>1003</v>
      </c>
      <c r="B21" s="44">
        <v>172</v>
      </c>
      <c r="C21" s="44">
        <v>195</v>
      </c>
      <c r="D21" s="44">
        <v>-23</v>
      </c>
      <c r="E21" s="49">
        <v>-0.12</v>
      </c>
      <c r="H21" s="44" t="s">
        <v>778</v>
      </c>
      <c r="I21" s="163">
        <v>37</v>
      </c>
      <c r="J21" s="163">
        <v>44</v>
      </c>
      <c r="K21" s="163">
        <f t="shared" si="0"/>
        <v>7</v>
      </c>
      <c r="L21" s="108">
        <v>-0.16</v>
      </c>
      <c r="M21" s="44"/>
      <c r="P21" s="334" t="s">
        <v>1171</v>
      </c>
      <c r="Q21" s="335">
        <v>1512</v>
      </c>
      <c r="R21" s="335">
        <v>1778</v>
      </c>
      <c r="S21" s="335">
        <v>-266</v>
      </c>
      <c r="T21" s="291">
        <f t="shared" si="1"/>
        <v>-0.14960629921259844</v>
      </c>
      <c r="U21" t="s">
        <v>1935</v>
      </c>
    </row>
    <row r="22" spans="1:21">
      <c r="A22" s="44" t="s">
        <v>1136</v>
      </c>
      <c r="B22" s="44">
        <v>143</v>
      </c>
      <c r="C22" s="44">
        <v>166</v>
      </c>
      <c r="D22" s="44">
        <v>-23</v>
      </c>
      <c r="E22" s="49">
        <v>-0.14000000000000001</v>
      </c>
      <c r="H22" s="44" t="s">
        <v>932</v>
      </c>
      <c r="I22" s="163">
        <v>101</v>
      </c>
      <c r="J22" s="163">
        <v>120</v>
      </c>
      <c r="K22" s="163">
        <f t="shared" si="0"/>
        <v>19</v>
      </c>
      <c r="L22" s="108">
        <v>-0.16</v>
      </c>
      <c r="M22" s="44"/>
      <c r="P22" s="334" t="s">
        <v>591</v>
      </c>
      <c r="Q22" s="335">
        <v>215</v>
      </c>
      <c r="R22" s="335">
        <v>251</v>
      </c>
      <c r="S22" s="335">
        <v>-36</v>
      </c>
      <c r="T22" s="291">
        <f t="shared" si="1"/>
        <v>-0.14342629482071714</v>
      </c>
    </row>
    <row r="23" spans="1:21">
      <c r="A23" s="44" t="s">
        <v>950</v>
      </c>
      <c r="B23" s="44">
        <v>115</v>
      </c>
      <c r="C23" s="44">
        <v>137</v>
      </c>
      <c r="D23" s="44">
        <v>-22</v>
      </c>
      <c r="E23" s="49">
        <v>-0.16</v>
      </c>
      <c r="H23" s="44" t="s">
        <v>703</v>
      </c>
      <c r="I23" s="163">
        <v>1.3580000000000001</v>
      </c>
      <c r="J23" s="163">
        <v>1.6040000000000001</v>
      </c>
      <c r="K23" s="163">
        <f t="shared" si="0"/>
        <v>0.246</v>
      </c>
      <c r="L23" s="108">
        <v>-0.15</v>
      </c>
      <c r="M23" s="44" t="s">
        <v>1930</v>
      </c>
      <c r="P23" s="334" t="s">
        <v>668</v>
      </c>
      <c r="Q23" s="335">
        <v>468</v>
      </c>
      <c r="R23" s="335">
        <v>537</v>
      </c>
      <c r="S23" s="335">
        <v>-69</v>
      </c>
      <c r="T23" s="291">
        <f t="shared" si="1"/>
        <v>-0.12849162011173185</v>
      </c>
    </row>
    <row r="24" spans="1:21">
      <c r="A24" s="44" t="s">
        <v>905</v>
      </c>
      <c r="B24" s="44">
        <v>82</v>
      </c>
      <c r="C24" s="44">
        <v>103</v>
      </c>
      <c r="D24" s="44">
        <v>-21</v>
      </c>
      <c r="E24" s="49">
        <v>-0.21</v>
      </c>
      <c r="H24" s="44" t="s">
        <v>1936</v>
      </c>
      <c r="I24" s="163">
        <v>13</v>
      </c>
      <c r="J24" s="163">
        <v>15</v>
      </c>
      <c r="K24" s="163">
        <f t="shared" si="0"/>
        <v>2</v>
      </c>
      <c r="L24" s="108">
        <v>-0.14000000000000001</v>
      </c>
      <c r="P24" s="334" t="s">
        <v>899</v>
      </c>
      <c r="Q24" s="335">
        <v>73</v>
      </c>
      <c r="R24" s="335">
        <v>84</v>
      </c>
      <c r="S24" s="335">
        <v>-11</v>
      </c>
      <c r="T24" s="291">
        <f t="shared" si="1"/>
        <v>-0.13095238095238096</v>
      </c>
    </row>
    <row r="25" spans="1:21">
      <c r="A25" s="44" t="s">
        <v>992</v>
      </c>
      <c r="B25" s="44">
        <v>151</v>
      </c>
      <c r="C25" s="44">
        <v>171</v>
      </c>
      <c r="D25" s="44">
        <v>-20</v>
      </c>
      <c r="E25" s="49">
        <v>-0.12</v>
      </c>
      <c r="H25" s="44" t="s">
        <v>1314</v>
      </c>
      <c r="I25" s="163">
        <v>439</v>
      </c>
      <c r="J25" s="163">
        <v>509</v>
      </c>
      <c r="K25" s="163">
        <f t="shared" si="0"/>
        <v>70</v>
      </c>
      <c r="L25" s="108">
        <v>-0.14000000000000001</v>
      </c>
      <c r="P25" s="334" t="s">
        <v>134</v>
      </c>
      <c r="Q25" s="335">
        <v>156</v>
      </c>
      <c r="R25" s="335">
        <v>178</v>
      </c>
      <c r="S25" s="335">
        <v>-22</v>
      </c>
      <c r="T25" s="291">
        <f t="shared" si="1"/>
        <v>-0.12359550561797752</v>
      </c>
    </row>
    <row r="26" spans="1:21">
      <c r="A26" s="44" t="s">
        <v>1860</v>
      </c>
      <c r="B26" s="44">
        <v>149</v>
      </c>
      <c r="C26" s="44">
        <v>169</v>
      </c>
      <c r="D26" s="44">
        <v>-19</v>
      </c>
      <c r="E26" s="49">
        <v>-0.12</v>
      </c>
      <c r="H26" s="44" t="s">
        <v>1937</v>
      </c>
      <c r="I26" s="163">
        <v>173</v>
      </c>
      <c r="J26" s="163">
        <v>200</v>
      </c>
      <c r="K26" s="163">
        <f t="shared" si="0"/>
        <v>27</v>
      </c>
      <c r="L26" s="108">
        <v>-0.13</v>
      </c>
      <c r="P26" s="334" t="s">
        <v>477</v>
      </c>
      <c r="Q26" s="335">
        <v>45</v>
      </c>
      <c r="R26" s="335">
        <v>51</v>
      </c>
      <c r="S26" s="335">
        <v>-6</v>
      </c>
      <c r="T26" s="291">
        <f t="shared" si="1"/>
        <v>-0.11764705882352941</v>
      </c>
    </row>
    <row r="27" spans="1:21">
      <c r="A27" s="44" t="s">
        <v>1062</v>
      </c>
      <c r="B27" s="44">
        <v>64</v>
      </c>
      <c r="C27" s="44">
        <v>83</v>
      </c>
      <c r="D27" s="44">
        <v>-19</v>
      </c>
      <c r="E27" s="49">
        <v>-0.23</v>
      </c>
      <c r="H27" s="44" t="s">
        <v>155</v>
      </c>
      <c r="I27" s="163">
        <v>192</v>
      </c>
      <c r="J27" s="163">
        <v>220</v>
      </c>
      <c r="K27" s="163">
        <f t="shared" si="0"/>
        <v>28</v>
      </c>
      <c r="L27" s="108">
        <v>-0.13</v>
      </c>
      <c r="P27" s="334" t="s">
        <v>1119</v>
      </c>
      <c r="Q27" s="335">
        <v>136</v>
      </c>
      <c r="R27" s="335">
        <v>153</v>
      </c>
      <c r="S27" s="335">
        <v>-17</v>
      </c>
      <c r="T27" s="291">
        <f t="shared" si="1"/>
        <v>-0.1111111111111111</v>
      </c>
    </row>
    <row r="28" spans="1:21">
      <c r="A28" s="44" t="s">
        <v>840</v>
      </c>
      <c r="B28" s="44">
        <v>41</v>
      </c>
      <c r="C28" s="44">
        <v>58</v>
      </c>
      <c r="D28" s="44">
        <v>-17</v>
      </c>
      <c r="E28" s="49">
        <v>-0.28999999999999998</v>
      </c>
      <c r="H28" s="44" t="s">
        <v>867</v>
      </c>
      <c r="I28" s="163">
        <v>66</v>
      </c>
      <c r="J28" s="163">
        <v>75</v>
      </c>
      <c r="K28" s="163">
        <f t="shared" si="0"/>
        <v>9</v>
      </c>
      <c r="L28" s="108">
        <v>-0.13</v>
      </c>
    </row>
    <row r="29" spans="1:21">
      <c r="A29" s="44" t="s">
        <v>86</v>
      </c>
      <c r="B29" s="44">
        <v>71</v>
      </c>
      <c r="C29" s="44">
        <v>85</v>
      </c>
      <c r="D29" s="44">
        <v>-14</v>
      </c>
      <c r="E29" s="49">
        <v>-0.17</v>
      </c>
      <c r="H29" s="44" t="s">
        <v>1093</v>
      </c>
      <c r="I29" s="163">
        <v>25</v>
      </c>
      <c r="J29" s="163">
        <v>28</v>
      </c>
      <c r="K29" s="163">
        <f t="shared" si="0"/>
        <v>3</v>
      </c>
      <c r="L29" s="108">
        <v>-0.12</v>
      </c>
    </row>
    <row r="30" spans="1:21">
      <c r="A30" s="44" t="s">
        <v>932</v>
      </c>
      <c r="B30" s="44">
        <v>120</v>
      </c>
      <c r="C30" s="44">
        <v>134</v>
      </c>
      <c r="D30" s="44">
        <v>-14</v>
      </c>
      <c r="E30" s="49">
        <v>-0.11</v>
      </c>
      <c r="H30" s="44" t="s">
        <v>1938</v>
      </c>
      <c r="I30" s="163">
        <v>177</v>
      </c>
      <c r="J30" s="163">
        <v>199</v>
      </c>
      <c r="K30" s="163">
        <f t="shared" si="0"/>
        <v>22</v>
      </c>
      <c r="L30" s="108">
        <v>-0.11</v>
      </c>
    </row>
    <row r="31" spans="1:21">
      <c r="A31" s="44" t="s">
        <v>893</v>
      </c>
      <c r="B31" s="44">
        <v>75</v>
      </c>
      <c r="C31" s="44">
        <v>86</v>
      </c>
      <c r="D31" s="44">
        <v>-11</v>
      </c>
      <c r="E31" s="49">
        <v>-0.13</v>
      </c>
      <c r="H31" s="44" t="s">
        <v>554</v>
      </c>
      <c r="I31" s="163">
        <v>152</v>
      </c>
      <c r="J31" s="163">
        <v>170</v>
      </c>
      <c r="K31" s="163">
        <f t="shared" si="0"/>
        <v>18</v>
      </c>
      <c r="L31" s="108">
        <v>-0.11</v>
      </c>
    </row>
    <row r="32" spans="1:21">
      <c r="A32" s="44" t="s">
        <v>799</v>
      </c>
      <c r="B32" s="44">
        <v>46</v>
      </c>
      <c r="C32" s="44">
        <v>57</v>
      </c>
      <c r="D32" s="44">
        <v>-11</v>
      </c>
      <c r="E32" s="49">
        <v>-0.19</v>
      </c>
      <c r="H32" s="44" t="s">
        <v>1920</v>
      </c>
      <c r="I32" s="163">
        <v>576</v>
      </c>
      <c r="J32" s="163">
        <v>644</v>
      </c>
      <c r="K32" s="163">
        <f t="shared" si="0"/>
        <v>68</v>
      </c>
      <c r="L32" s="108">
        <v>-0.11</v>
      </c>
    </row>
    <row r="33" spans="1:12">
      <c r="A33" s="44" t="s">
        <v>820</v>
      </c>
      <c r="B33" s="44">
        <v>38</v>
      </c>
      <c r="C33" s="44">
        <v>48</v>
      </c>
      <c r="D33" s="44">
        <v>-10</v>
      </c>
      <c r="E33" s="49">
        <v>-0.22</v>
      </c>
      <c r="H33" s="44" t="s">
        <v>1860</v>
      </c>
      <c r="I33" s="163">
        <v>134</v>
      </c>
      <c r="J33" s="163">
        <v>149</v>
      </c>
      <c r="K33" s="163">
        <f t="shared" si="0"/>
        <v>15</v>
      </c>
      <c r="L33" s="108">
        <v>-0.1</v>
      </c>
    </row>
    <row r="34" spans="1:12">
      <c r="A34" s="44" t="s">
        <v>1064</v>
      </c>
      <c r="B34" s="44">
        <v>58</v>
      </c>
      <c r="C34" s="44">
        <v>68</v>
      </c>
      <c r="D34" s="44">
        <v>-10</v>
      </c>
      <c r="E34" s="49">
        <v>-0.15</v>
      </c>
      <c r="H34" s="44"/>
      <c r="I34" s="44"/>
      <c r="J34" s="44"/>
      <c r="K34" s="109"/>
      <c r="L34" s="108"/>
    </row>
    <row r="35" spans="1:12">
      <c r="A35" s="44" t="s">
        <v>871</v>
      </c>
      <c r="B35" s="44">
        <v>58</v>
      </c>
      <c r="C35" s="44">
        <v>68</v>
      </c>
      <c r="D35" s="44">
        <v>-10</v>
      </c>
      <c r="E35" s="49">
        <v>-0.15</v>
      </c>
    </row>
    <row r="36" spans="1:12">
      <c r="A36" s="44" t="s">
        <v>914</v>
      </c>
      <c r="B36" s="44">
        <v>86</v>
      </c>
      <c r="C36" s="44">
        <v>96</v>
      </c>
      <c r="D36" s="44">
        <v>-10</v>
      </c>
      <c r="E36" s="49">
        <v>-0.1</v>
      </c>
    </row>
    <row r="37" spans="1:12">
      <c r="A37" s="44" t="s">
        <v>884</v>
      </c>
      <c r="B37" s="44">
        <v>70</v>
      </c>
      <c r="C37" s="44">
        <v>80</v>
      </c>
      <c r="D37" s="44">
        <v>-10</v>
      </c>
      <c r="E37" s="49">
        <v>-0.12</v>
      </c>
      <c r="K37" s="43">
        <f>SUM(K4:K34)</f>
        <v>859.65199999999993</v>
      </c>
    </row>
    <row r="38" spans="1:12">
      <c r="A38" s="44" t="s">
        <v>1022</v>
      </c>
      <c r="B38" s="44">
        <v>66</v>
      </c>
      <c r="C38" s="44">
        <v>75</v>
      </c>
      <c r="D38" s="44">
        <v>-9</v>
      </c>
      <c r="E38" s="49">
        <v>-0.12</v>
      </c>
    </row>
    <row r="39" spans="1:12">
      <c r="A39" s="44" t="s">
        <v>115</v>
      </c>
      <c r="B39" s="44">
        <v>68</v>
      </c>
      <c r="C39" s="44">
        <v>77</v>
      </c>
      <c r="D39" s="44">
        <v>-9</v>
      </c>
      <c r="E39" s="49">
        <v>-0.12</v>
      </c>
    </row>
    <row r="40" spans="1:12">
      <c r="A40" s="44" t="s">
        <v>824</v>
      </c>
      <c r="B40" s="44">
        <v>43</v>
      </c>
      <c r="C40" s="44">
        <v>51</v>
      </c>
      <c r="D40" s="44">
        <v>-8</v>
      </c>
      <c r="E40" s="49">
        <v>-0.16</v>
      </c>
    </row>
    <row r="41" spans="1:12">
      <c r="A41" s="44" t="s">
        <v>146</v>
      </c>
      <c r="B41" s="44">
        <v>65</v>
      </c>
      <c r="C41" s="44">
        <v>72</v>
      </c>
      <c r="D41" s="44">
        <v>-8</v>
      </c>
      <c r="E41" s="49">
        <v>-0.1</v>
      </c>
    </row>
    <row r="42" spans="1:12">
      <c r="A42" s="44" t="s">
        <v>93</v>
      </c>
      <c r="B42" s="44">
        <v>36</v>
      </c>
      <c r="C42" s="44">
        <v>43</v>
      </c>
      <c r="D42" s="44">
        <v>-7</v>
      </c>
      <c r="E42" s="49">
        <v>-0.17</v>
      </c>
    </row>
    <row r="43" spans="1:12">
      <c r="A43" s="44" t="s">
        <v>777</v>
      </c>
      <c r="B43" s="44">
        <v>30</v>
      </c>
      <c r="C43" s="44">
        <v>37</v>
      </c>
      <c r="D43" s="44">
        <v>-7</v>
      </c>
      <c r="E43" s="49">
        <v>-0.18</v>
      </c>
    </row>
    <row r="44" spans="1:12">
      <c r="A44" s="44" t="s">
        <v>475</v>
      </c>
      <c r="B44" s="44">
        <v>50</v>
      </c>
      <c r="C44" s="44">
        <v>56</v>
      </c>
      <c r="D44" s="44">
        <v>-6</v>
      </c>
      <c r="E44" s="49">
        <v>-0.11</v>
      </c>
    </row>
    <row r="45" spans="1:12">
      <c r="A45" s="44" t="s">
        <v>822</v>
      </c>
      <c r="B45" s="44">
        <v>52</v>
      </c>
      <c r="C45" s="44">
        <v>58</v>
      </c>
      <c r="D45" s="44">
        <v>-6</v>
      </c>
      <c r="E45" s="49">
        <v>-0.11</v>
      </c>
    </row>
    <row r="46" spans="1:12">
      <c r="A46" s="44" t="s">
        <v>1093</v>
      </c>
      <c r="B46" s="44">
        <v>28</v>
      </c>
      <c r="C46" s="44">
        <v>34</v>
      </c>
      <c r="D46" s="44">
        <v>-6</v>
      </c>
      <c r="E46" s="49">
        <v>-0.17</v>
      </c>
    </row>
    <row r="47" spans="1:12">
      <c r="A47" s="44" t="s">
        <v>102</v>
      </c>
      <c r="B47" s="44">
        <v>13</v>
      </c>
      <c r="C47" s="44">
        <v>18</v>
      </c>
      <c r="D47" s="44">
        <v>-5</v>
      </c>
      <c r="E47" s="49">
        <v>-0.28999999999999998</v>
      </c>
    </row>
    <row r="48" spans="1:12">
      <c r="A48" s="44" t="s">
        <v>745</v>
      </c>
      <c r="B48" s="44">
        <v>16</v>
      </c>
      <c r="C48" s="44">
        <v>21</v>
      </c>
      <c r="D48" s="44">
        <v>-5</v>
      </c>
      <c r="E48" s="49">
        <v>-0.24</v>
      </c>
    </row>
    <row r="49" spans="1:5">
      <c r="A49" s="44" t="s">
        <v>844</v>
      </c>
      <c r="B49" s="44">
        <v>40</v>
      </c>
      <c r="C49" s="44">
        <v>45</v>
      </c>
      <c r="D49" s="44">
        <v>-5</v>
      </c>
      <c r="E49" s="49">
        <v>-0.11</v>
      </c>
    </row>
    <row r="50" spans="1:5">
      <c r="A50" s="44" t="s">
        <v>82</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6"/>
  <sheetViews>
    <sheetView workbookViewId="0">
      <selection activeCell="A16" sqref="A16:CC16"/>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1939</v>
      </c>
      <c r="D2" s="185" t="s">
        <v>3</v>
      </c>
      <c r="E2" s="185" t="s">
        <v>4</v>
      </c>
      <c r="F2" s="184" t="s">
        <v>5</v>
      </c>
      <c r="G2" s="184" t="s">
        <v>6</v>
      </c>
      <c r="H2" s="184" t="s">
        <v>9</v>
      </c>
      <c r="I2" s="186" t="s">
        <v>10</v>
      </c>
      <c r="J2" s="184" t="s">
        <v>11</v>
      </c>
      <c r="K2" s="184" t="s">
        <v>1940</v>
      </c>
      <c r="L2" s="184" t="s">
        <v>1941</v>
      </c>
      <c r="M2" s="187" t="s">
        <v>14</v>
      </c>
      <c r="N2" s="187" t="s">
        <v>15</v>
      </c>
      <c r="O2" s="188" t="s">
        <v>16</v>
      </c>
      <c r="P2" s="189" t="s">
        <v>17</v>
      </c>
      <c r="Q2" s="190" t="s">
        <v>20</v>
      </c>
      <c r="R2" s="189" t="s">
        <v>21</v>
      </c>
      <c r="S2" s="191" t="s">
        <v>22</v>
      </c>
      <c r="T2" s="192" t="s">
        <v>23</v>
      </c>
      <c r="U2" s="192" t="s">
        <v>24</v>
      </c>
      <c r="V2" s="193" t="s">
        <v>25</v>
      </c>
      <c r="W2" s="189" t="s">
        <v>26</v>
      </c>
      <c r="X2" s="194" t="s">
        <v>13</v>
      </c>
      <c r="Y2" s="195" t="s">
        <v>27</v>
      </c>
      <c r="Z2" s="196" t="s">
        <v>28</v>
      </c>
      <c r="AA2" s="195" t="s">
        <v>7</v>
      </c>
      <c r="AB2" s="196" t="s">
        <v>29</v>
      </c>
      <c r="AC2" s="196" t="s">
        <v>30</v>
      </c>
      <c r="AD2" s="196" t="s">
        <v>31</v>
      </c>
      <c r="AE2" s="197" t="s">
        <v>32</v>
      </c>
      <c r="AF2" s="197" t="s">
        <v>33</v>
      </c>
      <c r="AG2" s="198" t="s">
        <v>34</v>
      </c>
      <c r="AH2" s="198" t="s">
        <v>35</v>
      </c>
      <c r="AI2" s="199" t="s">
        <v>36</v>
      </c>
      <c r="AJ2" s="200" t="s">
        <v>37</v>
      </c>
      <c r="AK2" s="201" t="s">
        <v>38</v>
      </c>
      <c r="AL2" s="202" t="s">
        <v>39</v>
      </c>
      <c r="AM2" s="203" t="s">
        <v>40</v>
      </c>
      <c r="AN2" s="204" t="s">
        <v>41</v>
      </c>
      <c r="AO2" s="205" t="s">
        <v>42</v>
      </c>
      <c r="AP2" s="206" t="s">
        <v>43</v>
      </c>
      <c r="AQ2" s="198" t="s">
        <v>44</v>
      </c>
      <c r="AR2" s="198" t="s">
        <v>45</v>
      </c>
      <c r="AS2" s="207" t="s">
        <v>46</v>
      </c>
      <c r="AT2" s="207" t="s">
        <v>47</v>
      </c>
      <c r="AU2" s="207" t="s">
        <v>48</v>
      </c>
      <c r="AV2" s="207" t="s">
        <v>49</v>
      </c>
      <c r="AW2" s="208" t="s">
        <v>51</v>
      </c>
      <c r="AX2" s="197" t="s">
        <v>52</v>
      </c>
      <c r="AY2" s="197" t="s">
        <v>53</v>
      </c>
      <c r="AZ2" s="209" t="s">
        <v>54</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56</v>
      </c>
      <c r="BX2" s="211"/>
      <c r="BY2" s="212" t="s">
        <v>57</v>
      </c>
      <c r="BZ2" s="211"/>
    </row>
    <row r="3" spans="1:16383">
      <c r="A3" s="164">
        <v>19963</v>
      </c>
      <c r="B3" s="164" t="s">
        <v>1942</v>
      </c>
      <c r="C3" s="165"/>
      <c r="D3" s="121">
        <f t="shared" ref="D3:D8" si="0">COUNTIF(AG3:AU3,"*OK*")</f>
        <v>0</v>
      </c>
      <c r="E3" s="121"/>
      <c r="F3" s="166" t="s">
        <v>1915</v>
      </c>
      <c r="G3" s="166"/>
      <c r="H3" s="166"/>
      <c r="I3" s="167" t="s">
        <v>68</v>
      </c>
      <c r="J3" s="166" t="s">
        <v>69</v>
      </c>
      <c r="K3" s="166"/>
      <c r="L3" s="166"/>
      <c r="M3" s="165">
        <v>103.2</v>
      </c>
      <c r="N3" s="165">
        <v>81.96</v>
      </c>
      <c r="O3" s="165">
        <v>76.84</v>
      </c>
      <c r="P3" s="168">
        <v>75.78</v>
      </c>
      <c r="Q3" s="169"/>
      <c r="R3" s="170">
        <v>300</v>
      </c>
      <c r="S3" s="171" t="s">
        <v>1943</v>
      </c>
      <c r="T3" s="172" t="s">
        <v>198</v>
      </c>
      <c r="U3" s="173" t="s">
        <v>161</v>
      </c>
      <c r="V3" s="158" t="s">
        <v>1944</v>
      </c>
      <c r="W3" s="170" t="s">
        <v>161</v>
      </c>
      <c r="X3" s="174" t="s">
        <v>237</v>
      </c>
      <c r="Y3" s="175" t="s">
        <v>1432</v>
      </c>
      <c r="Z3" s="121"/>
      <c r="AA3" s="175"/>
      <c r="AB3" s="121"/>
      <c r="AC3" s="121"/>
      <c r="AD3" s="121"/>
      <c r="AE3" s="121"/>
      <c r="AF3" s="157" t="s">
        <v>127</v>
      </c>
      <c r="AG3" s="157" t="s">
        <v>59</v>
      </c>
      <c r="AH3" s="157" t="s">
        <v>59</v>
      </c>
      <c r="AI3" s="157" t="s">
        <v>59</v>
      </c>
      <c r="AJ3" s="157" t="s">
        <v>59</v>
      </c>
      <c r="AK3" s="157" t="s">
        <v>59</v>
      </c>
      <c r="AL3" s="157" t="s">
        <v>59</v>
      </c>
      <c r="AM3" s="157" t="s">
        <v>59</v>
      </c>
      <c r="AN3" s="157" t="s">
        <v>59</v>
      </c>
      <c r="AO3" s="157" t="s">
        <v>59</v>
      </c>
      <c r="AP3" s="157" t="s">
        <v>59</v>
      </c>
      <c r="AQ3" s="157"/>
      <c r="AR3" s="157" t="s">
        <v>59</v>
      </c>
      <c r="AS3" s="157" t="s">
        <v>59</v>
      </c>
      <c r="AT3" s="157" t="s">
        <v>59</v>
      </c>
      <c r="AU3" s="157"/>
      <c r="AV3" s="157" t="s">
        <v>59</v>
      </c>
      <c r="AW3" s="157" t="s">
        <v>59</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1942</v>
      </c>
      <c r="C4" s="165"/>
      <c r="D4" s="121">
        <f t="shared" si="0"/>
        <v>0</v>
      </c>
      <c r="E4" s="121"/>
      <c r="F4" s="166" t="s">
        <v>1945</v>
      </c>
      <c r="G4" s="166" t="s">
        <v>1946</v>
      </c>
      <c r="H4" s="166"/>
      <c r="I4" s="176" t="s">
        <v>79</v>
      </c>
      <c r="J4" s="166" t="s">
        <v>69</v>
      </c>
      <c r="K4" s="166"/>
      <c r="L4" s="166"/>
      <c r="M4" s="165">
        <v>674.77</v>
      </c>
      <c r="N4" s="165">
        <v>682.08</v>
      </c>
      <c r="O4" s="165">
        <v>652.53</v>
      </c>
      <c r="P4" s="168">
        <v>575.62</v>
      </c>
      <c r="Q4" s="169"/>
      <c r="R4" s="170">
        <v>300</v>
      </c>
      <c r="S4" s="171" t="s">
        <v>1947</v>
      </c>
      <c r="T4" s="173" t="s">
        <v>198</v>
      </c>
      <c r="U4" s="173" t="s">
        <v>161</v>
      </c>
      <c r="V4" s="158" t="s">
        <v>1944</v>
      </c>
      <c r="W4" s="170" t="s">
        <v>161</v>
      </c>
      <c r="X4" s="174" t="s">
        <v>65</v>
      </c>
      <c r="Y4" s="175" t="s">
        <v>1432</v>
      </c>
      <c r="Z4" s="121"/>
      <c r="AA4" s="175"/>
      <c r="AB4" s="121"/>
      <c r="AC4" s="121"/>
      <c r="AD4" s="121"/>
      <c r="AE4" s="121"/>
      <c r="AF4" s="158" t="s">
        <v>127</v>
      </c>
      <c r="AG4" s="157" t="s">
        <v>59</v>
      </c>
      <c r="AH4" s="157" t="s">
        <v>59</v>
      </c>
      <c r="AI4" s="157" t="s">
        <v>59</v>
      </c>
      <c r="AJ4" s="157" t="s">
        <v>59</v>
      </c>
      <c r="AK4" s="157" t="s">
        <v>59</v>
      </c>
      <c r="AL4" s="157" t="s">
        <v>59</v>
      </c>
      <c r="AM4" s="157" t="s">
        <v>59</v>
      </c>
      <c r="AN4" s="157" t="s">
        <v>59</v>
      </c>
      <c r="AO4" s="157" t="s">
        <v>59</v>
      </c>
      <c r="AP4" s="157" t="s">
        <v>59</v>
      </c>
      <c r="AQ4" s="157"/>
      <c r="AR4" s="157" t="s">
        <v>59</v>
      </c>
      <c r="AS4" s="157" t="s">
        <v>59</v>
      </c>
      <c r="AT4" s="157" t="s">
        <v>59</v>
      </c>
      <c r="AU4" s="157"/>
      <c r="AV4" s="157" t="s">
        <v>59</v>
      </c>
      <c r="AW4" s="158" t="s">
        <v>59</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1948</v>
      </c>
      <c r="G5" s="166"/>
      <c r="H5" s="166"/>
      <c r="I5" s="167" t="s">
        <v>68</v>
      </c>
      <c r="J5" s="166" t="s">
        <v>69</v>
      </c>
      <c r="K5" s="166"/>
      <c r="L5" s="166"/>
      <c r="M5" s="165">
        <v>340.86</v>
      </c>
      <c r="N5" s="165">
        <v>378.6</v>
      </c>
      <c r="O5" s="165">
        <v>360.8</v>
      </c>
      <c r="P5" s="168">
        <v>0</v>
      </c>
      <c r="Q5" s="169"/>
      <c r="R5" s="170">
        <v>5000</v>
      </c>
      <c r="S5" s="171"/>
      <c r="T5" s="172" t="s">
        <v>701</v>
      </c>
      <c r="U5" s="173" t="s">
        <v>310</v>
      </c>
      <c r="V5" s="158" t="s">
        <v>1949</v>
      </c>
      <c r="W5" s="170" t="s">
        <v>59</v>
      </c>
      <c r="X5" s="174" t="s">
        <v>1950</v>
      </c>
      <c r="Y5" s="175" t="s">
        <v>1432</v>
      </c>
      <c r="Z5" s="121"/>
      <c r="AA5" s="175"/>
      <c r="AB5" s="121"/>
      <c r="AC5" s="121"/>
      <c r="AD5" s="121"/>
      <c r="AE5" s="121"/>
      <c r="AF5" s="157" t="s">
        <v>59</v>
      </c>
      <c r="AG5" s="157" t="s">
        <v>59</v>
      </c>
      <c r="AH5" s="157" t="s">
        <v>59</v>
      </c>
      <c r="AI5" s="157" t="s">
        <v>59</v>
      </c>
      <c r="AJ5" s="157" t="s">
        <v>59</v>
      </c>
      <c r="AK5" s="157" t="s">
        <v>59</v>
      </c>
      <c r="AL5" s="157" t="s">
        <v>59</v>
      </c>
      <c r="AM5" s="157" t="s">
        <v>59</v>
      </c>
      <c r="AN5" s="157" t="s">
        <v>59</v>
      </c>
      <c r="AO5" s="157" t="s">
        <v>59</v>
      </c>
      <c r="AP5" s="157" t="s">
        <v>59</v>
      </c>
      <c r="AQ5" s="157"/>
      <c r="AR5" s="157" t="s">
        <v>59</v>
      </c>
      <c r="AS5" s="157" t="s">
        <v>59</v>
      </c>
      <c r="AT5" s="157" t="s">
        <v>59</v>
      </c>
      <c r="AU5" s="157"/>
      <c r="AV5" s="157" t="s">
        <v>59</v>
      </c>
      <c r="AW5" s="157" t="s">
        <v>59</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1097</v>
      </c>
      <c r="G6" s="166" t="s">
        <v>1946</v>
      </c>
      <c r="H6" s="166"/>
      <c r="I6" s="177" t="s">
        <v>79</v>
      </c>
      <c r="J6" s="166" t="s">
        <v>69</v>
      </c>
      <c r="K6" s="166"/>
      <c r="L6" s="166"/>
      <c r="M6" s="165">
        <v>55.57</v>
      </c>
      <c r="N6" s="165">
        <v>54.2</v>
      </c>
      <c r="O6" s="165">
        <v>55.43</v>
      </c>
      <c r="P6" s="168">
        <v>0</v>
      </c>
      <c r="Q6" s="169"/>
      <c r="R6" s="170">
        <v>100</v>
      </c>
      <c r="S6" s="171"/>
      <c r="T6" s="172" t="s">
        <v>437</v>
      </c>
      <c r="U6" s="173" t="s">
        <v>161</v>
      </c>
      <c r="V6" s="158" t="s">
        <v>1951</v>
      </c>
      <c r="W6" s="170" t="s">
        <v>59</v>
      </c>
      <c r="X6" s="174" t="s">
        <v>237</v>
      </c>
      <c r="Y6" s="175" t="s">
        <v>1432</v>
      </c>
      <c r="Z6" s="121"/>
      <c r="AA6" s="175"/>
      <c r="AB6" s="121"/>
      <c r="AC6" s="121"/>
      <c r="AD6" s="121"/>
      <c r="AE6" s="121"/>
      <c r="AF6" s="178" t="s">
        <v>59</v>
      </c>
      <c r="AG6" s="157" t="s">
        <v>59</v>
      </c>
      <c r="AH6" s="157" t="s">
        <v>59</v>
      </c>
      <c r="AI6" s="157" t="s">
        <v>59</v>
      </c>
      <c r="AJ6" s="157" t="s">
        <v>59</v>
      </c>
      <c r="AK6" s="157" t="s">
        <v>59</v>
      </c>
      <c r="AL6" s="157" t="s">
        <v>59</v>
      </c>
      <c r="AM6" s="157" t="s">
        <v>59</v>
      </c>
      <c r="AN6" s="157" t="s">
        <v>59</v>
      </c>
      <c r="AO6" s="157" t="s">
        <v>59</v>
      </c>
      <c r="AP6" s="157" t="s">
        <v>59</v>
      </c>
      <c r="AQ6" s="157"/>
      <c r="AR6" s="157" t="s">
        <v>59</v>
      </c>
      <c r="AS6" s="157" t="s">
        <v>59</v>
      </c>
      <c r="AT6" s="157" t="s">
        <v>59</v>
      </c>
      <c r="AU6" s="157"/>
      <c r="AV6" s="157" t="s">
        <v>59</v>
      </c>
      <c r="AW6" s="157" t="s">
        <v>59</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1952</v>
      </c>
      <c r="G7" s="166" t="s">
        <v>1946</v>
      </c>
      <c r="H7" s="166"/>
      <c r="I7" s="167" t="s">
        <v>68</v>
      </c>
      <c r="J7" s="166" t="s">
        <v>69</v>
      </c>
      <c r="K7" s="166"/>
      <c r="L7" s="166"/>
      <c r="M7" s="165"/>
      <c r="N7" s="165">
        <v>44.94</v>
      </c>
      <c r="O7" s="165">
        <v>44.09</v>
      </c>
      <c r="P7" s="168">
        <v>44.21</v>
      </c>
      <c r="Q7" s="169"/>
      <c r="R7" s="170">
        <v>50</v>
      </c>
      <c r="S7" s="171"/>
      <c r="T7" s="173" t="s">
        <v>437</v>
      </c>
      <c r="U7" s="173" t="s">
        <v>80</v>
      </c>
      <c r="V7" s="158" t="s">
        <v>1953</v>
      </c>
      <c r="W7" s="170" t="s">
        <v>59</v>
      </c>
      <c r="X7" s="174" t="s">
        <v>65</v>
      </c>
      <c r="Y7" s="175" t="s">
        <v>1432</v>
      </c>
      <c r="Z7" s="121"/>
      <c r="AA7" s="175"/>
      <c r="AB7" s="121"/>
      <c r="AC7" s="121"/>
      <c r="AD7" s="121"/>
      <c r="AE7" s="121"/>
      <c r="AF7" s="178" t="s">
        <v>59</v>
      </c>
      <c r="AG7" s="157" t="s">
        <v>59</v>
      </c>
      <c r="AH7" s="157" t="s">
        <v>59</v>
      </c>
      <c r="AI7" s="157" t="s">
        <v>59</v>
      </c>
      <c r="AJ7" s="157" t="s">
        <v>59</v>
      </c>
      <c r="AK7" s="157" t="s">
        <v>59</v>
      </c>
      <c r="AL7" s="157" t="s">
        <v>59</v>
      </c>
      <c r="AM7" s="157" t="s">
        <v>59</v>
      </c>
      <c r="AN7" s="157" t="s">
        <v>59</v>
      </c>
      <c r="AO7" s="157" t="s">
        <v>59</v>
      </c>
      <c r="AP7" s="157" t="s">
        <v>59</v>
      </c>
      <c r="AQ7" s="157"/>
      <c r="AR7" s="157" t="s">
        <v>59</v>
      </c>
      <c r="AS7" s="157" t="s">
        <v>59</v>
      </c>
      <c r="AT7" s="157" t="s">
        <v>59</v>
      </c>
      <c r="AU7" s="157"/>
      <c r="AV7" s="157" t="s">
        <v>59</v>
      </c>
      <c r="AW7" s="157" t="s">
        <v>59</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1954</v>
      </c>
      <c r="C8" s="165"/>
      <c r="D8" s="121">
        <f t="shared" si="0"/>
        <v>0</v>
      </c>
      <c r="E8" s="121"/>
      <c r="F8" s="166" t="s">
        <v>1955</v>
      </c>
      <c r="G8" s="166"/>
      <c r="H8" s="166"/>
      <c r="I8" s="167" t="s">
        <v>68</v>
      </c>
      <c r="J8" s="166" t="s">
        <v>69</v>
      </c>
      <c r="K8" s="166"/>
      <c r="L8" s="166"/>
      <c r="M8" s="165">
        <v>342.12</v>
      </c>
      <c r="N8" s="165">
        <v>346.13</v>
      </c>
      <c r="O8" s="165"/>
      <c r="P8" s="179">
        <v>0</v>
      </c>
      <c r="Q8" s="169"/>
      <c r="R8" s="170">
        <v>200</v>
      </c>
      <c r="S8" s="171" t="s">
        <v>1956</v>
      </c>
      <c r="T8" s="172" t="s">
        <v>1956</v>
      </c>
      <c r="U8" s="173" t="s">
        <v>150</v>
      </c>
      <c r="V8" s="158" t="s">
        <v>1957</v>
      </c>
      <c r="W8" s="170" t="s">
        <v>145</v>
      </c>
      <c r="X8" s="174" t="s">
        <v>65</v>
      </c>
      <c r="Y8" s="175" t="s">
        <v>1432</v>
      </c>
      <c r="Z8" s="121"/>
      <c r="AA8" s="175"/>
      <c r="AB8" s="121"/>
      <c r="AC8" s="121"/>
      <c r="AD8" s="121"/>
      <c r="AE8" s="121"/>
      <c r="AF8" s="158" t="s">
        <v>59</v>
      </c>
      <c r="AG8" s="157" t="s">
        <v>59</v>
      </c>
      <c r="AH8" s="157" t="s">
        <v>59</v>
      </c>
      <c r="AI8" s="157" t="s">
        <v>59</v>
      </c>
      <c r="AJ8" s="157" t="s">
        <v>59</v>
      </c>
      <c r="AK8" s="157" t="s">
        <v>59</v>
      </c>
      <c r="AL8" s="157" t="s">
        <v>59</v>
      </c>
      <c r="AM8" s="157" t="s">
        <v>59</v>
      </c>
      <c r="AN8" s="157" t="s">
        <v>59</v>
      </c>
      <c r="AO8" s="157" t="s">
        <v>59</v>
      </c>
      <c r="AP8" s="157" t="s">
        <v>59</v>
      </c>
      <c r="AQ8" s="157"/>
      <c r="AR8" s="157" t="s">
        <v>59</v>
      </c>
      <c r="AS8" s="157" t="s">
        <v>59</v>
      </c>
      <c r="AT8" s="157" t="s">
        <v>59</v>
      </c>
      <c r="AU8" s="157"/>
      <c r="AV8" s="157" t="s">
        <v>59</v>
      </c>
      <c r="AW8" s="158" t="s">
        <v>59</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1958</v>
      </c>
      <c r="G9" s="164" t="s">
        <v>194</v>
      </c>
      <c r="H9" s="164" t="s">
        <v>59</v>
      </c>
      <c r="I9" s="164" t="s">
        <v>68</v>
      </c>
      <c r="J9" s="164" t="s">
        <v>69</v>
      </c>
      <c r="K9" s="164" t="s">
        <v>59</v>
      </c>
      <c r="L9" s="164" t="s">
        <v>59</v>
      </c>
      <c r="M9" s="164">
        <v>401.97</v>
      </c>
      <c r="N9" s="164" t="s">
        <v>59</v>
      </c>
      <c r="O9" s="164" t="s">
        <v>59</v>
      </c>
      <c r="P9" s="178">
        <v>2903.24</v>
      </c>
      <c r="Q9" s="169"/>
      <c r="R9" s="170" t="s">
        <v>59</v>
      </c>
      <c r="S9" s="121"/>
      <c r="T9" s="172"/>
      <c r="U9" s="173"/>
      <c r="V9" s="158"/>
      <c r="W9" s="178" t="s">
        <v>59</v>
      </c>
      <c r="X9" s="158" t="s">
        <v>65</v>
      </c>
      <c r="Y9" s="175" t="s">
        <v>1432</v>
      </c>
      <c r="Z9" s="121"/>
      <c r="AA9" s="175"/>
      <c r="AB9" s="121"/>
      <c r="AC9" s="121"/>
      <c r="AD9" s="121"/>
      <c r="AE9" s="121"/>
      <c r="AF9" s="158" t="s">
        <v>59</v>
      </c>
      <c r="AG9" s="157" t="s">
        <v>59</v>
      </c>
      <c r="AH9" s="157" t="s">
        <v>59</v>
      </c>
      <c r="AI9" s="158" t="s">
        <v>59</v>
      </c>
      <c r="AJ9" s="157" t="s">
        <v>59</v>
      </c>
      <c r="AK9" s="157" t="s">
        <v>59</v>
      </c>
      <c r="AL9" s="157" t="s">
        <v>59</v>
      </c>
      <c r="AM9" s="157" t="s">
        <v>59</v>
      </c>
      <c r="AN9" s="157" t="s">
        <v>59</v>
      </c>
      <c r="AO9" s="157" t="s">
        <v>59</v>
      </c>
      <c r="AP9" s="157" t="s">
        <v>59</v>
      </c>
      <c r="AQ9" s="157"/>
      <c r="AR9" s="157" t="s">
        <v>59</v>
      </c>
      <c r="AS9" s="157" t="s">
        <v>59</v>
      </c>
      <c r="AT9" s="157" t="s">
        <v>59</v>
      </c>
      <c r="AU9" s="157"/>
      <c r="AV9" s="157" t="s">
        <v>59</v>
      </c>
      <c r="AW9" s="158" t="s">
        <v>59</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1862</v>
      </c>
      <c r="G10" s="166"/>
      <c r="H10" s="166"/>
      <c r="I10" s="176" t="s">
        <v>68</v>
      </c>
      <c r="J10" s="166" t="s">
        <v>445</v>
      </c>
      <c r="K10" s="166"/>
      <c r="L10" s="166"/>
      <c r="M10" s="165">
        <v>191.55</v>
      </c>
      <c r="N10" s="165">
        <v>174.55</v>
      </c>
      <c r="O10" s="165"/>
      <c r="P10" s="179" t="s">
        <v>59</v>
      </c>
      <c r="Q10" s="169"/>
      <c r="R10" s="170">
        <v>100</v>
      </c>
      <c r="S10" s="171"/>
      <c r="T10" s="181" t="s">
        <v>70</v>
      </c>
      <c r="U10" s="173" t="s">
        <v>89</v>
      </c>
      <c r="V10" s="158" t="s">
        <v>1959</v>
      </c>
      <c r="W10" s="170" t="s">
        <v>59</v>
      </c>
      <c r="X10" s="174" t="s">
        <v>61</v>
      </c>
      <c r="Y10" s="175" t="s">
        <v>1432</v>
      </c>
      <c r="Z10" s="121"/>
      <c r="AA10" s="175"/>
      <c r="AB10" s="121"/>
      <c r="AC10" s="121"/>
      <c r="AD10" s="121"/>
      <c r="AE10" s="121"/>
      <c r="AF10" s="178" t="s">
        <v>59</v>
      </c>
      <c r="AG10" s="157" t="s">
        <v>59</v>
      </c>
      <c r="AH10" s="157" t="s">
        <v>59</v>
      </c>
      <c r="AI10" s="157" t="s">
        <v>59</v>
      </c>
      <c r="AJ10" s="157" t="s">
        <v>59</v>
      </c>
      <c r="AK10" s="157" t="s">
        <v>59</v>
      </c>
      <c r="AL10" s="157" t="s">
        <v>59</v>
      </c>
      <c r="AM10" s="157" t="s">
        <v>59</v>
      </c>
      <c r="AN10" s="157" t="s">
        <v>59</v>
      </c>
      <c r="AO10" s="157" t="s">
        <v>59</v>
      </c>
      <c r="AP10" s="157" t="s">
        <v>59</v>
      </c>
      <c r="AQ10" s="157"/>
      <c r="AR10" s="157" t="s">
        <v>59</v>
      </c>
      <c r="AS10" s="157" t="s">
        <v>59</v>
      </c>
      <c r="AT10" s="157" t="s">
        <v>59</v>
      </c>
      <c r="AU10" s="157"/>
      <c r="AV10" s="157" t="s">
        <v>59</v>
      </c>
      <c r="AW10" s="157" t="s">
        <v>176</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1960</v>
      </c>
      <c r="C11" s="165"/>
      <c r="D11" s="121">
        <f>COUNTIF(AG11:AU11,"*OK*")</f>
        <v>0</v>
      </c>
      <c r="E11" s="121"/>
      <c r="F11" s="166" t="s">
        <v>1864</v>
      </c>
      <c r="G11" s="166"/>
      <c r="H11" s="166"/>
      <c r="I11" s="176" t="s">
        <v>68</v>
      </c>
      <c r="J11" s="166" t="s">
        <v>445</v>
      </c>
      <c r="K11" s="166"/>
      <c r="L11" s="166"/>
      <c r="M11" s="165">
        <v>251.16</v>
      </c>
      <c r="N11" s="165">
        <v>250.93</v>
      </c>
      <c r="O11" s="165"/>
      <c r="P11" s="179" t="s">
        <v>59</v>
      </c>
      <c r="Q11" s="169"/>
      <c r="R11" s="170">
        <v>200</v>
      </c>
      <c r="S11" s="171"/>
      <c r="T11" s="182" t="s">
        <v>70</v>
      </c>
      <c r="U11" s="173" t="s">
        <v>80</v>
      </c>
      <c r="V11" s="158" t="s">
        <v>1961</v>
      </c>
      <c r="W11" s="170" t="s">
        <v>59</v>
      </c>
      <c r="X11" s="174" t="s">
        <v>156</v>
      </c>
      <c r="Y11" s="175" t="s">
        <v>1432</v>
      </c>
      <c r="Z11" s="121"/>
      <c r="AA11" s="175"/>
      <c r="AB11" s="121"/>
      <c r="AC11" s="121"/>
      <c r="AD11" s="121"/>
      <c r="AE11" s="121"/>
      <c r="AF11" s="178" t="s">
        <v>127</v>
      </c>
      <c r="AG11" s="157" t="s">
        <v>59</v>
      </c>
      <c r="AH11" s="157" t="s">
        <v>59</v>
      </c>
      <c r="AI11" s="157" t="s">
        <v>59</v>
      </c>
      <c r="AJ11" s="157" t="s">
        <v>59</v>
      </c>
      <c r="AK11" s="157" t="s">
        <v>59</v>
      </c>
      <c r="AL11" s="157" t="s">
        <v>59</v>
      </c>
      <c r="AM11" s="157" t="s">
        <v>59</v>
      </c>
      <c r="AN11" s="157" t="s">
        <v>59</v>
      </c>
      <c r="AO11" s="157" t="s">
        <v>59</v>
      </c>
      <c r="AP11" s="157" t="s">
        <v>59</v>
      </c>
      <c r="AQ11" s="157"/>
      <c r="AR11" s="157" t="s">
        <v>59</v>
      </c>
      <c r="AS11" s="157" t="s">
        <v>59</v>
      </c>
      <c r="AT11" s="157" t="s">
        <v>59</v>
      </c>
      <c r="AU11" s="157"/>
      <c r="AV11" s="157" t="s">
        <v>59</v>
      </c>
      <c r="AW11" s="157" t="s">
        <v>176</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1866</v>
      </c>
      <c r="G12" s="166"/>
      <c r="H12" s="166"/>
      <c r="I12" s="176" t="s">
        <v>68</v>
      </c>
      <c r="J12" s="166" t="s">
        <v>461</v>
      </c>
      <c r="K12" s="166"/>
      <c r="L12" s="166"/>
      <c r="M12" s="165">
        <v>21.06</v>
      </c>
      <c r="N12" s="165">
        <v>21.04</v>
      </c>
      <c r="O12" s="165"/>
      <c r="P12" s="179" t="s">
        <v>59</v>
      </c>
      <c r="Q12" s="169"/>
      <c r="R12" s="170">
        <v>50</v>
      </c>
      <c r="S12" s="171"/>
      <c r="T12" s="181" t="s">
        <v>70</v>
      </c>
      <c r="U12" s="173" t="s">
        <v>299</v>
      </c>
      <c r="V12" s="158" t="s">
        <v>1962</v>
      </c>
      <c r="W12" s="170" t="s">
        <v>59</v>
      </c>
      <c r="X12" s="174" t="s">
        <v>65</v>
      </c>
      <c r="Y12" s="175" t="s">
        <v>1432</v>
      </c>
      <c r="Z12" s="121"/>
      <c r="AA12" s="175"/>
      <c r="AB12" s="121"/>
      <c r="AC12" s="121"/>
      <c r="AD12" s="121"/>
      <c r="AE12" s="121"/>
      <c r="AF12" s="157" t="s">
        <v>59</v>
      </c>
      <c r="AG12" s="157" t="s">
        <v>59</v>
      </c>
      <c r="AH12" s="157" t="s">
        <v>59</v>
      </c>
      <c r="AI12" s="157" t="s">
        <v>59</v>
      </c>
      <c r="AJ12" s="157" t="s">
        <v>59</v>
      </c>
      <c r="AK12" s="157" t="s">
        <v>59</v>
      </c>
      <c r="AL12" s="157" t="s">
        <v>59</v>
      </c>
      <c r="AM12" s="157" t="s">
        <v>59</v>
      </c>
      <c r="AN12" s="157" t="s">
        <v>59</v>
      </c>
      <c r="AO12" s="157" t="s">
        <v>59</v>
      </c>
      <c r="AP12" s="157" t="s">
        <v>59</v>
      </c>
      <c r="AQ12" s="157"/>
      <c r="AR12" s="157" t="s">
        <v>59</v>
      </c>
      <c r="AS12" s="157" t="s">
        <v>59</v>
      </c>
      <c r="AT12" s="157" t="s">
        <v>59</v>
      </c>
      <c r="AU12" s="157"/>
      <c r="AV12" s="157" t="s">
        <v>59</v>
      </c>
      <c r="AW12" s="157" t="s">
        <v>59</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1865</v>
      </c>
      <c r="G13" s="166"/>
      <c r="H13" s="166"/>
      <c r="I13" s="176" t="s">
        <v>68</v>
      </c>
      <c r="J13" s="166" t="s">
        <v>461</v>
      </c>
      <c r="K13" s="166"/>
      <c r="L13" s="166"/>
      <c r="M13" s="165">
        <v>52.81</v>
      </c>
      <c r="N13" s="165">
        <v>52.76</v>
      </c>
      <c r="O13" s="165"/>
      <c r="P13" s="179" t="s">
        <v>59</v>
      </c>
      <c r="Q13" s="169"/>
      <c r="R13" s="170">
        <v>50</v>
      </c>
      <c r="S13" s="171"/>
      <c r="T13" s="181" t="s">
        <v>70</v>
      </c>
      <c r="U13" s="173" t="s">
        <v>71</v>
      </c>
      <c r="V13" s="158" t="s">
        <v>1963</v>
      </c>
      <c r="W13" s="170" t="s">
        <v>59</v>
      </c>
      <c r="X13" s="174" t="s">
        <v>65</v>
      </c>
      <c r="Y13" s="175" t="s">
        <v>1432</v>
      </c>
      <c r="Z13" s="121"/>
      <c r="AA13" s="175"/>
      <c r="AB13" s="121"/>
      <c r="AC13" s="121"/>
      <c r="AD13" s="121"/>
      <c r="AE13" s="121"/>
      <c r="AF13" s="178" t="s">
        <v>59</v>
      </c>
      <c r="AG13" s="157" t="s">
        <v>59</v>
      </c>
      <c r="AH13" s="157" t="s">
        <v>59</v>
      </c>
      <c r="AI13" s="157" t="s">
        <v>59</v>
      </c>
      <c r="AJ13" s="157" t="s">
        <v>59</v>
      </c>
      <c r="AK13" s="157" t="s">
        <v>59</v>
      </c>
      <c r="AL13" s="157" t="s">
        <v>59</v>
      </c>
      <c r="AM13" s="157" t="s">
        <v>59</v>
      </c>
      <c r="AN13" s="157" t="s">
        <v>59</v>
      </c>
      <c r="AO13" s="157" t="s">
        <v>59</v>
      </c>
      <c r="AP13" s="157" t="s">
        <v>59</v>
      </c>
      <c r="AQ13" s="157"/>
      <c r="AR13" s="157" t="s">
        <v>59</v>
      </c>
      <c r="AS13" s="157" t="s">
        <v>59</v>
      </c>
      <c r="AT13" s="157" t="s">
        <v>59</v>
      </c>
      <c r="AU13" s="157"/>
      <c r="AV13" s="157" t="s">
        <v>59</v>
      </c>
      <c r="AW13" s="157" t="s">
        <v>59</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1877</v>
      </c>
      <c r="G14" s="166" t="s">
        <v>134</v>
      </c>
      <c r="H14" s="166"/>
      <c r="I14" s="176" t="s">
        <v>79</v>
      </c>
      <c r="J14" s="166" t="s">
        <v>69</v>
      </c>
      <c r="K14" s="166"/>
      <c r="L14" s="166"/>
      <c r="M14" s="165">
        <v>528.54999999999995</v>
      </c>
      <c r="N14" s="165">
        <v>440.48</v>
      </c>
      <c r="O14" s="165">
        <v>510.97</v>
      </c>
      <c r="P14" s="168">
        <v>500.84</v>
      </c>
      <c r="Q14" s="169"/>
      <c r="R14" s="170">
        <v>200</v>
      </c>
      <c r="S14" s="171"/>
      <c r="T14" s="172" t="s">
        <v>251</v>
      </c>
      <c r="U14" s="173" t="s">
        <v>268</v>
      </c>
      <c r="V14" s="158" t="s">
        <v>1964</v>
      </c>
      <c r="W14" s="170" t="s">
        <v>59</v>
      </c>
      <c r="X14" s="174" t="s">
        <v>65</v>
      </c>
      <c r="Y14" s="175" t="s">
        <v>1432</v>
      </c>
      <c r="Z14" s="121"/>
      <c r="AA14" s="175"/>
      <c r="AB14" s="121"/>
      <c r="AC14" s="121"/>
      <c r="AD14" s="121"/>
      <c r="AE14" s="121"/>
      <c r="AF14" s="178" t="s">
        <v>59</v>
      </c>
      <c r="AG14" s="157" t="s">
        <v>59</v>
      </c>
      <c r="AH14" s="157" t="s">
        <v>59</v>
      </c>
      <c r="AI14" s="157" t="s">
        <v>59</v>
      </c>
      <c r="AJ14" s="157" t="s">
        <v>59</v>
      </c>
      <c r="AK14" s="157" t="s">
        <v>59</v>
      </c>
      <c r="AL14" s="157" t="s">
        <v>59</v>
      </c>
      <c r="AM14" s="157" t="s">
        <v>59</v>
      </c>
      <c r="AN14" s="157" t="s">
        <v>59</v>
      </c>
      <c r="AO14" s="157" t="s">
        <v>59</v>
      </c>
      <c r="AP14" s="157" t="s">
        <v>59</v>
      </c>
      <c r="AQ14" s="157"/>
      <c r="AR14" s="157"/>
      <c r="AS14" s="157"/>
      <c r="AT14" s="157"/>
      <c r="AU14" s="157"/>
      <c r="AV14" s="157" t="s">
        <v>59</v>
      </c>
      <c r="AW14" s="157" t="s">
        <v>59</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58">
        <v>5637</v>
      </c>
      <c r="B15" s="137">
        <v>24082020</v>
      </c>
      <c r="C15" s="333">
        <f>R15</f>
        <v>0</v>
      </c>
      <c r="D15" s="135">
        <f>COUNTIF(AI15:AW15,"*OK*")</f>
        <v>0</v>
      </c>
      <c r="E15" s="135"/>
      <c r="F15" s="146" t="s">
        <v>1860</v>
      </c>
      <c r="G15" s="146"/>
      <c r="H15" s="143"/>
      <c r="I15" s="146"/>
      <c r="J15" s="150" t="s">
        <v>68</v>
      </c>
      <c r="K15" s="146" t="s">
        <v>69</v>
      </c>
      <c r="L15" s="146"/>
      <c r="M15" s="146"/>
      <c r="N15" s="136">
        <v>201.19</v>
      </c>
      <c r="O15" s="136">
        <v>168.84</v>
      </c>
      <c r="P15" s="136">
        <v>149.41</v>
      </c>
      <c r="Q15" s="151">
        <v>134.44999999999999</v>
      </c>
      <c r="R15" s="332">
        <v>0</v>
      </c>
      <c r="S15" s="162"/>
      <c r="T15" s="139"/>
      <c r="U15" s="140">
        <v>100</v>
      </c>
      <c r="V15" s="152" t="s">
        <v>70</v>
      </c>
      <c r="W15" s="156" t="s">
        <v>70</v>
      </c>
      <c r="X15" s="141" t="s">
        <v>150</v>
      </c>
      <c r="Y15" s="142" t="s">
        <v>1965</v>
      </c>
      <c r="Z15" s="140" t="s">
        <v>145</v>
      </c>
      <c r="AA15" s="153" t="s">
        <v>65</v>
      </c>
      <c r="AB15" s="143" t="s">
        <v>1432</v>
      </c>
      <c r="AC15" s="135"/>
      <c r="AD15" s="135"/>
      <c r="AE15" s="135"/>
      <c r="AF15" s="135"/>
      <c r="AG15" s="135"/>
      <c r="AH15" s="138" t="s">
        <v>59</v>
      </c>
      <c r="AI15" s="134"/>
      <c r="AJ15" s="134"/>
      <c r="AK15" s="134"/>
      <c r="AL15" s="134"/>
      <c r="AM15" s="134"/>
      <c r="AN15" s="134"/>
      <c r="AO15" s="134"/>
      <c r="AP15" s="134"/>
      <c r="AQ15" s="134"/>
      <c r="AR15" s="134"/>
      <c r="AS15" s="134"/>
      <c r="AT15" s="134"/>
      <c r="AU15" s="134"/>
      <c r="AV15" s="134"/>
      <c r="AW15" s="134"/>
      <c r="AX15" s="134"/>
      <c r="AY15" s="144" t="s">
        <v>59</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1966</v>
      </c>
      <c r="C16" s="333">
        <f>T16</f>
        <v>2.37</v>
      </c>
      <c r="D16" s="125">
        <f>COUNTIF(AJ16:AX16,"*OK*")</f>
        <v>0</v>
      </c>
      <c r="E16" s="125"/>
      <c r="F16" s="159" t="s">
        <v>1967</v>
      </c>
      <c r="G16" s="145"/>
      <c r="H16" s="132"/>
      <c r="I16" s="132"/>
      <c r="J16" s="145"/>
      <c r="K16" s="154" t="s">
        <v>68</v>
      </c>
      <c r="L16" s="161" t="s">
        <v>1968</v>
      </c>
      <c r="M16" s="145"/>
      <c r="N16" s="145"/>
      <c r="O16" s="126">
        <v>2.41</v>
      </c>
      <c r="P16" s="126">
        <v>2.4</v>
      </c>
      <c r="Q16" s="126">
        <v>2.29</v>
      </c>
      <c r="R16" s="147">
        <v>2.36</v>
      </c>
      <c r="S16" s="360">
        <v>2.3963000000000001</v>
      </c>
      <c r="T16" s="381">
        <v>2.37</v>
      </c>
      <c r="U16" s="128"/>
      <c r="V16" s="129">
        <v>100</v>
      </c>
      <c r="W16" s="148"/>
      <c r="X16" s="155" t="s">
        <v>70</v>
      </c>
      <c r="Y16" s="130" t="s">
        <v>161</v>
      </c>
      <c r="Z16" s="131" t="s">
        <v>1969</v>
      </c>
      <c r="AA16" s="129" t="s">
        <v>161</v>
      </c>
      <c r="AB16" s="149" t="s">
        <v>237</v>
      </c>
      <c r="AC16" s="132" t="s">
        <v>137</v>
      </c>
      <c r="AD16" s="125"/>
      <c r="AE16" s="125"/>
      <c r="AF16" s="125"/>
      <c r="AG16" s="125"/>
      <c r="AH16" s="125"/>
      <c r="AI16" s="127" t="s">
        <v>176</v>
      </c>
      <c r="AJ16" s="134"/>
      <c r="AK16" s="134"/>
      <c r="AL16" s="134"/>
      <c r="AM16" s="134"/>
      <c r="AN16" s="134"/>
      <c r="AO16" s="134"/>
      <c r="AP16" s="134"/>
      <c r="AQ16" s="134"/>
      <c r="AR16" s="134"/>
      <c r="AS16" s="134"/>
      <c r="AT16" s="134"/>
      <c r="AU16" s="134"/>
      <c r="AV16" s="134"/>
      <c r="AW16" s="134"/>
      <c r="AX16" s="134"/>
      <c r="AY16" s="134"/>
      <c r="AZ16" s="133" t="s">
        <v>59</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s>
  <conditionalFormatting sqref="A2:B14">
    <cfRule type="containsBlanks" dxfId="71" priority="49">
      <formula>LEN(TRIM(A2))=0</formula>
    </cfRule>
  </conditionalFormatting>
  <conditionalFormatting sqref="C3:AV13">
    <cfRule type="expression" dxfId="70" priority="77">
      <formula>AND(ISODD(ROW()),LEN(TRIM(C3))=0)</formula>
    </cfRule>
    <cfRule type="expression" dxfId="69" priority="78">
      <formula>AND(ISEVEN(ROW()),LEN(TRIM(C3))=0)</formula>
    </cfRule>
  </conditionalFormatting>
  <conditionalFormatting sqref="G14:AF14">
    <cfRule type="expression" dxfId="68" priority="53">
      <formula>ISEVEN(ROW())</formula>
    </cfRule>
    <cfRule type="expression" dxfId="67" priority="56">
      <formula>ISODD(ROW())</formula>
    </cfRule>
  </conditionalFormatting>
  <conditionalFormatting sqref="L3:L14">
    <cfRule type="containsText" dxfId="66" priority="55" operator="containsText" text="Crítico">
      <formula>NOT(ISERROR(SEARCH("Crítico",L3)))</formula>
    </cfRule>
  </conditionalFormatting>
  <conditionalFormatting sqref="N3:O13">
    <cfRule type="expression" dxfId="65" priority="68">
      <formula>AND(N3&lt;M3, M3&gt;0)</formula>
    </cfRule>
  </conditionalFormatting>
  <conditionalFormatting sqref="N3:P13">
    <cfRule type="expression" dxfId="64" priority="67">
      <formula>AND(N3&gt;M3, M3&gt;0)</formula>
    </cfRule>
  </conditionalFormatting>
  <conditionalFormatting sqref="N14:P14">
    <cfRule type="expression" dxfId="63" priority="52">
      <formula>AND(N14&lt;M14, M14&gt;0)</formula>
    </cfRule>
    <cfRule type="expression" dxfId="62" priority="54">
      <formula>AND(N14&gt;M14, M14&gt;0)</formula>
    </cfRule>
  </conditionalFormatting>
  <conditionalFormatting sqref="P3:P13">
    <cfRule type="expression" dxfId="61" priority="65">
      <formula>AND(P3&lt;O3, O3&gt;0,NOT(ISBLANK(O3)))</formula>
    </cfRule>
  </conditionalFormatting>
  <conditionalFormatting sqref="AG3:AV14">
    <cfRule type="containsText" dxfId="60" priority="62" operator="containsText" text="OK">
      <formula>NOT(ISERROR(SEARCH("OK",AG3)))</formula>
    </cfRule>
    <cfRule type="containsText" dxfId="59" priority="63" operator="containsText" text="OP">
      <formula>NOT(ISERROR(SEARCH("OP",AG3)))</formula>
    </cfRule>
    <cfRule type="containsText" dxfId="58" priority="64" operator="containsText" text="NO">
      <formula>NOT(ISERROR(SEARCH("NO",AG3)))</formula>
    </cfRule>
  </conditionalFormatting>
  <conditionalFormatting sqref="AG14:AV14">
    <cfRule type="expression" dxfId="57" priority="50">
      <formula>AND(ISODD(ROW()),LEN(TRIM(AG14))=0)</formula>
    </cfRule>
    <cfRule type="expression" dxfId="56" priority="51">
      <formula>AND(ISEVEN(ROW()),LEN(TRIM(AG14))=0)</formula>
    </cfRule>
  </conditionalFormatting>
  <conditionalFormatting sqref="AX2:AY2">
    <cfRule type="containsText" dxfId="55" priority="47" operator="containsText" text="NO">
      <formula>NOT(ISERROR(SEARCH("NO",AX2)))</formula>
    </cfRule>
    <cfRule type="containsText" dxfId="54" priority="48" operator="containsText" text="SI">
      <formula>NOT(ISERROR(SEARCH("SI",AX2)))</formula>
    </cfRule>
  </conditionalFormatting>
  <conditionalFormatting sqref="AY2:AY14">
    <cfRule type="containsText" dxfId="53" priority="43" operator="containsText" text="Riesgo bajo">
      <formula>NOT(ISERROR(SEARCH("Riesgo bajo",AY2)))</formula>
    </cfRule>
    <cfRule type="containsText" dxfId="52" priority="44" operator="containsText" text="Cliente blindado">
      <formula>NOT(ISERROR(SEARCH("Cliente blindado",AY2)))</formula>
    </cfRule>
    <cfRule type="containsText" dxfId="51" priority="45" operator="containsText" text="Riesgo medio">
      <formula>NOT(ISERROR(SEARCH("Riesgo medio",AY2)))</formula>
    </cfRule>
    <cfRule type="containsText" dxfId="50" priority="46" operator="containsText" text="Demasiado riesgo">
      <formula>NOT(ISERROR(SEARCH("Demasiado riesgo",AY2)))</formula>
    </cfRule>
  </conditionalFormatting>
  <conditionalFormatting sqref="A15:B15">
    <cfRule type="containsBlanks" dxfId="49" priority="39">
      <formula>LEN(TRIM(A15))=0</formula>
    </cfRule>
  </conditionalFormatting>
  <conditionalFormatting sqref="BA15">
    <cfRule type="containsText" dxfId="48" priority="35" operator="containsText" text="Riesgo bajo">
      <formula>NOT(ISERROR(SEARCH("Riesgo bajo",BA15)))</formula>
    </cfRule>
    <cfRule type="containsText" dxfId="47" priority="36" operator="containsText" text="Cliente blindado">
      <formula>NOT(ISERROR(SEARCH("Cliente blindado",BA15)))</formula>
    </cfRule>
    <cfRule type="containsText" dxfId="46" priority="37" operator="containsText" text="Riesgo medio">
      <formula>NOT(ISERROR(SEARCH("Riesgo medio",BA15)))</formula>
    </cfRule>
    <cfRule type="containsText" dxfId="45" priority="38" operator="containsText" text="Demasiado riesgo">
      <formula>NOT(ISERROR(SEARCH("Demasiado riesgo",BA15)))</formula>
    </cfRule>
  </conditionalFormatting>
  <conditionalFormatting sqref="O15:S15">
    <cfRule type="expression" dxfId="44" priority="32">
      <formula>AND(O15&gt;N15, N15&gt;0)</formula>
    </cfRule>
  </conditionalFormatting>
  <conditionalFormatting sqref="O15:S15">
    <cfRule type="expression" dxfId="43" priority="30">
      <formula>AND(O15&lt;N15, N15&gt;0)</formula>
    </cfRule>
  </conditionalFormatting>
  <conditionalFormatting sqref="M15">
    <cfRule type="containsText" dxfId="42" priority="33" operator="containsText" text="Crítico">
      <formula>NOT(ISERROR(SEARCH("Crítico",M15)))</formula>
    </cfRule>
  </conditionalFormatting>
  <conditionalFormatting sqref="AI15:AX15">
    <cfRule type="containsText" dxfId="41" priority="40" operator="containsText" text="OK">
      <formula>NOT(ISERROR(SEARCH("OK",AI15)))</formula>
    </cfRule>
  </conditionalFormatting>
  <conditionalFormatting sqref="AI15:AX15">
    <cfRule type="containsText" dxfId="40" priority="41" operator="containsText" text="OP">
      <formula>NOT(ISERROR(SEARCH("OP",AI15)))</formula>
    </cfRule>
  </conditionalFormatting>
  <conditionalFormatting sqref="AI15:AX15">
    <cfRule type="containsText" dxfId="39" priority="42" operator="containsText" text="NO">
      <formula>NOT(ISERROR(SEARCH("NO",AI15)))</formula>
    </cfRule>
  </conditionalFormatting>
  <conditionalFormatting sqref="G15:Q15 S15:AH15">
    <cfRule type="expression" dxfId="38" priority="34">
      <formula>ISODD(ROW())</formula>
    </cfRule>
  </conditionalFormatting>
  <conditionalFormatting sqref="G15:Q15 S15:AH15">
    <cfRule type="expression" dxfId="37" priority="31">
      <formula>ISEVEN(ROW())</formula>
    </cfRule>
  </conditionalFormatting>
  <conditionalFormatting sqref="AI15:AX15">
    <cfRule type="expression" dxfId="36" priority="29">
      <formula>AND(ISEVEN(ROW()),LEN(TRIM(AI15))=0)</formula>
    </cfRule>
  </conditionalFormatting>
  <conditionalFormatting sqref="AI15:AX15">
    <cfRule type="expression" dxfId="35" priority="28">
      <formula>AND(ISODD(ROW()),LEN(TRIM(AI15))=0)</formula>
    </cfRule>
  </conditionalFormatting>
  <conditionalFormatting sqref="R15">
    <cfRule type="expression" dxfId="34" priority="26">
      <formula>ISEVEN(ROW())</formula>
    </cfRule>
    <cfRule type="expression" dxfId="33" priority="27">
      <formula>ISODD(ROW())</formula>
    </cfRule>
  </conditionalFormatting>
  <conditionalFormatting sqref="A16:B16">
    <cfRule type="containsBlanks" dxfId="32" priority="14">
      <formula>LEN(TRIM(A16))=0</formula>
    </cfRule>
  </conditionalFormatting>
  <conditionalFormatting sqref="BB16">
    <cfRule type="containsText" dxfId="31" priority="10" operator="containsText" text="Riesgo bajo">
      <formula>NOT(ISERROR(SEARCH("Riesgo bajo",BB16)))</formula>
    </cfRule>
    <cfRule type="containsText" dxfId="30" priority="11" operator="containsText" text="Cliente blindado">
      <formula>NOT(ISERROR(SEARCH("Cliente blindado",BB16)))</formula>
    </cfRule>
    <cfRule type="containsText" dxfId="29" priority="12" operator="containsText" text="Riesgo medio">
      <formula>NOT(ISERROR(SEARCH("Riesgo medio",BB16)))</formula>
    </cfRule>
    <cfRule type="containsText" dxfId="28" priority="13" operator="containsText" text="Demasiado riesgo">
      <formula>NOT(ISERROR(SEARCH("Demasiado riesgo",BB16)))</formula>
    </cfRule>
  </conditionalFormatting>
  <conditionalFormatting sqref="P16:T16">
    <cfRule type="expression" dxfId="27" priority="7">
      <formula>AND(P16&gt;O16, O16&gt;0)</formula>
    </cfRule>
  </conditionalFormatting>
  <conditionalFormatting sqref="P16:T16">
    <cfRule type="expression" dxfId="26" priority="5">
      <formula>AND(P16&lt;O16, O16&gt;0)</formula>
    </cfRule>
  </conditionalFormatting>
  <conditionalFormatting sqref="N16">
    <cfRule type="containsText" dxfId="25" priority="8" operator="containsText" text="Crítico">
      <formula>NOT(ISERROR(SEARCH("Crítico",N16)))</formula>
    </cfRule>
  </conditionalFormatting>
  <conditionalFormatting sqref="AJ16:AY16">
    <cfRule type="containsText" dxfId="24" priority="15" operator="containsText" text="OK">
      <formula>NOT(ISERROR(SEARCH("OK",AJ16)))</formula>
    </cfRule>
  </conditionalFormatting>
  <conditionalFormatting sqref="AJ16:AY16">
    <cfRule type="containsText" dxfId="23" priority="16" operator="containsText" text="OP">
      <formula>NOT(ISERROR(SEARCH("OP",AJ16)))</formula>
    </cfRule>
  </conditionalFormatting>
  <conditionalFormatting sqref="AJ16:AY16">
    <cfRule type="containsText" dxfId="22" priority="17" operator="containsText" text="NO">
      <formula>NOT(ISERROR(SEARCH("NO",AJ16)))</formula>
    </cfRule>
  </conditionalFormatting>
  <conditionalFormatting sqref="G16:R16 T16:AI16">
    <cfRule type="expression" dxfId="21" priority="9">
      <formula>ISODD(ROW())</formula>
    </cfRule>
  </conditionalFormatting>
  <conditionalFormatting sqref="G16:R16 T16:AI16">
    <cfRule type="expression" dxfId="20" priority="6">
      <formula>ISEVEN(ROW())</formula>
    </cfRule>
  </conditionalFormatting>
  <conditionalFormatting sqref="AJ16:AY16">
    <cfRule type="expression" dxfId="19" priority="4">
      <formula>AND(ISEVEN(ROW()),LEN(TRIM(AJ16))=0)</formula>
    </cfRule>
  </conditionalFormatting>
  <conditionalFormatting sqref="AJ16:AY16">
    <cfRule type="expression" dxfId="18" priority="3">
      <formula>AND(ISODD(ROW()),LEN(TRIM(AJ16))=0)</formula>
    </cfRule>
  </conditionalFormatting>
  <conditionalFormatting sqref="S16">
    <cfRule type="expression" dxfId="17" priority="1">
      <formula>ISEVEN(ROW())</formula>
    </cfRule>
    <cfRule type="expression" dxfId="16" priority="2">
      <formula>ISODD(ROW())</formula>
    </cfRule>
  </conditionalFormatting>
  <conditionalFormatting sqref="Q16">
    <cfRule type="expression" dxfId="15" priority="18">
      <formula>AND(Q16&lt;P16, P16&gt;0)</formula>
    </cfRule>
  </conditionalFormatting>
  <conditionalFormatting sqref="Q16">
    <cfRule type="expression" dxfId="14" priority="19">
      <formula>AND(Q16&gt;P16, P16&gt;0)</formula>
    </cfRule>
  </conditionalFormatting>
  <conditionalFormatting sqref="R16">
    <cfRule type="expression" dxfId="13" priority="20">
      <formula>AND(R16&lt;Q16, Q16&gt;0)</formula>
    </cfRule>
  </conditionalFormatting>
  <conditionalFormatting sqref="R16">
    <cfRule type="expression" dxfId="12" priority="21">
      <formula>AND(R16&gt;Q16, Q16&gt;0)</formula>
    </cfRule>
  </conditionalFormatting>
  <conditionalFormatting sqref="S16">
    <cfRule type="expression" dxfId="11" priority="22">
      <formula>AND(S16&lt;R16, R16&gt;0)</formula>
    </cfRule>
  </conditionalFormatting>
  <conditionalFormatting sqref="S16">
    <cfRule type="expression" dxfId="10" priority="23">
      <formula>AND(S16&gt;R16, R16&gt;0)</formula>
    </cfRule>
  </conditionalFormatting>
  <conditionalFormatting sqref="T16">
    <cfRule type="expression" dxfId="9" priority="24">
      <formula>AND(T16&lt;S16, S16&gt;0)</formula>
    </cfRule>
  </conditionalFormatting>
  <conditionalFormatting sqref="T16">
    <cfRule type="expression" dxfId="8" priority="25">
      <formula>AND(T16&gt;S16, S16&gt;0)</formula>
    </cfRule>
  </conditionalFormatting>
  <dataValidations count="3">
    <dataValidation type="list" allowBlank="1" showInputMessage="1" showErrorMessage="1" sqref="AZ3:AZ14 BB15 BC16" xr:uid="{8DC52599-E93A-42E0-9296-B0EA79AA6553}">
      <formula1>"Pedir referido,Usar como referencia,Ambos"</formula1>
    </dataValidation>
    <dataValidation allowBlank="1" showInputMessage="1" showErrorMessage="1" sqref="AA2:AA14 H15 H16:I16"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xm:sqref>
        </x14:dataValidation>
        <x14:dataValidation type="list" allowBlank="1" showInputMessage="1" showErrorMessage="1" xr:uid="{B602BD20-28F2-45E8-B25D-D0B48543DA1A}">
          <x14:formula1>
            <xm:f>'Info general'!$N$2:$N$7</xm:f>
          </x14:formula1>
          <xm:sqref>AC3:AC14 AE15 AF16</xm:sqref>
        </x14:dataValidation>
        <x14:dataValidation type="list" allowBlank="1" showInputMessage="1" showErrorMessage="1" xr:uid="{A7AB06E3-8520-4704-A75D-05C4C7FBE613}">
          <x14:formula1>
            <xm:f>'Info general'!$K$2:$K$6</xm:f>
          </x14:formula1>
          <xm:sqref>AB3:AB14 AD15 AE16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1970</v>
      </c>
      <c r="K1" t="s">
        <v>15</v>
      </c>
      <c r="L1" t="s">
        <v>16</v>
      </c>
    </row>
    <row r="2" spans="1:12" ht="25.5" customHeight="1">
      <c r="A2" s="31" t="s">
        <v>1971</v>
      </c>
      <c r="I2" s="37" t="s">
        <v>601</v>
      </c>
      <c r="J2" s="31" t="s">
        <v>68</v>
      </c>
      <c r="K2" s="33">
        <v>173.8526</v>
      </c>
      <c r="L2" s="33">
        <v>168.44040000000001</v>
      </c>
    </row>
    <row r="3" spans="1:12">
      <c r="A3" s="31" t="s">
        <v>1972</v>
      </c>
      <c r="B3" s="32"/>
      <c r="I3" s="37" t="s">
        <v>1297</v>
      </c>
      <c r="J3" s="31" t="s">
        <v>79</v>
      </c>
      <c r="K3" s="33">
        <v>2862.7723999999998</v>
      </c>
      <c r="L3" s="33">
        <v>2889.4423999999999</v>
      </c>
    </row>
    <row r="4" spans="1:12" ht="25.5" customHeight="1">
      <c r="A4" s="101" t="s">
        <v>287</v>
      </c>
      <c r="I4" s="38" t="s">
        <v>1286</v>
      </c>
      <c r="J4" s="31" t="s">
        <v>79</v>
      </c>
      <c r="K4" s="35">
        <v>2338</v>
      </c>
      <c r="L4" s="35">
        <v>2338</v>
      </c>
    </row>
    <row r="5" spans="1:12">
      <c r="A5" s="31" t="s">
        <v>1973</v>
      </c>
      <c r="I5" s="37" t="s">
        <v>457</v>
      </c>
      <c r="J5" s="31" t="s">
        <v>79</v>
      </c>
      <c r="K5" s="33"/>
      <c r="L5" s="33">
        <v>1585.5482999999999</v>
      </c>
    </row>
    <row r="6" spans="1:12">
      <c r="A6" s="34" t="s">
        <v>1974</v>
      </c>
      <c r="I6" s="38" t="s">
        <v>328</v>
      </c>
      <c r="J6" s="31" t="s">
        <v>79</v>
      </c>
      <c r="K6" s="35"/>
      <c r="L6" s="35">
        <v>1573.9508000000001</v>
      </c>
    </row>
    <row r="7" spans="1:12">
      <c r="A7" s="31" t="s">
        <v>1975</v>
      </c>
      <c r="I7" s="37" t="s">
        <v>1918</v>
      </c>
      <c r="J7" s="31" t="s">
        <v>79</v>
      </c>
      <c r="K7" s="33">
        <v>1388.5025000000001</v>
      </c>
      <c r="L7" s="33">
        <v>1179.6347000000001</v>
      </c>
    </row>
    <row r="8" spans="1:12" ht="25.5" customHeight="1">
      <c r="A8" s="34" t="s">
        <v>1976</v>
      </c>
      <c r="I8" s="37" t="s">
        <v>1977</v>
      </c>
      <c r="J8" s="31" t="s">
        <v>79</v>
      </c>
      <c r="K8" s="33">
        <v>1220.4450999999999</v>
      </c>
      <c r="L8" s="33">
        <v>1113.3631</v>
      </c>
    </row>
    <row r="9" spans="1:12">
      <c r="A9" s="31" t="s">
        <v>1978</v>
      </c>
      <c r="I9" s="38" t="s">
        <v>1979</v>
      </c>
      <c r="J9" s="31" t="s">
        <v>79</v>
      </c>
      <c r="K9" s="35"/>
      <c r="L9" s="35">
        <v>900.74170000000004</v>
      </c>
    </row>
    <row r="10" spans="1:12">
      <c r="A10" s="40" t="s">
        <v>1980</v>
      </c>
      <c r="I10" s="38" t="s">
        <v>1934</v>
      </c>
      <c r="J10" s="31" t="s">
        <v>79</v>
      </c>
      <c r="K10" s="35"/>
      <c r="L10" s="35">
        <v>834.63580000000002</v>
      </c>
    </row>
    <row r="11" spans="1:12" ht="38.25" customHeight="1">
      <c r="A11" s="41" t="s">
        <v>1981</v>
      </c>
      <c r="I11" s="37" t="s">
        <v>349</v>
      </c>
      <c r="J11" s="31" t="s">
        <v>79</v>
      </c>
      <c r="K11" s="33"/>
      <c r="L11" s="33">
        <v>770.07619999999997</v>
      </c>
    </row>
    <row r="12" spans="1:12" ht="25.5" customHeight="1">
      <c r="A12" t="s">
        <v>1982</v>
      </c>
      <c r="I12" s="38" t="s">
        <v>1983</v>
      </c>
      <c r="J12" s="31" t="s">
        <v>79</v>
      </c>
      <c r="K12" s="35">
        <v>782.33659999999998</v>
      </c>
      <c r="L12" s="35">
        <v>745.5557</v>
      </c>
    </row>
    <row r="13" spans="1:12" ht="25.5" customHeight="1">
      <c r="A13" s="59" t="s">
        <v>1984</v>
      </c>
      <c r="I13" s="38" t="s">
        <v>1185</v>
      </c>
      <c r="J13" s="31" t="s">
        <v>79</v>
      </c>
      <c r="K13" s="35">
        <v>707.00049999999999</v>
      </c>
      <c r="L13" s="35">
        <v>680.66470000000004</v>
      </c>
    </row>
    <row r="14" spans="1:12" ht="25.5" customHeight="1">
      <c r="A14" s="60" t="s">
        <v>1985</v>
      </c>
      <c r="I14" s="37" t="s">
        <v>1920</v>
      </c>
      <c r="J14" s="31" t="s">
        <v>79</v>
      </c>
      <c r="K14" s="33">
        <v>788.01580000000001</v>
      </c>
      <c r="L14" s="33">
        <v>644.27049999999997</v>
      </c>
    </row>
    <row r="15" spans="1:12">
      <c r="I15" s="38" t="s">
        <v>1986</v>
      </c>
      <c r="J15" s="31" t="s">
        <v>79</v>
      </c>
      <c r="K15" s="35">
        <v>525.14020000000005</v>
      </c>
      <c r="L15" s="35">
        <v>500.45119999999997</v>
      </c>
    </row>
    <row r="16" spans="1:12">
      <c r="I16" s="37" t="s">
        <v>1043</v>
      </c>
      <c r="J16" s="31" t="s">
        <v>68</v>
      </c>
      <c r="K16" s="33">
        <v>368.5675</v>
      </c>
      <c r="L16" s="33">
        <v>347.92599999999999</v>
      </c>
    </row>
    <row r="17" spans="9:12">
      <c r="I17" s="38" t="s">
        <v>1041</v>
      </c>
      <c r="J17" s="31" t="s">
        <v>68</v>
      </c>
      <c r="K17" s="35">
        <v>359.09249999999997</v>
      </c>
      <c r="L17" s="35">
        <v>342.21</v>
      </c>
    </row>
    <row r="18" spans="9:12">
      <c r="I18" s="37" t="s">
        <v>444</v>
      </c>
      <c r="J18" s="31" t="s">
        <v>68</v>
      </c>
      <c r="K18" s="33"/>
      <c r="L18" s="33">
        <v>323.07409999999999</v>
      </c>
    </row>
    <row r="19" spans="9:12">
      <c r="I19" s="37" t="s">
        <v>99</v>
      </c>
      <c r="J19" s="31" t="s">
        <v>68</v>
      </c>
      <c r="K19" s="33">
        <v>254.60249999999999</v>
      </c>
      <c r="L19" s="33">
        <v>308.39269999999999</v>
      </c>
    </row>
    <row r="20" spans="9:12">
      <c r="I20" s="37" t="s">
        <v>190</v>
      </c>
      <c r="J20" s="31" t="s">
        <v>68</v>
      </c>
      <c r="K20" s="33">
        <v>312.93459999999999</v>
      </c>
      <c r="L20" s="33">
        <v>305.67779999999999</v>
      </c>
    </row>
    <row r="21" spans="9:12" ht="25.5" customHeight="1">
      <c r="I21" s="38" t="s">
        <v>1039</v>
      </c>
      <c r="J21" s="31" t="s">
        <v>68</v>
      </c>
      <c r="K21" s="35"/>
      <c r="L21" s="35">
        <v>300.98349999999999</v>
      </c>
    </row>
    <row r="22" spans="9:12">
      <c r="I22" s="38" t="s">
        <v>1026</v>
      </c>
      <c r="J22" s="31" t="s">
        <v>68</v>
      </c>
      <c r="K22" s="35">
        <v>272.36900000000003</v>
      </c>
      <c r="L22" s="35">
        <v>270.60899999999998</v>
      </c>
    </row>
    <row r="23" spans="9:12">
      <c r="I23" s="38" t="s">
        <v>1073</v>
      </c>
      <c r="J23" s="31" t="s">
        <v>68</v>
      </c>
      <c r="K23" s="35">
        <v>141.9796</v>
      </c>
      <c r="L23" s="35">
        <v>267.84780000000001</v>
      </c>
    </row>
    <row r="24" spans="9:12">
      <c r="I24" s="38" t="s">
        <v>1020</v>
      </c>
      <c r="J24" s="31" t="s">
        <v>68</v>
      </c>
      <c r="K24" s="35">
        <v>238.7</v>
      </c>
      <c r="L24" s="35">
        <v>247.26</v>
      </c>
    </row>
    <row r="25" spans="9:12" ht="25.5" customHeight="1">
      <c r="I25" s="38" t="s">
        <v>1987</v>
      </c>
      <c r="J25" s="31" t="s">
        <v>68</v>
      </c>
      <c r="K25" s="35"/>
      <c r="L25" s="35">
        <v>246.0334</v>
      </c>
    </row>
    <row r="26" spans="9:12">
      <c r="I26" s="37" t="s">
        <v>987</v>
      </c>
      <c r="J26" s="31" t="s">
        <v>68</v>
      </c>
      <c r="K26" s="33"/>
      <c r="L26" s="33">
        <v>237.47329999999999</v>
      </c>
    </row>
    <row r="27" spans="9:12">
      <c r="I27" s="38" t="s">
        <v>1009</v>
      </c>
      <c r="J27" s="31" t="s">
        <v>68</v>
      </c>
      <c r="K27" s="35"/>
      <c r="L27" s="35">
        <v>215.3827</v>
      </c>
    </row>
    <row r="28" spans="9:12">
      <c r="I28" s="38" t="s">
        <v>1011</v>
      </c>
      <c r="J28" s="31" t="s">
        <v>68</v>
      </c>
      <c r="K28" s="35">
        <v>283.95920000000001</v>
      </c>
      <c r="L28" s="35">
        <v>204.33750000000001</v>
      </c>
    </row>
    <row r="29" spans="9:12">
      <c r="I29" s="37" t="s">
        <v>1938</v>
      </c>
      <c r="J29" s="31" t="s">
        <v>68</v>
      </c>
      <c r="K29" s="33"/>
      <c r="L29" s="33">
        <v>199.47749999999999</v>
      </c>
    </row>
    <row r="30" spans="9:12">
      <c r="I30" s="38" t="s">
        <v>997</v>
      </c>
      <c r="J30" s="31" t="s">
        <v>68</v>
      </c>
      <c r="K30" s="35">
        <v>195.87389999999999</v>
      </c>
      <c r="L30" s="35">
        <v>193.84440000000001</v>
      </c>
    </row>
    <row r="31" spans="9:12" ht="25.5" customHeight="1">
      <c r="I31" s="37" t="s">
        <v>1988</v>
      </c>
      <c r="J31" s="31" t="s">
        <v>68</v>
      </c>
      <c r="K31" s="33">
        <v>182.96420000000001</v>
      </c>
      <c r="L31" s="33">
        <v>182.37889999999999</v>
      </c>
    </row>
    <row r="32" spans="9:12">
      <c r="I32" s="37" t="s">
        <v>1989</v>
      </c>
      <c r="J32" s="31" t="s">
        <v>68</v>
      </c>
      <c r="K32" s="33"/>
      <c r="L32" s="33">
        <v>176.816</v>
      </c>
    </row>
    <row r="33" spans="9:12">
      <c r="I33" s="37" t="s">
        <v>989</v>
      </c>
      <c r="J33" s="31" t="s">
        <v>68</v>
      </c>
      <c r="K33" s="33"/>
      <c r="L33" s="33">
        <v>171.20169999999999</v>
      </c>
    </row>
    <row r="34" spans="9:12">
      <c r="I34" s="37" t="s">
        <v>985</v>
      </c>
      <c r="J34" s="31" t="s">
        <v>68</v>
      </c>
      <c r="K34" s="33">
        <v>175.8229</v>
      </c>
      <c r="L34" s="33">
        <v>169.821</v>
      </c>
    </row>
    <row r="35" spans="9:12" ht="25.5" customHeight="1">
      <c r="I35" s="38" t="s">
        <v>1990</v>
      </c>
      <c r="J35" s="31" t="s">
        <v>68</v>
      </c>
      <c r="K35" s="35">
        <v>81.131200000000007</v>
      </c>
      <c r="L35" s="35">
        <v>149.11109999999999</v>
      </c>
    </row>
    <row r="36" spans="9:12" ht="25.5" customHeight="1">
      <c r="I36" s="38" t="s">
        <v>958</v>
      </c>
      <c r="J36" s="31" t="s">
        <v>68</v>
      </c>
      <c r="K36" s="35"/>
      <c r="L36" s="35">
        <v>146.90209999999999</v>
      </c>
    </row>
    <row r="37" spans="9:12">
      <c r="I37" s="38" t="s">
        <v>966</v>
      </c>
      <c r="J37" s="31" t="s">
        <v>68</v>
      </c>
      <c r="K37" s="35">
        <v>142.9966</v>
      </c>
      <c r="L37" s="35">
        <v>144.28989999999999</v>
      </c>
    </row>
    <row r="38" spans="9:12">
      <c r="I38" s="37" t="s">
        <v>548</v>
      </c>
      <c r="J38" s="31" t="s">
        <v>68</v>
      </c>
      <c r="K38" s="33">
        <v>130.3895</v>
      </c>
      <c r="L38" s="33">
        <v>143.58850000000001</v>
      </c>
    </row>
    <row r="39" spans="9:12">
      <c r="I39" s="38" t="s">
        <v>962</v>
      </c>
      <c r="J39" s="31" t="s">
        <v>68</v>
      </c>
      <c r="K39" s="35">
        <v>148.00360000000001</v>
      </c>
      <c r="L39" s="35">
        <v>141.0453</v>
      </c>
    </row>
    <row r="40" spans="9:12">
      <c r="I40" s="37" t="s">
        <v>1077</v>
      </c>
      <c r="J40" s="31" t="s">
        <v>68</v>
      </c>
      <c r="K40" s="33">
        <v>144.87710000000001</v>
      </c>
      <c r="L40" s="33">
        <v>138.0659</v>
      </c>
    </row>
    <row r="41" spans="9:12">
      <c r="I41" s="37" t="s">
        <v>960</v>
      </c>
      <c r="J41" s="31" t="s">
        <v>68</v>
      </c>
      <c r="K41" s="33">
        <v>137.0538</v>
      </c>
      <c r="L41" s="33">
        <v>130.6103</v>
      </c>
    </row>
    <row r="42" spans="9:12">
      <c r="I42" s="38" t="s">
        <v>954</v>
      </c>
      <c r="J42" s="31" t="s">
        <v>68</v>
      </c>
      <c r="K42" s="35">
        <v>132.70740000000001</v>
      </c>
      <c r="L42" s="35">
        <v>129.78190000000001</v>
      </c>
    </row>
    <row r="43" spans="9:12" ht="25.5" customHeight="1">
      <c r="I43" s="37" t="s">
        <v>932</v>
      </c>
      <c r="J43" s="31" t="s">
        <v>68</v>
      </c>
      <c r="K43" s="33">
        <v>134.02119999999999</v>
      </c>
      <c r="L43" s="33">
        <v>119.67489999999999</v>
      </c>
    </row>
    <row r="44" spans="9:12">
      <c r="I44" s="37" t="s">
        <v>943</v>
      </c>
      <c r="J44" s="31" t="s">
        <v>68</v>
      </c>
      <c r="K44" s="33">
        <v>110.1066</v>
      </c>
      <c r="L44" s="33">
        <v>107.6914</v>
      </c>
    </row>
    <row r="45" spans="9:12">
      <c r="I45" s="38" t="s">
        <v>935</v>
      </c>
      <c r="J45" s="31" t="s">
        <v>68</v>
      </c>
      <c r="K45" s="35">
        <v>111.26560000000001</v>
      </c>
      <c r="L45" s="35">
        <v>102.5001</v>
      </c>
    </row>
    <row r="46" spans="9:12">
      <c r="I46" s="39" t="s">
        <v>920</v>
      </c>
      <c r="J46" s="31" t="s">
        <v>68</v>
      </c>
      <c r="K46" s="36">
        <v>108.65779999999999</v>
      </c>
      <c r="L46" s="36">
        <v>99.407399999999996</v>
      </c>
    </row>
    <row r="47" spans="9:12">
      <c r="I47" s="37" t="s">
        <v>908</v>
      </c>
      <c r="J47" s="31" t="s">
        <v>68</v>
      </c>
      <c r="K47" s="33"/>
      <c r="L47" s="33">
        <v>83.944000000000003</v>
      </c>
    </row>
    <row r="48" spans="9:12" ht="38.25" customHeight="1">
      <c r="I48" s="37" t="s">
        <v>1058</v>
      </c>
      <c r="J48" s="31" t="s">
        <v>68</v>
      </c>
      <c r="K48" s="33">
        <v>79.102900000000005</v>
      </c>
      <c r="L48" s="33">
        <v>75.384</v>
      </c>
    </row>
    <row r="49" spans="9:12" ht="25.5" customHeight="1">
      <c r="I49" s="37" t="s">
        <v>867</v>
      </c>
      <c r="J49" s="31" t="s">
        <v>68</v>
      </c>
      <c r="K49" s="33">
        <v>77.074600000000004</v>
      </c>
      <c r="L49" s="33">
        <v>75.384</v>
      </c>
    </row>
    <row r="50" spans="9:12">
      <c r="I50" s="38" t="s">
        <v>910</v>
      </c>
      <c r="J50" s="31" t="s">
        <v>68</v>
      </c>
      <c r="K50" s="35">
        <v>83.449200000000005</v>
      </c>
      <c r="L50" s="35">
        <v>75.107799999999997</v>
      </c>
    </row>
    <row r="51" spans="9:12">
      <c r="I51" s="37" t="s">
        <v>912</v>
      </c>
      <c r="J51" s="31" t="s">
        <v>68</v>
      </c>
      <c r="K51" s="33">
        <v>73.887299999999996</v>
      </c>
      <c r="L51" s="33">
        <v>74.555599999999998</v>
      </c>
    </row>
    <row r="52" spans="9:12">
      <c r="I52" s="37" t="s">
        <v>895</v>
      </c>
      <c r="J52" s="31" t="s">
        <v>68</v>
      </c>
      <c r="K52" s="33"/>
      <c r="L52" s="33">
        <v>71.794200000000004</v>
      </c>
    </row>
    <row r="53" spans="9:12">
      <c r="I53" s="37" t="s">
        <v>994</v>
      </c>
      <c r="J53" s="31" t="s">
        <v>68</v>
      </c>
      <c r="K53" s="33"/>
      <c r="L53" s="33">
        <v>70.413600000000002</v>
      </c>
    </row>
    <row r="54" spans="9:12">
      <c r="I54" s="38" t="s">
        <v>964</v>
      </c>
      <c r="J54" s="31" t="s">
        <v>68</v>
      </c>
      <c r="K54" s="35"/>
      <c r="L54" s="35">
        <v>69.8613</v>
      </c>
    </row>
    <row r="55" spans="9:12">
      <c r="I55" s="37" t="s">
        <v>884</v>
      </c>
      <c r="J55" s="31" t="s">
        <v>68</v>
      </c>
      <c r="K55" s="33">
        <v>79.682400000000001</v>
      </c>
      <c r="L55" s="33">
        <v>69.8613</v>
      </c>
    </row>
    <row r="56" spans="9:12">
      <c r="I56" s="37" t="s">
        <v>881</v>
      </c>
      <c r="J56" s="31" t="s">
        <v>68</v>
      </c>
      <c r="K56" s="33">
        <v>68.743600000000001</v>
      </c>
      <c r="L56" s="33">
        <v>67.000600000000006</v>
      </c>
    </row>
    <row r="57" spans="9:12" ht="25.5" customHeight="1">
      <c r="I57" s="37" t="s">
        <v>879</v>
      </c>
      <c r="J57" s="31" t="s">
        <v>68</v>
      </c>
      <c r="K57" s="33">
        <v>66.933199999999999</v>
      </c>
      <c r="L57" s="33">
        <v>66.823899999999995</v>
      </c>
    </row>
    <row r="58" spans="9:12" ht="25.5" customHeight="1">
      <c r="I58" s="38" t="s">
        <v>877</v>
      </c>
      <c r="J58" s="31" t="s">
        <v>68</v>
      </c>
      <c r="K58" s="35">
        <v>69.540999999999997</v>
      </c>
      <c r="L58" s="35">
        <v>66.271600000000007</v>
      </c>
    </row>
    <row r="59" spans="9:12" ht="25.5" customHeight="1">
      <c r="I59" s="38" t="s">
        <v>861</v>
      </c>
      <c r="J59" s="31" t="s">
        <v>68</v>
      </c>
      <c r="K59" s="35">
        <v>65.484499999999997</v>
      </c>
      <c r="L59" s="35">
        <v>62.405700000000003</v>
      </c>
    </row>
    <row r="60" spans="9:12" ht="25.5" customHeight="1">
      <c r="I60" s="37" t="s">
        <v>860</v>
      </c>
      <c r="J60" s="31" t="s">
        <v>68</v>
      </c>
      <c r="K60" s="33">
        <v>60.848399999999998</v>
      </c>
      <c r="L60" s="33">
        <v>57.987699999999997</v>
      </c>
    </row>
    <row r="61" spans="9:12">
      <c r="I61" s="38" t="s">
        <v>1047</v>
      </c>
      <c r="J61" s="31" t="s">
        <v>68</v>
      </c>
      <c r="K61" s="35"/>
      <c r="L61" s="35">
        <v>57.987699999999997</v>
      </c>
    </row>
    <row r="62" spans="9:12" ht="25.5" customHeight="1">
      <c r="I62" s="38" t="s">
        <v>801</v>
      </c>
      <c r="J62" s="31" t="s">
        <v>68</v>
      </c>
      <c r="K62" s="35">
        <v>58.672899999999998</v>
      </c>
      <c r="L62" s="35">
        <v>55.914499999999997</v>
      </c>
    </row>
    <row r="63" spans="9:12" ht="25.5" customHeight="1">
      <c r="I63" s="38" t="s">
        <v>850</v>
      </c>
      <c r="J63" s="31" t="s">
        <v>68</v>
      </c>
      <c r="K63" s="35">
        <v>57.950899999999997</v>
      </c>
      <c r="L63" s="35">
        <v>55.226300000000002</v>
      </c>
    </row>
    <row r="64" spans="9:12">
      <c r="I64" s="37" t="s">
        <v>848</v>
      </c>
      <c r="J64" s="31" t="s">
        <v>68</v>
      </c>
      <c r="K64" s="33">
        <v>57.950899999999997</v>
      </c>
      <c r="L64" s="33">
        <v>55.226300000000002</v>
      </c>
    </row>
    <row r="65" spans="9:12">
      <c r="I65" s="38" t="s">
        <v>1081</v>
      </c>
      <c r="J65" s="31" t="s">
        <v>68</v>
      </c>
      <c r="K65" s="35">
        <v>56.502099999999999</v>
      </c>
      <c r="L65" s="35">
        <v>53.845700000000001</v>
      </c>
    </row>
    <row r="66" spans="9:12" ht="25.5" customHeight="1">
      <c r="I66" s="37" t="s">
        <v>806</v>
      </c>
      <c r="J66" s="31" t="s">
        <v>68</v>
      </c>
      <c r="K66" s="33">
        <v>54.241999999999997</v>
      </c>
      <c r="L66" s="33">
        <v>51.691899999999997</v>
      </c>
    </row>
    <row r="67" spans="9:12">
      <c r="I67" s="37" t="s">
        <v>780</v>
      </c>
      <c r="J67" s="31" t="s">
        <v>68</v>
      </c>
      <c r="K67" s="33"/>
      <c r="L67" s="33">
        <v>50.256</v>
      </c>
    </row>
    <row r="68" spans="9:12" ht="25.5" customHeight="1">
      <c r="I68" s="37" t="s">
        <v>799</v>
      </c>
      <c r="J68" s="31" t="s">
        <v>68</v>
      </c>
      <c r="K68" s="33">
        <v>57.255499999999998</v>
      </c>
      <c r="L68" s="33">
        <v>46.169199999999996</v>
      </c>
    </row>
    <row r="69" spans="9:12" ht="25.5" customHeight="1">
      <c r="I69" s="37" t="s">
        <v>778</v>
      </c>
      <c r="J69" s="31" t="s">
        <v>68</v>
      </c>
      <c r="K69" s="33">
        <v>85.477500000000006</v>
      </c>
      <c r="L69" s="33">
        <v>44.181100000000001</v>
      </c>
    </row>
    <row r="70" spans="9:12">
      <c r="I70" s="38" t="s">
        <v>785</v>
      </c>
      <c r="J70" s="31" t="s">
        <v>68</v>
      </c>
      <c r="K70" s="35">
        <v>46.360700000000001</v>
      </c>
      <c r="L70" s="35">
        <v>44.181100000000001</v>
      </c>
    </row>
    <row r="71" spans="9:12">
      <c r="I71" s="37" t="s">
        <v>98</v>
      </c>
      <c r="J71" s="31" t="s">
        <v>68</v>
      </c>
      <c r="K71" s="33">
        <v>42.830300000000001</v>
      </c>
      <c r="L71" s="33">
        <v>40.816699999999997</v>
      </c>
    </row>
    <row r="72" spans="9:12">
      <c r="I72" s="38" t="s">
        <v>844</v>
      </c>
      <c r="J72" s="31" t="s">
        <v>68</v>
      </c>
      <c r="K72" s="35">
        <v>44.673699999999997</v>
      </c>
      <c r="L72" s="35">
        <v>39.891599999999997</v>
      </c>
    </row>
    <row r="73" spans="9:12" ht="25.5" customHeight="1">
      <c r="I73" s="37" t="s">
        <v>774</v>
      </c>
      <c r="J73" s="31" t="s">
        <v>68</v>
      </c>
      <c r="K73" s="33"/>
      <c r="L73" s="33">
        <v>34.7926</v>
      </c>
    </row>
    <row r="74" spans="9:12">
      <c r="I74" s="38" t="s">
        <v>771</v>
      </c>
      <c r="J74" s="31" t="s">
        <v>68</v>
      </c>
      <c r="K74" s="35">
        <v>4.0566000000000004</v>
      </c>
      <c r="L74" s="35">
        <v>30.9268</v>
      </c>
    </row>
    <row r="75" spans="9:12">
      <c r="I75" s="37" t="s">
        <v>1091</v>
      </c>
      <c r="J75" s="31" t="s">
        <v>68</v>
      </c>
      <c r="K75" s="33">
        <v>26.367599999999999</v>
      </c>
      <c r="L75" s="33">
        <v>28.717700000000001</v>
      </c>
    </row>
    <row r="76" spans="9:12">
      <c r="I76" s="38" t="s">
        <v>1037</v>
      </c>
      <c r="J76" s="31" t="s">
        <v>68</v>
      </c>
      <c r="K76" s="35"/>
      <c r="L76" s="35">
        <v>24.299600000000002</v>
      </c>
    </row>
    <row r="77" spans="9:12" ht="25.5" customHeight="1">
      <c r="I77" s="38" t="s">
        <v>756</v>
      </c>
      <c r="J77" s="31" t="s">
        <v>68</v>
      </c>
      <c r="K77" s="35">
        <v>21.094100000000001</v>
      </c>
      <c r="L77" s="35">
        <v>20.102399999999999</v>
      </c>
    </row>
    <row r="78" spans="9:12">
      <c r="I78" s="38" t="s">
        <v>769</v>
      </c>
      <c r="J78" s="31" t="s">
        <v>68</v>
      </c>
      <c r="K78" s="35">
        <v>17.385300000000001</v>
      </c>
      <c r="L78" s="35">
        <v>16.567900000000002</v>
      </c>
    </row>
    <row r="79" spans="9:12">
      <c r="I79" s="38" t="s">
        <v>750</v>
      </c>
      <c r="J79" s="31" t="s">
        <v>68</v>
      </c>
      <c r="K79" s="35">
        <v>17.385300000000001</v>
      </c>
      <c r="L79" s="35">
        <v>16.567900000000002</v>
      </c>
    </row>
    <row r="80" spans="9:12">
      <c r="I80" s="38" t="s">
        <v>743</v>
      </c>
      <c r="J80" s="31" t="s">
        <v>68</v>
      </c>
      <c r="K80" s="35">
        <v>10.9527</v>
      </c>
      <c r="L80" s="35">
        <v>10.437799999999999</v>
      </c>
    </row>
    <row r="81" spans="9:12" ht="25.5" customHeight="1">
      <c r="I81" s="38" t="s">
        <v>741</v>
      </c>
      <c r="J81" s="31" t="s">
        <v>68</v>
      </c>
      <c r="K81" s="35">
        <v>9.3879999999999999</v>
      </c>
      <c r="L81" s="35">
        <v>8.9466999999999999</v>
      </c>
    </row>
    <row r="82" spans="9:12" ht="25.5" customHeight="1">
      <c r="I82" s="37" t="s">
        <v>732</v>
      </c>
      <c r="J82" s="31" t="s">
        <v>68</v>
      </c>
      <c r="K82" s="33"/>
      <c r="L82" s="33">
        <v>7.4555999999999996</v>
      </c>
    </row>
    <row r="83" spans="9:12">
      <c r="I83" s="37" t="s">
        <v>738</v>
      </c>
      <c r="J83" s="31" t="s">
        <v>68</v>
      </c>
      <c r="K83" s="33">
        <v>7.8234000000000004</v>
      </c>
      <c r="L83" s="33">
        <v>7.4555999999999996</v>
      </c>
    </row>
    <row r="84" spans="9:12" ht="25.5" customHeight="1">
      <c r="I84" s="38" t="s">
        <v>734</v>
      </c>
      <c r="J84" s="31" t="s">
        <v>68</v>
      </c>
      <c r="K84" s="35">
        <v>6.2587000000000002</v>
      </c>
      <c r="L84" s="35">
        <v>5.9644000000000004</v>
      </c>
    </row>
    <row r="85" spans="9:12" ht="25.5" customHeight="1">
      <c r="I85" s="38" t="s">
        <v>736</v>
      </c>
      <c r="J85" s="31" t="s">
        <v>68</v>
      </c>
      <c r="K85" s="35">
        <v>6.2587000000000002</v>
      </c>
      <c r="L85" s="35">
        <v>5.9644000000000004</v>
      </c>
    </row>
    <row r="86" spans="9:12" ht="25.5" customHeight="1">
      <c r="I86" s="38" t="s">
        <v>730</v>
      </c>
      <c r="J86" s="31" t="s">
        <v>68</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525" t="s">
        <v>1991</v>
      </c>
      <c r="C2" s="674"/>
      <c r="D2" s="526" t="s">
        <v>1992</v>
      </c>
      <c r="E2" s="675"/>
      <c r="F2" s="13" t="s">
        <v>1993</v>
      </c>
    </row>
    <row r="3" spans="2:7">
      <c r="B3" s="4" t="s">
        <v>1994</v>
      </c>
      <c r="C3" s="73" t="s">
        <v>1995</v>
      </c>
      <c r="D3" s="9" t="s">
        <v>1996</v>
      </c>
      <c r="E3" s="27" t="s">
        <v>1997</v>
      </c>
      <c r="F3" s="102" t="s">
        <v>1998</v>
      </c>
    </row>
    <row r="4" spans="2:7">
      <c r="B4" s="4" t="s">
        <v>1999</v>
      </c>
      <c r="C4" s="73" t="s">
        <v>2000</v>
      </c>
      <c r="D4" s="4" t="s">
        <v>2001</v>
      </c>
      <c r="E4" s="29" t="s">
        <v>2002</v>
      </c>
      <c r="F4" s="102" t="s">
        <v>2003</v>
      </c>
    </row>
    <row r="5" spans="2:7">
      <c r="B5" s="4" t="s">
        <v>2004</v>
      </c>
      <c r="C5" s="73" t="s">
        <v>2005</v>
      </c>
      <c r="D5" s="4" t="s">
        <v>2006</v>
      </c>
      <c r="E5" s="5" t="s">
        <v>2007</v>
      </c>
      <c r="F5" s="102" t="s">
        <v>2008</v>
      </c>
    </row>
    <row r="6" spans="2:7">
      <c r="B6" s="4" t="s">
        <v>2009</v>
      </c>
      <c r="C6" s="73" t="s">
        <v>2010</v>
      </c>
      <c r="D6" s="4" t="s">
        <v>2011</v>
      </c>
      <c r="E6" s="30" t="s">
        <v>2012</v>
      </c>
      <c r="F6" s="102" t="s">
        <v>2013</v>
      </c>
    </row>
    <row r="7" spans="2:7" ht="14.85" customHeight="1" thickBot="1">
      <c r="B7" s="6" t="s">
        <v>2014</v>
      </c>
      <c r="C7" s="8" t="s">
        <v>2015</v>
      </c>
      <c r="D7" s="6" t="s">
        <v>2016</v>
      </c>
      <c r="E7" s="28" t="s">
        <v>2017</v>
      </c>
      <c r="F7" s="7" t="s">
        <v>2018</v>
      </c>
      <c r="G7" t="s">
        <v>2019</v>
      </c>
    </row>
    <row r="9" spans="2:7" ht="14.85" customHeight="1" thickBot="1"/>
    <row r="10" spans="2:7" ht="14.85" customHeight="1" thickBot="1">
      <c r="B10" s="12" t="s">
        <v>2020</v>
      </c>
      <c r="C10" s="23" t="s">
        <v>2004</v>
      </c>
    </row>
    <row r="11" spans="2:7">
      <c r="B11" s="10" t="s">
        <v>2021</v>
      </c>
      <c r="C11" s="24" t="s">
        <v>1108</v>
      </c>
      <c r="E11" t="s">
        <v>2022</v>
      </c>
    </row>
    <row r="12" spans="2:7">
      <c r="B12" s="10" t="s">
        <v>2023</v>
      </c>
      <c r="C12" s="24" t="s">
        <v>1114</v>
      </c>
      <c r="E12" t="s">
        <v>2024</v>
      </c>
      <c r="F12" t="s">
        <v>2025</v>
      </c>
      <c r="G12" t="s">
        <v>2026</v>
      </c>
    </row>
    <row r="13" spans="2:7">
      <c r="B13" s="10" t="s">
        <v>2027</v>
      </c>
      <c r="C13" s="24" t="s">
        <v>1164</v>
      </c>
      <c r="E13" t="s">
        <v>2028</v>
      </c>
      <c r="F13" t="s">
        <v>2029</v>
      </c>
      <c r="G13" t="s">
        <v>2030</v>
      </c>
    </row>
    <row r="14" spans="2:7">
      <c r="B14" s="10" t="s">
        <v>2031</v>
      </c>
      <c r="C14" s="24" t="s">
        <v>1101</v>
      </c>
    </row>
    <row r="15" spans="2:7" ht="14.85" customHeight="1" thickBot="1">
      <c r="B15" s="11" t="s">
        <v>2032</v>
      </c>
      <c r="C15" s="25" t="s">
        <v>1175</v>
      </c>
    </row>
    <row r="16" spans="2:7">
      <c r="C16" t="s">
        <v>2033</v>
      </c>
    </row>
    <row r="27" spans="4:5">
      <c r="D27" t="s">
        <v>2034</v>
      </c>
    </row>
    <row r="28" spans="4:5">
      <c r="D28" t="s">
        <v>2035</v>
      </c>
    </row>
    <row r="29" spans="4:5">
      <c r="D29" t="s">
        <v>2036</v>
      </c>
      <c r="E29" t="s">
        <v>2037</v>
      </c>
    </row>
    <row r="30" spans="4:5">
      <c r="D30" t="s">
        <v>2038</v>
      </c>
    </row>
    <row r="31" spans="4:5">
      <c r="D31" t="s">
        <v>2039</v>
      </c>
    </row>
    <row r="32" spans="4:5">
      <c r="D32" t="s">
        <v>2040</v>
      </c>
      <c r="E32" t="s">
        <v>2041</v>
      </c>
    </row>
    <row r="33" spans="4:4">
      <c r="D33" t="s">
        <v>2042</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2043</v>
      </c>
      <c r="B1" s="3" t="s">
        <v>30</v>
      </c>
      <c r="C1" s="3" t="s">
        <v>2044</v>
      </c>
      <c r="D1" s="2" t="s">
        <v>2045</v>
      </c>
    </row>
    <row r="2" spans="1:4">
      <c r="A2" s="75" t="s">
        <v>2046</v>
      </c>
      <c r="B2" s="74" t="s">
        <v>2047</v>
      </c>
      <c r="C2" s="103">
        <v>45689</v>
      </c>
      <c r="D2" s="73" t="s">
        <v>2048</v>
      </c>
    </row>
    <row r="3" spans="1:4">
      <c r="A3" s="75" t="s">
        <v>2049</v>
      </c>
      <c r="B3" s="74" t="s">
        <v>2050</v>
      </c>
      <c r="C3" s="103">
        <v>45748</v>
      </c>
      <c r="D3" s="73" t="s">
        <v>2048</v>
      </c>
    </row>
    <row r="4" spans="1:4">
      <c r="A4" s="75" t="s">
        <v>2051</v>
      </c>
      <c r="B4" s="74" t="s">
        <v>2050</v>
      </c>
      <c r="C4" s="103">
        <v>45748</v>
      </c>
      <c r="D4" s="73" t="s">
        <v>2052</v>
      </c>
    </row>
    <row r="5" spans="1:4">
      <c r="A5" s="75" t="s">
        <v>2053</v>
      </c>
      <c r="B5" s="74" t="s">
        <v>2050</v>
      </c>
      <c r="C5" s="103">
        <v>45717</v>
      </c>
      <c r="D5" s="73" t="s">
        <v>2048</v>
      </c>
    </row>
    <row r="6" spans="1:4">
      <c r="A6" s="75" t="s">
        <v>2054</v>
      </c>
      <c r="B6" s="74" t="s">
        <v>2047</v>
      </c>
      <c r="C6" s="103">
        <v>45748</v>
      </c>
      <c r="D6" s="73" t="s">
        <v>2048</v>
      </c>
    </row>
    <row r="7" spans="1:4">
      <c r="A7" s="75" t="s">
        <v>2055</v>
      </c>
      <c r="B7" s="74" t="s">
        <v>2047</v>
      </c>
      <c r="C7" s="103">
        <v>45689</v>
      </c>
      <c r="D7" s="73" t="s">
        <v>11</v>
      </c>
    </row>
    <row r="8" spans="1:4">
      <c r="A8" s="75" t="s">
        <v>2056</v>
      </c>
      <c r="B8" s="74" t="s">
        <v>1303</v>
      </c>
      <c r="C8" s="103">
        <v>45748</v>
      </c>
      <c r="D8" s="73" t="s">
        <v>2048</v>
      </c>
    </row>
    <row r="9" spans="1:4">
      <c r="A9" s="75" t="s">
        <v>2057</v>
      </c>
      <c r="B9" s="74" t="s">
        <v>1303</v>
      </c>
      <c r="C9" s="103">
        <v>45658</v>
      </c>
      <c r="D9" s="73" t="s">
        <v>11</v>
      </c>
    </row>
    <row r="10" spans="1:4">
      <c r="A10" s="75" t="s">
        <v>2058</v>
      </c>
      <c r="B10" s="74" t="s">
        <v>2059</v>
      </c>
      <c r="C10" s="103">
        <v>45689</v>
      </c>
      <c r="D10" s="73" t="s">
        <v>11</v>
      </c>
    </row>
    <row r="11" spans="1:4">
      <c r="A11" s="75" t="s">
        <v>2060</v>
      </c>
      <c r="B11" s="74" t="s">
        <v>1289</v>
      </c>
      <c r="C11" s="103">
        <v>45658</v>
      </c>
      <c r="D11" s="73" t="s">
        <v>11</v>
      </c>
    </row>
    <row r="12" spans="1:4">
      <c r="A12" s="87" t="s">
        <v>2061</v>
      </c>
      <c r="B12" s="85" t="s">
        <v>1303</v>
      </c>
      <c r="C12" s="103">
        <v>45658</v>
      </c>
      <c r="D12" s="86" t="s">
        <v>11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2062</v>
      </c>
      <c r="D2" s="16"/>
      <c r="E2" t="s">
        <v>111</v>
      </c>
      <c r="G2" t="s">
        <v>92</v>
      </c>
      <c r="K2" t="s">
        <v>1108</v>
      </c>
      <c r="N2" t="s">
        <v>1289</v>
      </c>
    </row>
    <row r="3" spans="3:14">
      <c r="C3" t="s">
        <v>2063</v>
      </c>
      <c r="D3" s="14"/>
      <c r="G3" t="s">
        <v>97</v>
      </c>
      <c r="K3" t="s">
        <v>1114</v>
      </c>
      <c r="N3" t="s">
        <v>1303</v>
      </c>
    </row>
    <row r="4" spans="3:14">
      <c r="C4" t="s">
        <v>2064</v>
      </c>
      <c r="D4" s="26"/>
      <c r="E4" t="s">
        <v>171</v>
      </c>
      <c r="G4" t="s">
        <v>1432</v>
      </c>
      <c r="K4" t="s">
        <v>1164</v>
      </c>
      <c r="N4" t="s">
        <v>2065</v>
      </c>
    </row>
    <row r="5" spans="3:14">
      <c r="G5" t="s">
        <v>84</v>
      </c>
      <c r="K5" t="s">
        <v>1101</v>
      </c>
      <c r="N5" t="s">
        <v>2059</v>
      </c>
    </row>
    <row r="6" spans="3:14">
      <c r="G6" t="s">
        <v>137</v>
      </c>
      <c r="K6" t="s">
        <v>1175</v>
      </c>
      <c r="N6" t="s">
        <v>2047</v>
      </c>
    </row>
    <row r="7" spans="3:14">
      <c r="G7" t="s">
        <v>2066</v>
      </c>
      <c r="N7" t="s">
        <v>2067</v>
      </c>
    </row>
    <row r="12" spans="3:14">
      <c r="C12" s="67"/>
      <c r="D12" s="67"/>
      <c r="E12" s="67"/>
      <c r="F12" s="67"/>
      <c r="G12" s="67"/>
      <c r="H12" s="67"/>
      <c r="I12" s="67"/>
      <c r="J12" s="67"/>
      <c r="K12" s="67"/>
      <c r="L12" s="67"/>
      <c r="M12" s="67"/>
      <c r="N12" s="67"/>
    </row>
    <row r="14" spans="3:14">
      <c r="C14" t="s">
        <v>2068</v>
      </c>
      <c r="D14" t="s">
        <v>2069</v>
      </c>
      <c r="E14" t="s">
        <v>2070</v>
      </c>
      <c r="F14" t="s">
        <v>2071</v>
      </c>
    </row>
    <row r="15" spans="3:14">
      <c r="C15" t="s">
        <v>2072</v>
      </c>
      <c r="D15" s="14" t="s">
        <v>2073</v>
      </c>
      <c r="E15" t="s">
        <v>2074</v>
      </c>
      <c r="F15" t="s">
        <v>2075</v>
      </c>
    </row>
    <row r="16" spans="3:14">
      <c r="C16" t="s">
        <v>2076</v>
      </c>
      <c r="D16" s="15" t="s">
        <v>2077</v>
      </c>
      <c r="E16" t="s">
        <v>2078</v>
      </c>
      <c r="F16" t="s">
        <v>2079</v>
      </c>
    </row>
    <row r="17" spans="3:6">
      <c r="C17" t="s">
        <v>2080</v>
      </c>
      <c r="D17" s="64" t="s">
        <v>2081</v>
      </c>
      <c r="E17" t="s">
        <v>2082</v>
      </c>
      <c r="F17" t="s">
        <v>2083</v>
      </c>
    </row>
    <row r="18" spans="3:6">
      <c r="C18" t="s">
        <v>2084</v>
      </c>
      <c r="D18" s="65" t="s">
        <v>2085</v>
      </c>
      <c r="E18" t="s">
        <v>2086</v>
      </c>
      <c r="F18" t="s">
        <v>2087</v>
      </c>
    </row>
    <row r="23" spans="3:6">
      <c r="C23" s="55" t="s">
        <v>2088</v>
      </c>
    </row>
    <row r="24" spans="3:6">
      <c r="C24" s="66"/>
    </row>
    <row r="25" spans="3:6">
      <c r="C25" s="68" t="s">
        <v>2089</v>
      </c>
    </row>
    <row r="26" spans="3:6">
      <c r="C26" s="66"/>
    </row>
    <row r="27" spans="3:6">
      <c r="C27" s="68" t="s">
        <v>2090</v>
      </c>
    </row>
    <row r="28" spans="3:6">
      <c r="C28" s="66"/>
    </row>
    <row r="29" spans="3:6">
      <c r="C29" s="68" t="s">
        <v>2091</v>
      </c>
    </row>
    <row r="31" spans="3:6">
      <c r="C31" s="55" t="s">
        <v>2092</v>
      </c>
    </row>
    <row r="33" spans="3:3">
      <c r="C33" s="68" t="s">
        <v>2093</v>
      </c>
    </row>
    <row r="34" spans="3:3">
      <c r="C34" s="66"/>
    </row>
    <row r="35" spans="3:3">
      <c r="C35" s="68" t="s">
        <v>2094</v>
      </c>
    </row>
    <row r="36" spans="3:3">
      <c r="C36" s="66"/>
    </row>
    <row r="37" spans="3:3">
      <c r="C37" s="68" t="s">
        <v>2095</v>
      </c>
    </row>
    <row r="39" spans="3:3">
      <c r="C39" s="55" t="s">
        <v>2096</v>
      </c>
    </row>
    <row r="40" spans="3:3">
      <c r="C40" s="66"/>
    </row>
    <row r="41" spans="3:3">
      <c r="C41" s="68" t="s">
        <v>2097</v>
      </c>
    </row>
    <row r="42" spans="3:3">
      <c r="C42" s="66"/>
    </row>
    <row r="43" spans="3:3">
      <c r="C43" s="68" t="s">
        <v>2098</v>
      </c>
    </row>
    <row r="44" spans="3:3">
      <c r="C44" s="66"/>
    </row>
    <row r="45" spans="3:3">
      <c r="C45" s="68" t="s">
        <v>2099</v>
      </c>
    </row>
    <row r="47" spans="3:3">
      <c r="C47" t="s">
        <v>2100</v>
      </c>
    </row>
    <row r="49" spans="3:3">
      <c r="C49" t="s">
        <v>2101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1417</v>
      </c>
      <c r="H3" t="s">
        <v>1418</v>
      </c>
      <c r="P3" t="s">
        <v>1419</v>
      </c>
    </row>
    <row r="4" spans="2:26">
      <c r="B4" t="s">
        <v>1423</v>
      </c>
      <c r="C4" t="s">
        <v>79</v>
      </c>
      <c r="D4" t="s">
        <v>1424</v>
      </c>
      <c r="E4" t="s">
        <v>68</v>
      </c>
      <c r="F4" t="s">
        <v>1425</v>
      </c>
      <c r="H4" t="s">
        <v>1423</v>
      </c>
      <c r="I4" t="s">
        <v>69</v>
      </c>
      <c r="J4" t="s">
        <v>445</v>
      </c>
      <c r="K4" t="s">
        <v>442</v>
      </c>
      <c r="L4" t="s">
        <v>461</v>
      </c>
      <c r="M4" t="s">
        <v>1426</v>
      </c>
      <c r="N4" t="s">
        <v>1385</v>
      </c>
      <c r="P4" t="s">
        <v>1423</v>
      </c>
      <c r="Q4" t="s">
        <v>69</v>
      </c>
      <c r="R4" t="s">
        <v>445</v>
      </c>
      <c r="S4" t="s">
        <v>442</v>
      </c>
      <c r="T4" t="s">
        <v>461</v>
      </c>
      <c r="U4" t="s">
        <v>1385</v>
      </c>
      <c r="X4" t="s">
        <v>1430</v>
      </c>
      <c r="Y4" t="s">
        <v>79</v>
      </c>
      <c r="Z4" t="s">
        <v>68</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34</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35</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36</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1433</v>
      </c>
      <c r="Y8">
        <v>3</v>
      </c>
      <c r="Z8">
        <v>0</v>
      </c>
    </row>
    <row r="9" spans="2:26">
      <c r="B9">
        <v>4</v>
      </c>
      <c r="C9">
        <v>0</v>
      </c>
      <c r="D9">
        <v>0</v>
      </c>
      <c r="E9">
        <v>0</v>
      </c>
      <c r="F9">
        <v>0</v>
      </c>
      <c r="H9">
        <v>4</v>
      </c>
      <c r="I9">
        <v>0</v>
      </c>
      <c r="J9">
        <v>0</v>
      </c>
      <c r="K9">
        <v>0</v>
      </c>
      <c r="L9">
        <v>0</v>
      </c>
      <c r="M9">
        <v>0</v>
      </c>
      <c r="N9">
        <v>0</v>
      </c>
      <c r="P9">
        <v>4</v>
      </c>
      <c r="Q9">
        <v>0</v>
      </c>
      <c r="R9">
        <v>0</v>
      </c>
      <c r="S9">
        <v>0</v>
      </c>
      <c r="T9">
        <v>0</v>
      </c>
      <c r="U9">
        <v>0</v>
      </c>
      <c r="X9" t="s">
        <v>38</v>
      </c>
      <c r="Y9">
        <v>8</v>
      </c>
      <c r="Z9">
        <v>2</v>
      </c>
    </row>
    <row r="10" spans="2:26">
      <c r="B10" s="55" t="s">
        <v>1385</v>
      </c>
      <c r="C10" s="55">
        <v>124</v>
      </c>
      <c r="D10" s="55"/>
      <c r="E10" s="55">
        <v>325</v>
      </c>
      <c r="F10" s="55"/>
      <c r="G10" s="55"/>
      <c r="H10" s="55" t="s">
        <v>1385</v>
      </c>
      <c r="I10" s="55">
        <v>45</v>
      </c>
      <c r="J10" s="55">
        <v>5</v>
      </c>
      <c r="K10" s="55">
        <v>66</v>
      </c>
      <c r="L10" s="55">
        <v>2</v>
      </c>
      <c r="M10" s="55">
        <v>5</v>
      </c>
      <c r="N10" s="55">
        <v>123</v>
      </c>
      <c r="O10" s="55"/>
      <c r="P10" s="55" t="s">
        <v>1385</v>
      </c>
      <c r="Q10" s="55">
        <v>52</v>
      </c>
      <c r="R10" s="55">
        <v>81</v>
      </c>
      <c r="S10" s="55">
        <v>9</v>
      </c>
      <c r="T10" s="55">
        <v>183</v>
      </c>
      <c r="U10" s="55">
        <v>325</v>
      </c>
      <c r="X10" t="s">
        <v>39</v>
      </c>
      <c r="Y10">
        <v>4</v>
      </c>
      <c r="Z10">
        <v>0</v>
      </c>
    </row>
    <row r="11" spans="2:26">
      <c r="X11" t="s">
        <v>40</v>
      </c>
      <c r="Y11">
        <v>11</v>
      </c>
      <c r="Z11">
        <v>2</v>
      </c>
    </row>
    <row r="12" spans="2:26">
      <c r="H12" t="s">
        <v>1436</v>
      </c>
      <c r="I12">
        <v>0.22222222222222221</v>
      </c>
      <c r="J12">
        <v>0</v>
      </c>
      <c r="K12">
        <v>0.36363636363636365</v>
      </c>
      <c r="L12">
        <v>0</v>
      </c>
      <c r="M12">
        <v>0</v>
      </c>
      <c r="P12" t="s">
        <v>1436</v>
      </c>
      <c r="Q12">
        <v>9.6153846153846159E-2</v>
      </c>
      <c r="R12">
        <v>3.7037037037037035E-2</v>
      </c>
      <c r="S12">
        <v>0.33333333333333331</v>
      </c>
      <c r="T12">
        <v>2.185792349726776E-2</v>
      </c>
      <c r="U12">
        <v>4.6153846153846156E-2</v>
      </c>
      <c r="X12" t="s">
        <v>41</v>
      </c>
      <c r="Y12">
        <v>9</v>
      </c>
      <c r="Z12">
        <v>3</v>
      </c>
    </row>
    <row r="13" spans="2:26">
      <c r="X13" t="s">
        <v>42</v>
      </c>
      <c r="Y13">
        <v>0</v>
      </c>
      <c r="Z13">
        <v>0</v>
      </c>
    </row>
    <row r="14" spans="2:26">
      <c r="X14" t="s">
        <v>43</v>
      </c>
      <c r="Y14">
        <v>0</v>
      </c>
      <c r="Z14">
        <v>0</v>
      </c>
    </row>
    <row r="15" spans="2:26">
      <c r="X15" t="s">
        <v>44</v>
      </c>
      <c r="Y15">
        <v>0</v>
      </c>
      <c r="Z15">
        <v>0</v>
      </c>
    </row>
    <row r="16" spans="2:26">
      <c r="X16" t="s">
        <v>45</v>
      </c>
      <c r="Y16">
        <v>1</v>
      </c>
      <c r="Z16">
        <v>0</v>
      </c>
    </row>
    <row r="17" spans="24:26">
      <c r="X17" t="s">
        <v>46</v>
      </c>
      <c r="Y17">
        <v>0</v>
      </c>
      <c r="Z17">
        <v>0</v>
      </c>
    </row>
    <row r="18" spans="24:26">
      <c r="X18" t="s">
        <v>47</v>
      </c>
      <c r="Y18">
        <v>0</v>
      </c>
      <c r="Z18">
        <v>0</v>
      </c>
    </row>
    <row r="19" spans="24:26">
      <c r="X19" t="s">
        <v>48</v>
      </c>
      <c r="Y19">
        <v>0</v>
      </c>
      <c r="Z19">
        <v>1</v>
      </c>
    </row>
    <row r="20" spans="24:26">
      <c r="X20" t="s">
        <v>49</v>
      </c>
      <c r="Y20">
        <v>2</v>
      </c>
      <c r="Z20">
        <v>0</v>
      </c>
    </row>
    <row r="21" spans="24:26">
      <c r="X21" s="55" t="s">
        <v>1385</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2102</v>
      </c>
      <c r="B1" s="55" t="s">
        <v>2103</v>
      </c>
      <c r="D1" t="s">
        <v>2104</v>
      </c>
      <c r="E1" t="s">
        <v>2105</v>
      </c>
    </row>
    <row r="2" spans="1:5">
      <c r="A2" t="s">
        <v>2106</v>
      </c>
      <c r="B2" t="s">
        <v>2107</v>
      </c>
      <c r="C2" t="s">
        <v>1323</v>
      </c>
      <c r="D2" t="s">
        <v>2108</v>
      </c>
      <c r="E2" t="s">
        <v>127</v>
      </c>
    </row>
    <row r="3" spans="1:5">
      <c r="A3" t="s">
        <v>2109</v>
      </c>
      <c r="B3" t="s">
        <v>2107</v>
      </c>
      <c r="D3" t="s">
        <v>2110</v>
      </c>
      <c r="E3" t="s">
        <v>176</v>
      </c>
    </row>
    <row r="4" spans="1:5">
      <c r="A4" t="s">
        <v>2111</v>
      </c>
      <c r="B4" t="s">
        <v>2107</v>
      </c>
      <c r="D4" t="s">
        <v>2112</v>
      </c>
      <c r="E4" t="s">
        <v>127</v>
      </c>
    </row>
    <row r="5" spans="1:5">
      <c r="A5" t="s">
        <v>2113</v>
      </c>
      <c r="B5" t="s">
        <v>2107</v>
      </c>
      <c r="D5" s="48" t="s">
        <v>2114</v>
      </c>
      <c r="E5" t="s">
        <v>127</v>
      </c>
    </row>
    <row r="6" spans="1:5">
      <c r="A6" t="s">
        <v>2115</v>
      </c>
      <c r="B6" t="s">
        <v>2107</v>
      </c>
      <c r="D6" t="s">
        <v>2116</v>
      </c>
      <c r="E6" t="s">
        <v>127</v>
      </c>
    </row>
    <row r="7" spans="1:5">
      <c r="A7" t="s">
        <v>2117</v>
      </c>
      <c r="B7" t="s">
        <v>2107</v>
      </c>
      <c r="D7" t="s">
        <v>2118</v>
      </c>
      <c r="E7" t="s">
        <v>127</v>
      </c>
    </row>
    <row r="8" spans="1:5">
      <c r="A8" t="s">
        <v>2119</v>
      </c>
      <c r="B8" t="s">
        <v>2107</v>
      </c>
      <c r="D8" t="s">
        <v>2105</v>
      </c>
      <c r="E8" t="s">
        <v>127</v>
      </c>
    </row>
    <row r="9" spans="1:5">
      <c r="A9" t="s">
        <v>2120</v>
      </c>
      <c r="B9" t="s">
        <v>2107</v>
      </c>
      <c r="D9" t="s">
        <v>2105</v>
      </c>
      <c r="E9" t="s">
        <v>127</v>
      </c>
    </row>
    <row r="10" spans="1:5">
      <c r="A10" t="s">
        <v>2121</v>
      </c>
      <c r="B10" t="s">
        <v>2107</v>
      </c>
      <c r="D10" t="s">
        <v>2114</v>
      </c>
      <c r="E10" t="s">
        <v>127</v>
      </c>
    </row>
    <row r="11" spans="1:5">
      <c r="A11" t="s">
        <v>2122</v>
      </c>
      <c r="B11" t="s">
        <v>2107</v>
      </c>
      <c r="D11" t="s">
        <v>2123</v>
      </c>
      <c r="E11" t="s">
        <v>127</v>
      </c>
    </row>
    <row r="12" spans="1:5">
      <c r="A12" t="s">
        <v>2124</v>
      </c>
      <c r="B12" t="s">
        <v>2107</v>
      </c>
      <c r="D12" t="s">
        <v>2125</v>
      </c>
      <c r="E12" t="s">
        <v>2126</v>
      </c>
    </row>
    <row r="13" spans="1:5">
      <c r="A13" t="s">
        <v>2127</v>
      </c>
      <c r="B13" t="s">
        <v>2107</v>
      </c>
      <c r="D13" t="s">
        <v>2128</v>
      </c>
      <c r="E13" t="s">
        <v>2126</v>
      </c>
    </row>
    <row r="14" spans="1:5">
      <c r="A14" t="s">
        <v>2129</v>
      </c>
      <c r="B14" t="s">
        <v>2107</v>
      </c>
      <c r="D14" t="s">
        <v>2130</v>
      </c>
      <c r="E14" t="s">
        <v>176</v>
      </c>
    </row>
    <row r="15" spans="1:5">
      <c r="A15" t="s">
        <v>2131</v>
      </c>
      <c r="B15" t="s">
        <v>2107</v>
      </c>
      <c r="D15" t="s">
        <v>2132</v>
      </c>
      <c r="E15" t="s">
        <v>176</v>
      </c>
    </row>
    <row r="16" spans="1:5">
      <c r="A16" t="s">
        <v>2133</v>
      </c>
      <c r="B16" t="s">
        <v>2107</v>
      </c>
      <c r="D16" t="s">
        <v>2134</v>
      </c>
      <c r="E16" t="s">
        <v>127</v>
      </c>
    </row>
    <row r="17" spans="1:5">
      <c r="A17" t="s">
        <v>2135</v>
      </c>
      <c r="B17" t="s">
        <v>2107</v>
      </c>
      <c r="D17" t="s">
        <v>2136</v>
      </c>
      <c r="E17" t="s">
        <v>176</v>
      </c>
    </row>
    <row r="18" spans="1:5">
      <c r="A18" t="s">
        <v>2137</v>
      </c>
      <c r="B18" t="s">
        <v>2107</v>
      </c>
      <c r="D18" t="s">
        <v>2138</v>
      </c>
      <c r="E18" t="s">
        <v>176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2026-07-17T23:44:37Z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